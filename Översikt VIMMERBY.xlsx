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45926</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45926</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45926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45926</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45926</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45926</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45926</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45926</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45926</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45926</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45926</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37667-2025</t>
        </is>
      </c>
      <c r="B19" s="1" t="n">
        <v>45880.51413194444</v>
      </c>
      <c r="C19" s="1" t="n">
        <v>45926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45926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45926</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2518-2023</t>
        </is>
      </c>
      <c r="B24" s="1" t="n">
        <v>44943</v>
      </c>
      <c r="C24" s="1" t="n">
        <v>45926</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45926</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14024-2023</t>
        </is>
      </c>
      <c r="B26" s="1" t="n">
        <v>45008.60878472222</v>
      </c>
      <c r="C26" s="1" t="n">
        <v>45926</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40684-2025</t>
        </is>
      </c>
      <c r="B27" s="1" t="n">
        <v>45896.86820601852</v>
      </c>
      <c r="C27" s="1" t="n">
        <v>45926</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17935-2025</t>
        </is>
      </c>
      <c r="B28" s="1" t="n">
        <v>45760.34877314815</v>
      </c>
      <c r="C28" s="1" t="n">
        <v>45926</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45926</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42802-2025</t>
        </is>
      </c>
      <c r="B30" s="1" t="n">
        <v>45908</v>
      </c>
      <c r="C30" s="1" t="n">
        <v>45926</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45926</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45926</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45926</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52301-2023</t>
        </is>
      </c>
      <c r="B34" s="1" t="n">
        <v>45224</v>
      </c>
      <c r="C34" s="1" t="n">
        <v>45926</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1201-2025</t>
        </is>
      </c>
      <c r="B35" s="1" t="n">
        <v>45667</v>
      </c>
      <c r="C35" s="1" t="n">
        <v>45926</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37930-2021</t>
        </is>
      </c>
      <c r="B36" s="1" t="n">
        <v>44403</v>
      </c>
      <c r="C36" s="1" t="n">
        <v>45926</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29183-2025</t>
        </is>
      </c>
      <c r="B37" s="1" t="n">
        <v>45821</v>
      </c>
      <c r="C37" s="1" t="n">
        <v>45926</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45926</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45926</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33436-2021</t>
        </is>
      </c>
      <c r="B40" s="1" t="n">
        <v>44377.61104166666</v>
      </c>
      <c r="C40" s="1" t="n">
        <v>45926</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61860-2024</t>
        </is>
      </c>
      <c r="B41" s="1" t="n">
        <v>45649</v>
      </c>
      <c r="C41" s="1" t="n">
        <v>45926</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45926</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38602-2025</t>
        </is>
      </c>
      <c r="B43" s="1" t="n">
        <v>45884.50331018519</v>
      </c>
      <c r="C43" s="1" t="n">
        <v>45926</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38602-2025 artfynd.xlsx", "A 38602-2025")</f>
        <v/>
      </c>
      <c r="T43">
        <f>HYPERLINK("https://klasma.github.io/Logging_0884/kartor/A 38602-2025 karta.png", "A 38602-2025")</f>
        <v/>
      </c>
      <c r="U43">
        <f>HYPERLINK("https://klasma.github.io/Logging_0884/knärot/A 38602-2025 karta knärot.png", "A 38602-2025")</f>
        <v/>
      </c>
      <c r="V43">
        <f>HYPERLINK("https://klasma.github.io/Logging_0884/klagomål/A 38602-2025 FSC-klagomål.docx", "A 38602-2025")</f>
        <v/>
      </c>
      <c r="W43">
        <f>HYPERLINK("https://klasma.github.io/Logging_0884/klagomålsmail/A 38602-2025 FSC-klagomål mail.docx", "A 38602-2025")</f>
        <v/>
      </c>
      <c r="X43">
        <f>HYPERLINK("https://klasma.github.io/Logging_0884/tillsyn/A 38602-2025 tillsynsbegäran.docx", "A 38602-2025")</f>
        <v/>
      </c>
      <c r="Y43">
        <f>HYPERLINK("https://klasma.github.io/Logging_0884/tillsynsmail/A 38602-2025 tillsynsbegäran mail.docx", "A 38602-2025")</f>
        <v/>
      </c>
    </row>
    <row r="44" ht="15" customHeight="1">
      <c r="A44" t="inlineStr">
        <is>
          <t>A 44515-2024</t>
        </is>
      </c>
      <c r="B44" s="1" t="n">
        <v>45574.42767361111</v>
      </c>
      <c r="C44" s="1" t="n">
        <v>45926</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32985-2023</t>
        </is>
      </c>
      <c r="B45" s="1" t="n">
        <v>45125</v>
      </c>
      <c r="C45" s="1" t="n">
        <v>45926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15122-2024</t>
        </is>
      </c>
      <c r="B46" s="1" t="n">
        <v>45399.71412037037</v>
      </c>
      <c r="C46" s="1" t="n">
        <v>45926</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6841-2021</t>
        </is>
      </c>
      <c r="B47" s="1" t="n">
        <v>44236</v>
      </c>
      <c r="C47" s="1" t="n">
        <v>45926</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49059-2020</t>
        </is>
      </c>
      <c r="B48" s="1" t="n">
        <v>44102</v>
      </c>
      <c r="C48" s="1" t="n">
        <v>45926</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45926</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45926</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45926</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45926</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45926</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45926</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45926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45926</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45926</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45926</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45926</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45926</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45926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45926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45926</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45926</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45926</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45926</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45926</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45926</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45926</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45926</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45926</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45926</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45926</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45926</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45926</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45926</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45926</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45926</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45926</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45926</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45926</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45926</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45926</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45926</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45926</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45926</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45926</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45926</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45926</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45926</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45926</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45926</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45926</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45926</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45926</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45926</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45926</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45926</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45926</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45926</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45926</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45926</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45926</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45926</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45926</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45926</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45926</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45926</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45926</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45926</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45926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45926</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45926</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45926</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45926</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45926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45926</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45926</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45926</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45926</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45926</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45926</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45926</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45926</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45926</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45926</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45926</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45926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45926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45926</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45926</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11814-2022</t>
        </is>
      </c>
      <c r="B133" s="1" t="n">
        <v>44634.69703703704</v>
      </c>
      <c r="C133" s="1" t="n">
        <v>45926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56385-2021</t>
        </is>
      </c>
      <c r="B134" s="1" t="n">
        <v>44480</v>
      </c>
      <c r="C134" s="1" t="n">
        <v>45926</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31053-2022</t>
        </is>
      </c>
      <c r="B135" s="1" t="n">
        <v>44769.45422453704</v>
      </c>
      <c r="C135" s="1" t="n">
        <v>45926</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24738-2021</t>
        </is>
      </c>
      <c r="B136" s="1" t="n">
        <v>44340.58002314815</v>
      </c>
      <c r="C136" s="1" t="n">
        <v>45926</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57948-2020</t>
        </is>
      </c>
      <c r="B137" s="1" t="n">
        <v>44142</v>
      </c>
      <c r="C137" s="1" t="n">
        <v>45926</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8454-2022</t>
        </is>
      </c>
      <c r="B138" s="1" t="n">
        <v>44612.86762731482</v>
      </c>
      <c r="C138" s="1" t="n">
        <v>45926</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45926</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55674-2021</t>
        </is>
      </c>
      <c r="B140" s="1" t="n">
        <v>44476</v>
      </c>
      <c r="C140" s="1" t="n">
        <v>45926</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18276-2021</t>
        </is>
      </c>
      <c r="B141" s="1" t="n">
        <v>44305.40046296296</v>
      </c>
      <c r="C141" s="1" t="n">
        <v>45926</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45926</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47473-2021</t>
        </is>
      </c>
      <c r="B143" s="1" t="n">
        <v>44447</v>
      </c>
      <c r="C143" s="1" t="n">
        <v>45926</v>
      </c>
      <c r="D143" t="inlineStr">
        <is>
          <t>KALMAR LÄN</t>
        </is>
      </c>
      <c r="E143" t="inlineStr">
        <is>
          <t>VIMMERBY</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65887-2021</t>
        </is>
      </c>
      <c r="B144" s="1" t="n">
        <v>44517</v>
      </c>
      <c r="C144" s="1" t="n">
        <v>45926</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45926</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39959-2022</t>
        </is>
      </c>
      <c r="B146" s="1" t="n">
        <v>44819</v>
      </c>
      <c r="C146" s="1" t="n">
        <v>45926</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41056-2022</t>
        </is>
      </c>
      <c r="B147" s="1" t="n">
        <v>44824</v>
      </c>
      <c r="C147" s="1" t="n">
        <v>45926</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45926</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45926</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45926</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45926</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12661-2021</t>
        </is>
      </c>
      <c r="B152" s="1" t="n">
        <v>44270</v>
      </c>
      <c r="C152" s="1" t="n">
        <v>45926</v>
      </c>
      <c r="D152" t="inlineStr">
        <is>
          <t>KALMAR LÄN</t>
        </is>
      </c>
      <c r="E152" t="inlineStr">
        <is>
          <t>VIMMERBY</t>
        </is>
      </c>
      <c r="G152" t="n">
        <v>1.8</v>
      </c>
      <c r="H152" t="n">
        <v>0</v>
      </c>
      <c r="I152" t="n">
        <v>0</v>
      </c>
      <c r="J152" t="n">
        <v>0</v>
      </c>
      <c r="K152" t="n">
        <v>0</v>
      </c>
      <c r="L152" t="n">
        <v>0</v>
      </c>
      <c r="M152" t="n">
        <v>0</v>
      </c>
      <c r="N152" t="n">
        <v>0</v>
      </c>
      <c r="O152" t="n">
        <v>0</v>
      </c>
      <c r="P152" t="n">
        <v>0</v>
      </c>
      <c r="Q152" t="n">
        <v>0</v>
      </c>
      <c r="R152" s="2" t="inlineStr"/>
    </row>
    <row r="153" ht="15" customHeight="1">
      <c r="A153" t="inlineStr">
        <is>
          <t>A 24999-2021</t>
        </is>
      </c>
      <c r="B153" s="1" t="n">
        <v>44341</v>
      </c>
      <c r="C153" s="1" t="n">
        <v>45926</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7917-2022</t>
        </is>
      </c>
      <c r="B154" s="1" t="n">
        <v>44608</v>
      </c>
      <c r="C154" s="1" t="n">
        <v>45926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47208-2021</t>
        </is>
      </c>
      <c r="B155" s="1" t="n">
        <v>44447.34237268518</v>
      </c>
      <c r="C155" s="1" t="n">
        <v>45926</v>
      </c>
      <c r="D155" t="inlineStr">
        <is>
          <t>KALMAR LÄN</t>
        </is>
      </c>
      <c r="E155" t="inlineStr">
        <is>
          <t>VIMMERBY</t>
        </is>
      </c>
      <c r="G155" t="n">
        <v>1.4</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45926</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45926</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16705-2021</t>
        </is>
      </c>
      <c r="B158" s="1" t="n">
        <v>44294</v>
      </c>
      <c r="C158" s="1" t="n">
        <v>45926</v>
      </c>
      <c r="D158" t="inlineStr">
        <is>
          <t>KALMAR LÄN</t>
        </is>
      </c>
      <c r="E158" t="inlineStr">
        <is>
          <t>VIMMERBY</t>
        </is>
      </c>
      <c r="G158" t="n">
        <v>2.6</v>
      </c>
      <c r="H158" t="n">
        <v>0</v>
      </c>
      <c r="I158" t="n">
        <v>0</v>
      </c>
      <c r="J158" t="n">
        <v>0</v>
      </c>
      <c r="K158" t="n">
        <v>0</v>
      </c>
      <c r="L158" t="n">
        <v>0</v>
      </c>
      <c r="M158" t="n">
        <v>0</v>
      </c>
      <c r="N158" t="n">
        <v>0</v>
      </c>
      <c r="O158" t="n">
        <v>0</v>
      </c>
      <c r="P158" t="n">
        <v>0</v>
      </c>
      <c r="Q158" t="n">
        <v>0</v>
      </c>
      <c r="R158" s="2" t="inlineStr"/>
    </row>
    <row r="159" ht="15" customHeight="1">
      <c r="A159" t="inlineStr">
        <is>
          <t>A 3330-2021</t>
        </is>
      </c>
      <c r="B159" s="1" t="n">
        <v>44217.79856481482</v>
      </c>
      <c r="C159" s="1" t="n">
        <v>45926</v>
      </c>
      <c r="D159" t="inlineStr">
        <is>
          <t>KALMAR LÄN</t>
        </is>
      </c>
      <c r="E159" t="inlineStr">
        <is>
          <t>VIMMERBY</t>
        </is>
      </c>
      <c r="G159" t="n">
        <v>11.1</v>
      </c>
      <c r="H159" t="n">
        <v>0</v>
      </c>
      <c r="I159" t="n">
        <v>0</v>
      </c>
      <c r="J159" t="n">
        <v>0</v>
      </c>
      <c r="K159" t="n">
        <v>0</v>
      </c>
      <c r="L159" t="n">
        <v>0</v>
      </c>
      <c r="M159" t="n">
        <v>0</v>
      </c>
      <c r="N159" t="n">
        <v>0</v>
      </c>
      <c r="O159" t="n">
        <v>0</v>
      </c>
      <c r="P159" t="n">
        <v>0</v>
      </c>
      <c r="Q159" t="n">
        <v>0</v>
      </c>
      <c r="R159" s="2" t="inlineStr"/>
    </row>
    <row r="160" ht="15" customHeight="1">
      <c r="A160" t="inlineStr">
        <is>
          <t>A 47708-2022</t>
        </is>
      </c>
      <c r="B160" s="1" t="n">
        <v>44854.59157407407</v>
      </c>
      <c r="C160" s="1" t="n">
        <v>45926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51977-2020</t>
        </is>
      </c>
      <c r="B161" s="1" t="n">
        <v>44116</v>
      </c>
      <c r="C161" s="1" t="n">
        <v>45926</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45926</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45926</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56389-2021</t>
        </is>
      </c>
      <c r="B164" s="1" t="n">
        <v>44480</v>
      </c>
      <c r="C164" s="1" t="n">
        <v>45926</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45926</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67952-2021</t>
        </is>
      </c>
      <c r="B166" s="1" t="n">
        <v>44525.63913194444</v>
      </c>
      <c r="C166" s="1" t="n">
        <v>45926</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14521-2021</t>
        </is>
      </c>
      <c r="B167" s="1" t="n">
        <v>44279.64934027778</v>
      </c>
      <c r="C167" s="1" t="n">
        <v>45926</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15533-2022</t>
        </is>
      </c>
      <c r="B168" s="1" t="n">
        <v>44662</v>
      </c>
      <c r="C168" s="1" t="n">
        <v>45926</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165-2022</t>
        </is>
      </c>
      <c r="B169" s="1" t="n">
        <v>44564</v>
      </c>
      <c r="C169" s="1" t="n">
        <v>45926</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12241-2021</t>
        </is>
      </c>
      <c r="B170" s="1" t="n">
        <v>44266.7240625</v>
      </c>
      <c r="C170" s="1" t="n">
        <v>45926</v>
      </c>
      <c r="D170" t="inlineStr">
        <is>
          <t>KALMAR LÄN</t>
        </is>
      </c>
      <c r="E170" t="inlineStr">
        <is>
          <t>VIMMERBY</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32603-2021</t>
        </is>
      </c>
      <c r="B171" s="1" t="n">
        <v>44375.38789351852</v>
      </c>
      <c r="C171" s="1" t="n">
        <v>45926</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34040-2021</t>
        </is>
      </c>
      <c r="B172" s="1" t="n">
        <v>44379</v>
      </c>
      <c r="C172" s="1" t="n">
        <v>45926</v>
      </c>
      <c r="D172" t="inlineStr">
        <is>
          <t>KALMAR LÄN</t>
        </is>
      </c>
      <c r="E172" t="inlineStr">
        <is>
          <t>VIMMERBY</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15200-2021</t>
        </is>
      </c>
      <c r="B173" s="1" t="n">
        <v>44284.44574074074</v>
      </c>
      <c r="C173" s="1" t="n">
        <v>45926</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12662-2021</t>
        </is>
      </c>
      <c r="B174" s="1" t="n">
        <v>44270.49743055556</v>
      </c>
      <c r="C174" s="1" t="n">
        <v>45926</v>
      </c>
      <c r="D174" t="inlineStr">
        <is>
          <t>KALMAR LÄN</t>
        </is>
      </c>
      <c r="E174" t="inlineStr">
        <is>
          <t>VIMMERBY</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45926</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45926</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45926</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45926</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23825-2022</t>
        </is>
      </c>
      <c r="B179" s="1" t="n">
        <v>44722.48768518519</v>
      </c>
      <c r="C179" s="1" t="n">
        <v>45926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16602-2021</t>
        </is>
      </c>
      <c r="B180" s="1" t="n">
        <v>44294</v>
      </c>
      <c r="C180" s="1" t="n">
        <v>45926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16607-2021</t>
        </is>
      </c>
      <c r="B181" s="1" t="n">
        <v>44294</v>
      </c>
      <c r="C181" s="1" t="n">
        <v>45926</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17029-2022</t>
        </is>
      </c>
      <c r="B182" s="1" t="n">
        <v>44676.85248842592</v>
      </c>
      <c r="C182" s="1" t="n">
        <v>45926</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46964-2022</t>
        </is>
      </c>
      <c r="B183" s="1" t="n">
        <v>44851.95016203704</v>
      </c>
      <c r="C183" s="1" t="n">
        <v>45926</v>
      </c>
      <c r="D183" t="inlineStr">
        <is>
          <t>KALMAR LÄN</t>
        </is>
      </c>
      <c r="E183" t="inlineStr">
        <is>
          <t>VIMMERBY</t>
        </is>
      </c>
      <c r="G183" t="n">
        <v>0.2</v>
      </c>
      <c r="H183" t="n">
        <v>0</v>
      </c>
      <c r="I183" t="n">
        <v>0</v>
      </c>
      <c r="J183" t="n">
        <v>0</v>
      </c>
      <c r="K183" t="n">
        <v>0</v>
      </c>
      <c r="L183" t="n">
        <v>0</v>
      </c>
      <c r="M183" t="n">
        <v>0</v>
      </c>
      <c r="N183" t="n">
        <v>0</v>
      </c>
      <c r="O183" t="n">
        <v>0</v>
      </c>
      <c r="P183" t="n">
        <v>0</v>
      </c>
      <c r="Q183" t="n">
        <v>0</v>
      </c>
      <c r="R183" s="2" t="inlineStr"/>
    </row>
    <row r="184" ht="15" customHeight="1">
      <c r="A184" t="inlineStr">
        <is>
          <t>A 7167-2022</t>
        </is>
      </c>
      <c r="B184" s="1" t="n">
        <v>44604</v>
      </c>
      <c r="C184" s="1" t="n">
        <v>45926</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18356-2021</t>
        </is>
      </c>
      <c r="B185" s="1" t="n">
        <v>44305</v>
      </c>
      <c r="C185" s="1" t="n">
        <v>45926</v>
      </c>
      <c r="D185" t="inlineStr">
        <is>
          <t>KALMAR LÄN</t>
        </is>
      </c>
      <c r="E185" t="inlineStr">
        <is>
          <t>VIMMERBY</t>
        </is>
      </c>
      <c r="G185" t="n">
        <v>3.4</v>
      </c>
      <c r="H185" t="n">
        <v>0</v>
      </c>
      <c r="I185" t="n">
        <v>0</v>
      </c>
      <c r="J185" t="n">
        <v>0</v>
      </c>
      <c r="K185" t="n">
        <v>0</v>
      </c>
      <c r="L185" t="n">
        <v>0</v>
      </c>
      <c r="M185" t="n">
        <v>0</v>
      </c>
      <c r="N185" t="n">
        <v>0</v>
      </c>
      <c r="O185" t="n">
        <v>0</v>
      </c>
      <c r="P185" t="n">
        <v>0</v>
      </c>
      <c r="Q185" t="n">
        <v>0</v>
      </c>
      <c r="R185" s="2" t="inlineStr"/>
    </row>
    <row r="186" ht="15" customHeight="1">
      <c r="A186" t="inlineStr">
        <is>
          <t>A 42918-2021</t>
        </is>
      </c>
      <c r="B186" s="1" t="n">
        <v>44431</v>
      </c>
      <c r="C186" s="1" t="n">
        <v>45926</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31382-2023</t>
        </is>
      </c>
      <c r="B187" s="1" t="n">
        <v>45114.55136574074</v>
      </c>
      <c r="C187" s="1" t="n">
        <v>45926</v>
      </c>
      <c r="D187" t="inlineStr">
        <is>
          <t>KALMAR LÄN</t>
        </is>
      </c>
      <c r="E187" t="inlineStr">
        <is>
          <t>VIMMERBY</t>
        </is>
      </c>
      <c r="G187" t="n">
        <v>3.7</v>
      </c>
      <c r="H187" t="n">
        <v>0</v>
      </c>
      <c r="I187" t="n">
        <v>0</v>
      </c>
      <c r="J187" t="n">
        <v>0</v>
      </c>
      <c r="K187" t="n">
        <v>0</v>
      </c>
      <c r="L187" t="n">
        <v>0</v>
      </c>
      <c r="M187" t="n">
        <v>0</v>
      </c>
      <c r="N187" t="n">
        <v>0</v>
      </c>
      <c r="O187" t="n">
        <v>0</v>
      </c>
      <c r="P187" t="n">
        <v>0</v>
      </c>
      <c r="Q187" t="n">
        <v>0</v>
      </c>
      <c r="R187" s="2" t="inlineStr"/>
    </row>
    <row r="188" ht="15" customHeight="1">
      <c r="A188" t="inlineStr">
        <is>
          <t>A 56213-2024</t>
        </is>
      </c>
      <c r="B188" s="1" t="n">
        <v>45624.60141203704</v>
      </c>
      <c r="C188" s="1" t="n">
        <v>45926</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54409-2024</t>
        </is>
      </c>
      <c r="B189" s="1" t="n">
        <v>45617.47570601852</v>
      </c>
      <c r="C189" s="1" t="n">
        <v>45926</v>
      </c>
      <c r="D189" t="inlineStr">
        <is>
          <t>KALMAR LÄN</t>
        </is>
      </c>
      <c r="E189" t="inlineStr">
        <is>
          <t>VIMMERBY</t>
        </is>
      </c>
      <c r="G189" t="n">
        <v>4.3</v>
      </c>
      <c r="H189" t="n">
        <v>0</v>
      </c>
      <c r="I189" t="n">
        <v>0</v>
      </c>
      <c r="J189" t="n">
        <v>0</v>
      </c>
      <c r="K189" t="n">
        <v>0</v>
      </c>
      <c r="L189" t="n">
        <v>0</v>
      </c>
      <c r="M189" t="n">
        <v>0</v>
      </c>
      <c r="N189" t="n">
        <v>0</v>
      </c>
      <c r="O189" t="n">
        <v>0</v>
      </c>
      <c r="P189" t="n">
        <v>0</v>
      </c>
      <c r="Q189" t="n">
        <v>0</v>
      </c>
      <c r="R189" s="2" t="inlineStr"/>
    </row>
    <row r="190" ht="15" customHeight="1">
      <c r="A190" t="inlineStr">
        <is>
          <t>A 22643-2023</t>
        </is>
      </c>
      <c r="B190" s="1" t="n">
        <v>45071</v>
      </c>
      <c r="C190" s="1" t="n">
        <v>45926</v>
      </c>
      <c r="D190" t="inlineStr">
        <is>
          <t>KALMAR LÄN</t>
        </is>
      </c>
      <c r="E190" t="inlineStr">
        <is>
          <t>VIMMERBY</t>
        </is>
      </c>
      <c r="G190" t="n">
        <v>3.9</v>
      </c>
      <c r="H190" t="n">
        <v>0</v>
      </c>
      <c r="I190" t="n">
        <v>0</v>
      </c>
      <c r="J190" t="n">
        <v>0</v>
      </c>
      <c r="K190" t="n">
        <v>0</v>
      </c>
      <c r="L190" t="n">
        <v>0</v>
      </c>
      <c r="M190" t="n">
        <v>0</v>
      </c>
      <c r="N190" t="n">
        <v>0</v>
      </c>
      <c r="O190" t="n">
        <v>0</v>
      </c>
      <c r="P190" t="n">
        <v>0</v>
      </c>
      <c r="Q190" t="n">
        <v>0</v>
      </c>
      <c r="R190" s="2" t="inlineStr"/>
    </row>
    <row r="191" ht="15" customHeight="1">
      <c r="A191" t="inlineStr">
        <is>
          <t>A 18669-2025</t>
        </is>
      </c>
      <c r="B191" s="1" t="n">
        <v>45763.59436342592</v>
      </c>
      <c r="C191" s="1" t="n">
        <v>45926</v>
      </c>
      <c r="D191" t="inlineStr">
        <is>
          <t>KALMAR LÄN</t>
        </is>
      </c>
      <c r="E191" t="inlineStr">
        <is>
          <t>VIMMERBY</t>
        </is>
      </c>
      <c r="G191" t="n">
        <v>2.7</v>
      </c>
      <c r="H191" t="n">
        <v>0</v>
      </c>
      <c r="I191" t="n">
        <v>0</v>
      </c>
      <c r="J191" t="n">
        <v>0</v>
      </c>
      <c r="K191" t="n">
        <v>0</v>
      </c>
      <c r="L191" t="n">
        <v>0</v>
      </c>
      <c r="M191" t="n">
        <v>0</v>
      </c>
      <c r="N191" t="n">
        <v>0</v>
      </c>
      <c r="O191" t="n">
        <v>0</v>
      </c>
      <c r="P191" t="n">
        <v>0</v>
      </c>
      <c r="Q191" t="n">
        <v>0</v>
      </c>
      <c r="R191" s="2" t="inlineStr"/>
    </row>
    <row r="192" ht="15" customHeight="1">
      <c r="A192" t="inlineStr">
        <is>
          <t>A 38780-2021</t>
        </is>
      </c>
      <c r="B192" s="1" t="n">
        <v>44410</v>
      </c>
      <c r="C192" s="1" t="n">
        <v>45926</v>
      </c>
      <c r="D192" t="inlineStr">
        <is>
          <t>KALMAR LÄN</t>
        </is>
      </c>
      <c r="E192" t="inlineStr">
        <is>
          <t>VIMMERBY</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59300-2024</t>
        </is>
      </c>
      <c r="B193" s="1" t="n">
        <v>45637.66542824074</v>
      </c>
      <c r="C193" s="1" t="n">
        <v>45926</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45926</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45926</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11027-2023</t>
        </is>
      </c>
      <c r="B196" s="1" t="n">
        <v>44991.89657407408</v>
      </c>
      <c r="C196" s="1" t="n">
        <v>45926</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59768-2024</t>
        </is>
      </c>
      <c r="B197" s="1" t="n">
        <v>45639.56185185185</v>
      </c>
      <c r="C197" s="1" t="n">
        <v>45926</v>
      </c>
      <c r="D197" t="inlineStr">
        <is>
          <t>KALMAR LÄN</t>
        </is>
      </c>
      <c r="E197" t="inlineStr">
        <is>
          <t>VIMMERBY</t>
        </is>
      </c>
      <c r="G197" t="n">
        <v>5.9</v>
      </c>
      <c r="H197" t="n">
        <v>0</v>
      </c>
      <c r="I197" t="n">
        <v>0</v>
      </c>
      <c r="J197" t="n">
        <v>0</v>
      </c>
      <c r="K197" t="n">
        <v>0</v>
      </c>
      <c r="L197" t="n">
        <v>0</v>
      </c>
      <c r="M197" t="n">
        <v>0</v>
      </c>
      <c r="N197" t="n">
        <v>0</v>
      </c>
      <c r="O197" t="n">
        <v>0</v>
      </c>
      <c r="P197" t="n">
        <v>0</v>
      </c>
      <c r="Q197" t="n">
        <v>0</v>
      </c>
      <c r="R197" s="2" t="inlineStr"/>
    </row>
    <row r="198" ht="15" customHeight="1">
      <c r="A198" t="inlineStr">
        <is>
          <t>A 29020-2024</t>
        </is>
      </c>
      <c r="B198" s="1" t="n">
        <v>45481.58048611111</v>
      </c>
      <c r="C198" s="1" t="n">
        <v>45926</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30406-2023</t>
        </is>
      </c>
      <c r="B199" s="1" t="n">
        <v>45111.48787037037</v>
      </c>
      <c r="C199" s="1" t="n">
        <v>45926</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36526-2023</t>
        </is>
      </c>
      <c r="B200" s="1" t="n">
        <v>45153.32778935185</v>
      </c>
      <c r="C200" s="1" t="n">
        <v>45926</v>
      </c>
      <c r="D200" t="inlineStr">
        <is>
          <t>KALMAR LÄN</t>
        </is>
      </c>
      <c r="E200" t="inlineStr">
        <is>
          <t>VIMMERBY</t>
        </is>
      </c>
      <c r="G200" t="n">
        <v>2.7</v>
      </c>
      <c r="H200" t="n">
        <v>0</v>
      </c>
      <c r="I200" t="n">
        <v>0</v>
      </c>
      <c r="J200" t="n">
        <v>0</v>
      </c>
      <c r="K200" t="n">
        <v>0</v>
      </c>
      <c r="L200" t="n">
        <v>0</v>
      </c>
      <c r="M200" t="n">
        <v>0</v>
      </c>
      <c r="N200" t="n">
        <v>0</v>
      </c>
      <c r="O200" t="n">
        <v>0</v>
      </c>
      <c r="P200" t="n">
        <v>0</v>
      </c>
      <c r="Q200" t="n">
        <v>0</v>
      </c>
      <c r="R200" s="2" t="inlineStr"/>
    </row>
    <row r="201" ht="15" customHeight="1">
      <c r="A201" t="inlineStr">
        <is>
          <t>A 13817-2024</t>
        </is>
      </c>
      <c r="B201" s="1" t="n">
        <v>45391.41976851852</v>
      </c>
      <c r="C201" s="1" t="n">
        <v>45926</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53483-2022</t>
        </is>
      </c>
      <c r="B202" s="1" t="n">
        <v>44879.55940972222</v>
      </c>
      <c r="C202" s="1" t="n">
        <v>45926</v>
      </c>
      <c r="D202" t="inlineStr">
        <is>
          <t>KALMAR LÄN</t>
        </is>
      </c>
      <c r="E202" t="inlineStr">
        <is>
          <t>VIMMERBY</t>
        </is>
      </c>
      <c r="G202" t="n">
        <v>1.4</v>
      </c>
      <c r="H202" t="n">
        <v>0</v>
      </c>
      <c r="I202" t="n">
        <v>0</v>
      </c>
      <c r="J202" t="n">
        <v>0</v>
      </c>
      <c r="K202" t="n">
        <v>0</v>
      </c>
      <c r="L202" t="n">
        <v>0</v>
      </c>
      <c r="M202" t="n">
        <v>0</v>
      </c>
      <c r="N202" t="n">
        <v>0</v>
      </c>
      <c r="O202" t="n">
        <v>0</v>
      </c>
      <c r="P202" t="n">
        <v>0</v>
      </c>
      <c r="Q202" t="n">
        <v>0</v>
      </c>
      <c r="R202" s="2" t="inlineStr"/>
    </row>
    <row r="203" ht="15" customHeight="1">
      <c r="A203" t="inlineStr">
        <is>
          <t>A 18899-2025</t>
        </is>
      </c>
      <c r="B203" s="1" t="n">
        <v>45764.44931712963</v>
      </c>
      <c r="C203" s="1" t="n">
        <v>45926</v>
      </c>
      <c r="D203" t="inlineStr">
        <is>
          <t>KALMAR LÄN</t>
        </is>
      </c>
      <c r="E203" t="inlineStr">
        <is>
          <t>VIMMERBY</t>
        </is>
      </c>
      <c r="F203" t="inlineStr">
        <is>
          <t>Kommuner</t>
        </is>
      </c>
      <c r="G203" t="n">
        <v>4</v>
      </c>
      <c r="H203" t="n">
        <v>0</v>
      </c>
      <c r="I203" t="n">
        <v>0</v>
      </c>
      <c r="J203" t="n">
        <v>0</v>
      </c>
      <c r="K203" t="n">
        <v>0</v>
      </c>
      <c r="L203" t="n">
        <v>0</v>
      </c>
      <c r="M203" t="n">
        <v>0</v>
      </c>
      <c r="N203" t="n">
        <v>0</v>
      </c>
      <c r="O203" t="n">
        <v>0</v>
      </c>
      <c r="P203" t="n">
        <v>0</v>
      </c>
      <c r="Q203" t="n">
        <v>0</v>
      </c>
      <c r="R203" s="2" t="inlineStr"/>
    </row>
    <row r="204" ht="15" customHeight="1">
      <c r="A204" t="inlineStr">
        <is>
          <t>A 20054-2023</t>
        </is>
      </c>
      <c r="B204" s="1" t="n">
        <v>45054.6750462963</v>
      </c>
      <c r="C204" s="1" t="n">
        <v>45926</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58962-2022</t>
        </is>
      </c>
      <c r="B205" s="1" t="n">
        <v>44903</v>
      </c>
      <c r="C205" s="1" t="n">
        <v>45926</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10837-2023</t>
        </is>
      </c>
      <c r="B206" s="1" t="n">
        <v>44991.30547453704</v>
      </c>
      <c r="C206" s="1" t="n">
        <v>45926</v>
      </c>
      <c r="D206" t="inlineStr">
        <is>
          <t>KALMAR LÄN</t>
        </is>
      </c>
      <c r="E206" t="inlineStr">
        <is>
          <t>VIMMERBY</t>
        </is>
      </c>
      <c r="G206" t="n">
        <v>7.3</v>
      </c>
      <c r="H206" t="n">
        <v>0</v>
      </c>
      <c r="I206" t="n">
        <v>0</v>
      </c>
      <c r="J206" t="n">
        <v>0</v>
      </c>
      <c r="K206" t="n">
        <v>0</v>
      </c>
      <c r="L206" t="n">
        <v>0</v>
      </c>
      <c r="M206" t="n">
        <v>0</v>
      </c>
      <c r="N206" t="n">
        <v>0</v>
      </c>
      <c r="O206" t="n">
        <v>0</v>
      </c>
      <c r="P206" t="n">
        <v>0</v>
      </c>
      <c r="Q206" t="n">
        <v>0</v>
      </c>
      <c r="R206" s="2" t="inlineStr"/>
    </row>
    <row r="207" ht="15" customHeight="1">
      <c r="A207" t="inlineStr">
        <is>
          <t>A 10838-2023</t>
        </is>
      </c>
      <c r="B207" s="1" t="n">
        <v>44991</v>
      </c>
      <c r="C207" s="1" t="n">
        <v>45926</v>
      </c>
      <c r="D207" t="inlineStr">
        <is>
          <t>KALMAR LÄN</t>
        </is>
      </c>
      <c r="E207" t="inlineStr">
        <is>
          <t>VIMMERBY</t>
        </is>
      </c>
      <c r="G207" t="n">
        <v>5.1</v>
      </c>
      <c r="H207" t="n">
        <v>0</v>
      </c>
      <c r="I207" t="n">
        <v>0</v>
      </c>
      <c r="J207" t="n">
        <v>0</v>
      </c>
      <c r="K207" t="n">
        <v>0</v>
      </c>
      <c r="L207" t="n">
        <v>0</v>
      </c>
      <c r="M207" t="n">
        <v>0</v>
      </c>
      <c r="N207" t="n">
        <v>0</v>
      </c>
      <c r="O207" t="n">
        <v>0</v>
      </c>
      <c r="P207" t="n">
        <v>0</v>
      </c>
      <c r="Q207" t="n">
        <v>0</v>
      </c>
      <c r="R207" s="2" t="inlineStr"/>
    </row>
    <row r="208" ht="15" customHeight="1">
      <c r="A208" t="inlineStr">
        <is>
          <t>A 58728-2024</t>
        </is>
      </c>
      <c r="B208" s="1" t="n">
        <v>45635.66695601852</v>
      </c>
      <c r="C208" s="1" t="n">
        <v>45926</v>
      </c>
      <c r="D208" t="inlineStr">
        <is>
          <t>KALMAR LÄN</t>
        </is>
      </c>
      <c r="E208" t="inlineStr">
        <is>
          <t>VIMMERBY</t>
        </is>
      </c>
      <c r="G208" t="n">
        <v>0.4</v>
      </c>
      <c r="H208" t="n">
        <v>0</v>
      </c>
      <c r="I208" t="n">
        <v>0</v>
      </c>
      <c r="J208" t="n">
        <v>0</v>
      </c>
      <c r="K208" t="n">
        <v>0</v>
      </c>
      <c r="L208" t="n">
        <v>0</v>
      </c>
      <c r="M208" t="n">
        <v>0</v>
      </c>
      <c r="N208" t="n">
        <v>0</v>
      </c>
      <c r="O208" t="n">
        <v>0</v>
      </c>
      <c r="P208" t="n">
        <v>0</v>
      </c>
      <c r="Q208" t="n">
        <v>0</v>
      </c>
      <c r="R208" s="2" t="inlineStr"/>
    </row>
    <row r="209" ht="15" customHeight="1">
      <c r="A209" t="inlineStr">
        <is>
          <t>A 49474-2023</t>
        </is>
      </c>
      <c r="B209" s="1" t="n">
        <v>45211.541875</v>
      </c>
      <c r="C209" s="1" t="n">
        <v>45926</v>
      </c>
      <c r="D209" t="inlineStr">
        <is>
          <t>KALMAR LÄN</t>
        </is>
      </c>
      <c r="E209" t="inlineStr">
        <is>
          <t>VIMMERBY</t>
        </is>
      </c>
      <c r="G209" t="n">
        <v>3.6</v>
      </c>
      <c r="H209" t="n">
        <v>0</v>
      </c>
      <c r="I209" t="n">
        <v>0</v>
      </c>
      <c r="J209" t="n">
        <v>0</v>
      </c>
      <c r="K209" t="n">
        <v>0</v>
      </c>
      <c r="L209" t="n">
        <v>0</v>
      </c>
      <c r="M209" t="n">
        <v>0</v>
      </c>
      <c r="N209" t="n">
        <v>0</v>
      </c>
      <c r="O209" t="n">
        <v>0</v>
      </c>
      <c r="P209" t="n">
        <v>0</v>
      </c>
      <c r="Q209" t="n">
        <v>0</v>
      </c>
      <c r="R209" s="2" t="inlineStr"/>
    </row>
    <row r="210" ht="15" customHeight="1">
      <c r="A210" t="inlineStr">
        <is>
          <t>A 57682-2022</t>
        </is>
      </c>
      <c r="B210" s="1" t="n">
        <v>44890</v>
      </c>
      <c r="C210" s="1" t="n">
        <v>45926</v>
      </c>
      <c r="D210" t="inlineStr">
        <is>
          <t>KALMAR LÄN</t>
        </is>
      </c>
      <c r="E210" t="inlineStr">
        <is>
          <t>VIMMERBY</t>
        </is>
      </c>
      <c r="G210" t="n">
        <v>1.5</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45926</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63950-2023</t>
        </is>
      </c>
      <c r="B212" s="1" t="n">
        <v>45278</v>
      </c>
      <c r="C212" s="1" t="n">
        <v>45926</v>
      </c>
      <c r="D212" t="inlineStr">
        <is>
          <t>KALMAR LÄN</t>
        </is>
      </c>
      <c r="E212" t="inlineStr">
        <is>
          <t>VIMMERBY</t>
        </is>
      </c>
      <c r="F212" t="inlineStr">
        <is>
          <t>Kyrkan</t>
        </is>
      </c>
      <c r="G212" t="n">
        <v>2.7</v>
      </c>
      <c r="H212" t="n">
        <v>0</v>
      </c>
      <c r="I212" t="n">
        <v>0</v>
      </c>
      <c r="J212" t="n">
        <v>0</v>
      </c>
      <c r="K212" t="n">
        <v>0</v>
      </c>
      <c r="L212" t="n">
        <v>0</v>
      </c>
      <c r="M212" t="n">
        <v>0</v>
      </c>
      <c r="N212" t="n">
        <v>0</v>
      </c>
      <c r="O212" t="n">
        <v>0</v>
      </c>
      <c r="P212" t="n">
        <v>0</v>
      </c>
      <c r="Q212" t="n">
        <v>0</v>
      </c>
      <c r="R212" s="2" t="inlineStr"/>
    </row>
    <row r="213" ht="15" customHeight="1">
      <c r="A213" t="inlineStr">
        <is>
          <t>A 42850-2022</t>
        </is>
      </c>
      <c r="B213" s="1" t="n">
        <v>44832.67608796297</v>
      </c>
      <c r="C213" s="1" t="n">
        <v>45926</v>
      </c>
      <c r="D213" t="inlineStr">
        <is>
          <t>KALMAR LÄN</t>
        </is>
      </c>
      <c r="E213" t="inlineStr">
        <is>
          <t>VIMMERBY</t>
        </is>
      </c>
      <c r="G213" t="n">
        <v>5.9</v>
      </c>
      <c r="H213" t="n">
        <v>0</v>
      </c>
      <c r="I213" t="n">
        <v>0</v>
      </c>
      <c r="J213" t="n">
        <v>0</v>
      </c>
      <c r="K213" t="n">
        <v>0</v>
      </c>
      <c r="L213" t="n">
        <v>0</v>
      </c>
      <c r="M213" t="n">
        <v>0</v>
      </c>
      <c r="N213" t="n">
        <v>0</v>
      </c>
      <c r="O213" t="n">
        <v>0</v>
      </c>
      <c r="P213" t="n">
        <v>0</v>
      </c>
      <c r="Q213" t="n">
        <v>0</v>
      </c>
      <c r="R213" s="2" t="inlineStr"/>
    </row>
    <row r="214" ht="15" customHeight="1">
      <c r="A214" t="inlineStr">
        <is>
          <t>A 16516-2023</t>
        </is>
      </c>
      <c r="B214" s="1" t="n">
        <v>45029</v>
      </c>
      <c r="C214" s="1" t="n">
        <v>45926</v>
      </c>
      <c r="D214" t="inlineStr">
        <is>
          <t>KALMAR LÄN</t>
        </is>
      </c>
      <c r="E214" t="inlineStr">
        <is>
          <t>VIMMERBY</t>
        </is>
      </c>
      <c r="G214" t="n">
        <v>4.3</v>
      </c>
      <c r="H214" t="n">
        <v>0</v>
      </c>
      <c r="I214" t="n">
        <v>0</v>
      </c>
      <c r="J214" t="n">
        <v>0</v>
      </c>
      <c r="K214" t="n">
        <v>0</v>
      </c>
      <c r="L214" t="n">
        <v>0</v>
      </c>
      <c r="M214" t="n">
        <v>0</v>
      </c>
      <c r="N214" t="n">
        <v>0</v>
      </c>
      <c r="O214" t="n">
        <v>0</v>
      </c>
      <c r="P214" t="n">
        <v>0</v>
      </c>
      <c r="Q214" t="n">
        <v>0</v>
      </c>
      <c r="R214" s="2" t="inlineStr"/>
    </row>
    <row r="215" ht="15" customHeight="1">
      <c r="A215" t="inlineStr">
        <is>
          <t>A 13290-2025</t>
        </is>
      </c>
      <c r="B215" s="1" t="n">
        <v>45735.56751157407</v>
      </c>
      <c r="C215" s="1" t="n">
        <v>45926</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19162-2023</t>
        </is>
      </c>
      <c r="B216" s="1" t="n">
        <v>45048.59699074074</v>
      </c>
      <c r="C216" s="1" t="n">
        <v>45926</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47842-2024</t>
        </is>
      </c>
      <c r="B217" s="1" t="n">
        <v>45588.65545138889</v>
      </c>
      <c r="C217" s="1" t="n">
        <v>45926</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9475-2023</t>
        </is>
      </c>
      <c r="B218" s="1" t="n">
        <v>44981.58834490741</v>
      </c>
      <c r="C218" s="1" t="n">
        <v>45926</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6408-2025</t>
        </is>
      </c>
      <c r="B219" s="1" t="n">
        <v>45699.45671296296</v>
      </c>
      <c r="C219" s="1" t="n">
        <v>45926</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45926</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33380-2023</t>
        </is>
      </c>
      <c r="B221" s="1" t="n">
        <v>45128</v>
      </c>
      <c r="C221" s="1" t="n">
        <v>45926</v>
      </c>
      <c r="D221" t="inlineStr">
        <is>
          <t>KALMAR LÄN</t>
        </is>
      </c>
      <c r="E221" t="inlineStr">
        <is>
          <t>VIMMERBY</t>
        </is>
      </c>
      <c r="G221" t="n">
        <v>5.2</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45926</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45926</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32639-2023</t>
        </is>
      </c>
      <c r="B224" s="1" t="n">
        <v>45121.5965162037</v>
      </c>
      <c r="C224" s="1" t="n">
        <v>45926</v>
      </c>
      <c r="D224" t="inlineStr">
        <is>
          <t>KALMAR LÄN</t>
        </is>
      </c>
      <c r="E224" t="inlineStr">
        <is>
          <t>VIMMERBY</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32642-2023</t>
        </is>
      </c>
      <c r="B225" s="1" t="n">
        <v>45121.59954861111</v>
      </c>
      <c r="C225" s="1" t="n">
        <v>45926</v>
      </c>
      <c r="D225" t="inlineStr">
        <is>
          <t>KALMAR LÄN</t>
        </is>
      </c>
      <c r="E225" t="inlineStr">
        <is>
          <t>VIMMERBY</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32651-2023</t>
        </is>
      </c>
      <c r="B226" s="1" t="n">
        <v>45121.6096875</v>
      </c>
      <c r="C226" s="1" t="n">
        <v>45926</v>
      </c>
      <c r="D226" t="inlineStr">
        <is>
          <t>KALMAR LÄN</t>
        </is>
      </c>
      <c r="E226" t="inlineStr">
        <is>
          <t>VIMMERBY</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11928-2022</t>
        </is>
      </c>
      <c r="B227" s="1" t="n">
        <v>44635</v>
      </c>
      <c r="C227" s="1" t="n">
        <v>45926</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60951-2023</t>
        </is>
      </c>
      <c r="B228" s="1" t="n">
        <v>45261.44914351852</v>
      </c>
      <c r="C228" s="1" t="n">
        <v>45926</v>
      </c>
      <c r="D228" t="inlineStr">
        <is>
          <t>KALMAR LÄN</t>
        </is>
      </c>
      <c r="E228" t="inlineStr">
        <is>
          <t>VIMMERBY</t>
        </is>
      </c>
      <c r="G228" t="n">
        <v>4.3</v>
      </c>
      <c r="H228" t="n">
        <v>0</v>
      </c>
      <c r="I228" t="n">
        <v>0</v>
      </c>
      <c r="J228" t="n">
        <v>0</v>
      </c>
      <c r="K228" t="n">
        <v>0</v>
      </c>
      <c r="L228" t="n">
        <v>0</v>
      </c>
      <c r="M228" t="n">
        <v>0</v>
      </c>
      <c r="N228" t="n">
        <v>0</v>
      </c>
      <c r="O228" t="n">
        <v>0</v>
      </c>
      <c r="P228" t="n">
        <v>0</v>
      </c>
      <c r="Q228" t="n">
        <v>0</v>
      </c>
      <c r="R228" s="2" t="inlineStr"/>
    </row>
    <row r="229" ht="15" customHeight="1">
      <c r="A229" t="inlineStr">
        <is>
          <t>A 60292-2022</t>
        </is>
      </c>
      <c r="B229" s="1" t="n">
        <v>44910.54231481482</v>
      </c>
      <c r="C229" s="1" t="n">
        <v>45926</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7485-2024</t>
        </is>
      </c>
      <c r="B230" s="1" t="n">
        <v>45346.67184027778</v>
      </c>
      <c r="C230" s="1" t="n">
        <v>45926</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12590-2025</t>
        </is>
      </c>
      <c r="B231" s="1" t="n">
        <v>45732.79925925926</v>
      </c>
      <c r="C231" s="1" t="n">
        <v>45926</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7068-2024</t>
        </is>
      </c>
      <c r="B232" s="1" t="n">
        <v>45343.68038194445</v>
      </c>
      <c r="C232" s="1" t="n">
        <v>45926</v>
      </c>
      <c r="D232" t="inlineStr">
        <is>
          <t>KALMAR LÄN</t>
        </is>
      </c>
      <c r="E232" t="inlineStr">
        <is>
          <t>VIMMERBY</t>
        </is>
      </c>
      <c r="G232" t="n">
        <v>2.5</v>
      </c>
      <c r="H232" t="n">
        <v>0</v>
      </c>
      <c r="I232" t="n">
        <v>0</v>
      </c>
      <c r="J232" t="n">
        <v>0</v>
      </c>
      <c r="K232" t="n">
        <v>0</v>
      </c>
      <c r="L232" t="n">
        <v>0</v>
      </c>
      <c r="M232" t="n">
        <v>0</v>
      </c>
      <c r="N232" t="n">
        <v>0</v>
      </c>
      <c r="O232" t="n">
        <v>0</v>
      </c>
      <c r="P232" t="n">
        <v>0</v>
      </c>
      <c r="Q232" t="n">
        <v>0</v>
      </c>
      <c r="R232" s="2" t="inlineStr"/>
    </row>
    <row r="233" ht="15" customHeight="1">
      <c r="A233" t="inlineStr">
        <is>
          <t>A 46234-2024</t>
        </is>
      </c>
      <c r="B233" s="1" t="n">
        <v>45581.57958333333</v>
      </c>
      <c r="C233" s="1" t="n">
        <v>45926</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37187-2024</t>
        </is>
      </c>
      <c r="B234" s="1" t="n">
        <v>45539.65212962963</v>
      </c>
      <c r="C234" s="1" t="n">
        <v>45926</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35710-2023</t>
        </is>
      </c>
      <c r="B235" s="1" t="n">
        <v>45147.67096064815</v>
      </c>
      <c r="C235" s="1" t="n">
        <v>45926</v>
      </c>
      <c r="D235" t="inlineStr">
        <is>
          <t>KALMAR LÄN</t>
        </is>
      </c>
      <c r="E235" t="inlineStr">
        <is>
          <t>VIMMERBY</t>
        </is>
      </c>
      <c r="G235" t="n">
        <v>3.1</v>
      </c>
      <c r="H235" t="n">
        <v>0</v>
      </c>
      <c r="I235" t="n">
        <v>0</v>
      </c>
      <c r="J235" t="n">
        <v>0</v>
      </c>
      <c r="K235" t="n">
        <v>0</v>
      </c>
      <c r="L235" t="n">
        <v>0</v>
      </c>
      <c r="M235" t="n">
        <v>0</v>
      </c>
      <c r="N235" t="n">
        <v>0</v>
      </c>
      <c r="O235" t="n">
        <v>0</v>
      </c>
      <c r="P235" t="n">
        <v>0</v>
      </c>
      <c r="Q235" t="n">
        <v>0</v>
      </c>
      <c r="R235" s="2" t="inlineStr"/>
    </row>
    <row r="236" ht="15" customHeight="1">
      <c r="A236" t="inlineStr">
        <is>
          <t>A 1021-2024</t>
        </is>
      </c>
      <c r="B236" s="1" t="n">
        <v>45301.67736111111</v>
      </c>
      <c r="C236" s="1" t="n">
        <v>45926</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52823-2024</t>
        </is>
      </c>
      <c r="B237" s="1" t="n">
        <v>45610.59094907407</v>
      </c>
      <c r="C237" s="1" t="n">
        <v>45926</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72701-2021</t>
        </is>
      </c>
      <c r="B238" s="1" t="n">
        <v>44546</v>
      </c>
      <c r="C238" s="1" t="n">
        <v>45926</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19111-2025</t>
        </is>
      </c>
      <c r="B239" s="1" t="n">
        <v>45768.65611111111</v>
      </c>
      <c r="C239" s="1" t="n">
        <v>45926</v>
      </c>
      <c r="D239" t="inlineStr">
        <is>
          <t>KALMAR LÄN</t>
        </is>
      </c>
      <c r="E239" t="inlineStr">
        <is>
          <t>VIMMERBY</t>
        </is>
      </c>
      <c r="G239" t="n">
        <v>6.2</v>
      </c>
      <c r="H239" t="n">
        <v>0</v>
      </c>
      <c r="I239" t="n">
        <v>0</v>
      </c>
      <c r="J239" t="n">
        <v>0</v>
      </c>
      <c r="K239" t="n">
        <v>0</v>
      </c>
      <c r="L239" t="n">
        <v>0</v>
      </c>
      <c r="M239" t="n">
        <v>0</v>
      </c>
      <c r="N239" t="n">
        <v>0</v>
      </c>
      <c r="O239" t="n">
        <v>0</v>
      </c>
      <c r="P239" t="n">
        <v>0</v>
      </c>
      <c r="Q239" t="n">
        <v>0</v>
      </c>
      <c r="R239" s="2" t="inlineStr"/>
    </row>
    <row r="240" ht="15" customHeight="1">
      <c r="A240" t="inlineStr">
        <is>
          <t>A 33374-2021</t>
        </is>
      </c>
      <c r="B240" s="1" t="n">
        <v>44377</v>
      </c>
      <c r="C240" s="1" t="n">
        <v>45926</v>
      </c>
      <c r="D240" t="inlineStr">
        <is>
          <t>KALMAR LÄN</t>
        </is>
      </c>
      <c r="E240" t="inlineStr">
        <is>
          <t>VIMMERBY</t>
        </is>
      </c>
      <c r="G240" t="n">
        <v>3.3</v>
      </c>
      <c r="H240" t="n">
        <v>0</v>
      </c>
      <c r="I240" t="n">
        <v>0</v>
      </c>
      <c r="J240" t="n">
        <v>0</v>
      </c>
      <c r="K240" t="n">
        <v>0</v>
      </c>
      <c r="L240" t="n">
        <v>0</v>
      </c>
      <c r="M240" t="n">
        <v>0</v>
      </c>
      <c r="N240" t="n">
        <v>0</v>
      </c>
      <c r="O240" t="n">
        <v>0</v>
      </c>
      <c r="P240" t="n">
        <v>0</v>
      </c>
      <c r="Q240" t="n">
        <v>0</v>
      </c>
      <c r="R240" s="2" t="inlineStr"/>
    </row>
    <row r="241" ht="15" customHeight="1">
      <c r="A241" t="inlineStr">
        <is>
          <t>A 11147-2023</t>
        </is>
      </c>
      <c r="B241" s="1" t="n">
        <v>44992</v>
      </c>
      <c r="C241" s="1" t="n">
        <v>45926</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22399-2025</t>
        </is>
      </c>
      <c r="B242" s="1" t="n">
        <v>45786.52996527778</v>
      </c>
      <c r="C242" s="1" t="n">
        <v>45926</v>
      </c>
      <c r="D242" t="inlineStr">
        <is>
          <t>KALMAR LÄN</t>
        </is>
      </c>
      <c r="E242" t="inlineStr">
        <is>
          <t>VIMMERBY</t>
        </is>
      </c>
      <c r="G242" t="n">
        <v>2.1</v>
      </c>
      <c r="H242" t="n">
        <v>0</v>
      </c>
      <c r="I242" t="n">
        <v>0</v>
      </c>
      <c r="J242" t="n">
        <v>0</v>
      </c>
      <c r="K242" t="n">
        <v>0</v>
      </c>
      <c r="L242" t="n">
        <v>0</v>
      </c>
      <c r="M242" t="n">
        <v>0</v>
      </c>
      <c r="N242" t="n">
        <v>0</v>
      </c>
      <c r="O242" t="n">
        <v>0</v>
      </c>
      <c r="P242" t="n">
        <v>0</v>
      </c>
      <c r="Q242" t="n">
        <v>0</v>
      </c>
      <c r="R242" s="2" t="inlineStr"/>
    </row>
    <row r="243" ht="15" customHeight="1">
      <c r="A243" t="inlineStr">
        <is>
          <t>A 22397-2025</t>
        </is>
      </c>
      <c r="B243" s="1" t="n">
        <v>45786.52878472222</v>
      </c>
      <c r="C243" s="1" t="n">
        <v>45926</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10807-2024</t>
        </is>
      </c>
      <c r="B244" s="1" t="n">
        <v>45369.62780092593</v>
      </c>
      <c r="C244" s="1" t="n">
        <v>45926</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19833-2023</t>
        </is>
      </c>
      <c r="B245" s="1" t="n">
        <v>45052</v>
      </c>
      <c r="C245" s="1" t="n">
        <v>45926</v>
      </c>
      <c r="D245" t="inlineStr">
        <is>
          <t>KALMAR LÄN</t>
        </is>
      </c>
      <c r="E245" t="inlineStr">
        <is>
          <t>VIMMERBY</t>
        </is>
      </c>
      <c r="G245" t="n">
        <v>6.7</v>
      </c>
      <c r="H245" t="n">
        <v>0</v>
      </c>
      <c r="I245" t="n">
        <v>0</v>
      </c>
      <c r="J245" t="n">
        <v>0</v>
      </c>
      <c r="K245" t="n">
        <v>0</v>
      </c>
      <c r="L245" t="n">
        <v>0</v>
      </c>
      <c r="M245" t="n">
        <v>0</v>
      </c>
      <c r="N245" t="n">
        <v>0</v>
      </c>
      <c r="O245" t="n">
        <v>0</v>
      </c>
      <c r="P245" t="n">
        <v>0</v>
      </c>
      <c r="Q245" t="n">
        <v>0</v>
      </c>
      <c r="R245" s="2" t="inlineStr"/>
    </row>
    <row r="246" ht="15" customHeight="1">
      <c r="A246" t="inlineStr">
        <is>
          <t>A 10086-2022</t>
        </is>
      </c>
      <c r="B246" s="1" t="n">
        <v>44621</v>
      </c>
      <c r="C246" s="1" t="n">
        <v>45926</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25582-2024</t>
        </is>
      </c>
      <c r="B247" s="1" t="n">
        <v>45463</v>
      </c>
      <c r="C247" s="1" t="n">
        <v>45926</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33359-2021</t>
        </is>
      </c>
      <c r="B248" s="1" t="n">
        <v>44377.49684027778</v>
      </c>
      <c r="C248" s="1" t="n">
        <v>45926</v>
      </c>
      <c r="D248" t="inlineStr">
        <is>
          <t>KALMAR LÄN</t>
        </is>
      </c>
      <c r="E248" t="inlineStr">
        <is>
          <t>VIMMERBY</t>
        </is>
      </c>
      <c r="F248" t="inlineStr">
        <is>
          <t>Kommuner</t>
        </is>
      </c>
      <c r="G248" t="n">
        <v>8</v>
      </c>
      <c r="H248" t="n">
        <v>0</v>
      </c>
      <c r="I248" t="n">
        <v>0</v>
      </c>
      <c r="J248" t="n">
        <v>0</v>
      </c>
      <c r="K248" t="n">
        <v>0</v>
      </c>
      <c r="L248" t="n">
        <v>0</v>
      </c>
      <c r="M248" t="n">
        <v>0</v>
      </c>
      <c r="N248" t="n">
        <v>0</v>
      </c>
      <c r="O248" t="n">
        <v>0</v>
      </c>
      <c r="P248" t="n">
        <v>0</v>
      </c>
      <c r="Q248" t="n">
        <v>0</v>
      </c>
      <c r="R248" s="2" t="inlineStr"/>
    </row>
    <row r="249" ht="15" customHeight="1">
      <c r="A249" t="inlineStr">
        <is>
          <t>A 34588-2024</t>
        </is>
      </c>
      <c r="B249" s="1" t="n">
        <v>45526.3865625</v>
      </c>
      <c r="C249" s="1" t="n">
        <v>45926</v>
      </c>
      <c r="D249" t="inlineStr">
        <is>
          <t>KALMAR LÄN</t>
        </is>
      </c>
      <c r="E249" t="inlineStr">
        <is>
          <t>VIMMERBY</t>
        </is>
      </c>
      <c r="F249" t="inlineStr">
        <is>
          <t>Övriga Aktiebolag</t>
        </is>
      </c>
      <c r="G249" t="n">
        <v>3.3</v>
      </c>
      <c r="H249" t="n">
        <v>0</v>
      </c>
      <c r="I249" t="n">
        <v>0</v>
      </c>
      <c r="J249" t="n">
        <v>0</v>
      </c>
      <c r="K249" t="n">
        <v>0</v>
      </c>
      <c r="L249" t="n">
        <v>0</v>
      </c>
      <c r="M249" t="n">
        <v>0</v>
      </c>
      <c r="N249" t="n">
        <v>0</v>
      </c>
      <c r="O249" t="n">
        <v>0</v>
      </c>
      <c r="P249" t="n">
        <v>0</v>
      </c>
      <c r="Q249" t="n">
        <v>0</v>
      </c>
      <c r="R249" s="2" t="inlineStr"/>
    </row>
    <row r="250" ht="15" customHeight="1">
      <c r="A250" t="inlineStr">
        <is>
          <t>A 17084-2025</t>
        </is>
      </c>
      <c r="B250" s="1" t="n">
        <v>45755.64450231481</v>
      </c>
      <c r="C250" s="1" t="n">
        <v>45926</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33161-2024</t>
        </is>
      </c>
      <c r="B251" s="1" t="n">
        <v>45518.40657407408</v>
      </c>
      <c r="C251" s="1" t="n">
        <v>45926</v>
      </c>
      <c r="D251" t="inlineStr">
        <is>
          <t>KALMAR LÄN</t>
        </is>
      </c>
      <c r="E251" t="inlineStr">
        <is>
          <t>VIMMERBY</t>
        </is>
      </c>
      <c r="G251" t="n">
        <v>4.7</v>
      </c>
      <c r="H251" t="n">
        <v>0</v>
      </c>
      <c r="I251" t="n">
        <v>0</v>
      </c>
      <c r="J251" t="n">
        <v>0</v>
      </c>
      <c r="K251" t="n">
        <v>0</v>
      </c>
      <c r="L251" t="n">
        <v>0</v>
      </c>
      <c r="M251" t="n">
        <v>0</v>
      </c>
      <c r="N251" t="n">
        <v>0</v>
      </c>
      <c r="O251" t="n">
        <v>0</v>
      </c>
      <c r="P251" t="n">
        <v>0</v>
      </c>
      <c r="Q251" t="n">
        <v>0</v>
      </c>
      <c r="R251" s="2" t="inlineStr"/>
    </row>
    <row r="252" ht="15" customHeight="1">
      <c r="A252" t="inlineStr">
        <is>
          <t>A 65564-2020</t>
        </is>
      </c>
      <c r="B252" s="1" t="n">
        <v>44172</v>
      </c>
      <c r="C252" s="1" t="n">
        <v>45926</v>
      </c>
      <c r="D252" t="inlineStr">
        <is>
          <t>KALMAR LÄN</t>
        </is>
      </c>
      <c r="E252" t="inlineStr">
        <is>
          <t>VIMMERBY</t>
        </is>
      </c>
      <c r="G252" t="n">
        <v>4.1</v>
      </c>
      <c r="H252" t="n">
        <v>0</v>
      </c>
      <c r="I252" t="n">
        <v>0</v>
      </c>
      <c r="J252" t="n">
        <v>0</v>
      </c>
      <c r="K252" t="n">
        <v>0</v>
      </c>
      <c r="L252" t="n">
        <v>0</v>
      </c>
      <c r="M252" t="n">
        <v>0</v>
      </c>
      <c r="N252" t="n">
        <v>0</v>
      </c>
      <c r="O252" t="n">
        <v>0</v>
      </c>
      <c r="P252" t="n">
        <v>0</v>
      </c>
      <c r="Q252" t="n">
        <v>0</v>
      </c>
      <c r="R252" s="2" t="inlineStr"/>
    </row>
    <row r="253" ht="15" customHeight="1">
      <c r="A253" t="inlineStr">
        <is>
          <t>A 14359-2025</t>
        </is>
      </c>
      <c r="B253" s="1" t="n">
        <v>45741.37270833334</v>
      </c>
      <c r="C253" s="1" t="n">
        <v>45926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7075-2021</t>
        </is>
      </c>
      <c r="B254" s="1" t="n">
        <v>44237</v>
      </c>
      <c r="C254" s="1" t="n">
        <v>45926</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14548-2024</t>
        </is>
      </c>
      <c r="B255" s="1" t="n">
        <v>45394.66887731481</v>
      </c>
      <c r="C255" s="1" t="n">
        <v>45926</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585-2024</t>
        </is>
      </c>
      <c r="B256" s="1" t="n">
        <v>45299.62576388889</v>
      </c>
      <c r="C256" s="1" t="n">
        <v>45926</v>
      </c>
      <c r="D256" t="inlineStr">
        <is>
          <t>KALMAR LÄN</t>
        </is>
      </c>
      <c r="E256" t="inlineStr">
        <is>
          <t>VIMMERBY</t>
        </is>
      </c>
      <c r="G256" t="n">
        <v>0.7</v>
      </c>
      <c r="H256" t="n">
        <v>0</v>
      </c>
      <c r="I256" t="n">
        <v>0</v>
      </c>
      <c r="J256" t="n">
        <v>0</v>
      </c>
      <c r="K256" t="n">
        <v>0</v>
      </c>
      <c r="L256" t="n">
        <v>0</v>
      </c>
      <c r="M256" t="n">
        <v>0</v>
      </c>
      <c r="N256" t="n">
        <v>0</v>
      </c>
      <c r="O256" t="n">
        <v>0</v>
      </c>
      <c r="P256" t="n">
        <v>0</v>
      </c>
      <c r="Q256" t="n">
        <v>0</v>
      </c>
      <c r="R256" s="2" t="inlineStr"/>
    </row>
    <row r="257" ht="15" customHeight="1">
      <c r="A257" t="inlineStr">
        <is>
          <t>A 56020-2024</t>
        </is>
      </c>
      <c r="B257" s="1" t="n">
        <v>45623.9525462963</v>
      </c>
      <c r="C257" s="1" t="n">
        <v>45926</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23252-2024</t>
        </is>
      </c>
      <c r="B258" s="1" t="n">
        <v>45453.36067129629</v>
      </c>
      <c r="C258" s="1" t="n">
        <v>45926</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57578-2024</t>
        </is>
      </c>
      <c r="B259" s="1" t="n">
        <v>45630.47564814815</v>
      </c>
      <c r="C259" s="1" t="n">
        <v>45926</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15550-2023</t>
        </is>
      </c>
      <c r="B260" s="1" t="n">
        <v>45020</v>
      </c>
      <c r="C260" s="1" t="n">
        <v>45926</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55605-2024</t>
        </is>
      </c>
      <c r="B261" s="1" t="n">
        <v>45622</v>
      </c>
      <c r="C261" s="1" t="n">
        <v>45926</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44464-2024</t>
        </is>
      </c>
      <c r="B262" s="1" t="n">
        <v>45574.35809027778</v>
      </c>
      <c r="C262" s="1" t="n">
        <v>45926</v>
      </c>
      <c r="D262" t="inlineStr">
        <is>
          <t>KALMAR LÄN</t>
        </is>
      </c>
      <c r="E262" t="inlineStr">
        <is>
          <t>VIMMERBY</t>
        </is>
      </c>
      <c r="G262" t="n">
        <v>0.7</v>
      </c>
      <c r="H262" t="n">
        <v>0</v>
      </c>
      <c r="I262" t="n">
        <v>0</v>
      </c>
      <c r="J262" t="n">
        <v>0</v>
      </c>
      <c r="K262" t="n">
        <v>0</v>
      </c>
      <c r="L262" t="n">
        <v>0</v>
      </c>
      <c r="M262" t="n">
        <v>0</v>
      </c>
      <c r="N262" t="n">
        <v>0</v>
      </c>
      <c r="O262" t="n">
        <v>0</v>
      </c>
      <c r="P262" t="n">
        <v>0</v>
      </c>
      <c r="Q262" t="n">
        <v>0</v>
      </c>
      <c r="R262" s="2" t="inlineStr"/>
    </row>
    <row r="263" ht="15" customHeight="1">
      <c r="A263" t="inlineStr">
        <is>
          <t>A 11219-2023</t>
        </is>
      </c>
      <c r="B263" s="1" t="n">
        <v>44992.62498842592</v>
      </c>
      <c r="C263" s="1" t="n">
        <v>45926</v>
      </c>
      <c r="D263" t="inlineStr">
        <is>
          <t>KALMAR LÄN</t>
        </is>
      </c>
      <c r="E263" t="inlineStr">
        <is>
          <t>VIMMERBY</t>
        </is>
      </c>
      <c r="G263" t="n">
        <v>2.5</v>
      </c>
      <c r="H263" t="n">
        <v>0</v>
      </c>
      <c r="I263" t="n">
        <v>0</v>
      </c>
      <c r="J263" t="n">
        <v>0</v>
      </c>
      <c r="K263" t="n">
        <v>0</v>
      </c>
      <c r="L263" t="n">
        <v>0</v>
      </c>
      <c r="M263" t="n">
        <v>0</v>
      </c>
      <c r="N263" t="n">
        <v>0</v>
      </c>
      <c r="O263" t="n">
        <v>0</v>
      </c>
      <c r="P263" t="n">
        <v>0</v>
      </c>
      <c r="Q263" t="n">
        <v>0</v>
      </c>
      <c r="R263" s="2" t="inlineStr"/>
    </row>
    <row r="264" ht="15" customHeight="1">
      <c r="A264" t="inlineStr">
        <is>
          <t>A 18411-2021</t>
        </is>
      </c>
      <c r="B264" s="1" t="n">
        <v>44302</v>
      </c>
      <c r="C264" s="1" t="n">
        <v>45926</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47855-2024</t>
        </is>
      </c>
      <c r="B265" s="1" t="n">
        <v>45588.66457175926</v>
      </c>
      <c r="C265" s="1" t="n">
        <v>45926</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36049-2024</t>
        </is>
      </c>
      <c r="B266" s="1" t="n">
        <v>45533.61996527778</v>
      </c>
      <c r="C266" s="1" t="n">
        <v>45926</v>
      </c>
      <c r="D266" t="inlineStr">
        <is>
          <t>KALMAR LÄN</t>
        </is>
      </c>
      <c r="E266" t="inlineStr">
        <is>
          <t>VIMMERBY</t>
        </is>
      </c>
      <c r="F266" t="inlineStr">
        <is>
          <t>Kommuner</t>
        </is>
      </c>
      <c r="G266" t="n">
        <v>2.6</v>
      </c>
      <c r="H266" t="n">
        <v>0</v>
      </c>
      <c r="I266" t="n">
        <v>0</v>
      </c>
      <c r="J266" t="n">
        <v>0</v>
      </c>
      <c r="K266" t="n">
        <v>0</v>
      </c>
      <c r="L266" t="n">
        <v>0</v>
      </c>
      <c r="M266" t="n">
        <v>0</v>
      </c>
      <c r="N266" t="n">
        <v>0</v>
      </c>
      <c r="O266" t="n">
        <v>0</v>
      </c>
      <c r="P266" t="n">
        <v>0</v>
      </c>
      <c r="Q266" t="n">
        <v>0</v>
      </c>
      <c r="R266" s="2" t="inlineStr"/>
    </row>
    <row r="267" ht="15" customHeight="1">
      <c r="A267" t="inlineStr">
        <is>
          <t>A 4297-2022</t>
        </is>
      </c>
      <c r="B267" s="1" t="n">
        <v>44588</v>
      </c>
      <c r="C267" s="1" t="n">
        <v>45926</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172-2022</t>
        </is>
      </c>
      <c r="B268" s="1" t="n">
        <v>44564.62598379629</v>
      </c>
      <c r="C268" s="1" t="n">
        <v>45926</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39584-2024</t>
        </is>
      </c>
      <c r="B269" s="1" t="n">
        <v>45552.36759259259</v>
      </c>
      <c r="C269" s="1" t="n">
        <v>45926</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6307-2025</t>
        </is>
      </c>
      <c r="B270" s="1" t="n">
        <v>45698.69016203703</v>
      </c>
      <c r="C270" s="1" t="n">
        <v>45926</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46399-2024</t>
        </is>
      </c>
      <c r="B271" s="1" t="n">
        <v>45582.41200231481</v>
      </c>
      <c r="C271" s="1" t="n">
        <v>45926</v>
      </c>
      <c r="D271" t="inlineStr">
        <is>
          <t>KALMAR LÄN</t>
        </is>
      </c>
      <c r="E271" t="inlineStr">
        <is>
          <t>VIMMERBY</t>
        </is>
      </c>
      <c r="G271" t="n">
        <v>4.6</v>
      </c>
      <c r="H271" t="n">
        <v>0</v>
      </c>
      <c r="I271" t="n">
        <v>0</v>
      </c>
      <c r="J271" t="n">
        <v>0</v>
      </c>
      <c r="K271" t="n">
        <v>0</v>
      </c>
      <c r="L271" t="n">
        <v>0</v>
      </c>
      <c r="M271" t="n">
        <v>0</v>
      </c>
      <c r="N271" t="n">
        <v>0</v>
      </c>
      <c r="O271" t="n">
        <v>0</v>
      </c>
      <c r="P271" t="n">
        <v>0</v>
      </c>
      <c r="Q271" t="n">
        <v>0</v>
      </c>
      <c r="R271" s="2" t="inlineStr"/>
    </row>
    <row r="272" ht="15" customHeight="1">
      <c r="A272" t="inlineStr">
        <is>
          <t>A 51881-2024</t>
        </is>
      </c>
      <c r="B272" s="1" t="n">
        <v>45607.56773148148</v>
      </c>
      <c r="C272" s="1" t="n">
        <v>45926</v>
      </c>
      <c r="D272" t="inlineStr">
        <is>
          <t>KALMAR LÄN</t>
        </is>
      </c>
      <c r="E272" t="inlineStr">
        <is>
          <t>VIMMERBY</t>
        </is>
      </c>
      <c r="G272" t="n">
        <v>3.4</v>
      </c>
      <c r="H272" t="n">
        <v>0</v>
      </c>
      <c r="I272" t="n">
        <v>0</v>
      </c>
      <c r="J272" t="n">
        <v>0</v>
      </c>
      <c r="K272" t="n">
        <v>0</v>
      </c>
      <c r="L272" t="n">
        <v>0</v>
      </c>
      <c r="M272" t="n">
        <v>0</v>
      </c>
      <c r="N272" t="n">
        <v>0</v>
      </c>
      <c r="O272" t="n">
        <v>0</v>
      </c>
      <c r="P272" t="n">
        <v>0</v>
      </c>
      <c r="Q272" t="n">
        <v>0</v>
      </c>
      <c r="R272" s="2" t="inlineStr"/>
    </row>
    <row r="273" ht="15" customHeight="1">
      <c r="A273" t="inlineStr">
        <is>
          <t>A 2596-2025</t>
        </is>
      </c>
      <c r="B273" s="1" t="n">
        <v>45674.71810185185</v>
      </c>
      <c r="C273" s="1" t="n">
        <v>45926</v>
      </c>
      <c r="D273" t="inlineStr">
        <is>
          <t>KALMAR LÄN</t>
        </is>
      </c>
      <c r="E273" t="inlineStr">
        <is>
          <t>VIMMERBY</t>
        </is>
      </c>
      <c r="G273" t="n">
        <v>9</v>
      </c>
      <c r="H273" t="n">
        <v>0</v>
      </c>
      <c r="I273" t="n">
        <v>0</v>
      </c>
      <c r="J273" t="n">
        <v>0</v>
      </c>
      <c r="K273" t="n">
        <v>0</v>
      </c>
      <c r="L273" t="n">
        <v>0</v>
      </c>
      <c r="M273" t="n">
        <v>0</v>
      </c>
      <c r="N273" t="n">
        <v>0</v>
      </c>
      <c r="O273" t="n">
        <v>0</v>
      </c>
      <c r="P273" t="n">
        <v>0</v>
      </c>
      <c r="Q273" t="n">
        <v>0</v>
      </c>
      <c r="R273" s="2" t="inlineStr"/>
    </row>
    <row r="274" ht="15" customHeight="1">
      <c r="A274" t="inlineStr">
        <is>
          <t>A 11442-2025</t>
        </is>
      </c>
      <c r="B274" s="1" t="n">
        <v>45726.62721064815</v>
      </c>
      <c r="C274" s="1" t="n">
        <v>45926</v>
      </c>
      <c r="D274" t="inlineStr">
        <is>
          <t>KALMAR LÄN</t>
        </is>
      </c>
      <c r="E274" t="inlineStr">
        <is>
          <t>VIMMERBY</t>
        </is>
      </c>
      <c r="G274" t="n">
        <v>2.6</v>
      </c>
      <c r="H274" t="n">
        <v>0</v>
      </c>
      <c r="I274" t="n">
        <v>0</v>
      </c>
      <c r="J274" t="n">
        <v>0</v>
      </c>
      <c r="K274" t="n">
        <v>0</v>
      </c>
      <c r="L274" t="n">
        <v>0</v>
      </c>
      <c r="M274" t="n">
        <v>0</v>
      </c>
      <c r="N274" t="n">
        <v>0</v>
      </c>
      <c r="O274" t="n">
        <v>0</v>
      </c>
      <c r="P274" t="n">
        <v>0</v>
      </c>
      <c r="Q274" t="n">
        <v>0</v>
      </c>
      <c r="R274" s="2" t="inlineStr"/>
    </row>
    <row r="275" ht="15" customHeight="1">
      <c r="A275" t="inlineStr">
        <is>
          <t>A 53145-2022</t>
        </is>
      </c>
      <c r="B275" s="1" t="n">
        <v>44876.48346064815</v>
      </c>
      <c r="C275" s="1" t="n">
        <v>45926</v>
      </c>
      <c r="D275" t="inlineStr">
        <is>
          <t>KALMAR LÄN</t>
        </is>
      </c>
      <c r="E275" t="inlineStr">
        <is>
          <t>VIMMERBY</t>
        </is>
      </c>
      <c r="G275" t="n">
        <v>0.4</v>
      </c>
      <c r="H275" t="n">
        <v>0</v>
      </c>
      <c r="I275" t="n">
        <v>0</v>
      </c>
      <c r="J275" t="n">
        <v>0</v>
      </c>
      <c r="K275" t="n">
        <v>0</v>
      </c>
      <c r="L275" t="n">
        <v>0</v>
      </c>
      <c r="M275" t="n">
        <v>0</v>
      </c>
      <c r="N275" t="n">
        <v>0</v>
      </c>
      <c r="O275" t="n">
        <v>0</v>
      </c>
      <c r="P275" t="n">
        <v>0</v>
      </c>
      <c r="Q275" t="n">
        <v>0</v>
      </c>
      <c r="R275" s="2" t="inlineStr"/>
    </row>
    <row r="276" ht="15" customHeight="1">
      <c r="A276" t="inlineStr">
        <is>
          <t>A 25738-2022</t>
        </is>
      </c>
      <c r="B276" s="1" t="n">
        <v>44733.43092592592</v>
      </c>
      <c r="C276" s="1" t="n">
        <v>45926</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16734-2023</t>
        </is>
      </c>
      <c r="B277" s="1" t="n">
        <v>45030.71012731481</v>
      </c>
      <c r="C277" s="1" t="n">
        <v>45926</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13532-2025</t>
        </is>
      </c>
      <c r="B278" s="1" t="n">
        <v>45736.50743055555</v>
      </c>
      <c r="C278" s="1" t="n">
        <v>45926</v>
      </c>
      <c r="D278" t="inlineStr">
        <is>
          <t>KALMAR LÄN</t>
        </is>
      </c>
      <c r="E278" t="inlineStr">
        <is>
          <t>VIMMERBY</t>
        </is>
      </c>
      <c r="G278" t="n">
        <v>3.6</v>
      </c>
      <c r="H278" t="n">
        <v>0</v>
      </c>
      <c r="I278" t="n">
        <v>0</v>
      </c>
      <c r="J278" t="n">
        <v>0</v>
      </c>
      <c r="K278" t="n">
        <v>0</v>
      </c>
      <c r="L278" t="n">
        <v>0</v>
      </c>
      <c r="M278" t="n">
        <v>0</v>
      </c>
      <c r="N278" t="n">
        <v>0</v>
      </c>
      <c r="O278" t="n">
        <v>0</v>
      </c>
      <c r="P278" t="n">
        <v>0</v>
      </c>
      <c r="Q278" t="n">
        <v>0</v>
      </c>
      <c r="R278" s="2" t="inlineStr"/>
    </row>
    <row r="279" ht="15" customHeight="1">
      <c r="A279" t="inlineStr">
        <is>
          <t>A 43038-2022</t>
        </is>
      </c>
      <c r="B279" s="1" t="n">
        <v>44833.60123842592</v>
      </c>
      <c r="C279" s="1" t="n">
        <v>45926</v>
      </c>
      <c r="D279" t="inlineStr">
        <is>
          <t>KALMAR LÄN</t>
        </is>
      </c>
      <c r="E279" t="inlineStr">
        <is>
          <t>VIMMERBY</t>
        </is>
      </c>
      <c r="G279" t="n">
        <v>4.2</v>
      </c>
      <c r="H279" t="n">
        <v>0</v>
      </c>
      <c r="I279" t="n">
        <v>0</v>
      </c>
      <c r="J279" t="n">
        <v>0</v>
      </c>
      <c r="K279" t="n">
        <v>0</v>
      </c>
      <c r="L279" t="n">
        <v>0</v>
      </c>
      <c r="M279" t="n">
        <v>0</v>
      </c>
      <c r="N279" t="n">
        <v>0</v>
      </c>
      <c r="O279" t="n">
        <v>0</v>
      </c>
      <c r="P279" t="n">
        <v>0</v>
      </c>
      <c r="Q279" t="n">
        <v>0</v>
      </c>
      <c r="R279" s="2" t="inlineStr"/>
    </row>
    <row r="280" ht="15" customHeight="1">
      <c r="A280" t="inlineStr">
        <is>
          <t>A 20129-2024</t>
        </is>
      </c>
      <c r="B280" s="1" t="n">
        <v>45434.55831018519</v>
      </c>
      <c r="C280" s="1" t="n">
        <v>45926</v>
      </c>
      <c r="D280" t="inlineStr">
        <is>
          <t>KALMAR LÄN</t>
        </is>
      </c>
      <c r="E280" t="inlineStr">
        <is>
          <t>VIMMERBY</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20137-2024</t>
        </is>
      </c>
      <c r="B281" s="1" t="n">
        <v>45434.56398148148</v>
      </c>
      <c r="C281" s="1" t="n">
        <v>45926</v>
      </c>
      <c r="D281" t="inlineStr">
        <is>
          <t>KALMAR LÄN</t>
        </is>
      </c>
      <c r="E281" t="inlineStr">
        <is>
          <t>VIMMERBY</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7456-2024</t>
        </is>
      </c>
      <c r="B282" s="1" t="n">
        <v>45345.83557870371</v>
      </c>
      <c r="C282" s="1" t="n">
        <v>45926</v>
      </c>
      <c r="D282" t="inlineStr">
        <is>
          <t>KALMAR LÄN</t>
        </is>
      </c>
      <c r="E282" t="inlineStr">
        <is>
          <t>VIMMERBY</t>
        </is>
      </c>
      <c r="G282" t="n">
        <v>4.1</v>
      </c>
      <c r="H282" t="n">
        <v>0</v>
      </c>
      <c r="I282" t="n">
        <v>0</v>
      </c>
      <c r="J282" t="n">
        <v>0</v>
      </c>
      <c r="K282" t="n">
        <v>0</v>
      </c>
      <c r="L282" t="n">
        <v>0</v>
      </c>
      <c r="M282" t="n">
        <v>0</v>
      </c>
      <c r="N282" t="n">
        <v>0</v>
      </c>
      <c r="O282" t="n">
        <v>0</v>
      </c>
      <c r="P282" t="n">
        <v>0</v>
      </c>
      <c r="Q282" t="n">
        <v>0</v>
      </c>
      <c r="R282" s="2" t="inlineStr"/>
    </row>
    <row r="283" ht="15" customHeight="1">
      <c r="A283" t="inlineStr">
        <is>
          <t>A 12596-2021</t>
        </is>
      </c>
      <c r="B283" s="1" t="n">
        <v>44270.39765046296</v>
      </c>
      <c r="C283" s="1" t="n">
        <v>45926</v>
      </c>
      <c r="D283" t="inlineStr">
        <is>
          <t>KALMAR LÄN</t>
        </is>
      </c>
      <c r="E283" t="inlineStr">
        <is>
          <t>VIMMERBY</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52324-2023</t>
        </is>
      </c>
      <c r="B284" s="1" t="n">
        <v>45224.64659722222</v>
      </c>
      <c r="C284" s="1" t="n">
        <v>45926</v>
      </c>
      <c r="D284" t="inlineStr">
        <is>
          <t>KALMAR LÄN</t>
        </is>
      </c>
      <c r="E284" t="inlineStr">
        <is>
          <t>VIMMERBY</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57799-2022</t>
        </is>
      </c>
      <c r="B285" s="1" t="n">
        <v>44897</v>
      </c>
      <c r="C285" s="1" t="n">
        <v>45926</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8194-2022</t>
        </is>
      </c>
      <c r="B286" s="1" t="n">
        <v>44609</v>
      </c>
      <c r="C286" s="1" t="n">
        <v>45926</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17988-2025</t>
        </is>
      </c>
      <c r="B287" s="1" t="n">
        <v>45761.39600694444</v>
      </c>
      <c r="C287" s="1" t="n">
        <v>45926</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15191-2021</t>
        </is>
      </c>
      <c r="B288" s="1" t="n">
        <v>44284.42348379629</v>
      </c>
      <c r="C288" s="1" t="n">
        <v>45926</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30921-2024</t>
        </is>
      </c>
      <c r="B289" s="1" t="n">
        <v>45498</v>
      </c>
      <c r="C289" s="1" t="n">
        <v>45926</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23341-2022</t>
        </is>
      </c>
      <c r="B290" s="1" t="n">
        <v>44720.53898148148</v>
      </c>
      <c r="C290" s="1" t="n">
        <v>45926</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40971-2021</t>
        </is>
      </c>
      <c r="B291" s="1" t="n">
        <v>44421</v>
      </c>
      <c r="C291" s="1" t="n">
        <v>45926</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68744-2020</t>
        </is>
      </c>
      <c r="B292" s="1" t="n">
        <v>44186</v>
      </c>
      <c r="C292" s="1" t="n">
        <v>45926</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45926</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13457-2021</t>
        </is>
      </c>
      <c r="B294" s="1" t="n">
        <v>44273</v>
      </c>
      <c r="C294" s="1" t="n">
        <v>45926</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23394-2025</t>
        </is>
      </c>
      <c r="B295" s="1" t="n">
        <v>45791.89865740741</v>
      </c>
      <c r="C295" s="1" t="n">
        <v>45926</v>
      </c>
      <c r="D295" t="inlineStr">
        <is>
          <t>KALMAR LÄN</t>
        </is>
      </c>
      <c r="E295" t="inlineStr">
        <is>
          <t>VIMMERBY</t>
        </is>
      </c>
      <c r="G295" t="n">
        <v>3.1</v>
      </c>
      <c r="H295" t="n">
        <v>0</v>
      </c>
      <c r="I295" t="n">
        <v>0</v>
      </c>
      <c r="J295" t="n">
        <v>0</v>
      </c>
      <c r="K295" t="n">
        <v>0</v>
      </c>
      <c r="L295" t="n">
        <v>0</v>
      </c>
      <c r="M295" t="n">
        <v>0</v>
      </c>
      <c r="N295" t="n">
        <v>0</v>
      </c>
      <c r="O295" t="n">
        <v>0</v>
      </c>
      <c r="P295" t="n">
        <v>0</v>
      </c>
      <c r="Q295" t="n">
        <v>0</v>
      </c>
      <c r="R295" s="2" t="inlineStr"/>
    </row>
    <row r="296" ht="15" customHeight="1">
      <c r="A296" t="inlineStr">
        <is>
          <t>A 14137-2023</t>
        </is>
      </c>
      <c r="B296" s="1" t="n">
        <v>45009.4671875</v>
      </c>
      <c r="C296" s="1" t="n">
        <v>45926</v>
      </c>
      <c r="D296" t="inlineStr">
        <is>
          <t>KALMAR LÄN</t>
        </is>
      </c>
      <c r="E296" t="inlineStr">
        <is>
          <t>VIMMERBY</t>
        </is>
      </c>
      <c r="G296" t="n">
        <v>1.3</v>
      </c>
      <c r="H296" t="n">
        <v>0</v>
      </c>
      <c r="I296" t="n">
        <v>0</v>
      </c>
      <c r="J296" t="n">
        <v>0</v>
      </c>
      <c r="K296" t="n">
        <v>0</v>
      </c>
      <c r="L296" t="n">
        <v>0</v>
      </c>
      <c r="M296" t="n">
        <v>0</v>
      </c>
      <c r="N296" t="n">
        <v>0</v>
      </c>
      <c r="O296" t="n">
        <v>0</v>
      </c>
      <c r="P296" t="n">
        <v>0</v>
      </c>
      <c r="Q296" t="n">
        <v>0</v>
      </c>
      <c r="R296" s="2" t="inlineStr"/>
    </row>
    <row r="297" ht="15" customHeight="1">
      <c r="A297" t="inlineStr">
        <is>
          <t>A 6668-2023</t>
        </is>
      </c>
      <c r="B297" s="1" t="n">
        <v>44966</v>
      </c>
      <c r="C297" s="1" t="n">
        <v>45926</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29168-2024</t>
        </is>
      </c>
      <c r="B298" s="1" t="n">
        <v>45482.49870370371</v>
      </c>
      <c r="C298" s="1" t="n">
        <v>45926</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8086-2021</t>
        </is>
      </c>
      <c r="B299" s="1" t="n">
        <v>44243</v>
      </c>
      <c r="C299" s="1" t="n">
        <v>45926</v>
      </c>
      <c r="D299" t="inlineStr">
        <is>
          <t>KALMAR LÄN</t>
        </is>
      </c>
      <c r="E299" t="inlineStr">
        <is>
          <t>VIMMERBY</t>
        </is>
      </c>
      <c r="G299" t="n">
        <v>4.1</v>
      </c>
      <c r="H299" t="n">
        <v>0</v>
      </c>
      <c r="I299" t="n">
        <v>0</v>
      </c>
      <c r="J299" t="n">
        <v>0</v>
      </c>
      <c r="K299" t="n">
        <v>0</v>
      </c>
      <c r="L299" t="n">
        <v>0</v>
      </c>
      <c r="M299" t="n">
        <v>0</v>
      </c>
      <c r="N299" t="n">
        <v>0</v>
      </c>
      <c r="O299" t="n">
        <v>0</v>
      </c>
      <c r="P299" t="n">
        <v>0</v>
      </c>
      <c r="Q299" t="n">
        <v>0</v>
      </c>
      <c r="R299" s="2" t="inlineStr"/>
    </row>
    <row r="300" ht="15" customHeight="1">
      <c r="A300" t="inlineStr">
        <is>
          <t>A 14278-2021</t>
        </is>
      </c>
      <c r="B300" s="1" t="n">
        <v>44278.63479166666</v>
      </c>
      <c r="C300" s="1" t="n">
        <v>45926</v>
      </c>
      <c r="D300" t="inlineStr">
        <is>
          <t>KALMAR LÄN</t>
        </is>
      </c>
      <c r="E300" t="inlineStr">
        <is>
          <t>VIMMERBY</t>
        </is>
      </c>
      <c r="F300" t="inlineStr">
        <is>
          <t>Övriga statliga verk och myndigheter</t>
        </is>
      </c>
      <c r="G300" t="n">
        <v>0.8</v>
      </c>
      <c r="H300" t="n">
        <v>0</v>
      </c>
      <c r="I300" t="n">
        <v>0</v>
      </c>
      <c r="J300" t="n">
        <v>0</v>
      </c>
      <c r="K300" t="n">
        <v>0</v>
      </c>
      <c r="L300" t="n">
        <v>0</v>
      </c>
      <c r="M300" t="n">
        <v>0</v>
      </c>
      <c r="N300" t="n">
        <v>0</v>
      </c>
      <c r="O300" t="n">
        <v>0</v>
      </c>
      <c r="P300" t="n">
        <v>0</v>
      </c>
      <c r="Q300" t="n">
        <v>0</v>
      </c>
      <c r="R300" s="2" t="inlineStr"/>
    </row>
    <row r="301" ht="15" customHeight="1">
      <c r="A301" t="inlineStr">
        <is>
          <t>A 55236-2023</t>
        </is>
      </c>
      <c r="B301" s="1" t="n">
        <v>45237.63225694445</v>
      </c>
      <c r="C301" s="1" t="n">
        <v>45926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55245-2023</t>
        </is>
      </c>
      <c r="B302" s="1" t="n">
        <v>45237.64408564815</v>
      </c>
      <c r="C302" s="1" t="n">
        <v>45926</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36055-2024</t>
        </is>
      </c>
      <c r="B303" s="1" t="n">
        <v>45533.63056712963</v>
      </c>
      <c r="C303" s="1" t="n">
        <v>45926</v>
      </c>
      <c r="D303" t="inlineStr">
        <is>
          <t>KALMAR LÄN</t>
        </is>
      </c>
      <c r="E303" t="inlineStr">
        <is>
          <t>VIMMERBY</t>
        </is>
      </c>
      <c r="F303" t="inlineStr">
        <is>
          <t>Kommuner</t>
        </is>
      </c>
      <c r="G303" t="n">
        <v>1.9</v>
      </c>
      <c r="H303" t="n">
        <v>0</v>
      </c>
      <c r="I303" t="n">
        <v>0</v>
      </c>
      <c r="J303" t="n">
        <v>0</v>
      </c>
      <c r="K303" t="n">
        <v>0</v>
      </c>
      <c r="L303" t="n">
        <v>0</v>
      </c>
      <c r="M303" t="n">
        <v>0</v>
      </c>
      <c r="N303" t="n">
        <v>0</v>
      </c>
      <c r="O303" t="n">
        <v>0</v>
      </c>
      <c r="P303" t="n">
        <v>0</v>
      </c>
      <c r="Q303" t="n">
        <v>0</v>
      </c>
      <c r="R303" s="2" t="inlineStr"/>
    </row>
    <row r="304" ht="15" customHeight="1">
      <c r="A304" t="inlineStr">
        <is>
          <t>A 11152-2023</t>
        </is>
      </c>
      <c r="B304" s="1" t="n">
        <v>44992</v>
      </c>
      <c r="C304" s="1" t="n">
        <v>45926</v>
      </c>
      <c r="D304" t="inlineStr">
        <is>
          <t>KALMAR LÄN</t>
        </is>
      </c>
      <c r="E304" t="inlineStr">
        <is>
          <t>VIMMERBY</t>
        </is>
      </c>
      <c r="G304" t="n">
        <v>10.6</v>
      </c>
      <c r="H304" t="n">
        <v>0</v>
      </c>
      <c r="I304" t="n">
        <v>0</v>
      </c>
      <c r="J304" t="n">
        <v>0</v>
      </c>
      <c r="K304" t="n">
        <v>0</v>
      </c>
      <c r="L304" t="n">
        <v>0</v>
      </c>
      <c r="M304" t="n">
        <v>0</v>
      </c>
      <c r="N304" t="n">
        <v>0</v>
      </c>
      <c r="O304" t="n">
        <v>0</v>
      </c>
      <c r="P304" t="n">
        <v>0</v>
      </c>
      <c r="Q304" t="n">
        <v>0</v>
      </c>
      <c r="R304" s="2" t="inlineStr"/>
    </row>
    <row r="305" ht="15" customHeight="1">
      <c r="A305" t="inlineStr">
        <is>
          <t>A 12499-2023</t>
        </is>
      </c>
      <c r="B305" s="1" t="n">
        <v>44999.86172453704</v>
      </c>
      <c r="C305" s="1" t="n">
        <v>45926</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12500-2023</t>
        </is>
      </c>
      <c r="B306" s="1" t="n">
        <v>44999.8625</v>
      </c>
      <c r="C306" s="1" t="n">
        <v>45926</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35846-2023</t>
        </is>
      </c>
      <c r="B307" s="1" t="n">
        <v>45148</v>
      </c>
      <c r="C307" s="1" t="n">
        <v>45926</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49039-2021</t>
        </is>
      </c>
      <c r="B308" s="1" t="n">
        <v>44453.56578703703</v>
      </c>
      <c r="C308" s="1" t="n">
        <v>45926</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8453-2022</t>
        </is>
      </c>
      <c r="B309" s="1" t="n">
        <v>44612.86554398148</v>
      </c>
      <c r="C309" s="1" t="n">
        <v>45926</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52433-2021</t>
        </is>
      </c>
      <c r="B310" s="1" t="n">
        <v>44466.34726851852</v>
      </c>
      <c r="C310" s="1" t="n">
        <v>45926</v>
      </c>
      <c r="D310" t="inlineStr">
        <is>
          <t>KALMAR LÄN</t>
        </is>
      </c>
      <c r="E310" t="inlineStr">
        <is>
          <t>VIMMERBY</t>
        </is>
      </c>
      <c r="G310" t="n">
        <v>3.5</v>
      </c>
      <c r="H310" t="n">
        <v>0</v>
      </c>
      <c r="I310" t="n">
        <v>0</v>
      </c>
      <c r="J310" t="n">
        <v>0</v>
      </c>
      <c r="K310" t="n">
        <v>0</v>
      </c>
      <c r="L310" t="n">
        <v>0</v>
      </c>
      <c r="M310" t="n">
        <v>0</v>
      </c>
      <c r="N310" t="n">
        <v>0</v>
      </c>
      <c r="O310" t="n">
        <v>0</v>
      </c>
      <c r="P310" t="n">
        <v>0</v>
      </c>
      <c r="Q310" t="n">
        <v>0</v>
      </c>
      <c r="R310" s="2" t="inlineStr"/>
    </row>
    <row r="311" ht="15" customHeight="1">
      <c r="A311" t="inlineStr">
        <is>
          <t>A 23984-2025</t>
        </is>
      </c>
      <c r="B311" s="1" t="n">
        <v>45796</v>
      </c>
      <c r="C311" s="1" t="n">
        <v>45926</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50621-2022</t>
        </is>
      </c>
      <c r="B312" s="1" t="n">
        <v>44866.81100694444</v>
      </c>
      <c r="C312" s="1" t="n">
        <v>45926</v>
      </c>
      <c r="D312" t="inlineStr">
        <is>
          <t>KALMAR LÄN</t>
        </is>
      </c>
      <c r="E312" t="inlineStr">
        <is>
          <t>VIMMERBY</t>
        </is>
      </c>
      <c r="F312" t="inlineStr">
        <is>
          <t>Övriga Aktiebolag</t>
        </is>
      </c>
      <c r="G312" t="n">
        <v>5.1</v>
      </c>
      <c r="H312" t="n">
        <v>0</v>
      </c>
      <c r="I312" t="n">
        <v>0</v>
      </c>
      <c r="J312" t="n">
        <v>0</v>
      </c>
      <c r="K312" t="n">
        <v>0</v>
      </c>
      <c r="L312" t="n">
        <v>0</v>
      </c>
      <c r="M312" t="n">
        <v>0</v>
      </c>
      <c r="N312" t="n">
        <v>0</v>
      </c>
      <c r="O312" t="n">
        <v>0</v>
      </c>
      <c r="P312" t="n">
        <v>0</v>
      </c>
      <c r="Q312" t="n">
        <v>0</v>
      </c>
      <c r="R312" s="2" t="inlineStr"/>
    </row>
    <row r="313" ht="15" customHeight="1">
      <c r="A313" t="inlineStr">
        <is>
          <t>A 54065-2021</t>
        </is>
      </c>
      <c r="B313" s="1" t="n">
        <v>44470.44232638889</v>
      </c>
      <c r="C313" s="1" t="n">
        <v>45926</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46224-2024</t>
        </is>
      </c>
      <c r="B314" s="1" t="n">
        <v>45581.57016203704</v>
      </c>
      <c r="C314" s="1" t="n">
        <v>45926</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46238-2024</t>
        </is>
      </c>
      <c r="B315" s="1" t="n">
        <v>45581.58418981481</v>
      </c>
      <c r="C315" s="1" t="n">
        <v>45926</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31824-2022</t>
        </is>
      </c>
      <c r="B316" s="1" t="n">
        <v>44776</v>
      </c>
      <c r="C316" s="1" t="n">
        <v>45926</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27443-2023</t>
        </is>
      </c>
      <c r="B317" s="1" t="n">
        <v>45097.40524305555</v>
      </c>
      <c r="C317" s="1" t="n">
        <v>45926</v>
      </c>
      <c r="D317" t="inlineStr">
        <is>
          <t>KALMAR LÄN</t>
        </is>
      </c>
      <c r="E317" t="inlineStr">
        <is>
          <t>VIMMERBY</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30633-2024</t>
        </is>
      </c>
      <c r="B318" s="1" t="n">
        <v>45495</v>
      </c>
      <c r="C318" s="1" t="n">
        <v>45926</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54838-2024</t>
        </is>
      </c>
      <c r="B319" s="1" t="n">
        <v>45618.56787037037</v>
      </c>
      <c r="C319" s="1" t="n">
        <v>45926</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6405-2025</t>
        </is>
      </c>
      <c r="B320" s="1" t="n">
        <v>45699.45392361111</v>
      </c>
      <c r="C320" s="1" t="n">
        <v>45926</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54917-2020</t>
        </is>
      </c>
      <c r="B321" s="1" t="n">
        <v>44127</v>
      </c>
      <c r="C321" s="1" t="n">
        <v>45926</v>
      </c>
      <c r="D321" t="inlineStr">
        <is>
          <t>KALMAR LÄN</t>
        </is>
      </c>
      <c r="E321" t="inlineStr">
        <is>
          <t>VIMMERBY</t>
        </is>
      </c>
      <c r="G321" t="n">
        <v>9.5</v>
      </c>
      <c r="H321" t="n">
        <v>0</v>
      </c>
      <c r="I321" t="n">
        <v>0</v>
      </c>
      <c r="J321" t="n">
        <v>0</v>
      </c>
      <c r="K321" t="n">
        <v>0</v>
      </c>
      <c r="L321" t="n">
        <v>0</v>
      </c>
      <c r="M321" t="n">
        <v>0</v>
      </c>
      <c r="N321" t="n">
        <v>0</v>
      </c>
      <c r="O321" t="n">
        <v>0</v>
      </c>
      <c r="P321" t="n">
        <v>0</v>
      </c>
      <c r="Q321" t="n">
        <v>0</v>
      </c>
      <c r="R321" s="2" t="inlineStr"/>
    </row>
    <row r="322" ht="15" customHeight="1">
      <c r="A322" t="inlineStr">
        <is>
          <t>A 11733-2022</t>
        </is>
      </c>
      <c r="B322" s="1" t="n">
        <v>44634</v>
      </c>
      <c r="C322" s="1" t="n">
        <v>45926</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60437-2023</t>
        </is>
      </c>
      <c r="B323" s="1" t="n">
        <v>45259.51916666667</v>
      </c>
      <c r="C323" s="1" t="n">
        <v>45926</v>
      </c>
      <c r="D323" t="inlineStr">
        <is>
          <t>KALMAR LÄN</t>
        </is>
      </c>
      <c r="E323" t="inlineStr">
        <is>
          <t>VIMMERBY</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60438-2023</t>
        </is>
      </c>
      <c r="B324" s="1" t="n">
        <v>45259.52020833334</v>
      </c>
      <c r="C324" s="1" t="n">
        <v>45926</v>
      </c>
      <c r="D324" t="inlineStr">
        <is>
          <t>KALMAR LÄN</t>
        </is>
      </c>
      <c r="E324" t="inlineStr">
        <is>
          <t>VIMMERBY</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42165-2024</t>
        </is>
      </c>
      <c r="B325" s="1" t="n">
        <v>45562.46342592593</v>
      </c>
      <c r="C325" s="1" t="n">
        <v>45926</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845-2023</t>
        </is>
      </c>
      <c r="B326" s="1" t="n">
        <v>44931</v>
      </c>
      <c r="C326" s="1" t="n">
        <v>45926</v>
      </c>
      <c r="D326" t="inlineStr">
        <is>
          <t>KALMAR LÄN</t>
        </is>
      </c>
      <c r="E326" t="inlineStr">
        <is>
          <t>VIMMERBY</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15976-2025</t>
        </is>
      </c>
      <c r="B327" s="1" t="n">
        <v>45749.56196759259</v>
      </c>
      <c r="C327" s="1" t="n">
        <v>45926</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25244-2023</t>
        </is>
      </c>
      <c r="B328" s="1" t="n">
        <v>45086</v>
      </c>
      <c r="C328" s="1" t="n">
        <v>45926</v>
      </c>
      <c r="D328" t="inlineStr">
        <is>
          <t>KALMAR LÄN</t>
        </is>
      </c>
      <c r="E328" t="inlineStr">
        <is>
          <t>VIMMERBY</t>
        </is>
      </c>
      <c r="G328" t="n">
        <v>4.7</v>
      </c>
      <c r="H328" t="n">
        <v>0</v>
      </c>
      <c r="I328" t="n">
        <v>0</v>
      </c>
      <c r="J328" t="n">
        <v>0</v>
      </c>
      <c r="K328" t="n">
        <v>0</v>
      </c>
      <c r="L328" t="n">
        <v>0</v>
      </c>
      <c r="M328" t="n">
        <v>0</v>
      </c>
      <c r="N328" t="n">
        <v>0</v>
      </c>
      <c r="O328" t="n">
        <v>0</v>
      </c>
      <c r="P328" t="n">
        <v>0</v>
      </c>
      <c r="Q328" t="n">
        <v>0</v>
      </c>
      <c r="R328" s="2" t="inlineStr"/>
    </row>
    <row r="329" ht="15" customHeight="1">
      <c r="A329" t="inlineStr">
        <is>
          <t>A 66022-2021</t>
        </is>
      </c>
      <c r="B329" s="1" t="n">
        <v>44517</v>
      </c>
      <c r="C329" s="1" t="n">
        <v>45926</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35895-2024</t>
        </is>
      </c>
      <c r="B330" s="1" t="n">
        <v>45533.38870370371</v>
      </c>
      <c r="C330" s="1" t="n">
        <v>45926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11073-2023</t>
        </is>
      </c>
      <c r="B331" s="1" t="n">
        <v>44992</v>
      </c>
      <c r="C331" s="1" t="n">
        <v>45926</v>
      </c>
      <c r="D331" t="inlineStr">
        <is>
          <t>KALMAR LÄN</t>
        </is>
      </c>
      <c r="E331" t="inlineStr">
        <is>
          <t>VIMMERBY</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17-2025</t>
        </is>
      </c>
      <c r="B332" s="1" t="n">
        <v>45658.78774305555</v>
      </c>
      <c r="C332" s="1" t="n">
        <v>45926</v>
      </c>
      <c r="D332" t="inlineStr">
        <is>
          <t>KALMAR LÄN</t>
        </is>
      </c>
      <c r="E332" t="inlineStr">
        <is>
          <t>VIMMERBY</t>
        </is>
      </c>
      <c r="G332" t="n">
        <v>4.4</v>
      </c>
      <c r="H332" t="n">
        <v>0</v>
      </c>
      <c r="I332" t="n">
        <v>0</v>
      </c>
      <c r="J332" t="n">
        <v>0</v>
      </c>
      <c r="K332" t="n">
        <v>0</v>
      </c>
      <c r="L332" t="n">
        <v>0</v>
      </c>
      <c r="M332" t="n">
        <v>0</v>
      </c>
      <c r="N332" t="n">
        <v>0</v>
      </c>
      <c r="O332" t="n">
        <v>0</v>
      </c>
      <c r="P332" t="n">
        <v>0</v>
      </c>
      <c r="Q332" t="n">
        <v>0</v>
      </c>
      <c r="R332" s="2" t="inlineStr"/>
    </row>
    <row r="333" ht="15" customHeight="1">
      <c r="A333" t="inlineStr">
        <is>
          <t>A 32655-2023</t>
        </is>
      </c>
      <c r="B333" s="1" t="n">
        <v>45121.61318287037</v>
      </c>
      <c r="C333" s="1" t="n">
        <v>45926</v>
      </c>
      <c r="D333" t="inlineStr">
        <is>
          <t>KALMAR LÄN</t>
        </is>
      </c>
      <c r="E333" t="inlineStr">
        <is>
          <t>VIMMERBY</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63541-2023</t>
        </is>
      </c>
      <c r="B334" s="1" t="n">
        <v>45275.32266203704</v>
      </c>
      <c r="C334" s="1" t="n">
        <v>45926</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6321-2023</t>
        </is>
      </c>
      <c r="B335" s="1" t="n">
        <v>44965.4815162037</v>
      </c>
      <c r="C335" s="1" t="n">
        <v>45926</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4624-2024</t>
        </is>
      </c>
      <c r="B336" s="1" t="n">
        <v>45328.38755787037</v>
      </c>
      <c r="C336" s="1" t="n">
        <v>45926</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28034-2022</t>
        </is>
      </c>
      <c r="B337" s="1" t="n">
        <v>44746.38834490741</v>
      </c>
      <c r="C337" s="1" t="n">
        <v>45926</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40730-2024</t>
        </is>
      </c>
      <c r="B338" s="1" t="n">
        <v>45558.44914351852</v>
      </c>
      <c r="C338" s="1" t="n">
        <v>45926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5938-2022</t>
        </is>
      </c>
      <c r="B339" s="1" t="n">
        <v>44598</v>
      </c>
      <c r="C339" s="1" t="n">
        <v>45926</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2157-2024</t>
        </is>
      </c>
      <c r="B340" s="1" t="n">
        <v>45309.59487268519</v>
      </c>
      <c r="C340" s="1" t="n">
        <v>45926</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7804-2022</t>
        </is>
      </c>
      <c r="B341" s="1" t="n">
        <v>44608.50458333334</v>
      </c>
      <c r="C341" s="1" t="n">
        <v>45926</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39042-2022</t>
        </is>
      </c>
      <c r="B342" s="1" t="n">
        <v>44817</v>
      </c>
      <c r="C342" s="1" t="n">
        <v>45926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49461-2022</t>
        </is>
      </c>
      <c r="B343" s="1" t="n">
        <v>44861</v>
      </c>
      <c r="C343" s="1" t="n">
        <v>45926</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694-2024</t>
        </is>
      </c>
      <c r="B344" s="1" t="n">
        <v>45300.3794212963</v>
      </c>
      <c r="C344" s="1" t="n">
        <v>45926</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35082-2024</t>
        </is>
      </c>
      <c r="B345" s="1" t="n">
        <v>45527.68784722222</v>
      </c>
      <c r="C345" s="1" t="n">
        <v>45926</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59598-2023</t>
        </is>
      </c>
      <c r="B346" s="1" t="n">
        <v>45254.62489583333</v>
      </c>
      <c r="C346" s="1" t="n">
        <v>45926</v>
      </c>
      <c r="D346" t="inlineStr">
        <is>
          <t>KALMAR LÄN</t>
        </is>
      </c>
      <c r="E346" t="inlineStr">
        <is>
          <t>VIMMERBY</t>
        </is>
      </c>
      <c r="F346" t="inlineStr">
        <is>
          <t>Övriga Aktiebolag</t>
        </is>
      </c>
      <c r="G346" t="n">
        <v>4</v>
      </c>
      <c r="H346" t="n">
        <v>0</v>
      </c>
      <c r="I346" t="n">
        <v>0</v>
      </c>
      <c r="J346" t="n">
        <v>0</v>
      </c>
      <c r="K346" t="n">
        <v>0</v>
      </c>
      <c r="L346" t="n">
        <v>0</v>
      </c>
      <c r="M346" t="n">
        <v>0</v>
      </c>
      <c r="N346" t="n">
        <v>0</v>
      </c>
      <c r="O346" t="n">
        <v>0</v>
      </c>
      <c r="P346" t="n">
        <v>0</v>
      </c>
      <c r="Q346" t="n">
        <v>0</v>
      </c>
      <c r="R346" s="2" t="inlineStr"/>
    </row>
    <row r="347" ht="15" customHeight="1">
      <c r="A347" t="inlineStr">
        <is>
          <t>A 7944-2024</t>
        </is>
      </c>
      <c r="B347" s="1" t="n">
        <v>45350.53306712963</v>
      </c>
      <c r="C347" s="1" t="n">
        <v>45926</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24283-2023</t>
        </is>
      </c>
      <c r="B348" s="1" t="n">
        <v>45079.87827546296</v>
      </c>
      <c r="C348" s="1" t="n">
        <v>45926</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21496-2023</t>
        </is>
      </c>
      <c r="B349" s="1" t="n">
        <v>45063.49936342592</v>
      </c>
      <c r="C349" s="1" t="n">
        <v>45926</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51278-2024</t>
        </is>
      </c>
      <c r="B350" s="1" t="n">
        <v>45603.74959490741</v>
      </c>
      <c r="C350" s="1" t="n">
        <v>45926</v>
      </c>
      <c r="D350" t="inlineStr">
        <is>
          <t>KALMAR LÄN</t>
        </is>
      </c>
      <c r="E350" t="inlineStr">
        <is>
          <t>VIMMERBY</t>
        </is>
      </c>
      <c r="G350" t="n">
        <v>3.4</v>
      </c>
      <c r="H350" t="n">
        <v>0</v>
      </c>
      <c r="I350" t="n">
        <v>0</v>
      </c>
      <c r="J350" t="n">
        <v>0</v>
      </c>
      <c r="K350" t="n">
        <v>0</v>
      </c>
      <c r="L350" t="n">
        <v>0</v>
      </c>
      <c r="M350" t="n">
        <v>0</v>
      </c>
      <c r="N350" t="n">
        <v>0</v>
      </c>
      <c r="O350" t="n">
        <v>0</v>
      </c>
      <c r="P350" t="n">
        <v>0</v>
      </c>
      <c r="Q350" t="n">
        <v>0</v>
      </c>
      <c r="R350" s="2" t="inlineStr"/>
    </row>
    <row r="351" ht="15" customHeight="1">
      <c r="A351" t="inlineStr">
        <is>
          <t>A 2462-2022</t>
        </is>
      </c>
      <c r="B351" s="1" t="n">
        <v>44579.62225694444</v>
      </c>
      <c r="C351" s="1" t="n">
        <v>45926</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9456-2025</t>
        </is>
      </c>
      <c r="B352" s="1" t="n">
        <v>45715.44159722222</v>
      </c>
      <c r="C352" s="1" t="n">
        <v>45926</v>
      </c>
      <c r="D352" t="inlineStr">
        <is>
          <t>KALMAR LÄN</t>
        </is>
      </c>
      <c r="E352" t="inlineStr">
        <is>
          <t>VIMMERBY</t>
        </is>
      </c>
      <c r="G352" t="n">
        <v>1.5</v>
      </c>
      <c r="H352" t="n">
        <v>0</v>
      </c>
      <c r="I352" t="n">
        <v>0</v>
      </c>
      <c r="J352" t="n">
        <v>0</v>
      </c>
      <c r="K352" t="n">
        <v>0</v>
      </c>
      <c r="L352" t="n">
        <v>0</v>
      </c>
      <c r="M352" t="n">
        <v>0</v>
      </c>
      <c r="N352" t="n">
        <v>0</v>
      </c>
      <c r="O352" t="n">
        <v>0</v>
      </c>
      <c r="P352" t="n">
        <v>0</v>
      </c>
      <c r="Q352" t="n">
        <v>0</v>
      </c>
      <c r="R352" s="2" t="inlineStr"/>
    </row>
    <row r="353" ht="15" customHeight="1">
      <c r="A353" t="inlineStr">
        <is>
          <t>A 11111-2023</t>
        </is>
      </c>
      <c r="B353" s="1" t="n">
        <v>44992.4255787037</v>
      </c>
      <c r="C353" s="1" t="n">
        <v>45926</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60228-2021</t>
        </is>
      </c>
      <c r="B354" s="1" t="n">
        <v>44495</v>
      </c>
      <c r="C354" s="1" t="n">
        <v>45926</v>
      </c>
      <c r="D354" t="inlineStr">
        <is>
          <t>KALMAR LÄN</t>
        </is>
      </c>
      <c r="E354" t="inlineStr">
        <is>
          <t>VIMMERBY</t>
        </is>
      </c>
      <c r="G354" t="n">
        <v>4.1</v>
      </c>
      <c r="H354" t="n">
        <v>0</v>
      </c>
      <c r="I354" t="n">
        <v>0</v>
      </c>
      <c r="J354" t="n">
        <v>0</v>
      </c>
      <c r="K354" t="n">
        <v>0</v>
      </c>
      <c r="L354" t="n">
        <v>0</v>
      </c>
      <c r="M354" t="n">
        <v>0</v>
      </c>
      <c r="N354" t="n">
        <v>0</v>
      </c>
      <c r="O354" t="n">
        <v>0</v>
      </c>
      <c r="P354" t="n">
        <v>0</v>
      </c>
      <c r="Q354" t="n">
        <v>0</v>
      </c>
      <c r="R354" s="2" t="inlineStr"/>
    </row>
    <row r="355" ht="15" customHeight="1">
      <c r="A355" t="inlineStr">
        <is>
          <t>A 25979-2023</t>
        </is>
      </c>
      <c r="B355" s="1" t="n">
        <v>45090.89653935185</v>
      </c>
      <c r="C355" s="1" t="n">
        <v>45926</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25980-2023</t>
        </is>
      </c>
      <c r="B356" s="1" t="n">
        <v>45090.89880787037</v>
      </c>
      <c r="C356" s="1" t="n">
        <v>45926</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12510-2022</t>
        </is>
      </c>
      <c r="B357" s="1" t="n">
        <v>44638.55256944444</v>
      </c>
      <c r="C357" s="1" t="n">
        <v>45926</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6358-2022</t>
        </is>
      </c>
      <c r="B358" s="1" t="n">
        <v>44600</v>
      </c>
      <c r="C358" s="1" t="n">
        <v>45926</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29783-2024</t>
        </is>
      </c>
      <c r="B359" s="1" t="n">
        <v>45485.45778935185</v>
      </c>
      <c r="C359" s="1" t="n">
        <v>45926</v>
      </c>
      <c r="D359" t="inlineStr">
        <is>
          <t>KALMAR LÄN</t>
        </is>
      </c>
      <c r="E359" t="inlineStr">
        <is>
          <t>VIMMERBY</t>
        </is>
      </c>
      <c r="G359" t="n">
        <v>3.1</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45926</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15494-2024</t>
        </is>
      </c>
      <c r="B361" s="1" t="n">
        <v>45401.53033564815</v>
      </c>
      <c r="C361" s="1" t="n">
        <v>45926</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48373-2021</t>
        </is>
      </c>
      <c r="B362" s="1" t="n">
        <v>44451</v>
      </c>
      <c r="C362" s="1" t="n">
        <v>45926</v>
      </c>
      <c r="D362" t="inlineStr">
        <is>
          <t>KALMAR LÄN</t>
        </is>
      </c>
      <c r="E362" t="inlineStr">
        <is>
          <t>VIMMERBY</t>
        </is>
      </c>
      <c r="G362" t="n">
        <v>2.2</v>
      </c>
      <c r="H362" t="n">
        <v>0</v>
      </c>
      <c r="I362" t="n">
        <v>0</v>
      </c>
      <c r="J362" t="n">
        <v>0</v>
      </c>
      <c r="K362" t="n">
        <v>0</v>
      </c>
      <c r="L362" t="n">
        <v>0</v>
      </c>
      <c r="M362" t="n">
        <v>0</v>
      </c>
      <c r="N362" t="n">
        <v>0</v>
      </c>
      <c r="O362" t="n">
        <v>0</v>
      </c>
      <c r="P362" t="n">
        <v>0</v>
      </c>
      <c r="Q362" t="n">
        <v>0</v>
      </c>
      <c r="R362" s="2" t="inlineStr"/>
    </row>
    <row r="363" ht="15" customHeight="1">
      <c r="A363" t="inlineStr">
        <is>
          <t>A 16288-2021</t>
        </is>
      </c>
      <c r="B363" s="1" t="n">
        <v>44292</v>
      </c>
      <c r="C363" s="1" t="n">
        <v>45926</v>
      </c>
      <c r="D363" t="inlineStr">
        <is>
          <t>KALMAR LÄN</t>
        </is>
      </c>
      <c r="E363" t="inlineStr">
        <is>
          <t>VIMMERBY</t>
        </is>
      </c>
      <c r="F363" t="inlineStr">
        <is>
          <t>Övriga Aktiebolag</t>
        </is>
      </c>
      <c r="G363" t="n">
        <v>27.6</v>
      </c>
      <c r="H363" t="n">
        <v>0</v>
      </c>
      <c r="I363" t="n">
        <v>0</v>
      </c>
      <c r="J363" t="n">
        <v>0</v>
      </c>
      <c r="K363" t="n">
        <v>0</v>
      </c>
      <c r="L363" t="n">
        <v>0</v>
      </c>
      <c r="M363" t="n">
        <v>0</v>
      </c>
      <c r="N363" t="n">
        <v>0</v>
      </c>
      <c r="O363" t="n">
        <v>0</v>
      </c>
      <c r="P363" t="n">
        <v>0</v>
      </c>
      <c r="Q363" t="n">
        <v>0</v>
      </c>
      <c r="R363" s="2" t="inlineStr"/>
    </row>
    <row r="364" ht="15" customHeight="1">
      <c r="A364" t="inlineStr">
        <is>
          <t>A 4076-2022</t>
        </is>
      </c>
      <c r="B364" s="1" t="n">
        <v>44588.37998842593</v>
      </c>
      <c r="C364" s="1" t="n">
        <v>45926</v>
      </c>
      <c r="D364" t="inlineStr">
        <is>
          <t>KALMAR LÄN</t>
        </is>
      </c>
      <c r="E364" t="inlineStr">
        <is>
          <t>VIMMERBY</t>
        </is>
      </c>
      <c r="G364" t="n">
        <v>3</v>
      </c>
      <c r="H364" t="n">
        <v>0</v>
      </c>
      <c r="I364" t="n">
        <v>0</v>
      </c>
      <c r="J364" t="n">
        <v>0</v>
      </c>
      <c r="K364" t="n">
        <v>0</v>
      </c>
      <c r="L364" t="n">
        <v>0</v>
      </c>
      <c r="M364" t="n">
        <v>0</v>
      </c>
      <c r="N364" t="n">
        <v>0</v>
      </c>
      <c r="O364" t="n">
        <v>0</v>
      </c>
      <c r="P364" t="n">
        <v>0</v>
      </c>
      <c r="Q364" t="n">
        <v>0</v>
      </c>
      <c r="R364" s="2" t="inlineStr"/>
    </row>
    <row r="365" ht="15" customHeight="1">
      <c r="A365" t="inlineStr">
        <is>
          <t>A 4122-2022</t>
        </is>
      </c>
      <c r="B365" s="1" t="n">
        <v>44588</v>
      </c>
      <c r="C365" s="1" t="n">
        <v>45926</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35198-2023</t>
        </is>
      </c>
      <c r="B366" s="1" t="n">
        <v>45145</v>
      </c>
      <c r="C366" s="1" t="n">
        <v>45926</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58724-2024</t>
        </is>
      </c>
      <c r="B367" s="1" t="n">
        <v>45635.66409722222</v>
      </c>
      <c r="C367" s="1" t="n">
        <v>45926</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43853-2023</t>
        </is>
      </c>
      <c r="B368" s="1" t="n">
        <v>45187.60813657408</v>
      </c>
      <c r="C368" s="1" t="n">
        <v>45926</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25792-2025</t>
        </is>
      </c>
      <c r="B369" s="1" t="n">
        <v>45804.39141203704</v>
      </c>
      <c r="C369" s="1" t="n">
        <v>45926</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26039-2025</t>
        </is>
      </c>
      <c r="B370" s="1" t="n">
        <v>45804.6953587963</v>
      </c>
      <c r="C370" s="1" t="n">
        <v>45926</v>
      </c>
      <c r="D370" t="inlineStr">
        <is>
          <t>KALMAR LÄN</t>
        </is>
      </c>
      <c r="E370" t="inlineStr">
        <is>
          <t>VIMMERBY</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57256-2023</t>
        </is>
      </c>
      <c r="B371" s="1" t="n">
        <v>45245.5735300926</v>
      </c>
      <c r="C371" s="1" t="n">
        <v>45926</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17482-2024</t>
        </is>
      </c>
      <c r="B372" s="1" t="n">
        <v>45415.47848379629</v>
      </c>
      <c r="C372" s="1" t="n">
        <v>45926</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26046-2025</t>
        </is>
      </c>
      <c r="B373" s="1" t="n">
        <v>45804.708125</v>
      </c>
      <c r="C373" s="1" t="n">
        <v>45926</v>
      </c>
      <c r="D373" t="inlineStr">
        <is>
          <t>KALMAR LÄN</t>
        </is>
      </c>
      <c r="E373" t="inlineStr">
        <is>
          <t>VIMMERBY</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9511-2023</t>
        </is>
      </c>
      <c r="B374" s="1" t="n">
        <v>44981.64725694444</v>
      </c>
      <c r="C374" s="1" t="n">
        <v>45926</v>
      </c>
      <c r="D374" t="inlineStr">
        <is>
          <t>KALMAR LÄN</t>
        </is>
      </c>
      <c r="E374" t="inlineStr">
        <is>
          <t>VIMMERBY</t>
        </is>
      </c>
      <c r="G374" t="n">
        <v>3.5</v>
      </c>
      <c r="H374" t="n">
        <v>0</v>
      </c>
      <c r="I374" t="n">
        <v>0</v>
      </c>
      <c r="J374" t="n">
        <v>0</v>
      </c>
      <c r="K374" t="n">
        <v>0</v>
      </c>
      <c r="L374" t="n">
        <v>0</v>
      </c>
      <c r="M374" t="n">
        <v>0</v>
      </c>
      <c r="N374" t="n">
        <v>0</v>
      </c>
      <c r="O374" t="n">
        <v>0</v>
      </c>
      <c r="P374" t="n">
        <v>0</v>
      </c>
      <c r="Q374" t="n">
        <v>0</v>
      </c>
      <c r="R374" s="2" t="inlineStr"/>
    </row>
    <row r="375" ht="15" customHeight="1">
      <c r="A375" t="inlineStr">
        <is>
          <t>A 38757-2023</t>
        </is>
      </c>
      <c r="B375" s="1" t="n">
        <v>45163.41376157408</v>
      </c>
      <c r="C375" s="1" t="n">
        <v>45926</v>
      </c>
      <c r="D375" t="inlineStr">
        <is>
          <t>KALMAR LÄN</t>
        </is>
      </c>
      <c r="E375" t="inlineStr">
        <is>
          <t>VIMMERBY</t>
        </is>
      </c>
      <c r="G375" t="n">
        <v>2.5</v>
      </c>
      <c r="H375" t="n">
        <v>0</v>
      </c>
      <c r="I375" t="n">
        <v>0</v>
      </c>
      <c r="J375" t="n">
        <v>0</v>
      </c>
      <c r="K375" t="n">
        <v>0</v>
      </c>
      <c r="L375" t="n">
        <v>0</v>
      </c>
      <c r="M375" t="n">
        <v>0</v>
      </c>
      <c r="N375" t="n">
        <v>0</v>
      </c>
      <c r="O375" t="n">
        <v>0</v>
      </c>
      <c r="P375" t="n">
        <v>0</v>
      </c>
      <c r="Q375" t="n">
        <v>0</v>
      </c>
      <c r="R375" s="2" t="inlineStr"/>
    </row>
    <row r="376" ht="15" customHeight="1">
      <c r="A376" t="inlineStr">
        <is>
          <t>A 58374-2024</t>
        </is>
      </c>
      <c r="B376" s="1" t="n">
        <v>45632.72635416667</v>
      </c>
      <c r="C376" s="1" t="n">
        <v>45926</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26124-2025</t>
        </is>
      </c>
      <c r="B377" s="1" t="n">
        <v>45805.39247685186</v>
      </c>
      <c r="C377" s="1" t="n">
        <v>45926</v>
      </c>
      <c r="D377" t="inlineStr">
        <is>
          <t>KALMAR LÄN</t>
        </is>
      </c>
      <c r="E377" t="inlineStr">
        <is>
          <t>VIMMERBY</t>
        </is>
      </c>
      <c r="G377" t="n">
        <v>6.6</v>
      </c>
      <c r="H377" t="n">
        <v>0</v>
      </c>
      <c r="I377" t="n">
        <v>0</v>
      </c>
      <c r="J377" t="n">
        <v>0</v>
      </c>
      <c r="K377" t="n">
        <v>0</v>
      </c>
      <c r="L377" t="n">
        <v>0</v>
      </c>
      <c r="M377" t="n">
        <v>0</v>
      </c>
      <c r="N377" t="n">
        <v>0</v>
      </c>
      <c r="O377" t="n">
        <v>0</v>
      </c>
      <c r="P377" t="n">
        <v>0</v>
      </c>
      <c r="Q377" t="n">
        <v>0</v>
      </c>
      <c r="R377" s="2" t="inlineStr"/>
    </row>
    <row r="378" ht="15" customHeight="1">
      <c r="A378" t="inlineStr">
        <is>
          <t>A 29973-2023</t>
        </is>
      </c>
      <c r="B378" s="1" t="n">
        <v>45108.703125</v>
      </c>
      <c r="C378" s="1" t="n">
        <v>45926</v>
      </c>
      <c r="D378" t="inlineStr">
        <is>
          <t>KALMAR LÄN</t>
        </is>
      </c>
      <c r="E378" t="inlineStr">
        <is>
          <t>VIMMERBY</t>
        </is>
      </c>
      <c r="G378" t="n">
        <v>4</v>
      </c>
      <c r="H378" t="n">
        <v>0</v>
      </c>
      <c r="I378" t="n">
        <v>0</v>
      </c>
      <c r="J378" t="n">
        <v>0</v>
      </c>
      <c r="K378" t="n">
        <v>0</v>
      </c>
      <c r="L378" t="n">
        <v>0</v>
      </c>
      <c r="M378" t="n">
        <v>0</v>
      </c>
      <c r="N378" t="n">
        <v>0</v>
      </c>
      <c r="O378" t="n">
        <v>0</v>
      </c>
      <c r="P378" t="n">
        <v>0</v>
      </c>
      <c r="Q378" t="n">
        <v>0</v>
      </c>
      <c r="R378" s="2" t="inlineStr"/>
    </row>
    <row r="379" ht="15" customHeight="1">
      <c r="A379" t="inlineStr">
        <is>
          <t>A 55123-2024</t>
        </is>
      </c>
      <c r="B379" s="1" t="n">
        <v>45621.46103009259</v>
      </c>
      <c r="C379" s="1" t="n">
        <v>45926</v>
      </c>
      <c r="D379" t="inlineStr">
        <is>
          <t>KALMAR LÄN</t>
        </is>
      </c>
      <c r="E379" t="inlineStr">
        <is>
          <t>VIMMERBY</t>
        </is>
      </c>
      <c r="G379" t="n">
        <v>3.1</v>
      </c>
      <c r="H379" t="n">
        <v>0</v>
      </c>
      <c r="I379" t="n">
        <v>0</v>
      </c>
      <c r="J379" t="n">
        <v>0</v>
      </c>
      <c r="K379" t="n">
        <v>0</v>
      </c>
      <c r="L379" t="n">
        <v>0</v>
      </c>
      <c r="M379" t="n">
        <v>0</v>
      </c>
      <c r="N379" t="n">
        <v>0</v>
      </c>
      <c r="O379" t="n">
        <v>0</v>
      </c>
      <c r="P379" t="n">
        <v>0</v>
      </c>
      <c r="Q379" t="n">
        <v>0</v>
      </c>
      <c r="R379" s="2" t="inlineStr"/>
    </row>
    <row r="380" ht="15" customHeight="1">
      <c r="A380" t="inlineStr">
        <is>
          <t>A 64143-2021</t>
        </is>
      </c>
      <c r="B380" s="1" t="n">
        <v>44510.52157407408</v>
      </c>
      <c r="C380" s="1" t="n">
        <v>45926</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73938-2021</t>
        </is>
      </c>
      <c r="B381" s="1" t="n">
        <v>44553</v>
      </c>
      <c r="C381" s="1" t="n">
        <v>45926</v>
      </c>
      <c r="D381" t="inlineStr">
        <is>
          <t>KALMAR LÄN</t>
        </is>
      </c>
      <c r="E381" t="inlineStr">
        <is>
          <t>VIMMERBY</t>
        </is>
      </c>
      <c r="G381" t="n">
        <v>3.2</v>
      </c>
      <c r="H381" t="n">
        <v>0</v>
      </c>
      <c r="I381" t="n">
        <v>0</v>
      </c>
      <c r="J381" t="n">
        <v>0</v>
      </c>
      <c r="K381" t="n">
        <v>0</v>
      </c>
      <c r="L381" t="n">
        <v>0</v>
      </c>
      <c r="M381" t="n">
        <v>0</v>
      </c>
      <c r="N381" t="n">
        <v>0</v>
      </c>
      <c r="O381" t="n">
        <v>0</v>
      </c>
      <c r="P381" t="n">
        <v>0</v>
      </c>
      <c r="Q381" t="n">
        <v>0</v>
      </c>
      <c r="R381" s="2" t="inlineStr"/>
    </row>
    <row r="382" ht="15" customHeight="1">
      <c r="A382" t="inlineStr">
        <is>
          <t>A 26207-2025</t>
        </is>
      </c>
      <c r="B382" s="1" t="n">
        <v>45805.52983796296</v>
      </c>
      <c r="C382" s="1" t="n">
        <v>45926</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25830-2025</t>
        </is>
      </c>
      <c r="B383" s="1" t="n">
        <v>45804.44519675926</v>
      </c>
      <c r="C383" s="1" t="n">
        <v>45926</v>
      </c>
      <c r="D383" t="inlineStr">
        <is>
          <t>KALMAR LÄN</t>
        </is>
      </c>
      <c r="E383" t="inlineStr">
        <is>
          <t>VIMMERBY</t>
        </is>
      </c>
      <c r="G383" t="n">
        <v>4.9</v>
      </c>
      <c r="H383" t="n">
        <v>0</v>
      </c>
      <c r="I383" t="n">
        <v>0</v>
      </c>
      <c r="J383" t="n">
        <v>0</v>
      </c>
      <c r="K383" t="n">
        <v>0</v>
      </c>
      <c r="L383" t="n">
        <v>0</v>
      </c>
      <c r="M383" t="n">
        <v>0</v>
      </c>
      <c r="N383" t="n">
        <v>0</v>
      </c>
      <c r="O383" t="n">
        <v>0</v>
      </c>
      <c r="P383" t="n">
        <v>0</v>
      </c>
      <c r="Q383" t="n">
        <v>0</v>
      </c>
      <c r="R383" s="2" t="inlineStr"/>
    </row>
    <row r="384" ht="15" customHeight="1">
      <c r="A384" t="inlineStr">
        <is>
          <t>A 26254-2025</t>
        </is>
      </c>
      <c r="B384" s="1" t="n">
        <v>45805</v>
      </c>
      <c r="C384" s="1" t="n">
        <v>45926</v>
      </c>
      <c r="D384" t="inlineStr">
        <is>
          <t>KALMAR LÄN</t>
        </is>
      </c>
      <c r="E384" t="inlineStr">
        <is>
          <t>VIMMERBY</t>
        </is>
      </c>
      <c r="G384" t="n">
        <v>2</v>
      </c>
      <c r="H384" t="n">
        <v>0</v>
      </c>
      <c r="I384" t="n">
        <v>0</v>
      </c>
      <c r="J384" t="n">
        <v>0</v>
      </c>
      <c r="K384" t="n">
        <v>0</v>
      </c>
      <c r="L384" t="n">
        <v>0</v>
      </c>
      <c r="M384" t="n">
        <v>0</v>
      </c>
      <c r="N384" t="n">
        <v>0</v>
      </c>
      <c r="O384" t="n">
        <v>0</v>
      </c>
      <c r="P384" t="n">
        <v>0</v>
      </c>
      <c r="Q384" t="n">
        <v>0</v>
      </c>
      <c r="R384" s="2" t="inlineStr"/>
    </row>
    <row r="385" ht="15" customHeight="1">
      <c r="A385" t="inlineStr">
        <is>
          <t>A 49313-2022</t>
        </is>
      </c>
      <c r="B385" s="1" t="n">
        <v>44861.52505787037</v>
      </c>
      <c r="C385" s="1" t="n">
        <v>45926</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1987-2024</t>
        </is>
      </c>
      <c r="B386" s="1" t="n">
        <v>45308.61152777778</v>
      </c>
      <c r="C386" s="1" t="n">
        <v>45926</v>
      </c>
      <c r="D386" t="inlineStr">
        <is>
          <t>KALMAR LÄN</t>
        </is>
      </c>
      <c r="E386" t="inlineStr">
        <is>
          <t>VIMMERBY</t>
        </is>
      </c>
      <c r="G386" t="n">
        <v>3</v>
      </c>
      <c r="H386" t="n">
        <v>0</v>
      </c>
      <c r="I386" t="n">
        <v>0</v>
      </c>
      <c r="J386" t="n">
        <v>0</v>
      </c>
      <c r="K386" t="n">
        <v>0</v>
      </c>
      <c r="L386" t="n">
        <v>0</v>
      </c>
      <c r="M386" t="n">
        <v>0</v>
      </c>
      <c r="N386" t="n">
        <v>0</v>
      </c>
      <c r="O386" t="n">
        <v>0</v>
      </c>
      <c r="P386" t="n">
        <v>0</v>
      </c>
      <c r="Q386" t="n">
        <v>0</v>
      </c>
      <c r="R386" s="2" t="inlineStr"/>
    </row>
    <row r="387" ht="15" customHeight="1">
      <c r="A387" t="inlineStr">
        <is>
          <t>A 40076-2021</t>
        </is>
      </c>
      <c r="B387" s="1" t="n">
        <v>44418</v>
      </c>
      <c r="C387" s="1" t="n">
        <v>45926</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50648-2023</t>
        </is>
      </c>
      <c r="B388" s="1" t="n">
        <v>45217.47834490741</v>
      </c>
      <c r="C388" s="1" t="n">
        <v>45926</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529-2022</t>
        </is>
      </c>
      <c r="B389" s="1" t="n">
        <v>44566</v>
      </c>
      <c r="C389" s="1" t="n">
        <v>45926</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58318-2021</t>
        </is>
      </c>
      <c r="B390" s="1" t="n">
        <v>44488.35878472222</v>
      </c>
      <c r="C390" s="1" t="n">
        <v>45926</v>
      </c>
      <c r="D390" t="inlineStr">
        <is>
          <t>KALMAR LÄN</t>
        </is>
      </c>
      <c r="E390" t="inlineStr">
        <is>
          <t>VIMMERBY</t>
        </is>
      </c>
      <c r="G390" t="n">
        <v>4</v>
      </c>
      <c r="H390" t="n">
        <v>0</v>
      </c>
      <c r="I390" t="n">
        <v>0</v>
      </c>
      <c r="J390" t="n">
        <v>0</v>
      </c>
      <c r="K390" t="n">
        <v>0</v>
      </c>
      <c r="L390" t="n">
        <v>0</v>
      </c>
      <c r="M390" t="n">
        <v>0</v>
      </c>
      <c r="N390" t="n">
        <v>0</v>
      </c>
      <c r="O390" t="n">
        <v>0</v>
      </c>
      <c r="P390" t="n">
        <v>0</v>
      </c>
      <c r="Q390" t="n">
        <v>0</v>
      </c>
      <c r="R390" s="2" t="inlineStr"/>
    </row>
    <row r="391" ht="15" customHeight="1">
      <c r="A391" t="inlineStr">
        <is>
          <t>A 89-2023</t>
        </is>
      </c>
      <c r="B391" s="1" t="n">
        <v>44918</v>
      </c>
      <c r="C391" s="1" t="n">
        <v>45926</v>
      </c>
      <c r="D391" t="inlineStr">
        <is>
          <t>KALMAR LÄN</t>
        </is>
      </c>
      <c r="E391" t="inlineStr">
        <is>
          <t>VIMMERBY</t>
        </is>
      </c>
      <c r="G391" t="n">
        <v>16.1</v>
      </c>
      <c r="H391" t="n">
        <v>0</v>
      </c>
      <c r="I391" t="n">
        <v>0</v>
      </c>
      <c r="J391" t="n">
        <v>0</v>
      </c>
      <c r="K391" t="n">
        <v>0</v>
      </c>
      <c r="L391" t="n">
        <v>0</v>
      </c>
      <c r="M391" t="n">
        <v>0</v>
      </c>
      <c r="N391" t="n">
        <v>0</v>
      </c>
      <c r="O391" t="n">
        <v>0</v>
      </c>
      <c r="P391" t="n">
        <v>0</v>
      </c>
      <c r="Q391" t="n">
        <v>0</v>
      </c>
      <c r="R391" s="2" t="inlineStr"/>
    </row>
    <row r="392" ht="15" customHeight="1">
      <c r="A392" t="inlineStr">
        <is>
          <t>A 21507-2023</t>
        </is>
      </c>
      <c r="B392" s="1" t="n">
        <v>45063.508125</v>
      </c>
      <c r="C392" s="1" t="n">
        <v>45926</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57189-2022</t>
        </is>
      </c>
      <c r="B393" s="1" t="n">
        <v>44895.62296296296</v>
      </c>
      <c r="C393" s="1" t="n">
        <v>45926</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48673-2021</t>
        </is>
      </c>
      <c r="B394" s="1" t="n">
        <v>44452</v>
      </c>
      <c r="C394" s="1" t="n">
        <v>45926</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23088-2024</t>
        </is>
      </c>
      <c r="B395" s="1" t="n">
        <v>45450.51092592593</v>
      </c>
      <c r="C395" s="1" t="n">
        <v>45926</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14248-2023</t>
        </is>
      </c>
      <c r="B396" s="1" t="n">
        <v>45009</v>
      </c>
      <c r="C396" s="1" t="n">
        <v>45926</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12480-2024</t>
        </is>
      </c>
      <c r="B397" s="1" t="n">
        <v>45379</v>
      </c>
      <c r="C397" s="1" t="n">
        <v>45926</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38851-2023</t>
        </is>
      </c>
      <c r="B398" s="1" t="n">
        <v>45163</v>
      </c>
      <c r="C398" s="1" t="n">
        <v>45926</v>
      </c>
      <c r="D398" t="inlineStr">
        <is>
          <t>KALMAR LÄN</t>
        </is>
      </c>
      <c r="E398" t="inlineStr">
        <is>
          <t>VIMMERBY</t>
        </is>
      </c>
      <c r="G398" t="n">
        <v>4.3</v>
      </c>
      <c r="H398" t="n">
        <v>0</v>
      </c>
      <c r="I398" t="n">
        <v>0</v>
      </c>
      <c r="J398" t="n">
        <v>0</v>
      </c>
      <c r="K398" t="n">
        <v>0</v>
      </c>
      <c r="L398" t="n">
        <v>0</v>
      </c>
      <c r="M398" t="n">
        <v>0</v>
      </c>
      <c r="N398" t="n">
        <v>0</v>
      </c>
      <c r="O398" t="n">
        <v>0</v>
      </c>
      <c r="P398" t="n">
        <v>0</v>
      </c>
      <c r="Q398" t="n">
        <v>0</v>
      </c>
      <c r="R398" s="2" t="inlineStr"/>
    </row>
    <row r="399" ht="15" customHeight="1">
      <c r="A399" t="inlineStr">
        <is>
          <t>A 10759-2023</t>
        </is>
      </c>
      <c r="B399" s="1" t="n">
        <v>44988</v>
      </c>
      <c r="C399" s="1" t="n">
        <v>45926</v>
      </c>
      <c r="D399" t="inlineStr">
        <is>
          <t>KALMAR LÄN</t>
        </is>
      </c>
      <c r="E399" t="inlineStr">
        <is>
          <t>VIMMERBY</t>
        </is>
      </c>
      <c r="G399" t="n">
        <v>0.4</v>
      </c>
      <c r="H399" t="n">
        <v>0</v>
      </c>
      <c r="I399" t="n">
        <v>0</v>
      </c>
      <c r="J399" t="n">
        <v>0</v>
      </c>
      <c r="K399" t="n">
        <v>0</v>
      </c>
      <c r="L399" t="n">
        <v>0</v>
      </c>
      <c r="M399" t="n">
        <v>0</v>
      </c>
      <c r="N399" t="n">
        <v>0</v>
      </c>
      <c r="O399" t="n">
        <v>0</v>
      </c>
      <c r="P399" t="n">
        <v>0</v>
      </c>
      <c r="Q399" t="n">
        <v>0</v>
      </c>
      <c r="R399" s="2" t="inlineStr"/>
    </row>
    <row r="400" ht="15" customHeight="1">
      <c r="A400" t="inlineStr">
        <is>
          <t>A 63583-2023</t>
        </is>
      </c>
      <c r="B400" s="1" t="n">
        <v>45275.41833333333</v>
      </c>
      <c r="C400" s="1" t="n">
        <v>45926</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40079-2023</t>
        </is>
      </c>
      <c r="B401" s="1" t="n">
        <v>45168.89298611111</v>
      </c>
      <c r="C401" s="1" t="n">
        <v>45926</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10211-2025</t>
        </is>
      </c>
      <c r="B402" s="1" t="n">
        <v>45719.84378472222</v>
      </c>
      <c r="C402" s="1" t="n">
        <v>45926</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43774-2023</t>
        </is>
      </c>
      <c r="B403" s="1" t="n">
        <v>45187</v>
      </c>
      <c r="C403" s="1" t="n">
        <v>45926</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29616-2022</t>
        </is>
      </c>
      <c r="B404" s="1" t="n">
        <v>44754</v>
      </c>
      <c r="C404" s="1" t="n">
        <v>45926</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40095-2022</t>
        </is>
      </c>
      <c r="B405" s="1" t="n">
        <v>44820</v>
      </c>
      <c r="C405" s="1" t="n">
        <v>45926</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39578-2024</t>
        </is>
      </c>
      <c r="B406" s="1" t="n">
        <v>45552.36484953704</v>
      </c>
      <c r="C406" s="1" t="n">
        <v>45926</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24707-2024</t>
        </is>
      </c>
      <c r="B407" s="1" t="n">
        <v>45460.62172453704</v>
      </c>
      <c r="C407" s="1" t="n">
        <v>45926</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31056-2022</t>
        </is>
      </c>
      <c r="B408" s="1" t="n">
        <v>44769.45805555556</v>
      </c>
      <c r="C408" s="1" t="n">
        <v>45926</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50085-2023</t>
        </is>
      </c>
      <c r="B409" s="1" t="n">
        <v>45215.5959375</v>
      </c>
      <c r="C409" s="1" t="n">
        <v>45926</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50087-2023</t>
        </is>
      </c>
      <c r="B410" s="1" t="n">
        <v>45215.59743055556</v>
      </c>
      <c r="C410" s="1" t="n">
        <v>45926</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33383-2023</t>
        </is>
      </c>
      <c r="B411" s="1" t="n">
        <v>45128.58414351852</v>
      </c>
      <c r="C411" s="1" t="n">
        <v>45926</v>
      </c>
      <c r="D411" t="inlineStr">
        <is>
          <t>KALMAR LÄN</t>
        </is>
      </c>
      <c r="E411" t="inlineStr">
        <is>
          <t>VIMMERBY</t>
        </is>
      </c>
      <c r="G411" t="n">
        <v>2.3</v>
      </c>
      <c r="H411" t="n">
        <v>0</v>
      </c>
      <c r="I411" t="n">
        <v>0</v>
      </c>
      <c r="J411" t="n">
        <v>0</v>
      </c>
      <c r="K411" t="n">
        <v>0</v>
      </c>
      <c r="L411" t="n">
        <v>0</v>
      </c>
      <c r="M411" t="n">
        <v>0</v>
      </c>
      <c r="N411" t="n">
        <v>0</v>
      </c>
      <c r="O411" t="n">
        <v>0</v>
      </c>
      <c r="P411" t="n">
        <v>0</v>
      </c>
      <c r="Q411" t="n">
        <v>0</v>
      </c>
      <c r="R411" s="2" t="inlineStr"/>
    </row>
    <row r="412" ht="15" customHeight="1">
      <c r="A412" t="inlineStr">
        <is>
          <t>A 8167-2024</t>
        </is>
      </c>
      <c r="B412" s="1" t="n">
        <v>45351.6062962963</v>
      </c>
      <c r="C412" s="1" t="n">
        <v>45926</v>
      </c>
      <c r="D412" t="inlineStr">
        <is>
          <t>KALMAR LÄN</t>
        </is>
      </c>
      <c r="E412" t="inlineStr">
        <is>
          <t>VIMMERBY</t>
        </is>
      </c>
      <c r="G412" t="n">
        <v>3.8</v>
      </c>
      <c r="H412" t="n">
        <v>0</v>
      </c>
      <c r="I412" t="n">
        <v>0</v>
      </c>
      <c r="J412" t="n">
        <v>0</v>
      </c>
      <c r="K412" t="n">
        <v>0</v>
      </c>
      <c r="L412" t="n">
        <v>0</v>
      </c>
      <c r="M412" t="n">
        <v>0</v>
      </c>
      <c r="N412" t="n">
        <v>0</v>
      </c>
      <c r="O412" t="n">
        <v>0</v>
      </c>
      <c r="P412" t="n">
        <v>0</v>
      </c>
      <c r="Q412" t="n">
        <v>0</v>
      </c>
      <c r="R412" s="2" t="inlineStr"/>
    </row>
    <row r="413" ht="15" customHeight="1">
      <c r="A413" t="inlineStr">
        <is>
          <t>A 40828-2023</t>
        </is>
      </c>
      <c r="B413" s="1" t="n">
        <v>45171.96248842592</v>
      </c>
      <c r="C413" s="1" t="n">
        <v>45926</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61861-2024</t>
        </is>
      </c>
      <c r="B414" s="1" t="n">
        <v>45650.37370370371</v>
      </c>
      <c r="C414" s="1" t="n">
        <v>45926</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8650-2022</t>
        </is>
      </c>
      <c r="B415" s="1" t="n">
        <v>44613</v>
      </c>
      <c r="C415" s="1" t="n">
        <v>45926</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33340-2023</t>
        </is>
      </c>
      <c r="B416" s="1" t="n">
        <v>45128.37305555555</v>
      </c>
      <c r="C416" s="1" t="n">
        <v>45926</v>
      </c>
      <c r="D416" t="inlineStr">
        <is>
          <t>KALMAR LÄN</t>
        </is>
      </c>
      <c r="E416" t="inlineStr">
        <is>
          <t>VIMMERBY</t>
        </is>
      </c>
      <c r="G416" t="n">
        <v>1.5</v>
      </c>
      <c r="H416" t="n">
        <v>0</v>
      </c>
      <c r="I416" t="n">
        <v>0</v>
      </c>
      <c r="J416" t="n">
        <v>0</v>
      </c>
      <c r="K416" t="n">
        <v>0</v>
      </c>
      <c r="L416" t="n">
        <v>0</v>
      </c>
      <c r="M416" t="n">
        <v>0</v>
      </c>
      <c r="N416" t="n">
        <v>0</v>
      </c>
      <c r="O416" t="n">
        <v>0</v>
      </c>
      <c r="P416" t="n">
        <v>0</v>
      </c>
      <c r="Q416" t="n">
        <v>0</v>
      </c>
      <c r="R416" s="2" t="inlineStr"/>
    </row>
    <row r="417" ht="15" customHeight="1">
      <c r="A417" t="inlineStr">
        <is>
          <t>A 44423-2023</t>
        </is>
      </c>
      <c r="B417" s="1" t="n">
        <v>45189</v>
      </c>
      <c r="C417" s="1" t="n">
        <v>45926</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2604-2025</t>
        </is>
      </c>
      <c r="B418" s="1" t="n">
        <v>45674.74094907408</v>
      </c>
      <c r="C418" s="1" t="n">
        <v>45926</v>
      </c>
      <c r="D418" t="inlineStr">
        <is>
          <t>KALMAR LÄN</t>
        </is>
      </c>
      <c r="E418" t="inlineStr">
        <is>
          <t>VIMMERBY</t>
        </is>
      </c>
      <c r="G418" t="n">
        <v>7.6</v>
      </c>
      <c r="H418" t="n">
        <v>0</v>
      </c>
      <c r="I418" t="n">
        <v>0</v>
      </c>
      <c r="J418" t="n">
        <v>0</v>
      </c>
      <c r="K418" t="n">
        <v>0</v>
      </c>
      <c r="L418" t="n">
        <v>0</v>
      </c>
      <c r="M418" t="n">
        <v>0</v>
      </c>
      <c r="N418" t="n">
        <v>0</v>
      </c>
      <c r="O418" t="n">
        <v>0</v>
      </c>
      <c r="P418" t="n">
        <v>0</v>
      </c>
      <c r="Q418" t="n">
        <v>0</v>
      </c>
      <c r="R418" s="2" t="inlineStr"/>
    </row>
    <row r="419" ht="15" customHeight="1">
      <c r="A419" t="inlineStr">
        <is>
          <t>A 37323-2024</t>
        </is>
      </c>
      <c r="B419" s="1" t="n">
        <v>45540.50098379629</v>
      </c>
      <c r="C419" s="1" t="n">
        <v>45926</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37192-2024</t>
        </is>
      </c>
      <c r="B420" s="1" t="n">
        <v>45539.66027777778</v>
      </c>
      <c r="C420" s="1" t="n">
        <v>45926</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42429-2024</t>
        </is>
      </c>
      <c r="B421" s="1" t="n">
        <v>45565.40657407408</v>
      </c>
      <c r="C421" s="1" t="n">
        <v>45926</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18501-2024</t>
        </is>
      </c>
      <c r="B422" s="1" t="n">
        <v>45425.57538194444</v>
      </c>
      <c r="C422" s="1" t="n">
        <v>45926</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29180-2024</t>
        </is>
      </c>
      <c r="B423" s="1" t="n">
        <v>45482.54108796296</v>
      </c>
      <c r="C423" s="1" t="n">
        <v>45926</v>
      </c>
      <c r="D423" t="inlineStr">
        <is>
          <t>KALMAR LÄN</t>
        </is>
      </c>
      <c r="E423" t="inlineStr">
        <is>
          <t>VIMMERBY</t>
        </is>
      </c>
      <c r="G423" t="n">
        <v>3.8</v>
      </c>
      <c r="H423" t="n">
        <v>0</v>
      </c>
      <c r="I423" t="n">
        <v>0</v>
      </c>
      <c r="J423" t="n">
        <v>0</v>
      </c>
      <c r="K423" t="n">
        <v>0</v>
      </c>
      <c r="L423" t="n">
        <v>0</v>
      </c>
      <c r="M423" t="n">
        <v>0</v>
      </c>
      <c r="N423" t="n">
        <v>0</v>
      </c>
      <c r="O423" t="n">
        <v>0</v>
      </c>
      <c r="P423" t="n">
        <v>0</v>
      </c>
      <c r="Q423" t="n">
        <v>0</v>
      </c>
      <c r="R423" s="2" t="inlineStr"/>
    </row>
    <row r="424" ht="15" customHeight="1">
      <c r="A424" t="inlineStr">
        <is>
          <t>A 27718-2025</t>
        </is>
      </c>
      <c r="B424" s="1" t="n">
        <v>45814.38221064815</v>
      </c>
      <c r="C424" s="1" t="n">
        <v>45926</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27719-2025</t>
        </is>
      </c>
      <c r="B425" s="1" t="n">
        <v>45814.3865625</v>
      </c>
      <c r="C425" s="1" t="n">
        <v>45926</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28286-2025</t>
        </is>
      </c>
      <c r="B426" s="1" t="n">
        <v>45818.58993055556</v>
      </c>
      <c r="C426" s="1" t="n">
        <v>45926</v>
      </c>
      <c r="D426" t="inlineStr">
        <is>
          <t>KALMAR LÄN</t>
        </is>
      </c>
      <c r="E426" t="inlineStr">
        <is>
          <t>VIMMERBY</t>
        </is>
      </c>
      <c r="F426" t="inlineStr">
        <is>
          <t>Sveaskog</t>
        </is>
      </c>
      <c r="G426" t="n">
        <v>8</v>
      </c>
      <c r="H426" t="n">
        <v>0</v>
      </c>
      <c r="I426" t="n">
        <v>0</v>
      </c>
      <c r="J426" t="n">
        <v>0</v>
      </c>
      <c r="K426" t="n">
        <v>0</v>
      </c>
      <c r="L426" t="n">
        <v>0</v>
      </c>
      <c r="M426" t="n">
        <v>0</v>
      </c>
      <c r="N426" t="n">
        <v>0</v>
      </c>
      <c r="O426" t="n">
        <v>0</v>
      </c>
      <c r="P426" t="n">
        <v>0</v>
      </c>
      <c r="Q426" t="n">
        <v>0</v>
      </c>
      <c r="R426" s="2" t="inlineStr"/>
    </row>
    <row r="427" ht="15" customHeight="1">
      <c r="A427" t="inlineStr">
        <is>
          <t>A 45846-2023</t>
        </is>
      </c>
      <c r="B427" s="1" t="n">
        <v>45195.58452546296</v>
      </c>
      <c r="C427" s="1" t="n">
        <v>45926</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28282-2025</t>
        </is>
      </c>
      <c r="B428" s="1" t="n">
        <v>45818.58769675926</v>
      </c>
      <c r="C428" s="1" t="n">
        <v>45926</v>
      </c>
      <c r="D428" t="inlineStr">
        <is>
          <t>KALMAR LÄN</t>
        </is>
      </c>
      <c r="E428" t="inlineStr">
        <is>
          <t>VIMMERBY</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16020-2023</t>
        </is>
      </c>
      <c r="B429" s="1" t="n">
        <v>45026.82216435186</v>
      </c>
      <c r="C429" s="1" t="n">
        <v>45926</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28294-2025</t>
        </is>
      </c>
      <c r="B430" s="1" t="n">
        <v>45818.595625</v>
      </c>
      <c r="C430" s="1" t="n">
        <v>45926</v>
      </c>
      <c r="D430" t="inlineStr">
        <is>
          <t>KALMAR LÄN</t>
        </is>
      </c>
      <c r="E430" t="inlineStr">
        <is>
          <t>VIMMERBY</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28290-2025</t>
        </is>
      </c>
      <c r="B431" s="1" t="n">
        <v>45818.59261574074</v>
      </c>
      <c r="C431" s="1" t="n">
        <v>45926</v>
      </c>
      <c r="D431" t="inlineStr">
        <is>
          <t>KALMAR LÄN</t>
        </is>
      </c>
      <c r="E431" t="inlineStr">
        <is>
          <t>VIMMERBY</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27758-2024</t>
        </is>
      </c>
      <c r="B432" s="1" t="n">
        <v>45475.48303240741</v>
      </c>
      <c r="C432" s="1" t="n">
        <v>45926</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13307-2025</t>
        </is>
      </c>
      <c r="B433" s="1" t="n">
        <v>45735.58024305556</v>
      </c>
      <c r="C433" s="1" t="n">
        <v>45926</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28280-2025</t>
        </is>
      </c>
      <c r="B434" s="1" t="n">
        <v>45818.5862037037</v>
      </c>
      <c r="C434" s="1" t="n">
        <v>45926</v>
      </c>
      <c r="D434" t="inlineStr">
        <is>
          <t>KALMAR LÄN</t>
        </is>
      </c>
      <c r="E434" t="inlineStr">
        <is>
          <t>VIMMERBY</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28620-2025</t>
        </is>
      </c>
      <c r="B435" s="1" t="n">
        <v>45819.61060185185</v>
      </c>
      <c r="C435" s="1" t="n">
        <v>45926</v>
      </c>
      <c r="D435" t="inlineStr">
        <is>
          <t>KALMAR LÄN</t>
        </is>
      </c>
      <c r="E435" t="inlineStr">
        <is>
          <t>VIMMERBY</t>
        </is>
      </c>
      <c r="G435" t="n">
        <v>5.6</v>
      </c>
      <c r="H435" t="n">
        <v>0</v>
      </c>
      <c r="I435" t="n">
        <v>0</v>
      </c>
      <c r="J435" t="n">
        <v>0</v>
      </c>
      <c r="K435" t="n">
        <v>0</v>
      </c>
      <c r="L435" t="n">
        <v>0</v>
      </c>
      <c r="M435" t="n">
        <v>0</v>
      </c>
      <c r="N435" t="n">
        <v>0</v>
      </c>
      <c r="O435" t="n">
        <v>0</v>
      </c>
      <c r="P435" t="n">
        <v>0</v>
      </c>
      <c r="Q435" t="n">
        <v>0</v>
      </c>
      <c r="R435" s="2" t="inlineStr"/>
    </row>
    <row r="436" ht="15" customHeight="1">
      <c r="A436" t="inlineStr">
        <is>
          <t>A 55716-2023</t>
        </is>
      </c>
      <c r="B436" s="1" t="n">
        <v>45232</v>
      </c>
      <c r="C436" s="1" t="n">
        <v>45926</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61820-2023</t>
        </is>
      </c>
      <c r="B437" s="1" t="n">
        <v>45266.32614583334</v>
      </c>
      <c r="C437" s="1" t="n">
        <v>45926</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18329-2023</t>
        </is>
      </c>
      <c r="B438" s="1" t="n">
        <v>45041.63380787037</v>
      </c>
      <c r="C438" s="1" t="n">
        <v>45926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30402-2023</t>
        </is>
      </c>
      <c r="B439" s="1" t="n">
        <v>45111.48395833333</v>
      </c>
      <c r="C439" s="1" t="n">
        <v>45926</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11609-2023</t>
        </is>
      </c>
      <c r="B440" s="1" t="n">
        <v>44994.40635416667</v>
      </c>
      <c r="C440" s="1" t="n">
        <v>45926</v>
      </c>
      <c r="D440" t="inlineStr">
        <is>
          <t>KALMAR LÄN</t>
        </is>
      </c>
      <c r="E440" t="inlineStr">
        <is>
          <t>VIMMERBY</t>
        </is>
      </c>
      <c r="G440" t="n">
        <v>4.9</v>
      </c>
      <c r="H440" t="n">
        <v>0</v>
      </c>
      <c r="I440" t="n">
        <v>0</v>
      </c>
      <c r="J440" t="n">
        <v>0</v>
      </c>
      <c r="K440" t="n">
        <v>0</v>
      </c>
      <c r="L440" t="n">
        <v>0</v>
      </c>
      <c r="M440" t="n">
        <v>0</v>
      </c>
      <c r="N440" t="n">
        <v>0</v>
      </c>
      <c r="O440" t="n">
        <v>0</v>
      </c>
      <c r="P440" t="n">
        <v>0</v>
      </c>
      <c r="Q440" t="n">
        <v>0</v>
      </c>
      <c r="R440" s="2" t="inlineStr"/>
    </row>
    <row r="441" ht="15" customHeight="1">
      <c r="A441" t="inlineStr">
        <is>
          <t>A 45560-2021</t>
        </is>
      </c>
      <c r="B441" s="1" t="n">
        <v>44440</v>
      </c>
      <c r="C441" s="1" t="n">
        <v>45926</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65961-2020</t>
        </is>
      </c>
      <c r="B442" s="1" t="n">
        <v>44175.39748842592</v>
      </c>
      <c r="C442" s="1" t="n">
        <v>45926</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13015-2023</t>
        </is>
      </c>
      <c r="B443" s="1" t="n">
        <v>45002</v>
      </c>
      <c r="C443" s="1" t="n">
        <v>45926</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16983-2023</t>
        </is>
      </c>
      <c r="B444" s="1" t="n">
        <v>45033.76043981482</v>
      </c>
      <c r="C444" s="1" t="n">
        <v>45926</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46144-2023</t>
        </is>
      </c>
      <c r="B445" s="1" t="n">
        <v>45196.57247685185</v>
      </c>
      <c r="C445" s="1" t="n">
        <v>45926</v>
      </c>
      <c r="D445" t="inlineStr">
        <is>
          <t>KALMAR LÄN</t>
        </is>
      </c>
      <c r="E445" t="inlineStr">
        <is>
          <t>VIMMERBY</t>
        </is>
      </c>
      <c r="G445" t="n">
        <v>6.5</v>
      </c>
      <c r="H445" t="n">
        <v>0</v>
      </c>
      <c r="I445" t="n">
        <v>0</v>
      </c>
      <c r="J445" t="n">
        <v>0</v>
      </c>
      <c r="K445" t="n">
        <v>0</v>
      </c>
      <c r="L445" t="n">
        <v>0</v>
      </c>
      <c r="M445" t="n">
        <v>0</v>
      </c>
      <c r="N445" t="n">
        <v>0</v>
      </c>
      <c r="O445" t="n">
        <v>0</v>
      </c>
      <c r="P445" t="n">
        <v>0</v>
      </c>
      <c r="Q445" t="n">
        <v>0</v>
      </c>
      <c r="R445" s="2" t="inlineStr"/>
    </row>
    <row r="446" ht="15" customHeight="1">
      <c r="A446" t="inlineStr">
        <is>
          <t>A 40256-2024</t>
        </is>
      </c>
      <c r="B446" s="1" t="n">
        <v>45554.62944444444</v>
      </c>
      <c r="C446" s="1" t="n">
        <v>45926</v>
      </c>
      <c r="D446" t="inlineStr">
        <is>
          <t>KALMAR LÄN</t>
        </is>
      </c>
      <c r="E446" t="inlineStr">
        <is>
          <t>VIMMERBY</t>
        </is>
      </c>
      <c r="G446" t="n">
        <v>0.9</v>
      </c>
      <c r="H446" t="n">
        <v>0</v>
      </c>
      <c r="I446" t="n">
        <v>0</v>
      </c>
      <c r="J446" t="n">
        <v>0</v>
      </c>
      <c r="K446" t="n">
        <v>0</v>
      </c>
      <c r="L446" t="n">
        <v>0</v>
      </c>
      <c r="M446" t="n">
        <v>0</v>
      </c>
      <c r="N446" t="n">
        <v>0</v>
      </c>
      <c r="O446" t="n">
        <v>0</v>
      </c>
      <c r="P446" t="n">
        <v>0</v>
      </c>
      <c r="Q446" t="n">
        <v>0</v>
      </c>
      <c r="R446" s="2" t="inlineStr"/>
    </row>
    <row r="447" ht="15" customHeight="1">
      <c r="A447" t="inlineStr">
        <is>
          <t>A 29186-2024</t>
        </is>
      </c>
      <c r="B447" s="1" t="n">
        <v>45482.54844907407</v>
      </c>
      <c r="C447" s="1" t="n">
        <v>45926</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50993-2022</t>
        </is>
      </c>
      <c r="B448" s="1" t="n">
        <v>44867</v>
      </c>
      <c r="C448" s="1" t="n">
        <v>45926</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58104-2024</t>
        </is>
      </c>
      <c r="B449" s="1" t="n">
        <v>45632.37459490741</v>
      </c>
      <c r="C449" s="1" t="n">
        <v>45926</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36259-2022</t>
        </is>
      </c>
      <c r="B450" s="1" t="n">
        <v>44803.59118055556</v>
      </c>
      <c r="C450" s="1" t="n">
        <v>45926</v>
      </c>
      <c r="D450" t="inlineStr">
        <is>
          <t>KALMAR LÄN</t>
        </is>
      </c>
      <c r="E450" t="inlineStr">
        <is>
          <t>VIMMERBY</t>
        </is>
      </c>
      <c r="G450" t="n">
        <v>3.9</v>
      </c>
      <c r="H450" t="n">
        <v>0</v>
      </c>
      <c r="I450" t="n">
        <v>0</v>
      </c>
      <c r="J450" t="n">
        <v>0</v>
      </c>
      <c r="K450" t="n">
        <v>0</v>
      </c>
      <c r="L450" t="n">
        <v>0</v>
      </c>
      <c r="M450" t="n">
        <v>0</v>
      </c>
      <c r="N450" t="n">
        <v>0</v>
      </c>
      <c r="O450" t="n">
        <v>0</v>
      </c>
      <c r="P450" t="n">
        <v>0</v>
      </c>
      <c r="Q450" t="n">
        <v>0</v>
      </c>
      <c r="R450" s="2" t="inlineStr"/>
    </row>
    <row r="451" ht="15" customHeight="1">
      <c r="A451" t="inlineStr">
        <is>
          <t>A 43034-2024</t>
        </is>
      </c>
      <c r="B451" s="1" t="n">
        <v>45567.42011574074</v>
      </c>
      <c r="C451" s="1" t="n">
        <v>45926</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3902-2022</t>
        </is>
      </c>
      <c r="B452" s="1" t="n">
        <v>44587.48847222222</v>
      </c>
      <c r="C452" s="1" t="n">
        <v>45926</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30070-2023</t>
        </is>
      </c>
      <c r="B453" s="1" t="n">
        <v>45110.4275</v>
      </c>
      <c r="C453" s="1" t="n">
        <v>45926</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28712-2025</t>
        </is>
      </c>
      <c r="B454" s="1" t="n">
        <v>45820.33708333333</v>
      </c>
      <c r="C454" s="1" t="n">
        <v>45926</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28714-2025</t>
        </is>
      </c>
      <c r="B455" s="1" t="n">
        <v>45820.34128472222</v>
      </c>
      <c r="C455" s="1" t="n">
        <v>45926</v>
      </c>
      <c r="D455" t="inlineStr">
        <is>
          <t>KALMAR LÄN</t>
        </is>
      </c>
      <c r="E455" t="inlineStr">
        <is>
          <t>VIMMERBY</t>
        </is>
      </c>
      <c r="G455" t="n">
        <v>1.8</v>
      </c>
      <c r="H455" t="n">
        <v>0</v>
      </c>
      <c r="I455" t="n">
        <v>0</v>
      </c>
      <c r="J455" t="n">
        <v>0</v>
      </c>
      <c r="K455" t="n">
        <v>0</v>
      </c>
      <c r="L455" t="n">
        <v>0</v>
      </c>
      <c r="M455" t="n">
        <v>0</v>
      </c>
      <c r="N455" t="n">
        <v>0</v>
      </c>
      <c r="O455" t="n">
        <v>0</v>
      </c>
      <c r="P455" t="n">
        <v>0</v>
      </c>
      <c r="Q455" t="n">
        <v>0</v>
      </c>
      <c r="R455" s="2" t="inlineStr"/>
    </row>
    <row r="456" ht="15" customHeight="1">
      <c r="A456" t="inlineStr">
        <is>
          <t>A 31209-2024</t>
        </is>
      </c>
      <c r="B456" s="1" t="n">
        <v>45503.5658912037</v>
      </c>
      <c r="C456" s="1" t="n">
        <v>45926</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4527-2023</t>
        </is>
      </c>
      <c r="B457" s="1" t="n">
        <v>44956</v>
      </c>
      <c r="C457" s="1" t="n">
        <v>45926</v>
      </c>
      <c r="D457" t="inlineStr">
        <is>
          <t>KALMAR LÄN</t>
        </is>
      </c>
      <c r="E457" t="inlineStr">
        <is>
          <t>VIMMERBY</t>
        </is>
      </c>
      <c r="F457" t="inlineStr">
        <is>
          <t>Kommuner</t>
        </is>
      </c>
      <c r="G457" t="n">
        <v>8.5</v>
      </c>
      <c r="H457" t="n">
        <v>0</v>
      </c>
      <c r="I457" t="n">
        <v>0</v>
      </c>
      <c r="J457" t="n">
        <v>0</v>
      </c>
      <c r="K457" t="n">
        <v>0</v>
      </c>
      <c r="L457" t="n">
        <v>0</v>
      </c>
      <c r="M457" t="n">
        <v>0</v>
      </c>
      <c r="N457" t="n">
        <v>0</v>
      </c>
      <c r="O457" t="n">
        <v>0</v>
      </c>
      <c r="P457" t="n">
        <v>0</v>
      </c>
      <c r="Q457" t="n">
        <v>0</v>
      </c>
      <c r="R457" s="2" t="inlineStr"/>
    </row>
    <row r="458" ht="15" customHeight="1">
      <c r="A458" t="inlineStr">
        <is>
          <t>A 12586-2021</t>
        </is>
      </c>
      <c r="B458" s="1" t="n">
        <v>44270.38002314815</v>
      </c>
      <c r="C458" s="1" t="n">
        <v>45926</v>
      </c>
      <c r="D458" t="inlineStr">
        <is>
          <t>KALMAR LÄN</t>
        </is>
      </c>
      <c r="E458" t="inlineStr">
        <is>
          <t>VIMMERBY</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5864-2022</t>
        </is>
      </c>
      <c r="B459" s="1" t="n">
        <v>44596</v>
      </c>
      <c r="C459" s="1" t="n">
        <v>45926</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54787-2023</t>
        </is>
      </c>
      <c r="B460" s="1" t="n">
        <v>45236</v>
      </c>
      <c r="C460" s="1" t="n">
        <v>45926</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32614-2023</t>
        </is>
      </c>
      <c r="B461" s="1" t="n">
        <v>45121</v>
      </c>
      <c r="C461" s="1" t="n">
        <v>45926</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6850-2023</t>
        </is>
      </c>
      <c r="B462" s="1" t="n">
        <v>44967.44255787037</v>
      </c>
      <c r="C462" s="1" t="n">
        <v>45926</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58750-2022</t>
        </is>
      </c>
      <c r="B463" s="1" t="n">
        <v>44903.33363425926</v>
      </c>
      <c r="C463" s="1" t="n">
        <v>45926</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41158-2023</t>
        </is>
      </c>
      <c r="B464" s="1" t="n">
        <v>45174.31395833333</v>
      </c>
      <c r="C464" s="1" t="n">
        <v>45926</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2510-2023</t>
        </is>
      </c>
      <c r="B465" s="1" t="n">
        <v>44943.57309027778</v>
      </c>
      <c r="C465" s="1" t="n">
        <v>45926</v>
      </c>
      <c r="D465" t="inlineStr">
        <is>
          <t>KALMAR LÄN</t>
        </is>
      </c>
      <c r="E465" t="inlineStr">
        <is>
          <t>VIMMERBY</t>
        </is>
      </c>
      <c r="G465" t="n">
        <v>8.6</v>
      </c>
      <c r="H465" t="n">
        <v>0</v>
      </c>
      <c r="I465" t="n">
        <v>0</v>
      </c>
      <c r="J465" t="n">
        <v>0</v>
      </c>
      <c r="K465" t="n">
        <v>0</v>
      </c>
      <c r="L465" t="n">
        <v>0</v>
      </c>
      <c r="M465" t="n">
        <v>0</v>
      </c>
      <c r="N465" t="n">
        <v>0</v>
      </c>
      <c r="O465" t="n">
        <v>0</v>
      </c>
      <c r="P465" t="n">
        <v>0</v>
      </c>
      <c r="Q465" t="n">
        <v>0</v>
      </c>
      <c r="R465" s="2" t="inlineStr"/>
    </row>
    <row r="466" ht="15" customHeight="1">
      <c r="A466" t="inlineStr">
        <is>
          <t>A 30912-2023</t>
        </is>
      </c>
      <c r="B466" s="1" t="n">
        <v>45113.41633101852</v>
      </c>
      <c r="C466" s="1" t="n">
        <v>45926</v>
      </c>
      <c r="D466" t="inlineStr">
        <is>
          <t>KALMAR LÄN</t>
        </is>
      </c>
      <c r="E466" t="inlineStr">
        <is>
          <t>VIMMERBY</t>
        </is>
      </c>
      <c r="G466" t="n">
        <v>5</v>
      </c>
      <c r="H466" t="n">
        <v>0</v>
      </c>
      <c r="I466" t="n">
        <v>0</v>
      </c>
      <c r="J466" t="n">
        <v>0</v>
      </c>
      <c r="K466" t="n">
        <v>0</v>
      </c>
      <c r="L466" t="n">
        <v>0</v>
      </c>
      <c r="M466" t="n">
        <v>0</v>
      </c>
      <c r="N466" t="n">
        <v>0</v>
      </c>
      <c r="O466" t="n">
        <v>0</v>
      </c>
      <c r="P466" t="n">
        <v>0</v>
      </c>
      <c r="Q466" t="n">
        <v>0</v>
      </c>
      <c r="R466" s="2" t="inlineStr"/>
    </row>
    <row r="467" ht="15" customHeight="1">
      <c r="A467" t="inlineStr">
        <is>
          <t>A 1146-2025</t>
        </is>
      </c>
      <c r="B467" s="1" t="n">
        <v>45666</v>
      </c>
      <c r="C467" s="1" t="n">
        <v>45926</v>
      </c>
      <c r="D467" t="inlineStr">
        <is>
          <t>KALMAR LÄN</t>
        </is>
      </c>
      <c r="E467" t="inlineStr">
        <is>
          <t>VIMMERBY</t>
        </is>
      </c>
      <c r="G467" t="n">
        <v>4</v>
      </c>
      <c r="H467" t="n">
        <v>0</v>
      </c>
      <c r="I467" t="n">
        <v>0</v>
      </c>
      <c r="J467" t="n">
        <v>0</v>
      </c>
      <c r="K467" t="n">
        <v>0</v>
      </c>
      <c r="L467" t="n">
        <v>0</v>
      </c>
      <c r="M467" t="n">
        <v>0</v>
      </c>
      <c r="N467" t="n">
        <v>0</v>
      </c>
      <c r="O467" t="n">
        <v>0</v>
      </c>
      <c r="P467" t="n">
        <v>0</v>
      </c>
      <c r="Q467" t="n">
        <v>0</v>
      </c>
      <c r="R467" s="2" t="inlineStr"/>
    </row>
    <row r="468" ht="15" customHeight="1">
      <c r="A468" t="inlineStr">
        <is>
          <t>A 3269-2024</t>
        </is>
      </c>
      <c r="B468" s="1" t="n">
        <v>45317.40372685185</v>
      </c>
      <c r="C468" s="1" t="n">
        <v>45926</v>
      </c>
      <c r="D468" t="inlineStr">
        <is>
          <t>KALMAR LÄN</t>
        </is>
      </c>
      <c r="E468" t="inlineStr">
        <is>
          <t>VIMMERBY</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48120-2022</t>
        </is>
      </c>
      <c r="B469" s="1" t="n">
        <v>44857.65989583333</v>
      </c>
      <c r="C469" s="1" t="n">
        <v>45926</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6368-2023</t>
        </is>
      </c>
      <c r="B470" s="1" t="n">
        <v>44965</v>
      </c>
      <c r="C470" s="1" t="n">
        <v>45926</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9416-2024</t>
        </is>
      </c>
      <c r="B471" s="1" t="n">
        <v>45359.44837962963</v>
      </c>
      <c r="C471" s="1" t="n">
        <v>45926</v>
      </c>
      <c r="D471" t="inlineStr">
        <is>
          <t>KALMAR LÄN</t>
        </is>
      </c>
      <c r="E471" t="inlineStr">
        <is>
          <t>VIMMERBY</t>
        </is>
      </c>
      <c r="G471" t="n">
        <v>3.2</v>
      </c>
      <c r="H471" t="n">
        <v>0</v>
      </c>
      <c r="I471" t="n">
        <v>0</v>
      </c>
      <c r="J471" t="n">
        <v>0</v>
      </c>
      <c r="K471" t="n">
        <v>0</v>
      </c>
      <c r="L471" t="n">
        <v>0</v>
      </c>
      <c r="M471" t="n">
        <v>0</v>
      </c>
      <c r="N471" t="n">
        <v>0</v>
      </c>
      <c r="O471" t="n">
        <v>0</v>
      </c>
      <c r="P471" t="n">
        <v>0</v>
      </c>
      <c r="Q471" t="n">
        <v>0</v>
      </c>
      <c r="R471" s="2" t="inlineStr"/>
    </row>
    <row r="472" ht="15" customHeight="1">
      <c r="A472" t="inlineStr">
        <is>
          <t>A 62023-2022</t>
        </is>
      </c>
      <c r="B472" s="1" t="n">
        <v>44918.50106481482</v>
      </c>
      <c r="C472" s="1" t="n">
        <v>45926</v>
      </c>
      <c r="D472" t="inlineStr">
        <is>
          <t>KALMAR LÄN</t>
        </is>
      </c>
      <c r="E472" t="inlineStr">
        <is>
          <t>VIMMERBY</t>
        </is>
      </c>
      <c r="G472" t="n">
        <v>0.3</v>
      </c>
      <c r="H472" t="n">
        <v>0</v>
      </c>
      <c r="I472" t="n">
        <v>0</v>
      </c>
      <c r="J472" t="n">
        <v>0</v>
      </c>
      <c r="K472" t="n">
        <v>0</v>
      </c>
      <c r="L472" t="n">
        <v>0</v>
      </c>
      <c r="M472" t="n">
        <v>0</v>
      </c>
      <c r="N472" t="n">
        <v>0</v>
      </c>
      <c r="O472" t="n">
        <v>0</v>
      </c>
      <c r="P472" t="n">
        <v>0</v>
      </c>
      <c r="Q472" t="n">
        <v>0</v>
      </c>
      <c r="R472" s="2" t="inlineStr"/>
    </row>
    <row r="473" ht="15" customHeight="1">
      <c r="A473" t="inlineStr">
        <is>
          <t>A 2797-2023</t>
        </is>
      </c>
      <c r="B473" s="1" t="n">
        <v>44944.71386574074</v>
      </c>
      <c r="C473" s="1" t="n">
        <v>45926</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2799-2023</t>
        </is>
      </c>
      <c r="B474" s="1" t="n">
        <v>44944.72100694444</v>
      </c>
      <c r="C474" s="1" t="n">
        <v>45926</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25987-2024</t>
        </is>
      </c>
      <c r="B475" s="1" t="n">
        <v>45467.74417824074</v>
      </c>
      <c r="C475" s="1" t="n">
        <v>45926</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22194-2024</t>
        </is>
      </c>
      <c r="B476" s="1" t="n">
        <v>45446.36482638889</v>
      </c>
      <c r="C476" s="1" t="n">
        <v>45926</v>
      </c>
      <c r="D476" t="inlineStr">
        <is>
          <t>KALMAR LÄN</t>
        </is>
      </c>
      <c r="E476" t="inlineStr">
        <is>
          <t>VIMMERBY</t>
        </is>
      </c>
      <c r="F476" t="inlineStr">
        <is>
          <t>Sveaskog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19865-2021</t>
        </is>
      </c>
      <c r="B477" s="1" t="n">
        <v>44312</v>
      </c>
      <c r="C477" s="1" t="n">
        <v>45926</v>
      </c>
      <c r="D477" t="inlineStr">
        <is>
          <t>KALMAR LÄN</t>
        </is>
      </c>
      <c r="E477" t="inlineStr">
        <is>
          <t>VIMMERBY</t>
        </is>
      </c>
      <c r="G477" t="n">
        <v>8.6</v>
      </c>
      <c r="H477" t="n">
        <v>0</v>
      </c>
      <c r="I477" t="n">
        <v>0</v>
      </c>
      <c r="J477" t="n">
        <v>0</v>
      </c>
      <c r="K477" t="n">
        <v>0</v>
      </c>
      <c r="L477" t="n">
        <v>0</v>
      </c>
      <c r="M477" t="n">
        <v>0</v>
      </c>
      <c r="N477" t="n">
        <v>0</v>
      </c>
      <c r="O477" t="n">
        <v>0</v>
      </c>
      <c r="P477" t="n">
        <v>0</v>
      </c>
      <c r="Q477" t="n">
        <v>0</v>
      </c>
      <c r="R477" s="2" t="inlineStr"/>
    </row>
    <row r="478" ht="15" customHeight="1">
      <c r="A478" t="inlineStr">
        <is>
          <t>A 12630-2023</t>
        </is>
      </c>
      <c r="B478" s="1" t="n">
        <v>45000.47998842593</v>
      </c>
      <c r="C478" s="1" t="n">
        <v>45926</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16119-2023</t>
        </is>
      </c>
      <c r="B479" s="1" t="n">
        <v>45027.59450231482</v>
      </c>
      <c r="C479" s="1" t="n">
        <v>45926</v>
      </c>
      <c r="D479" t="inlineStr">
        <is>
          <t>KALMAR LÄN</t>
        </is>
      </c>
      <c r="E479" t="inlineStr">
        <is>
          <t>VIMMERBY</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21109-2024</t>
        </is>
      </c>
      <c r="B480" s="1" t="n">
        <v>45440.28329861111</v>
      </c>
      <c r="C480" s="1" t="n">
        <v>45926</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52327-2023</t>
        </is>
      </c>
      <c r="B481" s="1" t="n">
        <v>45224.6515162037</v>
      </c>
      <c r="C481" s="1" t="n">
        <v>45926</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30634-2024</t>
        </is>
      </c>
      <c r="B482" s="1" t="n">
        <v>45495</v>
      </c>
      <c r="C482" s="1" t="n">
        <v>45926</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40260-2024</t>
        </is>
      </c>
      <c r="B483" s="1" t="n">
        <v>45554.63225694445</v>
      </c>
      <c r="C483" s="1" t="n">
        <v>45926</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28713-2025</t>
        </is>
      </c>
      <c r="B484" s="1" t="n">
        <v>45820.33930555556</v>
      </c>
      <c r="C484" s="1" t="n">
        <v>45926</v>
      </c>
      <c r="D484" t="inlineStr">
        <is>
          <t>KALMAR LÄN</t>
        </is>
      </c>
      <c r="E484" t="inlineStr">
        <is>
          <t>VIMMERBY</t>
        </is>
      </c>
      <c r="G484" t="n">
        <v>2.3</v>
      </c>
      <c r="H484" t="n">
        <v>0</v>
      </c>
      <c r="I484" t="n">
        <v>0</v>
      </c>
      <c r="J484" t="n">
        <v>0</v>
      </c>
      <c r="K484" t="n">
        <v>0</v>
      </c>
      <c r="L484" t="n">
        <v>0</v>
      </c>
      <c r="M484" t="n">
        <v>0</v>
      </c>
      <c r="N484" t="n">
        <v>0</v>
      </c>
      <c r="O484" t="n">
        <v>0</v>
      </c>
      <c r="P484" t="n">
        <v>0</v>
      </c>
      <c r="Q484" t="n">
        <v>0</v>
      </c>
      <c r="R484" s="2" t="inlineStr"/>
    </row>
    <row r="485" ht="15" customHeight="1">
      <c r="A485" t="inlineStr">
        <is>
          <t>A 12075-2024</t>
        </is>
      </c>
      <c r="B485" s="1" t="n">
        <v>45377</v>
      </c>
      <c r="C485" s="1" t="n">
        <v>45926</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59943-2023</t>
        </is>
      </c>
      <c r="B486" s="1" t="n">
        <v>45257.67958333333</v>
      </c>
      <c r="C486" s="1" t="n">
        <v>45926</v>
      </c>
      <c r="D486" t="inlineStr">
        <is>
          <t>KALMAR LÄN</t>
        </is>
      </c>
      <c r="E486" t="inlineStr">
        <is>
          <t>VIMMERBY</t>
        </is>
      </c>
      <c r="G486" t="n">
        <v>6.4</v>
      </c>
      <c r="H486" t="n">
        <v>0</v>
      </c>
      <c r="I486" t="n">
        <v>0</v>
      </c>
      <c r="J486" t="n">
        <v>0</v>
      </c>
      <c r="K486" t="n">
        <v>0</v>
      </c>
      <c r="L486" t="n">
        <v>0</v>
      </c>
      <c r="M486" t="n">
        <v>0</v>
      </c>
      <c r="N486" t="n">
        <v>0</v>
      </c>
      <c r="O486" t="n">
        <v>0</v>
      </c>
      <c r="P486" t="n">
        <v>0</v>
      </c>
      <c r="Q486" t="n">
        <v>0</v>
      </c>
      <c r="R486" s="2" t="inlineStr"/>
    </row>
    <row r="487" ht="15" customHeight="1">
      <c r="A487" t="inlineStr">
        <is>
          <t>A 29348-2023</t>
        </is>
      </c>
      <c r="B487" s="1" t="n">
        <v>45106.25025462963</v>
      </c>
      <c r="C487" s="1" t="n">
        <v>45926</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31340-2023</t>
        </is>
      </c>
      <c r="B488" s="1" t="n">
        <v>45114.47895833333</v>
      </c>
      <c r="C488" s="1" t="n">
        <v>45926</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5527-2022</t>
        </is>
      </c>
      <c r="B489" s="1" t="n">
        <v>44595.583125</v>
      </c>
      <c r="C489" s="1" t="n">
        <v>45926</v>
      </c>
      <c r="D489" t="inlineStr">
        <is>
          <t>KALMAR LÄN</t>
        </is>
      </c>
      <c r="E489" t="inlineStr">
        <is>
          <t>VIMMERBY</t>
        </is>
      </c>
      <c r="G489" t="n">
        <v>3.6</v>
      </c>
      <c r="H489" t="n">
        <v>0</v>
      </c>
      <c r="I489" t="n">
        <v>0</v>
      </c>
      <c r="J489" t="n">
        <v>0</v>
      </c>
      <c r="K489" t="n">
        <v>0</v>
      </c>
      <c r="L489" t="n">
        <v>0</v>
      </c>
      <c r="M489" t="n">
        <v>0</v>
      </c>
      <c r="N489" t="n">
        <v>0</v>
      </c>
      <c r="O489" t="n">
        <v>0</v>
      </c>
      <c r="P489" t="n">
        <v>0</v>
      </c>
      <c r="Q489" t="n">
        <v>0</v>
      </c>
      <c r="R489" s="2" t="inlineStr"/>
    </row>
    <row r="490" ht="15" customHeight="1">
      <c r="A490" t="inlineStr">
        <is>
          <t>A 12325-2023</t>
        </is>
      </c>
      <c r="B490" s="1" t="n">
        <v>44999.35858796296</v>
      </c>
      <c r="C490" s="1" t="n">
        <v>45926</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1016-2024</t>
        </is>
      </c>
      <c r="B491" s="1" t="n">
        <v>45301</v>
      </c>
      <c r="C491" s="1" t="n">
        <v>45926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33681-2022</t>
        </is>
      </c>
      <c r="B492" s="1" t="n">
        <v>44789</v>
      </c>
      <c r="C492" s="1" t="n">
        <v>45926</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7758-2024</t>
        </is>
      </c>
      <c r="B493" s="1" t="n">
        <v>45349.54434027777</v>
      </c>
      <c r="C493" s="1" t="n">
        <v>45926</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5074-2023</t>
        </is>
      </c>
      <c r="B494" s="1" t="n">
        <v>44958.61047453704</v>
      </c>
      <c r="C494" s="1" t="n">
        <v>45926</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5701-2024</t>
        </is>
      </c>
      <c r="B495" s="1" t="n">
        <v>45334.78826388889</v>
      </c>
      <c r="C495" s="1" t="n">
        <v>45926</v>
      </c>
      <c r="D495" t="inlineStr">
        <is>
          <t>KALMAR LÄN</t>
        </is>
      </c>
      <c r="E495" t="inlineStr">
        <is>
          <t>VIMMERBY</t>
        </is>
      </c>
      <c r="G495" t="n">
        <v>2.3</v>
      </c>
      <c r="H495" t="n">
        <v>0</v>
      </c>
      <c r="I495" t="n">
        <v>0</v>
      </c>
      <c r="J495" t="n">
        <v>0</v>
      </c>
      <c r="K495" t="n">
        <v>0</v>
      </c>
      <c r="L495" t="n">
        <v>0</v>
      </c>
      <c r="M495" t="n">
        <v>0</v>
      </c>
      <c r="N495" t="n">
        <v>0</v>
      </c>
      <c r="O495" t="n">
        <v>0</v>
      </c>
      <c r="P495" t="n">
        <v>0</v>
      </c>
      <c r="Q495" t="n">
        <v>0</v>
      </c>
      <c r="R495" s="2" t="inlineStr"/>
    </row>
    <row r="496" ht="15" customHeight="1">
      <c r="A496" t="inlineStr">
        <is>
          <t>A 51187-2023</t>
        </is>
      </c>
      <c r="B496" s="1" t="n">
        <v>45219.40528935185</v>
      </c>
      <c r="C496" s="1" t="n">
        <v>45926</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31405-2023</t>
        </is>
      </c>
      <c r="B497" s="1" t="n">
        <v>45114.58148148148</v>
      </c>
      <c r="C497" s="1" t="n">
        <v>45926</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6355-2022</t>
        </is>
      </c>
      <c r="B498" s="1" t="n">
        <v>44600</v>
      </c>
      <c r="C498" s="1" t="n">
        <v>45926</v>
      </c>
      <c r="D498" t="inlineStr">
        <is>
          <t>KALMAR LÄN</t>
        </is>
      </c>
      <c r="E498" t="inlineStr">
        <is>
          <t>VIMMERBY</t>
        </is>
      </c>
      <c r="G498" t="n">
        <v>4.9</v>
      </c>
      <c r="H498" t="n">
        <v>0</v>
      </c>
      <c r="I498" t="n">
        <v>0</v>
      </c>
      <c r="J498" t="n">
        <v>0</v>
      </c>
      <c r="K498" t="n">
        <v>0</v>
      </c>
      <c r="L498" t="n">
        <v>0</v>
      </c>
      <c r="M498" t="n">
        <v>0</v>
      </c>
      <c r="N498" t="n">
        <v>0</v>
      </c>
      <c r="O498" t="n">
        <v>0</v>
      </c>
      <c r="P498" t="n">
        <v>0</v>
      </c>
      <c r="Q498" t="n">
        <v>0</v>
      </c>
      <c r="R498" s="2" t="inlineStr"/>
    </row>
    <row r="499" ht="15" customHeight="1">
      <c r="A499" t="inlineStr">
        <is>
          <t>A 29726-2025</t>
        </is>
      </c>
      <c r="B499" s="1" t="n">
        <v>45825.57805555555</v>
      </c>
      <c r="C499" s="1" t="n">
        <v>45926</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46225-2024</t>
        </is>
      </c>
      <c r="B500" s="1" t="n">
        <v>45581.57333333333</v>
      </c>
      <c r="C500" s="1" t="n">
        <v>45926</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15715-2022</t>
        </is>
      </c>
      <c r="B501" s="1" t="n">
        <v>44663</v>
      </c>
      <c r="C501" s="1" t="n">
        <v>45926</v>
      </c>
      <c r="D501" t="inlineStr">
        <is>
          <t>KALMAR LÄN</t>
        </is>
      </c>
      <c r="E501" t="inlineStr">
        <is>
          <t>VIMMERBY</t>
        </is>
      </c>
      <c r="G501" t="n">
        <v>2.3</v>
      </c>
      <c r="H501" t="n">
        <v>0</v>
      </c>
      <c r="I501" t="n">
        <v>0</v>
      </c>
      <c r="J501" t="n">
        <v>0</v>
      </c>
      <c r="K501" t="n">
        <v>0</v>
      </c>
      <c r="L501" t="n">
        <v>0</v>
      </c>
      <c r="M501" t="n">
        <v>0</v>
      </c>
      <c r="N501" t="n">
        <v>0</v>
      </c>
      <c r="O501" t="n">
        <v>0</v>
      </c>
      <c r="P501" t="n">
        <v>0</v>
      </c>
      <c r="Q501" t="n">
        <v>0</v>
      </c>
      <c r="R501" s="2" t="inlineStr"/>
    </row>
    <row r="502" ht="15" customHeight="1">
      <c r="A502" t="inlineStr">
        <is>
          <t>A 43093-2024</t>
        </is>
      </c>
      <c r="B502" s="1" t="n">
        <v>45567</v>
      </c>
      <c r="C502" s="1" t="n">
        <v>45926</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56022-2024</t>
        </is>
      </c>
      <c r="B503" s="1" t="n">
        <v>45623.95947916667</v>
      </c>
      <c r="C503" s="1" t="n">
        <v>45926</v>
      </c>
      <c r="D503" t="inlineStr">
        <is>
          <t>KALMAR LÄN</t>
        </is>
      </c>
      <c r="E503" t="inlineStr">
        <is>
          <t>VIMMERBY</t>
        </is>
      </c>
      <c r="G503" t="n">
        <v>0.3</v>
      </c>
      <c r="H503" t="n">
        <v>0</v>
      </c>
      <c r="I503" t="n">
        <v>0</v>
      </c>
      <c r="J503" t="n">
        <v>0</v>
      </c>
      <c r="K503" t="n">
        <v>0</v>
      </c>
      <c r="L503" t="n">
        <v>0</v>
      </c>
      <c r="M503" t="n">
        <v>0</v>
      </c>
      <c r="N503" t="n">
        <v>0</v>
      </c>
      <c r="O503" t="n">
        <v>0</v>
      </c>
      <c r="P503" t="n">
        <v>0</v>
      </c>
      <c r="Q503" t="n">
        <v>0</v>
      </c>
      <c r="R503" s="2" t="inlineStr"/>
    </row>
    <row r="504" ht="15" customHeight="1">
      <c r="A504" t="inlineStr">
        <is>
          <t>A 18330-2023</t>
        </is>
      </c>
      <c r="B504" s="1" t="n">
        <v>45041</v>
      </c>
      <c r="C504" s="1" t="n">
        <v>45926</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9418-2024</t>
        </is>
      </c>
      <c r="B505" s="1" t="n">
        <v>45359.45038194444</v>
      </c>
      <c r="C505" s="1" t="n">
        <v>45926</v>
      </c>
      <c r="D505" t="inlineStr">
        <is>
          <t>KALMAR LÄN</t>
        </is>
      </c>
      <c r="E505" t="inlineStr">
        <is>
          <t>VIMMERBY</t>
        </is>
      </c>
      <c r="G505" t="n">
        <v>1.9</v>
      </c>
      <c r="H505" t="n">
        <v>0</v>
      </c>
      <c r="I505" t="n">
        <v>0</v>
      </c>
      <c r="J505" t="n">
        <v>0</v>
      </c>
      <c r="K505" t="n">
        <v>0</v>
      </c>
      <c r="L505" t="n">
        <v>0</v>
      </c>
      <c r="M505" t="n">
        <v>0</v>
      </c>
      <c r="N505" t="n">
        <v>0</v>
      </c>
      <c r="O505" t="n">
        <v>0</v>
      </c>
      <c r="P505" t="n">
        <v>0</v>
      </c>
      <c r="Q505" t="n">
        <v>0</v>
      </c>
      <c r="R505" s="2" t="inlineStr"/>
    </row>
    <row r="506" ht="15" customHeight="1">
      <c r="A506" t="inlineStr">
        <is>
          <t>A 57091-2022</t>
        </is>
      </c>
      <c r="B506" s="1" t="n">
        <v>44895.46524305556</v>
      </c>
      <c r="C506" s="1" t="n">
        <v>45926</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3816-2022</t>
        </is>
      </c>
      <c r="B507" s="1" t="n">
        <v>44587</v>
      </c>
      <c r="C507" s="1" t="n">
        <v>45926</v>
      </c>
      <c r="D507" t="inlineStr">
        <is>
          <t>KALMAR LÄN</t>
        </is>
      </c>
      <c r="E507" t="inlineStr">
        <is>
          <t>VIMMERBY</t>
        </is>
      </c>
      <c r="G507" t="n">
        <v>1.2</v>
      </c>
      <c r="H507" t="n">
        <v>0</v>
      </c>
      <c r="I507" t="n">
        <v>0</v>
      </c>
      <c r="J507" t="n">
        <v>0</v>
      </c>
      <c r="K507" t="n">
        <v>0</v>
      </c>
      <c r="L507" t="n">
        <v>0</v>
      </c>
      <c r="M507" t="n">
        <v>0</v>
      </c>
      <c r="N507" t="n">
        <v>0</v>
      </c>
      <c r="O507" t="n">
        <v>0</v>
      </c>
      <c r="P507" t="n">
        <v>0</v>
      </c>
      <c r="Q507" t="n">
        <v>0</v>
      </c>
      <c r="R507" s="2" t="inlineStr"/>
    </row>
    <row r="508" ht="15" customHeight="1">
      <c r="A508" t="inlineStr">
        <is>
          <t>A 20126-2024</t>
        </is>
      </c>
      <c r="B508" s="1" t="n">
        <v>45434.55471064815</v>
      </c>
      <c r="C508" s="1" t="n">
        <v>45926</v>
      </c>
      <c r="D508" t="inlineStr">
        <is>
          <t>KALMAR LÄN</t>
        </is>
      </c>
      <c r="E508" t="inlineStr">
        <is>
          <t>VIMMERBY</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20136-2024</t>
        </is>
      </c>
      <c r="B509" s="1" t="n">
        <v>45434.56291666667</v>
      </c>
      <c r="C509" s="1" t="n">
        <v>45926</v>
      </c>
      <c r="D509" t="inlineStr">
        <is>
          <t>KALMAR LÄN</t>
        </is>
      </c>
      <c r="E509" t="inlineStr">
        <is>
          <t>VIMMERBY</t>
        </is>
      </c>
      <c r="F509" t="inlineStr">
        <is>
          <t>Sveaskog</t>
        </is>
      </c>
      <c r="G509" t="n">
        <v>8.4</v>
      </c>
      <c r="H509" t="n">
        <v>0</v>
      </c>
      <c r="I509" t="n">
        <v>0</v>
      </c>
      <c r="J509" t="n">
        <v>0</v>
      </c>
      <c r="K509" t="n">
        <v>0</v>
      </c>
      <c r="L509" t="n">
        <v>0</v>
      </c>
      <c r="M509" t="n">
        <v>0</v>
      </c>
      <c r="N509" t="n">
        <v>0</v>
      </c>
      <c r="O509" t="n">
        <v>0</v>
      </c>
      <c r="P509" t="n">
        <v>0</v>
      </c>
      <c r="Q509" t="n">
        <v>0</v>
      </c>
      <c r="R509" s="2" t="inlineStr"/>
    </row>
    <row r="510" ht="15" customHeight="1">
      <c r="A510" t="inlineStr">
        <is>
          <t>A 43606-2024</t>
        </is>
      </c>
      <c r="B510" s="1" t="n">
        <v>45569.45017361111</v>
      </c>
      <c r="C510" s="1" t="n">
        <v>45926</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43617-2024</t>
        </is>
      </c>
      <c r="B511" s="1" t="n">
        <v>45569.47494212963</v>
      </c>
      <c r="C511" s="1" t="n">
        <v>45926</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46921-2023</t>
        </is>
      </c>
      <c r="B512" s="1" t="n">
        <v>45201.39996527778</v>
      </c>
      <c r="C512" s="1" t="n">
        <v>45926</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47859-2024</t>
        </is>
      </c>
      <c r="B513" s="1" t="n">
        <v>45588.67070601852</v>
      </c>
      <c r="C513" s="1" t="n">
        <v>45926</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8540-2024</t>
        </is>
      </c>
      <c r="B514" s="1" t="n">
        <v>45355.54138888889</v>
      </c>
      <c r="C514" s="1" t="n">
        <v>45926</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25236-2023</t>
        </is>
      </c>
      <c r="B515" s="1" t="n">
        <v>45086.63334490741</v>
      </c>
      <c r="C515" s="1" t="n">
        <v>45926</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3331-2023</t>
        </is>
      </c>
      <c r="B516" s="1" t="n">
        <v>44949</v>
      </c>
      <c r="C516" s="1" t="n">
        <v>45926</v>
      </c>
      <c r="D516" t="inlineStr">
        <is>
          <t>KALMAR LÄN</t>
        </is>
      </c>
      <c r="E516" t="inlineStr">
        <is>
          <t>VIMMERBY</t>
        </is>
      </c>
      <c r="G516" t="n">
        <v>6.2</v>
      </c>
      <c r="H516" t="n">
        <v>0</v>
      </c>
      <c r="I516" t="n">
        <v>0</v>
      </c>
      <c r="J516" t="n">
        <v>0</v>
      </c>
      <c r="K516" t="n">
        <v>0</v>
      </c>
      <c r="L516" t="n">
        <v>0</v>
      </c>
      <c r="M516" t="n">
        <v>0</v>
      </c>
      <c r="N516" t="n">
        <v>0</v>
      </c>
      <c r="O516" t="n">
        <v>0</v>
      </c>
      <c r="P516" t="n">
        <v>0</v>
      </c>
      <c r="Q516" t="n">
        <v>0</v>
      </c>
      <c r="R516" s="2" t="inlineStr"/>
    </row>
    <row r="517" ht="15" customHeight="1">
      <c r="A517" t="inlineStr">
        <is>
          <t>A 598-2025</t>
        </is>
      </c>
      <c r="B517" s="1" t="n">
        <v>45660</v>
      </c>
      <c r="C517" s="1" t="n">
        <v>45926</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25799-2023</t>
        </is>
      </c>
      <c r="B518" s="1" t="n">
        <v>45090</v>
      </c>
      <c r="C518" s="1" t="n">
        <v>45926</v>
      </c>
      <c r="D518" t="inlineStr">
        <is>
          <t>KALMAR LÄN</t>
        </is>
      </c>
      <c r="E518" t="inlineStr">
        <is>
          <t>VIMMERBY</t>
        </is>
      </c>
      <c r="G518" t="n">
        <v>7.7</v>
      </c>
      <c r="H518" t="n">
        <v>0</v>
      </c>
      <c r="I518" t="n">
        <v>0</v>
      </c>
      <c r="J518" t="n">
        <v>0</v>
      </c>
      <c r="K518" t="n">
        <v>0</v>
      </c>
      <c r="L518" t="n">
        <v>0</v>
      </c>
      <c r="M518" t="n">
        <v>0</v>
      </c>
      <c r="N518" t="n">
        <v>0</v>
      </c>
      <c r="O518" t="n">
        <v>0</v>
      </c>
      <c r="P518" t="n">
        <v>0</v>
      </c>
      <c r="Q518" t="n">
        <v>0</v>
      </c>
      <c r="R518" s="2" t="inlineStr"/>
    </row>
    <row r="519" ht="15" customHeight="1">
      <c r="A519" t="inlineStr">
        <is>
          <t>A 53083-2021</t>
        </is>
      </c>
      <c r="B519" s="1" t="n">
        <v>44467.83386574074</v>
      </c>
      <c r="C519" s="1" t="n">
        <v>45926</v>
      </c>
      <c r="D519" t="inlineStr">
        <is>
          <t>KALMAR LÄN</t>
        </is>
      </c>
      <c r="E519" t="inlineStr">
        <is>
          <t>VIMMERBY</t>
        </is>
      </c>
      <c r="G519" t="n">
        <v>6.8</v>
      </c>
      <c r="H519" t="n">
        <v>0</v>
      </c>
      <c r="I519" t="n">
        <v>0</v>
      </c>
      <c r="J519" t="n">
        <v>0</v>
      </c>
      <c r="K519" t="n">
        <v>0</v>
      </c>
      <c r="L519" t="n">
        <v>0</v>
      </c>
      <c r="M519" t="n">
        <v>0</v>
      </c>
      <c r="N519" t="n">
        <v>0</v>
      </c>
      <c r="O519" t="n">
        <v>0</v>
      </c>
      <c r="P519" t="n">
        <v>0</v>
      </c>
      <c r="Q519" t="n">
        <v>0</v>
      </c>
      <c r="R519" s="2" t="inlineStr"/>
    </row>
    <row r="520" ht="15" customHeight="1">
      <c r="A520" t="inlineStr">
        <is>
          <t>A 29737-2025</t>
        </is>
      </c>
      <c r="B520" s="1" t="n">
        <v>45825.58672453704</v>
      </c>
      <c r="C520" s="1" t="n">
        <v>45926</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6082-2022</t>
        </is>
      </c>
      <c r="B521" s="1" t="n">
        <v>44599</v>
      </c>
      <c r="C521" s="1" t="n">
        <v>45926</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24655-2021</t>
        </is>
      </c>
      <c r="B522" s="1" t="n">
        <v>44340</v>
      </c>
      <c r="C522" s="1" t="n">
        <v>45926</v>
      </c>
      <c r="D522" t="inlineStr">
        <is>
          <t>KALMAR LÄN</t>
        </is>
      </c>
      <c r="E522" t="inlineStr">
        <is>
          <t>VIMMERBY</t>
        </is>
      </c>
      <c r="G522" t="n">
        <v>14.9</v>
      </c>
      <c r="H522" t="n">
        <v>0</v>
      </c>
      <c r="I522" t="n">
        <v>0</v>
      </c>
      <c r="J522" t="n">
        <v>0</v>
      </c>
      <c r="K522" t="n">
        <v>0</v>
      </c>
      <c r="L522" t="n">
        <v>0</v>
      </c>
      <c r="M522" t="n">
        <v>0</v>
      </c>
      <c r="N522" t="n">
        <v>0</v>
      </c>
      <c r="O522" t="n">
        <v>0</v>
      </c>
      <c r="P522" t="n">
        <v>0</v>
      </c>
      <c r="Q522" t="n">
        <v>0</v>
      </c>
      <c r="R522" s="2" t="inlineStr"/>
    </row>
    <row r="523" ht="15" customHeight="1">
      <c r="A523" t="inlineStr">
        <is>
          <t>A 2801-2023</t>
        </is>
      </c>
      <c r="B523" s="1" t="n">
        <v>44944.73487268519</v>
      </c>
      <c r="C523" s="1" t="n">
        <v>45926</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5146-2024</t>
        </is>
      </c>
      <c r="B524" s="1" t="n">
        <v>45330</v>
      </c>
      <c r="C524" s="1" t="n">
        <v>45926</v>
      </c>
      <c r="D524" t="inlineStr">
        <is>
          <t>KALMAR LÄN</t>
        </is>
      </c>
      <c r="E524" t="inlineStr">
        <is>
          <t>VIMMERBY</t>
        </is>
      </c>
      <c r="G524" t="n">
        <v>5.3</v>
      </c>
      <c r="H524" t="n">
        <v>0</v>
      </c>
      <c r="I524" t="n">
        <v>0</v>
      </c>
      <c r="J524" t="n">
        <v>0</v>
      </c>
      <c r="K524" t="n">
        <v>0</v>
      </c>
      <c r="L524" t="n">
        <v>0</v>
      </c>
      <c r="M524" t="n">
        <v>0</v>
      </c>
      <c r="N524" t="n">
        <v>0</v>
      </c>
      <c r="O524" t="n">
        <v>0</v>
      </c>
      <c r="P524" t="n">
        <v>0</v>
      </c>
      <c r="Q524" t="n">
        <v>0</v>
      </c>
      <c r="R524" s="2" t="inlineStr"/>
    </row>
    <row r="525" ht="15" customHeight="1">
      <c r="A525" t="inlineStr">
        <is>
          <t>A 5148-2024</t>
        </is>
      </c>
      <c r="B525" s="1" t="n">
        <v>45330</v>
      </c>
      <c r="C525" s="1" t="n">
        <v>45926</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58278-2023</t>
        </is>
      </c>
      <c r="B526" s="1" t="n">
        <v>45250.5278587963</v>
      </c>
      <c r="C526" s="1" t="n">
        <v>45926</v>
      </c>
      <c r="D526" t="inlineStr">
        <is>
          <t>KALMAR LÄN</t>
        </is>
      </c>
      <c r="E526" t="inlineStr">
        <is>
          <t>VIMMERBY</t>
        </is>
      </c>
      <c r="G526" t="n">
        <v>1.8</v>
      </c>
      <c r="H526" t="n">
        <v>0</v>
      </c>
      <c r="I526" t="n">
        <v>0</v>
      </c>
      <c r="J526" t="n">
        <v>0</v>
      </c>
      <c r="K526" t="n">
        <v>0</v>
      </c>
      <c r="L526" t="n">
        <v>0</v>
      </c>
      <c r="M526" t="n">
        <v>0</v>
      </c>
      <c r="N526" t="n">
        <v>0</v>
      </c>
      <c r="O526" t="n">
        <v>0</v>
      </c>
      <c r="P526" t="n">
        <v>0</v>
      </c>
      <c r="Q526" t="n">
        <v>0</v>
      </c>
      <c r="R526" s="2" t="inlineStr"/>
    </row>
    <row r="527" ht="15" customHeight="1">
      <c r="A527" t="inlineStr">
        <is>
          <t>A 22266-2023</t>
        </is>
      </c>
      <c r="B527" s="1" t="n">
        <v>45070</v>
      </c>
      <c r="C527" s="1" t="n">
        <v>45926</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52588-2023</t>
        </is>
      </c>
      <c r="B528" s="1" t="n">
        <v>45225.60192129629</v>
      </c>
      <c r="C528" s="1" t="n">
        <v>45926</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33838-2022</t>
        </is>
      </c>
      <c r="B529" s="1" t="n">
        <v>44790.49040509259</v>
      </c>
      <c r="C529" s="1" t="n">
        <v>45926</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29727-2025</t>
        </is>
      </c>
      <c r="B530" s="1" t="n">
        <v>45825.5796875</v>
      </c>
      <c r="C530" s="1" t="n">
        <v>45926</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32835-2022</t>
        </is>
      </c>
      <c r="B531" s="1" t="n">
        <v>44784.42528935185</v>
      </c>
      <c r="C531" s="1" t="n">
        <v>45926</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6802-2025</t>
        </is>
      </c>
      <c r="B532" s="1" t="n">
        <v>45700.68289351852</v>
      </c>
      <c r="C532" s="1" t="n">
        <v>45926</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71793-2021</t>
        </is>
      </c>
      <c r="B533" s="1" t="n">
        <v>44539</v>
      </c>
      <c r="C533" s="1" t="n">
        <v>45926</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1081-2023</t>
        </is>
      </c>
      <c r="B534" s="1" t="n">
        <v>44935</v>
      </c>
      <c r="C534" s="1" t="n">
        <v>45926</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47063-2022</t>
        </is>
      </c>
      <c r="B535" s="1" t="n">
        <v>44852</v>
      </c>
      <c r="C535" s="1" t="n">
        <v>45926</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28403-2023</t>
        </is>
      </c>
      <c r="B536" s="1" t="n">
        <v>45100.85270833333</v>
      </c>
      <c r="C536" s="1" t="n">
        <v>45926</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527-2024</t>
        </is>
      </c>
      <c r="B537" s="1" t="n">
        <v>45299.47513888889</v>
      </c>
      <c r="C537" s="1" t="n">
        <v>45926</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33103-2024</t>
        </is>
      </c>
      <c r="B538" s="1" t="n">
        <v>45517.8162037037</v>
      </c>
      <c r="C538" s="1" t="n">
        <v>45926</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60230-2022</t>
        </is>
      </c>
      <c r="B539" s="1" t="n">
        <v>44910</v>
      </c>
      <c r="C539" s="1" t="n">
        <v>45926</v>
      </c>
      <c r="D539" t="inlineStr">
        <is>
          <t>KALMAR LÄN</t>
        </is>
      </c>
      <c r="E539" t="inlineStr">
        <is>
          <t>VIMMERBY</t>
        </is>
      </c>
      <c r="G539" t="n">
        <v>11.3</v>
      </c>
      <c r="H539" t="n">
        <v>0</v>
      </c>
      <c r="I539" t="n">
        <v>0</v>
      </c>
      <c r="J539" t="n">
        <v>0</v>
      </c>
      <c r="K539" t="n">
        <v>0</v>
      </c>
      <c r="L539" t="n">
        <v>0</v>
      </c>
      <c r="M539" t="n">
        <v>0</v>
      </c>
      <c r="N539" t="n">
        <v>0</v>
      </c>
      <c r="O539" t="n">
        <v>0</v>
      </c>
      <c r="P539" t="n">
        <v>0</v>
      </c>
      <c r="Q539" t="n">
        <v>0</v>
      </c>
      <c r="R539" s="2" t="inlineStr"/>
    </row>
    <row r="540" ht="15" customHeight="1">
      <c r="A540" t="inlineStr">
        <is>
          <t>A 5925-2022</t>
        </is>
      </c>
      <c r="B540" s="1" t="n">
        <v>44598.7384837963</v>
      </c>
      <c r="C540" s="1" t="n">
        <v>45926</v>
      </c>
      <c r="D540" t="inlineStr">
        <is>
          <t>KALMAR LÄN</t>
        </is>
      </c>
      <c r="E540" t="inlineStr">
        <is>
          <t>VIMMERBY</t>
        </is>
      </c>
      <c r="G540" t="n">
        <v>2.1</v>
      </c>
      <c r="H540" t="n">
        <v>0</v>
      </c>
      <c r="I540" t="n">
        <v>0</v>
      </c>
      <c r="J540" t="n">
        <v>0</v>
      </c>
      <c r="K540" t="n">
        <v>0</v>
      </c>
      <c r="L540" t="n">
        <v>0</v>
      </c>
      <c r="M540" t="n">
        <v>0</v>
      </c>
      <c r="N540" t="n">
        <v>0</v>
      </c>
      <c r="O540" t="n">
        <v>0</v>
      </c>
      <c r="P540" t="n">
        <v>0</v>
      </c>
      <c r="Q540" t="n">
        <v>0</v>
      </c>
      <c r="R540" s="2" t="inlineStr"/>
    </row>
    <row r="541" ht="15" customHeight="1">
      <c r="A541" t="inlineStr">
        <is>
          <t>A 2260-2022</t>
        </is>
      </c>
      <c r="B541" s="1" t="n">
        <v>44578.62943287037</v>
      </c>
      <c r="C541" s="1" t="n">
        <v>45926</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11661-2023</t>
        </is>
      </c>
      <c r="B542" s="1" t="n">
        <v>44994.46908564815</v>
      </c>
      <c r="C542" s="1" t="n">
        <v>45926</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58046-2022</t>
        </is>
      </c>
      <c r="B543" s="1" t="n">
        <v>44900.57393518519</v>
      </c>
      <c r="C543" s="1" t="n">
        <v>45926</v>
      </c>
      <c r="D543" t="inlineStr">
        <is>
          <t>KALMAR LÄN</t>
        </is>
      </c>
      <c r="E543" t="inlineStr">
        <is>
          <t>VIMMERBY</t>
        </is>
      </c>
      <c r="G543" t="n">
        <v>2.5</v>
      </c>
      <c r="H543" t="n">
        <v>0</v>
      </c>
      <c r="I543" t="n">
        <v>0</v>
      </c>
      <c r="J543" t="n">
        <v>0</v>
      </c>
      <c r="K543" t="n">
        <v>0</v>
      </c>
      <c r="L543" t="n">
        <v>0</v>
      </c>
      <c r="M543" t="n">
        <v>0</v>
      </c>
      <c r="N543" t="n">
        <v>0</v>
      </c>
      <c r="O543" t="n">
        <v>0</v>
      </c>
      <c r="P543" t="n">
        <v>0</v>
      </c>
      <c r="Q543" t="n">
        <v>0</v>
      </c>
      <c r="R543" s="2" t="inlineStr"/>
    </row>
    <row r="544" ht="15" customHeight="1">
      <c r="A544" t="inlineStr">
        <is>
          <t>A 46522-2022</t>
        </is>
      </c>
      <c r="B544" s="1" t="n">
        <v>44848.59133101852</v>
      </c>
      <c r="C544" s="1" t="n">
        <v>45926</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45528-2021</t>
        </is>
      </c>
      <c r="B545" s="1" t="n">
        <v>44440.60415509259</v>
      </c>
      <c r="C545" s="1" t="n">
        <v>45926</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46979-2023</t>
        </is>
      </c>
      <c r="B546" s="1" t="n">
        <v>45201</v>
      </c>
      <c r="C546" s="1" t="n">
        <v>45926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6574-2023</t>
        </is>
      </c>
      <c r="B547" s="1" t="n">
        <v>44966</v>
      </c>
      <c r="C547" s="1" t="n">
        <v>45926</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41066-2024</t>
        </is>
      </c>
      <c r="B548" s="1" t="n">
        <v>45559.38876157408</v>
      </c>
      <c r="C548" s="1" t="n">
        <v>45926</v>
      </c>
      <c r="D548" t="inlineStr">
        <is>
          <t>KALMAR LÄN</t>
        </is>
      </c>
      <c r="E548" t="inlineStr">
        <is>
          <t>VIMMERBY</t>
        </is>
      </c>
      <c r="G548" t="n">
        <v>2.4</v>
      </c>
      <c r="H548" t="n">
        <v>0</v>
      </c>
      <c r="I548" t="n">
        <v>0</v>
      </c>
      <c r="J548" t="n">
        <v>0</v>
      </c>
      <c r="K548" t="n">
        <v>0</v>
      </c>
      <c r="L548" t="n">
        <v>0</v>
      </c>
      <c r="M548" t="n">
        <v>0</v>
      </c>
      <c r="N548" t="n">
        <v>0</v>
      </c>
      <c r="O548" t="n">
        <v>0</v>
      </c>
      <c r="P548" t="n">
        <v>0</v>
      </c>
      <c r="Q548" t="n">
        <v>0</v>
      </c>
      <c r="R548" s="2" t="inlineStr"/>
    </row>
    <row r="549" ht="15" customHeight="1">
      <c r="A549" t="inlineStr">
        <is>
          <t>A 52279-2023</t>
        </is>
      </c>
      <c r="B549" s="1" t="n">
        <v>45224</v>
      </c>
      <c r="C549" s="1" t="n">
        <v>45926</v>
      </c>
      <c r="D549" t="inlineStr">
        <is>
          <t>KALMAR LÄN</t>
        </is>
      </c>
      <c r="E549" t="inlineStr">
        <is>
          <t>VIMMERBY</t>
        </is>
      </c>
      <c r="G549" t="n">
        <v>1.8</v>
      </c>
      <c r="H549" t="n">
        <v>0</v>
      </c>
      <c r="I549" t="n">
        <v>0</v>
      </c>
      <c r="J549" t="n">
        <v>0</v>
      </c>
      <c r="K549" t="n">
        <v>0</v>
      </c>
      <c r="L549" t="n">
        <v>0</v>
      </c>
      <c r="M549" t="n">
        <v>0</v>
      </c>
      <c r="N549" t="n">
        <v>0</v>
      </c>
      <c r="O549" t="n">
        <v>0</v>
      </c>
      <c r="P549" t="n">
        <v>0</v>
      </c>
      <c r="Q549" t="n">
        <v>0</v>
      </c>
      <c r="R549" s="2" t="inlineStr"/>
    </row>
    <row r="550" ht="15" customHeight="1">
      <c r="A550" t="inlineStr">
        <is>
          <t>A 17486-2024</t>
        </is>
      </c>
      <c r="B550" s="1" t="n">
        <v>45415.48979166667</v>
      </c>
      <c r="C550" s="1" t="n">
        <v>45926</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44542.90072916666</v>
      </c>
      <c r="C551" s="1" t="n">
        <v>45926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4058-2024</t>
        </is>
      </c>
      <c r="B552" s="1" t="n">
        <v>45323.53744212963</v>
      </c>
      <c r="C552" s="1" t="n">
        <v>45926</v>
      </c>
      <c r="D552" t="inlineStr">
        <is>
          <t>KALMAR LÄN</t>
        </is>
      </c>
      <c r="E552" t="inlineStr">
        <is>
          <t>VIMMERBY</t>
        </is>
      </c>
      <c r="G552" t="n">
        <v>6.5</v>
      </c>
      <c r="H552" t="n">
        <v>0</v>
      </c>
      <c r="I552" t="n">
        <v>0</v>
      </c>
      <c r="J552" t="n">
        <v>0</v>
      </c>
      <c r="K552" t="n">
        <v>0</v>
      </c>
      <c r="L552" t="n">
        <v>0</v>
      </c>
      <c r="M552" t="n">
        <v>0</v>
      </c>
      <c r="N552" t="n">
        <v>0</v>
      </c>
      <c r="O552" t="n">
        <v>0</v>
      </c>
      <c r="P552" t="n">
        <v>0</v>
      </c>
      <c r="Q552" t="n">
        <v>0</v>
      </c>
      <c r="R552" s="2" t="inlineStr"/>
    </row>
    <row r="553" ht="15" customHeight="1">
      <c r="A553" t="inlineStr">
        <is>
          <t>A 29724-2025</t>
        </is>
      </c>
      <c r="B553" s="1" t="n">
        <v>45825.57680555555</v>
      </c>
      <c r="C553" s="1" t="n">
        <v>45926</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1978-2024</t>
        </is>
      </c>
      <c r="B554" s="1" t="n">
        <v>45308.59001157407</v>
      </c>
      <c r="C554" s="1" t="n">
        <v>45926</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30318-2023</t>
        </is>
      </c>
      <c r="B555" s="1" t="n">
        <v>45111.30824074074</v>
      </c>
      <c r="C555" s="1" t="n">
        <v>45926</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25234-2023</t>
        </is>
      </c>
      <c r="B556" s="1" t="n">
        <v>45086.63194444445</v>
      </c>
      <c r="C556" s="1" t="n">
        <v>45926</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46078-2023</t>
        </is>
      </c>
      <c r="B557" s="1" t="n">
        <v>45196</v>
      </c>
      <c r="C557" s="1" t="n">
        <v>45926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16015-2025</t>
        </is>
      </c>
      <c r="B558" s="1" t="n">
        <v>45749.60487268519</v>
      </c>
      <c r="C558" s="1" t="n">
        <v>45926</v>
      </c>
      <c r="D558" t="inlineStr">
        <is>
          <t>KALMAR LÄN</t>
        </is>
      </c>
      <c r="E558" t="inlineStr">
        <is>
          <t>VIMMERBY</t>
        </is>
      </c>
      <c r="F558" t="inlineStr">
        <is>
          <t>Kyrkan</t>
        </is>
      </c>
      <c r="G558" t="n">
        <v>2.7</v>
      </c>
      <c r="H558" t="n">
        <v>0</v>
      </c>
      <c r="I558" t="n">
        <v>0</v>
      </c>
      <c r="J558" t="n">
        <v>0</v>
      </c>
      <c r="K558" t="n">
        <v>0</v>
      </c>
      <c r="L558" t="n">
        <v>0</v>
      </c>
      <c r="M558" t="n">
        <v>0</v>
      </c>
      <c r="N558" t="n">
        <v>0</v>
      </c>
      <c r="O558" t="n">
        <v>0</v>
      </c>
      <c r="P558" t="n">
        <v>0</v>
      </c>
      <c r="Q558" t="n">
        <v>0</v>
      </c>
      <c r="R558" s="2" t="inlineStr"/>
    </row>
    <row r="559" ht="15" customHeight="1">
      <c r="A559" t="inlineStr">
        <is>
          <t>A 9694-2023</t>
        </is>
      </c>
      <c r="B559" s="1" t="n">
        <v>44984.45895833334</v>
      </c>
      <c r="C559" s="1" t="n">
        <v>45926</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22198-2024</t>
        </is>
      </c>
      <c r="B560" s="1" t="n">
        <v>45446.36865740741</v>
      </c>
      <c r="C560" s="1" t="n">
        <v>45926</v>
      </c>
      <c r="D560" t="inlineStr">
        <is>
          <t>KALMAR LÄN</t>
        </is>
      </c>
      <c r="E560" t="inlineStr">
        <is>
          <t>VIMMERBY</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57311-2023</t>
        </is>
      </c>
      <c r="B561" s="1" t="n">
        <v>45245.63574074074</v>
      </c>
      <c r="C561" s="1" t="n">
        <v>45926</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12588-2025</t>
        </is>
      </c>
      <c r="B562" s="1" t="n">
        <v>45732.76936342593</v>
      </c>
      <c r="C562" s="1" t="n">
        <v>45926</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7932-2025</t>
        </is>
      </c>
      <c r="B563" s="1" t="n">
        <v>45707.3793287037</v>
      </c>
      <c r="C563" s="1" t="n">
        <v>45926</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3609-2024</t>
        </is>
      </c>
      <c r="B564" s="1" t="n">
        <v>45320.89128472222</v>
      </c>
      <c r="C564" s="1" t="n">
        <v>45926</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10424-2023</t>
        </is>
      </c>
      <c r="B565" s="1" t="n">
        <v>44987.54104166666</v>
      </c>
      <c r="C565" s="1" t="n">
        <v>45926</v>
      </c>
      <c r="D565" t="inlineStr">
        <is>
          <t>KALMAR LÄN</t>
        </is>
      </c>
      <c r="E565" t="inlineStr">
        <is>
          <t>VIMMERBY</t>
        </is>
      </c>
      <c r="G565" t="n">
        <v>0.5</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44578.32717592592</v>
      </c>
      <c r="C566" s="1" t="n">
        <v>45926</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34386-2024</t>
        </is>
      </c>
      <c r="B567" s="1" t="n">
        <v>45525.41762731481</v>
      </c>
      <c r="C567" s="1" t="n">
        <v>45926</v>
      </c>
      <c r="D567" t="inlineStr">
        <is>
          <t>KALMAR LÄN</t>
        </is>
      </c>
      <c r="E567" t="inlineStr">
        <is>
          <t>VIMMERBY</t>
        </is>
      </c>
      <c r="G567" t="n">
        <v>0.3</v>
      </c>
      <c r="H567" t="n">
        <v>0</v>
      </c>
      <c r="I567" t="n">
        <v>0</v>
      </c>
      <c r="J567" t="n">
        <v>0</v>
      </c>
      <c r="K567" t="n">
        <v>0</v>
      </c>
      <c r="L567" t="n">
        <v>0</v>
      </c>
      <c r="M567" t="n">
        <v>0</v>
      </c>
      <c r="N567" t="n">
        <v>0</v>
      </c>
      <c r="O567" t="n">
        <v>0</v>
      </c>
      <c r="P567" t="n">
        <v>0</v>
      </c>
      <c r="Q567" t="n">
        <v>0</v>
      </c>
      <c r="R567" s="2" t="inlineStr"/>
    </row>
    <row r="568" ht="15" customHeight="1">
      <c r="A568" t="inlineStr">
        <is>
          <t>A 6069-2023</t>
        </is>
      </c>
      <c r="B568" s="1" t="n">
        <v>44964.5115162037</v>
      </c>
      <c r="C568" s="1" t="n">
        <v>45926</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49382-2023</t>
        </is>
      </c>
      <c r="B569" s="1" t="n">
        <v>45208</v>
      </c>
      <c r="C569" s="1" t="n">
        <v>45926</v>
      </c>
      <c r="D569" t="inlineStr">
        <is>
          <t>KALMAR LÄN</t>
        </is>
      </c>
      <c r="E569" t="inlineStr">
        <is>
          <t>VIMMERBY</t>
        </is>
      </c>
      <c r="G569" t="n">
        <v>2.2</v>
      </c>
      <c r="H569" t="n">
        <v>0</v>
      </c>
      <c r="I569" t="n">
        <v>0</v>
      </c>
      <c r="J569" t="n">
        <v>0</v>
      </c>
      <c r="K569" t="n">
        <v>0</v>
      </c>
      <c r="L569" t="n">
        <v>0</v>
      </c>
      <c r="M569" t="n">
        <v>0</v>
      </c>
      <c r="N569" t="n">
        <v>0</v>
      </c>
      <c r="O569" t="n">
        <v>0</v>
      </c>
      <c r="P569" t="n">
        <v>0</v>
      </c>
      <c r="Q569" t="n">
        <v>0</v>
      </c>
      <c r="R569" s="2" t="inlineStr"/>
    </row>
    <row r="570" ht="15" customHeight="1">
      <c r="A570" t="inlineStr">
        <is>
          <t>A 12810-2023</t>
        </is>
      </c>
      <c r="B570" s="1" t="n">
        <v>45001.43854166667</v>
      </c>
      <c r="C570" s="1" t="n">
        <v>45926</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44585.51060185185</v>
      </c>
      <c r="C571" s="1" t="n">
        <v>45926</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60675-2023</t>
        </is>
      </c>
      <c r="B572" s="1" t="n">
        <v>45260.4716550926</v>
      </c>
      <c r="C572" s="1" t="n">
        <v>45926</v>
      </c>
      <c r="D572" t="inlineStr">
        <is>
          <t>KALMAR LÄN</t>
        </is>
      </c>
      <c r="E572" t="inlineStr">
        <is>
          <t>VIMMERBY</t>
        </is>
      </c>
      <c r="G572" t="n">
        <v>1.2</v>
      </c>
      <c r="H572" t="n">
        <v>0</v>
      </c>
      <c r="I572" t="n">
        <v>0</v>
      </c>
      <c r="J572" t="n">
        <v>0</v>
      </c>
      <c r="K572" t="n">
        <v>0</v>
      </c>
      <c r="L572" t="n">
        <v>0</v>
      </c>
      <c r="M572" t="n">
        <v>0</v>
      </c>
      <c r="N572" t="n">
        <v>0</v>
      </c>
      <c r="O572" t="n">
        <v>0</v>
      </c>
      <c r="P572" t="n">
        <v>0</v>
      </c>
      <c r="Q572" t="n">
        <v>0</v>
      </c>
      <c r="R572" s="2" t="inlineStr"/>
    </row>
    <row r="573" ht="15" customHeight="1">
      <c r="A573" t="inlineStr">
        <is>
          <t>A 2536-2023</t>
        </is>
      </c>
      <c r="B573" s="1" t="n">
        <v>44943.62954861111</v>
      </c>
      <c r="C573" s="1" t="n">
        <v>45926</v>
      </c>
      <c r="D573" t="inlineStr">
        <is>
          <t>KALMAR LÄN</t>
        </is>
      </c>
      <c r="E573" t="inlineStr">
        <is>
          <t>VIMMERBY</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30293-2025</t>
        </is>
      </c>
      <c r="B574" s="1" t="n">
        <v>45827</v>
      </c>
      <c r="C574" s="1" t="n">
        <v>45926</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32633-2023</t>
        </is>
      </c>
      <c r="B575" s="1" t="n">
        <v>45121.58699074074</v>
      </c>
      <c r="C575" s="1" t="n">
        <v>45926</v>
      </c>
      <c r="D575" t="inlineStr">
        <is>
          <t>KALMAR LÄN</t>
        </is>
      </c>
      <c r="E575" t="inlineStr">
        <is>
          <t>VIMMERBY</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30290-2025</t>
        </is>
      </c>
      <c r="B576" s="1" t="n">
        <v>45827</v>
      </c>
      <c r="C576" s="1" t="n">
        <v>45926</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11111-2024</t>
        </is>
      </c>
      <c r="B577" s="1" t="n">
        <v>45371.36359953704</v>
      </c>
      <c r="C577" s="1" t="n">
        <v>45926</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49461-2023</t>
        </is>
      </c>
      <c r="B578" s="1" t="n">
        <v>45211.52642361111</v>
      </c>
      <c r="C578" s="1" t="n">
        <v>45926</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23095-2023</t>
        </is>
      </c>
      <c r="B579" s="1" t="n">
        <v>45075.43059027778</v>
      </c>
      <c r="C579" s="1" t="n">
        <v>45926</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11429-2022</t>
        </is>
      </c>
      <c r="B580" s="1" t="n">
        <v>44630</v>
      </c>
      <c r="C580" s="1" t="n">
        <v>45926</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30850-2025</t>
        </is>
      </c>
      <c r="B581" s="1" t="n">
        <v>45831</v>
      </c>
      <c r="C581" s="1" t="n">
        <v>45926</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1687-2023</t>
        </is>
      </c>
      <c r="B582" s="1" t="n">
        <v>44938</v>
      </c>
      <c r="C582" s="1" t="n">
        <v>45926</v>
      </c>
      <c r="D582" t="inlineStr">
        <is>
          <t>KALMAR LÄN</t>
        </is>
      </c>
      <c r="E582" t="inlineStr">
        <is>
          <t>VIMMERBY</t>
        </is>
      </c>
      <c r="F582" t="inlineStr">
        <is>
          <t>Kommuner</t>
        </is>
      </c>
      <c r="G582" t="n">
        <v>2.5</v>
      </c>
      <c r="H582" t="n">
        <v>0</v>
      </c>
      <c r="I582" t="n">
        <v>0</v>
      </c>
      <c r="J582" t="n">
        <v>0</v>
      </c>
      <c r="K582" t="n">
        <v>0</v>
      </c>
      <c r="L582" t="n">
        <v>0</v>
      </c>
      <c r="M582" t="n">
        <v>0</v>
      </c>
      <c r="N582" t="n">
        <v>0</v>
      </c>
      <c r="O582" t="n">
        <v>0</v>
      </c>
      <c r="P582" t="n">
        <v>0</v>
      </c>
      <c r="Q582" t="n">
        <v>0</v>
      </c>
      <c r="R582" s="2" t="inlineStr"/>
    </row>
    <row r="583" ht="15" customHeight="1">
      <c r="A583" t="inlineStr">
        <is>
          <t>A 3494-2023</t>
        </is>
      </c>
      <c r="B583" s="1" t="n">
        <v>44949</v>
      </c>
      <c r="C583" s="1" t="n">
        <v>45926</v>
      </c>
      <c r="D583" t="inlineStr">
        <is>
          <t>KALMAR LÄN</t>
        </is>
      </c>
      <c r="E583" t="inlineStr">
        <is>
          <t>VIMMERBY</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11141-2024</t>
        </is>
      </c>
      <c r="B584" s="1" t="n">
        <v>45371.45865740741</v>
      </c>
      <c r="C584" s="1" t="n">
        <v>45926</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28395-2023</t>
        </is>
      </c>
      <c r="B585" s="1" t="n">
        <v>45100.4062962963</v>
      </c>
      <c r="C585" s="1" t="n">
        <v>45926</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34597-2022</t>
        </is>
      </c>
      <c r="B586" s="1" t="n">
        <v>44795</v>
      </c>
      <c r="C586" s="1" t="n">
        <v>45926</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64428-2023</t>
        </is>
      </c>
      <c r="B587" s="1" t="n">
        <v>45280.66769675926</v>
      </c>
      <c r="C587" s="1" t="n">
        <v>45926</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30588-2023</t>
        </is>
      </c>
      <c r="B588" s="1" t="n">
        <v>45112.33599537037</v>
      </c>
      <c r="C588" s="1" t="n">
        <v>45926</v>
      </c>
      <c r="D588" t="inlineStr">
        <is>
          <t>KALMAR LÄN</t>
        </is>
      </c>
      <c r="E588" t="inlineStr">
        <is>
          <t>VIMMERBY</t>
        </is>
      </c>
      <c r="G588" t="n">
        <v>2.7</v>
      </c>
      <c r="H588" t="n">
        <v>0</v>
      </c>
      <c r="I588" t="n">
        <v>0</v>
      </c>
      <c r="J588" t="n">
        <v>0</v>
      </c>
      <c r="K588" t="n">
        <v>0</v>
      </c>
      <c r="L588" t="n">
        <v>0</v>
      </c>
      <c r="M588" t="n">
        <v>0</v>
      </c>
      <c r="N588" t="n">
        <v>0</v>
      </c>
      <c r="O588" t="n">
        <v>0</v>
      </c>
      <c r="P588" t="n">
        <v>0</v>
      </c>
      <c r="Q588" t="n">
        <v>0</v>
      </c>
      <c r="R588" s="2" t="inlineStr"/>
    </row>
    <row r="589" ht="15" customHeight="1">
      <c r="A589" t="inlineStr">
        <is>
          <t>A 30503-2023</t>
        </is>
      </c>
      <c r="B589" s="1" t="n">
        <v>45111</v>
      </c>
      <c r="C589" s="1" t="n">
        <v>45926</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15449-2023</t>
        </is>
      </c>
      <c r="B590" s="1" t="n">
        <v>45020</v>
      </c>
      <c r="C590" s="1" t="n">
        <v>45926</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43242-2024</t>
        </is>
      </c>
      <c r="B591" s="1" t="n">
        <v>45568.30189814815</v>
      </c>
      <c r="C591" s="1" t="n">
        <v>45926</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61878-2020</t>
        </is>
      </c>
      <c r="B592" s="1" t="n">
        <v>44159</v>
      </c>
      <c r="C592" s="1" t="n">
        <v>45926</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56853-2022</t>
        </is>
      </c>
      <c r="B593" s="1" t="n">
        <v>44894.49538194444</v>
      </c>
      <c r="C593" s="1" t="n">
        <v>45926</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47263-2023</t>
        </is>
      </c>
      <c r="B594" s="1" t="n">
        <v>45202.4209837963</v>
      </c>
      <c r="C594" s="1" t="n">
        <v>45926</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58100-2024</t>
        </is>
      </c>
      <c r="B595" s="1" t="n">
        <v>45632.36706018518</v>
      </c>
      <c r="C595" s="1" t="n">
        <v>45926</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65049-2020</t>
        </is>
      </c>
      <c r="B596" s="1" t="n">
        <v>44172</v>
      </c>
      <c r="C596" s="1" t="n">
        <v>45926</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58159-2024</t>
        </is>
      </c>
      <c r="B597" s="1" t="n">
        <v>45632.44886574074</v>
      </c>
      <c r="C597" s="1" t="n">
        <v>45926</v>
      </c>
      <c r="D597" t="inlineStr">
        <is>
          <t>KALMAR LÄN</t>
        </is>
      </c>
      <c r="E597" t="inlineStr">
        <is>
          <t>VIMMERBY</t>
        </is>
      </c>
      <c r="G597" t="n">
        <v>7.5</v>
      </c>
      <c r="H597" t="n">
        <v>0</v>
      </c>
      <c r="I597" t="n">
        <v>0</v>
      </c>
      <c r="J597" t="n">
        <v>0</v>
      </c>
      <c r="K597" t="n">
        <v>0</v>
      </c>
      <c r="L597" t="n">
        <v>0</v>
      </c>
      <c r="M597" t="n">
        <v>0</v>
      </c>
      <c r="N597" t="n">
        <v>0</v>
      </c>
      <c r="O597" t="n">
        <v>0</v>
      </c>
      <c r="P597" t="n">
        <v>0</v>
      </c>
      <c r="Q597" t="n">
        <v>0</v>
      </c>
      <c r="R597" s="2" t="inlineStr"/>
    </row>
    <row r="598" ht="15" customHeight="1">
      <c r="A598" t="inlineStr">
        <is>
          <t>A 31552-2025</t>
        </is>
      </c>
      <c r="B598" s="1" t="n">
        <v>45833.64563657407</v>
      </c>
      <c r="C598" s="1" t="n">
        <v>45926</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31555-2025</t>
        </is>
      </c>
      <c r="B599" s="1" t="n">
        <v>45833.64814814815</v>
      </c>
      <c r="C599" s="1" t="n">
        <v>45926</v>
      </c>
      <c r="D599" t="inlineStr">
        <is>
          <t>KALMAR LÄN</t>
        </is>
      </c>
      <c r="E599" t="inlineStr">
        <is>
          <t>VIMMERBY</t>
        </is>
      </c>
      <c r="G599" t="n">
        <v>1.8</v>
      </c>
      <c r="H599" t="n">
        <v>0</v>
      </c>
      <c r="I599" t="n">
        <v>0</v>
      </c>
      <c r="J599" t="n">
        <v>0</v>
      </c>
      <c r="K599" t="n">
        <v>0</v>
      </c>
      <c r="L599" t="n">
        <v>0</v>
      </c>
      <c r="M599" t="n">
        <v>0</v>
      </c>
      <c r="N599" t="n">
        <v>0</v>
      </c>
      <c r="O599" t="n">
        <v>0</v>
      </c>
      <c r="P599" t="n">
        <v>0</v>
      </c>
      <c r="Q599" t="n">
        <v>0</v>
      </c>
      <c r="R599" s="2" t="inlineStr"/>
    </row>
    <row r="600" ht="15" customHeight="1">
      <c r="A600" t="inlineStr">
        <is>
          <t>A 30971-2025</t>
        </is>
      </c>
      <c r="B600" s="1" t="n">
        <v>45832.46146990741</v>
      </c>
      <c r="C600" s="1" t="n">
        <v>45926</v>
      </c>
      <c r="D600" t="inlineStr">
        <is>
          <t>KALMAR LÄN</t>
        </is>
      </c>
      <c r="E600" t="inlineStr">
        <is>
          <t>VIMMERBY</t>
        </is>
      </c>
      <c r="G600" t="n">
        <v>1.2</v>
      </c>
      <c r="H600" t="n">
        <v>0</v>
      </c>
      <c r="I600" t="n">
        <v>0</v>
      </c>
      <c r="J600" t="n">
        <v>0</v>
      </c>
      <c r="K600" t="n">
        <v>0</v>
      </c>
      <c r="L600" t="n">
        <v>0</v>
      </c>
      <c r="M600" t="n">
        <v>0</v>
      </c>
      <c r="N600" t="n">
        <v>0</v>
      </c>
      <c r="O600" t="n">
        <v>0</v>
      </c>
      <c r="P600" t="n">
        <v>0</v>
      </c>
      <c r="Q600" t="n">
        <v>0</v>
      </c>
      <c r="R600" s="2" t="inlineStr"/>
    </row>
    <row r="601" ht="15" customHeight="1">
      <c r="A601" t="inlineStr">
        <is>
          <t>A 57114-2023</t>
        </is>
      </c>
      <c r="B601" s="1" t="n">
        <v>45245.36174768519</v>
      </c>
      <c r="C601" s="1" t="n">
        <v>45926</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31551-2025</t>
        </is>
      </c>
      <c r="B602" s="1" t="n">
        <v>45833.64237268519</v>
      </c>
      <c r="C602" s="1" t="n">
        <v>45926</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3423-2022</t>
        </is>
      </c>
      <c r="B603" s="1" t="n">
        <v>44585.50431712963</v>
      </c>
      <c r="C603" s="1" t="n">
        <v>45926</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30882-2025</t>
        </is>
      </c>
      <c r="B604" s="1" t="n">
        <v>45832.34540509259</v>
      </c>
      <c r="C604" s="1" t="n">
        <v>45926</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40665-2023</t>
        </is>
      </c>
      <c r="B605" s="1" t="n">
        <v>45170</v>
      </c>
      <c r="C605" s="1" t="n">
        <v>45926</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31872-2025</t>
        </is>
      </c>
      <c r="B606" s="1" t="n">
        <v>45834.65040509259</v>
      </c>
      <c r="C606" s="1" t="n">
        <v>45926</v>
      </c>
      <c r="D606" t="inlineStr">
        <is>
          <t>KALMAR LÄN</t>
        </is>
      </c>
      <c r="E606" t="inlineStr">
        <is>
          <t>VIMMERBY</t>
        </is>
      </c>
      <c r="F606" t="inlineStr">
        <is>
          <t>Sveaskog</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33815-2022</t>
        </is>
      </c>
      <c r="B607" s="1" t="n">
        <v>44790.45876157407</v>
      </c>
      <c r="C607" s="1" t="n">
        <v>45926</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33842-2022</t>
        </is>
      </c>
      <c r="B608" s="1" t="n">
        <v>44790.49523148148</v>
      </c>
      <c r="C608" s="1" t="n">
        <v>45926</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8559-2025</t>
        </is>
      </c>
      <c r="B609" s="1" t="n">
        <v>45709.62280092593</v>
      </c>
      <c r="C609" s="1" t="n">
        <v>45926</v>
      </c>
      <c r="D609" t="inlineStr">
        <is>
          <t>KALMAR LÄN</t>
        </is>
      </c>
      <c r="E609" t="inlineStr">
        <is>
          <t>VIMMERBY</t>
        </is>
      </c>
      <c r="G609" t="n">
        <v>8.9</v>
      </c>
      <c r="H609" t="n">
        <v>0</v>
      </c>
      <c r="I609" t="n">
        <v>0</v>
      </c>
      <c r="J609" t="n">
        <v>0</v>
      </c>
      <c r="K609" t="n">
        <v>0</v>
      </c>
      <c r="L609" t="n">
        <v>0</v>
      </c>
      <c r="M609" t="n">
        <v>0</v>
      </c>
      <c r="N609" t="n">
        <v>0</v>
      </c>
      <c r="O609" t="n">
        <v>0</v>
      </c>
      <c r="P609" t="n">
        <v>0</v>
      </c>
      <c r="Q609" t="n">
        <v>0</v>
      </c>
      <c r="R609" s="2" t="inlineStr"/>
    </row>
    <row r="610" ht="15" customHeight="1">
      <c r="A610" t="inlineStr">
        <is>
          <t>A 32064-2025</t>
        </is>
      </c>
      <c r="B610" s="1" t="n">
        <v>45835.44709490741</v>
      </c>
      <c r="C610" s="1" t="n">
        <v>45926</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32109-2025</t>
        </is>
      </c>
      <c r="B611" s="1" t="n">
        <v>45835.48267361111</v>
      </c>
      <c r="C611" s="1" t="n">
        <v>45926</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32113-2025</t>
        </is>
      </c>
      <c r="B612" s="1" t="n">
        <v>45835.48445601852</v>
      </c>
      <c r="C612" s="1" t="n">
        <v>45926</v>
      </c>
      <c r="D612" t="inlineStr">
        <is>
          <t>KALMAR LÄN</t>
        </is>
      </c>
      <c r="E612" t="inlineStr">
        <is>
          <t>VIMMERBY</t>
        </is>
      </c>
      <c r="G612" t="n">
        <v>3.5</v>
      </c>
      <c r="H612" t="n">
        <v>0</v>
      </c>
      <c r="I612" t="n">
        <v>0</v>
      </c>
      <c r="J612" t="n">
        <v>0</v>
      </c>
      <c r="K612" t="n">
        <v>0</v>
      </c>
      <c r="L612" t="n">
        <v>0</v>
      </c>
      <c r="M612" t="n">
        <v>0</v>
      </c>
      <c r="N612" t="n">
        <v>0</v>
      </c>
      <c r="O612" t="n">
        <v>0</v>
      </c>
      <c r="P612" t="n">
        <v>0</v>
      </c>
      <c r="Q612" t="n">
        <v>0</v>
      </c>
      <c r="R612" s="2" t="inlineStr"/>
    </row>
    <row r="613" ht="15" customHeight="1">
      <c r="A613" t="inlineStr">
        <is>
          <t>A 32116-2025</t>
        </is>
      </c>
      <c r="B613" s="1" t="n">
        <v>45835.48862268519</v>
      </c>
      <c r="C613" s="1" t="n">
        <v>45926</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31870-2025</t>
        </is>
      </c>
      <c r="B614" s="1" t="n">
        <v>45834.64667824074</v>
      </c>
      <c r="C614" s="1" t="n">
        <v>45926</v>
      </c>
      <c r="D614" t="inlineStr">
        <is>
          <t>KALMAR LÄN</t>
        </is>
      </c>
      <c r="E614" t="inlineStr">
        <is>
          <t>VIMMERBY</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32065-2025</t>
        </is>
      </c>
      <c r="B615" s="1" t="n">
        <v>45835.44732638889</v>
      </c>
      <c r="C615" s="1" t="n">
        <v>45926</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31987-2025</t>
        </is>
      </c>
      <c r="B616" s="1" t="n">
        <v>45835.36229166666</v>
      </c>
      <c r="C616" s="1" t="n">
        <v>45926</v>
      </c>
      <c r="D616" t="inlineStr">
        <is>
          <t>KALMAR LÄN</t>
        </is>
      </c>
      <c r="E616" t="inlineStr">
        <is>
          <t>VIMMERBY</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32077-2025</t>
        </is>
      </c>
      <c r="B617" s="1" t="n">
        <v>45835.45099537037</v>
      </c>
      <c r="C617" s="1" t="n">
        <v>45926</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32120-2025</t>
        </is>
      </c>
      <c r="B618" s="1" t="n">
        <v>45835.4924537037</v>
      </c>
      <c r="C618" s="1" t="n">
        <v>45926</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31876-2025</t>
        </is>
      </c>
      <c r="B619" s="1" t="n">
        <v>45834.65197916667</v>
      </c>
      <c r="C619" s="1" t="n">
        <v>45926</v>
      </c>
      <c r="D619" t="inlineStr">
        <is>
          <t>KALMAR LÄN</t>
        </is>
      </c>
      <c r="E619" t="inlineStr">
        <is>
          <t>VIMMERBY</t>
        </is>
      </c>
      <c r="F619" t="inlineStr">
        <is>
          <t>Sveaskog</t>
        </is>
      </c>
      <c r="G619" t="n">
        <v>3.3</v>
      </c>
      <c r="H619" t="n">
        <v>0</v>
      </c>
      <c r="I619" t="n">
        <v>0</v>
      </c>
      <c r="J619" t="n">
        <v>0</v>
      </c>
      <c r="K619" t="n">
        <v>0</v>
      </c>
      <c r="L619" t="n">
        <v>0</v>
      </c>
      <c r="M619" t="n">
        <v>0</v>
      </c>
      <c r="N619" t="n">
        <v>0</v>
      </c>
      <c r="O619" t="n">
        <v>0</v>
      </c>
      <c r="P619" t="n">
        <v>0</v>
      </c>
      <c r="Q619" t="n">
        <v>0</v>
      </c>
      <c r="R619" s="2" t="inlineStr"/>
    </row>
    <row r="620" ht="15" customHeight="1">
      <c r="A620" t="inlineStr">
        <is>
          <t>A 49408-2023</t>
        </is>
      </c>
      <c r="B620" s="1" t="n">
        <v>45211.43555555555</v>
      </c>
      <c r="C620" s="1" t="n">
        <v>45926</v>
      </c>
      <c r="D620" t="inlineStr">
        <is>
          <t>KALMAR LÄN</t>
        </is>
      </c>
      <c r="E620" t="inlineStr">
        <is>
          <t>VIMMERBY</t>
        </is>
      </c>
      <c r="G620" t="n">
        <v>13.1</v>
      </c>
      <c r="H620" t="n">
        <v>0</v>
      </c>
      <c r="I620" t="n">
        <v>0</v>
      </c>
      <c r="J620" t="n">
        <v>0</v>
      </c>
      <c r="K620" t="n">
        <v>0</v>
      </c>
      <c r="L620" t="n">
        <v>0</v>
      </c>
      <c r="M620" t="n">
        <v>0</v>
      </c>
      <c r="N620" t="n">
        <v>0</v>
      </c>
      <c r="O620" t="n">
        <v>0</v>
      </c>
      <c r="P620" t="n">
        <v>0</v>
      </c>
      <c r="Q620" t="n">
        <v>0</v>
      </c>
      <c r="R620" s="2" t="inlineStr"/>
    </row>
    <row r="621" ht="15" customHeight="1">
      <c r="A621" t="inlineStr">
        <is>
          <t>A 56536-2022</t>
        </is>
      </c>
      <c r="B621" s="1" t="n">
        <v>44893</v>
      </c>
      <c r="C621" s="1" t="n">
        <v>45926</v>
      </c>
      <c r="D621" t="inlineStr">
        <is>
          <t>KALMAR LÄN</t>
        </is>
      </c>
      <c r="E621" t="inlineStr">
        <is>
          <t>VIMMERBY</t>
        </is>
      </c>
      <c r="G621" t="n">
        <v>3.2</v>
      </c>
      <c r="H621" t="n">
        <v>0</v>
      </c>
      <c r="I621" t="n">
        <v>0</v>
      </c>
      <c r="J621" t="n">
        <v>0</v>
      </c>
      <c r="K621" t="n">
        <v>0</v>
      </c>
      <c r="L621" t="n">
        <v>0</v>
      </c>
      <c r="M621" t="n">
        <v>0</v>
      </c>
      <c r="N621" t="n">
        <v>0</v>
      </c>
      <c r="O621" t="n">
        <v>0</v>
      </c>
      <c r="P621" t="n">
        <v>0</v>
      </c>
      <c r="Q621" t="n">
        <v>0</v>
      </c>
      <c r="R621" s="2" t="inlineStr"/>
    </row>
    <row r="622" ht="15" customHeight="1">
      <c r="A622" t="inlineStr">
        <is>
          <t>A 50860-2022</t>
        </is>
      </c>
      <c r="B622" s="1" t="n">
        <v>44867</v>
      </c>
      <c r="C622" s="1" t="n">
        <v>45926</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25370-2022</t>
        </is>
      </c>
      <c r="B623" s="1" t="n">
        <v>44732.3659837963</v>
      </c>
      <c r="C623" s="1" t="n">
        <v>45926</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41199-2023</t>
        </is>
      </c>
      <c r="B624" s="1" t="n">
        <v>45174.40454861111</v>
      </c>
      <c r="C624" s="1" t="n">
        <v>45926</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58577-2024</t>
        </is>
      </c>
      <c r="B625" s="1" t="n">
        <v>45635.4874537037</v>
      </c>
      <c r="C625" s="1" t="n">
        <v>45926</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32380-2025</t>
        </is>
      </c>
      <c r="B626" s="1" t="n">
        <v>45837.77701388889</v>
      </c>
      <c r="C626" s="1" t="n">
        <v>45926</v>
      </c>
      <c r="D626" t="inlineStr">
        <is>
          <t>KALMAR LÄN</t>
        </is>
      </c>
      <c r="E626" t="inlineStr">
        <is>
          <t>VIMMERBY</t>
        </is>
      </c>
      <c r="G626" t="n">
        <v>3.1</v>
      </c>
      <c r="H626" t="n">
        <v>0</v>
      </c>
      <c r="I626" t="n">
        <v>0</v>
      </c>
      <c r="J626" t="n">
        <v>0</v>
      </c>
      <c r="K626" t="n">
        <v>0</v>
      </c>
      <c r="L626" t="n">
        <v>0</v>
      </c>
      <c r="M626" t="n">
        <v>0</v>
      </c>
      <c r="N626" t="n">
        <v>0</v>
      </c>
      <c r="O626" t="n">
        <v>0</v>
      </c>
      <c r="P626" t="n">
        <v>0</v>
      </c>
      <c r="Q626" t="n">
        <v>0</v>
      </c>
      <c r="R626" s="2" t="inlineStr"/>
    </row>
    <row r="627" ht="15" customHeight="1">
      <c r="A627" t="inlineStr">
        <is>
          <t>A 33186-2025</t>
        </is>
      </c>
      <c r="B627" s="1" t="n">
        <v>45840.59474537037</v>
      </c>
      <c r="C627" s="1" t="n">
        <v>45926</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33695-2025</t>
        </is>
      </c>
      <c r="B628" s="1" t="n">
        <v>45841.70569444444</v>
      </c>
      <c r="C628" s="1" t="n">
        <v>45926</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33698-2025</t>
        </is>
      </c>
      <c r="B629" s="1" t="n">
        <v>45841.70868055556</v>
      </c>
      <c r="C629" s="1" t="n">
        <v>45926</v>
      </c>
      <c r="D629" t="inlineStr">
        <is>
          <t>KALMAR LÄN</t>
        </is>
      </c>
      <c r="E629" t="inlineStr">
        <is>
          <t>VIMMERBY</t>
        </is>
      </c>
      <c r="G629" t="n">
        <v>3.7</v>
      </c>
      <c r="H629" t="n">
        <v>0</v>
      </c>
      <c r="I629" t="n">
        <v>0</v>
      </c>
      <c r="J629" t="n">
        <v>0</v>
      </c>
      <c r="K629" t="n">
        <v>0</v>
      </c>
      <c r="L629" t="n">
        <v>0</v>
      </c>
      <c r="M629" t="n">
        <v>0</v>
      </c>
      <c r="N629" t="n">
        <v>0</v>
      </c>
      <c r="O629" t="n">
        <v>0</v>
      </c>
      <c r="P629" t="n">
        <v>0</v>
      </c>
      <c r="Q629" t="n">
        <v>0</v>
      </c>
      <c r="R629" s="2" t="inlineStr"/>
    </row>
    <row r="630" ht="15" customHeight="1">
      <c r="A630" t="inlineStr">
        <is>
          <t>A 29440-2024</t>
        </is>
      </c>
      <c r="B630" s="1" t="n">
        <v>45483.82479166667</v>
      </c>
      <c r="C630" s="1" t="n">
        <v>45926</v>
      </c>
      <c r="D630" t="inlineStr">
        <is>
          <t>KALMAR LÄN</t>
        </is>
      </c>
      <c r="E630" t="inlineStr">
        <is>
          <t>VIMMERBY</t>
        </is>
      </c>
      <c r="G630" t="n">
        <v>4.5</v>
      </c>
      <c r="H630" t="n">
        <v>0</v>
      </c>
      <c r="I630" t="n">
        <v>0</v>
      </c>
      <c r="J630" t="n">
        <v>0</v>
      </c>
      <c r="K630" t="n">
        <v>0</v>
      </c>
      <c r="L630" t="n">
        <v>0</v>
      </c>
      <c r="M630" t="n">
        <v>0</v>
      </c>
      <c r="N630" t="n">
        <v>0</v>
      </c>
      <c r="O630" t="n">
        <v>0</v>
      </c>
      <c r="P630" t="n">
        <v>0</v>
      </c>
      <c r="Q630" t="n">
        <v>0</v>
      </c>
      <c r="R630" s="2" t="inlineStr"/>
    </row>
    <row r="631" ht="15" customHeight="1">
      <c r="A631" t="inlineStr">
        <is>
          <t>A 8945-2025</t>
        </is>
      </c>
      <c r="B631" s="1" t="n">
        <v>45713.45311342592</v>
      </c>
      <c r="C631" s="1" t="n">
        <v>45926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30977-2025</t>
        </is>
      </c>
      <c r="B632" s="1" t="n">
        <v>45832.46649305556</v>
      </c>
      <c r="C632" s="1" t="n">
        <v>45926</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33696-2025</t>
        </is>
      </c>
      <c r="B633" s="1" t="n">
        <v>45841.7072337963</v>
      </c>
      <c r="C633" s="1" t="n">
        <v>45926</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9129-2025</t>
        </is>
      </c>
      <c r="B634" s="1" t="n">
        <v>45713.92412037037</v>
      </c>
      <c r="C634" s="1" t="n">
        <v>45926</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22197-2024</t>
        </is>
      </c>
      <c r="B635" s="1" t="n">
        <v>45446.36774305555</v>
      </c>
      <c r="C635" s="1" t="n">
        <v>45926</v>
      </c>
      <c r="D635" t="inlineStr">
        <is>
          <t>KALMAR LÄN</t>
        </is>
      </c>
      <c r="E635" t="inlineStr">
        <is>
          <t>VIMMERBY</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53752-2024</t>
        </is>
      </c>
      <c r="B636" s="1" t="n">
        <v>45615.48927083334</v>
      </c>
      <c r="C636" s="1" t="n">
        <v>45926</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26956-2025</t>
        </is>
      </c>
      <c r="B637" s="1" t="n">
        <v>45811.45460648148</v>
      </c>
      <c r="C637" s="1" t="n">
        <v>45926</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11619-2023</t>
        </is>
      </c>
      <c r="B638" s="1" t="n">
        <v>44994.42113425926</v>
      </c>
      <c r="C638" s="1" t="n">
        <v>45926</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34060-2025</t>
        </is>
      </c>
      <c r="B639" s="1" t="n">
        <v>45845.42015046296</v>
      </c>
      <c r="C639" s="1" t="n">
        <v>45926</v>
      </c>
      <c r="D639" t="inlineStr">
        <is>
          <t>KALMAR LÄN</t>
        </is>
      </c>
      <c r="E639" t="inlineStr">
        <is>
          <t>VIMMERBY</t>
        </is>
      </c>
      <c r="G639" t="n">
        <v>5.7</v>
      </c>
      <c r="H639" t="n">
        <v>0</v>
      </c>
      <c r="I639" t="n">
        <v>0</v>
      </c>
      <c r="J639" t="n">
        <v>0</v>
      </c>
      <c r="K639" t="n">
        <v>0</v>
      </c>
      <c r="L639" t="n">
        <v>0</v>
      </c>
      <c r="M639" t="n">
        <v>0</v>
      </c>
      <c r="N639" t="n">
        <v>0</v>
      </c>
      <c r="O639" t="n">
        <v>0</v>
      </c>
      <c r="P639" t="n">
        <v>0</v>
      </c>
      <c r="Q639" t="n">
        <v>0</v>
      </c>
      <c r="R639" s="2" t="inlineStr"/>
    </row>
    <row r="640" ht="15" customHeight="1">
      <c r="A640" t="inlineStr">
        <is>
          <t>A 41896-2023</t>
        </is>
      </c>
      <c r="B640" s="1" t="n">
        <v>45176.72427083334</v>
      </c>
      <c r="C640" s="1" t="n">
        <v>45926</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34071-2025</t>
        </is>
      </c>
      <c r="B641" s="1" t="n">
        <v>45845.43803240741</v>
      </c>
      <c r="C641" s="1" t="n">
        <v>45926</v>
      </c>
      <c r="D641" t="inlineStr">
        <is>
          <t>KALMAR LÄN</t>
        </is>
      </c>
      <c r="E641" t="inlineStr">
        <is>
          <t>VIMMERBY</t>
        </is>
      </c>
      <c r="G641" t="n">
        <v>6.8</v>
      </c>
      <c r="H641" t="n">
        <v>0</v>
      </c>
      <c r="I641" t="n">
        <v>0</v>
      </c>
      <c r="J641" t="n">
        <v>0</v>
      </c>
      <c r="K641" t="n">
        <v>0</v>
      </c>
      <c r="L641" t="n">
        <v>0</v>
      </c>
      <c r="M641" t="n">
        <v>0</v>
      </c>
      <c r="N641" t="n">
        <v>0</v>
      </c>
      <c r="O641" t="n">
        <v>0</v>
      </c>
      <c r="P641" t="n">
        <v>0</v>
      </c>
      <c r="Q641" t="n">
        <v>0</v>
      </c>
      <c r="R641" s="2" t="inlineStr"/>
    </row>
    <row r="642" ht="15" customHeight="1">
      <c r="A642" t="inlineStr">
        <is>
          <t>A 34106-2025</t>
        </is>
      </c>
      <c r="B642" s="1" t="n">
        <v>45845.49414351852</v>
      </c>
      <c r="C642" s="1" t="n">
        <v>45926</v>
      </c>
      <c r="D642" t="inlineStr">
        <is>
          <t>KALMAR LÄN</t>
        </is>
      </c>
      <c r="E642" t="inlineStr">
        <is>
          <t>VIMMERBY</t>
        </is>
      </c>
      <c r="G642" t="n">
        <v>6</v>
      </c>
      <c r="H642" t="n">
        <v>0</v>
      </c>
      <c r="I642" t="n">
        <v>0</v>
      </c>
      <c r="J642" t="n">
        <v>0</v>
      </c>
      <c r="K642" t="n">
        <v>0</v>
      </c>
      <c r="L642" t="n">
        <v>0</v>
      </c>
      <c r="M642" t="n">
        <v>0</v>
      </c>
      <c r="N642" t="n">
        <v>0</v>
      </c>
      <c r="O642" t="n">
        <v>0</v>
      </c>
      <c r="P642" t="n">
        <v>0</v>
      </c>
      <c r="Q642" t="n">
        <v>0</v>
      </c>
      <c r="R642" s="2" t="inlineStr"/>
    </row>
    <row r="643" ht="15" customHeight="1">
      <c r="A643" t="inlineStr">
        <is>
          <t>A 28702-2025</t>
        </is>
      </c>
      <c r="B643" s="1" t="n">
        <v>45820.03976851852</v>
      </c>
      <c r="C643" s="1" t="n">
        <v>45926</v>
      </c>
      <c r="D643" t="inlineStr">
        <is>
          <t>KALMAR LÄN</t>
        </is>
      </c>
      <c r="E643" t="inlineStr">
        <is>
          <t>VIMMERBY</t>
        </is>
      </c>
      <c r="G643" t="n">
        <v>2.1</v>
      </c>
      <c r="H643" t="n">
        <v>0</v>
      </c>
      <c r="I643" t="n">
        <v>0</v>
      </c>
      <c r="J643" t="n">
        <v>0</v>
      </c>
      <c r="K643" t="n">
        <v>0</v>
      </c>
      <c r="L643" t="n">
        <v>0</v>
      </c>
      <c r="M643" t="n">
        <v>0</v>
      </c>
      <c r="N643" t="n">
        <v>0</v>
      </c>
      <c r="O643" t="n">
        <v>0</v>
      </c>
      <c r="P643" t="n">
        <v>0</v>
      </c>
      <c r="Q643" t="n">
        <v>0</v>
      </c>
      <c r="R643" s="2" t="inlineStr"/>
    </row>
    <row r="644" ht="15" customHeight="1">
      <c r="A644" t="inlineStr">
        <is>
          <t>A 12121-2025</t>
        </is>
      </c>
      <c r="B644" s="1" t="n">
        <v>45729.36868055556</v>
      </c>
      <c r="C644" s="1" t="n">
        <v>45926</v>
      </c>
      <c r="D644" t="inlineStr">
        <is>
          <t>KALMAR LÄN</t>
        </is>
      </c>
      <c r="E644" t="inlineStr">
        <is>
          <t>VIMMERBY</t>
        </is>
      </c>
      <c r="G644" t="n">
        <v>4.3</v>
      </c>
      <c r="H644" t="n">
        <v>0</v>
      </c>
      <c r="I644" t="n">
        <v>0</v>
      </c>
      <c r="J644" t="n">
        <v>0</v>
      </c>
      <c r="K644" t="n">
        <v>0</v>
      </c>
      <c r="L644" t="n">
        <v>0</v>
      </c>
      <c r="M644" t="n">
        <v>0</v>
      </c>
      <c r="N644" t="n">
        <v>0</v>
      </c>
      <c r="O644" t="n">
        <v>0</v>
      </c>
      <c r="P644" t="n">
        <v>0</v>
      </c>
      <c r="Q644" t="n">
        <v>0</v>
      </c>
      <c r="R644" s="2" t="inlineStr"/>
    </row>
    <row r="645" ht="15" customHeight="1">
      <c r="A645" t="inlineStr">
        <is>
          <t>A 38604-2025</t>
        </is>
      </c>
      <c r="B645" s="1" t="n">
        <v>45884.50613425926</v>
      </c>
      <c r="C645" s="1" t="n">
        <v>45926</v>
      </c>
      <c r="D645" t="inlineStr">
        <is>
          <t>KALMAR LÄN</t>
        </is>
      </c>
      <c r="E645" t="inlineStr">
        <is>
          <t>VIMMERBY</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17926-2025</t>
        </is>
      </c>
      <c r="B646" s="1" t="n">
        <v>45759.38987268518</v>
      </c>
      <c r="C646" s="1" t="n">
        <v>45926</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38964-2025</t>
        </is>
      </c>
      <c r="B647" s="1" t="n">
        <v>45887.68759259259</v>
      </c>
      <c r="C647" s="1" t="n">
        <v>45926</v>
      </c>
      <c r="D647" t="inlineStr">
        <is>
          <t>KALMAR LÄN</t>
        </is>
      </c>
      <c r="E647" t="inlineStr">
        <is>
          <t>VIMMERBY</t>
        </is>
      </c>
      <c r="G647" t="n">
        <v>7.5</v>
      </c>
      <c r="H647" t="n">
        <v>0</v>
      </c>
      <c r="I647" t="n">
        <v>0</v>
      </c>
      <c r="J647" t="n">
        <v>0</v>
      </c>
      <c r="K647" t="n">
        <v>0</v>
      </c>
      <c r="L647" t="n">
        <v>0</v>
      </c>
      <c r="M647" t="n">
        <v>0</v>
      </c>
      <c r="N647" t="n">
        <v>0</v>
      </c>
      <c r="O647" t="n">
        <v>0</v>
      </c>
      <c r="P647" t="n">
        <v>0</v>
      </c>
      <c r="Q647" t="n">
        <v>0</v>
      </c>
      <c r="R647" s="2" t="inlineStr"/>
    </row>
    <row r="648" ht="15" customHeight="1">
      <c r="A648" t="inlineStr">
        <is>
          <t>A 9710-2023</t>
        </is>
      </c>
      <c r="B648" s="1" t="n">
        <v>44984</v>
      </c>
      <c r="C648" s="1" t="n">
        <v>45926</v>
      </c>
      <c r="D648" t="inlineStr">
        <is>
          <t>KALMAR LÄN</t>
        </is>
      </c>
      <c r="E648" t="inlineStr">
        <is>
          <t>VIMMERBY</t>
        </is>
      </c>
      <c r="G648" t="n">
        <v>3.7</v>
      </c>
      <c r="H648" t="n">
        <v>0</v>
      </c>
      <c r="I648" t="n">
        <v>0</v>
      </c>
      <c r="J648" t="n">
        <v>0</v>
      </c>
      <c r="K648" t="n">
        <v>0</v>
      </c>
      <c r="L648" t="n">
        <v>0</v>
      </c>
      <c r="M648" t="n">
        <v>0</v>
      </c>
      <c r="N648" t="n">
        <v>0</v>
      </c>
      <c r="O648" t="n">
        <v>0</v>
      </c>
      <c r="P648" t="n">
        <v>0</v>
      </c>
      <c r="Q648" t="n">
        <v>0</v>
      </c>
      <c r="R648" s="2" t="inlineStr"/>
    </row>
    <row r="649" ht="15" customHeight="1">
      <c r="A649" t="inlineStr">
        <is>
          <t>A 9720-2023</t>
        </is>
      </c>
      <c r="B649" s="1" t="n">
        <v>44984</v>
      </c>
      <c r="C649" s="1" t="n">
        <v>45926</v>
      </c>
      <c r="D649" t="inlineStr">
        <is>
          <t>KALMAR LÄN</t>
        </is>
      </c>
      <c r="E649" t="inlineStr">
        <is>
          <t>VIMMERBY</t>
        </is>
      </c>
      <c r="G649" t="n">
        <v>4.4</v>
      </c>
      <c r="H649" t="n">
        <v>0</v>
      </c>
      <c r="I649" t="n">
        <v>0</v>
      </c>
      <c r="J649" t="n">
        <v>0</v>
      </c>
      <c r="K649" t="n">
        <v>0</v>
      </c>
      <c r="L649" t="n">
        <v>0</v>
      </c>
      <c r="M649" t="n">
        <v>0</v>
      </c>
      <c r="N649" t="n">
        <v>0</v>
      </c>
      <c r="O649" t="n">
        <v>0</v>
      </c>
      <c r="P649" t="n">
        <v>0</v>
      </c>
      <c r="Q649" t="n">
        <v>0</v>
      </c>
      <c r="R649" s="2" t="inlineStr"/>
    </row>
    <row r="650" ht="15" customHeight="1">
      <c r="A650" t="inlineStr">
        <is>
          <t>A 21028-2023</t>
        </is>
      </c>
      <c r="B650" s="1" t="n">
        <v>45061</v>
      </c>
      <c r="C650" s="1" t="n">
        <v>45926</v>
      </c>
      <c r="D650" t="inlineStr">
        <is>
          <t>KALMAR LÄN</t>
        </is>
      </c>
      <c r="E650" t="inlineStr">
        <is>
          <t>VIMMERBY</t>
        </is>
      </c>
      <c r="F650" t="inlineStr">
        <is>
          <t>Övriga Aktiebolag</t>
        </is>
      </c>
      <c r="G650" t="n">
        <v>0.7</v>
      </c>
      <c r="H650" t="n">
        <v>0</v>
      </c>
      <c r="I650" t="n">
        <v>0</v>
      </c>
      <c r="J650" t="n">
        <v>0</v>
      </c>
      <c r="K650" t="n">
        <v>0</v>
      </c>
      <c r="L650" t="n">
        <v>0</v>
      </c>
      <c r="M650" t="n">
        <v>0</v>
      </c>
      <c r="N650" t="n">
        <v>0</v>
      </c>
      <c r="O650" t="n">
        <v>0</v>
      </c>
      <c r="P650" t="n">
        <v>0</v>
      </c>
      <c r="Q650" t="n">
        <v>0</v>
      </c>
      <c r="R650" s="2" t="inlineStr"/>
    </row>
    <row r="651" ht="15" customHeight="1">
      <c r="A651" t="inlineStr">
        <is>
          <t>A 15493-2023</t>
        </is>
      </c>
      <c r="B651" s="1" t="n">
        <v>45018</v>
      </c>
      <c r="C651" s="1" t="n">
        <v>45926</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19445-2021</t>
        </is>
      </c>
      <c r="B652" s="1" t="n">
        <v>44310</v>
      </c>
      <c r="C652" s="1" t="n">
        <v>45926</v>
      </c>
      <c r="D652" t="inlineStr">
        <is>
          <t>KALMAR LÄN</t>
        </is>
      </c>
      <c r="E652" t="inlineStr">
        <is>
          <t>VIMMERBY</t>
        </is>
      </c>
      <c r="G652" t="n">
        <v>6.8</v>
      </c>
      <c r="H652" t="n">
        <v>0</v>
      </c>
      <c r="I652" t="n">
        <v>0</v>
      </c>
      <c r="J652" t="n">
        <v>0</v>
      </c>
      <c r="K652" t="n">
        <v>0</v>
      </c>
      <c r="L652" t="n">
        <v>0</v>
      </c>
      <c r="M652" t="n">
        <v>0</v>
      </c>
      <c r="N652" t="n">
        <v>0</v>
      </c>
      <c r="O652" t="n">
        <v>0</v>
      </c>
      <c r="P652" t="n">
        <v>0</v>
      </c>
      <c r="Q652" t="n">
        <v>0</v>
      </c>
      <c r="R652" s="2" t="inlineStr"/>
    </row>
    <row r="653" ht="15" customHeight="1">
      <c r="A653" t="inlineStr">
        <is>
          <t>A 27122-2023</t>
        </is>
      </c>
      <c r="B653" s="1" t="n">
        <v>45096.45247685185</v>
      </c>
      <c r="C653" s="1" t="n">
        <v>45926</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29093-2023</t>
        </is>
      </c>
      <c r="B654" s="1" t="n">
        <v>45105</v>
      </c>
      <c r="C654" s="1" t="n">
        <v>45926</v>
      </c>
      <c r="D654" t="inlineStr">
        <is>
          <t>KALMAR LÄN</t>
        </is>
      </c>
      <c r="E654" t="inlineStr">
        <is>
          <t>VIMMERBY</t>
        </is>
      </c>
      <c r="G654" t="n">
        <v>2.9</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45926</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13813-2024</t>
        </is>
      </c>
      <c r="B656" s="1" t="n">
        <v>45391.41310185185</v>
      </c>
      <c r="C656" s="1" t="n">
        <v>45926</v>
      </c>
      <c r="D656" t="inlineStr">
        <is>
          <t>KALMAR LÄN</t>
        </is>
      </c>
      <c r="E656" t="inlineStr">
        <is>
          <t>VIMMERBY</t>
        </is>
      </c>
      <c r="G656" t="n">
        <v>0.4</v>
      </c>
      <c r="H656" t="n">
        <v>0</v>
      </c>
      <c r="I656" t="n">
        <v>0</v>
      </c>
      <c r="J656" t="n">
        <v>0</v>
      </c>
      <c r="K656" t="n">
        <v>0</v>
      </c>
      <c r="L656" t="n">
        <v>0</v>
      </c>
      <c r="M656" t="n">
        <v>0</v>
      </c>
      <c r="N656" t="n">
        <v>0</v>
      </c>
      <c r="O656" t="n">
        <v>0</v>
      </c>
      <c r="P656" t="n">
        <v>0</v>
      </c>
      <c r="Q656" t="n">
        <v>0</v>
      </c>
      <c r="R656" s="2" t="inlineStr"/>
    </row>
    <row r="657" ht="15" customHeight="1">
      <c r="A657" t="inlineStr">
        <is>
          <t>A 10674-2021</t>
        </is>
      </c>
      <c r="B657" s="1" t="n">
        <v>44258</v>
      </c>
      <c r="C657" s="1" t="n">
        <v>45926</v>
      </c>
      <c r="D657" t="inlineStr">
        <is>
          <t>KALMAR LÄN</t>
        </is>
      </c>
      <c r="E657" t="inlineStr">
        <is>
          <t>VIMMERBY</t>
        </is>
      </c>
      <c r="G657" t="n">
        <v>8.4</v>
      </c>
      <c r="H657" t="n">
        <v>0</v>
      </c>
      <c r="I657" t="n">
        <v>0</v>
      </c>
      <c r="J657" t="n">
        <v>0</v>
      </c>
      <c r="K657" t="n">
        <v>0</v>
      </c>
      <c r="L657" t="n">
        <v>0</v>
      </c>
      <c r="M657" t="n">
        <v>0</v>
      </c>
      <c r="N657" t="n">
        <v>0</v>
      </c>
      <c r="O657" t="n">
        <v>0</v>
      </c>
      <c r="P657" t="n">
        <v>0</v>
      </c>
      <c r="Q657" t="n">
        <v>0</v>
      </c>
      <c r="R657" s="2" t="inlineStr"/>
    </row>
    <row r="658" ht="15" customHeight="1">
      <c r="A658" t="inlineStr">
        <is>
          <t>A 38969-2023</t>
        </is>
      </c>
      <c r="B658" s="1" t="n">
        <v>45163.63621527778</v>
      </c>
      <c r="C658" s="1" t="n">
        <v>45926</v>
      </c>
      <c r="D658" t="inlineStr">
        <is>
          <t>KALMAR LÄN</t>
        </is>
      </c>
      <c r="E658" t="inlineStr">
        <is>
          <t>VIMMERBY</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22264-2023</t>
        </is>
      </c>
      <c r="B659" s="1" t="n">
        <v>45070.3665625</v>
      </c>
      <c r="C659" s="1" t="n">
        <v>45926</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16676-2023</t>
        </is>
      </c>
      <c r="B660" s="1" t="n">
        <v>45028</v>
      </c>
      <c r="C660" s="1" t="n">
        <v>45926</v>
      </c>
      <c r="D660" t="inlineStr">
        <is>
          <t>KALMAR LÄN</t>
        </is>
      </c>
      <c r="E660" t="inlineStr">
        <is>
          <t>VIMMERBY</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6220-2025</t>
        </is>
      </c>
      <c r="B661" s="1" t="n">
        <v>45698.53725694444</v>
      </c>
      <c r="C661" s="1" t="n">
        <v>45926</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26937-2023</t>
        </is>
      </c>
      <c r="B662" s="1" t="n">
        <v>45093.62777777778</v>
      </c>
      <c r="C662" s="1" t="n">
        <v>45926</v>
      </c>
      <c r="D662" t="inlineStr">
        <is>
          <t>KALMAR LÄN</t>
        </is>
      </c>
      <c r="E662" t="inlineStr">
        <is>
          <t>VIMMERBY</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57486-2024</t>
        </is>
      </c>
      <c r="B663" s="1" t="n">
        <v>45630.35827546296</v>
      </c>
      <c r="C663" s="1" t="n">
        <v>45926</v>
      </c>
      <c r="D663" t="inlineStr">
        <is>
          <t>KALMAR LÄN</t>
        </is>
      </c>
      <c r="E663" t="inlineStr">
        <is>
          <t>VIMMERBY</t>
        </is>
      </c>
      <c r="G663" t="n">
        <v>0.4</v>
      </c>
      <c r="H663" t="n">
        <v>0</v>
      </c>
      <c r="I663" t="n">
        <v>0</v>
      </c>
      <c r="J663" t="n">
        <v>0</v>
      </c>
      <c r="K663" t="n">
        <v>0</v>
      </c>
      <c r="L663" t="n">
        <v>0</v>
      </c>
      <c r="M663" t="n">
        <v>0</v>
      </c>
      <c r="N663" t="n">
        <v>0</v>
      </c>
      <c r="O663" t="n">
        <v>0</v>
      </c>
      <c r="P663" t="n">
        <v>0</v>
      </c>
      <c r="Q663" t="n">
        <v>0</v>
      </c>
      <c r="R663" s="2" t="inlineStr"/>
    </row>
    <row r="664" ht="15" customHeight="1">
      <c r="A664" t="inlineStr">
        <is>
          <t>A 24096-2024</t>
        </is>
      </c>
      <c r="B664" s="1" t="n">
        <v>45456.59289351852</v>
      </c>
      <c r="C664" s="1" t="n">
        <v>45926</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43186-2021</t>
        </is>
      </c>
      <c r="B665" s="1" t="n">
        <v>44431.84840277778</v>
      </c>
      <c r="C665" s="1" t="n">
        <v>45926</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1799-2025</t>
        </is>
      </c>
      <c r="B666" s="1" t="n">
        <v>45671.46746527778</v>
      </c>
      <c r="C666" s="1" t="n">
        <v>45926</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34628-2025</t>
        </is>
      </c>
      <c r="B667" s="1" t="n">
        <v>45847.91280092593</v>
      </c>
      <c r="C667" s="1" t="n">
        <v>45926</v>
      </c>
      <c r="D667" t="inlineStr">
        <is>
          <t>KALMAR LÄN</t>
        </is>
      </c>
      <c r="E667" t="inlineStr">
        <is>
          <t>VIMMERBY</t>
        </is>
      </c>
      <c r="G667" t="n">
        <v>4.2</v>
      </c>
      <c r="H667" t="n">
        <v>0</v>
      </c>
      <c r="I667" t="n">
        <v>0</v>
      </c>
      <c r="J667" t="n">
        <v>0</v>
      </c>
      <c r="K667" t="n">
        <v>0</v>
      </c>
      <c r="L667" t="n">
        <v>0</v>
      </c>
      <c r="M667" t="n">
        <v>0</v>
      </c>
      <c r="N667" t="n">
        <v>0</v>
      </c>
      <c r="O667" t="n">
        <v>0</v>
      </c>
      <c r="P667" t="n">
        <v>0</v>
      </c>
      <c r="Q667" t="n">
        <v>0</v>
      </c>
      <c r="R667" s="2" t="inlineStr"/>
    </row>
    <row r="668" ht="15" customHeight="1">
      <c r="A668" t="inlineStr">
        <is>
          <t>A 29013-2024</t>
        </is>
      </c>
      <c r="B668" s="1" t="n">
        <v>45481.55984953704</v>
      </c>
      <c r="C668" s="1" t="n">
        <v>45926</v>
      </c>
      <c r="D668" t="inlineStr">
        <is>
          <t>KALMAR LÄN</t>
        </is>
      </c>
      <c r="E668" t="inlineStr">
        <is>
          <t>VIMMERBY</t>
        </is>
      </c>
      <c r="G668" t="n">
        <v>3.4</v>
      </c>
      <c r="H668" t="n">
        <v>0</v>
      </c>
      <c r="I668" t="n">
        <v>0</v>
      </c>
      <c r="J668" t="n">
        <v>0</v>
      </c>
      <c r="K668" t="n">
        <v>0</v>
      </c>
      <c r="L668" t="n">
        <v>0</v>
      </c>
      <c r="M668" t="n">
        <v>0</v>
      </c>
      <c r="N668" t="n">
        <v>0</v>
      </c>
      <c r="O668" t="n">
        <v>0</v>
      </c>
      <c r="P668" t="n">
        <v>0</v>
      </c>
      <c r="Q668" t="n">
        <v>0</v>
      </c>
      <c r="R668" s="2" t="inlineStr"/>
    </row>
    <row r="669" ht="15" customHeight="1">
      <c r="A669" t="inlineStr">
        <is>
          <t>A 30063-2023</t>
        </is>
      </c>
      <c r="B669" s="1" t="n">
        <v>45110.4184375</v>
      </c>
      <c r="C669" s="1" t="n">
        <v>45926</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6066-2023</t>
        </is>
      </c>
      <c r="B670" s="1" t="n">
        <v>44964.50894675926</v>
      </c>
      <c r="C670" s="1" t="n">
        <v>45926</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59955-2023</t>
        </is>
      </c>
      <c r="B671" s="1" t="n">
        <v>45257.70313657408</v>
      </c>
      <c r="C671" s="1" t="n">
        <v>45926</v>
      </c>
      <c r="D671" t="inlineStr">
        <is>
          <t>KALMAR LÄN</t>
        </is>
      </c>
      <c r="E671" t="inlineStr">
        <is>
          <t>VIMMERBY</t>
        </is>
      </c>
      <c r="G671" t="n">
        <v>13.8</v>
      </c>
      <c r="H671" t="n">
        <v>0</v>
      </c>
      <c r="I671" t="n">
        <v>0</v>
      </c>
      <c r="J671" t="n">
        <v>0</v>
      </c>
      <c r="K671" t="n">
        <v>0</v>
      </c>
      <c r="L671" t="n">
        <v>0</v>
      </c>
      <c r="M671" t="n">
        <v>0</v>
      </c>
      <c r="N671" t="n">
        <v>0</v>
      </c>
      <c r="O671" t="n">
        <v>0</v>
      </c>
      <c r="P671" t="n">
        <v>0</v>
      </c>
      <c r="Q671" t="n">
        <v>0</v>
      </c>
      <c r="R671" s="2" t="inlineStr"/>
    </row>
    <row r="672" ht="15" customHeight="1">
      <c r="A672" t="inlineStr">
        <is>
          <t>A 39803-2025</t>
        </is>
      </c>
      <c r="B672" s="1" t="n">
        <v>45891.50525462963</v>
      </c>
      <c r="C672" s="1" t="n">
        <v>45926</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39807-2025</t>
        </is>
      </c>
      <c r="B673" s="1" t="n">
        <v>45891.50986111111</v>
      </c>
      <c r="C673" s="1" t="n">
        <v>45926</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36040-2024</t>
        </is>
      </c>
      <c r="B674" s="1" t="n">
        <v>45533.60232638889</v>
      </c>
      <c r="C674" s="1" t="n">
        <v>45926</v>
      </c>
      <c r="D674" t="inlineStr">
        <is>
          <t>KALMAR LÄN</t>
        </is>
      </c>
      <c r="E674" t="inlineStr">
        <is>
          <t>VIMMERBY</t>
        </is>
      </c>
      <c r="F674" t="inlineStr">
        <is>
          <t>Kommuner</t>
        </is>
      </c>
      <c r="G674" t="n">
        <v>3.6</v>
      </c>
      <c r="H674" t="n">
        <v>0</v>
      </c>
      <c r="I674" t="n">
        <v>0</v>
      </c>
      <c r="J674" t="n">
        <v>0</v>
      </c>
      <c r="K674" t="n">
        <v>0</v>
      </c>
      <c r="L674" t="n">
        <v>0</v>
      </c>
      <c r="M674" t="n">
        <v>0</v>
      </c>
      <c r="N674" t="n">
        <v>0</v>
      </c>
      <c r="O674" t="n">
        <v>0</v>
      </c>
      <c r="P674" t="n">
        <v>0</v>
      </c>
      <c r="Q674" t="n">
        <v>0</v>
      </c>
      <c r="R674" s="2" t="inlineStr"/>
    </row>
    <row r="675" ht="15" customHeight="1">
      <c r="A675" t="inlineStr">
        <is>
          <t>A 36043-2024</t>
        </is>
      </c>
      <c r="B675" s="1" t="n">
        <v>45533.60770833334</v>
      </c>
      <c r="C675" s="1" t="n">
        <v>45926</v>
      </c>
      <c r="D675" t="inlineStr">
        <is>
          <t>KALMAR LÄN</t>
        </is>
      </c>
      <c r="E675" t="inlineStr">
        <is>
          <t>VIMMERBY</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12890-2023</t>
        </is>
      </c>
      <c r="B676" s="1" t="n">
        <v>45001.59209490741</v>
      </c>
      <c r="C676" s="1" t="n">
        <v>45926</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43594-2024</t>
        </is>
      </c>
      <c r="B677" s="1" t="n">
        <v>45569.44295138889</v>
      </c>
      <c r="C677" s="1" t="n">
        <v>45926</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53482-2022</t>
        </is>
      </c>
      <c r="B678" s="1" t="n">
        <v>44879</v>
      </c>
      <c r="C678" s="1" t="n">
        <v>45926</v>
      </c>
      <c r="D678" t="inlineStr">
        <is>
          <t>KALMAR LÄN</t>
        </is>
      </c>
      <c r="E678" t="inlineStr">
        <is>
          <t>VIMMERBY</t>
        </is>
      </c>
      <c r="G678" t="n">
        <v>10.1</v>
      </c>
      <c r="H678" t="n">
        <v>0</v>
      </c>
      <c r="I678" t="n">
        <v>0</v>
      </c>
      <c r="J678" t="n">
        <v>0</v>
      </c>
      <c r="K678" t="n">
        <v>0</v>
      </c>
      <c r="L678" t="n">
        <v>0</v>
      </c>
      <c r="M678" t="n">
        <v>0</v>
      </c>
      <c r="N678" t="n">
        <v>0</v>
      </c>
      <c r="O678" t="n">
        <v>0</v>
      </c>
      <c r="P678" t="n">
        <v>0</v>
      </c>
      <c r="Q678" t="n">
        <v>0</v>
      </c>
      <c r="R678" s="2" t="inlineStr"/>
    </row>
    <row r="679" ht="15" customHeight="1">
      <c r="A679" t="inlineStr">
        <is>
          <t>A 43068-2023</t>
        </is>
      </c>
      <c r="B679" s="1" t="n">
        <v>45182.78834490741</v>
      </c>
      <c r="C679" s="1" t="n">
        <v>45926</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27761-2024</t>
        </is>
      </c>
      <c r="B680" s="1" t="n">
        <v>45475.49018518518</v>
      </c>
      <c r="C680" s="1" t="n">
        <v>45926</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64203-2021</t>
        </is>
      </c>
      <c r="B681" s="1" t="n">
        <v>44510.60921296296</v>
      </c>
      <c r="C681" s="1" t="n">
        <v>45926</v>
      </c>
      <c r="D681" t="inlineStr">
        <is>
          <t>KALMAR LÄN</t>
        </is>
      </c>
      <c r="E681" t="inlineStr">
        <is>
          <t>VIMMERBY</t>
        </is>
      </c>
      <c r="F681" t="inlineStr">
        <is>
          <t>Övriga Aktiebolag</t>
        </is>
      </c>
      <c r="G681" t="n">
        <v>5.4</v>
      </c>
      <c r="H681" t="n">
        <v>0</v>
      </c>
      <c r="I681" t="n">
        <v>0</v>
      </c>
      <c r="J681" t="n">
        <v>0</v>
      </c>
      <c r="K681" t="n">
        <v>0</v>
      </c>
      <c r="L681" t="n">
        <v>0</v>
      </c>
      <c r="M681" t="n">
        <v>0</v>
      </c>
      <c r="N681" t="n">
        <v>0</v>
      </c>
      <c r="O681" t="n">
        <v>0</v>
      </c>
      <c r="P681" t="n">
        <v>0</v>
      </c>
      <c r="Q681" t="n">
        <v>0</v>
      </c>
      <c r="R681" s="2" t="inlineStr"/>
    </row>
    <row r="682" ht="15" customHeight="1">
      <c r="A682" t="inlineStr">
        <is>
          <t>A 39736-2025</t>
        </is>
      </c>
      <c r="B682" s="1" t="n">
        <v>45891</v>
      </c>
      <c r="C682" s="1" t="n">
        <v>45926</v>
      </c>
      <c r="D682" t="inlineStr">
        <is>
          <t>KALMAR LÄN</t>
        </is>
      </c>
      <c r="E682" t="inlineStr">
        <is>
          <t>VIMMERBY</t>
        </is>
      </c>
      <c r="G682" t="n">
        <v>12.8</v>
      </c>
      <c r="H682" t="n">
        <v>0</v>
      </c>
      <c r="I682" t="n">
        <v>0</v>
      </c>
      <c r="J682" t="n">
        <v>0</v>
      </c>
      <c r="K682" t="n">
        <v>0</v>
      </c>
      <c r="L682" t="n">
        <v>0</v>
      </c>
      <c r="M682" t="n">
        <v>0</v>
      </c>
      <c r="N682" t="n">
        <v>0</v>
      </c>
      <c r="O682" t="n">
        <v>0</v>
      </c>
      <c r="P682" t="n">
        <v>0</v>
      </c>
      <c r="Q682" t="n">
        <v>0</v>
      </c>
      <c r="R682" s="2" t="inlineStr"/>
    </row>
    <row r="683" ht="15" customHeight="1">
      <c r="A683" t="inlineStr">
        <is>
          <t>A 39801-2025</t>
        </is>
      </c>
      <c r="B683" s="1" t="n">
        <v>45891.50216435185</v>
      </c>
      <c r="C683" s="1" t="n">
        <v>45926</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18020-2025</t>
        </is>
      </c>
      <c r="B684" s="1" t="n">
        <v>45761.4437962963</v>
      </c>
      <c r="C684" s="1" t="n">
        <v>45926</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5720-2023</t>
        </is>
      </c>
      <c r="B685" s="1" t="n">
        <v>44961</v>
      </c>
      <c r="C685" s="1" t="n">
        <v>45926</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33424-2023</t>
        </is>
      </c>
      <c r="B686" s="1" t="n">
        <v>45128.9325</v>
      </c>
      <c r="C686" s="1" t="n">
        <v>45926</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33425-2023</t>
        </is>
      </c>
      <c r="B687" s="1" t="n">
        <v>45128.93540509259</v>
      </c>
      <c r="C687" s="1" t="n">
        <v>45926</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12327-2023</t>
        </is>
      </c>
      <c r="B688" s="1" t="n">
        <v>44999.36081018519</v>
      </c>
      <c r="C688" s="1" t="n">
        <v>45926</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43092-2024</t>
        </is>
      </c>
      <c r="B689" s="1" t="n">
        <v>45567</v>
      </c>
      <c r="C689" s="1" t="n">
        <v>45926</v>
      </c>
      <c r="D689" t="inlineStr">
        <is>
          <t>KALMAR LÄN</t>
        </is>
      </c>
      <c r="E689" t="inlineStr">
        <is>
          <t>VIMMERBY</t>
        </is>
      </c>
      <c r="G689" t="n">
        <v>2.7</v>
      </c>
      <c r="H689" t="n">
        <v>0</v>
      </c>
      <c r="I689" t="n">
        <v>0</v>
      </c>
      <c r="J689" t="n">
        <v>0</v>
      </c>
      <c r="K689" t="n">
        <v>0</v>
      </c>
      <c r="L689" t="n">
        <v>0</v>
      </c>
      <c r="M689" t="n">
        <v>0</v>
      </c>
      <c r="N689" t="n">
        <v>0</v>
      </c>
      <c r="O689" t="n">
        <v>0</v>
      </c>
      <c r="P689" t="n">
        <v>0</v>
      </c>
      <c r="Q689" t="n">
        <v>0</v>
      </c>
      <c r="R689" s="2" t="inlineStr"/>
    </row>
    <row r="690" ht="15" customHeight="1">
      <c r="A690" t="inlineStr">
        <is>
          <t>A 9643-2023</t>
        </is>
      </c>
      <c r="B690" s="1" t="n">
        <v>44984</v>
      </c>
      <c r="C690" s="1" t="n">
        <v>45926</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25728-2023</t>
        </is>
      </c>
      <c r="B691" s="1" t="n">
        <v>45090.38012731481</v>
      </c>
      <c r="C691" s="1" t="n">
        <v>45926</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52435-2021</t>
        </is>
      </c>
      <c r="B692" s="1" t="n">
        <v>44466.34962962963</v>
      </c>
      <c r="C692" s="1" t="n">
        <v>45926</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41311-2023</t>
        </is>
      </c>
      <c r="B693" s="1" t="n">
        <v>45174</v>
      </c>
      <c r="C693" s="1" t="n">
        <v>45926</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39889-2025</t>
        </is>
      </c>
      <c r="B694" s="1" t="n">
        <v>45891</v>
      </c>
      <c r="C694" s="1" t="n">
        <v>45926</v>
      </c>
      <c r="D694" t="inlineStr">
        <is>
          <t>KALMAR LÄN</t>
        </is>
      </c>
      <c r="E694" t="inlineStr">
        <is>
          <t>VIMMERBY</t>
        </is>
      </c>
      <c r="G694" t="n">
        <v>4.5</v>
      </c>
      <c r="H694" t="n">
        <v>0</v>
      </c>
      <c r="I694" t="n">
        <v>0</v>
      </c>
      <c r="J694" t="n">
        <v>0</v>
      </c>
      <c r="K694" t="n">
        <v>0</v>
      </c>
      <c r="L694" t="n">
        <v>0</v>
      </c>
      <c r="M694" t="n">
        <v>0</v>
      </c>
      <c r="N694" t="n">
        <v>0</v>
      </c>
      <c r="O694" t="n">
        <v>0</v>
      </c>
      <c r="P694" t="n">
        <v>0</v>
      </c>
      <c r="Q694" t="n">
        <v>0</v>
      </c>
      <c r="R694" s="2" t="inlineStr"/>
    </row>
    <row r="695" ht="15" customHeight="1">
      <c r="A695" t="inlineStr">
        <is>
          <t>A 35127-2024</t>
        </is>
      </c>
      <c r="B695" s="1" t="n">
        <v>45530.33202546297</v>
      </c>
      <c r="C695" s="1" t="n">
        <v>45926</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40925-2025</t>
        </is>
      </c>
      <c r="B696" s="1" t="n">
        <v>45897.64208333333</v>
      </c>
      <c r="C696" s="1" t="n">
        <v>45926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26318-2023</t>
        </is>
      </c>
      <c r="B697" s="1" t="n">
        <v>45091.67936342592</v>
      </c>
      <c r="C697" s="1" t="n">
        <v>45926</v>
      </c>
      <c r="D697" t="inlineStr">
        <is>
          <t>KALMAR LÄN</t>
        </is>
      </c>
      <c r="E697" t="inlineStr">
        <is>
          <t>VIMMERBY</t>
        </is>
      </c>
      <c r="G697" t="n">
        <v>3.8</v>
      </c>
      <c r="H697" t="n">
        <v>0</v>
      </c>
      <c r="I697" t="n">
        <v>0</v>
      </c>
      <c r="J697" t="n">
        <v>0</v>
      </c>
      <c r="K697" t="n">
        <v>0</v>
      </c>
      <c r="L697" t="n">
        <v>0</v>
      </c>
      <c r="M697" t="n">
        <v>0</v>
      </c>
      <c r="N697" t="n">
        <v>0</v>
      </c>
      <c r="O697" t="n">
        <v>0</v>
      </c>
      <c r="P697" t="n">
        <v>0</v>
      </c>
      <c r="Q697" t="n">
        <v>0</v>
      </c>
      <c r="R697" s="2" t="inlineStr"/>
    </row>
    <row r="698" ht="15" customHeight="1">
      <c r="A698" t="inlineStr">
        <is>
          <t>A 40973-2025</t>
        </is>
      </c>
      <c r="B698" s="1" t="n">
        <v>45897.89737268518</v>
      </c>
      <c r="C698" s="1" t="n">
        <v>45926</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35270-2025</t>
        </is>
      </c>
      <c r="B699" s="1" t="n">
        <v>45853.87112268519</v>
      </c>
      <c r="C699" s="1" t="n">
        <v>45926</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35271-2025</t>
        </is>
      </c>
      <c r="B700" s="1" t="n">
        <v>45853.87599537037</v>
      </c>
      <c r="C700" s="1" t="n">
        <v>45926</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35272-2025</t>
        </is>
      </c>
      <c r="B701" s="1" t="n">
        <v>45853.88070601852</v>
      </c>
      <c r="C701" s="1" t="n">
        <v>45926</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40971-2025</t>
        </is>
      </c>
      <c r="B702" s="1" t="n">
        <v>45897.88836805556</v>
      </c>
      <c r="C702" s="1" t="n">
        <v>45926</v>
      </c>
      <c r="D702" t="inlineStr">
        <is>
          <t>KALMAR LÄN</t>
        </is>
      </c>
      <c r="E702" t="inlineStr">
        <is>
          <t>VIMMERBY</t>
        </is>
      </c>
      <c r="G702" t="n">
        <v>1.5</v>
      </c>
      <c r="H702" t="n">
        <v>0</v>
      </c>
      <c r="I702" t="n">
        <v>0</v>
      </c>
      <c r="J702" t="n">
        <v>0</v>
      </c>
      <c r="K702" t="n">
        <v>0</v>
      </c>
      <c r="L702" t="n">
        <v>0</v>
      </c>
      <c r="M702" t="n">
        <v>0</v>
      </c>
      <c r="N702" t="n">
        <v>0</v>
      </c>
      <c r="O702" t="n">
        <v>0</v>
      </c>
      <c r="P702" t="n">
        <v>0</v>
      </c>
      <c r="Q702" t="n">
        <v>0</v>
      </c>
      <c r="R702" s="2" t="inlineStr"/>
    </row>
    <row r="703" ht="15" customHeight="1">
      <c r="A703" t="inlineStr">
        <is>
          <t>A 40970-2025</t>
        </is>
      </c>
      <c r="B703" s="1" t="n">
        <v>45897.88706018519</v>
      </c>
      <c r="C703" s="1" t="n">
        <v>45926</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40921-2025</t>
        </is>
      </c>
      <c r="B704" s="1" t="n">
        <v>45897.63520833333</v>
      </c>
      <c r="C704" s="1" t="n">
        <v>45926</v>
      </c>
      <c r="D704" t="inlineStr">
        <is>
          <t>KALMAR LÄN</t>
        </is>
      </c>
      <c r="E704" t="inlineStr">
        <is>
          <t>VIMMERBY</t>
        </is>
      </c>
      <c r="G704" t="n">
        <v>4.2</v>
      </c>
      <c r="H704" t="n">
        <v>0</v>
      </c>
      <c r="I704" t="n">
        <v>0</v>
      </c>
      <c r="J704" t="n">
        <v>0</v>
      </c>
      <c r="K704" t="n">
        <v>0</v>
      </c>
      <c r="L704" t="n">
        <v>0</v>
      </c>
      <c r="M704" t="n">
        <v>0</v>
      </c>
      <c r="N704" t="n">
        <v>0</v>
      </c>
      <c r="O704" t="n">
        <v>0</v>
      </c>
      <c r="P704" t="n">
        <v>0</v>
      </c>
      <c r="Q704" t="n">
        <v>0</v>
      </c>
      <c r="R704" s="2" t="inlineStr"/>
    </row>
    <row r="705" ht="15" customHeight="1">
      <c r="A705" t="inlineStr">
        <is>
          <t>A 16953-2025</t>
        </is>
      </c>
      <c r="B705" s="1" t="n">
        <v>45755.44333333334</v>
      </c>
      <c r="C705" s="1" t="n">
        <v>45926</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61355-2024</t>
        </is>
      </c>
      <c r="B706" s="1" t="n">
        <v>45646.38200231481</v>
      </c>
      <c r="C706" s="1" t="n">
        <v>45926</v>
      </c>
      <c r="D706" t="inlineStr">
        <is>
          <t>KALMAR LÄN</t>
        </is>
      </c>
      <c r="E706" t="inlineStr">
        <is>
          <t>VIMMERBY</t>
        </is>
      </c>
      <c r="G706" t="n">
        <v>2.7</v>
      </c>
      <c r="H706" t="n">
        <v>0</v>
      </c>
      <c r="I706" t="n">
        <v>0</v>
      </c>
      <c r="J706" t="n">
        <v>0</v>
      </c>
      <c r="K706" t="n">
        <v>0</v>
      </c>
      <c r="L706" t="n">
        <v>0</v>
      </c>
      <c r="M706" t="n">
        <v>0</v>
      </c>
      <c r="N706" t="n">
        <v>0</v>
      </c>
      <c r="O706" t="n">
        <v>0</v>
      </c>
      <c r="P706" t="n">
        <v>0</v>
      </c>
      <c r="Q706" t="n">
        <v>0</v>
      </c>
      <c r="R706" s="2" t="inlineStr"/>
    </row>
    <row r="707" ht="15" customHeight="1">
      <c r="A707" t="inlineStr">
        <is>
          <t>A 35596-2025</t>
        </is>
      </c>
      <c r="B707" s="1" t="n">
        <v>45858.60641203704</v>
      </c>
      <c r="C707" s="1" t="n">
        <v>45926</v>
      </c>
      <c r="D707" t="inlineStr">
        <is>
          <t>KALMAR LÄN</t>
        </is>
      </c>
      <c r="E707" t="inlineStr">
        <is>
          <t>VIMMERBY</t>
        </is>
      </c>
      <c r="G707" t="n">
        <v>2.8</v>
      </c>
      <c r="H707" t="n">
        <v>0</v>
      </c>
      <c r="I707" t="n">
        <v>0</v>
      </c>
      <c r="J707" t="n">
        <v>0</v>
      </c>
      <c r="K707" t="n">
        <v>0</v>
      </c>
      <c r="L707" t="n">
        <v>0</v>
      </c>
      <c r="M707" t="n">
        <v>0</v>
      </c>
      <c r="N707" t="n">
        <v>0</v>
      </c>
      <c r="O707" t="n">
        <v>0</v>
      </c>
      <c r="P707" t="n">
        <v>0</v>
      </c>
      <c r="Q707" t="n">
        <v>0</v>
      </c>
      <c r="R707" s="2" t="inlineStr"/>
    </row>
    <row r="708" ht="15" customHeight="1">
      <c r="A708" t="inlineStr">
        <is>
          <t>A 41589-2025</t>
        </is>
      </c>
      <c r="B708" s="1" t="n">
        <v>45901.63219907408</v>
      </c>
      <c r="C708" s="1" t="n">
        <v>45926</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41591-2025</t>
        </is>
      </c>
      <c r="B709" s="1" t="n">
        <v>45901.6327662037</v>
      </c>
      <c r="C709" s="1" t="n">
        <v>45926</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60215-2022</t>
        </is>
      </c>
      <c r="B710" s="1" t="n">
        <v>44910.41346064815</v>
      </c>
      <c r="C710" s="1" t="n">
        <v>45926</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29441-2024</t>
        </is>
      </c>
      <c r="B711" s="1" t="n">
        <v>45483.82834490741</v>
      </c>
      <c r="C711" s="1" t="n">
        <v>45926</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35597-2025</t>
        </is>
      </c>
      <c r="B712" s="1" t="n">
        <v>45858.66019675926</v>
      </c>
      <c r="C712" s="1" t="n">
        <v>45926</v>
      </c>
      <c r="D712" t="inlineStr">
        <is>
          <t>KALMAR LÄN</t>
        </is>
      </c>
      <c r="E712" t="inlineStr">
        <is>
          <t>VIMMERBY</t>
        </is>
      </c>
      <c r="G712" t="n">
        <v>6.4</v>
      </c>
      <c r="H712" t="n">
        <v>0</v>
      </c>
      <c r="I712" t="n">
        <v>0</v>
      </c>
      <c r="J712" t="n">
        <v>0</v>
      </c>
      <c r="K712" t="n">
        <v>0</v>
      </c>
      <c r="L712" t="n">
        <v>0</v>
      </c>
      <c r="M712" t="n">
        <v>0</v>
      </c>
      <c r="N712" t="n">
        <v>0</v>
      </c>
      <c r="O712" t="n">
        <v>0</v>
      </c>
      <c r="P712" t="n">
        <v>0</v>
      </c>
      <c r="Q712" t="n">
        <v>0</v>
      </c>
      <c r="R712" s="2" t="inlineStr"/>
    </row>
    <row r="713" ht="15" customHeight="1">
      <c r="A713" t="inlineStr">
        <is>
          <t>A 6216-2025</t>
        </is>
      </c>
      <c r="B713" s="1" t="n">
        <v>45698.52806712963</v>
      </c>
      <c r="C713" s="1" t="n">
        <v>45926</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62779-2023</t>
        </is>
      </c>
      <c r="B714" s="1" t="n">
        <v>45271.66576388889</v>
      </c>
      <c r="C714" s="1" t="n">
        <v>45926</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52294-2023</t>
        </is>
      </c>
      <c r="B715" s="1" t="n">
        <v>45224.60075231481</v>
      </c>
      <c r="C715" s="1" t="n">
        <v>45926</v>
      </c>
      <c r="D715" t="inlineStr">
        <is>
          <t>KALMAR LÄN</t>
        </is>
      </c>
      <c r="E715" t="inlineStr">
        <is>
          <t>VIMMERBY</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36802-2021</t>
        </is>
      </c>
      <c r="B716" s="1" t="n">
        <v>44392</v>
      </c>
      <c r="C716" s="1" t="n">
        <v>45926</v>
      </c>
      <c r="D716" t="inlineStr">
        <is>
          <t>KALMAR LÄN</t>
        </is>
      </c>
      <c r="E716" t="inlineStr">
        <is>
          <t>VIMMERBY</t>
        </is>
      </c>
      <c r="F716" t="inlineStr">
        <is>
          <t>Sveaskog</t>
        </is>
      </c>
      <c r="G716" t="n">
        <v>4.6</v>
      </c>
      <c r="H716" t="n">
        <v>0</v>
      </c>
      <c r="I716" t="n">
        <v>0</v>
      </c>
      <c r="J716" t="n">
        <v>0</v>
      </c>
      <c r="K716" t="n">
        <v>0</v>
      </c>
      <c r="L716" t="n">
        <v>0</v>
      </c>
      <c r="M716" t="n">
        <v>0</v>
      </c>
      <c r="N716" t="n">
        <v>0</v>
      </c>
      <c r="O716" t="n">
        <v>0</v>
      </c>
      <c r="P716" t="n">
        <v>0</v>
      </c>
      <c r="Q716" t="n">
        <v>0</v>
      </c>
      <c r="R716" s="2" t="inlineStr"/>
    </row>
    <row r="717" ht="15" customHeight="1">
      <c r="A717" t="inlineStr">
        <is>
          <t>A 41224-2025</t>
        </is>
      </c>
      <c r="B717" s="1" t="n">
        <v>45898.58861111111</v>
      </c>
      <c r="C717" s="1" t="n">
        <v>45926</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31013-2023</t>
        </is>
      </c>
      <c r="B718" s="1" t="n">
        <v>45113.56574074074</v>
      </c>
      <c r="C718" s="1" t="n">
        <v>45926</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72067-2021</t>
        </is>
      </c>
      <c r="B719" s="1" t="n">
        <v>44540</v>
      </c>
      <c r="C719" s="1" t="n">
        <v>45926</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61538-2022</t>
        </is>
      </c>
      <c r="B720" s="1" t="n">
        <v>44916.55414351852</v>
      </c>
      <c r="C720" s="1" t="n">
        <v>45926</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38198-2024</t>
        </is>
      </c>
      <c r="B721" s="1" t="n">
        <v>45545.49508101852</v>
      </c>
      <c r="C721" s="1" t="n">
        <v>45926</v>
      </c>
      <c r="D721" t="inlineStr">
        <is>
          <t>KALMAR LÄN</t>
        </is>
      </c>
      <c r="E721" t="inlineStr">
        <is>
          <t>VIMMERBY</t>
        </is>
      </c>
      <c r="G721" t="n">
        <v>7.9</v>
      </c>
      <c r="H721" t="n">
        <v>0</v>
      </c>
      <c r="I721" t="n">
        <v>0</v>
      </c>
      <c r="J721" t="n">
        <v>0</v>
      </c>
      <c r="K721" t="n">
        <v>0</v>
      </c>
      <c r="L721" t="n">
        <v>0</v>
      </c>
      <c r="M721" t="n">
        <v>0</v>
      </c>
      <c r="N721" t="n">
        <v>0</v>
      </c>
      <c r="O721" t="n">
        <v>0</v>
      </c>
      <c r="P721" t="n">
        <v>0</v>
      </c>
      <c r="Q721" t="n">
        <v>0</v>
      </c>
      <c r="R721" s="2" t="inlineStr"/>
    </row>
    <row r="722" ht="15" customHeight="1">
      <c r="A722" t="inlineStr">
        <is>
          <t>A 9623-2024</t>
        </is>
      </c>
      <c r="B722" s="1" t="n">
        <v>45361.87975694444</v>
      </c>
      <c r="C722" s="1" t="n">
        <v>45926</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58967-2022</t>
        </is>
      </c>
      <c r="B723" s="1" t="n">
        <v>44896</v>
      </c>
      <c r="C723" s="1" t="n">
        <v>45926</v>
      </c>
      <c r="D723" t="inlineStr">
        <is>
          <t>KALMAR LÄN</t>
        </is>
      </c>
      <c r="E723" t="inlineStr">
        <is>
          <t>VIMMERBY</t>
        </is>
      </c>
      <c r="G723" t="n">
        <v>5</v>
      </c>
      <c r="H723" t="n">
        <v>0</v>
      </c>
      <c r="I723" t="n">
        <v>0</v>
      </c>
      <c r="J723" t="n">
        <v>0</v>
      </c>
      <c r="K723" t="n">
        <v>0</v>
      </c>
      <c r="L723" t="n">
        <v>0</v>
      </c>
      <c r="M723" t="n">
        <v>0</v>
      </c>
      <c r="N723" t="n">
        <v>0</v>
      </c>
      <c r="O723" t="n">
        <v>0</v>
      </c>
      <c r="P723" t="n">
        <v>0</v>
      </c>
      <c r="Q723" t="n">
        <v>0</v>
      </c>
      <c r="R723" s="2" t="inlineStr"/>
    </row>
    <row r="724" ht="15" customHeight="1">
      <c r="A724" t="inlineStr">
        <is>
          <t>A 41735-2025</t>
        </is>
      </c>
      <c r="B724" s="1" t="n">
        <v>45902.47164351852</v>
      </c>
      <c r="C724" s="1" t="n">
        <v>45926</v>
      </c>
      <c r="D724" t="inlineStr">
        <is>
          <t>KALMAR LÄN</t>
        </is>
      </c>
      <c r="E724" t="inlineStr">
        <is>
          <t>VIMMERBY</t>
        </is>
      </c>
      <c r="G724" t="n">
        <v>3</v>
      </c>
      <c r="H724" t="n">
        <v>0</v>
      </c>
      <c r="I724" t="n">
        <v>0</v>
      </c>
      <c r="J724" t="n">
        <v>0</v>
      </c>
      <c r="K724" t="n">
        <v>0</v>
      </c>
      <c r="L724" t="n">
        <v>0</v>
      </c>
      <c r="M724" t="n">
        <v>0</v>
      </c>
      <c r="N724" t="n">
        <v>0</v>
      </c>
      <c r="O724" t="n">
        <v>0</v>
      </c>
      <c r="P724" t="n">
        <v>0</v>
      </c>
      <c r="Q724" t="n">
        <v>0</v>
      </c>
      <c r="R724" s="2" t="inlineStr"/>
    </row>
    <row r="725" ht="15" customHeight="1">
      <c r="A725" t="inlineStr">
        <is>
          <t>A 36155-2023</t>
        </is>
      </c>
      <c r="B725" s="1" t="n">
        <v>45149.60917824074</v>
      </c>
      <c r="C725" s="1" t="n">
        <v>45926</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6399-2025</t>
        </is>
      </c>
      <c r="B726" s="1" t="n">
        <v>45699.44291666667</v>
      </c>
      <c r="C726" s="1" t="n">
        <v>45926</v>
      </c>
      <c r="D726" t="inlineStr">
        <is>
          <t>KALMAR LÄN</t>
        </is>
      </c>
      <c r="E726" t="inlineStr">
        <is>
          <t>VIMMERBY</t>
        </is>
      </c>
      <c r="G726" t="n">
        <v>3.1</v>
      </c>
      <c r="H726" t="n">
        <v>0</v>
      </c>
      <c r="I726" t="n">
        <v>0</v>
      </c>
      <c r="J726" t="n">
        <v>0</v>
      </c>
      <c r="K726" t="n">
        <v>0</v>
      </c>
      <c r="L726" t="n">
        <v>0</v>
      </c>
      <c r="M726" t="n">
        <v>0</v>
      </c>
      <c r="N726" t="n">
        <v>0</v>
      </c>
      <c r="O726" t="n">
        <v>0</v>
      </c>
      <c r="P726" t="n">
        <v>0</v>
      </c>
      <c r="Q726" t="n">
        <v>0</v>
      </c>
      <c r="R726" s="2" t="inlineStr"/>
    </row>
    <row r="727" ht="15" customHeight="1">
      <c r="A727" t="inlineStr">
        <is>
          <t>A 31355-2023</t>
        </is>
      </c>
      <c r="B727" s="1" t="n">
        <v>45114.49505787037</v>
      </c>
      <c r="C727" s="1" t="n">
        <v>45926</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41896-2025</t>
        </is>
      </c>
      <c r="B728" s="1" t="n">
        <v>45903.38800925926</v>
      </c>
      <c r="C728" s="1" t="n">
        <v>45926</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66295-2020</t>
        </is>
      </c>
      <c r="B729" s="1" t="n">
        <v>44176</v>
      </c>
      <c r="C729" s="1" t="n">
        <v>45926</v>
      </c>
      <c r="D729" t="inlineStr">
        <is>
          <t>KALMAR LÄN</t>
        </is>
      </c>
      <c r="E729" t="inlineStr">
        <is>
          <t>VIMMERBY</t>
        </is>
      </c>
      <c r="G729" t="n">
        <v>4.1</v>
      </c>
      <c r="H729" t="n">
        <v>0</v>
      </c>
      <c r="I729" t="n">
        <v>0</v>
      </c>
      <c r="J729" t="n">
        <v>0</v>
      </c>
      <c r="K729" t="n">
        <v>0</v>
      </c>
      <c r="L729" t="n">
        <v>0</v>
      </c>
      <c r="M729" t="n">
        <v>0</v>
      </c>
      <c r="N729" t="n">
        <v>0</v>
      </c>
      <c r="O729" t="n">
        <v>0</v>
      </c>
      <c r="P729" t="n">
        <v>0</v>
      </c>
      <c r="Q729" t="n">
        <v>0</v>
      </c>
      <c r="R729" s="2" t="inlineStr"/>
    </row>
    <row r="730" ht="15" customHeight="1">
      <c r="A730" t="inlineStr">
        <is>
          <t>A 30400-2023</t>
        </is>
      </c>
      <c r="B730" s="1" t="n">
        <v>45111.48225694444</v>
      </c>
      <c r="C730" s="1" t="n">
        <v>45926</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29173-2024</t>
        </is>
      </c>
      <c r="B731" s="1" t="n">
        <v>45482.52887731481</v>
      </c>
      <c r="C731" s="1" t="n">
        <v>45926</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30404-2023</t>
        </is>
      </c>
      <c r="B732" s="1" t="n">
        <v>45111.48636574074</v>
      </c>
      <c r="C732" s="1" t="n">
        <v>45926</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53542-2022</t>
        </is>
      </c>
      <c r="B733" s="1" t="n">
        <v>44879.62173611111</v>
      </c>
      <c r="C733" s="1" t="n">
        <v>45926</v>
      </c>
      <c r="D733" t="inlineStr">
        <is>
          <t>KALMAR LÄN</t>
        </is>
      </c>
      <c r="E733" t="inlineStr">
        <is>
          <t>VIMMERBY</t>
        </is>
      </c>
      <c r="G733" t="n">
        <v>2.6</v>
      </c>
      <c r="H733" t="n">
        <v>0</v>
      </c>
      <c r="I733" t="n">
        <v>0</v>
      </c>
      <c r="J733" t="n">
        <v>0</v>
      </c>
      <c r="K733" t="n">
        <v>0</v>
      </c>
      <c r="L733" t="n">
        <v>0</v>
      </c>
      <c r="M733" t="n">
        <v>0</v>
      </c>
      <c r="N733" t="n">
        <v>0</v>
      </c>
      <c r="O733" t="n">
        <v>0</v>
      </c>
      <c r="P733" t="n">
        <v>0</v>
      </c>
      <c r="Q733" t="n">
        <v>0</v>
      </c>
      <c r="R733" s="2" t="inlineStr"/>
    </row>
    <row r="734" ht="15" customHeight="1">
      <c r="A734" t="inlineStr">
        <is>
          <t>A 27705-2023</t>
        </is>
      </c>
      <c r="B734" s="1" t="n">
        <v>45098.30535879629</v>
      </c>
      <c r="C734" s="1" t="n">
        <v>45926</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36843-2023</t>
        </is>
      </c>
      <c r="B735" s="1" t="n">
        <v>45154.49831018518</v>
      </c>
      <c r="C735" s="1" t="n">
        <v>45926</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7627-2025</t>
        </is>
      </c>
      <c r="B736" s="1" t="n">
        <v>45705.73300925926</v>
      </c>
      <c r="C736" s="1" t="n">
        <v>45926</v>
      </c>
      <c r="D736" t="inlineStr">
        <is>
          <t>KALMAR LÄN</t>
        </is>
      </c>
      <c r="E736" t="inlineStr">
        <is>
          <t>VIMMERBY</t>
        </is>
      </c>
      <c r="G736" t="n">
        <v>2.1</v>
      </c>
      <c r="H736" t="n">
        <v>0</v>
      </c>
      <c r="I736" t="n">
        <v>0</v>
      </c>
      <c r="J736" t="n">
        <v>0</v>
      </c>
      <c r="K736" t="n">
        <v>0</v>
      </c>
      <c r="L736" t="n">
        <v>0</v>
      </c>
      <c r="M736" t="n">
        <v>0</v>
      </c>
      <c r="N736" t="n">
        <v>0</v>
      </c>
      <c r="O736" t="n">
        <v>0</v>
      </c>
      <c r="P736" t="n">
        <v>0</v>
      </c>
      <c r="Q736" t="n">
        <v>0</v>
      </c>
      <c r="R736" s="2" t="inlineStr"/>
    </row>
    <row r="737" ht="15" customHeight="1">
      <c r="A737" t="inlineStr">
        <is>
          <t>A 10785-2025</t>
        </is>
      </c>
      <c r="B737" s="1" t="n">
        <v>45722.48634259259</v>
      </c>
      <c r="C737" s="1" t="n">
        <v>45926</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36226-2025</t>
        </is>
      </c>
      <c r="B738" s="1" t="n">
        <v>45867.51630787037</v>
      </c>
      <c r="C738" s="1" t="n">
        <v>45926</v>
      </c>
      <c r="D738" t="inlineStr">
        <is>
          <t>KALMAR LÄN</t>
        </is>
      </c>
      <c r="E738" t="inlineStr">
        <is>
          <t>VIMMERBY</t>
        </is>
      </c>
      <c r="G738" t="n">
        <v>3.1</v>
      </c>
      <c r="H738" t="n">
        <v>0</v>
      </c>
      <c r="I738" t="n">
        <v>0</v>
      </c>
      <c r="J738" t="n">
        <v>0</v>
      </c>
      <c r="K738" t="n">
        <v>0</v>
      </c>
      <c r="L738" t="n">
        <v>0</v>
      </c>
      <c r="M738" t="n">
        <v>0</v>
      </c>
      <c r="N738" t="n">
        <v>0</v>
      </c>
      <c r="O738" t="n">
        <v>0</v>
      </c>
      <c r="P738" t="n">
        <v>0</v>
      </c>
      <c r="Q738" t="n">
        <v>0</v>
      </c>
      <c r="R738" s="2" t="inlineStr"/>
    </row>
    <row r="739" ht="15" customHeight="1">
      <c r="A739" t="inlineStr">
        <is>
          <t>A 36273-2025</t>
        </is>
      </c>
      <c r="B739" s="1" t="n">
        <v>45867.63094907408</v>
      </c>
      <c r="C739" s="1" t="n">
        <v>45926</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29017-2024</t>
        </is>
      </c>
      <c r="B740" s="1" t="n">
        <v>45481.56722222222</v>
      </c>
      <c r="C740" s="1" t="n">
        <v>45926</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36282-2025</t>
        </is>
      </c>
      <c r="B741" s="1" t="n">
        <v>45867.64663194444</v>
      </c>
      <c r="C741" s="1" t="n">
        <v>45926</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23263-2024</t>
        </is>
      </c>
      <c r="B742" s="1" t="n">
        <v>45453.36854166666</v>
      </c>
      <c r="C742" s="1" t="n">
        <v>45926</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11074-2023</t>
        </is>
      </c>
      <c r="B743" s="1" t="n">
        <v>44992.34151620371</v>
      </c>
      <c r="C743" s="1" t="n">
        <v>45926</v>
      </c>
      <c r="D743" t="inlineStr">
        <is>
          <t>KALMAR LÄN</t>
        </is>
      </c>
      <c r="E743" t="inlineStr">
        <is>
          <t>VIMMERBY</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6807-2025</t>
        </is>
      </c>
      <c r="B744" s="1" t="n">
        <v>45700.68672453704</v>
      </c>
      <c r="C744" s="1" t="n">
        <v>45926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45926</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61939-2021</t>
        </is>
      </c>
      <c r="B746" s="1" t="n">
        <v>44502</v>
      </c>
      <c r="C746" s="1" t="n">
        <v>45926</v>
      </c>
      <c r="D746" t="inlineStr">
        <is>
          <t>KALMAR LÄN</t>
        </is>
      </c>
      <c r="E746" t="inlineStr">
        <is>
          <t>VIMMERBY</t>
        </is>
      </c>
      <c r="G746" t="n">
        <v>2.7</v>
      </c>
      <c r="H746" t="n">
        <v>0</v>
      </c>
      <c r="I746" t="n">
        <v>0</v>
      </c>
      <c r="J746" t="n">
        <v>0</v>
      </c>
      <c r="K746" t="n">
        <v>0</v>
      </c>
      <c r="L746" t="n">
        <v>0</v>
      </c>
      <c r="M746" t="n">
        <v>0</v>
      </c>
      <c r="N746" t="n">
        <v>0</v>
      </c>
      <c r="O746" t="n">
        <v>0</v>
      </c>
      <c r="P746" t="n">
        <v>0</v>
      </c>
      <c r="Q746" t="n">
        <v>0</v>
      </c>
      <c r="R746" s="2" t="inlineStr"/>
    </row>
    <row r="747" ht="15" customHeight="1">
      <c r="A747" t="inlineStr">
        <is>
          <t>A 36297-2025</t>
        </is>
      </c>
      <c r="B747" s="1" t="n">
        <v>45867.68625</v>
      </c>
      <c r="C747" s="1" t="n">
        <v>45926</v>
      </c>
      <c r="D747" t="inlineStr">
        <is>
          <t>KALMAR LÄN</t>
        </is>
      </c>
      <c r="E747" t="inlineStr">
        <is>
          <t>VIMMERBY</t>
        </is>
      </c>
      <c r="G747" t="n">
        <v>4.9</v>
      </c>
      <c r="H747" t="n">
        <v>0</v>
      </c>
      <c r="I747" t="n">
        <v>0</v>
      </c>
      <c r="J747" t="n">
        <v>0</v>
      </c>
      <c r="K747" t="n">
        <v>0</v>
      </c>
      <c r="L747" t="n">
        <v>0</v>
      </c>
      <c r="M747" t="n">
        <v>0</v>
      </c>
      <c r="N747" t="n">
        <v>0</v>
      </c>
      <c r="O747" t="n">
        <v>0</v>
      </c>
      <c r="P747" t="n">
        <v>0</v>
      </c>
      <c r="Q747" t="n">
        <v>0</v>
      </c>
      <c r="R747" s="2" t="inlineStr"/>
    </row>
    <row r="748" ht="15" customHeight="1">
      <c r="A748" t="inlineStr">
        <is>
          <t>A 12215-2024</t>
        </is>
      </c>
      <c r="B748" s="1" t="n">
        <v>45378.32185185186</v>
      </c>
      <c r="C748" s="1" t="n">
        <v>45926</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7047-2022</t>
        </is>
      </c>
      <c r="B749" s="1" t="n">
        <v>44603</v>
      </c>
      <c r="C749" s="1" t="n">
        <v>45926</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42828-2025</t>
        </is>
      </c>
      <c r="B750" s="1" t="n">
        <v>45908.57716435185</v>
      </c>
      <c r="C750" s="1" t="n">
        <v>45926</v>
      </c>
      <c r="D750" t="inlineStr">
        <is>
          <t>KALMAR LÄN</t>
        </is>
      </c>
      <c r="E750" t="inlineStr">
        <is>
          <t>VIMMERBY</t>
        </is>
      </c>
      <c r="G750" t="n">
        <v>5.2</v>
      </c>
      <c r="H750" t="n">
        <v>0</v>
      </c>
      <c r="I750" t="n">
        <v>0</v>
      </c>
      <c r="J750" t="n">
        <v>0</v>
      </c>
      <c r="K750" t="n">
        <v>0</v>
      </c>
      <c r="L750" t="n">
        <v>0</v>
      </c>
      <c r="M750" t="n">
        <v>0</v>
      </c>
      <c r="N750" t="n">
        <v>0</v>
      </c>
      <c r="O750" t="n">
        <v>0</v>
      </c>
      <c r="P750" t="n">
        <v>0</v>
      </c>
      <c r="Q750" t="n">
        <v>0</v>
      </c>
      <c r="R750" s="2" t="inlineStr"/>
    </row>
    <row r="751" ht="15" customHeight="1">
      <c r="A751" t="inlineStr">
        <is>
          <t>A 11303-2025</t>
        </is>
      </c>
      <c r="B751" s="1" t="n">
        <v>45726.44471064815</v>
      </c>
      <c r="C751" s="1" t="n">
        <v>45926</v>
      </c>
      <c r="D751" t="inlineStr">
        <is>
          <t>KALMAR LÄN</t>
        </is>
      </c>
      <c r="E751" t="inlineStr">
        <is>
          <t>VIMMERBY</t>
        </is>
      </c>
      <c r="G751" t="n">
        <v>2.1</v>
      </c>
      <c r="H751" t="n">
        <v>0</v>
      </c>
      <c r="I751" t="n">
        <v>0</v>
      </c>
      <c r="J751" t="n">
        <v>0</v>
      </c>
      <c r="K751" t="n">
        <v>0</v>
      </c>
      <c r="L751" t="n">
        <v>0</v>
      </c>
      <c r="M751" t="n">
        <v>0</v>
      </c>
      <c r="N751" t="n">
        <v>0</v>
      </c>
      <c r="O751" t="n">
        <v>0</v>
      </c>
      <c r="P751" t="n">
        <v>0</v>
      </c>
      <c r="Q751" t="n">
        <v>0</v>
      </c>
      <c r="R751" s="2" t="inlineStr"/>
    </row>
    <row r="752" ht="15" customHeight="1">
      <c r="A752" t="inlineStr">
        <is>
          <t>A 36221-2025</t>
        </is>
      </c>
      <c r="B752" s="1" t="n">
        <v>45867.50792824074</v>
      </c>
      <c r="C752" s="1" t="n">
        <v>45926</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35711-2023</t>
        </is>
      </c>
      <c r="B753" s="1" t="n">
        <v>45147.67172453704</v>
      </c>
      <c r="C753" s="1" t="n">
        <v>45926</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44959.66407407408</v>
      </c>
      <c r="C754" s="1" t="n">
        <v>45926</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19502-2025</t>
        </is>
      </c>
      <c r="B755" s="1" t="n">
        <v>45769</v>
      </c>
      <c r="C755" s="1" t="n">
        <v>45926</v>
      </c>
      <c r="D755" t="inlineStr">
        <is>
          <t>KALMAR LÄN</t>
        </is>
      </c>
      <c r="E755" t="inlineStr">
        <is>
          <t>VIMMERBY</t>
        </is>
      </c>
      <c r="G755" t="n">
        <v>1.9</v>
      </c>
      <c r="H755" t="n">
        <v>0</v>
      </c>
      <c r="I755" t="n">
        <v>0</v>
      </c>
      <c r="J755" t="n">
        <v>0</v>
      </c>
      <c r="K755" t="n">
        <v>0</v>
      </c>
      <c r="L755" t="n">
        <v>0</v>
      </c>
      <c r="M755" t="n">
        <v>0</v>
      </c>
      <c r="N755" t="n">
        <v>0</v>
      </c>
      <c r="O755" t="n">
        <v>0</v>
      </c>
      <c r="P755" t="n">
        <v>0</v>
      </c>
      <c r="Q755" t="n">
        <v>0</v>
      </c>
      <c r="R755" s="2" t="inlineStr"/>
    </row>
    <row r="756" ht="15" customHeight="1">
      <c r="A756" t="inlineStr">
        <is>
          <t>A 12033-2024</t>
        </is>
      </c>
      <c r="B756" s="1" t="n">
        <v>45377.40043981482</v>
      </c>
      <c r="C756" s="1" t="n">
        <v>45926</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51408-2023</t>
        </is>
      </c>
      <c r="B757" s="1" t="n">
        <v>45219.69356481481</v>
      </c>
      <c r="C757" s="1" t="n">
        <v>45926</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36299-2025</t>
        </is>
      </c>
      <c r="B758" s="1" t="n">
        <v>45867.69346064814</v>
      </c>
      <c r="C758" s="1" t="n">
        <v>45926</v>
      </c>
      <c r="D758" t="inlineStr">
        <is>
          <t>KALMAR LÄN</t>
        </is>
      </c>
      <c r="E758" t="inlineStr">
        <is>
          <t>VIMMERBY</t>
        </is>
      </c>
      <c r="G758" t="n">
        <v>7.6</v>
      </c>
      <c r="H758" t="n">
        <v>0</v>
      </c>
      <c r="I758" t="n">
        <v>0</v>
      </c>
      <c r="J758" t="n">
        <v>0</v>
      </c>
      <c r="K758" t="n">
        <v>0</v>
      </c>
      <c r="L758" t="n">
        <v>0</v>
      </c>
      <c r="M758" t="n">
        <v>0</v>
      </c>
      <c r="N758" t="n">
        <v>0</v>
      </c>
      <c r="O758" t="n">
        <v>0</v>
      </c>
      <c r="P758" t="n">
        <v>0</v>
      </c>
      <c r="Q758" t="n">
        <v>0</v>
      </c>
      <c r="R758" s="2" t="inlineStr"/>
    </row>
    <row r="759" ht="15" customHeight="1">
      <c r="A759" t="inlineStr">
        <is>
          <t>A 49488-2023</t>
        </is>
      </c>
      <c r="B759" s="1" t="n">
        <v>45211.55472222222</v>
      </c>
      <c r="C759" s="1" t="n">
        <v>45926</v>
      </c>
      <c r="D759" t="inlineStr">
        <is>
          <t>KALMAR LÄN</t>
        </is>
      </c>
      <c r="E759" t="inlineStr">
        <is>
          <t>VIMMERBY</t>
        </is>
      </c>
      <c r="F759" t="inlineStr">
        <is>
          <t>Sveaskog</t>
        </is>
      </c>
      <c r="G759" t="n">
        <v>6.2</v>
      </c>
      <c r="H759" t="n">
        <v>0</v>
      </c>
      <c r="I759" t="n">
        <v>0</v>
      </c>
      <c r="J759" t="n">
        <v>0</v>
      </c>
      <c r="K759" t="n">
        <v>0</v>
      </c>
      <c r="L759" t="n">
        <v>0</v>
      </c>
      <c r="M759" t="n">
        <v>0</v>
      </c>
      <c r="N759" t="n">
        <v>0</v>
      </c>
      <c r="O759" t="n">
        <v>0</v>
      </c>
      <c r="P759" t="n">
        <v>0</v>
      </c>
      <c r="Q759" t="n">
        <v>0</v>
      </c>
      <c r="R759" s="2" t="inlineStr"/>
    </row>
    <row r="760" ht="15" customHeight="1">
      <c r="A760" t="inlineStr">
        <is>
          <t>A 40823-2023</t>
        </is>
      </c>
      <c r="B760" s="1" t="n">
        <v>45171.77335648148</v>
      </c>
      <c r="C760" s="1" t="n">
        <v>45926</v>
      </c>
      <c r="D760" t="inlineStr">
        <is>
          <t>KALMAR LÄN</t>
        </is>
      </c>
      <c r="E760" t="inlineStr">
        <is>
          <t>VIMMERBY</t>
        </is>
      </c>
      <c r="G760" t="n">
        <v>2.7</v>
      </c>
      <c r="H760" t="n">
        <v>0</v>
      </c>
      <c r="I760" t="n">
        <v>0</v>
      </c>
      <c r="J760" t="n">
        <v>0</v>
      </c>
      <c r="K760" t="n">
        <v>0</v>
      </c>
      <c r="L760" t="n">
        <v>0</v>
      </c>
      <c r="M760" t="n">
        <v>0</v>
      </c>
      <c r="N760" t="n">
        <v>0</v>
      </c>
      <c r="O760" t="n">
        <v>0</v>
      </c>
      <c r="P760" t="n">
        <v>0</v>
      </c>
      <c r="Q760" t="n">
        <v>0</v>
      </c>
      <c r="R760" s="2" t="inlineStr"/>
    </row>
    <row r="761" ht="15" customHeight="1">
      <c r="A761" t="inlineStr">
        <is>
          <t>A 43617-2025</t>
        </is>
      </c>
      <c r="B761" s="1" t="n">
        <v>45911.67798611111</v>
      </c>
      <c r="C761" s="1" t="n">
        <v>45926</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6218-2025</t>
        </is>
      </c>
      <c r="B762" s="1" t="n">
        <v>45698.53336805556</v>
      </c>
      <c r="C762" s="1" t="n">
        <v>45926</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36538-2025</t>
        </is>
      </c>
      <c r="B763" s="1" t="n">
        <v>45869.62276620371</v>
      </c>
      <c r="C763" s="1" t="n">
        <v>45926</v>
      </c>
      <c r="D763" t="inlineStr">
        <is>
          <t>KALMAR LÄN</t>
        </is>
      </c>
      <c r="E763" t="inlineStr">
        <is>
          <t>VIMMERBY</t>
        </is>
      </c>
      <c r="G763" t="n">
        <v>2.6</v>
      </c>
      <c r="H763" t="n">
        <v>0</v>
      </c>
      <c r="I763" t="n">
        <v>0</v>
      </c>
      <c r="J763" t="n">
        <v>0</v>
      </c>
      <c r="K763" t="n">
        <v>0</v>
      </c>
      <c r="L763" t="n">
        <v>0</v>
      </c>
      <c r="M763" t="n">
        <v>0</v>
      </c>
      <c r="N763" t="n">
        <v>0</v>
      </c>
      <c r="O763" t="n">
        <v>0</v>
      </c>
      <c r="P763" t="n">
        <v>0</v>
      </c>
      <c r="Q763" t="n">
        <v>0</v>
      </c>
      <c r="R763" s="2" t="inlineStr"/>
    </row>
    <row r="764" ht="15" customHeight="1">
      <c r="A764" t="inlineStr">
        <is>
          <t>A 8410-2023</t>
        </is>
      </c>
      <c r="B764" s="1" t="n">
        <v>44977</v>
      </c>
      <c r="C764" s="1" t="n">
        <v>45926</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30920-2024</t>
        </is>
      </c>
      <c r="B765" s="1" t="n">
        <v>45498.673125</v>
      </c>
      <c r="C765" s="1" t="n">
        <v>45926</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30920-2023</t>
        </is>
      </c>
      <c r="B766" s="1" t="n">
        <v>45113.43921296296</v>
      </c>
      <c r="C766" s="1" t="n">
        <v>45926</v>
      </c>
      <c r="D766" t="inlineStr">
        <is>
          <t>KALMAR LÄN</t>
        </is>
      </c>
      <c r="E766" t="inlineStr">
        <is>
          <t>VIMMERBY</t>
        </is>
      </c>
      <c r="G766" t="n">
        <v>3.1</v>
      </c>
      <c r="H766" t="n">
        <v>0</v>
      </c>
      <c r="I766" t="n">
        <v>0</v>
      </c>
      <c r="J766" t="n">
        <v>0</v>
      </c>
      <c r="K766" t="n">
        <v>0</v>
      </c>
      <c r="L766" t="n">
        <v>0</v>
      </c>
      <c r="M766" t="n">
        <v>0</v>
      </c>
      <c r="N766" t="n">
        <v>0</v>
      </c>
      <c r="O766" t="n">
        <v>0</v>
      </c>
      <c r="P766" t="n">
        <v>0</v>
      </c>
      <c r="Q766" t="n">
        <v>0</v>
      </c>
      <c r="R766" s="2" t="inlineStr"/>
    </row>
    <row r="767" ht="15" customHeight="1">
      <c r="A767" t="inlineStr">
        <is>
          <t>A 43465-2025</t>
        </is>
      </c>
      <c r="B767" s="1" t="n">
        <v>45911.47138888889</v>
      </c>
      <c r="C767" s="1" t="n">
        <v>45926</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42820-2025</t>
        </is>
      </c>
      <c r="B768" s="1" t="n">
        <v>45908</v>
      </c>
      <c r="C768" s="1" t="n">
        <v>45926</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6857-2023</t>
        </is>
      </c>
      <c r="B769" s="1" t="n">
        <v>44967.45122685185</v>
      </c>
      <c r="C769" s="1" t="n">
        <v>45926</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44963.44769675926</v>
      </c>
      <c r="C770" s="1" t="n">
        <v>45926</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10303-2025</t>
        </is>
      </c>
      <c r="B771" s="1" t="n">
        <v>45720.44217592593</v>
      </c>
      <c r="C771" s="1" t="n">
        <v>45926</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60110-2022</t>
        </is>
      </c>
      <c r="B772" s="1" t="n">
        <v>44909</v>
      </c>
      <c r="C772" s="1" t="n">
        <v>45926</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15394-2025</t>
        </is>
      </c>
      <c r="B773" s="1" t="n">
        <v>45747.43196759259</v>
      </c>
      <c r="C773" s="1" t="n">
        <v>45926</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15388-2025</t>
        </is>
      </c>
      <c r="B774" s="1" t="n">
        <v>45747.42633101852</v>
      </c>
      <c r="C774" s="1" t="n">
        <v>45926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15391-2025</t>
        </is>
      </c>
      <c r="B775" s="1" t="n">
        <v>45747.42958333333</v>
      </c>
      <c r="C775" s="1" t="n">
        <v>45926</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6474-2025</t>
        </is>
      </c>
      <c r="B776" s="1" t="n">
        <v>45699.60055555555</v>
      </c>
      <c r="C776" s="1" t="n">
        <v>45926</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40929-2022</t>
        </is>
      </c>
      <c r="B777" s="1" t="n">
        <v>44825.4336574074</v>
      </c>
      <c r="C777" s="1" t="n">
        <v>45926</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50091-2023</t>
        </is>
      </c>
      <c r="B778" s="1" t="n">
        <v>45215.60199074074</v>
      </c>
      <c r="C778" s="1" t="n">
        <v>45926</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36008-2024</t>
        </is>
      </c>
      <c r="B779" s="1" t="n">
        <v>45533.55362268518</v>
      </c>
      <c r="C779" s="1" t="n">
        <v>45926</v>
      </c>
      <c r="D779" t="inlineStr">
        <is>
          <t>KALMAR LÄN</t>
        </is>
      </c>
      <c r="E779" t="inlineStr">
        <is>
          <t>VIMMERBY</t>
        </is>
      </c>
      <c r="G779" t="n">
        <v>3.7</v>
      </c>
      <c r="H779" t="n">
        <v>0</v>
      </c>
      <c r="I779" t="n">
        <v>0</v>
      </c>
      <c r="J779" t="n">
        <v>0</v>
      </c>
      <c r="K779" t="n">
        <v>0</v>
      </c>
      <c r="L779" t="n">
        <v>0</v>
      </c>
      <c r="M779" t="n">
        <v>0</v>
      </c>
      <c r="N779" t="n">
        <v>0</v>
      </c>
      <c r="O779" t="n">
        <v>0</v>
      </c>
      <c r="P779" t="n">
        <v>0</v>
      </c>
      <c r="Q779" t="n">
        <v>0</v>
      </c>
      <c r="R779" s="2" t="inlineStr"/>
    </row>
    <row r="780" ht="15" customHeight="1">
      <c r="A780" t="inlineStr">
        <is>
          <t>A 32919-2022</t>
        </is>
      </c>
      <c r="B780" s="1" t="n">
        <v>44784.62724537037</v>
      </c>
      <c r="C780" s="1" t="n">
        <v>45926</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42794-2025</t>
        </is>
      </c>
      <c r="B781" s="1" t="n">
        <v>45908</v>
      </c>
      <c r="C781" s="1" t="n">
        <v>45926</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16622-2025</t>
        </is>
      </c>
      <c r="B782" s="1" t="n">
        <v>45754.33641203704</v>
      </c>
      <c r="C782" s="1" t="n">
        <v>45926</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17511-2024</t>
        </is>
      </c>
      <c r="B783" s="1" t="n">
        <v>45415.57682870371</v>
      </c>
      <c r="C783" s="1" t="n">
        <v>45926</v>
      </c>
      <c r="D783" t="inlineStr">
        <is>
          <t>KALMAR LÄN</t>
        </is>
      </c>
      <c r="E783" t="inlineStr">
        <is>
          <t>VIMMERBY</t>
        </is>
      </c>
      <c r="G783" t="n">
        <v>5.3</v>
      </c>
      <c r="H783" t="n">
        <v>0</v>
      </c>
      <c r="I783" t="n">
        <v>0</v>
      </c>
      <c r="J783" t="n">
        <v>0</v>
      </c>
      <c r="K783" t="n">
        <v>0</v>
      </c>
      <c r="L783" t="n">
        <v>0</v>
      </c>
      <c r="M783" t="n">
        <v>0</v>
      </c>
      <c r="N783" t="n">
        <v>0</v>
      </c>
      <c r="O783" t="n">
        <v>0</v>
      </c>
      <c r="P783" t="n">
        <v>0</v>
      </c>
      <c r="Q783" t="n">
        <v>0</v>
      </c>
      <c r="R783" s="2" t="inlineStr"/>
    </row>
    <row r="784" ht="15" customHeight="1">
      <c r="A784" t="inlineStr">
        <is>
          <t>A 43705-2023</t>
        </is>
      </c>
      <c r="B784" s="1" t="n">
        <v>45187.42854166667</v>
      </c>
      <c r="C784" s="1" t="n">
        <v>45926</v>
      </c>
      <c r="D784" t="inlineStr">
        <is>
          <t>KALMAR LÄN</t>
        </is>
      </c>
      <c r="E784" t="inlineStr">
        <is>
          <t>VIMMERBY</t>
        </is>
      </c>
      <c r="G784" t="n">
        <v>1.2</v>
      </c>
      <c r="H784" t="n">
        <v>0</v>
      </c>
      <c r="I784" t="n">
        <v>0</v>
      </c>
      <c r="J784" t="n">
        <v>0</v>
      </c>
      <c r="K784" t="n">
        <v>0</v>
      </c>
      <c r="L784" t="n">
        <v>0</v>
      </c>
      <c r="M784" t="n">
        <v>0</v>
      </c>
      <c r="N784" t="n">
        <v>0</v>
      </c>
      <c r="O784" t="n">
        <v>0</v>
      </c>
      <c r="P784" t="n">
        <v>0</v>
      </c>
      <c r="Q784" t="n">
        <v>0</v>
      </c>
      <c r="R784" s="2" t="inlineStr"/>
    </row>
    <row r="785" ht="15" customHeight="1">
      <c r="A785" t="inlineStr">
        <is>
          <t>A 34090-2025</t>
        </is>
      </c>
      <c r="B785" s="1" t="n">
        <v>45845</v>
      </c>
      <c r="C785" s="1" t="n">
        <v>45926</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36598-2025</t>
        </is>
      </c>
      <c r="B786" s="1" t="n">
        <v>45870.51708333333</v>
      </c>
      <c r="C786" s="1" t="n">
        <v>45926</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36602-2025</t>
        </is>
      </c>
      <c r="B787" s="1" t="n">
        <v>45870.52111111111</v>
      </c>
      <c r="C787" s="1" t="n">
        <v>45926</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55300-2021</t>
        </is>
      </c>
      <c r="B788" s="1" t="n">
        <v>44475</v>
      </c>
      <c r="C788" s="1" t="n">
        <v>45926</v>
      </c>
      <c r="D788" t="inlineStr">
        <is>
          <t>KALMAR LÄN</t>
        </is>
      </c>
      <c r="E788" t="inlineStr">
        <is>
          <t>VIMMERBY</t>
        </is>
      </c>
      <c r="G788" t="n">
        <v>3.4</v>
      </c>
      <c r="H788" t="n">
        <v>0</v>
      </c>
      <c r="I788" t="n">
        <v>0</v>
      </c>
      <c r="J788" t="n">
        <v>0</v>
      </c>
      <c r="K788" t="n">
        <v>0</v>
      </c>
      <c r="L788" t="n">
        <v>0</v>
      </c>
      <c r="M788" t="n">
        <v>0</v>
      </c>
      <c r="N788" t="n">
        <v>0</v>
      </c>
      <c r="O788" t="n">
        <v>0</v>
      </c>
      <c r="P788" t="n">
        <v>0</v>
      </c>
      <c r="Q788" t="n">
        <v>0</v>
      </c>
      <c r="R788" s="2" t="inlineStr"/>
    </row>
    <row r="789" ht="15" customHeight="1">
      <c r="A789" t="inlineStr">
        <is>
          <t>A 44179-2022</t>
        </is>
      </c>
      <c r="B789" s="1" t="n">
        <v>44839.4528125</v>
      </c>
      <c r="C789" s="1" t="n">
        <v>45926</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56659-2023</t>
        </is>
      </c>
      <c r="B790" s="1" t="n">
        <v>45243.84869212963</v>
      </c>
      <c r="C790" s="1" t="n">
        <v>45926</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13015-2022</t>
        </is>
      </c>
      <c r="B791" s="1" t="n">
        <v>44643</v>
      </c>
      <c r="C791" s="1" t="n">
        <v>45926</v>
      </c>
      <c r="D791" t="inlineStr">
        <is>
          <t>KALMAR LÄN</t>
        </is>
      </c>
      <c r="E791" t="inlineStr">
        <is>
          <t>VIMMERBY</t>
        </is>
      </c>
      <c r="G791" t="n">
        <v>2.4</v>
      </c>
      <c r="H791" t="n">
        <v>0</v>
      </c>
      <c r="I791" t="n">
        <v>0</v>
      </c>
      <c r="J791" t="n">
        <v>0</v>
      </c>
      <c r="K791" t="n">
        <v>0</v>
      </c>
      <c r="L791" t="n">
        <v>0</v>
      </c>
      <c r="M791" t="n">
        <v>0</v>
      </c>
      <c r="N791" t="n">
        <v>0</v>
      </c>
      <c r="O791" t="n">
        <v>0</v>
      </c>
      <c r="P791" t="n">
        <v>0</v>
      </c>
      <c r="Q791" t="n">
        <v>0</v>
      </c>
      <c r="R791" s="2" t="inlineStr"/>
    </row>
    <row r="792" ht="15" customHeight="1">
      <c r="A792" t="inlineStr">
        <is>
          <t>A 52755-2022</t>
        </is>
      </c>
      <c r="B792" s="1" t="n">
        <v>44875.27736111111</v>
      </c>
      <c r="C792" s="1" t="n">
        <v>45926</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35998-2024</t>
        </is>
      </c>
      <c r="B793" s="1" t="n">
        <v>45533.54429398148</v>
      </c>
      <c r="C793" s="1" t="n">
        <v>45926</v>
      </c>
      <c r="D793" t="inlineStr">
        <is>
          <t>KALMAR LÄN</t>
        </is>
      </c>
      <c r="E793" t="inlineStr">
        <is>
          <t>VIMMERBY</t>
        </is>
      </c>
      <c r="G793" t="n">
        <v>8.6</v>
      </c>
      <c r="H793" t="n">
        <v>0</v>
      </c>
      <c r="I793" t="n">
        <v>0</v>
      </c>
      <c r="J793" t="n">
        <v>0</v>
      </c>
      <c r="K793" t="n">
        <v>0</v>
      </c>
      <c r="L793" t="n">
        <v>0</v>
      </c>
      <c r="M793" t="n">
        <v>0</v>
      </c>
      <c r="N793" t="n">
        <v>0</v>
      </c>
      <c r="O793" t="n">
        <v>0</v>
      </c>
      <c r="P793" t="n">
        <v>0</v>
      </c>
      <c r="Q793" t="n">
        <v>0</v>
      </c>
      <c r="R793" s="2" t="inlineStr"/>
    </row>
    <row r="794" ht="15" customHeight="1">
      <c r="A794" t="inlineStr">
        <is>
          <t>A 7797-2023</t>
        </is>
      </c>
      <c r="B794" s="1" t="n">
        <v>44973.43075231482</v>
      </c>
      <c r="C794" s="1" t="n">
        <v>45926</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44091-2025</t>
        </is>
      </c>
      <c r="B795" s="1" t="n">
        <v>45915.55950231481</v>
      </c>
      <c r="C795" s="1" t="n">
        <v>45926</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29351-2023</t>
        </is>
      </c>
      <c r="B796" s="1" t="n">
        <v>45106.2610300926</v>
      </c>
      <c r="C796" s="1" t="n">
        <v>45926</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7630-2025</t>
        </is>
      </c>
      <c r="B797" s="1" t="n">
        <v>45705.74418981482</v>
      </c>
      <c r="C797" s="1" t="n">
        <v>45926</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1024-2024</t>
        </is>
      </c>
      <c r="B798" s="1" t="n">
        <v>45301.68237268519</v>
      </c>
      <c r="C798" s="1" t="n">
        <v>45926</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36603-2025</t>
        </is>
      </c>
      <c r="B799" s="1" t="n">
        <v>45870.52142361111</v>
      </c>
      <c r="C799" s="1" t="n">
        <v>45926</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44095-2025</t>
        </is>
      </c>
      <c r="B800" s="1" t="n">
        <v>45915.56430555556</v>
      </c>
      <c r="C800" s="1" t="n">
        <v>45926</v>
      </c>
      <c r="D800" t="inlineStr">
        <is>
          <t>KALMAR LÄN</t>
        </is>
      </c>
      <c r="E800" t="inlineStr">
        <is>
          <t>VIMMERBY</t>
        </is>
      </c>
      <c r="G800" t="n">
        <v>2.4</v>
      </c>
      <c r="H800" t="n">
        <v>0</v>
      </c>
      <c r="I800" t="n">
        <v>0</v>
      </c>
      <c r="J800" t="n">
        <v>0</v>
      </c>
      <c r="K800" t="n">
        <v>0</v>
      </c>
      <c r="L800" t="n">
        <v>0</v>
      </c>
      <c r="M800" t="n">
        <v>0</v>
      </c>
      <c r="N800" t="n">
        <v>0</v>
      </c>
      <c r="O800" t="n">
        <v>0</v>
      </c>
      <c r="P800" t="n">
        <v>0</v>
      </c>
      <c r="Q800" t="n">
        <v>0</v>
      </c>
      <c r="R800" s="2" t="inlineStr"/>
    </row>
    <row r="801" ht="15" customHeight="1">
      <c r="A801" t="inlineStr">
        <is>
          <t>A 17968-2025</t>
        </is>
      </c>
      <c r="B801" s="1" t="n">
        <v>45761.35990740741</v>
      </c>
      <c r="C801" s="1" t="n">
        <v>45926</v>
      </c>
      <c r="D801" t="inlineStr">
        <is>
          <t>KALMAR LÄN</t>
        </is>
      </c>
      <c r="E801" t="inlineStr">
        <is>
          <t>VIMMERBY</t>
        </is>
      </c>
      <c r="G801" t="n">
        <v>3.3</v>
      </c>
      <c r="H801" t="n">
        <v>0</v>
      </c>
      <c r="I801" t="n">
        <v>0</v>
      </c>
      <c r="J801" t="n">
        <v>0</v>
      </c>
      <c r="K801" t="n">
        <v>0</v>
      </c>
      <c r="L801" t="n">
        <v>0</v>
      </c>
      <c r="M801" t="n">
        <v>0</v>
      </c>
      <c r="N801" t="n">
        <v>0</v>
      </c>
      <c r="O801" t="n">
        <v>0</v>
      </c>
      <c r="P801" t="n">
        <v>0</v>
      </c>
      <c r="Q801" t="n">
        <v>0</v>
      </c>
      <c r="R801" s="2" t="inlineStr"/>
    </row>
    <row r="802" ht="15" customHeight="1">
      <c r="A802" t="inlineStr">
        <is>
          <t>A 6028-2023</t>
        </is>
      </c>
      <c r="B802" s="1" t="n">
        <v>44964.44356481481</v>
      </c>
      <c r="C802" s="1" t="n">
        <v>45926</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10787-2025</t>
        </is>
      </c>
      <c r="B803" s="1" t="n">
        <v>45722.48915509259</v>
      </c>
      <c r="C803" s="1" t="n">
        <v>45926</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55436-2023</t>
        </is>
      </c>
      <c r="B804" s="1" t="n">
        <v>45238.4328587963</v>
      </c>
      <c r="C804" s="1" t="n">
        <v>45926</v>
      </c>
      <c r="D804" t="inlineStr">
        <is>
          <t>KALMAR LÄN</t>
        </is>
      </c>
      <c r="E804" t="inlineStr">
        <is>
          <t>VIMMERBY</t>
        </is>
      </c>
      <c r="G804" t="n">
        <v>5.6</v>
      </c>
      <c r="H804" t="n">
        <v>0</v>
      </c>
      <c r="I804" t="n">
        <v>0</v>
      </c>
      <c r="J804" t="n">
        <v>0</v>
      </c>
      <c r="K804" t="n">
        <v>0</v>
      </c>
      <c r="L804" t="n">
        <v>0</v>
      </c>
      <c r="M804" t="n">
        <v>0</v>
      </c>
      <c r="N804" t="n">
        <v>0</v>
      </c>
      <c r="O804" t="n">
        <v>0</v>
      </c>
      <c r="P804" t="n">
        <v>0</v>
      </c>
      <c r="Q804" t="n">
        <v>0</v>
      </c>
      <c r="R804" s="2" t="inlineStr"/>
    </row>
    <row r="805" ht="15" customHeight="1">
      <c r="A805" t="inlineStr">
        <is>
          <t>A 36600-2025</t>
        </is>
      </c>
      <c r="B805" s="1" t="n">
        <v>45870.51958333333</v>
      </c>
      <c r="C805" s="1" t="n">
        <v>45926</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36601-2025</t>
        </is>
      </c>
      <c r="B806" s="1" t="n">
        <v>45870.52005787037</v>
      </c>
      <c r="C806" s="1" t="n">
        <v>45926</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29350-2023</t>
        </is>
      </c>
      <c r="B807" s="1" t="n">
        <v>45106</v>
      </c>
      <c r="C807" s="1" t="n">
        <v>45926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14855-2025</t>
        </is>
      </c>
      <c r="B808" s="1" t="n">
        <v>45743.41148148148</v>
      </c>
      <c r="C808" s="1" t="n">
        <v>45926</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43601-2024</t>
        </is>
      </c>
      <c r="B809" s="1" t="n">
        <v>45569.44684027778</v>
      </c>
      <c r="C809" s="1" t="n">
        <v>45926</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35913-2023</t>
        </is>
      </c>
      <c r="B810" s="1" t="n">
        <v>45148</v>
      </c>
      <c r="C810" s="1" t="n">
        <v>45926</v>
      </c>
      <c r="D810" t="inlineStr">
        <is>
          <t>KALMAR LÄN</t>
        </is>
      </c>
      <c r="E810" t="inlineStr">
        <is>
          <t>VIMMERBY</t>
        </is>
      </c>
      <c r="G810" t="n">
        <v>6.9</v>
      </c>
      <c r="H810" t="n">
        <v>0</v>
      </c>
      <c r="I810" t="n">
        <v>0</v>
      </c>
      <c r="J810" t="n">
        <v>0</v>
      </c>
      <c r="K810" t="n">
        <v>0</v>
      </c>
      <c r="L810" t="n">
        <v>0</v>
      </c>
      <c r="M810" t="n">
        <v>0</v>
      </c>
      <c r="N810" t="n">
        <v>0</v>
      </c>
      <c r="O810" t="n">
        <v>0</v>
      </c>
      <c r="P810" t="n">
        <v>0</v>
      </c>
      <c r="Q810" t="n">
        <v>0</v>
      </c>
      <c r="R810" s="2" t="inlineStr"/>
    </row>
    <row r="811" ht="15" customHeight="1">
      <c r="A811" t="inlineStr">
        <is>
          <t>A 44742-2025</t>
        </is>
      </c>
      <c r="B811" s="1" t="n">
        <v>45917.67054398148</v>
      </c>
      <c r="C811" s="1" t="n">
        <v>45926</v>
      </c>
      <c r="D811" t="inlineStr">
        <is>
          <t>KALMAR LÄN</t>
        </is>
      </c>
      <c r="E811" t="inlineStr">
        <is>
          <t>VIMMERBY</t>
        </is>
      </c>
      <c r="G811" t="n">
        <v>4.7</v>
      </c>
      <c r="H811" t="n">
        <v>0</v>
      </c>
      <c r="I811" t="n">
        <v>0</v>
      </c>
      <c r="J811" t="n">
        <v>0</v>
      </c>
      <c r="K811" t="n">
        <v>0</v>
      </c>
      <c r="L811" t="n">
        <v>0</v>
      </c>
      <c r="M811" t="n">
        <v>0</v>
      </c>
      <c r="N811" t="n">
        <v>0</v>
      </c>
      <c r="O811" t="n">
        <v>0</v>
      </c>
      <c r="P811" t="n">
        <v>0</v>
      </c>
      <c r="Q811" t="n">
        <v>0</v>
      </c>
      <c r="R811" s="2" t="inlineStr"/>
    </row>
    <row r="812" ht="15" customHeight="1">
      <c r="A812" t="inlineStr">
        <is>
          <t>A 56582-2022</t>
        </is>
      </c>
      <c r="B812" s="1" t="n">
        <v>44893</v>
      </c>
      <c r="C812" s="1" t="n">
        <v>45926</v>
      </c>
      <c r="D812" t="inlineStr">
        <is>
          <t>KALMAR LÄN</t>
        </is>
      </c>
      <c r="E812" t="inlineStr">
        <is>
          <t>VIMMERBY</t>
        </is>
      </c>
      <c r="G812" t="n">
        <v>2.2</v>
      </c>
      <c r="H812" t="n">
        <v>0</v>
      </c>
      <c r="I812" t="n">
        <v>0</v>
      </c>
      <c r="J812" t="n">
        <v>0</v>
      </c>
      <c r="K812" t="n">
        <v>0</v>
      </c>
      <c r="L812" t="n">
        <v>0</v>
      </c>
      <c r="M812" t="n">
        <v>0</v>
      </c>
      <c r="N812" t="n">
        <v>0</v>
      </c>
      <c r="O812" t="n">
        <v>0</v>
      </c>
      <c r="P812" t="n">
        <v>0</v>
      </c>
      <c r="Q812" t="n">
        <v>0</v>
      </c>
      <c r="R812" s="2" t="inlineStr"/>
    </row>
    <row r="813" ht="15" customHeight="1">
      <c r="A813" t="inlineStr">
        <is>
          <t>A 9624-2024</t>
        </is>
      </c>
      <c r="B813" s="1" t="n">
        <v>45361.90282407407</v>
      </c>
      <c r="C813" s="1" t="n">
        <v>45926</v>
      </c>
      <c r="D813" t="inlineStr">
        <is>
          <t>KALMAR LÄN</t>
        </is>
      </c>
      <c r="E813" t="inlineStr">
        <is>
          <t>VIMMERBY</t>
        </is>
      </c>
      <c r="G813" t="n">
        <v>3.8</v>
      </c>
      <c r="H813" t="n">
        <v>0</v>
      </c>
      <c r="I813" t="n">
        <v>0</v>
      </c>
      <c r="J813" t="n">
        <v>0</v>
      </c>
      <c r="K813" t="n">
        <v>0</v>
      </c>
      <c r="L813" t="n">
        <v>0</v>
      </c>
      <c r="M813" t="n">
        <v>0</v>
      </c>
      <c r="N813" t="n">
        <v>0</v>
      </c>
      <c r="O813" t="n">
        <v>0</v>
      </c>
      <c r="P813" t="n">
        <v>0</v>
      </c>
      <c r="Q813" t="n">
        <v>0</v>
      </c>
      <c r="R813" s="2" t="inlineStr"/>
    </row>
    <row r="814" ht="15" customHeight="1">
      <c r="A814" t="inlineStr">
        <is>
          <t>A 3938-2023</t>
        </is>
      </c>
      <c r="B814" s="1" t="n">
        <v>44952.35775462963</v>
      </c>
      <c r="C814" s="1" t="n">
        <v>45926</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20-2025</t>
        </is>
      </c>
      <c r="B815" s="1" t="n">
        <v>45658.80232638889</v>
      </c>
      <c r="C815" s="1" t="n">
        <v>45926</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23-2025</t>
        </is>
      </c>
      <c r="B816" s="1" t="n">
        <v>45658.80827546296</v>
      </c>
      <c r="C816" s="1" t="n">
        <v>45926</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43962-2024</t>
        </is>
      </c>
      <c r="B817" s="1" t="n">
        <v>45572.48293981481</v>
      </c>
      <c r="C817" s="1" t="n">
        <v>45926</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37088-2025</t>
        </is>
      </c>
      <c r="B818" s="1" t="n">
        <v>45875.45716435185</v>
      </c>
      <c r="C818" s="1" t="n">
        <v>45926</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37102-2025</t>
        </is>
      </c>
      <c r="B819" s="1" t="n">
        <v>45875.47454861111</v>
      </c>
      <c r="C819" s="1" t="n">
        <v>45926</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35713-2023</t>
        </is>
      </c>
      <c r="B820" s="1" t="n">
        <v>45147</v>
      </c>
      <c r="C820" s="1" t="n">
        <v>45926</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39053-2024</t>
        </is>
      </c>
      <c r="B821" s="1" t="n">
        <v>45548</v>
      </c>
      <c r="C821" s="1" t="n">
        <v>45926</v>
      </c>
      <c r="D821" t="inlineStr">
        <is>
          <t>KALMAR LÄN</t>
        </is>
      </c>
      <c r="E821" t="inlineStr">
        <is>
          <t>VIMMERBY</t>
        </is>
      </c>
      <c r="G821" t="n">
        <v>5</v>
      </c>
      <c r="H821" t="n">
        <v>0</v>
      </c>
      <c r="I821" t="n">
        <v>0</v>
      </c>
      <c r="J821" t="n">
        <v>0</v>
      </c>
      <c r="K821" t="n">
        <v>0</v>
      </c>
      <c r="L821" t="n">
        <v>0</v>
      </c>
      <c r="M821" t="n">
        <v>0</v>
      </c>
      <c r="N821" t="n">
        <v>0</v>
      </c>
      <c r="O821" t="n">
        <v>0</v>
      </c>
      <c r="P821" t="n">
        <v>0</v>
      </c>
      <c r="Q821" t="n">
        <v>0</v>
      </c>
      <c r="R821" s="2" t="inlineStr"/>
    </row>
    <row r="822" ht="15" customHeight="1">
      <c r="A822" t="inlineStr">
        <is>
          <t>A 37079-2025</t>
        </is>
      </c>
      <c r="B822" s="1" t="n">
        <v>45875.42716435185</v>
      </c>
      <c r="C822" s="1" t="n">
        <v>45926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14451-2024</t>
        </is>
      </c>
      <c r="B823" s="1" t="n">
        <v>45394.50028935185</v>
      </c>
      <c r="C823" s="1" t="n">
        <v>45926</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34205-2023</t>
        </is>
      </c>
      <c r="B824" s="1" t="n">
        <v>45138</v>
      </c>
      <c r="C824" s="1" t="n">
        <v>45926</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44329-2025</t>
        </is>
      </c>
      <c r="B825" s="1" t="n">
        <v>45916.41019675926</v>
      </c>
      <c r="C825" s="1" t="n">
        <v>45926</v>
      </c>
      <c r="D825" t="inlineStr">
        <is>
          <t>KALMAR LÄN</t>
        </is>
      </c>
      <c r="E825" t="inlineStr">
        <is>
          <t>VIMMERBY</t>
        </is>
      </c>
      <c r="G825" t="n">
        <v>4.3</v>
      </c>
      <c r="H825" t="n">
        <v>0</v>
      </c>
      <c r="I825" t="n">
        <v>0</v>
      </c>
      <c r="J825" t="n">
        <v>0</v>
      </c>
      <c r="K825" t="n">
        <v>0</v>
      </c>
      <c r="L825" t="n">
        <v>0</v>
      </c>
      <c r="M825" t="n">
        <v>0</v>
      </c>
      <c r="N825" t="n">
        <v>0</v>
      </c>
      <c r="O825" t="n">
        <v>0</v>
      </c>
      <c r="P825" t="n">
        <v>0</v>
      </c>
      <c r="Q825" t="n">
        <v>0</v>
      </c>
      <c r="R825" s="2" t="inlineStr"/>
    </row>
    <row r="826" ht="15" customHeight="1">
      <c r="A826" t="inlineStr">
        <is>
          <t>A 44517-2025</t>
        </is>
      </c>
      <c r="B826" s="1" t="n">
        <v>45916.7103587963</v>
      </c>
      <c r="C826" s="1" t="n">
        <v>45926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36934-2025</t>
        </is>
      </c>
      <c r="B827" s="1" t="n">
        <v>45874.57109953704</v>
      </c>
      <c r="C827" s="1" t="n">
        <v>45926</v>
      </c>
      <c r="D827" t="inlineStr">
        <is>
          <t>KALMAR LÄN</t>
        </is>
      </c>
      <c r="E827" t="inlineStr">
        <is>
          <t>VIMMERBY</t>
        </is>
      </c>
      <c r="G827" t="n">
        <v>4.2</v>
      </c>
      <c r="H827" t="n">
        <v>0</v>
      </c>
      <c r="I827" t="n">
        <v>0</v>
      </c>
      <c r="J827" t="n">
        <v>0</v>
      </c>
      <c r="K827" t="n">
        <v>0</v>
      </c>
      <c r="L827" t="n">
        <v>0</v>
      </c>
      <c r="M827" t="n">
        <v>0</v>
      </c>
      <c r="N827" t="n">
        <v>0</v>
      </c>
      <c r="O827" t="n">
        <v>0</v>
      </c>
      <c r="P827" t="n">
        <v>0</v>
      </c>
      <c r="Q827" t="n">
        <v>0</v>
      </c>
      <c r="R827" s="2" t="inlineStr"/>
    </row>
    <row r="828" ht="15" customHeight="1">
      <c r="A828" t="inlineStr">
        <is>
          <t>A 40147-2023</t>
        </is>
      </c>
      <c r="B828" s="1" t="n">
        <v>45169</v>
      </c>
      <c r="C828" s="1" t="n">
        <v>45926</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50995-2022</t>
        </is>
      </c>
      <c r="B829" s="1" t="n">
        <v>44867</v>
      </c>
      <c r="C829" s="1" t="n">
        <v>45926</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3268-2024</t>
        </is>
      </c>
      <c r="B830" s="1" t="n">
        <v>45317</v>
      </c>
      <c r="C830" s="1" t="n">
        <v>45926</v>
      </c>
      <c r="D830" t="inlineStr">
        <is>
          <t>KALMAR LÄN</t>
        </is>
      </c>
      <c r="E830" t="inlineStr">
        <is>
          <t>VIMMERBY</t>
        </is>
      </c>
      <c r="F830" t="inlineStr">
        <is>
          <t>Övriga Aktiebolag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45114-2025</t>
        </is>
      </c>
      <c r="B831" s="1" t="n">
        <v>45919.42387731482</v>
      </c>
      <c r="C831" s="1" t="n">
        <v>45926</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50764-2020</t>
        </is>
      </c>
      <c r="B832" s="1" t="n">
        <v>44111</v>
      </c>
      <c r="C832" s="1" t="n">
        <v>45926</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12819-2024</t>
        </is>
      </c>
      <c r="B833" s="1" t="n">
        <v>45384.66917824074</v>
      </c>
      <c r="C833" s="1" t="n">
        <v>45926</v>
      </c>
      <c r="D833" t="inlineStr">
        <is>
          <t>KALMAR LÄN</t>
        </is>
      </c>
      <c r="E833" t="inlineStr">
        <is>
          <t>VIMMERBY</t>
        </is>
      </c>
      <c r="G833" t="n">
        <v>5.1</v>
      </c>
      <c r="H833" t="n">
        <v>0</v>
      </c>
      <c r="I833" t="n">
        <v>0</v>
      </c>
      <c r="J833" t="n">
        <v>0</v>
      </c>
      <c r="K833" t="n">
        <v>0</v>
      </c>
      <c r="L833" t="n">
        <v>0</v>
      </c>
      <c r="M833" t="n">
        <v>0</v>
      </c>
      <c r="N833" t="n">
        <v>0</v>
      </c>
      <c r="O833" t="n">
        <v>0</v>
      </c>
      <c r="P833" t="n">
        <v>0</v>
      </c>
      <c r="Q833" t="n">
        <v>0</v>
      </c>
      <c r="R833" s="2" t="inlineStr"/>
    </row>
    <row r="834" ht="15" customHeight="1">
      <c r="A834" t="inlineStr">
        <is>
          <t>A 13076-2025</t>
        </is>
      </c>
      <c r="B834" s="1" t="n">
        <v>45734.62017361111</v>
      </c>
      <c r="C834" s="1" t="n">
        <v>45926</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27993-2022</t>
        </is>
      </c>
      <c r="B835" s="1" t="n">
        <v>44745.84396990741</v>
      </c>
      <c r="C835" s="1" t="n">
        <v>45926</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6214-2025</t>
        </is>
      </c>
      <c r="B836" s="1" t="n">
        <v>45698.51711805556</v>
      </c>
      <c r="C836" s="1" t="n">
        <v>45926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32569-2024</t>
        </is>
      </c>
      <c r="B837" s="1" t="n">
        <v>45513.55840277778</v>
      </c>
      <c r="C837" s="1" t="n">
        <v>45926</v>
      </c>
      <c r="D837" t="inlineStr">
        <is>
          <t>KALMAR LÄN</t>
        </is>
      </c>
      <c r="E837" t="inlineStr">
        <is>
          <t>VIMMERBY</t>
        </is>
      </c>
      <c r="G837" t="n">
        <v>3.7</v>
      </c>
      <c r="H837" t="n">
        <v>0</v>
      </c>
      <c r="I837" t="n">
        <v>0</v>
      </c>
      <c r="J837" t="n">
        <v>0</v>
      </c>
      <c r="K837" t="n">
        <v>0</v>
      </c>
      <c r="L837" t="n">
        <v>0</v>
      </c>
      <c r="M837" t="n">
        <v>0</v>
      </c>
      <c r="N837" t="n">
        <v>0</v>
      </c>
      <c r="O837" t="n">
        <v>0</v>
      </c>
      <c r="P837" t="n">
        <v>0</v>
      </c>
      <c r="Q837" t="n">
        <v>0</v>
      </c>
      <c r="R837" s="2" t="inlineStr"/>
    </row>
    <row r="838" ht="15" customHeight="1">
      <c r="A838" t="inlineStr">
        <is>
          <t>A 32575-2024</t>
        </is>
      </c>
      <c r="B838" s="1" t="n">
        <v>45513.56527777778</v>
      </c>
      <c r="C838" s="1" t="n">
        <v>45926</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57555-2024</t>
        </is>
      </c>
      <c r="B839" s="1" t="n">
        <v>45630.45069444444</v>
      </c>
      <c r="C839" s="1" t="n">
        <v>45926</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37578-2025</t>
        </is>
      </c>
      <c r="B840" s="1" t="n">
        <v>45880.38380787037</v>
      </c>
      <c r="C840" s="1" t="n">
        <v>45926</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45319-2025</t>
        </is>
      </c>
      <c r="B841" s="1" t="n">
        <v>45921.95611111111</v>
      </c>
      <c r="C841" s="1" t="n">
        <v>45926</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36014-2024</t>
        </is>
      </c>
      <c r="B842" s="1" t="n">
        <v>45533.56108796296</v>
      </c>
      <c r="C842" s="1" t="n">
        <v>45926</v>
      </c>
      <c r="D842" t="inlineStr">
        <is>
          <t>KALMAR LÄN</t>
        </is>
      </c>
      <c r="E842" t="inlineStr">
        <is>
          <t>VIMMERBY</t>
        </is>
      </c>
      <c r="G842" t="n">
        <v>2.3</v>
      </c>
      <c r="H842" t="n">
        <v>0</v>
      </c>
      <c r="I842" t="n">
        <v>0</v>
      </c>
      <c r="J842" t="n">
        <v>0</v>
      </c>
      <c r="K842" t="n">
        <v>0</v>
      </c>
      <c r="L842" t="n">
        <v>0</v>
      </c>
      <c r="M842" t="n">
        <v>0</v>
      </c>
      <c r="N842" t="n">
        <v>0</v>
      </c>
      <c r="O842" t="n">
        <v>0</v>
      </c>
      <c r="P842" t="n">
        <v>0</v>
      </c>
      <c r="Q842" t="n">
        <v>0</v>
      </c>
      <c r="R842" s="2" t="inlineStr"/>
    </row>
    <row r="843" ht="15" customHeight="1">
      <c r="A843" t="inlineStr">
        <is>
          <t>A 36030-2024</t>
        </is>
      </c>
      <c r="B843" s="1" t="n">
        <v>45533.58302083334</v>
      </c>
      <c r="C843" s="1" t="n">
        <v>45926</v>
      </c>
      <c r="D843" t="inlineStr">
        <is>
          <t>KALMAR LÄN</t>
        </is>
      </c>
      <c r="E843" t="inlineStr">
        <is>
          <t>VIMMERBY</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45926</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45320-2025</t>
        </is>
      </c>
      <c r="B845" s="1" t="n">
        <v>45921.96395833333</v>
      </c>
      <c r="C845" s="1" t="n">
        <v>45926</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37668-2025</t>
        </is>
      </c>
      <c r="B846" s="1" t="n">
        <v>45880.51550925926</v>
      </c>
      <c r="C846" s="1" t="n">
        <v>45926</v>
      </c>
      <c r="D846" t="inlineStr">
        <is>
          <t>KALMAR LÄN</t>
        </is>
      </c>
      <c r="E846" t="inlineStr">
        <is>
          <t>VIMMERBY</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46118-2025</t>
        </is>
      </c>
      <c r="B847" s="1" t="n">
        <v>45924.57697916667</v>
      </c>
      <c r="C847" s="1" t="n">
        <v>45926</v>
      </c>
      <c r="D847" t="inlineStr">
        <is>
          <t>KALMAR LÄN</t>
        </is>
      </c>
      <c r="E847" t="inlineStr">
        <is>
          <t>VIMMERBY</t>
        </is>
      </c>
      <c r="G847" t="n">
        <v>2.9</v>
      </c>
      <c r="H847" t="n">
        <v>0</v>
      </c>
      <c r="I847" t="n">
        <v>0</v>
      </c>
      <c r="J847" t="n">
        <v>0</v>
      </c>
      <c r="K847" t="n">
        <v>0</v>
      </c>
      <c r="L847" t="n">
        <v>0</v>
      </c>
      <c r="M847" t="n">
        <v>0</v>
      </c>
      <c r="N847" t="n">
        <v>0</v>
      </c>
      <c r="O847" t="n">
        <v>0</v>
      </c>
      <c r="P847" t="n">
        <v>0</v>
      </c>
      <c r="Q847" t="n">
        <v>0</v>
      </c>
      <c r="R847" s="2" t="inlineStr"/>
    </row>
    <row r="848" ht="15" customHeight="1">
      <c r="A848" t="inlineStr">
        <is>
          <t>A 37939-2025</t>
        </is>
      </c>
      <c r="B848" s="1" t="n">
        <v>45881.59877314815</v>
      </c>
      <c r="C848" s="1" t="n">
        <v>45926</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37866-2025</t>
        </is>
      </c>
      <c r="B849" s="1" t="n">
        <v>45881</v>
      </c>
      <c r="C849" s="1" t="n">
        <v>45926</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46361-2025</t>
        </is>
      </c>
      <c r="B850" s="1" t="n">
        <v>45925.49670138889</v>
      </c>
      <c r="C850" s="1" t="n">
        <v>45926</v>
      </c>
      <c r="D850" t="inlineStr">
        <is>
          <t>KALMAR LÄN</t>
        </is>
      </c>
      <c r="E850" t="inlineStr">
        <is>
          <t>VIMMERBY</t>
        </is>
      </c>
      <c r="G850" t="n">
        <v>4.2</v>
      </c>
      <c r="H850" t="n">
        <v>0</v>
      </c>
      <c r="I850" t="n">
        <v>0</v>
      </c>
      <c r="J850" t="n">
        <v>0</v>
      </c>
      <c r="K850" t="n">
        <v>0</v>
      </c>
      <c r="L850" t="n">
        <v>0</v>
      </c>
      <c r="M850" t="n">
        <v>0</v>
      </c>
      <c r="N850" t="n">
        <v>0</v>
      </c>
      <c r="O850" t="n">
        <v>0</v>
      </c>
      <c r="P850" t="n">
        <v>0</v>
      </c>
      <c r="Q850" t="n">
        <v>0</v>
      </c>
      <c r="R850" s="2" t="inlineStr"/>
    </row>
    <row r="851">
      <c r="A851" t="inlineStr">
        <is>
          <t>A 46365-2025</t>
        </is>
      </c>
      <c r="B851" s="1" t="n">
        <v>45925.50075231482</v>
      </c>
      <c r="C851" s="1" t="n">
        <v>45926</v>
      </c>
      <c r="D851" t="inlineStr">
        <is>
          <t>KALMAR LÄN</t>
        </is>
      </c>
      <c r="E851" t="inlineStr">
        <is>
          <t>VIMMERBY</t>
        </is>
      </c>
      <c r="G851" t="n">
        <v>5.6</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2025-09-26T11:57:47Z</dcterms:created>
  <dcterms:modified xmlns:dcterms="http://purl.org/dc/terms/" xmlns:xsi="http://www.w3.org/2001/XMLSchema-instance" xsi:type="dcterms:W3CDTF">2025-09-26T11:57:48Z</dcterms:modified>
</cp:coreProperties>
</file>