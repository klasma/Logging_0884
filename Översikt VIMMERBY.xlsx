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46038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46038</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46038</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46038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46038</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46038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46824-2025</t>
        </is>
      </c>
      <c r="B13" s="1" t="n">
        <v>45926.90006944445</v>
      </c>
      <c r="C13" s="1" t="n">
        <v>46038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58997-2025</t>
        </is>
      </c>
      <c r="B14" s="1" t="n">
        <v>45987</v>
      </c>
      <c r="C14" s="1" t="n">
        <v>46038</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55604-2025</t>
        </is>
      </c>
      <c r="B15" s="1" t="n">
        <v>45971</v>
      </c>
      <c r="C15" s="1" t="n">
        <v>46038</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3075-2025</t>
        </is>
      </c>
      <c r="B16" s="1" t="n">
        <v>45678</v>
      </c>
      <c r="C16" s="1" t="n">
        <v>46038</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15808-2025</t>
        </is>
      </c>
      <c r="B17" s="1" t="n">
        <v>45748</v>
      </c>
      <c r="C17" s="1" t="n">
        <v>46038</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8411-2021</t>
        </is>
      </c>
      <c r="B18" s="1" t="n">
        <v>44245</v>
      </c>
      <c r="C18" s="1" t="n">
        <v>46038</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46038</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46038</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46038</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46038</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42141-2021</t>
        </is>
      </c>
      <c r="B23" s="1" t="n">
        <v>44426.64793981481</v>
      </c>
      <c r="C23" s="1" t="n">
        <v>46038</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46038</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41398-2021</t>
        </is>
      </c>
      <c r="B25" s="1" t="n">
        <v>44424</v>
      </c>
      <c r="C25" s="1" t="n">
        <v>46038</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41398-2021 artfynd.xlsx", "A 41398-2021")</f>
        <v/>
      </c>
      <c r="T25">
        <f>HYPERLINK("https://klasma.github.io/Logging_0884/kartor/A 41398-2021 karta.png", "A 41398-2021")</f>
        <v/>
      </c>
      <c r="V25">
        <f>HYPERLINK("https://klasma.github.io/Logging_0884/klagomål/A 41398-2021 FSC-klagomål.docx", "A 41398-2021")</f>
        <v/>
      </c>
      <c r="W25">
        <f>HYPERLINK("https://klasma.github.io/Logging_0884/klagomålsmail/A 41398-2021 FSC-klagomål mail.docx", "A 41398-2021")</f>
        <v/>
      </c>
      <c r="X25">
        <f>HYPERLINK("https://klasma.github.io/Logging_0884/tillsyn/A 41398-2021 tillsynsbegäran.docx", "A 41398-2021")</f>
        <v/>
      </c>
      <c r="Y25">
        <f>HYPERLINK("https://klasma.github.io/Logging_0884/tillsynsmail/A 41398-2021 tillsynsbegäran mail.docx", "A 41398-2021")</f>
        <v/>
      </c>
    </row>
    <row r="26" ht="15" customHeight="1">
      <c r="A26" t="inlineStr">
        <is>
          <t>A 2518-2023</t>
        </is>
      </c>
      <c r="B26" s="1" t="n">
        <v>44943</v>
      </c>
      <c r="C26" s="1" t="n">
        <v>46038</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46038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46038</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46038</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53787-2025</t>
        </is>
      </c>
      <c r="B30" s="1" t="n">
        <v>45960</v>
      </c>
      <c r="C30" s="1" t="n">
        <v>46038</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14024-2023</t>
        </is>
      </c>
      <c r="B31" s="1" t="n">
        <v>45008.60878472222</v>
      </c>
      <c r="C31" s="1" t="n">
        <v>46038</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46038</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46038</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46038</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46038</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46038</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40083-2023</t>
        </is>
      </c>
      <c r="B37" s="1" t="n">
        <v>45168</v>
      </c>
      <c r="C37" s="1" t="n">
        <v>46038</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46038</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28852-2023</t>
        </is>
      </c>
      <c r="B39" s="1" t="n">
        <v>45104</v>
      </c>
      <c r="C39" s="1" t="n">
        <v>46038</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23602-2023</t>
        </is>
      </c>
      <c r="B40" s="1" t="n">
        <v>45077</v>
      </c>
      <c r="C40" s="1" t="n">
        <v>46038</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15122-2024</t>
        </is>
      </c>
      <c r="B41" s="1" t="n">
        <v>45399.71412037037</v>
      </c>
      <c r="C41" s="1" t="n">
        <v>46038</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52301-2023</t>
        </is>
      </c>
      <c r="B42" s="1" t="n">
        <v>45224</v>
      </c>
      <c r="C42" s="1" t="n">
        <v>46038</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6841-2021</t>
        </is>
      </c>
      <c r="B43" s="1" t="n">
        <v>44236</v>
      </c>
      <c r="C43" s="1" t="n">
        <v>46038</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32985-2023</t>
        </is>
      </c>
      <c r="B44" s="1" t="n">
        <v>45125</v>
      </c>
      <c r="C44" s="1" t="n">
        <v>46038</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61860-2024</t>
        </is>
      </c>
      <c r="B45" s="1" t="n">
        <v>45649</v>
      </c>
      <c r="C45" s="1" t="n">
        <v>46038</v>
      </c>
      <c r="D45" t="inlineStr">
        <is>
          <t>KALMAR LÄN</t>
        </is>
      </c>
      <c r="E45" t="inlineStr">
        <is>
          <t>VIMMERBY</t>
        </is>
      </c>
      <c r="G45" t="n">
        <v>4.4</v>
      </c>
      <c r="H45" t="n">
        <v>1</v>
      </c>
      <c r="I45" t="n">
        <v>0</v>
      </c>
      <c r="J45" t="n">
        <v>0</v>
      </c>
      <c r="K45" t="n">
        <v>1</v>
      </c>
      <c r="L45" t="n">
        <v>0</v>
      </c>
      <c r="M45" t="n">
        <v>0</v>
      </c>
      <c r="N45" t="n">
        <v>0</v>
      </c>
      <c r="O45" t="n">
        <v>1</v>
      </c>
      <c r="P45" t="n">
        <v>1</v>
      </c>
      <c r="Q45" t="n">
        <v>1</v>
      </c>
      <c r="R45" s="2" t="inlineStr">
        <is>
          <t>Knärot</t>
        </is>
      </c>
      <c r="S45">
        <f>HYPERLINK("https://klasma.github.io/Logging_0884/artfynd/A 61860-2024 artfynd.xlsx", "A 61860-2024")</f>
        <v/>
      </c>
      <c r="T45">
        <f>HYPERLINK("https://klasma.github.io/Logging_0884/kartor/A 61860-2024 karta.png", "A 61860-2024")</f>
        <v/>
      </c>
      <c r="U45">
        <f>HYPERLINK("https://klasma.github.io/Logging_0884/knärot/A 61860-2024 karta knärot.png", "A 61860-2024")</f>
        <v/>
      </c>
      <c r="V45">
        <f>HYPERLINK("https://klasma.github.io/Logging_0884/klagomål/A 61860-2024 FSC-klagomål.docx", "A 61860-2024")</f>
        <v/>
      </c>
      <c r="W45">
        <f>HYPERLINK("https://klasma.github.io/Logging_0884/klagomålsmail/A 61860-2024 FSC-klagomål mail.docx", "A 61860-2024")</f>
        <v/>
      </c>
      <c r="X45">
        <f>HYPERLINK("https://klasma.github.io/Logging_0884/tillsyn/A 61860-2024 tillsynsbegäran.docx", "A 61860-2024")</f>
        <v/>
      </c>
      <c r="Y45">
        <f>HYPERLINK("https://klasma.github.io/Logging_0884/tillsynsmail/A 61860-2024 tillsynsbegäran mail.docx", "A 61860-2024")</f>
        <v/>
      </c>
    </row>
    <row r="46" ht="15" customHeight="1">
      <c r="A46" t="inlineStr">
        <is>
          <t>A 37930-2021</t>
        </is>
      </c>
      <c r="B46" s="1" t="n">
        <v>44403</v>
      </c>
      <c r="C46" s="1" t="n">
        <v>46038</v>
      </c>
      <c r="D46" t="inlineStr">
        <is>
          <t>KALMAR LÄN</t>
        </is>
      </c>
      <c r="E46" t="inlineStr">
        <is>
          <t>VIMMERBY</t>
        </is>
      </c>
      <c r="G46" t="n">
        <v>4.4</v>
      </c>
      <c r="H46" t="n">
        <v>0</v>
      </c>
      <c r="I46" t="n">
        <v>0</v>
      </c>
      <c r="J46" t="n">
        <v>1</v>
      </c>
      <c r="K46" t="n">
        <v>0</v>
      </c>
      <c r="L46" t="n">
        <v>0</v>
      </c>
      <c r="M46" t="n">
        <v>0</v>
      </c>
      <c r="N46" t="n">
        <v>0</v>
      </c>
      <c r="O46" t="n">
        <v>1</v>
      </c>
      <c r="P46" t="n">
        <v>0</v>
      </c>
      <c r="Q46" t="n">
        <v>1</v>
      </c>
      <c r="R46" s="2" t="inlineStr">
        <is>
          <t>Spindelört</t>
        </is>
      </c>
      <c r="S46">
        <f>HYPERLINK("https://klasma.github.io/Logging_0884/artfynd/A 37930-2021 artfynd.xlsx", "A 37930-2021")</f>
        <v/>
      </c>
      <c r="T46">
        <f>HYPERLINK("https://klasma.github.io/Logging_0884/kartor/A 37930-2021 karta.png", "A 37930-2021")</f>
        <v/>
      </c>
      <c r="V46">
        <f>HYPERLINK("https://klasma.github.io/Logging_0884/klagomål/A 37930-2021 FSC-klagomål.docx", "A 37930-2021")</f>
        <v/>
      </c>
      <c r="W46">
        <f>HYPERLINK("https://klasma.github.io/Logging_0884/klagomålsmail/A 37930-2021 FSC-klagomål mail.docx", "A 37930-2021")</f>
        <v/>
      </c>
      <c r="X46">
        <f>HYPERLINK("https://klasma.github.io/Logging_0884/tillsyn/A 37930-2021 tillsynsbegäran.docx", "A 37930-2021")</f>
        <v/>
      </c>
      <c r="Y46">
        <f>HYPERLINK("https://klasma.github.io/Logging_0884/tillsynsmail/A 37930-2021 tillsynsbegäran mail.docx", "A 37930-2021")</f>
        <v/>
      </c>
    </row>
    <row r="47" ht="15" customHeight="1">
      <c r="A47" t="inlineStr">
        <is>
          <t>A 53404-2025</t>
        </is>
      </c>
      <c r="B47" s="1" t="n">
        <v>45959.57126157408</v>
      </c>
      <c r="C47" s="1" t="n">
        <v>46038</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46038</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33436-2021</t>
        </is>
      </c>
      <c r="B49" s="1" t="n">
        <v>44377.61104166666</v>
      </c>
      <c r="C49" s="1" t="n">
        <v>46038</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55384-2025</t>
        </is>
      </c>
      <c r="B50" s="1" t="n">
        <v>45971.43178240741</v>
      </c>
      <c r="C50" s="1" t="n">
        <v>46038</v>
      </c>
      <c r="D50" t="inlineStr">
        <is>
          <t>KALMAR LÄN</t>
        </is>
      </c>
      <c r="E50" t="inlineStr">
        <is>
          <t>VIMMERBY</t>
        </is>
      </c>
      <c r="G50" t="n">
        <v>1.7</v>
      </c>
      <c r="H50" t="n">
        <v>1</v>
      </c>
      <c r="I50" t="n">
        <v>0</v>
      </c>
      <c r="J50" t="n">
        <v>1</v>
      </c>
      <c r="K50" t="n">
        <v>0</v>
      </c>
      <c r="L50" t="n">
        <v>0</v>
      </c>
      <c r="M50" t="n">
        <v>0</v>
      </c>
      <c r="N50" t="n">
        <v>0</v>
      </c>
      <c r="O50" t="n">
        <v>1</v>
      </c>
      <c r="P50" t="n">
        <v>0</v>
      </c>
      <c r="Q50" t="n">
        <v>1</v>
      </c>
      <c r="R50" s="2" t="inlineStr">
        <is>
          <t>Talltita</t>
        </is>
      </c>
      <c r="S50">
        <f>HYPERLINK("https://klasma.github.io/Logging_0884/artfynd/A 55384-2025 artfynd.xlsx", "A 55384-2025")</f>
        <v/>
      </c>
      <c r="T50">
        <f>HYPERLINK("https://klasma.github.io/Logging_0884/kartor/A 55384-2025 karta.png", "A 55384-2025")</f>
        <v/>
      </c>
      <c r="V50">
        <f>HYPERLINK("https://klasma.github.io/Logging_0884/klagomål/A 55384-2025 FSC-klagomål.docx", "A 55384-2025")</f>
        <v/>
      </c>
      <c r="W50">
        <f>HYPERLINK("https://klasma.github.io/Logging_0884/klagomålsmail/A 55384-2025 FSC-klagomål mail.docx", "A 55384-2025")</f>
        <v/>
      </c>
      <c r="X50">
        <f>HYPERLINK("https://klasma.github.io/Logging_0884/tillsyn/A 55384-2025 tillsynsbegäran.docx", "A 55384-2025")</f>
        <v/>
      </c>
      <c r="Y50">
        <f>HYPERLINK("https://klasma.github.io/Logging_0884/tillsynsmail/A 55384-2025 tillsynsbegäran mail.docx", "A 55384-2025")</f>
        <v/>
      </c>
      <c r="Z50">
        <f>HYPERLINK("https://klasma.github.io/Logging_0884/fåglar/A 55384-2025 prioriterade fågelarter.docx", "A 55384-2025")</f>
        <v/>
      </c>
    </row>
    <row r="51" ht="15" customHeight="1">
      <c r="A51" t="inlineStr">
        <is>
          <t>A 57062-2025</t>
        </is>
      </c>
      <c r="B51" s="1" t="n">
        <v>45979.37598379629</v>
      </c>
      <c r="C51" s="1" t="n">
        <v>46038</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44515-2024</t>
        </is>
      </c>
      <c r="B52" s="1" t="n">
        <v>45574.42767361111</v>
      </c>
      <c r="C52" s="1" t="n">
        <v>46038</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1201-2025</t>
        </is>
      </c>
      <c r="B53" s="1" t="n">
        <v>45667</v>
      </c>
      <c r="C53" s="1" t="n">
        <v>46038</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46038</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46038</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46038</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46038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46038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46038</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46038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46038</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46038</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46038</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46038</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46038</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46038</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46038</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46038</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46038</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46038</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4762-2021</t>
        </is>
      </c>
      <c r="B71" s="1" t="n">
        <v>44225</v>
      </c>
      <c r="C71" s="1" t="n">
        <v>46038</v>
      </c>
      <c r="D71" t="inlineStr">
        <is>
          <t>KALMAR LÄN</t>
        </is>
      </c>
      <c r="E71" t="inlineStr">
        <is>
          <t>VIMMERBY</t>
        </is>
      </c>
      <c r="G71" t="n">
        <v>5.3</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46038</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46038</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46038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22637-2021</t>
        </is>
      </c>
      <c r="B75" s="1" t="n">
        <v>44327.47658564815</v>
      </c>
      <c r="C75" s="1" t="n">
        <v>46038</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46038</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46038</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46038</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46038</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46038</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38348-2021</t>
        </is>
      </c>
      <c r="B81" s="1" t="n">
        <v>44406</v>
      </c>
      <c r="C81" s="1" t="n">
        <v>46038</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46038</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46038</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40073-2021</t>
        </is>
      </c>
      <c r="B84" s="1" t="n">
        <v>44418</v>
      </c>
      <c r="C84" s="1" t="n">
        <v>46038</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46038</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46038</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46038</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46038</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46038</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46038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46038</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46038</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64923-2021</t>
        </is>
      </c>
      <c r="B93" s="1" t="n">
        <v>44512.70245370371</v>
      </c>
      <c r="C93" s="1" t="n">
        <v>46038</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46038</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33829-2022</t>
        </is>
      </c>
      <c r="B95" s="1" t="n">
        <v>44790</v>
      </c>
      <c r="C95" s="1" t="n">
        <v>46038</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46038</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46038</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11145-2021</t>
        </is>
      </c>
      <c r="B98" s="1" t="n">
        <v>44261</v>
      </c>
      <c r="C98" s="1" t="n">
        <v>46038</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46038</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46038</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46038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16290-2022</t>
        </is>
      </c>
      <c r="B102" s="1" t="n">
        <v>44670</v>
      </c>
      <c r="C102" s="1" t="n">
        <v>46038</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30682-2021</t>
        </is>
      </c>
      <c r="B103" s="1" t="n">
        <v>44365</v>
      </c>
      <c r="C103" s="1" t="n">
        <v>46038</v>
      </c>
      <c r="D103" t="inlineStr">
        <is>
          <t>KALMAR LÄN</t>
        </is>
      </c>
      <c r="E103" t="inlineStr">
        <is>
          <t>VIMMERBY</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46038</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46038</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46038</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46038</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14347-2021</t>
        </is>
      </c>
      <c r="B108" s="1" t="n">
        <v>44279.33400462963</v>
      </c>
      <c r="C108" s="1" t="n">
        <v>46038</v>
      </c>
      <c r="D108" t="inlineStr">
        <is>
          <t>KALMAR LÄN</t>
        </is>
      </c>
      <c r="E108" t="inlineStr">
        <is>
          <t>VIMMERBY</t>
        </is>
      </c>
      <c r="G108" t="n">
        <v>6.4</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46038</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46038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46038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46038</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46038</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46038</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35633-2021</t>
        </is>
      </c>
      <c r="B115" s="1" t="n">
        <v>44386.40783564815</v>
      </c>
      <c r="C115" s="1" t="n">
        <v>46038</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46038</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56343-2021</t>
        </is>
      </c>
      <c r="B117" s="1" t="n">
        <v>44480</v>
      </c>
      <c r="C117" s="1" t="n">
        <v>46038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8415-2021</t>
        </is>
      </c>
      <c r="B118" s="1" t="n">
        <v>44245</v>
      </c>
      <c r="C118" s="1" t="n">
        <v>46038</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31533-2022</t>
        </is>
      </c>
      <c r="B119" s="1" t="n">
        <v>44774</v>
      </c>
      <c r="C119" s="1" t="n">
        <v>46038</v>
      </c>
      <c r="D119" t="inlineStr">
        <is>
          <t>KALMAR LÄN</t>
        </is>
      </c>
      <c r="E119" t="inlineStr">
        <is>
          <t>VIMMERBY</t>
        </is>
      </c>
      <c r="G119" t="n">
        <v>2.5</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46038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46038</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46038</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46038</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63244-2021</t>
        </is>
      </c>
      <c r="B124" s="1" t="n">
        <v>44508</v>
      </c>
      <c r="C124" s="1" t="n">
        <v>46038</v>
      </c>
      <c r="D124" t="inlineStr">
        <is>
          <t>KALMAR LÄN</t>
        </is>
      </c>
      <c r="E124" t="inlineStr">
        <is>
          <t>VIMMERBY</t>
        </is>
      </c>
      <c r="F124" t="inlineStr">
        <is>
          <t>Övriga statliga verk och myndigheter</t>
        </is>
      </c>
      <c r="G124" t="n">
        <v>0.6</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46038</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5689-2021</t>
        </is>
      </c>
      <c r="B126" s="1" t="n">
        <v>44230.58883101852</v>
      </c>
      <c r="C126" s="1" t="n">
        <v>46038</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46038</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46038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46038</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46038</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46038</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46038</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46038</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16705-2021</t>
        </is>
      </c>
      <c r="B134" s="1" t="n">
        <v>44294</v>
      </c>
      <c r="C134" s="1" t="n">
        <v>46038</v>
      </c>
      <c r="D134" t="inlineStr">
        <is>
          <t>KALMAR LÄN</t>
        </is>
      </c>
      <c r="E134" t="inlineStr">
        <is>
          <t>VIMMERBY</t>
        </is>
      </c>
      <c r="G134" t="n">
        <v>2.6</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46038</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46038</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46038</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46038</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67952-2021</t>
        </is>
      </c>
      <c r="B139" s="1" t="n">
        <v>44525.63913194444</v>
      </c>
      <c r="C139" s="1" t="n">
        <v>46038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47208-2021</t>
        </is>
      </c>
      <c r="B140" s="1" t="n">
        <v>44447.34237268518</v>
      </c>
      <c r="C140" s="1" t="n">
        <v>46038</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46038</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14521-2021</t>
        </is>
      </c>
      <c r="B142" s="1" t="n">
        <v>44279.64934027778</v>
      </c>
      <c r="C142" s="1" t="n">
        <v>46038</v>
      </c>
      <c r="D142" t="inlineStr">
        <is>
          <t>KALMAR LÄN</t>
        </is>
      </c>
      <c r="E142" t="inlineStr">
        <is>
          <t>VIMMERBY</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46038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46038</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46038</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16602-2021</t>
        </is>
      </c>
      <c r="B146" s="1" t="n">
        <v>44294</v>
      </c>
      <c r="C146" s="1" t="n">
        <v>46038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16607-2021</t>
        </is>
      </c>
      <c r="B147" s="1" t="n">
        <v>44294</v>
      </c>
      <c r="C147" s="1" t="n">
        <v>46038</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17029-2022</t>
        </is>
      </c>
      <c r="B148" s="1" t="n">
        <v>44676.85248842592</v>
      </c>
      <c r="C148" s="1" t="n">
        <v>46038</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165-2022</t>
        </is>
      </c>
      <c r="B149" s="1" t="n">
        <v>44564</v>
      </c>
      <c r="C149" s="1" t="n">
        <v>46038</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7167-2022</t>
        </is>
      </c>
      <c r="B150" s="1" t="n">
        <v>44604</v>
      </c>
      <c r="C150" s="1" t="n">
        <v>46038</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18356-2021</t>
        </is>
      </c>
      <c r="B151" s="1" t="n">
        <v>44305</v>
      </c>
      <c r="C151" s="1" t="n">
        <v>46038</v>
      </c>
      <c r="D151" t="inlineStr">
        <is>
          <t>KALMAR LÄN</t>
        </is>
      </c>
      <c r="E151" t="inlineStr">
        <is>
          <t>VIMMERBY</t>
        </is>
      </c>
      <c r="G151" t="n">
        <v>3.4</v>
      </c>
      <c r="H151" t="n">
        <v>0</v>
      </c>
      <c r="I151" t="n">
        <v>0</v>
      </c>
      <c r="J151" t="n">
        <v>0</v>
      </c>
      <c r="K151" t="n">
        <v>0</v>
      </c>
      <c r="L151" t="n">
        <v>0</v>
      </c>
      <c r="M151" t="n">
        <v>0</v>
      </c>
      <c r="N151" t="n">
        <v>0</v>
      </c>
      <c r="O151" t="n">
        <v>0</v>
      </c>
      <c r="P151" t="n">
        <v>0</v>
      </c>
      <c r="Q151" t="n">
        <v>0</v>
      </c>
      <c r="R151" s="2" t="inlineStr"/>
    </row>
    <row r="152" ht="15" customHeight="1">
      <c r="A152" t="inlineStr">
        <is>
          <t>A 12107-2022</t>
        </is>
      </c>
      <c r="B152" s="1" t="n">
        <v>44636</v>
      </c>
      <c r="C152" s="1" t="n">
        <v>46038</v>
      </c>
      <c r="D152" t="inlineStr">
        <is>
          <t>KALMAR LÄN</t>
        </is>
      </c>
      <c r="E152" t="inlineStr">
        <is>
          <t>VIMMERBY</t>
        </is>
      </c>
      <c r="G152" t="n">
        <v>1.8</v>
      </c>
      <c r="H152" t="n">
        <v>0</v>
      </c>
      <c r="I152" t="n">
        <v>0</v>
      </c>
      <c r="J152" t="n">
        <v>0</v>
      </c>
      <c r="K152" t="n">
        <v>0</v>
      </c>
      <c r="L152" t="n">
        <v>0</v>
      </c>
      <c r="M152" t="n">
        <v>0</v>
      </c>
      <c r="N152" t="n">
        <v>0</v>
      </c>
      <c r="O152" t="n">
        <v>0</v>
      </c>
      <c r="P152" t="n">
        <v>0</v>
      </c>
      <c r="Q152" t="n">
        <v>0</v>
      </c>
      <c r="R152" s="2" t="inlineStr"/>
    </row>
    <row r="153" ht="15" customHeight="1">
      <c r="A153" t="inlineStr">
        <is>
          <t>A 39225-2022</t>
        </is>
      </c>
      <c r="B153" s="1" t="n">
        <v>44817.57988425926</v>
      </c>
      <c r="C153" s="1" t="n">
        <v>46038</v>
      </c>
      <c r="D153" t="inlineStr">
        <is>
          <t>KALMAR LÄN</t>
        </is>
      </c>
      <c r="E153" t="inlineStr">
        <is>
          <t>VIMMERBY</t>
        </is>
      </c>
      <c r="G153" t="n">
        <v>2.2</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46038</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35316-2021</t>
        </is>
      </c>
      <c r="B155" s="1" t="n">
        <v>44384</v>
      </c>
      <c r="C155" s="1" t="n">
        <v>46038</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33831-2022</t>
        </is>
      </c>
      <c r="B156" s="1" t="n">
        <v>44790.48503472222</v>
      </c>
      <c r="C156" s="1" t="n">
        <v>46038</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47708-2022</t>
        </is>
      </c>
      <c r="B157" s="1" t="n">
        <v>44854.59157407407</v>
      </c>
      <c r="C157" s="1" t="n">
        <v>46038</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46038</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46038</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9918-2022</t>
        </is>
      </c>
      <c r="B160" s="1" t="n">
        <v>44620</v>
      </c>
      <c r="C160" s="1" t="n">
        <v>46038</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12241-2021</t>
        </is>
      </c>
      <c r="B161" s="1" t="n">
        <v>44266.7240625</v>
      </c>
      <c r="C161" s="1" t="n">
        <v>46038</v>
      </c>
      <c r="D161" t="inlineStr">
        <is>
          <t>KALMAR LÄN</t>
        </is>
      </c>
      <c r="E161" t="inlineStr">
        <is>
          <t>VIMMERBY</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55674-2021</t>
        </is>
      </c>
      <c r="B162" s="1" t="n">
        <v>44476</v>
      </c>
      <c r="C162" s="1" t="n">
        <v>46038</v>
      </c>
      <c r="D162" t="inlineStr">
        <is>
          <t>KALMAR LÄN</t>
        </is>
      </c>
      <c r="E162" t="inlineStr">
        <is>
          <t>VIMMERBY</t>
        </is>
      </c>
      <c r="G162" t="n">
        <v>2.1</v>
      </c>
      <c r="H162" t="n">
        <v>0</v>
      </c>
      <c r="I162" t="n">
        <v>0</v>
      </c>
      <c r="J162" t="n">
        <v>0</v>
      </c>
      <c r="K162" t="n">
        <v>0</v>
      </c>
      <c r="L162" t="n">
        <v>0</v>
      </c>
      <c r="M162" t="n">
        <v>0</v>
      </c>
      <c r="N162" t="n">
        <v>0</v>
      </c>
      <c r="O162" t="n">
        <v>0</v>
      </c>
      <c r="P162" t="n">
        <v>0</v>
      </c>
      <c r="Q162" t="n">
        <v>0</v>
      </c>
      <c r="R162" s="2" t="inlineStr"/>
    </row>
    <row r="163" ht="15" customHeight="1">
      <c r="A163" t="inlineStr">
        <is>
          <t>A 12662-2021</t>
        </is>
      </c>
      <c r="B163" s="1" t="n">
        <v>44270.49743055556</v>
      </c>
      <c r="C163" s="1" t="n">
        <v>46038</v>
      </c>
      <c r="D163" t="inlineStr">
        <is>
          <t>KALMAR LÄN</t>
        </is>
      </c>
      <c r="E163" t="inlineStr">
        <is>
          <t>VIMMERBY</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40077-2021</t>
        </is>
      </c>
      <c r="B164" s="1" t="n">
        <v>44418</v>
      </c>
      <c r="C164" s="1" t="n">
        <v>46038</v>
      </c>
      <c r="D164" t="inlineStr">
        <is>
          <t>KALMAR LÄN</t>
        </is>
      </c>
      <c r="E164" t="inlineStr">
        <is>
          <t>VIMMERBY</t>
        </is>
      </c>
      <c r="G164" t="n">
        <v>2.9</v>
      </c>
      <c r="H164" t="n">
        <v>0</v>
      </c>
      <c r="I164" t="n">
        <v>0</v>
      </c>
      <c r="J164" t="n">
        <v>0</v>
      </c>
      <c r="K164" t="n">
        <v>0</v>
      </c>
      <c r="L164" t="n">
        <v>0</v>
      </c>
      <c r="M164" t="n">
        <v>0</v>
      </c>
      <c r="N164" t="n">
        <v>0</v>
      </c>
      <c r="O164" t="n">
        <v>0</v>
      </c>
      <c r="P164" t="n">
        <v>0</v>
      </c>
      <c r="Q164" t="n">
        <v>0</v>
      </c>
      <c r="R164" s="2" t="inlineStr"/>
    </row>
    <row r="165" ht="15" customHeight="1">
      <c r="A165" t="inlineStr">
        <is>
          <t>A 47769-2022</t>
        </is>
      </c>
      <c r="B165" s="1" t="n">
        <v>44854</v>
      </c>
      <c r="C165" s="1" t="n">
        <v>46038</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41056-2022</t>
        </is>
      </c>
      <c r="B166" s="1" t="n">
        <v>44824</v>
      </c>
      <c r="C166" s="1" t="n">
        <v>46038</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31660-2021</t>
        </is>
      </c>
      <c r="B167" s="1" t="n">
        <v>44369</v>
      </c>
      <c r="C167" s="1" t="n">
        <v>46038</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27455-2022</t>
        </is>
      </c>
      <c r="B168" s="1" t="n">
        <v>44742</v>
      </c>
      <c r="C168" s="1" t="n">
        <v>46038</v>
      </c>
      <c r="D168" t="inlineStr">
        <is>
          <t>KALMAR LÄN</t>
        </is>
      </c>
      <c r="E168" t="inlineStr">
        <is>
          <t>VIMMERBY</t>
        </is>
      </c>
      <c r="G168" t="n">
        <v>1.6</v>
      </c>
      <c r="H168" t="n">
        <v>0</v>
      </c>
      <c r="I168" t="n">
        <v>0</v>
      </c>
      <c r="J168" t="n">
        <v>0</v>
      </c>
      <c r="K168" t="n">
        <v>0</v>
      </c>
      <c r="L168" t="n">
        <v>0</v>
      </c>
      <c r="M168" t="n">
        <v>0</v>
      </c>
      <c r="N168" t="n">
        <v>0</v>
      </c>
      <c r="O168" t="n">
        <v>0</v>
      </c>
      <c r="P168" t="n">
        <v>0</v>
      </c>
      <c r="Q168" t="n">
        <v>0</v>
      </c>
      <c r="R168" s="2" t="inlineStr"/>
    </row>
    <row r="169" ht="15" customHeight="1">
      <c r="A169" t="inlineStr">
        <is>
          <t>A 23825-2022</t>
        </is>
      </c>
      <c r="B169" s="1" t="n">
        <v>44722.48768518519</v>
      </c>
      <c r="C169" s="1" t="n">
        <v>46038</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18276-2021</t>
        </is>
      </c>
      <c r="B170" s="1" t="n">
        <v>44305.40046296296</v>
      </c>
      <c r="C170" s="1" t="n">
        <v>46038</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47473-2021</t>
        </is>
      </c>
      <c r="B171" s="1" t="n">
        <v>44447</v>
      </c>
      <c r="C171" s="1" t="n">
        <v>46038</v>
      </c>
      <c r="D171" t="inlineStr">
        <is>
          <t>KALMAR LÄN</t>
        </is>
      </c>
      <c r="E171" t="inlineStr">
        <is>
          <t>VIMMERBY</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46038</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46038</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42850-2022</t>
        </is>
      </c>
      <c r="B174" s="1" t="n">
        <v>44832.67608796297</v>
      </c>
      <c r="C174" s="1" t="n">
        <v>46038</v>
      </c>
      <c r="D174" t="inlineStr">
        <is>
          <t>KALMAR LÄN</t>
        </is>
      </c>
      <c r="E174" t="inlineStr">
        <is>
          <t>VIMMERBY</t>
        </is>
      </c>
      <c r="G174" t="n">
        <v>5.9</v>
      </c>
      <c r="H174" t="n">
        <v>0</v>
      </c>
      <c r="I174" t="n">
        <v>0</v>
      </c>
      <c r="J174" t="n">
        <v>0</v>
      </c>
      <c r="K174" t="n">
        <v>0</v>
      </c>
      <c r="L174" t="n">
        <v>0</v>
      </c>
      <c r="M174" t="n">
        <v>0</v>
      </c>
      <c r="N174" t="n">
        <v>0</v>
      </c>
      <c r="O174" t="n">
        <v>0</v>
      </c>
      <c r="P174" t="n">
        <v>0</v>
      </c>
      <c r="Q174" t="n">
        <v>0</v>
      </c>
      <c r="R174" s="2" t="inlineStr"/>
    </row>
    <row r="175" ht="15" customHeight="1">
      <c r="A175" t="inlineStr">
        <is>
          <t>A 13180-2022</t>
        </is>
      </c>
      <c r="B175" s="1" t="n">
        <v>44644</v>
      </c>
      <c r="C175" s="1" t="n">
        <v>46038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46038</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10086-2022</t>
        </is>
      </c>
      <c r="B177" s="1" t="n">
        <v>44621</v>
      </c>
      <c r="C177" s="1" t="n">
        <v>46038</v>
      </c>
      <c r="D177" t="inlineStr">
        <is>
          <t>KALMAR LÄN</t>
        </is>
      </c>
      <c r="E177" t="inlineStr">
        <is>
          <t>VIMMERBY</t>
        </is>
      </c>
      <c r="G177" t="n">
        <v>1.2</v>
      </c>
      <c r="H177" t="n">
        <v>0</v>
      </c>
      <c r="I177" t="n">
        <v>0</v>
      </c>
      <c r="J177" t="n">
        <v>0</v>
      </c>
      <c r="K177" t="n">
        <v>0</v>
      </c>
      <c r="L177" t="n">
        <v>0</v>
      </c>
      <c r="M177" t="n">
        <v>0</v>
      </c>
      <c r="N177" t="n">
        <v>0</v>
      </c>
      <c r="O177" t="n">
        <v>0</v>
      </c>
      <c r="P177" t="n">
        <v>0</v>
      </c>
      <c r="Q177" t="n">
        <v>0</v>
      </c>
      <c r="R177" s="2" t="inlineStr"/>
    </row>
    <row r="178" ht="15" customHeight="1">
      <c r="A178" t="inlineStr">
        <is>
          <t>A 53145-2022</t>
        </is>
      </c>
      <c r="B178" s="1" t="n">
        <v>44876.48346064815</v>
      </c>
      <c r="C178" s="1" t="n">
        <v>46038</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25738-2022</t>
        </is>
      </c>
      <c r="B179" s="1" t="n">
        <v>44733.43092592592</v>
      </c>
      <c r="C179" s="1" t="n">
        <v>46038</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46038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46038</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36117-2021</t>
        </is>
      </c>
      <c r="B182" s="1" t="n">
        <v>44386</v>
      </c>
      <c r="C182" s="1" t="n">
        <v>46038</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46038</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42521-2021</t>
        </is>
      </c>
      <c r="B184" s="1" t="n">
        <v>44427</v>
      </c>
      <c r="C184" s="1" t="n">
        <v>46038</v>
      </c>
      <c r="D184" t="inlineStr">
        <is>
          <t>KALMAR LÄN</t>
        </is>
      </c>
      <c r="E184" t="inlineStr">
        <is>
          <t>VIMMERBY</t>
        </is>
      </c>
      <c r="G184" t="n">
        <v>5.4</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46038</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16288-2021</t>
        </is>
      </c>
      <c r="B186" s="1" t="n">
        <v>44292</v>
      </c>
      <c r="C186" s="1" t="n">
        <v>46038</v>
      </c>
      <c r="D186" t="inlineStr">
        <is>
          <t>KALMAR LÄN</t>
        </is>
      </c>
      <c r="E186" t="inlineStr">
        <is>
          <t>VIMMERBY</t>
        </is>
      </c>
      <c r="F186" t="inlineStr">
        <is>
          <t>Övriga Aktiebolag</t>
        </is>
      </c>
      <c r="G186" t="n">
        <v>27.6</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46038</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58962-2022</t>
        </is>
      </c>
      <c r="B188" s="1" t="n">
        <v>44903</v>
      </c>
      <c r="C188" s="1" t="n">
        <v>46038</v>
      </c>
      <c r="D188" t="inlineStr">
        <is>
          <t>KALMAR LÄN</t>
        </is>
      </c>
      <c r="E188" t="inlineStr">
        <is>
          <t>VIMMERBY</t>
        </is>
      </c>
      <c r="G188" t="n">
        <v>1.1</v>
      </c>
      <c r="H188" t="n">
        <v>0</v>
      </c>
      <c r="I188" t="n">
        <v>0</v>
      </c>
      <c r="J188" t="n">
        <v>0</v>
      </c>
      <c r="K188" t="n">
        <v>0</v>
      </c>
      <c r="L188" t="n">
        <v>0</v>
      </c>
      <c r="M188" t="n">
        <v>0</v>
      </c>
      <c r="N188" t="n">
        <v>0</v>
      </c>
      <c r="O188" t="n">
        <v>0</v>
      </c>
      <c r="P188" t="n">
        <v>0</v>
      </c>
      <c r="Q188" t="n">
        <v>0</v>
      </c>
      <c r="R188" s="2" t="inlineStr"/>
    </row>
    <row r="189" ht="15" customHeight="1">
      <c r="A189" t="inlineStr">
        <is>
          <t>A 4076-2022</t>
        </is>
      </c>
      <c r="B189" s="1" t="n">
        <v>44588.37998842593</v>
      </c>
      <c r="C189" s="1" t="n">
        <v>46038</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4122-2022</t>
        </is>
      </c>
      <c r="B190" s="1" t="n">
        <v>44588</v>
      </c>
      <c r="C190" s="1" t="n">
        <v>46038</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10837-2023</t>
        </is>
      </c>
      <c r="B191" s="1" t="n">
        <v>44991.30547453704</v>
      </c>
      <c r="C191" s="1" t="n">
        <v>46038</v>
      </c>
      <c r="D191" t="inlineStr">
        <is>
          <t>KALMAR LÄN</t>
        </is>
      </c>
      <c r="E191" t="inlineStr">
        <is>
          <t>VIMMERBY</t>
        </is>
      </c>
      <c r="G191" t="n">
        <v>7.3</v>
      </c>
      <c r="H191" t="n">
        <v>0</v>
      </c>
      <c r="I191" t="n">
        <v>0</v>
      </c>
      <c r="J191" t="n">
        <v>0</v>
      </c>
      <c r="K191" t="n">
        <v>0</v>
      </c>
      <c r="L191" t="n">
        <v>0</v>
      </c>
      <c r="M191" t="n">
        <v>0</v>
      </c>
      <c r="N191" t="n">
        <v>0</v>
      </c>
      <c r="O191" t="n">
        <v>0</v>
      </c>
      <c r="P191" t="n">
        <v>0</v>
      </c>
      <c r="Q191" t="n">
        <v>0</v>
      </c>
      <c r="R191" s="2" t="inlineStr"/>
    </row>
    <row r="192" ht="15" customHeight="1">
      <c r="A192" t="inlineStr">
        <is>
          <t>A 10838-2023</t>
        </is>
      </c>
      <c r="B192" s="1" t="n">
        <v>44991</v>
      </c>
      <c r="C192" s="1" t="n">
        <v>46038</v>
      </c>
      <c r="D192" t="inlineStr">
        <is>
          <t>KALMAR LÄN</t>
        </is>
      </c>
      <c r="E192" t="inlineStr">
        <is>
          <t>VIMMERBY</t>
        </is>
      </c>
      <c r="G192" t="n">
        <v>5.1</v>
      </c>
      <c r="H192" t="n">
        <v>0</v>
      </c>
      <c r="I192" t="n">
        <v>0</v>
      </c>
      <c r="J192" t="n">
        <v>0</v>
      </c>
      <c r="K192" t="n">
        <v>0</v>
      </c>
      <c r="L192" t="n">
        <v>0</v>
      </c>
      <c r="M192" t="n">
        <v>0</v>
      </c>
      <c r="N192" t="n">
        <v>0</v>
      </c>
      <c r="O192" t="n">
        <v>0</v>
      </c>
      <c r="P192" t="n">
        <v>0</v>
      </c>
      <c r="Q192" t="n">
        <v>0</v>
      </c>
      <c r="R192" s="2" t="inlineStr"/>
    </row>
    <row r="193" ht="15" customHeight="1">
      <c r="A193" t="inlineStr">
        <is>
          <t>A 8453-2022</t>
        </is>
      </c>
      <c r="B193" s="1" t="n">
        <v>44612.86554398148</v>
      </c>
      <c r="C193" s="1" t="n">
        <v>46038</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58374-2024</t>
        </is>
      </c>
      <c r="B194" s="1" t="n">
        <v>45632.72635416667</v>
      </c>
      <c r="C194" s="1" t="n">
        <v>46038</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46038</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50621-2022</t>
        </is>
      </c>
      <c r="B196" s="1" t="n">
        <v>44866.81100694444</v>
      </c>
      <c r="C196" s="1" t="n">
        <v>46038</v>
      </c>
      <c r="D196" t="inlineStr">
        <is>
          <t>KALMAR LÄN</t>
        </is>
      </c>
      <c r="E196" t="inlineStr">
        <is>
          <t>VIMMERBY</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54065-2021</t>
        </is>
      </c>
      <c r="B197" s="1" t="n">
        <v>44470.44232638889</v>
      </c>
      <c r="C197" s="1" t="n">
        <v>46038</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31824-2022</t>
        </is>
      </c>
      <c r="B198" s="1" t="n">
        <v>44776</v>
      </c>
      <c r="C198" s="1" t="n">
        <v>46038</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11733-2022</t>
        </is>
      </c>
      <c r="B199" s="1" t="n">
        <v>44634</v>
      </c>
      <c r="C199" s="1" t="n">
        <v>46038</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7804-2022</t>
        </is>
      </c>
      <c r="B200" s="1" t="n">
        <v>44608.50458333334</v>
      </c>
      <c r="C200" s="1" t="n">
        <v>46038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39042-2022</t>
        </is>
      </c>
      <c r="B201" s="1" t="n">
        <v>44817</v>
      </c>
      <c r="C201" s="1" t="n">
        <v>46038</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30402-2023</t>
        </is>
      </c>
      <c r="B202" s="1" t="n">
        <v>45111.48395833333</v>
      </c>
      <c r="C202" s="1" t="n">
        <v>46038</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27758-2024</t>
        </is>
      </c>
      <c r="B203" s="1" t="n">
        <v>45475.48303240741</v>
      </c>
      <c r="C203" s="1" t="n">
        <v>46038</v>
      </c>
      <c r="D203" t="inlineStr">
        <is>
          <t>KALMAR LÄN</t>
        </is>
      </c>
      <c r="E203" t="inlineStr">
        <is>
          <t>VIMMERBY</t>
        </is>
      </c>
      <c r="G203" t="n">
        <v>2.6</v>
      </c>
      <c r="H203" t="n">
        <v>0</v>
      </c>
      <c r="I203" t="n">
        <v>0</v>
      </c>
      <c r="J203" t="n">
        <v>0</v>
      </c>
      <c r="K203" t="n">
        <v>0</v>
      </c>
      <c r="L203" t="n">
        <v>0</v>
      </c>
      <c r="M203" t="n">
        <v>0</v>
      </c>
      <c r="N203" t="n">
        <v>0</v>
      </c>
      <c r="O203" t="n">
        <v>0</v>
      </c>
      <c r="P203" t="n">
        <v>0</v>
      </c>
      <c r="Q203" t="n">
        <v>0</v>
      </c>
      <c r="R203" s="2" t="inlineStr"/>
    </row>
    <row r="204" ht="15" customHeight="1">
      <c r="A204" t="inlineStr">
        <is>
          <t>A 13307-2025</t>
        </is>
      </c>
      <c r="B204" s="1" t="n">
        <v>45735.58024305556</v>
      </c>
      <c r="C204" s="1" t="n">
        <v>46038</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13290-2025</t>
        </is>
      </c>
      <c r="B205" s="1" t="n">
        <v>45735.56751157407</v>
      </c>
      <c r="C205" s="1" t="n">
        <v>46038</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19162-2023</t>
        </is>
      </c>
      <c r="B206" s="1" t="n">
        <v>45048.59699074074</v>
      </c>
      <c r="C206" s="1" t="n">
        <v>46038</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9475-2023</t>
        </is>
      </c>
      <c r="B207" s="1" t="n">
        <v>44981.58834490741</v>
      </c>
      <c r="C207" s="1" t="n">
        <v>46038</v>
      </c>
      <c r="D207" t="inlineStr">
        <is>
          <t>KALMAR LÄN</t>
        </is>
      </c>
      <c r="E207" t="inlineStr">
        <is>
          <t>VIMMERBY</t>
        </is>
      </c>
      <c r="G207" t="n">
        <v>2</v>
      </c>
      <c r="H207" t="n">
        <v>0</v>
      </c>
      <c r="I207" t="n">
        <v>0</v>
      </c>
      <c r="J207" t="n">
        <v>0</v>
      </c>
      <c r="K207" t="n">
        <v>0</v>
      </c>
      <c r="L207" t="n">
        <v>0</v>
      </c>
      <c r="M207" t="n">
        <v>0</v>
      </c>
      <c r="N207" t="n">
        <v>0</v>
      </c>
      <c r="O207" t="n">
        <v>0</v>
      </c>
      <c r="P207" t="n">
        <v>0</v>
      </c>
      <c r="Q207" t="n">
        <v>0</v>
      </c>
      <c r="R207" s="2" t="inlineStr"/>
    </row>
    <row r="208" ht="15" customHeight="1">
      <c r="A208" t="inlineStr">
        <is>
          <t>A 55716-2023</t>
        </is>
      </c>
      <c r="B208" s="1" t="n">
        <v>45232</v>
      </c>
      <c r="C208" s="1" t="n">
        <v>46038</v>
      </c>
      <c r="D208" t="inlineStr">
        <is>
          <t>KALMAR LÄN</t>
        </is>
      </c>
      <c r="E208" t="inlineStr">
        <is>
          <t>VIMMERBY</t>
        </is>
      </c>
      <c r="G208" t="n">
        <v>2.3</v>
      </c>
      <c r="H208" t="n">
        <v>0</v>
      </c>
      <c r="I208" t="n">
        <v>0</v>
      </c>
      <c r="J208" t="n">
        <v>0</v>
      </c>
      <c r="K208" t="n">
        <v>0</v>
      </c>
      <c r="L208" t="n">
        <v>0</v>
      </c>
      <c r="M208" t="n">
        <v>0</v>
      </c>
      <c r="N208" t="n">
        <v>0</v>
      </c>
      <c r="O208" t="n">
        <v>0</v>
      </c>
      <c r="P208" t="n">
        <v>0</v>
      </c>
      <c r="Q208" t="n">
        <v>0</v>
      </c>
      <c r="R208" s="2" t="inlineStr"/>
    </row>
    <row r="209" ht="15" customHeight="1">
      <c r="A209" t="inlineStr">
        <is>
          <t>A 11946-2025</t>
        </is>
      </c>
      <c r="B209" s="1" t="n">
        <v>45728.54832175926</v>
      </c>
      <c r="C209" s="1" t="n">
        <v>46038</v>
      </c>
      <c r="D209" t="inlineStr">
        <is>
          <t>KALMAR LÄN</t>
        </is>
      </c>
      <c r="E209" t="inlineStr">
        <is>
          <t>VIMMERBY</t>
        </is>
      </c>
      <c r="G209" t="n">
        <v>0.4</v>
      </c>
      <c r="H209" t="n">
        <v>0</v>
      </c>
      <c r="I209" t="n">
        <v>0</v>
      </c>
      <c r="J209" t="n">
        <v>0</v>
      </c>
      <c r="K209" t="n">
        <v>0</v>
      </c>
      <c r="L209" t="n">
        <v>0</v>
      </c>
      <c r="M209" t="n">
        <v>0</v>
      </c>
      <c r="N209" t="n">
        <v>0</v>
      </c>
      <c r="O209" t="n">
        <v>0</v>
      </c>
      <c r="P209" t="n">
        <v>0</v>
      </c>
      <c r="Q209" t="n">
        <v>0</v>
      </c>
      <c r="R209" s="2" t="inlineStr"/>
    </row>
    <row r="210" ht="15" customHeight="1">
      <c r="A210" t="inlineStr">
        <is>
          <t>A 19537-2022</t>
        </is>
      </c>
      <c r="B210" s="1" t="n">
        <v>44693.62822916666</v>
      </c>
      <c r="C210" s="1" t="n">
        <v>46038</v>
      </c>
      <c r="D210" t="inlineStr">
        <is>
          <t>KALMAR LÄN</t>
        </is>
      </c>
      <c r="E210" t="inlineStr">
        <is>
          <t>VIMMERBY</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11609-2023</t>
        </is>
      </c>
      <c r="B211" s="1" t="n">
        <v>44994.40635416667</v>
      </c>
      <c r="C211" s="1" t="n">
        <v>46038</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6321-2023</t>
        </is>
      </c>
      <c r="B212" s="1" t="n">
        <v>44965.4815162037</v>
      </c>
      <c r="C212" s="1" t="n">
        <v>46038</v>
      </c>
      <c r="D212" t="inlineStr">
        <is>
          <t>KALMAR LÄN</t>
        </is>
      </c>
      <c r="E212" t="inlineStr">
        <is>
          <t>VIMMERBY</t>
        </is>
      </c>
      <c r="G212" t="n">
        <v>1.8</v>
      </c>
      <c r="H212" t="n">
        <v>0</v>
      </c>
      <c r="I212" t="n">
        <v>0</v>
      </c>
      <c r="J212" t="n">
        <v>0</v>
      </c>
      <c r="K212" t="n">
        <v>0</v>
      </c>
      <c r="L212" t="n">
        <v>0</v>
      </c>
      <c r="M212" t="n">
        <v>0</v>
      </c>
      <c r="N212" t="n">
        <v>0</v>
      </c>
      <c r="O212" t="n">
        <v>0</v>
      </c>
      <c r="P212" t="n">
        <v>0</v>
      </c>
      <c r="Q212" t="n">
        <v>0</v>
      </c>
      <c r="R212" s="2" t="inlineStr"/>
    </row>
    <row r="213" ht="15" customHeight="1">
      <c r="A213" t="inlineStr">
        <is>
          <t>A 4624-2024</t>
        </is>
      </c>
      <c r="B213" s="1" t="n">
        <v>45328.38755787037</v>
      </c>
      <c r="C213" s="1" t="n">
        <v>46038</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18329-2023</t>
        </is>
      </c>
      <c r="B214" s="1" t="n">
        <v>45041.63380787037</v>
      </c>
      <c r="C214" s="1" t="n">
        <v>46038</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16983-2023</t>
        </is>
      </c>
      <c r="B215" s="1" t="n">
        <v>45033.76043981482</v>
      </c>
      <c r="C215" s="1" t="n">
        <v>46038</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46144-2023</t>
        </is>
      </c>
      <c r="B216" s="1" t="n">
        <v>45196.57247685185</v>
      </c>
      <c r="C216" s="1" t="n">
        <v>46038</v>
      </c>
      <c r="D216" t="inlineStr">
        <is>
          <t>KALMAR LÄN</t>
        </is>
      </c>
      <c r="E216" t="inlineStr">
        <is>
          <t>VIMMERBY</t>
        </is>
      </c>
      <c r="G216" t="n">
        <v>6.5</v>
      </c>
      <c r="H216" t="n">
        <v>0</v>
      </c>
      <c r="I216" t="n">
        <v>0</v>
      </c>
      <c r="J216" t="n">
        <v>0</v>
      </c>
      <c r="K216" t="n">
        <v>0</v>
      </c>
      <c r="L216" t="n">
        <v>0</v>
      </c>
      <c r="M216" t="n">
        <v>0</v>
      </c>
      <c r="N216" t="n">
        <v>0</v>
      </c>
      <c r="O216" t="n">
        <v>0</v>
      </c>
      <c r="P216" t="n">
        <v>0</v>
      </c>
      <c r="Q216" t="n">
        <v>0</v>
      </c>
      <c r="R216" s="2" t="inlineStr"/>
    </row>
    <row r="217" ht="15" customHeight="1">
      <c r="A217" t="inlineStr">
        <is>
          <t>A 60951-2023</t>
        </is>
      </c>
      <c r="B217" s="1" t="n">
        <v>45261.44914351852</v>
      </c>
      <c r="C217" s="1" t="n">
        <v>46038</v>
      </c>
      <c r="D217" t="inlineStr">
        <is>
          <t>KALMAR LÄN</t>
        </is>
      </c>
      <c r="E217" t="inlineStr">
        <is>
          <t>VIMMERBY</t>
        </is>
      </c>
      <c r="G217" t="n">
        <v>4.3</v>
      </c>
      <c r="H217" t="n">
        <v>0</v>
      </c>
      <c r="I217" t="n">
        <v>0</v>
      </c>
      <c r="J217" t="n">
        <v>0</v>
      </c>
      <c r="K217" t="n">
        <v>0</v>
      </c>
      <c r="L217" t="n">
        <v>0</v>
      </c>
      <c r="M217" t="n">
        <v>0</v>
      </c>
      <c r="N217" t="n">
        <v>0</v>
      </c>
      <c r="O217" t="n">
        <v>0</v>
      </c>
      <c r="P217" t="n">
        <v>0</v>
      </c>
      <c r="Q217" t="n">
        <v>0</v>
      </c>
      <c r="R217" s="2" t="inlineStr"/>
    </row>
    <row r="218" ht="15" customHeight="1">
      <c r="A218" t="inlineStr">
        <is>
          <t>A 60292-2022</t>
        </is>
      </c>
      <c r="B218" s="1" t="n">
        <v>44910.54231481482</v>
      </c>
      <c r="C218" s="1" t="n">
        <v>46038</v>
      </c>
      <c r="D218" t="inlineStr">
        <is>
          <t>KALMAR LÄN</t>
        </is>
      </c>
      <c r="E218" t="inlineStr">
        <is>
          <t>VIMMERBY</t>
        </is>
      </c>
      <c r="G218" t="n">
        <v>4.4</v>
      </c>
      <c r="H218" t="n">
        <v>0</v>
      </c>
      <c r="I218" t="n">
        <v>0</v>
      </c>
      <c r="J218" t="n">
        <v>0</v>
      </c>
      <c r="K218" t="n">
        <v>0</v>
      </c>
      <c r="L218" t="n">
        <v>0</v>
      </c>
      <c r="M218" t="n">
        <v>0</v>
      </c>
      <c r="N218" t="n">
        <v>0</v>
      </c>
      <c r="O218" t="n">
        <v>0</v>
      </c>
      <c r="P218" t="n">
        <v>0</v>
      </c>
      <c r="Q218" t="n">
        <v>0</v>
      </c>
      <c r="R218" s="2" t="inlineStr"/>
    </row>
    <row r="219" ht="15" customHeight="1">
      <c r="A219" t="inlineStr">
        <is>
          <t>A 7485-2024</t>
        </is>
      </c>
      <c r="B219" s="1" t="n">
        <v>45346.67184027778</v>
      </c>
      <c r="C219" s="1" t="n">
        <v>46038</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46038</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13015-2023</t>
        </is>
      </c>
      <c r="B221" s="1" t="n">
        <v>45002</v>
      </c>
      <c r="C221" s="1" t="n">
        <v>46038</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35710-2023</t>
        </is>
      </c>
      <c r="B222" s="1" t="n">
        <v>45147.67096064815</v>
      </c>
      <c r="C222" s="1" t="n">
        <v>46038</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31382-2023</t>
        </is>
      </c>
      <c r="B223" s="1" t="n">
        <v>45114.55136574074</v>
      </c>
      <c r="C223" s="1" t="n">
        <v>46038</v>
      </c>
      <c r="D223" t="inlineStr">
        <is>
          <t>KALMAR LÄN</t>
        </is>
      </c>
      <c r="E223" t="inlineStr">
        <is>
          <t>VIMMERBY</t>
        </is>
      </c>
      <c r="G223" t="n">
        <v>3.7</v>
      </c>
      <c r="H223" t="n">
        <v>0</v>
      </c>
      <c r="I223" t="n">
        <v>0</v>
      </c>
      <c r="J223" t="n">
        <v>0</v>
      </c>
      <c r="K223" t="n">
        <v>0</v>
      </c>
      <c r="L223" t="n">
        <v>0</v>
      </c>
      <c r="M223" t="n">
        <v>0</v>
      </c>
      <c r="N223" t="n">
        <v>0</v>
      </c>
      <c r="O223" t="n">
        <v>0</v>
      </c>
      <c r="P223" t="n">
        <v>0</v>
      </c>
      <c r="Q223" t="n">
        <v>0</v>
      </c>
      <c r="R223" s="2" t="inlineStr"/>
    </row>
    <row r="224" ht="15" customHeight="1">
      <c r="A224" t="inlineStr">
        <is>
          <t>A 52823-2024</t>
        </is>
      </c>
      <c r="B224" s="1" t="n">
        <v>45610.59094907407</v>
      </c>
      <c r="C224" s="1" t="n">
        <v>46038</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56213-2024</t>
        </is>
      </c>
      <c r="B225" s="1" t="n">
        <v>45624.60141203704</v>
      </c>
      <c r="C225" s="1" t="n">
        <v>46038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54409-2024</t>
        </is>
      </c>
      <c r="B226" s="1" t="n">
        <v>45617.47570601852</v>
      </c>
      <c r="C226" s="1" t="n">
        <v>46038</v>
      </c>
      <c r="D226" t="inlineStr">
        <is>
          <t>KALMAR LÄN</t>
        </is>
      </c>
      <c r="E226" t="inlineStr">
        <is>
          <t>VIMMERBY</t>
        </is>
      </c>
      <c r="G226" t="n">
        <v>4.3</v>
      </c>
      <c r="H226" t="n">
        <v>0</v>
      </c>
      <c r="I226" t="n">
        <v>0</v>
      </c>
      <c r="J226" t="n">
        <v>0</v>
      </c>
      <c r="K226" t="n">
        <v>0</v>
      </c>
      <c r="L226" t="n">
        <v>0</v>
      </c>
      <c r="M226" t="n">
        <v>0</v>
      </c>
      <c r="N226" t="n">
        <v>0</v>
      </c>
      <c r="O226" t="n">
        <v>0</v>
      </c>
      <c r="P226" t="n">
        <v>0</v>
      </c>
      <c r="Q226" t="n">
        <v>0</v>
      </c>
      <c r="R226" s="2" t="inlineStr"/>
    </row>
    <row r="227" ht="15" customHeight="1">
      <c r="A227" t="inlineStr">
        <is>
          <t>A 16825-2024</t>
        </is>
      </c>
      <c r="B227" s="1" t="n">
        <v>45411.47335648148</v>
      </c>
      <c r="C227" s="1" t="n">
        <v>46038</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11147-2023</t>
        </is>
      </c>
      <c r="B228" s="1" t="n">
        <v>44992</v>
      </c>
      <c r="C228" s="1" t="n">
        <v>46038</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29186-2024</t>
        </is>
      </c>
      <c r="B229" s="1" t="n">
        <v>45482.54844907407</v>
      </c>
      <c r="C229" s="1" t="n">
        <v>46038</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19833-2023</t>
        </is>
      </c>
      <c r="B230" s="1" t="n">
        <v>45052</v>
      </c>
      <c r="C230" s="1" t="n">
        <v>46038</v>
      </c>
      <c r="D230" t="inlineStr">
        <is>
          <t>KALMAR LÄN</t>
        </is>
      </c>
      <c r="E230" t="inlineStr">
        <is>
          <t>VIMMERBY</t>
        </is>
      </c>
      <c r="G230" t="n">
        <v>6.7</v>
      </c>
      <c r="H230" t="n">
        <v>0</v>
      </c>
      <c r="I230" t="n">
        <v>0</v>
      </c>
      <c r="J230" t="n">
        <v>0</v>
      </c>
      <c r="K230" t="n">
        <v>0</v>
      </c>
      <c r="L230" t="n">
        <v>0</v>
      </c>
      <c r="M230" t="n">
        <v>0</v>
      </c>
      <c r="N230" t="n">
        <v>0</v>
      </c>
      <c r="O230" t="n">
        <v>0</v>
      </c>
      <c r="P230" t="n">
        <v>0</v>
      </c>
      <c r="Q230" t="n">
        <v>0</v>
      </c>
      <c r="R230" s="2" t="inlineStr"/>
    </row>
    <row r="231" ht="15" customHeight="1">
      <c r="A231" t="inlineStr">
        <is>
          <t>A 7643-2022</t>
        </is>
      </c>
      <c r="B231" s="1" t="n">
        <v>44607</v>
      </c>
      <c r="C231" s="1" t="n">
        <v>46038</v>
      </c>
      <c r="D231" t="inlineStr">
        <is>
          <t>KALMAR LÄN</t>
        </is>
      </c>
      <c r="E231" t="inlineStr">
        <is>
          <t>VIMMERBY</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50993-2022</t>
        </is>
      </c>
      <c r="B232" s="1" t="n">
        <v>44867</v>
      </c>
      <c r="C232" s="1" t="n">
        <v>46038</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11027-2023</t>
        </is>
      </c>
      <c r="B233" s="1" t="n">
        <v>44991.89657407408</v>
      </c>
      <c r="C233" s="1" t="n">
        <v>46038</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14548-2024</t>
        </is>
      </c>
      <c r="B234" s="1" t="n">
        <v>45394.66887731481</v>
      </c>
      <c r="C234" s="1" t="n">
        <v>46038</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585-2024</t>
        </is>
      </c>
      <c r="B235" s="1" t="n">
        <v>45299.62576388889</v>
      </c>
      <c r="C235" s="1" t="n">
        <v>46038</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53483-2022</t>
        </is>
      </c>
      <c r="B236" s="1" t="n">
        <v>44879.55940972222</v>
      </c>
      <c r="C236" s="1" t="n">
        <v>46038</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18899-2025</t>
        </is>
      </c>
      <c r="B237" s="1" t="n">
        <v>45764.44931712963</v>
      </c>
      <c r="C237" s="1" t="n">
        <v>46038</v>
      </c>
      <c r="D237" t="inlineStr">
        <is>
          <t>KALMAR LÄN</t>
        </is>
      </c>
      <c r="E237" t="inlineStr">
        <is>
          <t>VIMMERBY</t>
        </is>
      </c>
      <c r="F237" t="inlineStr">
        <is>
          <t>Kommuner</t>
        </is>
      </c>
      <c r="G237" t="n">
        <v>4</v>
      </c>
      <c r="H237" t="n">
        <v>0</v>
      </c>
      <c r="I237" t="n">
        <v>0</v>
      </c>
      <c r="J237" t="n">
        <v>0</v>
      </c>
      <c r="K237" t="n">
        <v>0</v>
      </c>
      <c r="L237" t="n">
        <v>0</v>
      </c>
      <c r="M237" t="n">
        <v>0</v>
      </c>
      <c r="N237" t="n">
        <v>0</v>
      </c>
      <c r="O237" t="n">
        <v>0</v>
      </c>
      <c r="P237" t="n">
        <v>0</v>
      </c>
      <c r="Q237" t="n">
        <v>0</v>
      </c>
      <c r="R237" s="2" t="inlineStr"/>
    </row>
    <row r="238" ht="15" customHeight="1">
      <c r="A238" t="inlineStr">
        <is>
          <t>A 20054-2023</t>
        </is>
      </c>
      <c r="B238" s="1" t="n">
        <v>45054.6750462963</v>
      </c>
      <c r="C238" s="1" t="n">
        <v>46038</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54787-2023</t>
        </is>
      </c>
      <c r="B239" s="1" t="n">
        <v>45236</v>
      </c>
      <c r="C239" s="1" t="n">
        <v>46038</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20126-2024</t>
        </is>
      </c>
      <c r="B240" s="1" t="n">
        <v>45434.55471064815</v>
      </c>
      <c r="C240" s="1" t="n">
        <v>46038</v>
      </c>
      <c r="D240" t="inlineStr">
        <is>
          <t>KALMAR LÄN</t>
        </is>
      </c>
      <c r="E240" t="inlineStr">
        <is>
          <t>VIMMERBY</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20136-2024</t>
        </is>
      </c>
      <c r="B241" s="1" t="n">
        <v>45434.56291666667</v>
      </c>
      <c r="C241" s="1" t="n">
        <v>46038</v>
      </c>
      <c r="D241" t="inlineStr">
        <is>
          <t>KALMAR LÄN</t>
        </is>
      </c>
      <c r="E241" t="inlineStr">
        <is>
          <t>VIMMERBY</t>
        </is>
      </c>
      <c r="F241" t="inlineStr">
        <is>
          <t>Sveaskog</t>
        </is>
      </c>
      <c r="G241" t="n">
        <v>8.4</v>
      </c>
      <c r="H241" t="n">
        <v>0</v>
      </c>
      <c r="I241" t="n">
        <v>0</v>
      </c>
      <c r="J241" t="n">
        <v>0</v>
      </c>
      <c r="K241" t="n">
        <v>0</v>
      </c>
      <c r="L241" t="n">
        <v>0</v>
      </c>
      <c r="M241" t="n">
        <v>0</v>
      </c>
      <c r="N241" t="n">
        <v>0</v>
      </c>
      <c r="O241" t="n">
        <v>0</v>
      </c>
      <c r="P241" t="n">
        <v>0</v>
      </c>
      <c r="Q241" t="n">
        <v>0</v>
      </c>
      <c r="R241" s="2" t="inlineStr"/>
    </row>
    <row r="242" ht="15" customHeight="1">
      <c r="A242" t="inlineStr">
        <is>
          <t>A 56020-2024</t>
        </is>
      </c>
      <c r="B242" s="1" t="n">
        <v>45623.9525462963</v>
      </c>
      <c r="C242" s="1" t="n">
        <v>46038</v>
      </c>
      <c r="D242" t="inlineStr">
        <is>
          <t>KALMAR LÄN</t>
        </is>
      </c>
      <c r="E242" t="inlineStr">
        <is>
          <t>VIMMERBY</t>
        </is>
      </c>
      <c r="G242" t="n">
        <v>1</v>
      </c>
      <c r="H242" t="n">
        <v>0</v>
      </c>
      <c r="I242" t="n">
        <v>0</v>
      </c>
      <c r="J242" t="n">
        <v>0</v>
      </c>
      <c r="K242" t="n">
        <v>0</v>
      </c>
      <c r="L242" t="n">
        <v>0</v>
      </c>
      <c r="M242" t="n">
        <v>0</v>
      </c>
      <c r="N242" t="n">
        <v>0</v>
      </c>
      <c r="O242" t="n">
        <v>0</v>
      </c>
      <c r="P242" t="n">
        <v>0</v>
      </c>
      <c r="Q242" t="n">
        <v>0</v>
      </c>
      <c r="R242" s="2" t="inlineStr"/>
    </row>
    <row r="243" ht="15" customHeight="1">
      <c r="A243" t="inlineStr">
        <is>
          <t>A 32614-2023</t>
        </is>
      </c>
      <c r="B243" s="1" t="n">
        <v>45121</v>
      </c>
      <c r="C243" s="1" t="n">
        <v>46038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46921-2023</t>
        </is>
      </c>
      <c r="B244" s="1" t="n">
        <v>45201.39996527778</v>
      </c>
      <c r="C244" s="1" t="n">
        <v>46038</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23252-2024</t>
        </is>
      </c>
      <c r="B245" s="1" t="n">
        <v>45453.36067129629</v>
      </c>
      <c r="C245" s="1" t="n">
        <v>46038</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6850-2023</t>
        </is>
      </c>
      <c r="B246" s="1" t="n">
        <v>44967.44255787037</v>
      </c>
      <c r="C246" s="1" t="n">
        <v>46038</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58750-2022</t>
        </is>
      </c>
      <c r="B247" s="1" t="n">
        <v>44903.33363425926</v>
      </c>
      <c r="C247" s="1" t="n">
        <v>46038</v>
      </c>
      <c r="D247" t="inlineStr">
        <is>
          <t>KALMAR LÄN</t>
        </is>
      </c>
      <c r="E247" t="inlineStr">
        <is>
          <t>VIMMERBY</t>
        </is>
      </c>
      <c r="G247" t="n">
        <v>3.3</v>
      </c>
      <c r="H247" t="n">
        <v>0</v>
      </c>
      <c r="I247" t="n">
        <v>0</v>
      </c>
      <c r="J247" t="n">
        <v>0</v>
      </c>
      <c r="K247" t="n">
        <v>0</v>
      </c>
      <c r="L247" t="n">
        <v>0</v>
      </c>
      <c r="M247" t="n">
        <v>0</v>
      </c>
      <c r="N247" t="n">
        <v>0</v>
      </c>
      <c r="O247" t="n">
        <v>0</v>
      </c>
      <c r="P247" t="n">
        <v>0</v>
      </c>
      <c r="Q247" t="n">
        <v>0</v>
      </c>
      <c r="R247" s="2" t="inlineStr"/>
    </row>
    <row r="248" ht="15" customHeight="1">
      <c r="A248" t="inlineStr">
        <is>
          <t>A 15550-2023</t>
        </is>
      </c>
      <c r="B248" s="1" t="n">
        <v>45020</v>
      </c>
      <c r="C248" s="1" t="n">
        <v>46038</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25236-2023</t>
        </is>
      </c>
      <c r="B249" s="1" t="n">
        <v>45086.63334490741</v>
      </c>
      <c r="C249" s="1" t="n">
        <v>46038</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41158-2023</t>
        </is>
      </c>
      <c r="B250" s="1" t="n">
        <v>45174.31395833333</v>
      </c>
      <c r="C250" s="1" t="n">
        <v>46038</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2510-2023</t>
        </is>
      </c>
      <c r="B251" s="1" t="n">
        <v>44943.57309027778</v>
      </c>
      <c r="C251" s="1" t="n">
        <v>46038</v>
      </c>
      <c r="D251" t="inlineStr">
        <is>
          <t>KALMAR LÄN</t>
        </is>
      </c>
      <c r="E251" t="inlineStr">
        <is>
          <t>VIMMERBY</t>
        </is>
      </c>
      <c r="G251" t="n">
        <v>8.6</v>
      </c>
      <c r="H251" t="n">
        <v>0</v>
      </c>
      <c r="I251" t="n">
        <v>0</v>
      </c>
      <c r="J251" t="n">
        <v>0</v>
      </c>
      <c r="K251" t="n">
        <v>0</v>
      </c>
      <c r="L251" t="n">
        <v>0</v>
      </c>
      <c r="M251" t="n">
        <v>0</v>
      </c>
      <c r="N251" t="n">
        <v>0</v>
      </c>
      <c r="O251" t="n">
        <v>0</v>
      </c>
      <c r="P251" t="n">
        <v>0</v>
      </c>
      <c r="Q251" t="n">
        <v>0</v>
      </c>
      <c r="R251" s="2" t="inlineStr"/>
    </row>
    <row r="252" ht="15" customHeight="1">
      <c r="A252" t="inlineStr">
        <is>
          <t>A 11219-2023</t>
        </is>
      </c>
      <c r="B252" s="1" t="n">
        <v>44992.62498842592</v>
      </c>
      <c r="C252" s="1" t="n">
        <v>46038</v>
      </c>
      <c r="D252" t="inlineStr">
        <is>
          <t>KALMAR LÄN</t>
        </is>
      </c>
      <c r="E252" t="inlineStr">
        <is>
          <t>VIMMERBY</t>
        </is>
      </c>
      <c r="G252" t="n">
        <v>2.5</v>
      </c>
      <c r="H252" t="n">
        <v>0</v>
      </c>
      <c r="I252" t="n">
        <v>0</v>
      </c>
      <c r="J252" t="n">
        <v>0</v>
      </c>
      <c r="K252" t="n">
        <v>0</v>
      </c>
      <c r="L252" t="n">
        <v>0</v>
      </c>
      <c r="M252" t="n">
        <v>0</v>
      </c>
      <c r="N252" t="n">
        <v>0</v>
      </c>
      <c r="O252" t="n">
        <v>0</v>
      </c>
      <c r="P252" t="n">
        <v>0</v>
      </c>
      <c r="Q252" t="n">
        <v>0</v>
      </c>
      <c r="R252" s="2" t="inlineStr"/>
    </row>
    <row r="253" ht="15" customHeight="1">
      <c r="A253" t="inlineStr">
        <is>
          <t>A 18411-2021</t>
        </is>
      </c>
      <c r="B253" s="1" t="n">
        <v>44302</v>
      </c>
      <c r="C253" s="1" t="n">
        <v>46038</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47855-2024</t>
        </is>
      </c>
      <c r="B254" s="1" t="n">
        <v>45588.66457175926</v>
      </c>
      <c r="C254" s="1" t="n">
        <v>46038</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172-2022</t>
        </is>
      </c>
      <c r="B255" s="1" t="n">
        <v>44564.62598379629</v>
      </c>
      <c r="C255" s="1" t="n">
        <v>46038</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6082-2022</t>
        </is>
      </c>
      <c r="B256" s="1" t="n">
        <v>44599</v>
      </c>
      <c r="C256" s="1" t="n">
        <v>46038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39584-2024</t>
        </is>
      </c>
      <c r="B257" s="1" t="n">
        <v>45552.36759259259</v>
      </c>
      <c r="C257" s="1" t="n">
        <v>46038</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3269-2024</t>
        </is>
      </c>
      <c r="B258" s="1" t="n">
        <v>45317.40372685185</v>
      </c>
      <c r="C258" s="1" t="n">
        <v>46038</v>
      </c>
      <c r="D258" t="inlineStr">
        <is>
          <t>KALMAR LÄN</t>
        </is>
      </c>
      <c r="E258" t="inlineStr">
        <is>
          <t>VIMMERBY</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48120-2022</t>
        </is>
      </c>
      <c r="B259" s="1" t="n">
        <v>44857.65989583333</v>
      </c>
      <c r="C259" s="1" t="n">
        <v>46038</v>
      </c>
      <c r="D259" t="inlineStr">
        <is>
          <t>KALMAR LÄN</t>
        </is>
      </c>
      <c r="E259" t="inlineStr">
        <is>
          <t>VIMMERBY</t>
        </is>
      </c>
      <c r="G259" t="n">
        <v>1.7</v>
      </c>
      <c r="H259" t="n">
        <v>0</v>
      </c>
      <c r="I259" t="n">
        <v>0</v>
      </c>
      <c r="J259" t="n">
        <v>0</v>
      </c>
      <c r="K259" t="n">
        <v>0</v>
      </c>
      <c r="L259" t="n">
        <v>0</v>
      </c>
      <c r="M259" t="n">
        <v>0</v>
      </c>
      <c r="N259" t="n">
        <v>0</v>
      </c>
      <c r="O259" t="n">
        <v>0</v>
      </c>
      <c r="P259" t="n">
        <v>0</v>
      </c>
      <c r="Q259" t="n">
        <v>0</v>
      </c>
      <c r="R259" s="2" t="inlineStr"/>
    </row>
    <row r="260" ht="15" customHeight="1">
      <c r="A260" t="inlineStr">
        <is>
          <t>A 2801-2023</t>
        </is>
      </c>
      <c r="B260" s="1" t="n">
        <v>44944.73487268519</v>
      </c>
      <c r="C260" s="1" t="n">
        <v>46038</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6368-2023</t>
        </is>
      </c>
      <c r="B261" s="1" t="n">
        <v>44965</v>
      </c>
      <c r="C261" s="1" t="n">
        <v>46038</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51881-2024</t>
        </is>
      </c>
      <c r="B262" s="1" t="n">
        <v>45607.56773148148</v>
      </c>
      <c r="C262" s="1" t="n">
        <v>46038</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9416-2024</t>
        </is>
      </c>
      <c r="B263" s="1" t="n">
        <v>45359.44837962963</v>
      </c>
      <c r="C263" s="1" t="n">
        <v>46038</v>
      </c>
      <c r="D263" t="inlineStr">
        <is>
          <t>KALMAR LÄN</t>
        </is>
      </c>
      <c r="E263" t="inlineStr">
        <is>
          <t>VIMMERBY</t>
        </is>
      </c>
      <c r="G263" t="n">
        <v>3.2</v>
      </c>
      <c r="H263" t="n">
        <v>0</v>
      </c>
      <c r="I263" t="n">
        <v>0</v>
      </c>
      <c r="J263" t="n">
        <v>0</v>
      </c>
      <c r="K263" t="n">
        <v>0</v>
      </c>
      <c r="L263" t="n">
        <v>0</v>
      </c>
      <c r="M263" t="n">
        <v>0</v>
      </c>
      <c r="N263" t="n">
        <v>0</v>
      </c>
      <c r="O263" t="n">
        <v>0</v>
      </c>
      <c r="P263" t="n">
        <v>0</v>
      </c>
      <c r="Q263" t="n">
        <v>0</v>
      </c>
      <c r="R263" s="2" t="inlineStr"/>
    </row>
    <row r="264" ht="15" customHeight="1">
      <c r="A264" t="inlineStr">
        <is>
          <t>A 2596-2025</t>
        </is>
      </c>
      <c r="B264" s="1" t="n">
        <v>45674.71810185185</v>
      </c>
      <c r="C264" s="1" t="n">
        <v>46038</v>
      </c>
      <c r="D264" t="inlineStr">
        <is>
          <t>KALMAR LÄN</t>
        </is>
      </c>
      <c r="E264" t="inlineStr">
        <is>
          <t>VIMMERBY</t>
        </is>
      </c>
      <c r="G264" t="n">
        <v>9</v>
      </c>
      <c r="H264" t="n">
        <v>0</v>
      </c>
      <c r="I264" t="n">
        <v>0</v>
      </c>
      <c r="J264" t="n">
        <v>0</v>
      </c>
      <c r="K264" t="n">
        <v>0</v>
      </c>
      <c r="L264" t="n">
        <v>0</v>
      </c>
      <c r="M264" t="n">
        <v>0</v>
      </c>
      <c r="N264" t="n">
        <v>0</v>
      </c>
      <c r="O264" t="n">
        <v>0</v>
      </c>
      <c r="P264" t="n">
        <v>0</v>
      </c>
      <c r="Q264" t="n">
        <v>0</v>
      </c>
      <c r="R264" s="2" t="inlineStr"/>
    </row>
    <row r="265" ht="15" customHeight="1">
      <c r="A265" t="inlineStr">
        <is>
          <t>A 40730-2024</t>
        </is>
      </c>
      <c r="B265" s="1" t="n">
        <v>45558.44914351852</v>
      </c>
      <c r="C265" s="1" t="n">
        <v>46038</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5146-2024</t>
        </is>
      </c>
      <c r="B266" s="1" t="n">
        <v>45330</v>
      </c>
      <c r="C266" s="1" t="n">
        <v>46038</v>
      </c>
      <c r="D266" t="inlineStr">
        <is>
          <t>KALMAR LÄN</t>
        </is>
      </c>
      <c r="E266" t="inlineStr">
        <is>
          <t>VIMMERBY</t>
        </is>
      </c>
      <c r="G266" t="n">
        <v>5.3</v>
      </c>
      <c r="H266" t="n">
        <v>0</v>
      </c>
      <c r="I266" t="n">
        <v>0</v>
      </c>
      <c r="J266" t="n">
        <v>0</v>
      </c>
      <c r="K266" t="n">
        <v>0</v>
      </c>
      <c r="L266" t="n">
        <v>0</v>
      </c>
      <c r="M266" t="n">
        <v>0</v>
      </c>
      <c r="N266" t="n">
        <v>0</v>
      </c>
      <c r="O266" t="n">
        <v>0</v>
      </c>
      <c r="P266" t="n">
        <v>0</v>
      </c>
      <c r="Q266" t="n">
        <v>0</v>
      </c>
      <c r="R266" s="2" t="inlineStr"/>
    </row>
    <row r="267" ht="15" customHeight="1">
      <c r="A267" t="inlineStr">
        <is>
          <t>A 5148-2024</t>
        </is>
      </c>
      <c r="B267" s="1" t="n">
        <v>45330</v>
      </c>
      <c r="C267" s="1" t="n">
        <v>46038</v>
      </c>
      <c r="D267" t="inlineStr">
        <is>
          <t>KALMAR LÄN</t>
        </is>
      </c>
      <c r="E267" t="inlineStr">
        <is>
          <t>VIMMERBY</t>
        </is>
      </c>
      <c r="G267" t="n">
        <v>5.6</v>
      </c>
      <c r="H267" t="n">
        <v>0</v>
      </c>
      <c r="I267" t="n">
        <v>0</v>
      </c>
      <c r="J267" t="n">
        <v>0</v>
      </c>
      <c r="K267" t="n">
        <v>0</v>
      </c>
      <c r="L267" t="n">
        <v>0</v>
      </c>
      <c r="M267" t="n">
        <v>0</v>
      </c>
      <c r="N267" t="n">
        <v>0</v>
      </c>
      <c r="O267" t="n">
        <v>0</v>
      </c>
      <c r="P267" t="n">
        <v>0</v>
      </c>
      <c r="Q267" t="n">
        <v>0</v>
      </c>
      <c r="R267" s="2" t="inlineStr"/>
    </row>
    <row r="268" ht="15" customHeight="1">
      <c r="A268" t="inlineStr">
        <is>
          <t>A 16734-2023</t>
        </is>
      </c>
      <c r="B268" s="1" t="n">
        <v>45030.71012731481</v>
      </c>
      <c r="C268" s="1" t="n">
        <v>46038</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2797-2023</t>
        </is>
      </c>
      <c r="B269" s="1" t="n">
        <v>44944.71386574074</v>
      </c>
      <c r="C269" s="1" t="n">
        <v>46038</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2799-2023</t>
        </is>
      </c>
      <c r="B270" s="1" t="n">
        <v>44944.72100694444</v>
      </c>
      <c r="C270" s="1" t="n">
        <v>46038</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58278-2023</t>
        </is>
      </c>
      <c r="B271" s="1" t="n">
        <v>45250.5278587963</v>
      </c>
      <c r="C271" s="1" t="n">
        <v>46038</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25987-2024</t>
        </is>
      </c>
      <c r="B272" s="1" t="n">
        <v>45467.74417824074</v>
      </c>
      <c r="C272" s="1" t="n">
        <v>46038</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22266-2023</t>
        </is>
      </c>
      <c r="B273" s="1" t="n">
        <v>45070</v>
      </c>
      <c r="C273" s="1" t="n">
        <v>46038</v>
      </c>
      <c r="D273" t="inlineStr">
        <is>
          <t>KALMAR LÄN</t>
        </is>
      </c>
      <c r="E273" t="inlineStr">
        <is>
          <t>VIMMERBY</t>
        </is>
      </c>
      <c r="G273" t="n">
        <v>0.5</v>
      </c>
      <c r="H273" t="n">
        <v>0</v>
      </c>
      <c r="I273" t="n">
        <v>0</v>
      </c>
      <c r="J273" t="n">
        <v>0</v>
      </c>
      <c r="K273" t="n">
        <v>0</v>
      </c>
      <c r="L273" t="n">
        <v>0</v>
      </c>
      <c r="M273" t="n">
        <v>0</v>
      </c>
      <c r="N273" t="n">
        <v>0</v>
      </c>
      <c r="O273" t="n">
        <v>0</v>
      </c>
      <c r="P273" t="n">
        <v>0</v>
      </c>
      <c r="Q273" t="n">
        <v>0</v>
      </c>
      <c r="R273" s="2" t="inlineStr"/>
    </row>
    <row r="274" ht="15" customHeight="1">
      <c r="A274" t="inlineStr">
        <is>
          <t>A 52588-2023</t>
        </is>
      </c>
      <c r="B274" s="1" t="n">
        <v>45225.60192129629</v>
      </c>
      <c r="C274" s="1" t="n">
        <v>46038</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22194-2024</t>
        </is>
      </c>
      <c r="B275" s="1" t="n">
        <v>45446.36482638889</v>
      </c>
      <c r="C275" s="1" t="n">
        <v>46038</v>
      </c>
      <c r="D275" t="inlineStr">
        <is>
          <t>KALMAR LÄN</t>
        </is>
      </c>
      <c r="E275" t="inlineStr">
        <is>
          <t>VIMMERBY</t>
        </is>
      </c>
      <c r="F275" t="inlineStr">
        <is>
          <t>Sveaskog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20129-2024</t>
        </is>
      </c>
      <c r="B276" s="1" t="n">
        <v>45434.55831018519</v>
      </c>
      <c r="C276" s="1" t="n">
        <v>46038</v>
      </c>
      <c r="D276" t="inlineStr">
        <is>
          <t>KALMAR LÄN</t>
        </is>
      </c>
      <c r="E276" t="inlineStr">
        <is>
          <t>VIMMERBY</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20137-2024</t>
        </is>
      </c>
      <c r="B277" s="1" t="n">
        <v>45434.56398148148</v>
      </c>
      <c r="C277" s="1" t="n">
        <v>46038</v>
      </c>
      <c r="D277" t="inlineStr">
        <is>
          <t>KALMAR LÄN</t>
        </is>
      </c>
      <c r="E277" t="inlineStr">
        <is>
          <t>VIMMERBY</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7456-2024</t>
        </is>
      </c>
      <c r="B278" s="1" t="n">
        <v>45345.83557870371</v>
      </c>
      <c r="C278" s="1" t="n">
        <v>46038</v>
      </c>
      <c r="D278" t="inlineStr">
        <is>
          <t>KALMAR LÄN</t>
        </is>
      </c>
      <c r="E278" t="inlineStr">
        <is>
          <t>VIMMERBY</t>
        </is>
      </c>
      <c r="G278" t="n">
        <v>4.1</v>
      </c>
      <c r="H278" t="n">
        <v>0</v>
      </c>
      <c r="I278" t="n">
        <v>0</v>
      </c>
      <c r="J278" t="n">
        <v>0</v>
      </c>
      <c r="K278" t="n">
        <v>0</v>
      </c>
      <c r="L278" t="n">
        <v>0</v>
      </c>
      <c r="M278" t="n">
        <v>0</v>
      </c>
      <c r="N278" t="n">
        <v>0</v>
      </c>
      <c r="O278" t="n">
        <v>0</v>
      </c>
      <c r="P278" t="n">
        <v>0</v>
      </c>
      <c r="Q278" t="n">
        <v>0</v>
      </c>
      <c r="R278" s="2" t="inlineStr"/>
    </row>
    <row r="279" ht="15" customHeight="1">
      <c r="A279" t="inlineStr">
        <is>
          <t>A 19865-2021</t>
        </is>
      </c>
      <c r="B279" s="1" t="n">
        <v>44312</v>
      </c>
      <c r="C279" s="1" t="n">
        <v>46038</v>
      </c>
      <c r="D279" t="inlineStr">
        <is>
          <t>KALMAR LÄN</t>
        </is>
      </c>
      <c r="E279" t="inlineStr">
        <is>
          <t>VIMMERBY</t>
        </is>
      </c>
      <c r="G279" t="n">
        <v>8.6</v>
      </c>
      <c r="H279" t="n">
        <v>0</v>
      </c>
      <c r="I279" t="n">
        <v>0</v>
      </c>
      <c r="J279" t="n">
        <v>0</v>
      </c>
      <c r="K279" t="n">
        <v>0</v>
      </c>
      <c r="L279" t="n">
        <v>0</v>
      </c>
      <c r="M279" t="n">
        <v>0</v>
      </c>
      <c r="N279" t="n">
        <v>0</v>
      </c>
      <c r="O279" t="n">
        <v>0</v>
      </c>
      <c r="P279" t="n">
        <v>0</v>
      </c>
      <c r="Q279" t="n">
        <v>0</v>
      </c>
      <c r="R279" s="2" t="inlineStr"/>
    </row>
    <row r="280" ht="15" customHeight="1">
      <c r="A280" t="inlineStr">
        <is>
          <t>A 6802-2025</t>
        </is>
      </c>
      <c r="B280" s="1" t="n">
        <v>45700.68289351852</v>
      </c>
      <c r="C280" s="1" t="n">
        <v>46038</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71793-2021</t>
        </is>
      </c>
      <c r="B281" s="1" t="n">
        <v>44539</v>
      </c>
      <c r="C281" s="1" t="n">
        <v>46038</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12630-2023</t>
        </is>
      </c>
      <c r="B282" s="1" t="n">
        <v>45000.47998842593</v>
      </c>
      <c r="C282" s="1" t="n">
        <v>46038</v>
      </c>
      <c r="D282" t="inlineStr">
        <is>
          <t>KALMAR LÄN</t>
        </is>
      </c>
      <c r="E282" t="inlineStr">
        <is>
          <t>VIMMERBY</t>
        </is>
      </c>
      <c r="G282" t="n">
        <v>2.1</v>
      </c>
      <c r="H282" t="n">
        <v>0</v>
      </c>
      <c r="I282" t="n">
        <v>0</v>
      </c>
      <c r="J282" t="n">
        <v>0</v>
      </c>
      <c r="K282" t="n">
        <v>0</v>
      </c>
      <c r="L282" t="n">
        <v>0</v>
      </c>
      <c r="M282" t="n">
        <v>0</v>
      </c>
      <c r="N282" t="n">
        <v>0</v>
      </c>
      <c r="O282" t="n">
        <v>0</v>
      </c>
      <c r="P282" t="n">
        <v>0</v>
      </c>
      <c r="Q282" t="n">
        <v>0</v>
      </c>
      <c r="R282" s="2" t="inlineStr"/>
    </row>
    <row r="283" ht="15" customHeight="1">
      <c r="A283" t="inlineStr">
        <is>
          <t>A 2157-2024</t>
        </is>
      </c>
      <c r="B283" s="1" t="n">
        <v>45309.59487268519</v>
      </c>
      <c r="C283" s="1" t="n">
        <v>46038</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52324-2023</t>
        </is>
      </c>
      <c r="B284" s="1" t="n">
        <v>45224.64659722222</v>
      </c>
      <c r="C284" s="1" t="n">
        <v>46038</v>
      </c>
      <c r="D284" t="inlineStr">
        <is>
          <t>KALMAR LÄN</t>
        </is>
      </c>
      <c r="E284" t="inlineStr">
        <is>
          <t>VIMMERBY</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527-2024</t>
        </is>
      </c>
      <c r="B285" s="1" t="n">
        <v>45299.47513888889</v>
      </c>
      <c r="C285" s="1" t="n">
        <v>46038</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21109-2024</t>
        </is>
      </c>
      <c r="B286" s="1" t="n">
        <v>45440.28329861111</v>
      </c>
      <c r="C286" s="1" t="n">
        <v>46038</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17988-2025</t>
        </is>
      </c>
      <c r="B287" s="1" t="n">
        <v>45761.39600694444</v>
      </c>
      <c r="C287" s="1" t="n">
        <v>46038</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60230-2022</t>
        </is>
      </c>
      <c r="B288" s="1" t="n">
        <v>44910</v>
      </c>
      <c r="C288" s="1" t="n">
        <v>46038</v>
      </c>
      <c r="D288" t="inlineStr">
        <is>
          <t>KALMAR LÄN</t>
        </is>
      </c>
      <c r="E288" t="inlineStr">
        <is>
          <t>VIMMERBY</t>
        </is>
      </c>
      <c r="G288" t="n">
        <v>11.3</v>
      </c>
      <c r="H288" t="n">
        <v>0</v>
      </c>
      <c r="I288" t="n">
        <v>0</v>
      </c>
      <c r="J288" t="n">
        <v>0</v>
      </c>
      <c r="K288" t="n">
        <v>0</v>
      </c>
      <c r="L288" t="n">
        <v>0</v>
      </c>
      <c r="M288" t="n">
        <v>0</v>
      </c>
      <c r="N288" t="n">
        <v>0</v>
      </c>
      <c r="O288" t="n">
        <v>0</v>
      </c>
      <c r="P288" t="n">
        <v>0</v>
      </c>
      <c r="Q288" t="n">
        <v>0</v>
      </c>
      <c r="R288" s="2" t="inlineStr"/>
    </row>
    <row r="289" ht="15" customHeight="1">
      <c r="A289" t="inlineStr">
        <is>
          <t>A 23341-2022</t>
        </is>
      </c>
      <c r="B289" s="1" t="n">
        <v>44720.53898148148</v>
      </c>
      <c r="C289" s="1" t="n">
        <v>46038</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30634-2024</t>
        </is>
      </c>
      <c r="B290" s="1" t="n">
        <v>45495</v>
      </c>
      <c r="C290" s="1" t="n">
        <v>46038</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40260-2024</t>
        </is>
      </c>
      <c r="B291" s="1" t="n">
        <v>45554.63225694445</v>
      </c>
      <c r="C291" s="1" t="n">
        <v>46038</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37028-2024</t>
        </is>
      </c>
      <c r="B292" s="1" t="n">
        <v>45539.38744212963</v>
      </c>
      <c r="C292" s="1" t="n">
        <v>46038</v>
      </c>
      <c r="D292" t="inlineStr">
        <is>
          <t>KALMAR LÄN</t>
        </is>
      </c>
      <c r="E292" t="inlineStr">
        <is>
          <t>VIMMERBY</t>
        </is>
      </c>
      <c r="G292" t="n">
        <v>5.2</v>
      </c>
      <c r="H292" t="n">
        <v>0</v>
      </c>
      <c r="I292" t="n">
        <v>0</v>
      </c>
      <c r="J292" t="n">
        <v>0</v>
      </c>
      <c r="K292" t="n">
        <v>0</v>
      </c>
      <c r="L292" t="n">
        <v>0</v>
      </c>
      <c r="M292" t="n">
        <v>0</v>
      </c>
      <c r="N292" t="n">
        <v>0</v>
      </c>
      <c r="O292" t="n">
        <v>0</v>
      </c>
      <c r="P292" t="n">
        <v>0</v>
      </c>
      <c r="Q292" t="n">
        <v>0</v>
      </c>
      <c r="R292" s="2" t="inlineStr"/>
    </row>
    <row r="293" ht="15" customHeight="1">
      <c r="A293" t="inlineStr">
        <is>
          <t>A 5925-2022</t>
        </is>
      </c>
      <c r="B293" s="1" t="n">
        <v>44598.7384837963</v>
      </c>
      <c r="C293" s="1" t="n">
        <v>46038</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59943-2023</t>
        </is>
      </c>
      <c r="B294" s="1" t="n">
        <v>45257.67958333333</v>
      </c>
      <c r="C294" s="1" t="n">
        <v>46038</v>
      </c>
      <c r="D294" t="inlineStr">
        <is>
          <t>KALMAR LÄN</t>
        </is>
      </c>
      <c r="E294" t="inlineStr">
        <is>
          <t>VIMMERBY</t>
        </is>
      </c>
      <c r="G294" t="n">
        <v>6.4</v>
      </c>
      <c r="H294" t="n">
        <v>0</v>
      </c>
      <c r="I294" t="n">
        <v>0</v>
      </c>
      <c r="J294" t="n">
        <v>0</v>
      </c>
      <c r="K294" t="n">
        <v>0</v>
      </c>
      <c r="L294" t="n">
        <v>0</v>
      </c>
      <c r="M294" t="n">
        <v>0</v>
      </c>
      <c r="N294" t="n">
        <v>0</v>
      </c>
      <c r="O294" t="n">
        <v>0</v>
      </c>
      <c r="P294" t="n">
        <v>0</v>
      </c>
      <c r="Q294" t="n">
        <v>0</v>
      </c>
      <c r="R294" s="2" t="inlineStr"/>
    </row>
    <row r="295" ht="15" customHeight="1">
      <c r="A295" t="inlineStr">
        <is>
          <t>A 46522-2022</t>
        </is>
      </c>
      <c r="B295" s="1" t="n">
        <v>44848.59133101852</v>
      </c>
      <c r="C295" s="1" t="n">
        <v>46038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6668-2023</t>
        </is>
      </c>
      <c r="B296" s="1" t="n">
        <v>44966</v>
      </c>
      <c r="C296" s="1" t="n">
        <v>46038</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29168-2024</t>
        </is>
      </c>
      <c r="B297" s="1" t="n">
        <v>45482.49870370371</v>
      </c>
      <c r="C297" s="1" t="n">
        <v>46038</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46038</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55236-2023</t>
        </is>
      </c>
      <c r="B299" s="1" t="n">
        <v>45237.63225694445</v>
      </c>
      <c r="C299" s="1" t="n">
        <v>46038</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55245-2023</t>
        </is>
      </c>
      <c r="B300" s="1" t="n">
        <v>45237.64408564815</v>
      </c>
      <c r="C300" s="1" t="n">
        <v>46038</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5527-2022</t>
        </is>
      </c>
      <c r="B301" s="1" t="n">
        <v>44595.583125</v>
      </c>
      <c r="C301" s="1" t="n">
        <v>46038</v>
      </c>
      <c r="D301" t="inlineStr">
        <is>
          <t>KALMAR LÄN</t>
        </is>
      </c>
      <c r="E301" t="inlineStr">
        <is>
          <t>VIMMERBY</t>
        </is>
      </c>
      <c r="G301" t="n">
        <v>3.6</v>
      </c>
      <c r="H301" t="n">
        <v>0</v>
      </c>
      <c r="I301" t="n">
        <v>0</v>
      </c>
      <c r="J301" t="n">
        <v>0</v>
      </c>
      <c r="K301" t="n">
        <v>0</v>
      </c>
      <c r="L301" t="n">
        <v>0</v>
      </c>
      <c r="M301" t="n">
        <v>0</v>
      </c>
      <c r="N301" t="n">
        <v>0</v>
      </c>
      <c r="O301" t="n">
        <v>0</v>
      </c>
      <c r="P301" t="n">
        <v>0</v>
      </c>
      <c r="Q301" t="n">
        <v>0</v>
      </c>
      <c r="R301" s="2" t="inlineStr"/>
    </row>
    <row r="302" ht="15" customHeight="1">
      <c r="A302" t="inlineStr">
        <is>
          <t>A 36055-2024</t>
        </is>
      </c>
      <c r="B302" s="1" t="n">
        <v>45533.63056712963</v>
      </c>
      <c r="C302" s="1" t="n">
        <v>46038</v>
      </c>
      <c r="D302" t="inlineStr">
        <is>
          <t>KALMAR LÄN</t>
        </is>
      </c>
      <c r="E302" t="inlineStr">
        <is>
          <t>VIMMERBY</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41066-2024</t>
        </is>
      </c>
      <c r="B303" s="1" t="n">
        <v>45559.38876157408</v>
      </c>
      <c r="C303" s="1" t="n">
        <v>46038</v>
      </c>
      <c r="D303" t="inlineStr">
        <is>
          <t>KALMAR LÄN</t>
        </is>
      </c>
      <c r="E303" t="inlineStr">
        <is>
          <t>VIMMERBY</t>
        </is>
      </c>
      <c r="G303" t="n">
        <v>2.4</v>
      </c>
      <c r="H303" t="n">
        <v>0</v>
      </c>
      <c r="I303" t="n">
        <v>0</v>
      </c>
      <c r="J303" t="n">
        <v>0</v>
      </c>
      <c r="K303" t="n">
        <v>0</v>
      </c>
      <c r="L303" t="n">
        <v>0</v>
      </c>
      <c r="M303" t="n">
        <v>0</v>
      </c>
      <c r="N303" t="n">
        <v>0</v>
      </c>
      <c r="O303" t="n">
        <v>0</v>
      </c>
      <c r="P303" t="n">
        <v>0</v>
      </c>
      <c r="Q303" t="n">
        <v>0</v>
      </c>
      <c r="R303" s="2" t="inlineStr"/>
    </row>
    <row r="304" ht="15" customHeight="1">
      <c r="A304" t="inlineStr">
        <is>
          <t>A 12325-2023</t>
        </is>
      </c>
      <c r="B304" s="1" t="n">
        <v>44999.35858796296</v>
      </c>
      <c r="C304" s="1" t="n">
        <v>46038</v>
      </c>
      <c r="D304" t="inlineStr">
        <is>
          <t>KALMAR LÄN</t>
        </is>
      </c>
      <c r="E304" t="inlineStr">
        <is>
          <t>VIMMERBY</t>
        </is>
      </c>
      <c r="G304" t="n">
        <v>3.4</v>
      </c>
      <c r="H304" t="n">
        <v>0</v>
      </c>
      <c r="I304" t="n">
        <v>0</v>
      </c>
      <c r="J304" t="n">
        <v>0</v>
      </c>
      <c r="K304" t="n">
        <v>0</v>
      </c>
      <c r="L304" t="n">
        <v>0</v>
      </c>
      <c r="M304" t="n">
        <v>0</v>
      </c>
      <c r="N304" t="n">
        <v>0</v>
      </c>
      <c r="O304" t="n">
        <v>0</v>
      </c>
      <c r="P304" t="n">
        <v>0</v>
      </c>
      <c r="Q304" t="n">
        <v>0</v>
      </c>
      <c r="R304" s="2" t="inlineStr"/>
    </row>
    <row r="305" ht="15" customHeight="1">
      <c r="A305" t="inlineStr">
        <is>
          <t>A 49461-2022</t>
        </is>
      </c>
      <c r="B305" s="1" t="n">
        <v>44861</v>
      </c>
      <c r="C305" s="1" t="n">
        <v>46038</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52279-2023</t>
        </is>
      </c>
      <c r="B306" s="1" t="n">
        <v>45224</v>
      </c>
      <c r="C306" s="1" t="n">
        <v>46038</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1016-2024</t>
        </is>
      </c>
      <c r="B307" s="1" t="n">
        <v>45301</v>
      </c>
      <c r="C307" s="1" t="n">
        <v>46038</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17486-2024</t>
        </is>
      </c>
      <c r="B308" s="1" t="n">
        <v>45415.48979166667</v>
      </c>
      <c r="C308" s="1" t="n">
        <v>46038</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694-2024</t>
        </is>
      </c>
      <c r="B309" s="1" t="n">
        <v>45300.3794212963</v>
      </c>
      <c r="C309" s="1" t="n">
        <v>46038</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71631-2021</t>
        </is>
      </c>
      <c r="B310" s="1" t="n">
        <v>44542.90072916666</v>
      </c>
      <c r="C310" s="1" t="n">
        <v>46038</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27443-2023</t>
        </is>
      </c>
      <c r="B311" s="1" t="n">
        <v>45097.40524305555</v>
      </c>
      <c r="C311" s="1" t="n">
        <v>46038</v>
      </c>
      <c r="D311" t="inlineStr">
        <is>
          <t>KALMAR LÄN</t>
        </is>
      </c>
      <c r="E311" t="inlineStr">
        <is>
          <t>VIMMERBY</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33681-2022</t>
        </is>
      </c>
      <c r="B312" s="1" t="n">
        <v>44789</v>
      </c>
      <c r="C312" s="1" t="n">
        <v>46038</v>
      </c>
      <c r="D312" t="inlineStr">
        <is>
          <t>KALMAR LÄN</t>
        </is>
      </c>
      <c r="E312" t="inlineStr">
        <is>
          <t>VIMMERBY</t>
        </is>
      </c>
      <c r="G312" t="n">
        <v>3.2</v>
      </c>
      <c r="H312" t="n">
        <v>0</v>
      </c>
      <c r="I312" t="n">
        <v>0</v>
      </c>
      <c r="J312" t="n">
        <v>0</v>
      </c>
      <c r="K312" t="n">
        <v>0</v>
      </c>
      <c r="L312" t="n">
        <v>0</v>
      </c>
      <c r="M312" t="n">
        <v>0</v>
      </c>
      <c r="N312" t="n">
        <v>0</v>
      </c>
      <c r="O312" t="n">
        <v>0</v>
      </c>
      <c r="P312" t="n">
        <v>0</v>
      </c>
      <c r="Q312" t="n">
        <v>0</v>
      </c>
      <c r="R312" s="2" t="inlineStr"/>
    </row>
    <row r="313" ht="15" customHeight="1">
      <c r="A313" t="inlineStr">
        <is>
          <t>A 845-2023</t>
        </is>
      </c>
      <c r="B313" s="1" t="n">
        <v>44931</v>
      </c>
      <c r="C313" s="1" t="n">
        <v>46038</v>
      </c>
      <c r="D313" t="inlineStr">
        <is>
          <t>KALMAR LÄN</t>
        </is>
      </c>
      <c r="E313" t="inlineStr">
        <is>
          <t>VIMMERBY</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16015-2025</t>
        </is>
      </c>
      <c r="B314" s="1" t="n">
        <v>45749.60487268519</v>
      </c>
      <c r="C314" s="1" t="n">
        <v>46038</v>
      </c>
      <c r="D314" t="inlineStr">
        <is>
          <t>KALMAR LÄN</t>
        </is>
      </c>
      <c r="E314" t="inlineStr">
        <is>
          <t>VIMMERBY</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9694-2023</t>
        </is>
      </c>
      <c r="B315" s="1" t="n">
        <v>44984.45895833334</v>
      </c>
      <c r="C315" s="1" t="n">
        <v>46038</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22198-2024</t>
        </is>
      </c>
      <c r="B316" s="1" t="n">
        <v>45446.36865740741</v>
      </c>
      <c r="C316" s="1" t="n">
        <v>46038</v>
      </c>
      <c r="D316" t="inlineStr">
        <is>
          <t>KALMAR LÄN</t>
        </is>
      </c>
      <c r="E316" t="inlineStr">
        <is>
          <t>VIMMERBY</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57311-2023</t>
        </is>
      </c>
      <c r="B317" s="1" t="n">
        <v>45245.63574074074</v>
      </c>
      <c r="C317" s="1" t="n">
        <v>46038</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12588-2025</t>
        </is>
      </c>
      <c r="B318" s="1" t="n">
        <v>45732.76936342593</v>
      </c>
      <c r="C318" s="1" t="n">
        <v>46038</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47263-2023</t>
        </is>
      </c>
      <c r="B319" s="1" t="n">
        <v>45202.4209837963</v>
      </c>
      <c r="C319" s="1" t="n">
        <v>46038</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5074-2023</t>
        </is>
      </c>
      <c r="B320" s="1" t="n">
        <v>44958.61047453704</v>
      </c>
      <c r="C320" s="1" t="n">
        <v>46038</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58100-2024</t>
        </is>
      </c>
      <c r="B321" s="1" t="n">
        <v>45632.36706018518</v>
      </c>
      <c r="C321" s="1" t="n">
        <v>46038</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58159-2024</t>
        </is>
      </c>
      <c r="B322" s="1" t="n">
        <v>45632.44886574074</v>
      </c>
      <c r="C322" s="1" t="n">
        <v>46038</v>
      </c>
      <c r="D322" t="inlineStr">
        <is>
          <t>KALMAR LÄN</t>
        </is>
      </c>
      <c r="E322" t="inlineStr">
        <is>
          <t>VIMMERBY</t>
        </is>
      </c>
      <c r="G322" t="n">
        <v>7.5</v>
      </c>
      <c r="H322" t="n">
        <v>0</v>
      </c>
      <c r="I322" t="n">
        <v>0</v>
      </c>
      <c r="J322" t="n">
        <v>0</v>
      </c>
      <c r="K322" t="n">
        <v>0</v>
      </c>
      <c r="L322" t="n">
        <v>0</v>
      </c>
      <c r="M322" t="n">
        <v>0</v>
      </c>
      <c r="N322" t="n">
        <v>0</v>
      </c>
      <c r="O322" t="n">
        <v>0</v>
      </c>
      <c r="P322" t="n">
        <v>0</v>
      </c>
      <c r="Q322" t="n">
        <v>0</v>
      </c>
      <c r="R322" s="2" t="inlineStr"/>
    </row>
    <row r="323" ht="15" customHeight="1">
      <c r="A323" t="inlineStr">
        <is>
          <t>A 7932-2025</t>
        </is>
      </c>
      <c r="B323" s="1" t="n">
        <v>45707.3793287037</v>
      </c>
      <c r="C323" s="1" t="n">
        <v>46038</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51187-2023</t>
        </is>
      </c>
      <c r="B324" s="1" t="n">
        <v>45219.40528935185</v>
      </c>
      <c r="C324" s="1" t="n">
        <v>46038</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57114-2023</t>
        </is>
      </c>
      <c r="B325" s="1" t="n">
        <v>45245.36174768519</v>
      </c>
      <c r="C325" s="1" t="n">
        <v>46038</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3423-2022</t>
        </is>
      </c>
      <c r="B326" s="1" t="n">
        <v>44585.50431712963</v>
      </c>
      <c r="C326" s="1" t="n">
        <v>46038</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15715-2022</t>
        </is>
      </c>
      <c r="B327" s="1" t="n">
        <v>44663</v>
      </c>
      <c r="C327" s="1" t="n">
        <v>46038</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40665-2023</t>
        </is>
      </c>
      <c r="B328" s="1" t="n">
        <v>45170</v>
      </c>
      <c r="C328" s="1" t="n">
        <v>46038</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43093-2024</t>
        </is>
      </c>
      <c r="B329" s="1" t="n">
        <v>45567</v>
      </c>
      <c r="C329" s="1" t="n">
        <v>46038</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56022-2024</t>
        </is>
      </c>
      <c r="B330" s="1" t="n">
        <v>45623.95947916667</v>
      </c>
      <c r="C330" s="1" t="n">
        <v>46038</v>
      </c>
      <c r="D330" t="inlineStr">
        <is>
          <t>KALMAR LÄN</t>
        </is>
      </c>
      <c r="E330" t="inlineStr">
        <is>
          <t>VIMMERBY</t>
        </is>
      </c>
      <c r="G330" t="n">
        <v>0.3</v>
      </c>
      <c r="H330" t="n">
        <v>0</v>
      </c>
      <c r="I330" t="n">
        <v>0</v>
      </c>
      <c r="J330" t="n">
        <v>0</v>
      </c>
      <c r="K330" t="n">
        <v>0</v>
      </c>
      <c r="L330" t="n">
        <v>0</v>
      </c>
      <c r="M330" t="n">
        <v>0</v>
      </c>
      <c r="N330" t="n">
        <v>0</v>
      </c>
      <c r="O330" t="n">
        <v>0</v>
      </c>
      <c r="P330" t="n">
        <v>0</v>
      </c>
      <c r="Q330" t="n">
        <v>0</v>
      </c>
      <c r="R330" s="2" t="inlineStr"/>
    </row>
    <row r="331" ht="15" customHeight="1">
      <c r="A331" t="inlineStr">
        <is>
          <t>A 18330-2023</t>
        </is>
      </c>
      <c r="B331" s="1" t="n">
        <v>45041</v>
      </c>
      <c r="C331" s="1" t="n">
        <v>46038</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2121-2022</t>
        </is>
      </c>
      <c r="B332" s="1" t="n">
        <v>44578.32717592592</v>
      </c>
      <c r="C332" s="1" t="n">
        <v>46038</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34386-2024</t>
        </is>
      </c>
      <c r="B333" s="1" t="n">
        <v>45525.41762731481</v>
      </c>
      <c r="C333" s="1" t="n">
        <v>46038</v>
      </c>
      <c r="D333" t="inlineStr">
        <is>
          <t>KALMAR LÄN</t>
        </is>
      </c>
      <c r="E333" t="inlineStr">
        <is>
          <t>VIMMERBY</t>
        </is>
      </c>
      <c r="G333" t="n">
        <v>0.3</v>
      </c>
      <c r="H333" t="n">
        <v>0</v>
      </c>
      <c r="I333" t="n">
        <v>0</v>
      </c>
      <c r="J333" t="n">
        <v>0</v>
      </c>
      <c r="K333" t="n">
        <v>0</v>
      </c>
      <c r="L333" t="n">
        <v>0</v>
      </c>
      <c r="M333" t="n">
        <v>0</v>
      </c>
      <c r="N333" t="n">
        <v>0</v>
      </c>
      <c r="O333" t="n">
        <v>0</v>
      </c>
      <c r="P333" t="n">
        <v>0</v>
      </c>
      <c r="Q333" t="n">
        <v>0</v>
      </c>
      <c r="R333" s="2" t="inlineStr"/>
    </row>
    <row r="334" ht="15" customHeight="1">
      <c r="A334" t="inlineStr">
        <is>
          <t>A 59598-2023</t>
        </is>
      </c>
      <c r="B334" s="1" t="n">
        <v>45254.62489583333</v>
      </c>
      <c r="C334" s="1" t="n">
        <v>46038</v>
      </c>
      <c r="D334" t="inlineStr">
        <is>
          <t>KALMAR LÄN</t>
        </is>
      </c>
      <c r="E334" t="inlineStr">
        <is>
          <t>VIMMERBY</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7944-2024</t>
        </is>
      </c>
      <c r="B335" s="1" t="n">
        <v>45350.53306712963</v>
      </c>
      <c r="C335" s="1" t="n">
        <v>46038</v>
      </c>
      <c r="D335" t="inlineStr">
        <is>
          <t>KALMAR LÄN</t>
        </is>
      </c>
      <c r="E335" t="inlineStr">
        <is>
          <t>VIMMERBY</t>
        </is>
      </c>
      <c r="G335" t="n">
        <v>1.2</v>
      </c>
      <c r="H335" t="n">
        <v>0</v>
      </c>
      <c r="I335" t="n">
        <v>0</v>
      </c>
      <c r="J335" t="n">
        <v>0</v>
      </c>
      <c r="K335" t="n">
        <v>0</v>
      </c>
      <c r="L335" t="n">
        <v>0</v>
      </c>
      <c r="M335" t="n">
        <v>0</v>
      </c>
      <c r="N335" t="n">
        <v>0</v>
      </c>
      <c r="O335" t="n">
        <v>0</v>
      </c>
      <c r="P335" t="n">
        <v>0</v>
      </c>
      <c r="Q335" t="n">
        <v>0</v>
      </c>
      <c r="R335" s="2" t="inlineStr"/>
    </row>
    <row r="336" ht="15" customHeight="1">
      <c r="A336" t="inlineStr">
        <is>
          <t>A 6069-2023</t>
        </is>
      </c>
      <c r="B336" s="1" t="n">
        <v>44964.5115162037</v>
      </c>
      <c r="C336" s="1" t="n">
        <v>46038</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50860-2022</t>
        </is>
      </c>
      <c r="B337" s="1" t="n">
        <v>44867</v>
      </c>
      <c r="C337" s="1" t="n">
        <v>46038</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25370-2022</t>
        </is>
      </c>
      <c r="B338" s="1" t="n">
        <v>44732.3659837963</v>
      </c>
      <c r="C338" s="1" t="n">
        <v>46038</v>
      </c>
      <c r="D338" t="inlineStr">
        <is>
          <t>KALMAR LÄN</t>
        </is>
      </c>
      <c r="E338" t="inlineStr">
        <is>
          <t>VIMMERBY</t>
        </is>
      </c>
      <c r="G338" t="n">
        <v>1.2</v>
      </c>
      <c r="H338" t="n">
        <v>0</v>
      </c>
      <c r="I338" t="n">
        <v>0</v>
      </c>
      <c r="J338" t="n">
        <v>0</v>
      </c>
      <c r="K338" t="n">
        <v>0</v>
      </c>
      <c r="L338" t="n">
        <v>0</v>
      </c>
      <c r="M338" t="n">
        <v>0</v>
      </c>
      <c r="N338" t="n">
        <v>0</v>
      </c>
      <c r="O338" t="n">
        <v>0</v>
      </c>
      <c r="P338" t="n">
        <v>0</v>
      </c>
      <c r="Q338" t="n">
        <v>0</v>
      </c>
      <c r="R338" s="2" t="inlineStr"/>
    </row>
    <row r="339" ht="15" customHeight="1">
      <c r="A339" t="inlineStr">
        <is>
          <t>A 58577-2024</t>
        </is>
      </c>
      <c r="B339" s="1" t="n">
        <v>45635.4874537037</v>
      </c>
      <c r="C339" s="1" t="n">
        <v>46038</v>
      </c>
      <c r="D339" t="inlineStr">
        <is>
          <t>KALMAR LÄN</t>
        </is>
      </c>
      <c r="E339" t="inlineStr">
        <is>
          <t>VIMMERBY</t>
        </is>
      </c>
      <c r="G339" t="n">
        <v>1.1</v>
      </c>
      <c r="H339" t="n">
        <v>0</v>
      </c>
      <c r="I339" t="n">
        <v>0</v>
      </c>
      <c r="J339" t="n">
        <v>0</v>
      </c>
      <c r="K339" t="n">
        <v>0</v>
      </c>
      <c r="L339" t="n">
        <v>0</v>
      </c>
      <c r="M339" t="n">
        <v>0</v>
      </c>
      <c r="N339" t="n">
        <v>0</v>
      </c>
      <c r="O339" t="n">
        <v>0</v>
      </c>
      <c r="P339" t="n">
        <v>0</v>
      </c>
      <c r="Q339" t="n">
        <v>0</v>
      </c>
      <c r="R339" s="2" t="inlineStr"/>
    </row>
    <row r="340" ht="15" customHeight="1">
      <c r="A340" t="inlineStr">
        <is>
          <t>A 21496-2023</t>
        </is>
      </c>
      <c r="B340" s="1" t="n">
        <v>45063.49936342592</v>
      </c>
      <c r="C340" s="1" t="n">
        <v>46038</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38198-2024</t>
        </is>
      </c>
      <c r="B341" s="1" t="n">
        <v>45545.49508101852</v>
      </c>
      <c r="C341" s="1" t="n">
        <v>46038</v>
      </c>
      <c r="D341" t="inlineStr">
        <is>
          <t>KALMAR LÄN</t>
        </is>
      </c>
      <c r="E341" t="inlineStr">
        <is>
          <t>VIMMERBY</t>
        </is>
      </c>
      <c r="G341" t="n">
        <v>7.9</v>
      </c>
      <c r="H341" t="n">
        <v>0</v>
      </c>
      <c r="I341" t="n">
        <v>0</v>
      </c>
      <c r="J341" t="n">
        <v>0</v>
      </c>
      <c r="K341" t="n">
        <v>0</v>
      </c>
      <c r="L341" t="n">
        <v>0</v>
      </c>
      <c r="M341" t="n">
        <v>0</v>
      </c>
      <c r="N341" t="n">
        <v>0</v>
      </c>
      <c r="O341" t="n">
        <v>0</v>
      </c>
      <c r="P341" t="n">
        <v>0</v>
      </c>
      <c r="Q341" t="n">
        <v>0</v>
      </c>
      <c r="R341" s="2" t="inlineStr"/>
    </row>
    <row r="342" ht="15" customHeight="1">
      <c r="A342" t="inlineStr">
        <is>
          <t>A 9623-2024</t>
        </is>
      </c>
      <c r="B342" s="1" t="n">
        <v>45361.87975694444</v>
      </c>
      <c r="C342" s="1" t="n">
        <v>46038</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29440-2024</t>
        </is>
      </c>
      <c r="B343" s="1" t="n">
        <v>45483.82479166667</v>
      </c>
      <c r="C343" s="1" t="n">
        <v>46038</v>
      </c>
      <c r="D343" t="inlineStr">
        <is>
          <t>KALMAR LÄN</t>
        </is>
      </c>
      <c r="E343" t="inlineStr">
        <is>
          <t>VIMMERBY</t>
        </is>
      </c>
      <c r="G343" t="n">
        <v>4.5</v>
      </c>
      <c r="H343" t="n">
        <v>0</v>
      </c>
      <c r="I343" t="n">
        <v>0</v>
      </c>
      <c r="J343" t="n">
        <v>0</v>
      </c>
      <c r="K343" t="n">
        <v>0</v>
      </c>
      <c r="L343" t="n">
        <v>0</v>
      </c>
      <c r="M343" t="n">
        <v>0</v>
      </c>
      <c r="N343" t="n">
        <v>0</v>
      </c>
      <c r="O343" t="n">
        <v>0</v>
      </c>
      <c r="P343" t="n">
        <v>0</v>
      </c>
      <c r="Q343" t="n">
        <v>0</v>
      </c>
      <c r="R343" s="2" t="inlineStr"/>
    </row>
    <row r="344" ht="15" customHeight="1">
      <c r="A344" t="inlineStr">
        <is>
          <t>A 58967-2022</t>
        </is>
      </c>
      <c r="B344" s="1" t="n">
        <v>44896</v>
      </c>
      <c r="C344" s="1" t="n">
        <v>46038</v>
      </c>
      <c r="D344" t="inlineStr">
        <is>
          <t>KALMAR LÄN</t>
        </is>
      </c>
      <c r="E344" t="inlineStr">
        <is>
          <t>VIMMERBY</t>
        </is>
      </c>
      <c r="G344" t="n">
        <v>5</v>
      </c>
      <c r="H344" t="n">
        <v>0</v>
      </c>
      <c r="I344" t="n">
        <v>0</v>
      </c>
      <c r="J344" t="n">
        <v>0</v>
      </c>
      <c r="K344" t="n">
        <v>0</v>
      </c>
      <c r="L344" t="n">
        <v>0</v>
      </c>
      <c r="M344" t="n">
        <v>0</v>
      </c>
      <c r="N344" t="n">
        <v>0</v>
      </c>
      <c r="O344" t="n">
        <v>0</v>
      </c>
      <c r="P344" t="n">
        <v>0</v>
      </c>
      <c r="Q344" t="n">
        <v>0</v>
      </c>
      <c r="R344" s="2" t="inlineStr"/>
    </row>
    <row r="345" ht="15" customHeight="1">
      <c r="A345" t="inlineStr">
        <is>
          <t>A 32633-2023</t>
        </is>
      </c>
      <c r="B345" s="1" t="n">
        <v>45121.58699074074</v>
      </c>
      <c r="C345" s="1" t="n">
        <v>46038</v>
      </c>
      <c r="D345" t="inlineStr">
        <is>
          <t>KALMAR LÄN</t>
        </is>
      </c>
      <c r="E345" t="inlineStr">
        <is>
          <t>VIMMERBY</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49461-2023</t>
        </is>
      </c>
      <c r="B346" s="1" t="n">
        <v>45211.52642361111</v>
      </c>
      <c r="C346" s="1" t="n">
        <v>46038</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23095-2023</t>
        </is>
      </c>
      <c r="B347" s="1" t="n">
        <v>45075.43059027778</v>
      </c>
      <c r="C347" s="1" t="n">
        <v>46038</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11429-2022</t>
        </is>
      </c>
      <c r="B348" s="1" t="n">
        <v>44630</v>
      </c>
      <c r="C348" s="1" t="n">
        <v>46038</v>
      </c>
      <c r="D348" t="inlineStr">
        <is>
          <t>KALMAR LÄN</t>
        </is>
      </c>
      <c r="E348" t="inlineStr">
        <is>
          <t>VIMMERBY</t>
        </is>
      </c>
      <c r="G348" t="n">
        <v>2.6</v>
      </c>
      <c r="H348" t="n">
        <v>0</v>
      </c>
      <c r="I348" t="n">
        <v>0</v>
      </c>
      <c r="J348" t="n">
        <v>0</v>
      </c>
      <c r="K348" t="n">
        <v>0</v>
      </c>
      <c r="L348" t="n">
        <v>0</v>
      </c>
      <c r="M348" t="n">
        <v>0</v>
      </c>
      <c r="N348" t="n">
        <v>0</v>
      </c>
      <c r="O348" t="n">
        <v>0</v>
      </c>
      <c r="P348" t="n">
        <v>0</v>
      </c>
      <c r="Q348" t="n">
        <v>0</v>
      </c>
      <c r="R348" s="2" t="inlineStr"/>
    </row>
    <row r="349" ht="15" customHeight="1">
      <c r="A349" t="inlineStr">
        <is>
          <t>A 6399-2025</t>
        </is>
      </c>
      <c r="B349" s="1" t="n">
        <v>45699.44291666667</v>
      </c>
      <c r="C349" s="1" t="n">
        <v>46038</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31355-2023</t>
        </is>
      </c>
      <c r="B350" s="1" t="n">
        <v>45114.49505787037</v>
      </c>
      <c r="C350" s="1" t="n">
        <v>46038</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9129-2025</t>
        </is>
      </c>
      <c r="B351" s="1" t="n">
        <v>45713.92412037037</v>
      </c>
      <c r="C351" s="1" t="n">
        <v>46038</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22197-2024</t>
        </is>
      </c>
      <c r="B352" s="1" t="n">
        <v>45446.36774305555</v>
      </c>
      <c r="C352" s="1" t="n">
        <v>46038</v>
      </c>
      <c r="D352" t="inlineStr">
        <is>
          <t>KALMAR LÄN</t>
        </is>
      </c>
      <c r="E352" t="inlineStr">
        <is>
          <t>VIMMERBY</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53752-2024</t>
        </is>
      </c>
      <c r="B353" s="1" t="n">
        <v>45615.48927083334</v>
      </c>
      <c r="C353" s="1" t="n">
        <v>46038</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30400-2023</t>
        </is>
      </c>
      <c r="B354" s="1" t="n">
        <v>45111.48225694444</v>
      </c>
      <c r="C354" s="1" t="n">
        <v>46038</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30404-2023</t>
        </is>
      </c>
      <c r="B355" s="1" t="n">
        <v>45111.48636574074</v>
      </c>
      <c r="C355" s="1" t="n">
        <v>46038</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11141-2024</t>
        </is>
      </c>
      <c r="B356" s="1" t="n">
        <v>45371.45865740741</v>
      </c>
      <c r="C356" s="1" t="n">
        <v>46038</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28395-2023</t>
        </is>
      </c>
      <c r="B357" s="1" t="n">
        <v>45100.4062962963</v>
      </c>
      <c r="C357" s="1" t="n">
        <v>46038</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27705-2023</t>
        </is>
      </c>
      <c r="B358" s="1" t="n">
        <v>45098.30535879629</v>
      </c>
      <c r="C358" s="1" t="n">
        <v>46038</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34597-2022</t>
        </is>
      </c>
      <c r="B359" s="1" t="n">
        <v>44795</v>
      </c>
      <c r="C359" s="1" t="n">
        <v>46038</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12121-2025</t>
        </is>
      </c>
      <c r="B360" s="1" t="n">
        <v>45729.36868055556</v>
      </c>
      <c r="C360" s="1" t="n">
        <v>46038</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9710-2023</t>
        </is>
      </c>
      <c r="B361" s="1" t="n">
        <v>44984</v>
      </c>
      <c r="C361" s="1" t="n">
        <v>46038</v>
      </c>
      <c r="D361" t="inlineStr">
        <is>
          <t>KALMAR LÄN</t>
        </is>
      </c>
      <c r="E361" t="inlineStr">
        <is>
          <t>VIMMERBY</t>
        </is>
      </c>
      <c r="G361" t="n">
        <v>3.7</v>
      </c>
      <c r="H361" t="n">
        <v>0</v>
      </c>
      <c r="I361" t="n">
        <v>0</v>
      </c>
      <c r="J361" t="n">
        <v>0</v>
      </c>
      <c r="K361" t="n">
        <v>0</v>
      </c>
      <c r="L361" t="n">
        <v>0</v>
      </c>
      <c r="M361" t="n">
        <v>0</v>
      </c>
      <c r="N361" t="n">
        <v>0</v>
      </c>
      <c r="O361" t="n">
        <v>0</v>
      </c>
      <c r="P361" t="n">
        <v>0</v>
      </c>
      <c r="Q361" t="n">
        <v>0</v>
      </c>
      <c r="R361" s="2" t="inlineStr"/>
    </row>
    <row r="362" ht="15" customHeight="1">
      <c r="A362" t="inlineStr">
        <is>
          <t>A 64428-2023</t>
        </is>
      </c>
      <c r="B362" s="1" t="n">
        <v>45280.66769675926</v>
      </c>
      <c r="C362" s="1" t="n">
        <v>46038</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9720-2023</t>
        </is>
      </c>
      <c r="B363" s="1" t="n">
        <v>44984</v>
      </c>
      <c r="C363" s="1" t="n">
        <v>46038</v>
      </c>
      <c r="D363" t="inlineStr">
        <is>
          <t>KALMAR LÄN</t>
        </is>
      </c>
      <c r="E363" t="inlineStr">
        <is>
          <t>VIMMERBY</t>
        </is>
      </c>
      <c r="G363" t="n">
        <v>4.4</v>
      </c>
      <c r="H363" t="n">
        <v>0</v>
      </c>
      <c r="I363" t="n">
        <v>0</v>
      </c>
      <c r="J363" t="n">
        <v>0</v>
      </c>
      <c r="K363" t="n">
        <v>0</v>
      </c>
      <c r="L363" t="n">
        <v>0</v>
      </c>
      <c r="M363" t="n">
        <v>0</v>
      </c>
      <c r="N363" t="n">
        <v>0</v>
      </c>
      <c r="O363" t="n">
        <v>0</v>
      </c>
      <c r="P363" t="n">
        <v>0</v>
      </c>
      <c r="Q363" t="n">
        <v>0</v>
      </c>
      <c r="R363" s="2" t="inlineStr"/>
    </row>
    <row r="364" ht="15" customHeight="1">
      <c r="A364" t="inlineStr">
        <is>
          <t>A 30588-2023</t>
        </is>
      </c>
      <c r="B364" s="1" t="n">
        <v>45112.33599537037</v>
      </c>
      <c r="C364" s="1" t="n">
        <v>46038</v>
      </c>
      <c r="D364" t="inlineStr">
        <is>
          <t>KALMAR LÄN</t>
        </is>
      </c>
      <c r="E364" t="inlineStr">
        <is>
          <t>VIMMERBY</t>
        </is>
      </c>
      <c r="G364" t="n">
        <v>2.7</v>
      </c>
      <c r="H364" t="n">
        <v>0</v>
      </c>
      <c r="I364" t="n">
        <v>0</v>
      </c>
      <c r="J364" t="n">
        <v>0</v>
      </c>
      <c r="K364" t="n">
        <v>0</v>
      </c>
      <c r="L364" t="n">
        <v>0</v>
      </c>
      <c r="M364" t="n">
        <v>0</v>
      </c>
      <c r="N364" t="n">
        <v>0</v>
      </c>
      <c r="O364" t="n">
        <v>0</v>
      </c>
      <c r="P364" t="n">
        <v>0</v>
      </c>
      <c r="Q364" t="n">
        <v>0</v>
      </c>
      <c r="R364" s="2" t="inlineStr"/>
    </row>
    <row r="365" ht="15" customHeight="1">
      <c r="A365" t="inlineStr">
        <is>
          <t>A 36843-2023</t>
        </is>
      </c>
      <c r="B365" s="1" t="n">
        <v>45154.49831018518</v>
      </c>
      <c r="C365" s="1" t="n">
        <v>46038</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30503-2023</t>
        </is>
      </c>
      <c r="B366" s="1" t="n">
        <v>45111</v>
      </c>
      <c r="C366" s="1" t="n">
        <v>46038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15493-2023</t>
        </is>
      </c>
      <c r="B367" s="1" t="n">
        <v>45018</v>
      </c>
      <c r="C367" s="1" t="n">
        <v>46038</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10785-2025</t>
        </is>
      </c>
      <c r="B368" s="1" t="n">
        <v>45722.48634259259</v>
      </c>
      <c r="C368" s="1" t="n">
        <v>46038</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29017-2024</t>
        </is>
      </c>
      <c r="B369" s="1" t="n">
        <v>45481.56722222222</v>
      </c>
      <c r="C369" s="1" t="n">
        <v>46038</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23263-2024</t>
        </is>
      </c>
      <c r="B370" s="1" t="n">
        <v>45453.36854166666</v>
      </c>
      <c r="C370" s="1" t="n">
        <v>46038</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11074-2023</t>
        </is>
      </c>
      <c r="B371" s="1" t="n">
        <v>44992.34151620371</v>
      </c>
      <c r="C371" s="1" t="n">
        <v>46038</v>
      </c>
      <c r="D371" t="inlineStr">
        <is>
          <t>KALMAR LÄN</t>
        </is>
      </c>
      <c r="E371" t="inlineStr">
        <is>
          <t>VIMMERBY</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29783-2024</t>
        </is>
      </c>
      <c r="B372" s="1" t="n">
        <v>45485.45778935185</v>
      </c>
      <c r="C372" s="1" t="n">
        <v>46038</v>
      </c>
      <c r="D372" t="inlineStr">
        <is>
          <t>KALMAR LÄN</t>
        </is>
      </c>
      <c r="E372" t="inlineStr">
        <is>
          <t>VIMMERBY</t>
        </is>
      </c>
      <c r="G372" t="n">
        <v>3.1</v>
      </c>
      <c r="H372" t="n">
        <v>0</v>
      </c>
      <c r="I372" t="n">
        <v>0</v>
      </c>
      <c r="J372" t="n">
        <v>0</v>
      </c>
      <c r="K372" t="n">
        <v>0</v>
      </c>
      <c r="L372" t="n">
        <v>0</v>
      </c>
      <c r="M372" t="n">
        <v>0</v>
      </c>
      <c r="N372" t="n">
        <v>0</v>
      </c>
      <c r="O372" t="n">
        <v>0</v>
      </c>
      <c r="P372" t="n">
        <v>0</v>
      </c>
      <c r="Q372" t="n">
        <v>0</v>
      </c>
      <c r="R372" s="2" t="inlineStr"/>
    </row>
    <row r="373" ht="15" customHeight="1">
      <c r="A373" t="inlineStr">
        <is>
          <t>A 61939-2021</t>
        </is>
      </c>
      <c r="B373" s="1" t="n">
        <v>44502</v>
      </c>
      <c r="C373" s="1" t="n">
        <v>46038</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12215-2024</t>
        </is>
      </c>
      <c r="B374" s="1" t="n">
        <v>45378.32185185186</v>
      </c>
      <c r="C374" s="1" t="n">
        <v>46038</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38964-2025</t>
        </is>
      </c>
      <c r="B375" s="1" t="n">
        <v>45887.68759259259</v>
      </c>
      <c r="C375" s="1" t="n">
        <v>46038</v>
      </c>
      <c r="D375" t="inlineStr">
        <is>
          <t>KALMAR LÄN</t>
        </is>
      </c>
      <c r="E375" t="inlineStr">
        <is>
          <t>VIMMERBY</t>
        </is>
      </c>
      <c r="G375" t="n">
        <v>7.5</v>
      </c>
      <c r="H375" t="n">
        <v>0</v>
      </c>
      <c r="I375" t="n">
        <v>0</v>
      </c>
      <c r="J375" t="n">
        <v>0</v>
      </c>
      <c r="K375" t="n">
        <v>0</v>
      </c>
      <c r="L375" t="n">
        <v>0</v>
      </c>
      <c r="M375" t="n">
        <v>0</v>
      </c>
      <c r="N375" t="n">
        <v>0</v>
      </c>
      <c r="O375" t="n">
        <v>0</v>
      </c>
      <c r="P375" t="n">
        <v>0</v>
      </c>
      <c r="Q375" t="n">
        <v>0</v>
      </c>
      <c r="R375" s="2" t="inlineStr"/>
    </row>
    <row r="376" ht="15" customHeight="1">
      <c r="A376" t="inlineStr">
        <is>
          <t>A 11303-2025</t>
        </is>
      </c>
      <c r="B376" s="1" t="n">
        <v>45726.44471064815</v>
      </c>
      <c r="C376" s="1" t="n">
        <v>46038</v>
      </c>
      <c r="D376" t="inlineStr">
        <is>
          <t>KALMAR LÄN</t>
        </is>
      </c>
      <c r="E376" t="inlineStr">
        <is>
          <t>VIMMERBY</t>
        </is>
      </c>
      <c r="G376" t="n">
        <v>2.1</v>
      </c>
      <c r="H376" t="n">
        <v>0</v>
      </c>
      <c r="I376" t="n">
        <v>0</v>
      </c>
      <c r="J376" t="n">
        <v>0</v>
      </c>
      <c r="K376" t="n">
        <v>0</v>
      </c>
      <c r="L376" t="n">
        <v>0</v>
      </c>
      <c r="M376" t="n">
        <v>0</v>
      </c>
      <c r="N376" t="n">
        <v>0</v>
      </c>
      <c r="O376" t="n">
        <v>0</v>
      </c>
      <c r="P376" t="n">
        <v>0</v>
      </c>
      <c r="Q376" t="n">
        <v>0</v>
      </c>
      <c r="R376" s="2" t="inlineStr"/>
    </row>
    <row r="377" ht="15" customHeight="1">
      <c r="A377" t="inlineStr">
        <is>
          <t>A 29093-2023</t>
        </is>
      </c>
      <c r="B377" s="1" t="n">
        <v>45105</v>
      </c>
      <c r="C377" s="1" t="n">
        <v>46038</v>
      </c>
      <c r="D377" t="inlineStr">
        <is>
          <t>KALMAR LÄN</t>
        </is>
      </c>
      <c r="E377" t="inlineStr">
        <is>
          <t>VIMMERBY</t>
        </is>
      </c>
      <c r="G377" t="n">
        <v>2.9</v>
      </c>
      <c r="H377" t="n">
        <v>0</v>
      </c>
      <c r="I377" t="n">
        <v>0</v>
      </c>
      <c r="J377" t="n">
        <v>0</v>
      </c>
      <c r="K377" t="n">
        <v>0</v>
      </c>
      <c r="L377" t="n">
        <v>0</v>
      </c>
      <c r="M377" t="n">
        <v>0</v>
      </c>
      <c r="N377" t="n">
        <v>0</v>
      </c>
      <c r="O377" t="n">
        <v>0</v>
      </c>
      <c r="P377" t="n">
        <v>0</v>
      </c>
      <c r="Q377" t="n">
        <v>0</v>
      </c>
      <c r="R377" s="2" t="inlineStr"/>
    </row>
    <row r="378" ht="15" customHeight="1">
      <c r="A378" t="inlineStr">
        <is>
          <t>A 33352-2022</t>
        </is>
      </c>
      <c r="B378" s="1" t="n">
        <v>44788</v>
      </c>
      <c r="C378" s="1" t="n">
        <v>46038</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12033-2024</t>
        </is>
      </c>
      <c r="B379" s="1" t="n">
        <v>45377.40043981482</v>
      </c>
      <c r="C379" s="1" t="n">
        <v>46038</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10674-2021</t>
        </is>
      </c>
      <c r="B380" s="1" t="n">
        <v>44258</v>
      </c>
      <c r="C380" s="1" t="n">
        <v>46038</v>
      </c>
      <c r="D380" t="inlineStr">
        <is>
          <t>KALMAR LÄN</t>
        </is>
      </c>
      <c r="E380" t="inlineStr">
        <is>
          <t>VIMMERBY</t>
        </is>
      </c>
      <c r="G380" t="n">
        <v>8.4</v>
      </c>
      <c r="H380" t="n">
        <v>0</v>
      </c>
      <c r="I380" t="n">
        <v>0</v>
      </c>
      <c r="J380" t="n">
        <v>0</v>
      </c>
      <c r="K380" t="n">
        <v>0</v>
      </c>
      <c r="L380" t="n">
        <v>0</v>
      </c>
      <c r="M380" t="n">
        <v>0</v>
      </c>
      <c r="N380" t="n">
        <v>0</v>
      </c>
      <c r="O380" t="n">
        <v>0</v>
      </c>
      <c r="P380" t="n">
        <v>0</v>
      </c>
      <c r="Q380" t="n">
        <v>0</v>
      </c>
      <c r="R380" s="2" t="inlineStr"/>
    </row>
    <row r="381" ht="15" customHeight="1">
      <c r="A381" t="inlineStr">
        <is>
          <t>A 51408-2023</t>
        </is>
      </c>
      <c r="B381" s="1" t="n">
        <v>45219.69356481481</v>
      </c>
      <c r="C381" s="1" t="n">
        <v>46038</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22264-2023</t>
        </is>
      </c>
      <c r="B382" s="1" t="n">
        <v>45070.3665625</v>
      </c>
      <c r="C382" s="1" t="n">
        <v>46038</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16676-2023</t>
        </is>
      </c>
      <c r="B383" s="1" t="n">
        <v>45028</v>
      </c>
      <c r="C383" s="1" t="n">
        <v>46038</v>
      </c>
      <c r="D383" t="inlineStr">
        <is>
          <t>KALMAR LÄN</t>
        </is>
      </c>
      <c r="E383" t="inlineStr">
        <is>
          <t>VIMMERBY</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6220-2025</t>
        </is>
      </c>
      <c r="B384" s="1" t="n">
        <v>45698.53725694444</v>
      </c>
      <c r="C384" s="1" t="n">
        <v>46038</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49488-2023</t>
        </is>
      </c>
      <c r="B385" s="1" t="n">
        <v>45211.55472222222</v>
      </c>
      <c r="C385" s="1" t="n">
        <v>46038</v>
      </c>
      <c r="D385" t="inlineStr">
        <is>
          <t>KALMAR LÄN</t>
        </is>
      </c>
      <c r="E385" t="inlineStr">
        <is>
          <t>VIMMERBY</t>
        </is>
      </c>
      <c r="F385" t="inlineStr">
        <is>
          <t>Sveaskog</t>
        </is>
      </c>
      <c r="G385" t="n">
        <v>6.2</v>
      </c>
      <c r="H385" t="n">
        <v>0</v>
      </c>
      <c r="I385" t="n">
        <v>0</v>
      </c>
      <c r="J385" t="n">
        <v>0</v>
      </c>
      <c r="K385" t="n">
        <v>0</v>
      </c>
      <c r="L385" t="n">
        <v>0</v>
      </c>
      <c r="M385" t="n">
        <v>0</v>
      </c>
      <c r="N385" t="n">
        <v>0</v>
      </c>
      <c r="O385" t="n">
        <v>0</v>
      </c>
      <c r="P385" t="n">
        <v>0</v>
      </c>
      <c r="Q385" t="n">
        <v>0</v>
      </c>
      <c r="R385" s="2" t="inlineStr"/>
    </row>
    <row r="386" ht="15" customHeight="1">
      <c r="A386" t="inlineStr">
        <is>
          <t>A 24096-2024</t>
        </is>
      </c>
      <c r="B386" s="1" t="n">
        <v>45456.59289351852</v>
      </c>
      <c r="C386" s="1" t="n">
        <v>46038</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29013-2024</t>
        </is>
      </c>
      <c r="B387" s="1" t="n">
        <v>45481.55984953704</v>
      </c>
      <c r="C387" s="1" t="n">
        <v>46038</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35198-2023</t>
        </is>
      </c>
      <c r="B388" s="1" t="n">
        <v>45145</v>
      </c>
      <c r="C388" s="1" t="n">
        <v>46038</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6066-2023</t>
        </is>
      </c>
      <c r="B389" s="1" t="n">
        <v>44964.50894675926</v>
      </c>
      <c r="C389" s="1" t="n">
        <v>46038</v>
      </c>
      <c r="D389" t="inlineStr">
        <is>
          <t>KALMAR LÄN</t>
        </is>
      </c>
      <c r="E389" t="inlineStr">
        <is>
          <t>VIMMERBY</t>
        </is>
      </c>
      <c r="G389" t="n">
        <v>2.8</v>
      </c>
      <c r="H389" t="n">
        <v>0</v>
      </c>
      <c r="I389" t="n">
        <v>0</v>
      </c>
      <c r="J389" t="n">
        <v>0</v>
      </c>
      <c r="K389" t="n">
        <v>0</v>
      </c>
      <c r="L389" t="n">
        <v>0</v>
      </c>
      <c r="M389" t="n">
        <v>0</v>
      </c>
      <c r="N389" t="n">
        <v>0</v>
      </c>
      <c r="O389" t="n">
        <v>0</v>
      </c>
      <c r="P389" t="n">
        <v>0</v>
      </c>
      <c r="Q389" t="n">
        <v>0</v>
      </c>
      <c r="R389" s="2" t="inlineStr"/>
    </row>
    <row r="390" ht="15" customHeight="1">
      <c r="A390" t="inlineStr">
        <is>
          <t>A 59955-2023</t>
        </is>
      </c>
      <c r="B390" s="1" t="n">
        <v>45257.70313657408</v>
      </c>
      <c r="C390" s="1" t="n">
        <v>46038</v>
      </c>
      <c r="D390" t="inlineStr">
        <is>
          <t>KALMAR LÄN</t>
        </is>
      </c>
      <c r="E390" t="inlineStr">
        <is>
          <t>VIMMERBY</t>
        </is>
      </c>
      <c r="G390" t="n">
        <v>13.8</v>
      </c>
      <c r="H390" t="n">
        <v>0</v>
      </c>
      <c r="I390" t="n">
        <v>0</v>
      </c>
      <c r="J390" t="n">
        <v>0</v>
      </c>
      <c r="K390" t="n">
        <v>0</v>
      </c>
      <c r="L390" t="n">
        <v>0</v>
      </c>
      <c r="M390" t="n">
        <v>0</v>
      </c>
      <c r="N390" t="n">
        <v>0</v>
      </c>
      <c r="O390" t="n">
        <v>0</v>
      </c>
      <c r="P390" t="n">
        <v>0</v>
      </c>
      <c r="Q390" t="n">
        <v>0</v>
      </c>
      <c r="R390" s="2" t="inlineStr"/>
    </row>
    <row r="391" ht="15" customHeight="1">
      <c r="A391" t="inlineStr">
        <is>
          <t>A 8410-2023</t>
        </is>
      </c>
      <c r="B391" s="1" t="n">
        <v>44977</v>
      </c>
      <c r="C391" s="1" t="n">
        <v>46038</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30920-2024</t>
        </is>
      </c>
      <c r="B392" s="1" t="n">
        <v>45498.673125</v>
      </c>
      <c r="C392" s="1" t="n">
        <v>46038</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36040-2024</t>
        </is>
      </c>
      <c r="B393" s="1" t="n">
        <v>45533.60232638889</v>
      </c>
      <c r="C393" s="1" t="n">
        <v>46038</v>
      </c>
      <c r="D393" t="inlineStr">
        <is>
          <t>KALMAR LÄN</t>
        </is>
      </c>
      <c r="E393" t="inlineStr">
        <is>
          <t>VIMMERBY</t>
        </is>
      </c>
      <c r="F393" t="inlineStr">
        <is>
          <t>Kommuner</t>
        </is>
      </c>
      <c r="G393" t="n">
        <v>3.6</v>
      </c>
      <c r="H393" t="n">
        <v>0</v>
      </c>
      <c r="I393" t="n">
        <v>0</v>
      </c>
      <c r="J393" t="n">
        <v>0</v>
      </c>
      <c r="K393" t="n">
        <v>0</v>
      </c>
      <c r="L393" t="n">
        <v>0</v>
      </c>
      <c r="M393" t="n">
        <v>0</v>
      </c>
      <c r="N393" t="n">
        <v>0</v>
      </c>
      <c r="O393" t="n">
        <v>0</v>
      </c>
      <c r="P393" t="n">
        <v>0</v>
      </c>
      <c r="Q393" t="n">
        <v>0</v>
      </c>
      <c r="R393" s="2" t="inlineStr"/>
    </row>
    <row r="394" ht="15" customHeight="1">
      <c r="A394" t="inlineStr">
        <is>
          <t>A 36043-2024</t>
        </is>
      </c>
      <c r="B394" s="1" t="n">
        <v>45533.60770833334</v>
      </c>
      <c r="C394" s="1" t="n">
        <v>46038</v>
      </c>
      <c r="D394" t="inlineStr">
        <is>
          <t>KALMAR LÄN</t>
        </is>
      </c>
      <c r="E394" t="inlineStr">
        <is>
          <t>VIMMERBY</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12890-2023</t>
        </is>
      </c>
      <c r="B395" s="1" t="n">
        <v>45001.59209490741</v>
      </c>
      <c r="C395" s="1" t="n">
        <v>46038</v>
      </c>
      <c r="D395" t="inlineStr">
        <is>
          <t>KALMAR LÄN</t>
        </is>
      </c>
      <c r="E395" t="inlineStr">
        <is>
          <t>VIMMERBY</t>
        </is>
      </c>
      <c r="G395" t="n">
        <v>2.8</v>
      </c>
      <c r="H395" t="n">
        <v>0</v>
      </c>
      <c r="I395" t="n">
        <v>0</v>
      </c>
      <c r="J395" t="n">
        <v>0</v>
      </c>
      <c r="K395" t="n">
        <v>0</v>
      </c>
      <c r="L395" t="n">
        <v>0</v>
      </c>
      <c r="M395" t="n">
        <v>0</v>
      </c>
      <c r="N395" t="n">
        <v>0</v>
      </c>
      <c r="O395" t="n">
        <v>0</v>
      </c>
      <c r="P395" t="n">
        <v>0</v>
      </c>
      <c r="Q395" t="n">
        <v>0</v>
      </c>
      <c r="R395" s="2" t="inlineStr"/>
    </row>
    <row r="396" ht="15" customHeight="1">
      <c r="A396" t="inlineStr">
        <is>
          <t>A 43594-2024</t>
        </is>
      </c>
      <c r="B396" s="1" t="n">
        <v>45569.44295138889</v>
      </c>
      <c r="C396" s="1" t="n">
        <v>46038</v>
      </c>
      <c r="D396" t="inlineStr">
        <is>
          <t>KALMAR LÄN</t>
        </is>
      </c>
      <c r="E396" t="inlineStr">
        <is>
          <t>VIMMERBY</t>
        </is>
      </c>
      <c r="G396" t="n">
        <v>3.9</v>
      </c>
      <c r="H396" t="n">
        <v>0</v>
      </c>
      <c r="I396" t="n">
        <v>0</v>
      </c>
      <c r="J396" t="n">
        <v>0</v>
      </c>
      <c r="K396" t="n">
        <v>0</v>
      </c>
      <c r="L396" t="n">
        <v>0</v>
      </c>
      <c r="M396" t="n">
        <v>0</v>
      </c>
      <c r="N396" t="n">
        <v>0</v>
      </c>
      <c r="O396" t="n">
        <v>0</v>
      </c>
      <c r="P396" t="n">
        <v>0</v>
      </c>
      <c r="Q396" t="n">
        <v>0</v>
      </c>
      <c r="R396" s="2" t="inlineStr"/>
    </row>
    <row r="397" ht="15" customHeight="1">
      <c r="A397" t="inlineStr">
        <is>
          <t>A 53482-2022</t>
        </is>
      </c>
      <c r="B397" s="1" t="n">
        <v>44879</v>
      </c>
      <c r="C397" s="1" t="n">
        <v>46038</v>
      </c>
      <c r="D397" t="inlineStr">
        <is>
          <t>KALMAR LÄN</t>
        </is>
      </c>
      <c r="E397" t="inlineStr">
        <is>
          <t>VIMMERBY</t>
        </is>
      </c>
      <c r="G397" t="n">
        <v>10.1</v>
      </c>
      <c r="H397" t="n">
        <v>0</v>
      </c>
      <c r="I397" t="n">
        <v>0</v>
      </c>
      <c r="J397" t="n">
        <v>0</v>
      </c>
      <c r="K397" t="n">
        <v>0</v>
      </c>
      <c r="L397" t="n">
        <v>0</v>
      </c>
      <c r="M397" t="n">
        <v>0</v>
      </c>
      <c r="N397" t="n">
        <v>0</v>
      </c>
      <c r="O397" t="n">
        <v>0</v>
      </c>
      <c r="P397" t="n">
        <v>0</v>
      </c>
      <c r="Q397" t="n">
        <v>0</v>
      </c>
      <c r="R397" s="2" t="inlineStr"/>
    </row>
    <row r="398" ht="15" customHeight="1">
      <c r="A398" t="inlineStr">
        <is>
          <t>A 43853-2023</t>
        </is>
      </c>
      <c r="B398" s="1" t="n">
        <v>45187.60813657408</v>
      </c>
      <c r="C398" s="1" t="n">
        <v>46038</v>
      </c>
      <c r="D398" t="inlineStr">
        <is>
          <t>KALMAR LÄN</t>
        </is>
      </c>
      <c r="E398" t="inlineStr">
        <is>
          <t>VIMMERBY</t>
        </is>
      </c>
      <c r="G398" t="n">
        <v>1.4</v>
      </c>
      <c r="H398" t="n">
        <v>0</v>
      </c>
      <c r="I398" t="n">
        <v>0</v>
      </c>
      <c r="J398" t="n">
        <v>0</v>
      </c>
      <c r="K398" t="n">
        <v>0</v>
      </c>
      <c r="L398" t="n">
        <v>0</v>
      </c>
      <c r="M398" t="n">
        <v>0</v>
      </c>
      <c r="N398" t="n">
        <v>0</v>
      </c>
      <c r="O398" t="n">
        <v>0</v>
      </c>
      <c r="P398" t="n">
        <v>0</v>
      </c>
      <c r="Q398" t="n">
        <v>0</v>
      </c>
      <c r="R398" s="2" t="inlineStr"/>
    </row>
    <row r="399" ht="15" customHeight="1">
      <c r="A399" t="inlineStr">
        <is>
          <t>A 27761-2024</t>
        </is>
      </c>
      <c r="B399" s="1" t="n">
        <v>45475.49018518518</v>
      </c>
      <c r="C399" s="1" t="n">
        <v>46038</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64203-2021</t>
        </is>
      </c>
      <c r="B400" s="1" t="n">
        <v>44510.60921296296</v>
      </c>
      <c r="C400" s="1" t="n">
        <v>46038</v>
      </c>
      <c r="D400" t="inlineStr">
        <is>
          <t>KALMAR LÄN</t>
        </is>
      </c>
      <c r="E400" t="inlineStr">
        <is>
          <t>VIMMERBY</t>
        </is>
      </c>
      <c r="F400" t="inlineStr">
        <is>
          <t>Övriga Aktiebolag</t>
        </is>
      </c>
      <c r="G400" t="n">
        <v>5.4</v>
      </c>
      <c r="H400" t="n">
        <v>0</v>
      </c>
      <c r="I400" t="n">
        <v>0</v>
      </c>
      <c r="J400" t="n">
        <v>0</v>
      </c>
      <c r="K400" t="n">
        <v>0</v>
      </c>
      <c r="L400" t="n">
        <v>0</v>
      </c>
      <c r="M400" t="n">
        <v>0</v>
      </c>
      <c r="N400" t="n">
        <v>0</v>
      </c>
      <c r="O400" t="n">
        <v>0</v>
      </c>
      <c r="P400" t="n">
        <v>0</v>
      </c>
      <c r="Q400" t="n">
        <v>0</v>
      </c>
      <c r="R400" s="2" t="inlineStr"/>
    </row>
    <row r="401" ht="15" customHeight="1">
      <c r="A401" t="inlineStr">
        <is>
          <t>A 40929-2022</t>
        </is>
      </c>
      <c r="B401" s="1" t="n">
        <v>44825.4336574074</v>
      </c>
      <c r="C401" s="1" t="n">
        <v>46038</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5720-2023</t>
        </is>
      </c>
      <c r="B402" s="1" t="n">
        <v>44961</v>
      </c>
      <c r="C402" s="1" t="n">
        <v>46038</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50091-2023</t>
        </is>
      </c>
      <c r="B403" s="1" t="n">
        <v>45215.60199074074</v>
      </c>
      <c r="C403" s="1" t="n">
        <v>46038</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9643-2023</t>
        </is>
      </c>
      <c r="B404" s="1" t="n">
        <v>44984</v>
      </c>
      <c r="C404" s="1" t="n">
        <v>46038</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36008-2024</t>
        </is>
      </c>
      <c r="B405" s="1" t="n">
        <v>45533.55362268518</v>
      </c>
      <c r="C405" s="1" t="n">
        <v>46038</v>
      </c>
      <c r="D405" t="inlineStr">
        <is>
          <t>KALMAR LÄN</t>
        </is>
      </c>
      <c r="E405" t="inlineStr">
        <is>
          <t>VIMMERBY</t>
        </is>
      </c>
      <c r="G405" t="n">
        <v>3.7</v>
      </c>
      <c r="H405" t="n">
        <v>0</v>
      </c>
      <c r="I405" t="n">
        <v>0</v>
      </c>
      <c r="J405" t="n">
        <v>0</v>
      </c>
      <c r="K405" t="n">
        <v>0</v>
      </c>
      <c r="L405" t="n">
        <v>0</v>
      </c>
      <c r="M405" t="n">
        <v>0</v>
      </c>
      <c r="N405" t="n">
        <v>0</v>
      </c>
      <c r="O405" t="n">
        <v>0</v>
      </c>
      <c r="P405" t="n">
        <v>0</v>
      </c>
      <c r="Q405" t="n">
        <v>0</v>
      </c>
      <c r="R405" s="2" t="inlineStr"/>
    </row>
    <row r="406" ht="15" customHeight="1">
      <c r="A406" t="inlineStr">
        <is>
          <t>A 25728-2023</t>
        </is>
      </c>
      <c r="B406" s="1" t="n">
        <v>45090.38012731481</v>
      </c>
      <c r="C406" s="1" t="n">
        <v>46038</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16622-2025</t>
        </is>
      </c>
      <c r="B407" s="1" t="n">
        <v>45754.33641203704</v>
      </c>
      <c r="C407" s="1" t="n">
        <v>46038</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17511-2024</t>
        </is>
      </c>
      <c r="B408" s="1" t="n">
        <v>45415.57682870371</v>
      </c>
      <c r="C408" s="1" t="n">
        <v>46038</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43705-2023</t>
        </is>
      </c>
      <c r="B409" s="1" t="n">
        <v>45187.42854166667</v>
      </c>
      <c r="C409" s="1" t="n">
        <v>46038</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41311-2023</t>
        </is>
      </c>
      <c r="B410" s="1" t="n">
        <v>45174</v>
      </c>
      <c r="C410" s="1" t="n">
        <v>46038</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9511-2023</t>
        </is>
      </c>
      <c r="B411" s="1" t="n">
        <v>44981.64725694444</v>
      </c>
      <c r="C411" s="1" t="n">
        <v>46038</v>
      </c>
      <c r="D411" t="inlineStr">
        <is>
          <t>KALMAR LÄN</t>
        </is>
      </c>
      <c r="E411" t="inlineStr">
        <is>
          <t>VIMMERBY</t>
        </is>
      </c>
      <c r="G411" t="n">
        <v>3.5</v>
      </c>
      <c r="H411" t="n">
        <v>0</v>
      </c>
      <c r="I411" t="n">
        <v>0</v>
      </c>
      <c r="J411" t="n">
        <v>0</v>
      </c>
      <c r="K411" t="n">
        <v>0</v>
      </c>
      <c r="L411" t="n">
        <v>0</v>
      </c>
      <c r="M411" t="n">
        <v>0</v>
      </c>
      <c r="N411" t="n">
        <v>0</v>
      </c>
      <c r="O411" t="n">
        <v>0</v>
      </c>
      <c r="P411" t="n">
        <v>0</v>
      </c>
      <c r="Q411" t="n">
        <v>0</v>
      </c>
      <c r="R411" s="2" t="inlineStr"/>
    </row>
    <row r="412" ht="15" customHeight="1">
      <c r="A412" t="inlineStr">
        <is>
          <t>A 55300-2021</t>
        </is>
      </c>
      <c r="B412" s="1" t="n">
        <v>44475</v>
      </c>
      <c r="C412" s="1" t="n">
        <v>46038</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26318-2023</t>
        </is>
      </c>
      <c r="B413" s="1" t="n">
        <v>45091.67936342592</v>
      </c>
      <c r="C413" s="1" t="n">
        <v>46038</v>
      </c>
      <c r="D413" t="inlineStr">
        <is>
          <t>KALMAR LÄN</t>
        </is>
      </c>
      <c r="E413" t="inlineStr">
        <is>
          <t>VIMMERBY</t>
        </is>
      </c>
      <c r="G413" t="n">
        <v>3.8</v>
      </c>
      <c r="H413" t="n">
        <v>0</v>
      </c>
      <c r="I413" t="n">
        <v>0</v>
      </c>
      <c r="J413" t="n">
        <v>0</v>
      </c>
      <c r="K413" t="n">
        <v>0</v>
      </c>
      <c r="L413" t="n">
        <v>0</v>
      </c>
      <c r="M413" t="n">
        <v>0</v>
      </c>
      <c r="N413" t="n">
        <v>0</v>
      </c>
      <c r="O413" t="n">
        <v>0</v>
      </c>
      <c r="P413" t="n">
        <v>0</v>
      </c>
      <c r="Q413" t="n">
        <v>0</v>
      </c>
      <c r="R413" s="2" t="inlineStr"/>
    </row>
    <row r="414" ht="15" customHeight="1">
      <c r="A414" t="inlineStr">
        <is>
          <t>A 44179-2022</t>
        </is>
      </c>
      <c r="B414" s="1" t="n">
        <v>44839.4528125</v>
      </c>
      <c r="C414" s="1" t="n">
        <v>46038</v>
      </c>
      <c r="D414" t="inlineStr">
        <is>
          <t>KALMAR LÄN</t>
        </is>
      </c>
      <c r="E414" t="inlineStr">
        <is>
          <t>VIMMERBY</t>
        </is>
      </c>
      <c r="G414" t="n">
        <v>2.8</v>
      </c>
      <c r="H414" t="n">
        <v>0</v>
      </c>
      <c r="I414" t="n">
        <v>0</v>
      </c>
      <c r="J414" t="n">
        <v>0</v>
      </c>
      <c r="K414" t="n">
        <v>0</v>
      </c>
      <c r="L414" t="n">
        <v>0</v>
      </c>
      <c r="M414" t="n">
        <v>0</v>
      </c>
      <c r="N414" t="n">
        <v>0</v>
      </c>
      <c r="O414" t="n">
        <v>0</v>
      </c>
      <c r="P414" t="n">
        <v>0</v>
      </c>
      <c r="Q414" t="n">
        <v>0</v>
      </c>
      <c r="R414" s="2" t="inlineStr"/>
    </row>
    <row r="415" ht="15" customHeight="1">
      <c r="A415" t="inlineStr">
        <is>
          <t>A 38757-2023</t>
        </is>
      </c>
      <c r="B415" s="1" t="n">
        <v>45163.41376157408</v>
      </c>
      <c r="C415" s="1" t="n">
        <v>46038</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52755-2022</t>
        </is>
      </c>
      <c r="B416" s="1" t="n">
        <v>44875.27736111111</v>
      </c>
      <c r="C416" s="1" t="n">
        <v>46038</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35998-2024</t>
        </is>
      </c>
      <c r="B417" s="1" t="n">
        <v>45533.54429398148</v>
      </c>
      <c r="C417" s="1" t="n">
        <v>46038</v>
      </c>
      <c r="D417" t="inlineStr">
        <is>
          <t>KALMAR LÄN</t>
        </is>
      </c>
      <c r="E417" t="inlineStr">
        <is>
          <t>VIMMERBY</t>
        </is>
      </c>
      <c r="G417" t="n">
        <v>8.6</v>
      </c>
      <c r="H417" t="n">
        <v>0</v>
      </c>
      <c r="I417" t="n">
        <v>0</v>
      </c>
      <c r="J417" t="n">
        <v>0</v>
      </c>
      <c r="K417" t="n">
        <v>0</v>
      </c>
      <c r="L417" t="n">
        <v>0</v>
      </c>
      <c r="M417" t="n">
        <v>0</v>
      </c>
      <c r="N417" t="n">
        <v>0</v>
      </c>
      <c r="O417" t="n">
        <v>0</v>
      </c>
      <c r="P417" t="n">
        <v>0</v>
      </c>
      <c r="Q417" t="n">
        <v>0</v>
      </c>
      <c r="R417" s="2" t="inlineStr"/>
    </row>
    <row r="418" ht="15" customHeight="1">
      <c r="A418" t="inlineStr">
        <is>
          <t>A 61355-2024</t>
        </is>
      </c>
      <c r="B418" s="1" t="n">
        <v>45646.38200231481</v>
      </c>
      <c r="C418" s="1" t="n">
        <v>46038</v>
      </c>
      <c r="D418" t="inlineStr">
        <is>
          <t>KALMAR LÄN</t>
        </is>
      </c>
      <c r="E418" t="inlineStr">
        <is>
          <t>VIMMERBY</t>
        </is>
      </c>
      <c r="G418" t="n">
        <v>2.7</v>
      </c>
      <c r="H418" t="n">
        <v>0</v>
      </c>
      <c r="I418" t="n">
        <v>0</v>
      </c>
      <c r="J418" t="n">
        <v>0</v>
      </c>
      <c r="K418" t="n">
        <v>0</v>
      </c>
      <c r="L418" t="n">
        <v>0</v>
      </c>
      <c r="M418" t="n">
        <v>0</v>
      </c>
      <c r="N418" t="n">
        <v>0</v>
      </c>
      <c r="O418" t="n">
        <v>0</v>
      </c>
      <c r="P418" t="n">
        <v>0</v>
      </c>
      <c r="Q418" t="n">
        <v>0</v>
      </c>
      <c r="R418" s="2" t="inlineStr"/>
    </row>
    <row r="419" ht="15" customHeight="1">
      <c r="A419" t="inlineStr">
        <is>
          <t>A 7797-2023</t>
        </is>
      </c>
      <c r="B419" s="1" t="n">
        <v>44973.43075231482</v>
      </c>
      <c r="C419" s="1" t="n">
        <v>46038</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29973-2023</t>
        </is>
      </c>
      <c r="B420" s="1" t="n">
        <v>45108.703125</v>
      </c>
      <c r="C420" s="1" t="n">
        <v>46038</v>
      </c>
      <c r="D420" t="inlineStr">
        <is>
          <t>KALMAR LÄN</t>
        </is>
      </c>
      <c r="E420" t="inlineStr">
        <is>
          <t>VIMMERBY</t>
        </is>
      </c>
      <c r="G420" t="n">
        <v>4</v>
      </c>
      <c r="H420" t="n">
        <v>0</v>
      </c>
      <c r="I420" t="n">
        <v>0</v>
      </c>
      <c r="J420" t="n">
        <v>0</v>
      </c>
      <c r="K420" t="n">
        <v>0</v>
      </c>
      <c r="L420" t="n">
        <v>0</v>
      </c>
      <c r="M420" t="n">
        <v>0</v>
      </c>
      <c r="N420" t="n">
        <v>0</v>
      </c>
      <c r="O420" t="n">
        <v>0</v>
      </c>
      <c r="P420" t="n">
        <v>0</v>
      </c>
      <c r="Q420" t="n">
        <v>0</v>
      </c>
      <c r="R420" s="2" t="inlineStr"/>
    </row>
    <row r="421" ht="15" customHeight="1">
      <c r="A421" t="inlineStr">
        <is>
          <t>A 29351-2023</t>
        </is>
      </c>
      <c r="B421" s="1" t="n">
        <v>45106.2610300926</v>
      </c>
      <c r="C421" s="1" t="n">
        <v>46038</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38604-2025</t>
        </is>
      </c>
      <c r="B422" s="1" t="n">
        <v>45884.50613425926</v>
      </c>
      <c r="C422" s="1" t="n">
        <v>46038</v>
      </c>
      <c r="D422" t="inlineStr">
        <is>
          <t>KALMAR LÄN</t>
        </is>
      </c>
      <c r="E422" t="inlineStr">
        <is>
          <t>VIMMERBY</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7630-2025</t>
        </is>
      </c>
      <c r="B423" s="1" t="n">
        <v>45705.74418981482</v>
      </c>
      <c r="C423" s="1" t="n">
        <v>46038</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1024-2024</t>
        </is>
      </c>
      <c r="B424" s="1" t="n">
        <v>45301.68237268519</v>
      </c>
      <c r="C424" s="1" t="n">
        <v>46038</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64143-2021</t>
        </is>
      </c>
      <c r="B425" s="1" t="n">
        <v>44510.52157407408</v>
      </c>
      <c r="C425" s="1" t="n">
        <v>46038</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73938-2021</t>
        </is>
      </c>
      <c r="B426" s="1" t="n">
        <v>44553</v>
      </c>
      <c r="C426" s="1" t="n">
        <v>46038</v>
      </c>
      <c r="D426" t="inlineStr">
        <is>
          <t>KALMAR LÄN</t>
        </is>
      </c>
      <c r="E426" t="inlineStr">
        <is>
          <t>VIMMERBY</t>
        </is>
      </c>
      <c r="G426" t="n">
        <v>3.2</v>
      </c>
      <c r="H426" t="n">
        <v>0</v>
      </c>
      <c r="I426" t="n">
        <v>0</v>
      </c>
      <c r="J426" t="n">
        <v>0</v>
      </c>
      <c r="K426" t="n">
        <v>0</v>
      </c>
      <c r="L426" t="n">
        <v>0</v>
      </c>
      <c r="M426" t="n">
        <v>0</v>
      </c>
      <c r="N426" t="n">
        <v>0</v>
      </c>
      <c r="O426" t="n">
        <v>0</v>
      </c>
      <c r="P426" t="n">
        <v>0</v>
      </c>
      <c r="Q426" t="n">
        <v>0</v>
      </c>
      <c r="R426" s="2" t="inlineStr"/>
    </row>
    <row r="427" ht="15" customHeight="1">
      <c r="A427" t="inlineStr">
        <is>
          <t>A 36802-2021</t>
        </is>
      </c>
      <c r="B427" s="1" t="n">
        <v>44392</v>
      </c>
      <c r="C427" s="1" t="n">
        <v>46038</v>
      </c>
      <c r="D427" t="inlineStr">
        <is>
          <t>KALMAR LÄN</t>
        </is>
      </c>
      <c r="E427" t="inlineStr">
        <is>
          <t>VIMMERBY</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10787-2025</t>
        </is>
      </c>
      <c r="B428" s="1" t="n">
        <v>45722.48915509259</v>
      </c>
      <c r="C428" s="1" t="n">
        <v>46038</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29350-2023</t>
        </is>
      </c>
      <c r="B429" s="1" t="n">
        <v>45106</v>
      </c>
      <c r="C429" s="1" t="n">
        <v>46038</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40076-2021</t>
        </is>
      </c>
      <c r="B430" s="1" t="n">
        <v>44418</v>
      </c>
      <c r="C430" s="1" t="n">
        <v>46038</v>
      </c>
      <c r="D430" t="inlineStr">
        <is>
          <t>KALMAR LÄN</t>
        </is>
      </c>
      <c r="E430" t="inlineStr">
        <is>
          <t>VIMMERBY</t>
        </is>
      </c>
      <c r="G430" t="n">
        <v>2</v>
      </c>
      <c r="H430" t="n">
        <v>0</v>
      </c>
      <c r="I430" t="n">
        <v>0</v>
      </c>
      <c r="J430" t="n">
        <v>0</v>
      </c>
      <c r="K430" t="n">
        <v>0</v>
      </c>
      <c r="L430" t="n">
        <v>0</v>
      </c>
      <c r="M430" t="n">
        <v>0</v>
      </c>
      <c r="N430" t="n">
        <v>0</v>
      </c>
      <c r="O430" t="n">
        <v>0</v>
      </c>
      <c r="P430" t="n">
        <v>0</v>
      </c>
      <c r="Q430" t="n">
        <v>0</v>
      </c>
      <c r="R430" s="2" t="inlineStr"/>
    </row>
    <row r="431" ht="15" customHeight="1">
      <c r="A431" t="inlineStr">
        <is>
          <t>A 14855-2025</t>
        </is>
      </c>
      <c r="B431" s="1" t="n">
        <v>45743.41148148148</v>
      </c>
      <c r="C431" s="1" t="n">
        <v>46038</v>
      </c>
      <c r="D431" t="inlineStr">
        <is>
          <t>KALMAR LÄN</t>
        </is>
      </c>
      <c r="E431" t="inlineStr">
        <is>
          <t>VIMMERBY</t>
        </is>
      </c>
      <c r="G431" t="n">
        <v>1.2</v>
      </c>
      <c r="H431" t="n">
        <v>0</v>
      </c>
      <c r="I431" t="n">
        <v>0</v>
      </c>
      <c r="J431" t="n">
        <v>0</v>
      </c>
      <c r="K431" t="n">
        <v>0</v>
      </c>
      <c r="L431" t="n">
        <v>0</v>
      </c>
      <c r="M431" t="n">
        <v>0</v>
      </c>
      <c r="N431" t="n">
        <v>0</v>
      </c>
      <c r="O431" t="n">
        <v>0</v>
      </c>
      <c r="P431" t="n">
        <v>0</v>
      </c>
      <c r="Q431" t="n">
        <v>0</v>
      </c>
      <c r="R431" s="2" t="inlineStr"/>
    </row>
    <row r="432" ht="15" customHeight="1">
      <c r="A432" t="inlineStr">
        <is>
          <t>A 43601-2024</t>
        </is>
      </c>
      <c r="B432" s="1" t="n">
        <v>45569.44684027778</v>
      </c>
      <c r="C432" s="1" t="n">
        <v>46038</v>
      </c>
      <c r="D432" t="inlineStr">
        <is>
          <t>KALMAR LÄN</t>
        </is>
      </c>
      <c r="E432" t="inlineStr">
        <is>
          <t>VIMMERBY</t>
        </is>
      </c>
      <c r="G432" t="n">
        <v>0.5</v>
      </c>
      <c r="H432" t="n">
        <v>0</v>
      </c>
      <c r="I432" t="n">
        <v>0</v>
      </c>
      <c r="J432" t="n">
        <v>0</v>
      </c>
      <c r="K432" t="n">
        <v>0</v>
      </c>
      <c r="L432" t="n">
        <v>0</v>
      </c>
      <c r="M432" t="n">
        <v>0</v>
      </c>
      <c r="N432" t="n">
        <v>0</v>
      </c>
      <c r="O432" t="n">
        <v>0</v>
      </c>
      <c r="P432" t="n">
        <v>0</v>
      </c>
      <c r="Q432" t="n">
        <v>0</v>
      </c>
      <c r="R432" s="2" t="inlineStr"/>
    </row>
    <row r="433" ht="15" customHeight="1">
      <c r="A433" t="inlineStr">
        <is>
          <t>A 35913-2023</t>
        </is>
      </c>
      <c r="B433" s="1" t="n">
        <v>45148</v>
      </c>
      <c r="C433" s="1" t="n">
        <v>46038</v>
      </c>
      <c r="D433" t="inlineStr">
        <is>
          <t>KALMAR LÄN</t>
        </is>
      </c>
      <c r="E433" t="inlineStr">
        <is>
          <t>VIMMERBY</t>
        </is>
      </c>
      <c r="G433" t="n">
        <v>6.9</v>
      </c>
      <c r="H433" t="n">
        <v>0</v>
      </c>
      <c r="I433" t="n">
        <v>0</v>
      </c>
      <c r="J433" t="n">
        <v>0</v>
      </c>
      <c r="K433" t="n">
        <v>0</v>
      </c>
      <c r="L433" t="n">
        <v>0</v>
      </c>
      <c r="M433" t="n">
        <v>0</v>
      </c>
      <c r="N433" t="n">
        <v>0</v>
      </c>
      <c r="O433" t="n">
        <v>0</v>
      </c>
      <c r="P433" t="n">
        <v>0</v>
      </c>
      <c r="Q433" t="n">
        <v>0</v>
      </c>
      <c r="R433" s="2" t="inlineStr"/>
    </row>
    <row r="434" ht="15" customHeight="1">
      <c r="A434" t="inlineStr">
        <is>
          <t>A 9624-2024</t>
        </is>
      </c>
      <c r="B434" s="1" t="n">
        <v>45361.90282407407</v>
      </c>
      <c r="C434" s="1" t="n">
        <v>46038</v>
      </c>
      <c r="D434" t="inlineStr">
        <is>
          <t>KALMAR LÄN</t>
        </is>
      </c>
      <c r="E434" t="inlineStr">
        <is>
          <t>VIMMERBY</t>
        </is>
      </c>
      <c r="G434" t="n">
        <v>3.8</v>
      </c>
      <c r="H434" t="n">
        <v>0</v>
      </c>
      <c r="I434" t="n">
        <v>0</v>
      </c>
      <c r="J434" t="n">
        <v>0</v>
      </c>
      <c r="K434" t="n">
        <v>0</v>
      </c>
      <c r="L434" t="n">
        <v>0</v>
      </c>
      <c r="M434" t="n">
        <v>0</v>
      </c>
      <c r="N434" t="n">
        <v>0</v>
      </c>
      <c r="O434" t="n">
        <v>0</v>
      </c>
      <c r="P434" t="n">
        <v>0</v>
      </c>
      <c r="Q434" t="n">
        <v>0</v>
      </c>
      <c r="R434" s="2" t="inlineStr"/>
    </row>
    <row r="435" ht="15" customHeight="1">
      <c r="A435" t="inlineStr">
        <is>
          <t>A 3938-2023</t>
        </is>
      </c>
      <c r="B435" s="1" t="n">
        <v>44952.35775462963</v>
      </c>
      <c r="C435" s="1" t="n">
        <v>46038</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39053-2024</t>
        </is>
      </c>
      <c r="B436" s="1" t="n">
        <v>45548</v>
      </c>
      <c r="C436" s="1" t="n">
        <v>46038</v>
      </c>
      <c r="D436" t="inlineStr">
        <is>
          <t>KALMAR LÄN</t>
        </is>
      </c>
      <c r="E436" t="inlineStr">
        <is>
          <t>VIMMERBY</t>
        </is>
      </c>
      <c r="G436" t="n">
        <v>5</v>
      </c>
      <c r="H436" t="n">
        <v>0</v>
      </c>
      <c r="I436" t="n">
        <v>0</v>
      </c>
      <c r="J436" t="n">
        <v>0</v>
      </c>
      <c r="K436" t="n">
        <v>0</v>
      </c>
      <c r="L436" t="n">
        <v>0</v>
      </c>
      <c r="M436" t="n">
        <v>0</v>
      </c>
      <c r="N436" t="n">
        <v>0</v>
      </c>
      <c r="O436" t="n">
        <v>0</v>
      </c>
      <c r="P436" t="n">
        <v>0</v>
      </c>
      <c r="Q436" t="n">
        <v>0</v>
      </c>
      <c r="R436" s="2" t="inlineStr"/>
    </row>
    <row r="437" ht="15" customHeight="1">
      <c r="A437" t="inlineStr">
        <is>
          <t>A 29726-2025</t>
        </is>
      </c>
      <c r="B437" s="1" t="n">
        <v>45825.57805555555</v>
      </c>
      <c r="C437" s="1" t="n">
        <v>46038</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50648-2023</t>
        </is>
      </c>
      <c r="B438" s="1" t="n">
        <v>45217.47834490741</v>
      </c>
      <c r="C438" s="1" t="n">
        <v>46038</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14451-2024</t>
        </is>
      </c>
      <c r="B439" s="1" t="n">
        <v>45394.50028935185</v>
      </c>
      <c r="C439" s="1" t="n">
        <v>46038</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529-2022</t>
        </is>
      </c>
      <c r="B440" s="1" t="n">
        <v>44566</v>
      </c>
      <c r="C440" s="1" t="n">
        <v>46038</v>
      </c>
      <c r="D440" t="inlineStr">
        <is>
          <t>KALMAR LÄN</t>
        </is>
      </c>
      <c r="E440" t="inlineStr">
        <is>
          <t>VIMMERBY</t>
        </is>
      </c>
      <c r="G440" t="n">
        <v>1.5</v>
      </c>
      <c r="H440" t="n">
        <v>0</v>
      </c>
      <c r="I440" t="n">
        <v>0</v>
      </c>
      <c r="J440" t="n">
        <v>0</v>
      </c>
      <c r="K440" t="n">
        <v>0</v>
      </c>
      <c r="L440" t="n">
        <v>0</v>
      </c>
      <c r="M440" t="n">
        <v>0</v>
      </c>
      <c r="N440" t="n">
        <v>0</v>
      </c>
      <c r="O440" t="n">
        <v>0</v>
      </c>
      <c r="P440" t="n">
        <v>0</v>
      </c>
      <c r="Q440" t="n">
        <v>0</v>
      </c>
      <c r="R440" s="2" t="inlineStr"/>
    </row>
    <row r="441" ht="15" customHeight="1">
      <c r="A441" t="inlineStr">
        <is>
          <t>A 58318-2021</t>
        </is>
      </c>
      <c r="B441" s="1" t="n">
        <v>44488.35878472222</v>
      </c>
      <c r="C441" s="1" t="n">
        <v>46038</v>
      </c>
      <c r="D441" t="inlineStr">
        <is>
          <t>KALMAR LÄN</t>
        </is>
      </c>
      <c r="E441" t="inlineStr">
        <is>
          <t>VIMMERBY</t>
        </is>
      </c>
      <c r="G441" t="n">
        <v>4</v>
      </c>
      <c r="H441" t="n">
        <v>0</v>
      </c>
      <c r="I441" t="n">
        <v>0</v>
      </c>
      <c r="J441" t="n">
        <v>0</v>
      </c>
      <c r="K441" t="n">
        <v>0</v>
      </c>
      <c r="L441" t="n">
        <v>0</v>
      </c>
      <c r="M441" t="n">
        <v>0</v>
      </c>
      <c r="N441" t="n">
        <v>0</v>
      </c>
      <c r="O441" t="n">
        <v>0</v>
      </c>
      <c r="P441" t="n">
        <v>0</v>
      </c>
      <c r="Q441" t="n">
        <v>0</v>
      </c>
      <c r="R441" s="2" t="inlineStr"/>
    </row>
    <row r="442" ht="15" customHeight="1">
      <c r="A442" t="inlineStr">
        <is>
          <t>A 89-2023</t>
        </is>
      </c>
      <c r="B442" s="1" t="n">
        <v>44918</v>
      </c>
      <c r="C442" s="1" t="n">
        <v>46038</v>
      </c>
      <c r="D442" t="inlineStr">
        <is>
          <t>KALMAR LÄN</t>
        </is>
      </c>
      <c r="E442" t="inlineStr">
        <is>
          <t>VIMMERBY</t>
        </is>
      </c>
      <c r="G442" t="n">
        <v>16.1</v>
      </c>
      <c r="H442" t="n">
        <v>0</v>
      </c>
      <c r="I442" t="n">
        <v>0</v>
      </c>
      <c r="J442" t="n">
        <v>0</v>
      </c>
      <c r="K442" t="n">
        <v>0</v>
      </c>
      <c r="L442" t="n">
        <v>0</v>
      </c>
      <c r="M442" t="n">
        <v>0</v>
      </c>
      <c r="N442" t="n">
        <v>0</v>
      </c>
      <c r="O442" t="n">
        <v>0</v>
      </c>
      <c r="P442" t="n">
        <v>0</v>
      </c>
      <c r="Q442" t="n">
        <v>0</v>
      </c>
      <c r="R442" s="2" t="inlineStr"/>
    </row>
    <row r="443" ht="15" customHeight="1">
      <c r="A443" t="inlineStr">
        <is>
          <t>A 34205-2023</t>
        </is>
      </c>
      <c r="B443" s="1" t="n">
        <v>45138</v>
      </c>
      <c r="C443" s="1" t="n">
        <v>46038</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23088-2024</t>
        </is>
      </c>
      <c r="B444" s="1" t="n">
        <v>45450.51092592593</v>
      </c>
      <c r="C444" s="1" t="n">
        <v>46038</v>
      </c>
      <c r="D444" t="inlineStr">
        <is>
          <t>KALMAR LÄN</t>
        </is>
      </c>
      <c r="E444" t="inlineStr">
        <is>
          <t>VIMMERBY</t>
        </is>
      </c>
      <c r="G444" t="n">
        <v>1.9</v>
      </c>
      <c r="H444" t="n">
        <v>0</v>
      </c>
      <c r="I444" t="n">
        <v>0</v>
      </c>
      <c r="J444" t="n">
        <v>0</v>
      </c>
      <c r="K444" t="n">
        <v>0</v>
      </c>
      <c r="L444" t="n">
        <v>0</v>
      </c>
      <c r="M444" t="n">
        <v>0</v>
      </c>
      <c r="N444" t="n">
        <v>0</v>
      </c>
      <c r="O444" t="n">
        <v>0</v>
      </c>
      <c r="P444" t="n">
        <v>0</v>
      </c>
      <c r="Q444" t="n">
        <v>0</v>
      </c>
      <c r="R444" s="2" t="inlineStr"/>
    </row>
    <row r="445" ht="15" customHeight="1">
      <c r="A445" t="inlineStr">
        <is>
          <t>A 39801-2025</t>
        </is>
      </c>
      <c r="B445" s="1" t="n">
        <v>45891.50216435185</v>
      </c>
      <c r="C445" s="1" t="n">
        <v>46038</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39807-2025</t>
        </is>
      </c>
      <c r="B446" s="1" t="n">
        <v>45891.50986111111</v>
      </c>
      <c r="C446" s="1" t="n">
        <v>46038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39736-2025</t>
        </is>
      </c>
      <c r="B447" s="1" t="n">
        <v>45891</v>
      </c>
      <c r="C447" s="1" t="n">
        <v>46038</v>
      </c>
      <c r="D447" t="inlineStr">
        <is>
          <t>KALMAR LÄN</t>
        </is>
      </c>
      <c r="E447" t="inlineStr">
        <is>
          <t>VIMMERBY</t>
        </is>
      </c>
      <c r="G447" t="n">
        <v>12.8</v>
      </c>
      <c r="H447" t="n">
        <v>0</v>
      </c>
      <c r="I447" t="n">
        <v>0</v>
      </c>
      <c r="J447" t="n">
        <v>0</v>
      </c>
      <c r="K447" t="n">
        <v>0</v>
      </c>
      <c r="L447" t="n">
        <v>0</v>
      </c>
      <c r="M447" t="n">
        <v>0</v>
      </c>
      <c r="N447" t="n">
        <v>0</v>
      </c>
      <c r="O447" t="n">
        <v>0</v>
      </c>
      <c r="P447" t="n">
        <v>0</v>
      </c>
      <c r="Q447" t="n">
        <v>0</v>
      </c>
      <c r="R447" s="2" t="inlineStr"/>
    </row>
    <row r="448" ht="15" customHeight="1">
      <c r="A448" t="inlineStr">
        <is>
          <t>A 38851-2023</t>
        </is>
      </c>
      <c r="B448" s="1" t="n">
        <v>45163</v>
      </c>
      <c r="C448" s="1" t="n">
        <v>46038</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10759-2023</t>
        </is>
      </c>
      <c r="B449" s="1" t="n">
        <v>44988</v>
      </c>
      <c r="C449" s="1" t="n">
        <v>46038</v>
      </c>
      <c r="D449" t="inlineStr">
        <is>
          <t>KALMAR LÄN</t>
        </is>
      </c>
      <c r="E449" t="inlineStr">
        <is>
          <t>VIMMERBY</t>
        </is>
      </c>
      <c r="G449" t="n">
        <v>0.4</v>
      </c>
      <c r="H449" t="n">
        <v>0</v>
      </c>
      <c r="I449" t="n">
        <v>0</v>
      </c>
      <c r="J449" t="n">
        <v>0</v>
      </c>
      <c r="K449" t="n">
        <v>0</v>
      </c>
      <c r="L449" t="n">
        <v>0</v>
      </c>
      <c r="M449" t="n">
        <v>0</v>
      </c>
      <c r="N449" t="n">
        <v>0</v>
      </c>
      <c r="O449" t="n">
        <v>0</v>
      </c>
      <c r="P449" t="n">
        <v>0</v>
      </c>
      <c r="Q449" t="n">
        <v>0</v>
      </c>
      <c r="R449" s="2" t="inlineStr"/>
    </row>
    <row r="450" ht="15" customHeight="1">
      <c r="A450" t="inlineStr">
        <is>
          <t>A 63583-2023</t>
        </is>
      </c>
      <c r="B450" s="1" t="n">
        <v>45275.41833333333</v>
      </c>
      <c r="C450" s="1" t="n">
        <v>46038</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40079-2023</t>
        </is>
      </c>
      <c r="B451" s="1" t="n">
        <v>45168.89298611111</v>
      </c>
      <c r="C451" s="1" t="n">
        <v>46038</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39803-2025</t>
        </is>
      </c>
      <c r="B452" s="1" t="n">
        <v>45891.50525462963</v>
      </c>
      <c r="C452" s="1" t="n">
        <v>46038</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43774-2023</t>
        </is>
      </c>
      <c r="B453" s="1" t="n">
        <v>45187</v>
      </c>
      <c r="C453" s="1" t="n">
        <v>46038</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39889-2025</t>
        </is>
      </c>
      <c r="B454" s="1" t="n">
        <v>45891</v>
      </c>
      <c r="C454" s="1" t="n">
        <v>46038</v>
      </c>
      <c r="D454" t="inlineStr">
        <is>
          <t>KALMAR LÄN</t>
        </is>
      </c>
      <c r="E454" t="inlineStr">
        <is>
          <t>VIMMERBY</t>
        </is>
      </c>
      <c r="G454" t="n">
        <v>4.5</v>
      </c>
      <c r="H454" t="n">
        <v>0</v>
      </c>
      <c r="I454" t="n">
        <v>0</v>
      </c>
      <c r="J454" t="n">
        <v>0</v>
      </c>
      <c r="K454" t="n">
        <v>0</v>
      </c>
      <c r="L454" t="n">
        <v>0</v>
      </c>
      <c r="M454" t="n">
        <v>0</v>
      </c>
      <c r="N454" t="n">
        <v>0</v>
      </c>
      <c r="O454" t="n">
        <v>0</v>
      </c>
      <c r="P454" t="n">
        <v>0</v>
      </c>
      <c r="Q454" t="n">
        <v>0</v>
      </c>
      <c r="R454" s="2" t="inlineStr"/>
    </row>
    <row r="455" ht="15" customHeight="1">
      <c r="A455" t="inlineStr">
        <is>
          <t>A 29616-2022</t>
        </is>
      </c>
      <c r="B455" s="1" t="n">
        <v>44754</v>
      </c>
      <c r="C455" s="1" t="n">
        <v>46038</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3268-2024</t>
        </is>
      </c>
      <c r="B456" s="1" t="n">
        <v>45317</v>
      </c>
      <c r="C456" s="1" t="n">
        <v>46038</v>
      </c>
      <c r="D456" t="inlineStr">
        <is>
          <t>KALMAR LÄN</t>
        </is>
      </c>
      <c r="E456" t="inlineStr">
        <is>
          <t>VIMMERBY</t>
        </is>
      </c>
      <c r="F456" t="inlineStr">
        <is>
          <t>Övriga Aktiebolag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12819-2024</t>
        </is>
      </c>
      <c r="B457" s="1" t="n">
        <v>45384.66917824074</v>
      </c>
      <c r="C457" s="1" t="n">
        <v>46038</v>
      </c>
      <c r="D457" t="inlineStr">
        <is>
          <t>KALMAR LÄN</t>
        </is>
      </c>
      <c r="E457" t="inlineStr">
        <is>
          <t>VIMMERBY</t>
        </is>
      </c>
      <c r="G457" t="n">
        <v>5.1</v>
      </c>
      <c r="H457" t="n">
        <v>0</v>
      </c>
      <c r="I457" t="n">
        <v>0</v>
      </c>
      <c r="J457" t="n">
        <v>0</v>
      </c>
      <c r="K457" t="n">
        <v>0</v>
      </c>
      <c r="L457" t="n">
        <v>0</v>
      </c>
      <c r="M457" t="n">
        <v>0</v>
      </c>
      <c r="N457" t="n">
        <v>0</v>
      </c>
      <c r="O457" t="n">
        <v>0</v>
      </c>
      <c r="P457" t="n">
        <v>0</v>
      </c>
      <c r="Q457" t="n">
        <v>0</v>
      </c>
      <c r="R457" s="2" t="inlineStr"/>
    </row>
    <row r="458" ht="15" customHeight="1">
      <c r="A458" t="inlineStr">
        <is>
          <t>A 6214-2025</t>
        </is>
      </c>
      <c r="B458" s="1" t="n">
        <v>45698.51711805556</v>
      </c>
      <c r="C458" s="1" t="n">
        <v>46038</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32569-2024</t>
        </is>
      </c>
      <c r="B459" s="1" t="n">
        <v>45513.55840277778</v>
      </c>
      <c r="C459" s="1" t="n">
        <v>46038</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32575-2024</t>
        </is>
      </c>
      <c r="B460" s="1" t="n">
        <v>45513.56527777778</v>
      </c>
      <c r="C460" s="1" t="n">
        <v>46038</v>
      </c>
      <c r="D460" t="inlineStr">
        <is>
          <t>KALMAR LÄN</t>
        </is>
      </c>
      <c r="E460" t="inlineStr">
        <is>
          <t>VIMMERBY</t>
        </is>
      </c>
      <c r="G460" t="n">
        <v>1.5</v>
      </c>
      <c r="H460" t="n">
        <v>0</v>
      </c>
      <c r="I460" t="n">
        <v>0</v>
      </c>
      <c r="J460" t="n">
        <v>0</v>
      </c>
      <c r="K460" t="n">
        <v>0</v>
      </c>
      <c r="L460" t="n">
        <v>0</v>
      </c>
      <c r="M460" t="n">
        <v>0</v>
      </c>
      <c r="N460" t="n">
        <v>0</v>
      </c>
      <c r="O460" t="n">
        <v>0</v>
      </c>
      <c r="P460" t="n">
        <v>0</v>
      </c>
      <c r="Q460" t="n">
        <v>0</v>
      </c>
      <c r="R460" s="2" t="inlineStr"/>
    </row>
    <row r="461" ht="15" customHeight="1">
      <c r="A461" t="inlineStr">
        <is>
          <t>A 39578-2024</t>
        </is>
      </c>
      <c r="B461" s="1" t="n">
        <v>45552.36484953704</v>
      </c>
      <c r="C461" s="1" t="n">
        <v>46038</v>
      </c>
      <c r="D461" t="inlineStr">
        <is>
          <t>KALMAR LÄN</t>
        </is>
      </c>
      <c r="E461" t="inlineStr">
        <is>
          <t>VIMMERBY</t>
        </is>
      </c>
      <c r="G461" t="n">
        <v>1.5</v>
      </c>
      <c r="H461" t="n">
        <v>0</v>
      </c>
      <c r="I461" t="n">
        <v>0</v>
      </c>
      <c r="J461" t="n">
        <v>0</v>
      </c>
      <c r="K461" t="n">
        <v>0</v>
      </c>
      <c r="L461" t="n">
        <v>0</v>
      </c>
      <c r="M461" t="n">
        <v>0</v>
      </c>
      <c r="N461" t="n">
        <v>0</v>
      </c>
      <c r="O461" t="n">
        <v>0</v>
      </c>
      <c r="P461" t="n">
        <v>0</v>
      </c>
      <c r="Q461" t="n">
        <v>0</v>
      </c>
      <c r="R461" s="2" t="inlineStr"/>
    </row>
    <row r="462" ht="15" customHeight="1">
      <c r="A462" t="inlineStr">
        <is>
          <t>A 40925-2025</t>
        </is>
      </c>
      <c r="B462" s="1" t="n">
        <v>45897.64208333333</v>
      </c>
      <c r="C462" s="1" t="n">
        <v>46038</v>
      </c>
      <c r="D462" t="inlineStr">
        <is>
          <t>KALMAR LÄN</t>
        </is>
      </c>
      <c r="E462" t="inlineStr">
        <is>
          <t>VIMMERBY</t>
        </is>
      </c>
      <c r="G462" t="n">
        <v>1.9</v>
      </c>
      <c r="H462" t="n">
        <v>0</v>
      </c>
      <c r="I462" t="n">
        <v>0</v>
      </c>
      <c r="J462" t="n">
        <v>0</v>
      </c>
      <c r="K462" t="n">
        <v>0</v>
      </c>
      <c r="L462" t="n">
        <v>0</v>
      </c>
      <c r="M462" t="n">
        <v>0</v>
      </c>
      <c r="N462" t="n">
        <v>0</v>
      </c>
      <c r="O462" t="n">
        <v>0</v>
      </c>
      <c r="P462" t="n">
        <v>0</v>
      </c>
      <c r="Q462" t="n">
        <v>0</v>
      </c>
      <c r="R462" s="2" t="inlineStr"/>
    </row>
    <row r="463" ht="15" customHeight="1">
      <c r="A463" t="inlineStr">
        <is>
          <t>A 24707-2024</t>
        </is>
      </c>
      <c r="B463" s="1" t="n">
        <v>45460.62172453704</v>
      </c>
      <c r="C463" s="1" t="n">
        <v>46038</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40921-2025</t>
        </is>
      </c>
      <c r="B464" s="1" t="n">
        <v>45897.63520833333</v>
      </c>
      <c r="C464" s="1" t="n">
        <v>46038</v>
      </c>
      <c r="D464" t="inlineStr">
        <is>
          <t>KALMAR LÄN</t>
        </is>
      </c>
      <c r="E464" t="inlineStr">
        <is>
          <t>VIMMERBY</t>
        </is>
      </c>
      <c r="G464" t="n">
        <v>4.2</v>
      </c>
      <c r="H464" t="n">
        <v>0</v>
      </c>
      <c r="I464" t="n">
        <v>0</v>
      </c>
      <c r="J464" t="n">
        <v>0</v>
      </c>
      <c r="K464" t="n">
        <v>0</v>
      </c>
      <c r="L464" t="n">
        <v>0</v>
      </c>
      <c r="M464" t="n">
        <v>0</v>
      </c>
      <c r="N464" t="n">
        <v>0</v>
      </c>
      <c r="O464" t="n">
        <v>0</v>
      </c>
      <c r="P464" t="n">
        <v>0</v>
      </c>
      <c r="Q464" t="n">
        <v>0</v>
      </c>
      <c r="R464" s="2" t="inlineStr"/>
    </row>
    <row r="465" ht="15" customHeight="1">
      <c r="A465" t="inlineStr">
        <is>
          <t>A 59300-2024</t>
        </is>
      </c>
      <c r="B465" s="1" t="n">
        <v>45637.66542824074</v>
      </c>
      <c r="C465" s="1" t="n">
        <v>46038</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41224-2025</t>
        </is>
      </c>
      <c r="B466" s="1" t="n">
        <v>45898.58861111111</v>
      </c>
      <c r="C466" s="1" t="n">
        <v>46038</v>
      </c>
      <c r="D466" t="inlineStr">
        <is>
          <t>KALMAR LÄN</t>
        </is>
      </c>
      <c r="E466" t="inlineStr">
        <is>
          <t>VIMMERBY</t>
        </is>
      </c>
      <c r="G466" t="n">
        <v>4.4</v>
      </c>
      <c r="H466" t="n">
        <v>0</v>
      </c>
      <c r="I466" t="n">
        <v>0</v>
      </c>
      <c r="J466" t="n">
        <v>0</v>
      </c>
      <c r="K466" t="n">
        <v>0</v>
      </c>
      <c r="L466" t="n">
        <v>0</v>
      </c>
      <c r="M466" t="n">
        <v>0</v>
      </c>
      <c r="N466" t="n">
        <v>0</v>
      </c>
      <c r="O466" t="n">
        <v>0</v>
      </c>
      <c r="P466" t="n">
        <v>0</v>
      </c>
      <c r="Q466" t="n">
        <v>0</v>
      </c>
      <c r="R466" s="2" t="inlineStr"/>
    </row>
    <row r="467" ht="15" customHeight="1">
      <c r="A467" t="inlineStr">
        <is>
          <t>A 59768-2024</t>
        </is>
      </c>
      <c r="B467" s="1" t="n">
        <v>45639.56185185185</v>
      </c>
      <c r="C467" s="1" t="n">
        <v>46038</v>
      </c>
      <c r="D467" t="inlineStr">
        <is>
          <t>KALMAR LÄN</t>
        </is>
      </c>
      <c r="E467" t="inlineStr">
        <is>
          <t>VIMMERBY</t>
        </is>
      </c>
      <c r="G467" t="n">
        <v>5.9</v>
      </c>
      <c r="H467" t="n">
        <v>0</v>
      </c>
      <c r="I467" t="n">
        <v>0</v>
      </c>
      <c r="J467" t="n">
        <v>0</v>
      </c>
      <c r="K467" t="n">
        <v>0</v>
      </c>
      <c r="L467" t="n">
        <v>0</v>
      </c>
      <c r="M467" t="n">
        <v>0</v>
      </c>
      <c r="N467" t="n">
        <v>0</v>
      </c>
      <c r="O467" t="n">
        <v>0</v>
      </c>
      <c r="P467" t="n">
        <v>0</v>
      </c>
      <c r="Q467" t="n">
        <v>0</v>
      </c>
      <c r="R467" s="2" t="inlineStr"/>
    </row>
    <row r="468" ht="15" customHeight="1">
      <c r="A468" t="inlineStr">
        <is>
          <t>A 31056-2022</t>
        </is>
      </c>
      <c r="B468" s="1" t="n">
        <v>44769.45805555556</v>
      </c>
      <c r="C468" s="1" t="n">
        <v>46038</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33383-2023</t>
        </is>
      </c>
      <c r="B469" s="1" t="n">
        <v>45128.58414351852</v>
      </c>
      <c r="C469" s="1" t="n">
        <v>46038</v>
      </c>
      <c r="D469" t="inlineStr">
        <is>
          <t>KALMAR LÄN</t>
        </is>
      </c>
      <c r="E469" t="inlineStr">
        <is>
          <t>VIMMERBY</t>
        </is>
      </c>
      <c r="G469" t="n">
        <v>2.3</v>
      </c>
      <c r="H469" t="n">
        <v>0</v>
      </c>
      <c r="I469" t="n">
        <v>0</v>
      </c>
      <c r="J469" t="n">
        <v>0</v>
      </c>
      <c r="K469" t="n">
        <v>0</v>
      </c>
      <c r="L469" t="n">
        <v>0</v>
      </c>
      <c r="M469" t="n">
        <v>0</v>
      </c>
      <c r="N469" t="n">
        <v>0</v>
      </c>
      <c r="O469" t="n">
        <v>0</v>
      </c>
      <c r="P469" t="n">
        <v>0</v>
      </c>
      <c r="Q469" t="n">
        <v>0</v>
      </c>
      <c r="R469" s="2" t="inlineStr"/>
    </row>
    <row r="470" ht="15" customHeight="1">
      <c r="A470" t="inlineStr">
        <is>
          <t>A 36526-2023</t>
        </is>
      </c>
      <c r="B470" s="1" t="n">
        <v>45153.32778935185</v>
      </c>
      <c r="C470" s="1" t="n">
        <v>46038</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41591-2025</t>
        </is>
      </c>
      <c r="B471" s="1" t="n">
        <v>45901.6327662037</v>
      </c>
      <c r="C471" s="1" t="n">
        <v>46038</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40971-2025</t>
        </is>
      </c>
      <c r="B472" s="1" t="n">
        <v>45897.88836805556</v>
      </c>
      <c r="C472" s="1" t="n">
        <v>46038</v>
      </c>
      <c r="D472" t="inlineStr">
        <is>
          <t>KALMAR LÄN</t>
        </is>
      </c>
      <c r="E472" t="inlineStr">
        <is>
          <t>VIMMERBY</t>
        </is>
      </c>
      <c r="G472" t="n">
        <v>1.5</v>
      </c>
      <c r="H472" t="n">
        <v>0</v>
      </c>
      <c r="I472" t="n">
        <v>0</v>
      </c>
      <c r="J472" t="n">
        <v>0</v>
      </c>
      <c r="K472" t="n">
        <v>0</v>
      </c>
      <c r="L472" t="n">
        <v>0</v>
      </c>
      <c r="M472" t="n">
        <v>0</v>
      </c>
      <c r="N472" t="n">
        <v>0</v>
      </c>
      <c r="O472" t="n">
        <v>0</v>
      </c>
      <c r="P472" t="n">
        <v>0</v>
      </c>
      <c r="Q472" t="n">
        <v>0</v>
      </c>
      <c r="R472" s="2" t="inlineStr"/>
    </row>
    <row r="473" ht="15" customHeight="1">
      <c r="A473" t="inlineStr">
        <is>
          <t>A 41589-2025</t>
        </is>
      </c>
      <c r="B473" s="1" t="n">
        <v>45901.63219907408</v>
      </c>
      <c r="C473" s="1" t="n">
        <v>46038</v>
      </c>
      <c r="D473" t="inlineStr">
        <is>
          <t>KALMAR LÄN</t>
        </is>
      </c>
      <c r="E473" t="inlineStr">
        <is>
          <t>VIMMERBY</t>
        </is>
      </c>
      <c r="G473" t="n">
        <v>1.7</v>
      </c>
      <c r="H473" t="n">
        <v>0</v>
      </c>
      <c r="I473" t="n">
        <v>0</v>
      </c>
      <c r="J473" t="n">
        <v>0</v>
      </c>
      <c r="K473" t="n">
        <v>0</v>
      </c>
      <c r="L473" t="n">
        <v>0</v>
      </c>
      <c r="M473" t="n">
        <v>0</v>
      </c>
      <c r="N473" t="n">
        <v>0</v>
      </c>
      <c r="O473" t="n">
        <v>0</v>
      </c>
      <c r="P473" t="n">
        <v>0</v>
      </c>
      <c r="Q473" t="n">
        <v>0</v>
      </c>
      <c r="R473" s="2" t="inlineStr"/>
    </row>
    <row r="474" ht="15" customHeight="1">
      <c r="A474" t="inlineStr">
        <is>
          <t>A 40970-2025</t>
        </is>
      </c>
      <c r="B474" s="1" t="n">
        <v>45897.88706018519</v>
      </c>
      <c r="C474" s="1" t="n">
        <v>46038</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40973-2025</t>
        </is>
      </c>
      <c r="B475" s="1" t="n">
        <v>45897.89737268518</v>
      </c>
      <c r="C475" s="1" t="n">
        <v>46038</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40828-2023</t>
        </is>
      </c>
      <c r="B476" s="1" t="n">
        <v>45171.96248842592</v>
      </c>
      <c r="C476" s="1" t="n">
        <v>46038</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58728-2024</t>
        </is>
      </c>
      <c r="B477" s="1" t="n">
        <v>45635.66695601852</v>
      </c>
      <c r="C477" s="1" t="n">
        <v>46038</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34090-2025</t>
        </is>
      </c>
      <c r="B478" s="1" t="n">
        <v>45845</v>
      </c>
      <c r="C478" s="1" t="n">
        <v>46038</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49474-2023</t>
        </is>
      </c>
      <c r="B479" s="1" t="n">
        <v>45211.541875</v>
      </c>
      <c r="C479" s="1" t="n">
        <v>46038</v>
      </c>
      <c r="D479" t="inlineStr">
        <is>
          <t>KALMAR LÄN</t>
        </is>
      </c>
      <c r="E479" t="inlineStr">
        <is>
          <t>VIMMERBY</t>
        </is>
      </c>
      <c r="G479" t="n">
        <v>3.6</v>
      </c>
      <c r="H479" t="n">
        <v>0</v>
      </c>
      <c r="I479" t="n">
        <v>0</v>
      </c>
      <c r="J479" t="n">
        <v>0</v>
      </c>
      <c r="K479" t="n">
        <v>0</v>
      </c>
      <c r="L479" t="n">
        <v>0</v>
      </c>
      <c r="M479" t="n">
        <v>0</v>
      </c>
      <c r="N479" t="n">
        <v>0</v>
      </c>
      <c r="O479" t="n">
        <v>0</v>
      </c>
      <c r="P479" t="n">
        <v>0</v>
      </c>
      <c r="Q479" t="n">
        <v>0</v>
      </c>
      <c r="R479" s="2" t="inlineStr"/>
    </row>
    <row r="480" ht="15" customHeight="1">
      <c r="A480" t="inlineStr">
        <is>
          <t>A 57682-2022</t>
        </is>
      </c>
      <c r="B480" s="1" t="n">
        <v>44890</v>
      </c>
      <c r="C480" s="1" t="n">
        <v>46038</v>
      </c>
      <c r="D480" t="inlineStr">
        <is>
          <t>KALMAR LÄN</t>
        </is>
      </c>
      <c r="E480" t="inlineStr">
        <is>
          <t>VIMMERBY</t>
        </is>
      </c>
      <c r="G480" t="n">
        <v>1.5</v>
      </c>
      <c r="H480" t="n">
        <v>0</v>
      </c>
      <c r="I480" t="n">
        <v>0</v>
      </c>
      <c r="J480" t="n">
        <v>0</v>
      </c>
      <c r="K480" t="n">
        <v>0</v>
      </c>
      <c r="L480" t="n">
        <v>0</v>
      </c>
      <c r="M480" t="n">
        <v>0</v>
      </c>
      <c r="N480" t="n">
        <v>0</v>
      </c>
      <c r="O480" t="n">
        <v>0</v>
      </c>
      <c r="P480" t="n">
        <v>0</v>
      </c>
      <c r="Q480" t="n">
        <v>0</v>
      </c>
      <c r="R480" s="2" t="inlineStr"/>
    </row>
    <row r="481" ht="15" customHeight="1">
      <c r="A481" t="inlineStr">
        <is>
          <t>A 14220-2021</t>
        </is>
      </c>
      <c r="B481" s="1" t="n">
        <v>44278.54855324074</v>
      </c>
      <c r="C481" s="1" t="n">
        <v>46038</v>
      </c>
      <c r="D481" t="inlineStr">
        <is>
          <t>KALMAR LÄN</t>
        </is>
      </c>
      <c r="E481" t="inlineStr">
        <is>
          <t>VIMMERBY</t>
        </is>
      </c>
      <c r="G481" t="n">
        <v>0.3</v>
      </c>
      <c r="H481" t="n">
        <v>0</v>
      </c>
      <c r="I481" t="n">
        <v>0</v>
      </c>
      <c r="J481" t="n">
        <v>0</v>
      </c>
      <c r="K481" t="n">
        <v>0</v>
      </c>
      <c r="L481" t="n">
        <v>0</v>
      </c>
      <c r="M481" t="n">
        <v>0</v>
      </c>
      <c r="N481" t="n">
        <v>0</v>
      </c>
      <c r="O481" t="n">
        <v>0</v>
      </c>
      <c r="P481" t="n">
        <v>0</v>
      </c>
      <c r="Q481" t="n">
        <v>0</v>
      </c>
      <c r="R481" s="2" t="inlineStr"/>
    </row>
    <row r="482" ht="15" customHeight="1">
      <c r="A482" t="inlineStr">
        <is>
          <t>A 63950-2023</t>
        </is>
      </c>
      <c r="B482" s="1" t="n">
        <v>45278</v>
      </c>
      <c r="C482" s="1" t="n">
        <v>46038</v>
      </c>
      <c r="D482" t="inlineStr">
        <is>
          <t>KALMAR LÄN</t>
        </is>
      </c>
      <c r="E482" t="inlineStr">
        <is>
          <t>VIMMERBY</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61861-2024</t>
        </is>
      </c>
      <c r="B483" s="1" t="n">
        <v>45650.37370370371</v>
      </c>
      <c r="C483" s="1" t="n">
        <v>46038</v>
      </c>
      <c r="D483" t="inlineStr">
        <is>
          <t>KALMAR LÄN</t>
        </is>
      </c>
      <c r="E483" t="inlineStr">
        <is>
          <t>VIMMERBY</t>
        </is>
      </c>
      <c r="G483" t="n">
        <v>1</v>
      </c>
      <c r="H483" t="n">
        <v>0</v>
      </c>
      <c r="I483" t="n">
        <v>0</v>
      </c>
      <c r="J483" t="n">
        <v>0</v>
      </c>
      <c r="K483" t="n">
        <v>0</v>
      </c>
      <c r="L483" t="n">
        <v>0</v>
      </c>
      <c r="M483" t="n">
        <v>0</v>
      </c>
      <c r="N483" t="n">
        <v>0</v>
      </c>
      <c r="O483" t="n">
        <v>0</v>
      </c>
      <c r="P483" t="n">
        <v>0</v>
      </c>
      <c r="Q483" t="n">
        <v>0</v>
      </c>
      <c r="R483" s="2" t="inlineStr"/>
    </row>
    <row r="484" ht="15" customHeight="1">
      <c r="A484" t="inlineStr">
        <is>
          <t>A 16516-2023</t>
        </is>
      </c>
      <c r="B484" s="1" t="n">
        <v>45029</v>
      </c>
      <c r="C484" s="1" t="n">
        <v>46038</v>
      </c>
      <c r="D484" t="inlineStr">
        <is>
          <t>KALMAR LÄN</t>
        </is>
      </c>
      <c r="E484" t="inlineStr">
        <is>
          <t>VIMMERBY</t>
        </is>
      </c>
      <c r="G484" t="n">
        <v>4.3</v>
      </c>
      <c r="H484" t="n">
        <v>0</v>
      </c>
      <c r="I484" t="n">
        <v>0</v>
      </c>
      <c r="J484" t="n">
        <v>0</v>
      </c>
      <c r="K484" t="n">
        <v>0</v>
      </c>
      <c r="L484" t="n">
        <v>0</v>
      </c>
      <c r="M484" t="n">
        <v>0</v>
      </c>
      <c r="N484" t="n">
        <v>0</v>
      </c>
      <c r="O484" t="n">
        <v>0</v>
      </c>
      <c r="P484" t="n">
        <v>0</v>
      </c>
      <c r="Q484" t="n">
        <v>0</v>
      </c>
      <c r="R484" s="2" t="inlineStr"/>
    </row>
    <row r="485" ht="15" customHeight="1">
      <c r="A485" t="inlineStr">
        <is>
          <t>A 41735-2025</t>
        </is>
      </c>
      <c r="B485" s="1" t="n">
        <v>45902.47164351852</v>
      </c>
      <c r="C485" s="1" t="n">
        <v>46038</v>
      </c>
      <c r="D485" t="inlineStr">
        <is>
          <t>KALMAR LÄN</t>
        </is>
      </c>
      <c r="E485" t="inlineStr">
        <is>
          <t>VIMMERBY</t>
        </is>
      </c>
      <c r="G485" t="n">
        <v>3</v>
      </c>
      <c r="H485" t="n">
        <v>0</v>
      </c>
      <c r="I485" t="n">
        <v>0</v>
      </c>
      <c r="J485" t="n">
        <v>0</v>
      </c>
      <c r="K485" t="n">
        <v>0</v>
      </c>
      <c r="L485" t="n">
        <v>0</v>
      </c>
      <c r="M485" t="n">
        <v>0</v>
      </c>
      <c r="N485" t="n">
        <v>0</v>
      </c>
      <c r="O485" t="n">
        <v>0</v>
      </c>
      <c r="P485" t="n">
        <v>0</v>
      </c>
      <c r="Q485" t="n">
        <v>0</v>
      </c>
      <c r="R485" s="2" t="inlineStr"/>
    </row>
    <row r="486" ht="15" customHeight="1">
      <c r="A486" t="inlineStr">
        <is>
          <t>A 8650-2022</t>
        </is>
      </c>
      <c r="B486" s="1" t="n">
        <v>44613</v>
      </c>
      <c r="C486" s="1" t="n">
        <v>46038</v>
      </c>
      <c r="D486" t="inlineStr">
        <is>
          <t>KALMAR LÄN</t>
        </is>
      </c>
      <c r="E486" t="inlineStr">
        <is>
          <t>VIMMERBY</t>
        </is>
      </c>
      <c r="G486" t="n">
        <v>1.4</v>
      </c>
      <c r="H486" t="n">
        <v>0</v>
      </c>
      <c r="I486" t="n">
        <v>0</v>
      </c>
      <c r="J486" t="n">
        <v>0</v>
      </c>
      <c r="K486" t="n">
        <v>0</v>
      </c>
      <c r="L486" t="n">
        <v>0</v>
      </c>
      <c r="M486" t="n">
        <v>0</v>
      </c>
      <c r="N486" t="n">
        <v>0</v>
      </c>
      <c r="O486" t="n">
        <v>0</v>
      </c>
      <c r="P486" t="n">
        <v>0</v>
      </c>
      <c r="Q486" t="n">
        <v>0</v>
      </c>
      <c r="R486" s="2" t="inlineStr"/>
    </row>
    <row r="487" ht="15" customHeight="1">
      <c r="A487" t="inlineStr">
        <is>
          <t>A 33340-2023</t>
        </is>
      </c>
      <c r="B487" s="1" t="n">
        <v>45128.37305555555</v>
      </c>
      <c r="C487" s="1" t="n">
        <v>46038</v>
      </c>
      <c r="D487" t="inlineStr">
        <is>
          <t>KALMAR LÄN</t>
        </is>
      </c>
      <c r="E487" t="inlineStr">
        <is>
          <t>VIMMERBY</t>
        </is>
      </c>
      <c r="G487" t="n">
        <v>1.5</v>
      </c>
      <c r="H487" t="n">
        <v>0</v>
      </c>
      <c r="I487" t="n">
        <v>0</v>
      </c>
      <c r="J487" t="n">
        <v>0</v>
      </c>
      <c r="K487" t="n">
        <v>0</v>
      </c>
      <c r="L487" t="n">
        <v>0</v>
      </c>
      <c r="M487" t="n">
        <v>0</v>
      </c>
      <c r="N487" t="n">
        <v>0</v>
      </c>
      <c r="O487" t="n">
        <v>0</v>
      </c>
      <c r="P487" t="n">
        <v>0</v>
      </c>
      <c r="Q487" t="n">
        <v>0</v>
      </c>
      <c r="R487" s="2" t="inlineStr"/>
    </row>
    <row r="488" ht="15" customHeight="1">
      <c r="A488" t="inlineStr">
        <is>
          <t>A 44423-2023</t>
        </is>
      </c>
      <c r="B488" s="1" t="n">
        <v>45189</v>
      </c>
      <c r="C488" s="1" t="n">
        <v>46038</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47842-2024</t>
        </is>
      </c>
      <c r="B489" s="1" t="n">
        <v>45588.65545138889</v>
      </c>
      <c r="C489" s="1" t="n">
        <v>46038</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6408-2025</t>
        </is>
      </c>
      <c r="B490" s="1" t="n">
        <v>45699.45671296296</v>
      </c>
      <c r="C490" s="1" t="n">
        <v>46038</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37323-2024</t>
        </is>
      </c>
      <c r="B491" s="1" t="n">
        <v>45540.50098379629</v>
      </c>
      <c r="C491" s="1" t="n">
        <v>46038</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25109-2023</t>
        </is>
      </c>
      <c r="B492" s="1" t="n">
        <v>45086</v>
      </c>
      <c r="C492" s="1" t="n">
        <v>46038</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33380-2023</t>
        </is>
      </c>
      <c r="B493" s="1" t="n">
        <v>45128</v>
      </c>
      <c r="C493" s="1" t="n">
        <v>46038</v>
      </c>
      <c r="D493" t="inlineStr">
        <is>
          <t>KALMAR LÄN</t>
        </is>
      </c>
      <c r="E493" t="inlineStr">
        <is>
          <t>VIMMERBY</t>
        </is>
      </c>
      <c r="G493" t="n">
        <v>5.2</v>
      </c>
      <c r="H493" t="n">
        <v>0</v>
      </c>
      <c r="I493" t="n">
        <v>0</v>
      </c>
      <c r="J493" t="n">
        <v>0</v>
      </c>
      <c r="K493" t="n">
        <v>0</v>
      </c>
      <c r="L493" t="n">
        <v>0</v>
      </c>
      <c r="M493" t="n">
        <v>0</v>
      </c>
      <c r="N493" t="n">
        <v>0</v>
      </c>
      <c r="O493" t="n">
        <v>0</v>
      </c>
      <c r="P493" t="n">
        <v>0</v>
      </c>
      <c r="Q493" t="n">
        <v>0</v>
      </c>
      <c r="R493" s="2" t="inlineStr"/>
    </row>
    <row r="494" ht="15" customHeight="1">
      <c r="A494" t="inlineStr">
        <is>
          <t>A 32639-2023</t>
        </is>
      </c>
      <c r="B494" s="1" t="n">
        <v>45121.5965162037</v>
      </c>
      <c r="C494" s="1" t="n">
        <v>46038</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32642-2023</t>
        </is>
      </c>
      <c r="B495" s="1" t="n">
        <v>45121.59954861111</v>
      </c>
      <c r="C495" s="1" t="n">
        <v>46038</v>
      </c>
      <c r="D495" t="inlineStr">
        <is>
          <t>KALMAR LÄN</t>
        </is>
      </c>
      <c r="E495" t="inlineStr">
        <is>
          <t>VIMMERBY</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32651-2023</t>
        </is>
      </c>
      <c r="B496" s="1" t="n">
        <v>45121.6096875</v>
      </c>
      <c r="C496" s="1" t="n">
        <v>46038</v>
      </c>
      <c r="D496" t="inlineStr">
        <is>
          <t>KALMAR LÄN</t>
        </is>
      </c>
      <c r="E496" t="inlineStr">
        <is>
          <t>VIMMERBY</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11928-2022</t>
        </is>
      </c>
      <c r="B497" s="1" t="n">
        <v>44635</v>
      </c>
      <c r="C497" s="1" t="n">
        <v>46038</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42828-2025</t>
        </is>
      </c>
      <c r="B498" s="1" t="n">
        <v>45908.57716435185</v>
      </c>
      <c r="C498" s="1" t="n">
        <v>46038</v>
      </c>
      <c r="D498" t="inlineStr">
        <is>
          <t>KALMAR LÄN</t>
        </is>
      </c>
      <c r="E498" t="inlineStr">
        <is>
          <t>VIMMERBY</t>
        </is>
      </c>
      <c r="G498" t="n">
        <v>5.2</v>
      </c>
      <c r="H498" t="n">
        <v>0</v>
      </c>
      <c r="I498" t="n">
        <v>0</v>
      </c>
      <c r="J498" t="n">
        <v>0</v>
      </c>
      <c r="K498" t="n">
        <v>0</v>
      </c>
      <c r="L498" t="n">
        <v>0</v>
      </c>
      <c r="M498" t="n">
        <v>0</v>
      </c>
      <c r="N498" t="n">
        <v>0</v>
      </c>
      <c r="O498" t="n">
        <v>0</v>
      </c>
      <c r="P498" t="n">
        <v>0</v>
      </c>
      <c r="Q498" t="n">
        <v>0</v>
      </c>
      <c r="R498" s="2" t="inlineStr"/>
    </row>
    <row r="499" ht="15" customHeight="1">
      <c r="A499" t="inlineStr">
        <is>
          <t>A 42794-2025</t>
        </is>
      </c>
      <c r="B499" s="1" t="n">
        <v>45908</v>
      </c>
      <c r="C499" s="1" t="n">
        <v>46038</v>
      </c>
      <c r="D499" t="inlineStr">
        <is>
          <t>KALMAR LÄN</t>
        </is>
      </c>
      <c r="E499" t="inlineStr">
        <is>
          <t>VIMMERBY</t>
        </is>
      </c>
      <c r="G499" t="n">
        <v>0.9</v>
      </c>
      <c r="H499" t="n">
        <v>0</v>
      </c>
      <c r="I499" t="n">
        <v>0</v>
      </c>
      <c r="J499" t="n">
        <v>0</v>
      </c>
      <c r="K499" t="n">
        <v>0</v>
      </c>
      <c r="L499" t="n">
        <v>0</v>
      </c>
      <c r="M499" t="n">
        <v>0</v>
      </c>
      <c r="N499" t="n">
        <v>0</v>
      </c>
      <c r="O499" t="n">
        <v>0</v>
      </c>
      <c r="P499" t="n">
        <v>0</v>
      </c>
      <c r="Q499" t="n">
        <v>0</v>
      </c>
      <c r="R499" s="2" t="inlineStr"/>
    </row>
    <row r="500" ht="15" customHeight="1">
      <c r="A500" t="inlineStr">
        <is>
          <t>A 42820-2025</t>
        </is>
      </c>
      <c r="B500" s="1" t="n">
        <v>45908</v>
      </c>
      <c r="C500" s="1" t="n">
        <v>46038</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18501-2024</t>
        </is>
      </c>
      <c r="B501" s="1" t="n">
        <v>45425.57538194444</v>
      </c>
      <c r="C501" s="1" t="n">
        <v>46038</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7068-2024</t>
        </is>
      </c>
      <c r="B502" s="1" t="n">
        <v>45343.68038194445</v>
      </c>
      <c r="C502" s="1" t="n">
        <v>46038</v>
      </c>
      <c r="D502" t="inlineStr">
        <is>
          <t>KALMAR LÄN</t>
        </is>
      </c>
      <c r="E502" t="inlineStr">
        <is>
          <t>VIMMERBY</t>
        </is>
      </c>
      <c r="G502" t="n">
        <v>2.5</v>
      </c>
      <c r="H502" t="n">
        <v>0</v>
      </c>
      <c r="I502" t="n">
        <v>0</v>
      </c>
      <c r="J502" t="n">
        <v>0</v>
      </c>
      <c r="K502" t="n">
        <v>0</v>
      </c>
      <c r="L502" t="n">
        <v>0</v>
      </c>
      <c r="M502" t="n">
        <v>0</v>
      </c>
      <c r="N502" t="n">
        <v>0</v>
      </c>
      <c r="O502" t="n">
        <v>0</v>
      </c>
      <c r="P502" t="n">
        <v>0</v>
      </c>
      <c r="Q502" t="n">
        <v>0</v>
      </c>
      <c r="R502" s="2" t="inlineStr"/>
    </row>
    <row r="503" ht="15" customHeight="1">
      <c r="A503" t="inlineStr">
        <is>
          <t>A 46234-2024</t>
        </is>
      </c>
      <c r="B503" s="1" t="n">
        <v>45581.57958333333</v>
      </c>
      <c r="C503" s="1" t="n">
        <v>46038</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34060-2025</t>
        </is>
      </c>
      <c r="B504" s="1" t="n">
        <v>45845.42015046296</v>
      </c>
      <c r="C504" s="1" t="n">
        <v>46038</v>
      </c>
      <c r="D504" t="inlineStr">
        <is>
          <t>KALMAR LÄN</t>
        </is>
      </c>
      <c r="E504" t="inlineStr">
        <is>
          <t>VIMMERBY</t>
        </is>
      </c>
      <c r="G504" t="n">
        <v>5.7</v>
      </c>
      <c r="H504" t="n">
        <v>0</v>
      </c>
      <c r="I504" t="n">
        <v>0</v>
      </c>
      <c r="J504" t="n">
        <v>0</v>
      </c>
      <c r="K504" t="n">
        <v>0</v>
      </c>
      <c r="L504" t="n">
        <v>0</v>
      </c>
      <c r="M504" t="n">
        <v>0</v>
      </c>
      <c r="N504" t="n">
        <v>0</v>
      </c>
      <c r="O504" t="n">
        <v>0</v>
      </c>
      <c r="P504" t="n">
        <v>0</v>
      </c>
      <c r="Q504" t="n">
        <v>0</v>
      </c>
      <c r="R504" s="2" t="inlineStr"/>
    </row>
    <row r="505" ht="15" customHeight="1">
      <c r="A505" t="inlineStr">
        <is>
          <t>A 37187-2024</t>
        </is>
      </c>
      <c r="B505" s="1" t="n">
        <v>45539.65212962963</v>
      </c>
      <c r="C505" s="1" t="n">
        <v>46038</v>
      </c>
      <c r="D505" t="inlineStr">
        <is>
          <t>KALMAR LÄN</t>
        </is>
      </c>
      <c r="E505" t="inlineStr">
        <is>
          <t>VIMMERBY</t>
        </is>
      </c>
      <c r="G505" t="n">
        <v>2.7</v>
      </c>
      <c r="H505" t="n">
        <v>0</v>
      </c>
      <c r="I505" t="n">
        <v>0</v>
      </c>
      <c r="J505" t="n">
        <v>0</v>
      </c>
      <c r="K505" t="n">
        <v>0</v>
      </c>
      <c r="L505" t="n">
        <v>0</v>
      </c>
      <c r="M505" t="n">
        <v>0</v>
      </c>
      <c r="N505" t="n">
        <v>0</v>
      </c>
      <c r="O505" t="n">
        <v>0</v>
      </c>
      <c r="P505" t="n">
        <v>0</v>
      </c>
      <c r="Q505" t="n">
        <v>0</v>
      </c>
      <c r="R505" s="2" t="inlineStr"/>
    </row>
    <row r="506" ht="15" customHeight="1">
      <c r="A506" t="inlineStr">
        <is>
          <t>A 43465-2025</t>
        </is>
      </c>
      <c r="B506" s="1" t="n">
        <v>45911.47138888889</v>
      </c>
      <c r="C506" s="1" t="n">
        <v>46038</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1021-2024</t>
        </is>
      </c>
      <c r="B507" s="1" t="n">
        <v>45301.67736111111</v>
      </c>
      <c r="C507" s="1" t="n">
        <v>46038</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43617-2025</t>
        </is>
      </c>
      <c r="B508" s="1" t="n">
        <v>45911.67798611111</v>
      </c>
      <c r="C508" s="1" t="n">
        <v>46038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72701-2021</t>
        </is>
      </c>
      <c r="B509" s="1" t="n">
        <v>44546</v>
      </c>
      <c r="C509" s="1" t="n">
        <v>46038</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19111-2025</t>
        </is>
      </c>
      <c r="B510" s="1" t="n">
        <v>45768.65611111111</v>
      </c>
      <c r="C510" s="1" t="n">
        <v>46038</v>
      </c>
      <c r="D510" t="inlineStr">
        <is>
          <t>KALMAR LÄN</t>
        </is>
      </c>
      <c r="E510" t="inlineStr">
        <is>
          <t>VIMMERBY</t>
        </is>
      </c>
      <c r="G510" t="n">
        <v>6.2</v>
      </c>
      <c r="H510" t="n">
        <v>0</v>
      </c>
      <c r="I510" t="n">
        <v>0</v>
      </c>
      <c r="J510" t="n">
        <v>0</v>
      </c>
      <c r="K510" t="n">
        <v>0</v>
      </c>
      <c r="L510" t="n">
        <v>0</v>
      </c>
      <c r="M510" t="n">
        <v>0</v>
      </c>
      <c r="N510" t="n">
        <v>0</v>
      </c>
      <c r="O510" t="n">
        <v>0</v>
      </c>
      <c r="P510" t="n">
        <v>0</v>
      </c>
      <c r="Q510" t="n">
        <v>0</v>
      </c>
      <c r="R510" s="2" t="inlineStr"/>
    </row>
    <row r="511" ht="15" customHeight="1">
      <c r="A511" t="inlineStr">
        <is>
          <t>A 33374-2021</t>
        </is>
      </c>
      <c r="B511" s="1" t="n">
        <v>44377</v>
      </c>
      <c r="C511" s="1" t="n">
        <v>46038</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10807-2024</t>
        </is>
      </c>
      <c r="B512" s="1" t="n">
        <v>45369.62780092593</v>
      </c>
      <c r="C512" s="1" t="n">
        <v>46038</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44095-2025</t>
        </is>
      </c>
      <c r="B513" s="1" t="n">
        <v>45915.56430555556</v>
      </c>
      <c r="C513" s="1" t="n">
        <v>46038</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33359-2021</t>
        </is>
      </c>
      <c r="B514" s="1" t="n">
        <v>44377.49684027778</v>
      </c>
      <c r="C514" s="1" t="n">
        <v>46038</v>
      </c>
      <c r="D514" t="inlineStr">
        <is>
          <t>KALMAR LÄN</t>
        </is>
      </c>
      <c r="E514" t="inlineStr">
        <is>
          <t>VIMMERBY</t>
        </is>
      </c>
      <c r="F514" t="inlineStr">
        <is>
          <t>Kommuner</t>
        </is>
      </c>
      <c r="G514" t="n">
        <v>8</v>
      </c>
      <c r="H514" t="n">
        <v>0</v>
      </c>
      <c r="I514" t="n">
        <v>0</v>
      </c>
      <c r="J514" t="n">
        <v>0</v>
      </c>
      <c r="K514" t="n">
        <v>0</v>
      </c>
      <c r="L514" t="n">
        <v>0</v>
      </c>
      <c r="M514" t="n">
        <v>0</v>
      </c>
      <c r="N514" t="n">
        <v>0</v>
      </c>
      <c r="O514" t="n">
        <v>0</v>
      </c>
      <c r="P514" t="n">
        <v>0</v>
      </c>
      <c r="Q514" t="n">
        <v>0</v>
      </c>
      <c r="R514" s="2" t="inlineStr"/>
    </row>
    <row r="515" ht="15" customHeight="1">
      <c r="A515" t="inlineStr">
        <is>
          <t>A 34588-2024</t>
        </is>
      </c>
      <c r="B515" s="1" t="n">
        <v>45526.3865625</v>
      </c>
      <c r="C515" s="1" t="n">
        <v>46038</v>
      </c>
      <c r="D515" t="inlineStr">
        <is>
          <t>KALMAR LÄN</t>
        </is>
      </c>
      <c r="E515" t="inlineStr">
        <is>
          <t>VIMMERBY</t>
        </is>
      </c>
      <c r="F515" t="inlineStr">
        <is>
          <t>Övriga Aktiebolag</t>
        </is>
      </c>
      <c r="G515" t="n">
        <v>3.3</v>
      </c>
      <c r="H515" t="n">
        <v>0</v>
      </c>
      <c r="I515" t="n">
        <v>0</v>
      </c>
      <c r="J515" t="n">
        <v>0</v>
      </c>
      <c r="K515" t="n">
        <v>0</v>
      </c>
      <c r="L515" t="n">
        <v>0</v>
      </c>
      <c r="M515" t="n">
        <v>0</v>
      </c>
      <c r="N515" t="n">
        <v>0</v>
      </c>
      <c r="O515" t="n">
        <v>0</v>
      </c>
      <c r="P515" t="n">
        <v>0</v>
      </c>
      <c r="Q515" t="n">
        <v>0</v>
      </c>
      <c r="R515" s="2" t="inlineStr"/>
    </row>
    <row r="516" ht="15" customHeight="1">
      <c r="A516" t="inlineStr">
        <is>
          <t>A 17084-2025</t>
        </is>
      </c>
      <c r="B516" s="1" t="n">
        <v>45755.64450231481</v>
      </c>
      <c r="C516" s="1" t="n">
        <v>46038</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44091-2025</t>
        </is>
      </c>
      <c r="B517" s="1" t="n">
        <v>45915.55950231481</v>
      </c>
      <c r="C517" s="1" t="n">
        <v>46038</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33161-2024</t>
        </is>
      </c>
      <c r="B518" s="1" t="n">
        <v>45518.40657407408</v>
      </c>
      <c r="C518" s="1" t="n">
        <v>46038</v>
      </c>
      <c r="D518" t="inlineStr">
        <is>
          <t>KALMAR LÄN</t>
        </is>
      </c>
      <c r="E518" t="inlineStr">
        <is>
          <t>VIMMERBY</t>
        </is>
      </c>
      <c r="G518" t="n">
        <v>4.7</v>
      </c>
      <c r="H518" t="n">
        <v>0</v>
      </c>
      <c r="I518" t="n">
        <v>0</v>
      </c>
      <c r="J518" t="n">
        <v>0</v>
      </c>
      <c r="K518" t="n">
        <v>0</v>
      </c>
      <c r="L518" t="n">
        <v>0</v>
      </c>
      <c r="M518" t="n">
        <v>0</v>
      </c>
      <c r="N518" t="n">
        <v>0</v>
      </c>
      <c r="O518" t="n">
        <v>0</v>
      </c>
      <c r="P518" t="n">
        <v>0</v>
      </c>
      <c r="Q518" t="n">
        <v>0</v>
      </c>
      <c r="R518" s="2" t="inlineStr"/>
    </row>
    <row r="519" ht="15" customHeight="1">
      <c r="A519" t="inlineStr">
        <is>
          <t>A 14359-2025</t>
        </is>
      </c>
      <c r="B519" s="1" t="n">
        <v>45741.37270833334</v>
      </c>
      <c r="C519" s="1" t="n">
        <v>46038</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44517-2025</t>
        </is>
      </c>
      <c r="B520" s="1" t="n">
        <v>45916.7103587963</v>
      </c>
      <c r="C520" s="1" t="n">
        <v>46038</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44742-2025</t>
        </is>
      </c>
      <c r="B521" s="1" t="n">
        <v>45917.67054398148</v>
      </c>
      <c r="C521" s="1" t="n">
        <v>46038</v>
      </c>
      <c r="D521" t="inlineStr">
        <is>
          <t>KALMAR LÄN</t>
        </is>
      </c>
      <c r="E521" t="inlineStr">
        <is>
          <t>VIMMERBY</t>
        </is>
      </c>
      <c r="G521" t="n">
        <v>4.7</v>
      </c>
      <c r="H521" t="n">
        <v>0</v>
      </c>
      <c r="I521" t="n">
        <v>0</v>
      </c>
      <c r="J521" t="n">
        <v>0</v>
      </c>
      <c r="K521" t="n">
        <v>0</v>
      </c>
      <c r="L521" t="n">
        <v>0</v>
      </c>
      <c r="M521" t="n">
        <v>0</v>
      </c>
      <c r="N521" t="n">
        <v>0</v>
      </c>
      <c r="O521" t="n">
        <v>0</v>
      </c>
      <c r="P521" t="n">
        <v>0</v>
      </c>
      <c r="Q521" t="n">
        <v>0</v>
      </c>
      <c r="R521" s="2" t="inlineStr"/>
    </row>
    <row r="522" ht="15" customHeight="1">
      <c r="A522" t="inlineStr">
        <is>
          <t>A 44329-2025</t>
        </is>
      </c>
      <c r="B522" s="1" t="n">
        <v>45916.41019675926</v>
      </c>
      <c r="C522" s="1" t="n">
        <v>46038</v>
      </c>
      <c r="D522" t="inlineStr">
        <is>
          <t>KALMAR LÄN</t>
        </is>
      </c>
      <c r="E522" t="inlineStr">
        <is>
          <t>VIMMERBY</t>
        </is>
      </c>
      <c r="G522" t="n">
        <v>4.3</v>
      </c>
      <c r="H522" t="n">
        <v>0</v>
      </c>
      <c r="I522" t="n">
        <v>0</v>
      </c>
      <c r="J522" t="n">
        <v>0</v>
      </c>
      <c r="K522" t="n">
        <v>0</v>
      </c>
      <c r="L522" t="n">
        <v>0</v>
      </c>
      <c r="M522" t="n">
        <v>0</v>
      </c>
      <c r="N522" t="n">
        <v>0</v>
      </c>
      <c r="O522" t="n">
        <v>0</v>
      </c>
      <c r="P522" t="n">
        <v>0</v>
      </c>
      <c r="Q522" t="n">
        <v>0</v>
      </c>
      <c r="R522" s="2" t="inlineStr"/>
    </row>
    <row r="523" ht="15" customHeight="1">
      <c r="A523" t="inlineStr">
        <is>
          <t>A 41896-2025</t>
        </is>
      </c>
      <c r="B523" s="1" t="n">
        <v>45903.38800925926</v>
      </c>
      <c r="C523" s="1" t="n">
        <v>46038</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7075-2021</t>
        </is>
      </c>
      <c r="B524" s="1" t="n">
        <v>44237</v>
      </c>
      <c r="C524" s="1" t="n">
        <v>46038</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55605-2024</t>
        </is>
      </c>
      <c r="B525" s="1" t="n">
        <v>45622</v>
      </c>
      <c r="C525" s="1" t="n">
        <v>46038</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44464-2024</t>
        </is>
      </c>
      <c r="B526" s="1" t="n">
        <v>45574.35809027778</v>
      </c>
      <c r="C526" s="1" t="n">
        <v>46038</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36049-2024</t>
        </is>
      </c>
      <c r="B527" s="1" t="n">
        <v>45533.61996527778</v>
      </c>
      <c r="C527" s="1" t="n">
        <v>46038</v>
      </c>
      <c r="D527" t="inlineStr">
        <is>
          <t>KALMAR LÄN</t>
        </is>
      </c>
      <c r="E527" t="inlineStr">
        <is>
          <t>VIMMERBY</t>
        </is>
      </c>
      <c r="F527" t="inlineStr">
        <is>
          <t>Kommuner</t>
        </is>
      </c>
      <c r="G527" t="n">
        <v>2.6</v>
      </c>
      <c r="H527" t="n">
        <v>0</v>
      </c>
      <c r="I527" t="n">
        <v>0</v>
      </c>
      <c r="J527" t="n">
        <v>0</v>
      </c>
      <c r="K527" t="n">
        <v>0</v>
      </c>
      <c r="L527" t="n">
        <v>0</v>
      </c>
      <c r="M527" t="n">
        <v>0</v>
      </c>
      <c r="N527" t="n">
        <v>0</v>
      </c>
      <c r="O527" t="n">
        <v>0</v>
      </c>
      <c r="P527" t="n">
        <v>0</v>
      </c>
      <c r="Q527" t="n">
        <v>0</v>
      </c>
      <c r="R527" s="2" t="inlineStr"/>
    </row>
    <row r="528" ht="15" customHeight="1">
      <c r="A528" t="inlineStr">
        <is>
          <t>A 4297-2022</t>
        </is>
      </c>
      <c r="B528" s="1" t="n">
        <v>44588</v>
      </c>
      <c r="C528" s="1" t="n">
        <v>46038</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46399-2024</t>
        </is>
      </c>
      <c r="B529" s="1" t="n">
        <v>45582.41200231481</v>
      </c>
      <c r="C529" s="1" t="n">
        <v>46038</v>
      </c>
      <c r="D529" t="inlineStr">
        <is>
          <t>KALMAR LÄN</t>
        </is>
      </c>
      <c r="E529" t="inlineStr">
        <is>
          <t>VIMMERBY</t>
        </is>
      </c>
      <c r="G529" t="n">
        <v>4.6</v>
      </c>
      <c r="H529" t="n">
        <v>0</v>
      </c>
      <c r="I529" t="n">
        <v>0</v>
      </c>
      <c r="J529" t="n">
        <v>0</v>
      </c>
      <c r="K529" t="n">
        <v>0</v>
      </c>
      <c r="L529" t="n">
        <v>0</v>
      </c>
      <c r="M529" t="n">
        <v>0</v>
      </c>
      <c r="N529" t="n">
        <v>0</v>
      </c>
      <c r="O529" t="n">
        <v>0</v>
      </c>
      <c r="P529" t="n">
        <v>0</v>
      </c>
      <c r="Q529" t="n">
        <v>0</v>
      </c>
      <c r="R529" s="2" t="inlineStr"/>
    </row>
    <row r="530" ht="15" customHeight="1">
      <c r="A530" t="inlineStr">
        <is>
          <t>A 45114-2025</t>
        </is>
      </c>
      <c r="B530" s="1" t="n">
        <v>45919.42387731482</v>
      </c>
      <c r="C530" s="1" t="n">
        <v>46038</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45319-2025</t>
        </is>
      </c>
      <c r="B531" s="1" t="n">
        <v>45921.95611111111</v>
      </c>
      <c r="C531" s="1" t="n">
        <v>46038</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13532-2025</t>
        </is>
      </c>
      <c r="B532" s="1" t="n">
        <v>45736.50743055555</v>
      </c>
      <c r="C532" s="1" t="n">
        <v>46038</v>
      </c>
      <c r="D532" t="inlineStr">
        <is>
          <t>KALMAR LÄN</t>
        </is>
      </c>
      <c r="E532" t="inlineStr">
        <is>
          <t>VIMMERBY</t>
        </is>
      </c>
      <c r="G532" t="n">
        <v>3.6</v>
      </c>
      <c r="H532" t="n">
        <v>0</v>
      </c>
      <c r="I532" t="n">
        <v>0</v>
      </c>
      <c r="J532" t="n">
        <v>0</v>
      </c>
      <c r="K532" t="n">
        <v>0</v>
      </c>
      <c r="L532" t="n">
        <v>0</v>
      </c>
      <c r="M532" t="n">
        <v>0</v>
      </c>
      <c r="N532" t="n">
        <v>0</v>
      </c>
      <c r="O532" t="n">
        <v>0</v>
      </c>
      <c r="P532" t="n">
        <v>0</v>
      </c>
      <c r="Q532" t="n">
        <v>0</v>
      </c>
      <c r="R532" s="2" t="inlineStr"/>
    </row>
    <row r="533" ht="15" customHeight="1">
      <c r="A533" t="inlineStr">
        <is>
          <t>A 43038-2022</t>
        </is>
      </c>
      <c r="B533" s="1" t="n">
        <v>44833.60123842592</v>
      </c>
      <c r="C533" s="1" t="n">
        <v>46038</v>
      </c>
      <c r="D533" t="inlineStr">
        <is>
          <t>KALMAR LÄN</t>
        </is>
      </c>
      <c r="E533" t="inlineStr">
        <is>
          <t>VIMMERBY</t>
        </is>
      </c>
      <c r="G533" t="n">
        <v>4.2</v>
      </c>
      <c r="H533" t="n">
        <v>0</v>
      </c>
      <c r="I533" t="n">
        <v>0</v>
      </c>
      <c r="J533" t="n">
        <v>0</v>
      </c>
      <c r="K533" t="n">
        <v>0</v>
      </c>
      <c r="L533" t="n">
        <v>0</v>
      </c>
      <c r="M533" t="n">
        <v>0</v>
      </c>
      <c r="N533" t="n">
        <v>0</v>
      </c>
      <c r="O533" t="n">
        <v>0</v>
      </c>
      <c r="P533" t="n">
        <v>0</v>
      </c>
      <c r="Q533" t="n">
        <v>0</v>
      </c>
      <c r="R533" s="2" t="inlineStr"/>
    </row>
    <row r="534" ht="15" customHeight="1">
      <c r="A534" t="inlineStr">
        <is>
          <t>A 45320-2025</t>
        </is>
      </c>
      <c r="B534" s="1" t="n">
        <v>45921.96395833333</v>
      </c>
      <c r="C534" s="1" t="n">
        <v>46038</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12596-2021</t>
        </is>
      </c>
      <c r="B535" s="1" t="n">
        <v>44270.39765046296</v>
      </c>
      <c r="C535" s="1" t="n">
        <v>46038</v>
      </c>
      <c r="D535" t="inlineStr">
        <is>
          <t>KALMAR LÄN</t>
        </is>
      </c>
      <c r="E535" t="inlineStr">
        <is>
          <t>VIMMERBY</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46118-2025</t>
        </is>
      </c>
      <c r="B536" s="1" t="n">
        <v>45924.57697916667</v>
      </c>
      <c r="C536" s="1" t="n">
        <v>46038</v>
      </c>
      <c r="D536" t="inlineStr">
        <is>
          <t>KALMAR LÄN</t>
        </is>
      </c>
      <c r="E536" t="inlineStr">
        <is>
          <t>VIMMERBY</t>
        </is>
      </c>
      <c r="G536" t="n">
        <v>2.9</v>
      </c>
      <c r="H536" t="n">
        <v>0</v>
      </c>
      <c r="I536" t="n">
        <v>0</v>
      </c>
      <c r="J536" t="n">
        <v>0</v>
      </c>
      <c r="K536" t="n">
        <v>0</v>
      </c>
      <c r="L536" t="n">
        <v>0</v>
      </c>
      <c r="M536" t="n">
        <v>0</v>
      </c>
      <c r="N536" t="n">
        <v>0</v>
      </c>
      <c r="O536" t="n">
        <v>0</v>
      </c>
      <c r="P536" t="n">
        <v>0</v>
      </c>
      <c r="Q536" t="n">
        <v>0</v>
      </c>
      <c r="R536" s="2" t="inlineStr"/>
    </row>
    <row r="537" ht="15" customHeight="1">
      <c r="A537" t="inlineStr">
        <is>
          <t>A 57799-2022</t>
        </is>
      </c>
      <c r="B537" s="1" t="n">
        <v>44897</v>
      </c>
      <c r="C537" s="1" t="n">
        <v>46038</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46365-2025</t>
        </is>
      </c>
      <c r="B538" s="1" t="n">
        <v>45925.50075231482</v>
      </c>
      <c r="C538" s="1" t="n">
        <v>46038</v>
      </c>
      <c r="D538" t="inlineStr">
        <is>
          <t>KALMAR LÄN</t>
        </is>
      </c>
      <c r="E538" t="inlineStr">
        <is>
          <t>VIMMERBY</t>
        </is>
      </c>
      <c r="G538" t="n">
        <v>5.6</v>
      </c>
      <c r="H538" t="n">
        <v>0</v>
      </c>
      <c r="I538" t="n">
        <v>0</v>
      </c>
      <c r="J538" t="n">
        <v>0</v>
      </c>
      <c r="K538" t="n">
        <v>0</v>
      </c>
      <c r="L538" t="n">
        <v>0</v>
      </c>
      <c r="M538" t="n">
        <v>0</v>
      </c>
      <c r="N538" t="n">
        <v>0</v>
      </c>
      <c r="O538" t="n">
        <v>0</v>
      </c>
      <c r="P538" t="n">
        <v>0</v>
      </c>
      <c r="Q538" t="n">
        <v>0</v>
      </c>
      <c r="R538" s="2" t="inlineStr"/>
    </row>
    <row r="539" ht="15" customHeight="1">
      <c r="A539" t="inlineStr">
        <is>
          <t>A 30921-2024</t>
        </is>
      </c>
      <c r="B539" s="1" t="n">
        <v>45498</v>
      </c>
      <c r="C539" s="1" t="n">
        <v>46038</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46361-2025</t>
        </is>
      </c>
      <c r="B540" s="1" t="n">
        <v>45925.49670138889</v>
      </c>
      <c r="C540" s="1" t="n">
        <v>46038</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46887-2025</t>
        </is>
      </c>
      <c r="B541" s="1" t="n">
        <v>45929.3672337963</v>
      </c>
      <c r="C541" s="1" t="n">
        <v>46038</v>
      </c>
      <c r="D541" t="inlineStr">
        <is>
          <t>KALMAR LÄN</t>
        </is>
      </c>
      <c r="E541" t="inlineStr">
        <is>
          <t>VIMMERBY</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14137-2023</t>
        </is>
      </c>
      <c r="B542" s="1" t="n">
        <v>45009.4671875</v>
      </c>
      <c r="C542" s="1" t="n">
        <v>46038</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45856-2025</t>
        </is>
      </c>
      <c r="B543" s="1" t="n">
        <v>45923</v>
      </c>
      <c r="C543" s="1" t="n">
        <v>46038</v>
      </c>
      <c r="D543" t="inlineStr">
        <is>
          <t>KALMAR LÄN</t>
        </is>
      </c>
      <c r="E543" t="inlineStr">
        <is>
          <t>VIMMERBY</t>
        </is>
      </c>
      <c r="G543" t="n">
        <v>2.1</v>
      </c>
      <c r="H543" t="n">
        <v>0</v>
      </c>
      <c r="I543" t="n">
        <v>0</v>
      </c>
      <c r="J543" t="n">
        <v>0</v>
      </c>
      <c r="K543" t="n">
        <v>0</v>
      </c>
      <c r="L543" t="n">
        <v>0</v>
      </c>
      <c r="M543" t="n">
        <v>0</v>
      </c>
      <c r="N543" t="n">
        <v>0</v>
      </c>
      <c r="O543" t="n">
        <v>0</v>
      </c>
      <c r="P543" t="n">
        <v>0</v>
      </c>
      <c r="Q543" t="n">
        <v>0</v>
      </c>
      <c r="R543" s="2" t="inlineStr"/>
    </row>
    <row r="544" ht="15" customHeight="1">
      <c r="A544" t="inlineStr">
        <is>
          <t>A 45854-2025</t>
        </is>
      </c>
      <c r="B544" s="1" t="n">
        <v>45923</v>
      </c>
      <c r="C544" s="1" t="n">
        <v>46038</v>
      </c>
      <c r="D544" t="inlineStr">
        <is>
          <t>KALMAR LÄN</t>
        </is>
      </c>
      <c r="E544" t="inlineStr">
        <is>
          <t>VIMMERBY</t>
        </is>
      </c>
      <c r="G544" t="n">
        <v>2.2</v>
      </c>
      <c r="H544" t="n">
        <v>0</v>
      </c>
      <c r="I544" t="n">
        <v>0</v>
      </c>
      <c r="J544" t="n">
        <v>0</v>
      </c>
      <c r="K544" t="n">
        <v>0</v>
      </c>
      <c r="L544" t="n">
        <v>0</v>
      </c>
      <c r="M544" t="n">
        <v>0</v>
      </c>
      <c r="N544" t="n">
        <v>0</v>
      </c>
      <c r="O544" t="n">
        <v>0</v>
      </c>
      <c r="P544" t="n">
        <v>0</v>
      </c>
      <c r="Q544" t="n">
        <v>0</v>
      </c>
      <c r="R544" s="2" t="inlineStr"/>
    </row>
    <row r="545" ht="15" customHeight="1">
      <c r="A545" t="inlineStr">
        <is>
          <t>A 45855-2025</t>
        </is>
      </c>
      <c r="B545" s="1" t="n">
        <v>45923</v>
      </c>
      <c r="C545" s="1" t="n">
        <v>46038</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11152-2023</t>
        </is>
      </c>
      <c r="B546" s="1" t="n">
        <v>44992</v>
      </c>
      <c r="C546" s="1" t="n">
        <v>46038</v>
      </c>
      <c r="D546" t="inlineStr">
        <is>
          <t>KALMAR LÄN</t>
        </is>
      </c>
      <c r="E546" t="inlineStr">
        <is>
          <t>VIMMERBY</t>
        </is>
      </c>
      <c r="G546" t="n">
        <v>10.6</v>
      </c>
      <c r="H546" t="n">
        <v>0</v>
      </c>
      <c r="I546" t="n">
        <v>0</v>
      </c>
      <c r="J546" t="n">
        <v>0</v>
      </c>
      <c r="K546" t="n">
        <v>0</v>
      </c>
      <c r="L546" t="n">
        <v>0</v>
      </c>
      <c r="M546" t="n">
        <v>0</v>
      </c>
      <c r="N546" t="n">
        <v>0</v>
      </c>
      <c r="O546" t="n">
        <v>0</v>
      </c>
      <c r="P546" t="n">
        <v>0</v>
      </c>
      <c r="Q546" t="n">
        <v>0</v>
      </c>
      <c r="R546" s="2" t="inlineStr"/>
    </row>
    <row r="547" ht="15" customHeight="1">
      <c r="A547" t="inlineStr">
        <is>
          <t>A 12499-2023</t>
        </is>
      </c>
      <c r="B547" s="1" t="n">
        <v>44999.86172453704</v>
      </c>
      <c r="C547" s="1" t="n">
        <v>46038</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12500-2023</t>
        </is>
      </c>
      <c r="B548" s="1" t="n">
        <v>44999.8625</v>
      </c>
      <c r="C548" s="1" t="n">
        <v>46038</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35846-2023</t>
        </is>
      </c>
      <c r="B549" s="1" t="n">
        <v>45148</v>
      </c>
      <c r="C549" s="1" t="n">
        <v>46038</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47227-2025</t>
        </is>
      </c>
      <c r="B550" s="1" t="n">
        <v>45930.39769675926</v>
      </c>
      <c r="C550" s="1" t="n">
        <v>46038</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49039-2021</t>
        </is>
      </c>
      <c r="B551" s="1" t="n">
        <v>44453.56578703703</v>
      </c>
      <c r="C551" s="1" t="n">
        <v>46038</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48299-2025</t>
        </is>
      </c>
      <c r="B552" s="1" t="n">
        <v>45933.60982638889</v>
      </c>
      <c r="C552" s="1" t="n">
        <v>46038</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46224-2024</t>
        </is>
      </c>
      <c r="B553" s="1" t="n">
        <v>45581.57016203704</v>
      </c>
      <c r="C553" s="1" t="n">
        <v>46038</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46238-2024</t>
        </is>
      </c>
      <c r="B554" s="1" t="n">
        <v>45581.58418981481</v>
      </c>
      <c r="C554" s="1" t="n">
        <v>46038</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30633-2024</t>
        </is>
      </c>
      <c r="B555" s="1" t="n">
        <v>45495</v>
      </c>
      <c r="C555" s="1" t="n">
        <v>46038</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54838-2024</t>
        </is>
      </c>
      <c r="B556" s="1" t="n">
        <v>45618.56787037037</v>
      </c>
      <c r="C556" s="1" t="n">
        <v>46038</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6405-2025</t>
        </is>
      </c>
      <c r="B557" s="1" t="n">
        <v>45699.45392361111</v>
      </c>
      <c r="C557" s="1" t="n">
        <v>46038</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47965-2025</t>
        </is>
      </c>
      <c r="B558" s="1" t="n">
        <v>45932.59597222223</v>
      </c>
      <c r="C558" s="1" t="n">
        <v>46038</v>
      </c>
      <c r="D558" t="inlineStr">
        <is>
          <t>KALMAR LÄN</t>
        </is>
      </c>
      <c r="E558" t="inlineStr">
        <is>
          <t>VIMMERBY</t>
        </is>
      </c>
      <c r="G558" t="n">
        <v>2.2</v>
      </c>
      <c r="H558" t="n">
        <v>0</v>
      </c>
      <c r="I558" t="n">
        <v>0</v>
      </c>
      <c r="J558" t="n">
        <v>0</v>
      </c>
      <c r="K558" t="n">
        <v>0</v>
      </c>
      <c r="L558" t="n">
        <v>0</v>
      </c>
      <c r="M558" t="n">
        <v>0</v>
      </c>
      <c r="N558" t="n">
        <v>0</v>
      </c>
      <c r="O558" t="n">
        <v>0</v>
      </c>
      <c r="P558" t="n">
        <v>0</v>
      </c>
      <c r="Q558" t="n">
        <v>0</v>
      </c>
      <c r="R558" s="2" t="inlineStr"/>
    </row>
    <row r="559" ht="15" customHeight="1">
      <c r="A559" t="inlineStr">
        <is>
          <t>A 60437-2023</t>
        </is>
      </c>
      <c r="B559" s="1" t="n">
        <v>45259.51916666667</v>
      </c>
      <c r="C559" s="1" t="n">
        <v>46038</v>
      </c>
      <c r="D559" t="inlineStr">
        <is>
          <t>KALMAR LÄN</t>
        </is>
      </c>
      <c r="E559" t="inlineStr">
        <is>
          <t>VIMMERBY</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60438-2023</t>
        </is>
      </c>
      <c r="B560" s="1" t="n">
        <v>45259.52020833334</v>
      </c>
      <c r="C560" s="1" t="n">
        <v>46038</v>
      </c>
      <c r="D560" t="inlineStr">
        <is>
          <t>KALMAR LÄN</t>
        </is>
      </c>
      <c r="E560" t="inlineStr">
        <is>
          <t>VIMMERBY</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42165-2024</t>
        </is>
      </c>
      <c r="B561" s="1" t="n">
        <v>45562.46342592593</v>
      </c>
      <c r="C561" s="1" t="n">
        <v>46038</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47955-2025</t>
        </is>
      </c>
      <c r="B562" s="1" t="n">
        <v>45932.58896990741</v>
      </c>
      <c r="C562" s="1" t="n">
        <v>46038</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48723-2025</t>
        </is>
      </c>
      <c r="B563" s="1" t="n">
        <v>45936.65121527778</v>
      </c>
      <c r="C563" s="1" t="n">
        <v>46038</v>
      </c>
      <c r="D563" t="inlineStr">
        <is>
          <t>KALMAR LÄN</t>
        </is>
      </c>
      <c r="E563" t="inlineStr">
        <is>
          <t>VIMMERBY</t>
        </is>
      </c>
      <c r="G563" t="n">
        <v>3</v>
      </c>
      <c r="H563" t="n">
        <v>0</v>
      </c>
      <c r="I563" t="n">
        <v>0</v>
      </c>
      <c r="J563" t="n">
        <v>0</v>
      </c>
      <c r="K563" t="n">
        <v>0</v>
      </c>
      <c r="L563" t="n">
        <v>0</v>
      </c>
      <c r="M563" t="n">
        <v>0</v>
      </c>
      <c r="N563" t="n">
        <v>0</v>
      </c>
      <c r="O563" t="n">
        <v>0</v>
      </c>
      <c r="P563" t="n">
        <v>0</v>
      </c>
      <c r="Q563" t="n">
        <v>0</v>
      </c>
      <c r="R563" s="2" t="inlineStr"/>
    </row>
    <row r="564" ht="15" customHeight="1">
      <c r="A564" t="inlineStr">
        <is>
          <t>A 25244-2023</t>
        </is>
      </c>
      <c r="B564" s="1" t="n">
        <v>45086</v>
      </c>
      <c r="C564" s="1" t="n">
        <v>46038</v>
      </c>
      <c r="D564" t="inlineStr">
        <is>
          <t>KALMAR LÄN</t>
        </is>
      </c>
      <c r="E564" t="inlineStr">
        <is>
          <t>VIMMERBY</t>
        </is>
      </c>
      <c r="G564" t="n">
        <v>4.7</v>
      </c>
      <c r="H564" t="n">
        <v>0</v>
      </c>
      <c r="I564" t="n">
        <v>0</v>
      </c>
      <c r="J564" t="n">
        <v>0</v>
      </c>
      <c r="K564" t="n">
        <v>0</v>
      </c>
      <c r="L564" t="n">
        <v>0</v>
      </c>
      <c r="M564" t="n">
        <v>0</v>
      </c>
      <c r="N564" t="n">
        <v>0</v>
      </c>
      <c r="O564" t="n">
        <v>0</v>
      </c>
      <c r="P564" t="n">
        <v>0</v>
      </c>
      <c r="Q564" t="n">
        <v>0</v>
      </c>
      <c r="R564" s="2" t="inlineStr"/>
    </row>
    <row r="565" ht="15" customHeight="1">
      <c r="A565" t="inlineStr">
        <is>
          <t>A 48712-2025</t>
        </is>
      </c>
      <c r="B565" s="1" t="n">
        <v>45936.63373842592</v>
      </c>
      <c r="C565" s="1" t="n">
        <v>46038</v>
      </c>
      <c r="D565" t="inlineStr">
        <is>
          <t>KALMAR LÄN</t>
        </is>
      </c>
      <c r="E565" t="inlineStr">
        <is>
          <t>VIMMERBY</t>
        </is>
      </c>
      <c r="G565" t="n">
        <v>3</v>
      </c>
      <c r="H565" t="n">
        <v>0</v>
      </c>
      <c r="I565" t="n">
        <v>0</v>
      </c>
      <c r="J565" t="n">
        <v>0</v>
      </c>
      <c r="K565" t="n">
        <v>0</v>
      </c>
      <c r="L565" t="n">
        <v>0</v>
      </c>
      <c r="M565" t="n">
        <v>0</v>
      </c>
      <c r="N565" t="n">
        <v>0</v>
      </c>
      <c r="O565" t="n">
        <v>0</v>
      </c>
      <c r="P565" t="n">
        <v>0</v>
      </c>
      <c r="Q565" t="n">
        <v>0</v>
      </c>
      <c r="R565" s="2" t="inlineStr"/>
    </row>
    <row r="566" ht="15" customHeight="1">
      <c r="A566" t="inlineStr">
        <is>
          <t>A 48408-2025</t>
        </is>
      </c>
      <c r="B566" s="1" t="n">
        <v>45934.40527777778</v>
      </c>
      <c r="C566" s="1" t="n">
        <v>46038</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66022-2021</t>
        </is>
      </c>
      <c r="B567" s="1" t="n">
        <v>44517</v>
      </c>
      <c r="C567" s="1" t="n">
        <v>46038</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48409-2025</t>
        </is>
      </c>
      <c r="B568" s="1" t="n">
        <v>45934.41387731482</v>
      </c>
      <c r="C568" s="1" t="n">
        <v>46038</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35895-2024</t>
        </is>
      </c>
      <c r="B569" s="1" t="n">
        <v>45533.38870370371</v>
      </c>
      <c r="C569" s="1" t="n">
        <v>46038</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48600-2025</t>
        </is>
      </c>
      <c r="B570" s="1" t="n">
        <v>45935</v>
      </c>
      <c r="C570" s="1" t="n">
        <v>46038</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11073-2023</t>
        </is>
      </c>
      <c r="B571" s="1" t="n">
        <v>44992</v>
      </c>
      <c r="C571" s="1" t="n">
        <v>46038</v>
      </c>
      <c r="D571" t="inlineStr">
        <is>
          <t>KALMAR LÄN</t>
        </is>
      </c>
      <c r="E571" t="inlineStr">
        <is>
          <t>VIMMERBY</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17-2025</t>
        </is>
      </c>
      <c r="B572" s="1" t="n">
        <v>45658.78774305555</v>
      </c>
      <c r="C572" s="1" t="n">
        <v>46038</v>
      </c>
      <c r="D572" t="inlineStr">
        <is>
          <t>KALMAR LÄN</t>
        </is>
      </c>
      <c r="E572" t="inlineStr">
        <is>
          <t>VIMMERBY</t>
        </is>
      </c>
      <c r="G572" t="n">
        <v>4.4</v>
      </c>
      <c r="H572" t="n">
        <v>0</v>
      </c>
      <c r="I572" t="n">
        <v>0</v>
      </c>
      <c r="J572" t="n">
        <v>0</v>
      </c>
      <c r="K572" t="n">
        <v>0</v>
      </c>
      <c r="L572" t="n">
        <v>0</v>
      </c>
      <c r="M572" t="n">
        <v>0</v>
      </c>
      <c r="N572" t="n">
        <v>0</v>
      </c>
      <c r="O572" t="n">
        <v>0</v>
      </c>
      <c r="P572" t="n">
        <v>0</v>
      </c>
      <c r="Q572" t="n">
        <v>0</v>
      </c>
      <c r="R572" s="2" t="inlineStr"/>
    </row>
    <row r="573" ht="15" customHeight="1">
      <c r="A573" t="inlineStr">
        <is>
          <t>A 32655-2023</t>
        </is>
      </c>
      <c r="B573" s="1" t="n">
        <v>45121.61318287037</v>
      </c>
      <c r="C573" s="1" t="n">
        <v>46038</v>
      </c>
      <c r="D573" t="inlineStr">
        <is>
          <t>KALMAR LÄN</t>
        </is>
      </c>
      <c r="E573" t="inlineStr">
        <is>
          <t>VIMMERBY</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63541-2023</t>
        </is>
      </c>
      <c r="B574" s="1" t="n">
        <v>45275.32266203704</v>
      </c>
      <c r="C574" s="1" t="n">
        <v>46038</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28034-2022</t>
        </is>
      </c>
      <c r="B575" s="1" t="n">
        <v>44746.38834490741</v>
      </c>
      <c r="C575" s="1" t="n">
        <v>46038</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46038</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24283-2023</t>
        </is>
      </c>
      <c r="B577" s="1" t="n">
        <v>45079.87827546296</v>
      </c>
      <c r="C577" s="1" t="n">
        <v>46038</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44579.62225694444</v>
      </c>
      <c r="C578" s="1" t="n">
        <v>46038</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60228-2021</t>
        </is>
      </c>
      <c r="B579" s="1" t="n">
        <v>44495</v>
      </c>
      <c r="C579" s="1" t="n">
        <v>46038</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25979-2023</t>
        </is>
      </c>
      <c r="B580" s="1" t="n">
        <v>45090.89653935185</v>
      </c>
      <c r="C580" s="1" t="n">
        <v>46038</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25980-2023</t>
        </is>
      </c>
      <c r="B581" s="1" t="n">
        <v>45090.89880787037</v>
      </c>
      <c r="C581" s="1" t="n">
        <v>46038</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12510-2022</t>
        </is>
      </c>
      <c r="B582" s="1" t="n">
        <v>44638.55256944444</v>
      </c>
      <c r="C582" s="1" t="n">
        <v>46038</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6358-2022</t>
        </is>
      </c>
      <c r="B583" s="1" t="n">
        <v>44600</v>
      </c>
      <c r="C583" s="1" t="n">
        <v>46038</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49871-2025</t>
        </is>
      </c>
      <c r="B584" s="1" t="n">
        <v>45940.54104166666</v>
      </c>
      <c r="C584" s="1" t="n">
        <v>46038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48373-2021</t>
        </is>
      </c>
      <c r="B585" s="1" t="n">
        <v>44451</v>
      </c>
      <c r="C585" s="1" t="n">
        <v>46038</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50544-2025</t>
        </is>
      </c>
      <c r="B586" s="1" t="n">
        <v>45945.50736111111</v>
      </c>
      <c r="C586" s="1" t="n">
        <v>46038</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50324-2025</t>
        </is>
      </c>
      <c r="B587" s="1" t="n">
        <v>45944.45962962963</v>
      </c>
      <c r="C587" s="1" t="n">
        <v>46038</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57256-2023</t>
        </is>
      </c>
      <c r="B588" s="1" t="n">
        <v>45245.5735300926</v>
      </c>
      <c r="C588" s="1" t="n">
        <v>46038</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17482-2024</t>
        </is>
      </c>
      <c r="B589" s="1" t="n">
        <v>45415.47848379629</v>
      </c>
      <c r="C589" s="1" t="n">
        <v>46038</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55123-2024</t>
        </is>
      </c>
      <c r="B590" s="1" t="n">
        <v>45621.46103009259</v>
      </c>
      <c r="C590" s="1" t="n">
        <v>46038</v>
      </c>
      <c r="D590" t="inlineStr">
        <is>
          <t>KALMAR LÄN</t>
        </is>
      </c>
      <c r="E590" t="inlineStr">
        <is>
          <t>VIMMERBY</t>
        </is>
      </c>
      <c r="G590" t="n">
        <v>3.1</v>
      </c>
      <c r="H590" t="n">
        <v>0</v>
      </c>
      <c r="I590" t="n">
        <v>0</v>
      </c>
      <c r="J590" t="n">
        <v>0</v>
      </c>
      <c r="K590" t="n">
        <v>0</v>
      </c>
      <c r="L590" t="n">
        <v>0</v>
      </c>
      <c r="M590" t="n">
        <v>0</v>
      </c>
      <c r="N590" t="n">
        <v>0</v>
      </c>
      <c r="O590" t="n">
        <v>0</v>
      </c>
      <c r="P590" t="n">
        <v>0</v>
      </c>
      <c r="Q590" t="n">
        <v>0</v>
      </c>
      <c r="R590" s="2" t="inlineStr"/>
    </row>
    <row r="591" ht="15" customHeight="1">
      <c r="A591" t="inlineStr">
        <is>
          <t>A 51062-2025</t>
        </is>
      </c>
      <c r="B591" s="1" t="n">
        <v>45947.44685185186</v>
      </c>
      <c r="C591" s="1" t="n">
        <v>46038</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49313-2022</t>
        </is>
      </c>
      <c r="B592" s="1" t="n">
        <v>44861.52505787037</v>
      </c>
      <c r="C592" s="1" t="n">
        <v>46038</v>
      </c>
      <c r="D592" t="inlineStr">
        <is>
          <t>KALMAR LÄN</t>
        </is>
      </c>
      <c r="E592" t="inlineStr">
        <is>
          <t>VIMMERBY</t>
        </is>
      </c>
      <c r="G592" t="n">
        <v>1.9</v>
      </c>
      <c r="H592" t="n">
        <v>0</v>
      </c>
      <c r="I592" t="n">
        <v>0</v>
      </c>
      <c r="J592" t="n">
        <v>0</v>
      </c>
      <c r="K592" t="n">
        <v>0</v>
      </c>
      <c r="L592" t="n">
        <v>0</v>
      </c>
      <c r="M592" t="n">
        <v>0</v>
      </c>
      <c r="N592" t="n">
        <v>0</v>
      </c>
      <c r="O592" t="n">
        <v>0</v>
      </c>
      <c r="P592" t="n">
        <v>0</v>
      </c>
      <c r="Q592" t="n">
        <v>0</v>
      </c>
      <c r="R592" s="2" t="inlineStr"/>
    </row>
    <row r="593" ht="15" customHeight="1">
      <c r="A593" t="inlineStr">
        <is>
          <t>A 1987-2024</t>
        </is>
      </c>
      <c r="B593" s="1" t="n">
        <v>45308.61152777778</v>
      </c>
      <c r="C593" s="1" t="n">
        <v>46038</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21507-2023</t>
        </is>
      </c>
      <c r="B594" s="1" t="n">
        <v>45063.508125</v>
      </c>
      <c r="C594" s="1" t="n">
        <v>46038</v>
      </c>
      <c r="D594" t="inlineStr">
        <is>
          <t>KALMAR LÄN</t>
        </is>
      </c>
      <c r="E594" t="inlineStr">
        <is>
          <t>VIMMERBY</t>
        </is>
      </c>
      <c r="G594" t="n">
        <v>2.8</v>
      </c>
      <c r="H594" t="n">
        <v>0</v>
      </c>
      <c r="I594" t="n">
        <v>0</v>
      </c>
      <c r="J594" t="n">
        <v>0</v>
      </c>
      <c r="K594" t="n">
        <v>0</v>
      </c>
      <c r="L594" t="n">
        <v>0</v>
      </c>
      <c r="M594" t="n">
        <v>0</v>
      </c>
      <c r="N594" t="n">
        <v>0</v>
      </c>
      <c r="O594" t="n">
        <v>0</v>
      </c>
      <c r="P594" t="n">
        <v>0</v>
      </c>
      <c r="Q594" t="n">
        <v>0</v>
      </c>
      <c r="R594" s="2" t="inlineStr"/>
    </row>
    <row r="595" ht="15" customHeight="1">
      <c r="A595" t="inlineStr">
        <is>
          <t>A 57189-2022</t>
        </is>
      </c>
      <c r="B595" s="1" t="n">
        <v>44895.62296296296</v>
      </c>
      <c r="C595" s="1" t="n">
        <v>46038</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48673-2021</t>
        </is>
      </c>
      <c r="B596" s="1" t="n">
        <v>44452</v>
      </c>
      <c r="C596" s="1" t="n">
        <v>46038</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14248-2023</t>
        </is>
      </c>
      <c r="B597" s="1" t="n">
        <v>45009</v>
      </c>
      <c r="C597" s="1" t="n">
        <v>46038</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12480-2024</t>
        </is>
      </c>
      <c r="B598" s="1" t="n">
        <v>45379</v>
      </c>
      <c r="C598" s="1" t="n">
        <v>46038</v>
      </c>
      <c r="D598" t="inlineStr">
        <is>
          <t>KALMAR LÄN</t>
        </is>
      </c>
      <c r="E598" t="inlineStr">
        <is>
          <t>VIMMERBY</t>
        </is>
      </c>
      <c r="G598" t="n">
        <v>2.8</v>
      </c>
      <c r="H598" t="n">
        <v>0</v>
      </c>
      <c r="I598" t="n">
        <v>0</v>
      </c>
      <c r="J598" t="n">
        <v>0</v>
      </c>
      <c r="K598" t="n">
        <v>0</v>
      </c>
      <c r="L598" t="n">
        <v>0</v>
      </c>
      <c r="M598" t="n">
        <v>0</v>
      </c>
      <c r="N598" t="n">
        <v>0</v>
      </c>
      <c r="O598" t="n">
        <v>0</v>
      </c>
      <c r="P598" t="n">
        <v>0</v>
      </c>
      <c r="Q598" t="n">
        <v>0</v>
      </c>
      <c r="R598" s="2" t="inlineStr"/>
    </row>
    <row r="599" ht="15" customHeight="1">
      <c r="A599" t="inlineStr">
        <is>
          <t>A 40095-2022</t>
        </is>
      </c>
      <c r="B599" s="1" t="n">
        <v>44820</v>
      </c>
      <c r="C599" s="1" t="n">
        <v>46038</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50085-2023</t>
        </is>
      </c>
      <c r="B600" s="1" t="n">
        <v>45215.5959375</v>
      </c>
      <c r="C600" s="1" t="n">
        <v>46038</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50087-2023</t>
        </is>
      </c>
      <c r="B601" s="1" t="n">
        <v>45215.59743055556</v>
      </c>
      <c r="C601" s="1" t="n">
        <v>46038</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8167-2024</t>
        </is>
      </c>
      <c r="B602" s="1" t="n">
        <v>45351.6062962963</v>
      </c>
      <c r="C602" s="1" t="n">
        <v>46038</v>
      </c>
      <c r="D602" t="inlineStr">
        <is>
          <t>KALMAR LÄN</t>
        </is>
      </c>
      <c r="E602" t="inlineStr">
        <is>
          <t>VIMMERBY</t>
        </is>
      </c>
      <c r="G602" t="n">
        <v>3.8</v>
      </c>
      <c r="H602" t="n">
        <v>0</v>
      </c>
      <c r="I602" t="n">
        <v>0</v>
      </c>
      <c r="J602" t="n">
        <v>0</v>
      </c>
      <c r="K602" t="n">
        <v>0</v>
      </c>
      <c r="L602" t="n">
        <v>0</v>
      </c>
      <c r="M602" t="n">
        <v>0</v>
      </c>
      <c r="N602" t="n">
        <v>0</v>
      </c>
      <c r="O602" t="n">
        <v>0</v>
      </c>
      <c r="P602" t="n">
        <v>0</v>
      </c>
      <c r="Q602" t="n">
        <v>0</v>
      </c>
      <c r="R602" s="2" t="inlineStr"/>
    </row>
    <row r="603" ht="15" customHeight="1">
      <c r="A603" t="inlineStr">
        <is>
          <t>A 51990-2025</t>
        </is>
      </c>
      <c r="B603" s="1" t="n">
        <v>45952.58061342593</v>
      </c>
      <c r="C603" s="1" t="n">
        <v>46038</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51993-2025</t>
        </is>
      </c>
      <c r="B604" s="1" t="n">
        <v>45952.58194444444</v>
      </c>
      <c r="C604" s="1" t="n">
        <v>46038</v>
      </c>
      <c r="D604" t="inlineStr">
        <is>
          <t>KALMAR LÄN</t>
        </is>
      </c>
      <c r="E604" t="inlineStr">
        <is>
          <t>VIMMERBY</t>
        </is>
      </c>
      <c r="G604" t="n">
        <v>2.8</v>
      </c>
      <c r="H604" t="n">
        <v>0</v>
      </c>
      <c r="I604" t="n">
        <v>0</v>
      </c>
      <c r="J604" t="n">
        <v>0</v>
      </c>
      <c r="K604" t="n">
        <v>0</v>
      </c>
      <c r="L604" t="n">
        <v>0</v>
      </c>
      <c r="M604" t="n">
        <v>0</v>
      </c>
      <c r="N604" t="n">
        <v>0</v>
      </c>
      <c r="O604" t="n">
        <v>0</v>
      </c>
      <c r="P604" t="n">
        <v>0</v>
      </c>
      <c r="Q604" t="n">
        <v>0</v>
      </c>
      <c r="R604" s="2" t="inlineStr"/>
    </row>
    <row r="605" ht="15" customHeight="1">
      <c r="A605" t="inlineStr">
        <is>
          <t>A 2604-2025</t>
        </is>
      </c>
      <c r="B605" s="1" t="n">
        <v>45674.74094907408</v>
      </c>
      <c r="C605" s="1" t="n">
        <v>46038</v>
      </c>
      <c r="D605" t="inlineStr">
        <is>
          <t>KALMAR LÄN</t>
        </is>
      </c>
      <c r="E605" t="inlineStr">
        <is>
          <t>VIMMERBY</t>
        </is>
      </c>
      <c r="G605" t="n">
        <v>7.6</v>
      </c>
      <c r="H605" t="n">
        <v>0</v>
      </c>
      <c r="I605" t="n">
        <v>0</v>
      </c>
      <c r="J605" t="n">
        <v>0</v>
      </c>
      <c r="K605" t="n">
        <v>0</v>
      </c>
      <c r="L605" t="n">
        <v>0</v>
      </c>
      <c r="M605" t="n">
        <v>0</v>
      </c>
      <c r="N605" t="n">
        <v>0</v>
      </c>
      <c r="O605" t="n">
        <v>0</v>
      </c>
      <c r="P605" t="n">
        <v>0</v>
      </c>
      <c r="Q605" t="n">
        <v>0</v>
      </c>
      <c r="R605" s="2" t="inlineStr"/>
    </row>
    <row r="606" ht="15" customHeight="1">
      <c r="A606" t="inlineStr">
        <is>
          <t>A 52465-2025</t>
        </is>
      </c>
      <c r="B606" s="1" t="n">
        <v>45954.44543981482</v>
      </c>
      <c r="C606" s="1" t="n">
        <v>46038</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37192-2024</t>
        </is>
      </c>
      <c r="B607" s="1" t="n">
        <v>45539.66027777778</v>
      </c>
      <c r="C607" s="1" t="n">
        <v>46038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42429-2024</t>
        </is>
      </c>
      <c r="B608" s="1" t="n">
        <v>45565.40657407408</v>
      </c>
      <c r="C608" s="1" t="n">
        <v>46038</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52451-2025</t>
        </is>
      </c>
      <c r="B609" s="1" t="n">
        <v>45954.42326388889</v>
      </c>
      <c r="C609" s="1" t="n">
        <v>46038</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29180-2024</t>
        </is>
      </c>
      <c r="B610" s="1" t="n">
        <v>45482.54108796296</v>
      </c>
      <c r="C610" s="1" t="n">
        <v>46038</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52516-2025</t>
        </is>
      </c>
      <c r="B611" s="1" t="n">
        <v>45954.51412037037</v>
      </c>
      <c r="C611" s="1" t="n">
        <v>46038</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52466-2025</t>
        </is>
      </c>
      <c r="B612" s="1" t="n">
        <v>45954.44707175926</v>
      </c>
      <c r="C612" s="1" t="n">
        <v>46038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52473-2025</t>
        </is>
      </c>
      <c r="B613" s="1" t="n">
        <v>45954.45947916667</v>
      </c>
      <c r="C613" s="1" t="n">
        <v>46038</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52480-2025</t>
        </is>
      </c>
      <c r="B614" s="1" t="n">
        <v>45954.47172453703</v>
      </c>
      <c r="C614" s="1" t="n">
        <v>46038</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45846-2023</t>
        </is>
      </c>
      <c r="B615" s="1" t="n">
        <v>45195.58452546296</v>
      </c>
      <c r="C615" s="1" t="n">
        <v>46038</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16020-2023</t>
        </is>
      </c>
      <c r="B616" s="1" t="n">
        <v>45026.82216435186</v>
      </c>
      <c r="C616" s="1" t="n">
        <v>46038</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52475-2025</t>
        </is>
      </c>
      <c r="B617" s="1" t="n">
        <v>45954.468125</v>
      </c>
      <c r="C617" s="1" t="n">
        <v>46038</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61820-2023</t>
        </is>
      </c>
      <c r="B618" s="1" t="n">
        <v>45266.32614583334</v>
      </c>
      <c r="C618" s="1" t="n">
        <v>46038</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53396-2025</t>
        </is>
      </c>
      <c r="B619" s="1" t="n">
        <v>45959.55577546296</v>
      </c>
      <c r="C619" s="1" t="n">
        <v>46038</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53416-2025</t>
        </is>
      </c>
      <c r="B620" s="1" t="n">
        <v>45959.58387731481</v>
      </c>
      <c r="C620" s="1" t="n">
        <v>46038</v>
      </c>
      <c r="D620" t="inlineStr">
        <is>
          <t>KALMAR LÄN</t>
        </is>
      </c>
      <c r="E620" t="inlineStr">
        <is>
          <t>VIMMERBY</t>
        </is>
      </c>
      <c r="G620" t="n">
        <v>4.4</v>
      </c>
      <c r="H620" t="n">
        <v>0</v>
      </c>
      <c r="I620" t="n">
        <v>0</v>
      </c>
      <c r="J620" t="n">
        <v>0</v>
      </c>
      <c r="K620" t="n">
        <v>0</v>
      </c>
      <c r="L620" t="n">
        <v>0</v>
      </c>
      <c r="M620" t="n">
        <v>0</v>
      </c>
      <c r="N620" t="n">
        <v>0</v>
      </c>
      <c r="O620" t="n">
        <v>0</v>
      </c>
      <c r="P620" t="n">
        <v>0</v>
      </c>
      <c r="Q620" t="n">
        <v>0</v>
      </c>
      <c r="R620" s="2" t="inlineStr"/>
    </row>
    <row r="621" ht="15" customHeight="1">
      <c r="A621" t="inlineStr">
        <is>
          <t>A 53398-2025</t>
        </is>
      </c>
      <c r="B621" s="1" t="n">
        <v>45959.56247685185</v>
      </c>
      <c r="C621" s="1" t="n">
        <v>46038</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53397-2025</t>
        </is>
      </c>
      <c r="B622" s="1" t="n">
        <v>45959.55918981481</v>
      </c>
      <c r="C622" s="1" t="n">
        <v>46038</v>
      </c>
      <c r="D622" t="inlineStr">
        <is>
          <t>KALMAR LÄN</t>
        </is>
      </c>
      <c r="E622" t="inlineStr">
        <is>
          <t>VIMMERBY</t>
        </is>
      </c>
      <c r="G622" t="n">
        <v>1.6</v>
      </c>
      <c r="H622" t="n">
        <v>0</v>
      </c>
      <c r="I622" t="n">
        <v>0</v>
      </c>
      <c r="J622" t="n">
        <v>0</v>
      </c>
      <c r="K622" t="n">
        <v>0</v>
      </c>
      <c r="L622" t="n">
        <v>0</v>
      </c>
      <c r="M622" t="n">
        <v>0</v>
      </c>
      <c r="N622" t="n">
        <v>0</v>
      </c>
      <c r="O622" t="n">
        <v>0</v>
      </c>
      <c r="P622" t="n">
        <v>0</v>
      </c>
      <c r="Q622" t="n">
        <v>0</v>
      </c>
      <c r="R622" s="2" t="inlineStr"/>
    </row>
    <row r="623" ht="15" customHeight="1">
      <c r="A623" t="inlineStr">
        <is>
          <t>A 53220-2025</t>
        </is>
      </c>
      <c r="B623" s="1" t="n">
        <v>45958.60146990741</v>
      </c>
      <c r="C623" s="1" t="n">
        <v>46038</v>
      </c>
      <c r="D623" t="inlineStr">
        <is>
          <t>KALMAR LÄN</t>
        </is>
      </c>
      <c r="E623" t="inlineStr">
        <is>
          <t>VIMMERBY</t>
        </is>
      </c>
      <c r="G623" t="n">
        <v>2.2</v>
      </c>
      <c r="H623" t="n">
        <v>0</v>
      </c>
      <c r="I623" t="n">
        <v>0</v>
      </c>
      <c r="J623" t="n">
        <v>0</v>
      </c>
      <c r="K623" t="n">
        <v>0</v>
      </c>
      <c r="L623" t="n">
        <v>0</v>
      </c>
      <c r="M623" t="n">
        <v>0</v>
      </c>
      <c r="N623" t="n">
        <v>0</v>
      </c>
      <c r="O623" t="n">
        <v>0</v>
      </c>
      <c r="P623" t="n">
        <v>0</v>
      </c>
      <c r="Q623" t="n">
        <v>0</v>
      </c>
      <c r="R623" s="2" t="inlineStr"/>
    </row>
    <row r="624" ht="15" customHeight="1">
      <c r="A624" t="inlineStr">
        <is>
          <t>A 45560-2021</t>
        </is>
      </c>
      <c r="B624" s="1" t="n">
        <v>44440</v>
      </c>
      <c r="C624" s="1" t="n">
        <v>46038</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40256-2024</t>
        </is>
      </c>
      <c r="B625" s="1" t="n">
        <v>45554.62944444444</v>
      </c>
      <c r="C625" s="1" t="n">
        <v>46038</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58104-2024</t>
        </is>
      </c>
      <c r="B626" s="1" t="n">
        <v>45632.37459490741</v>
      </c>
      <c r="C626" s="1" t="n">
        <v>46038</v>
      </c>
      <c r="D626" t="inlineStr">
        <is>
          <t>KALMAR LÄN</t>
        </is>
      </c>
      <c r="E626" t="inlineStr">
        <is>
          <t>VIMMERBY</t>
        </is>
      </c>
      <c r="G626" t="n">
        <v>5</v>
      </c>
      <c r="H626" t="n">
        <v>0</v>
      </c>
      <c r="I626" t="n">
        <v>0</v>
      </c>
      <c r="J626" t="n">
        <v>0</v>
      </c>
      <c r="K626" t="n">
        <v>0</v>
      </c>
      <c r="L626" t="n">
        <v>0</v>
      </c>
      <c r="M626" t="n">
        <v>0</v>
      </c>
      <c r="N626" t="n">
        <v>0</v>
      </c>
      <c r="O626" t="n">
        <v>0</v>
      </c>
      <c r="P626" t="n">
        <v>0</v>
      </c>
      <c r="Q626" t="n">
        <v>0</v>
      </c>
      <c r="R626" s="2" t="inlineStr"/>
    </row>
    <row r="627" ht="15" customHeight="1">
      <c r="A627" t="inlineStr">
        <is>
          <t>A 53393-2025</t>
        </is>
      </c>
      <c r="B627" s="1" t="n">
        <v>45959.55284722222</v>
      </c>
      <c r="C627" s="1" t="n">
        <v>46038</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36259-2022</t>
        </is>
      </c>
      <c r="B628" s="1" t="n">
        <v>44803.59118055556</v>
      </c>
      <c r="C628" s="1" t="n">
        <v>46038</v>
      </c>
      <c r="D628" t="inlineStr">
        <is>
          <t>KALMAR LÄN</t>
        </is>
      </c>
      <c r="E628" t="inlineStr">
        <is>
          <t>VIMMERBY</t>
        </is>
      </c>
      <c r="G628" t="n">
        <v>3.9</v>
      </c>
      <c r="H628" t="n">
        <v>0</v>
      </c>
      <c r="I628" t="n">
        <v>0</v>
      </c>
      <c r="J628" t="n">
        <v>0</v>
      </c>
      <c r="K628" t="n">
        <v>0</v>
      </c>
      <c r="L628" t="n">
        <v>0</v>
      </c>
      <c r="M628" t="n">
        <v>0</v>
      </c>
      <c r="N628" t="n">
        <v>0</v>
      </c>
      <c r="O628" t="n">
        <v>0</v>
      </c>
      <c r="P628" t="n">
        <v>0</v>
      </c>
      <c r="Q628" t="n">
        <v>0</v>
      </c>
      <c r="R628" s="2" t="inlineStr"/>
    </row>
    <row r="629" ht="15" customHeight="1">
      <c r="A629" t="inlineStr">
        <is>
          <t>A 43034-2024</t>
        </is>
      </c>
      <c r="B629" s="1" t="n">
        <v>45567.42011574074</v>
      </c>
      <c r="C629" s="1" t="n">
        <v>46038</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53413-2025</t>
        </is>
      </c>
      <c r="B630" s="1" t="n">
        <v>45959.5787037037</v>
      </c>
      <c r="C630" s="1" t="n">
        <v>46038</v>
      </c>
      <c r="D630" t="inlineStr">
        <is>
          <t>KALMAR LÄN</t>
        </is>
      </c>
      <c r="E630" t="inlineStr">
        <is>
          <t>VIMMERBY</t>
        </is>
      </c>
      <c r="G630" t="n">
        <v>4.3</v>
      </c>
      <c r="H630" t="n">
        <v>0</v>
      </c>
      <c r="I630" t="n">
        <v>0</v>
      </c>
      <c r="J630" t="n">
        <v>0</v>
      </c>
      <c r="K630" t="n">
        <v>0</v>
      </c>
      <c r="L630" t="n">
        <v>0</v>
      </c>
      <c r="M630" t="n">
        <v>0</v>
      </c>
      <c r="N630" t="n">
        <v>0</v>
      </c>
      <c r="O630" t="n">
        <v>0</v>
      </c>
      <c r="P630" t="n">
        <v>0</v>
      </c>
      <c r="Q630" t="n">
        <v>0</v>
      </c>
      <c r="R630" s="2" t="inlineStr"/>
    </row>
    <row r="631" ht="15" customHeight="1">
      <c r="A631" t="inlineStr">
        <is>
          <t>A 53903-2025</t>
        </is>
      </c>
      <c r="B631" s="1" t="n">
        <v>45961.43738425926</v>
      </c>
      <c r="C631" s="1" t="n">
        <v>46038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3902-2022</t>
        </is>
      </c>
      <c r="B632" s="1" t="n">
        <v>44587.48847222222</v>
      </c>
      <c r="C632" s="1" t="n">
        <v>46038</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30070-2023</t>
        </is>
      </c>
      <c r="B633" s="1" t="n">
        <v>45110.4275</v>
      </c>
      <c r="C633" s="1" t="n">
        <v>46038</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53920-2025</t>
        </is>
      </c>
      <c r="B634" s="1" t="n">
        <v>45961.44951388889</v>
      </c>
      <c r="C634" s="1" t="n">
        <v>46038</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53927-2025</t>
        </is>
      </c>
      <c r="B635" s="1" t="n">
        <v>45961.46740740741</v>
      </c>
      <c r="C635" s="1" t="n">
        <v>46038</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61725-2025</t>
        </is>
      </c>
      <c r="B636" s="1" t="n">
        <v>46002.58680555555</v>
      </c>
      <c r="C636" s="1" t="n">
        <v>46038</v>
      </c>
      <c r="D636" t="inlineStr">
        <is>
          <t>KALMAR LÄN</t>
        </is>
      </c>
      <c r="E636" t="inlineStr">
        <is>
          <t>VIMMERBY</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53789-2025</t>
        </is>
      </c>
      <c r="B637" s="1" t="n">
        <v>45960</v>
      </c>
      <c r="C637" s="1" t="n">
        <v>46038</v>
      </c>
      <c r="D637" t="inlineStr">
        <is>
          <t>KALMAR LÄN</t>
        </is>
      </c>
      <c r="E637" t="inlineStr">
        <is>
          <t>VIMMERBY</t>
        </is>
      </c>
      <c r="F637" t="inlineStr">
        <is>
          <t>Övriga statliga verk och myndigheter</t>
        </is>
      </c>
      <c r="G637" t="n">
        <v>1.6</v>
      </c>
      <c r="H637" t="n">
        <v>0</v>
      </c>
      <c r="I637" t="n">
        <v>0</v>
      </c>
      <c r="J637" t="n">
        <v>0</v>
      </c>
      <c r="K637" t="n">
        <v>0</v>
      </c>
      <c r="L637" t="n">
        <v>0</v>
      </c>
      <c r="M637" t="n">
        <v>0</v>
      </c>
      <c r="N637" t="n">
        <v>0</v>
      </c>
      <c r="O637" t="n">
        <v>0</v>
      </c>
      <c r="P637" t="n">
        <v>0</v>
      </c>
      <c r="Q637" t="n">
        <v>0</v>
      </c>
      <c r="R637" s="2" t="inlineStr"/>
    </row>
    <row r="638" ht="15" customHeight="1">
      <c r="A638" t="inlineStr">
        <is>
          <t>A 61726-2025</t>
        </is>
      </c>
      <c r="B638" s="1" t="n">
        <v>46002.58822916666</v>
      </c>
      <c r="C638" s="1" t="n">
        <v>46038</v>
      </c>
      <c r="D638" t="inlineStr">
        <is>
          <t>KALMAR LÄN</t>
        </is>
      </c>
      <c r="E638" t="inlineStr">
        <is>
          <t>VIMMERBY</t>
        </is>
      </c>
      <c r="F638" t="inlineStr">
        <is>
          <t>Sveaskog</t>
        </is>
      </c>
      <c r="G638" t="n">
        <v>0.2</v>
      </c>
      <c r="H638" t="n">
        <v>0</v>
      </c>
      <c r="I638" t="n">
        <v>0</v>
      </c>
      <c r="J638" t="n">
        <v>0</v>
      </c>
      <c r="K638" t="n">
        <v>0</v>
      </c>
      <c r="L638" t="n">
        <v>0</v>
      </c>
      <c r="M638" t="n">
        <v>0</v>
      </c>
      <c r="N638" t="n">
        <v>0</v>
      </c>
      <c r="O638" t="n">
        <v>0</v>
      </c>
      <c r="P638" t="n">
        <v>0</v>
      </c>
      <c r="Q638" t="n">
        <v>0</v>
      </c>
      <c r="R638" s="2" t="inlineStr"/>
    </row>
    <row r="639" ht="15" customHeight="1">
      <c r="A639" t="inlineStr">
        <is>
          <t>A 53923-2025</t>
        </is>
      </c>
      <c r="B639" s="1" t="n">
        <v>45961.4569212963</v>
      </c>
      <c r="C639" s="1" t="n">
        <v>46038</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31209-2024</t>
        </is>
      </c>
      <c r="B640" s="1" t="n">
        <v>45503.5658912037</v>
      </c>
      <c r="C640" s="1" t="n">
        <v>46038</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61790-2025</t>
        </is>
      </c>
      <c r="B641" s="1" t="n">
        <v>46002.68768518518</v>
      </c>
      <c r="C641" s="1" t="n">
        <v>46038</v>
      </c>
      <c r="D641" t="inlineStr">
        <is>
          <t>KALMAR LÄN</t>
        </is>
      </c>
      <c r="E641" t="inlineStr">
        <is>
          <t>VIMMERBY</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4527-2023</t>
        </is>
      </c>
      <c r="B642" s="1" t="n">
        <v>44956</v>
      </c>
      <c r="C642" s="1" t="n">
        <v>46038</v>
      </c>
      <c r="D642" t="inlineStr">
        <is>
          <t>KALMAR LÄN</t>
        </is>
      </c>
      <c r="E642" t="inlineStr">
        <is>
          <t>VIMMERBY</t>
        </is>
      </c>
      <c r="F642" t="inlineStr">
        <is>
          <t>Kommuner</t>
        </is>
      </c>
      <c r="G642" t="n">
        <v>8.5</v>
      </c>
      <c r="H642" t="n">
        <v>0</v>
      </c>
      <c r="I642" t="n">
        <v>0</v>
      </c>
      <c r="J642" t="n">
        <v>0</v>
      </c>
      <c r="K642" t="n">
        <v>0</v>
      </c>
      <c r="L642" t="n">
        <v>0</v>
      </c>
      <c r="M642" t="n">
        <v>0</v>
      </c>
      <c r="N642" t="n">
        <v>0</v>
      </c>
      <c r="O642" t="n">
        <v>0</v>
      </c>
      <c r="P642" t="n">
        <v>0</v>
      </c>
      <c r="Q642" t="n">
        <v>0</v>
      </c>
      <c r="R642" s="2" t="inlineStr"/>
    </row>
    <row r="643" ht="15" customHeight="1">
      <c r="A643" t="inlineStr">
        <is>
          <t>A 12586-2021</t>
        </is>
      </c>
      <c r="B643" s="1" t="n">
        <v>44270.38002314815</v>
      </c>
      <c r="C643" s="1" t="n">
        <v>46038</v>
      </c>
      <c r="D643" t="inlineStr">
        <is>
          <t>KALMAR LÄN</t>
        </is>
      </c>
      <c r="E643" t="inlineStr">
        <is>
          <t>VIMMERBY</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53933-2025</t>
        </is>
      </c>
      <c r="B644" s="1" t="n">
        <v>45961.47650462963</v>
      </c>
      <c r="C644" s="1" t="n">
        <v>46038</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5864-2022</t>
        </is>
      </c>
      <c r="B645" s="1" t="n">
        <v>44596</v>
      </c>
      <c r="C645" s="1" t="n">
        <v>46038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53788-2025</t>
        </is>
      </c>
      <c r="B646" s="1" t="n">
        <v>45960</v>
      </c>
      <c r="C646" s="1" t="n">
        <v>46038</v>
      </c>
      <c r="D646" t="inlineStr">
        <is>
          <t>KALMAR LÄN</t>
        </is>
      </c>
      <c r="E646" t="inlineStr">
        <is>
          <t>VIMMERBY</t>
        </is>
      </c>
      <c r="F646" t="inlineStr">
        <is>
          <t>Övriga statliga verk och myndigheter</t>
        </is>
      </c>
      <c r="G646" t="n">
        <v>6.3</v>
      </c>
      <c r="H646" t="n">
        <v>0</v>
      </c>
      <c r="I646" t="n">
        <v>0</v>
      </c>
      <c r="J646" t="n">
        <v>0</v>
      </c>
      <c r="K646" t="n">
        <v>0</v>
      </c>
      <c r="L646" t="n">
        <v>0</v>
      </c>
      <c r="M646" t="n">
        <v>0</v>
      </c>
      <c r="N646" t="n">
        <v>0</v>
      </c>
      <c r="O646" t="n">
        <v>0</v>
      </c>
      <c r="P646" t="n">
        <v>0</v>
      </c>
      <c r="Q646" t="n">
        <v>0</v>
      </c>
      <c r="R646" s="2" t="inlineStr"/>
    </row>
    <row r="647" ht="15" customHeight="1">
      <c r="A647" t="inlineStr">
        <is>
          <t>A 30912-2023</t>
        </is>
      </c>
      <c r="B647" s="1" t="n">
        <v>45113.41633101852</v>
      </c>
      <c r="C647" s="1" t="n">
        <v>46038</v>
      </c>
      <c r="D647" t="inlineStr">
        <is>
          <t>KALMAR LÄN</t>
        </is>
      </c>
      <c r="E647" t="inlineStr">
        <is>
          <t>VIMMERBY</t>
        </is>
      </c>
      <c r="G647" t="n">
        <v>5</v>
      </c>
      <c r="H647" t="n">
        <v>0</v>
      </c>
      <c r="I647" t="n">
        <v>0</v>
      </c>
      <c r="J647" t="n">
        <v>0</v>
      </c>
      <c r="K647" t="n">
        <v>0</v>
      </c>
      <c r="L647" t="n">
        <v>0</v>
      </c>
      <c r="M647" t="n">
        <v>0</v>
      </c>
      <c r="N647" t="n">
        <v>0</v>
      </c>
      <c r="O647" t="n">
        <v>0</v>
      </c>
      <c r="P647" t="n">
        <v>0</v>
      </c>
      <c r="Q647" t="n">
        <v>0</v>
      </c>
      <c r="R647" s="2" t="inlineStr"/>
    </row>
    <row r="648" ht="15" customHeight="1">
      <c r="A648" t="inlineStr">
        <is>
          <t>A 1146-2025</t>
        </is>
      </c>
      <c r="B648" s="1" t="n">
        <v>45666</v>
      </c>
      <c r="C648" s="1" t="n">
        <v>46038</v>
      </c>
      <c r="D648" t="inlineStr">
        <is>
          <t>KALMAR LÄN</t>
        </is>
      </c>
      <c r="E648" t="inlineStr">
        <is>
          <t>VIMMERBY</t>
        </is>
      </c>
      <c r="G648" t="n">
        <v>4</v>
      </c>
      <c r="H648" t="n">
        <v>0</v>
      </c>
      <c r="I648" t="n">
        <v>0</v>
      </c>
      <c r="J648" t="n">
        <v>0</v>
      </c>
      <c r="K648" t="n">
        <v>0</v>
      </c>
      <c r="L648" t="n">
        <v>0</v>
      </c>
      <c r="M648" t="n">
        <v>0</v>
      </c>
      <c r="N648" t="n">
        <v>0</v>
      </c>
      <c r="O648" t="n">
        <v>0</v>
      </c>
      <c r="P648" t="n">
        <v>0</v>
      </c>
      <c r="Q648" t="n">
        <v>0</v>
      </c>
      <c r="R648" s="2" t="inlineStr"/>
    </row>
    <row r="649" ht="15" customHeight="1">
      <c r="A649" t="inlineStr">
        <is>
          <t>A 54236-2025</t>
        </is>
      </c>
      <c r="B649" s="1" t="n">
        <v>45964.62671296296</v>
      </c>
      <c r="C649" s="1" t="n">
        <v>46038</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62023-2022</t>
        </is>
      </c>
      <c r="B650" s="1" t="n">
        <v>44918.50106481482</v>
      </c>
      <c r="C650" s="1" t="n">
        <v>46038</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16119-2023</t>
        </is>
      </c>
      <c r="B651" s="1" t="n">
        <v>45027.59450231482</v>
      </c>
      <c r="C651" s="1" t="n">
        <v>46038</v>
      </c>
      <c r="D651" t="inlineStr">
        <is>
          <t>KALMAR LÄN</t>
        </is>
      </c>
      <c r="E651" t="inlineStr">
        <is>
          <t>VIMMERBY</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52327-2023</t>
        </is>
      </c>
      <c r="B652" s="1" t="n">
        <v>45224.6515162037</v>
      </c>
      <c r="C652" s="1" t="n">
        <v>46038</v>
      </c>
      <c r="D652" t="inlineStr">
        <is>
          <t>KALMAR LÄN</t>
        </is>
      </c>
      <c r="E652" t="inlineStr">
        <is>
          <t>VIMMERBY</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12075-2024</t>
        </is>
      </c>
      <c r="B653" s="1" t="n">
        <v>45377</v>
      </c>
      <c r="C653" s="1" t="n">
        <v>46038</v>
      </c>
      <c r="D653" t="inlineStr">
        <is>
          <t>KALMAR LÄN</t>
        </is>
      </c>
      <c r="E653" t="inlineStr">
        <is>
          <t>VIMMERBY</t>
        </is>
      </c>
      <c r="G653" t="n">
        <v>3.7</v>
      </c>
      <c r="H653" t="n">
        <v>0</v>
      </c>
      <c r="I653" t="n">
        <v>0</v>
      </c>
      <c r="J653" t="n">
        <v>0</v>
      </c>
      <c r="K653" t="n">
        <v>0</v>
      </c>
      <c r="L653" t="n">
        <v>0</v>
      </c>
      <c r="M653" t="n">
        <v>0</v>
      </c>
      <c r="N653" t="n">
        <v>0</v>
      </c>
      <c r="O653" t="n">
        <v>0</v>
      </c>
      <c r="P653" t="n">
        <v>0</v>
      </c>
      <c r="Q653" t="n">
        <v>0</v>
      </c>
      <c r="R653" s="2" t="inlineStr"/>
    </row>
    <row r="654" ht="15" customHeight="1">
      <c r="A654" t="inlineStr">
        <is>
          <t>A 29348-2023</t>
        </is>
      </c>
      <c r="B654" s="1" t="n">
        <v>45106.25025462963</v>
      </c>
      <c r="C654" s="1" t="n">
        <v>46038</v>
      </c>
      <c r="D654" t="inlineStr">
        <is>
          <t>KALMAR LÄN</t>
        </is>
      </c>
      <c r="E654" t="inlineStr">
        <is>
          <t>VIMMERBY</t>
        </is>
      </c>
      <c r="G654" t="n">
        <v>2.4</v>
      </c>
      <c r="H654" t="n">
        <v>0</v>
      </c>
      <c r="I654" t="n">
        <v>0</v>
      </c>
      <c r="J654" t="n">
        <v>0</v>
      </c>
      <c r="K654" t="n">
        <v>0</v>
      </c>
      <c r="L654" t="n">
        <v>0</v>
      </c>
      <c r="M654" t="n">
        <v>0</v>
      </c>
      <c r="N654" t="n">
        <v>0</v>
      </c>
      <c r="O654" t="n">
        <v>0</v>
      </c>
      <c r="P654" t="n">
        <v>0</v>
      </c>
      <c r="Q654" t="n">
        <v>0</v>
      </c>
      <c r="R654" s="2" t="inlineStr"/>
    </row>
    <row r="655" ht="15" customHeight="1">
      <c r="A655" t="inlineStr">
        <is>
          <t>A 31340-2023</t>
        </is>
      </c>
      <c r="B655" s="1" t="n">
        <v>45114.47895833333</v>
      </c>
      <c r="C655" s="1" t="n">
        <v>46038</v>
      </c>
      <c r="D655" t="inlineStr">
        <is>
          <t>KALMAR LÄN</t>
        </is>
      </c>
      <c r="E655" t="inlineStr">
        <is>
          <t>VIMMERBY</t>
        </is>
      </c>
      <c r="G655" t="n">
        <v>1.8</v>
      </c>
      <c r="H655" t="n">
        <v>0</v>
      </c>
      <c r="I655" t="n">
        <v>0</v>
      </c>
      <c r="J655" t="n">
        <v>0</v>
      </c>
      <c r="K655" t="n">
        <v>0</v>
      </c>
      <c r="L655" t="n">
        <v>0</v>
      </c>
      <c r="M655" t="n">
        <v>0</v>
      </c>
      <c r="N655" t="n">
        <v>0</v>
      </c>
      <c r="O655" t="n">
        <v>0</v>
      </c>
      <c r="P655" t="n">
        <v>0</v>
      </c>
      <c r="Q655" t="n">
        <v>0</v>
      </c>
      <c r="R655" s="2" t="inlineStr"/>
    </row>
    <row r="656" ht="15" customHeight="1">
      <c r="A656" t="inlineStr">
        <is>
          <t>A 54234-2025</t>
        </is>
      </c>
      <c r="B656" s="1" t="n">
        <v>45964.62486111111</v>
      </c>
      <c r="C656" s="1" t="n">
        <v>46038</v>
      </c>
      <c r="D656" t="inlineStr">
        <is>
          <t>KALMAR LÄN</t>
        </is>
      </c>
      <c r="E656" t="inlineStr">
        <is>
          <t>VIMMERBY</t>
        </is>
      </c>
      <c r="G656" t="n">
        <v>4.1</v>
      </c>
      <c r="H656" t="n">
        <v>0</v>
      </c>
      <c r="I656" t="n">
        <v>0</v>
      </c>
      <c r="J656" t="n">
        <v>0</v>
      </c>
      <c r="K656" t="n">
        <v>0</v>
      </c>
      <c r="L656" t="n">
        <v>0</v>
      </c>
      <c r="M656" t="n">
        <v>0</v>
      </c>
      <c r="N656" t="n">
        <v>0</v>
      </c>
      <c r="O656" t="n">
        <v>0</v>
      </c>
      <c r="P656" t="n">
        <v>0</v>
      </c>
      <c r="Q656" t="n">
        <v>0</v>
      </c>
      <c r="R656" s="2" t="inlineStr"/>
    </row>
    <row r="657" ht="15" customHeight="1">
      <c r="A657" t="inlineStr">
        <is>
          <t>A 7758-2024</t>
        </is>
      </c>
      <c r="B657" s="1" t="n">
        <v>45349.54434027777</v>
      </c>
      <c r="C657" s="1" t="n">
        <v>46038</v>
      </c>
      <c r="D657" t="inlineStr">
        <is>
          <t>KALMAR LÄN</t>
        </is>
      </c>
      <c r="E657" t="inlineStr">
        <is>
          <t>VIMMERBY</t>
        </is>
      </c>
      <c r="G657" t="n">
        <v>3.5</v>
      </c>
      <c r="H657" t="n">
        <v>0</v>
      </c>
      <c r="I657" t="n">
        <v>0</v>
      </c>
      <c r="J657" t="n">
        <v>0</v>
      </c>
      <c r="K657" t="n">
        <v>0</v>
      </c>
      <c r="L657" t="n">
        <v>0</v>
      </c>
      <c r="M657" t="n">
        <v>0</v>
      </c>
      <c r="N657" t="n">
        <v>0</v>
      </c>
      <c r="O657" t="n">
        <v>0</v>
      </c>
      <c r="P657" t="n">
        <v>0</v>
      </c>
      <c r="Q657" t="n">
        <v>0</v>
      </c>
      <c r="R657" s="2" t="inlineStr"/>
    </row>
    <row r="658" ht="15" customHeight="1">
      <c r="A658" t="inlineStr">
        <is>
          <t>A 5701-2024</t>
        </is>
      </c>
      <c r="B658" s="1" t="n">
        <v>45334.78826388889</v>
      </c>
      <c r="C658" s="1" t="n">
        <v>46038</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54737-2025</t>
        </is>
      </c>
      <c r="B659" s="1" t="n">
        <v>45966.56826388889</v>
      </c>
      <c r="C659" s="1" t="n">
        <v>46038</v>
      </c>
      <c r="D659" t="inlineStr">
        <is>
          <t>KALMAR LÄN</t>
        </is>
      </c>
      <c r="E659" t="inlineStr">
        <is>
          <t>VIMMERBY</t>
        </is>
      </c>
      <c r="G659" t="n">
        <v>2.1</v>
      </c>
      <c r="H659" t="n">
        <v>0</v>
      </c>
      <c r="I659" t="n">
        <v>0</v>
      </c>
      <c r="J659" t="n">
        <v>0</v>
      </c>
      <c r="K659" t="n">
        <v>0</v>
      </c>
      <c r="L659" t="n">
        <v>0</v>
      </c>
      <c r="M659" t="n">
        <v>0</v>
      </c>
      <c r="N659" t="n">
        <v>0</v>
      </c>
      <c r="O659" t="n">
        <v>0</v>
      </c>
      <c r="P659" t="n">
        <v>0</v>
      </c>
      <c r="Q659" t="n">
        <v>0</v>
      </c>
      <c r="R659" s="2" t="inlineStr"/>
    </row>
    <row r="660" ht="15" customHeight="1">
      <c r="A660" t="inlineStr">
        <is>
          <t>A 31405-2023</t>
        </is>
      </c>
      <c r="B660" s="1" t="n">
        <v>45114.58148148148</v>
      </c>
      <c r="C660" s="1" t="n">
        <v>46038</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6355-2022</t>
        </is>
      </c>
      <c r="B661" s="1" t="n">
        <v>44600</v>
      </c>
      <c r="C661" s="1" t="n">
        <v>46038</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46225-2024</t>
        </is>
      </c>
      <c r="B662" s="1" t="n">
        <v>45581.57333333333</v>
      </c>
      <c r="C662" s="1" t="n">
        <v>46038</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9418-2024</t>
        </is>
      </c>
      <c r="B663" s="1" t="n">
        <v>45359.45038194444</v>
      </c>
      <c r="C663" s="1" t="n">
        <v>46038</v>
      </c>
      <c r="D663" t="inlineStr">
        <is>
          <t>KALMAR LÄN</t>
        </is>
      </c>
      <c r="E663" t="inlineStr">
        <is>
          <t>VIMMERBY</t>
        </is>
      </c>
      <c r="G663" t="n">
        <v>1.9</v>
      </c>
      <c r="H663" t="n">
        <v>0</v>
      </c>
      <c r="I663" t="n">
        <v>0</v>
      </c>
      <c r="J663" t="n">
        <v>0</v>
      </c>
      <c r="K663" t="n">
        <v>0</v>
      </c>
      <c r="L663" t="n">
        <v>0</v>
      </c>
      <c r="M663" t="n">
        <v>0</v>
      </c>
      <c r="N663" t="n">
        <v>0</v>
      </c>
      <c r="O663" t="n">
        <v>0</v>
      </c>
      <c r="P663" t="n">
        <v>0</v>
      </c>
      <c r="Q663" t="n">
        <v>0</v>
      </c>
      <c r="R663" s="2" t="inlineStr"/>
    </row>
    <row r="664" ht="15" customHeight="1">
      <c r="A664" t="inlineStr">
        <is>
          <t>A 54813-2025</t>
        </is>
      </c>
      <c r="B664" s="1" t="n">
        <v>45966.64881944445</v>
      </c>
      <c r="C664" s="1" t="n">
        <v>46038</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57091-2022</t>
        </is>
      </c>
      <c r="B665" s="1" t="n">
        <v>44895.46524305556</v>
      </c>
      <c r="C665" s="1" t="n">
        <v>46038</v>
      </c>
      <c r="D665" t="inlineStr">
        <is>
          <t>KALMAR LÄN</t>
        </is>
      </c>
      <c r="E665" t="inlineStr">
        <is>
          <t>VIMMERBY</t>
        </is>
      </c>
      <c r="G665" t="n">
        <v>2.6</v>
      </c>
      <c r="H665" t="n">
        <v>0</v>
      </c>
      <c r="I665" t="n">
        <v>0</v>
      </c>
      <c r="J665" t="n">
        <v>0</v>
      </c>
      <c r="K665" t="n">
        <v>0</v>
      </c>
      <c r="L665" t="n">
        <v>0</v>
      </c>
      <c r="M665" t="n">
        <v>0</v>
      </c>
      <c r="N665" t="n">
        <v>0</v>
      </c>
      <c r="O665" t="n">
        <v>0</v>
      </c>
      <c r="P665" t="n">
        <v>0</v>
      </c>
      <c r="Q665" t="n">
        <v>0</v>
      </c>
      <c r="R665" s="2" t="inlineStr"/>
    </row>
    <row r="666" ht="15" customHeight="1">
      <c r="A666" t="inlineStr">
        <is>
          <t>A 3816-2022</t>
        </is>
      </c>
      <c r="B666" s="1" t="n">
        <v>44587</v>
      </c>
      <c r="C666" s="1" t="n">
        <v>46038</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43606-2024</t>
        </is>
      </c>
      <c r="B667" s="1" t="n">
        <v>45569.45017361111</v>
      </c>
      <c r="C667" s="1" t="n">
        <v>46038</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43617-2024</t>
        </is>
      </c>
      <c r="B668" s="1" t="n">
        <v>45569.47494212963</v>
      </c>
      <c r="C668" s="1" t="n">
        <v>46038</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47859-2024</t>
        </is>
      </c>
      <c r="B669" s="1" t="n">
        <v>45588.67070601852</v>
      </c>
      <c r="C669" s="1" t="n">
        <v>46038</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8540-2024</t>
        </is>
      </c>
      <c r="B670" s="1" t="n">
        <v>45355.54138888889</v>
      </c>
      <c r="C670" s="1" t="n">
        <v>46038</v>
      </c>
      <c r="D670" t="inlineStr">
        <is>
          <t>KALMAR LÄN</t>
        </is>
      </c>
      <c r="E670" t="inlineStr">
        <is>
          <t>VIMMERBY</t>
        </is>
      </c>
      <c r="G670" t="n">
        <v>1.9</v>
      </c>
      <c r="H670" t="n">
        <v>0</v>
      </c>
      <c r="I670" t="n">
        <v>0</v>
      </c>
      <c r="J670" t="n">
        <v>0</v>
      </c>
      <c r="K670" t="n">
        <v>0</v>
      </c>
      <c r="L670" t="n">
        <v>0</v>
      </c>
      <c r="M670" t="n">
        <v>0</v>
      </c>
      <c r="N670" t="n">
        <v>0</v>
      </c>
      <c r="O670" t="n">
        <v>0</v>
      </c>
      <c r="P670" t="n">
        <v>0</v>
      </c>
      <c r="Q670" t="n">
        <v>0</v>
      </c>
      <c r="R670" s="2" t="inlineStr"/>
    </row>
    <row r="671" ht="15" customHeight="1">
      <c r="A671" t="inlineStr">
        <is>
          <t>A 3331-2023</t>
        </is>
      </c>
      <c r="B671" s="1" t="n">
        <v>44949</v>
      </c>
      <c r="C671" s="1" t="n">
        <v>46038</v>
      </c>
      <c r="D671" t="inlineStr">
        <is>
          <t>KALMAR LÄN</t>
        </is>
      </c>
      <c r="E671" t="inlineStr">
        <is>
          <t>VIMMERBY</t>
        </is>
      </c>
      <c r="G671" t="n">
        <v>6.2</v>
      </c>
      <c r="H671" t="n">
        <v>0</v>
      </c>
      <c r="I671" t="n">
        <v>0</v>
      </c>
      <c r="J671" t="n">
        <v>0</v>
      </c>
      <c r="K671" t="n">
        <v>0</v>
      </c>
      <c r="L671" t="n">
        <v>0</v>
      </c>
      <c r="M671" t="n">
        <v>0</v>
      </c>
      <c r="N671" t="n">
        <v>0</v>
      </c>
      <c r="O671" t="n">
        <v>0</v>
      </c>
      <c r="P671" t="n">
        <v>0</v>
      </c>
      <c r="Q671" t="n">
        <v>0</v>
      </c>
      <c r="R671" s="2" t="inlineStr"/>
    </row>
    <row r="672" ht="15" customHeight="1">
      <c r="A672" t="inlineStr">
        <is>
          <t>A 55602-2025</t>
        </is>
      </c>
      <c r="B672" s="1" t="n">
        <v>45971</v>
      </c>
      <c r="C672" s="1" t="n">
        <v>46038</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598-2025</t>
        </is>
      </c>
      <c r="B673" s="1" t="n">
        <v>45660</v>
      </c>
      <c r="C673" s="1" t="n">
        <v>46038</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25799-2023</t>
        </is>
      </c>
      <c r="B674" s="1" t="n">
        <v>45090</v>
      </c>
      <c r="C674" s="1" t="n">
        <v>46038</v>
      </c>
      <c r="D674" t="inlineStr">
        <is>
          <t>KALMAR LÄN</t>
        </is>
      </c>
      <c r="E674" t="inlineStr">
        <is>
          <t>VIMMERBY</t>
        </is>
      </c>
      <c r="G674" t="n">
        <v>7.7</v>
      </c>
      <c r="H674" t="n">
        <v>0</v>
      </c>
      <c r="I674" t="n">
        <v>0</v>
      </c>
      <c r="J674" t="n">
        <v>0</v>
      </c>
      <c r="K674" t="n">
        <v>0</v>
      </c>
      <c r="L674" t="n">
        <v>0</v>
      </c>
      <c r="M674" t="n">
        <v>0</v>
      </c>
      <c r="N674" t="n">
        <v>0</v>
      </c>
      <c r="O674" t="n">
        <v>0</v>
      </c>
      <c r="P674" t="n">
        <v>0</v>
      </c>
      <c r="Q674" t="n">
        <v>0</v>
      </c>
      <c r="R674" s="2" t="inlineStr"/>
    </row>
    <row r="675" ht="15" customHeight="1">
      <c r="A675" t="inlineStr">
        <is>
          <t>A 53083-2021</t>
        </is>
      </c>
      <c r="B675" s="1" t="n">
        <v>44467.83386574074</v>
      </c>
      <c r="C675" s="1" t="n">
        <v>46038</v>
      </c>
      <c r="D675" t="inlineStr">
        <is>
          <t>KALMAR LÄN</t>
        </is>
      </c>
      <c r="E675" t="inlineStr">
        <is>
          <t>VIMMERBY</t>
        </is>
      </c>
      <c r="G675" t="n">
        <v>6.8</v>
      </c>
      <c r="H675" t="n">
        <v>0</v>
      </c>
      <c r="I675" t="n">
        <v>0</v>
      </c>
      <c r="J675" t="n">
        <v>0</v>
      </c>
      <c r="K675" t="n">
        <v>0</v>
      </c>
      <c r="L675" t="n">
        <v>0</v>
      </c>
      <c r="M675" t="n">
        <v>0</v>
      </c>
      <c r="N675" t="n">
        <v>0</v>
      </c>
      <c r="O675" t="n">
        <v>0</v>
      </c>
      <c r="P675" t="n">
        <v>0</v>
      </c>
      <c r="Q675" t="n">
        <v>0</v>
      </c>
      <c r="R675" s="2" t="inlineStr"/>
    </row>
    <row r="676" ht="15" customHeight="1">
      <c r="A676" t="inlineStr">
        <is>
          <t>A 24655-2021</t>
        </is>
      </c>
      <c r="B676" s="1" t="n">
        <v>44340</v>
      </c>
      <c r="C676" s="1" t="n">
        <v>46038</v>
      </c>
      <c r="D676" t="inlineStr">
        <is>
          <t>KALMAR LÄN</t>
        </is>
      </c>
      <c r="E676" t="inlineStr">
        <is>
          <t>VIMMERBY</t>
        </is>
      </c>
      <c r="G676" t="n">
        <v>14.9</v>
      </c>
      <c r="H676" t="n">
        <v>0</v>
      </c>
      <c r="I676" t="n">
        <v>0</v>
      </c>
      <c r="J676" t="n">
        <v>0</v>
      </c>
      <c r="K676" t="n">
        <v>0</v>
      </c>
      <c r="L676" t="n">
        <v>0</v>
      </c>
      <c r="M676" t="n">
        <v>0</v>
      </c>
      <c r="N676" t="n">
        <v>0</v>
      </c>
      <c r="O676" t="n">
        <v>0</v>
      </c>
      <c r="P676" t="n">
        <v>0</v>
      </c>
      <c r="Q676" t="n">
        <v>0</v>
      </c>
      <c r="R676" s="2" t="inlineStr"/>
    </row>
    <row r="677" ht="15" customHeight="1">
      <c r="A677" t="inlineStr">
        <is>
          <t>A 55603-2025</t>
        </is>
      </c>
      <c r="B677" s="1" t="n">
        <v>45971</v>
      </c>
      <c r="C677" s="1" t="n">
        <v>46038</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55605-2025</t>
        </is>
      </c>
      <c r="B678" s="1" t="n">
        <v>45971</v>
      </c>
      <c r="C678" s="1" t="n">
        <v>46038</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46038</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32835-2022</t>
        </is>
      </c>
      <c r="B680" s="1" t="n">
        <v>44784.42528935185</v>
      </c>
      <c r="C680" s="1" t="n">
        <v>46038</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55385-2025</t>
        </is>
      </c>
      <c r="B681" s="1" t="n">
        <v>45971.43350694444</v>
      </c>
      <c r="C681" s="1" t="n">
        <v>46038</v>
      </c>
      <c r="D681" t="inlineStr">
        <is>
          <t>KALMAR LÄN</t>
        </is>
      </c>
      <c r="E681" t="inlineStr">
        <is>
          <t>VIMMERBY</t>
        </is>
      </c>
      <c r="G681" t="n">
        <v>5</v>
      </c>
      <c r="H681" t="n">
        <v>0</v>
      </c>
      <c r="I681" t="n">
        <v>0</v>
      </c>
      <c r="J681" t="n">
        <v>0</v>
      </c>
      <c r="K681" t="n">
        <v>0</v>
      </c>
      <c r="L681" t="n">
        <v>0</v>
      </c>
      <c r="M681" t="n">
        <v>0</v>
      </c>
      <c r="N681" t="n">
        <v>0</v>
      </c>
      <c r="O681" t="n">
        <v>0</v>
      </c>
      <c r="P681" t="n">
        <v>0</v>
      </c>
      <c r="Q681" t="n">
        <v>0</v>
      </c>
      <c r="R681" s="2" t="inlineStr"/>
    </row>
    <row r="682" ht="15" customHeight="1">
      <c r="A682" t="inlineStr">
        <is>
          <t>A 1081-2023</t>
        </is>
      </c>
      <c r="B682" s="1" t="n">
        <v>44935</v>
      </c>
      <c r="C682" s="1" t="n">
        <v>46038</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47063-2022</t>
        </is>
      </c>
      <c r="B683" s="1" t="n">
        <v>44852</v>
      </c>
      <c r="C683" s="1" t="n">
        <v>46038</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28403-2023</t>
        </is>
      </c>
      <c r="B684" s="1" t="n">
        <v>45100.85270833333</v>
      </c>
      <c r="C684" s="1" t="n">
        <v>46038</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33103-2024</t>
        </is>
      </c>
      <c r="B685" s="1" t="n">
        <v>45517.8162037037</v>
      </c>
      <c r="C685" s="1" t="n">
        <v>46038</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63711-2025</t>
        </is>
      </c>
      <c r="B686" s="1" t="n">
        <v>46014.62724537037</v>
      </c>
      <c r="C686" s="1" t="n">
        <v>46038</v>
      </c>
      <c r="D686" t="inlineStr">
        <is>
          <t>KALMAR LÄN</t>
        </is>
      </c>
      <c r="E686" t="inlineStr">
        <is>
          <t>VIMMERBY</t>
        </is>
      </c>
      <c r="G686" t="n">
        <v>2.1</v>
      </c>
      <c r="H686" t="n">
        <v>0</v>
      </c>
      <c r="I686" t="n">
        <v>0</v>
      </c>
      <c r="J686" t="n">
        <v>0</v>
      </c>
      <c r="K686" t="n">
        <v>0</v>
      </c>
      <c r="L686" t="n">
        <v>0</v>
      </c>
      <c r="M686" t="n">
        <v>0</v>
      </c>
      <c r="N686" t="n">
        <v>0</v>
      </c>
      <c r="O686" t="n">
        <v>0</v>
      </c>
      <c r="P686" t="n">
        <v>0</v>
      </c>
      <c r="Q686" t="n">
        <v>0</v>
      </c>
      <c r="R686" s="2" t="inlineStr"/>
    </row>
    <row r="687" ht="15" customHeight="1">
      <c r="A687" t="inlineStr">
        <is>
          <t>A 2260-2022</t>
        </is>
      </c>
      <c r="B687" s="1" t="n">
        <v>44578.62943287037</v>
      </c>
      <c r="C687" s="1" t="n">
        <v>46038</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11661-2023</t>
        </is>
      </c>
      <c r="B688" s="1" t="n">
        <v>44994.46908564815</v>
      </c>
      <c r="C688" s="1" t="n">
        <v>46038</v>
      </c>
      <c r="D688" t="inlineStr">
        <is>
          <t>KALMAR LÄN</t>
        </is>
      </c>
      <c r="E688" t="inlineStr">
        <is>
          <t>VIMMERBY</t>
        </is>
      </c>
      <c r="G688" t="n">
        <v>2.7</v>
      </c>
      <c r="H688" t="n">
        <v>0</v>
      </c>
      <c r="I688" t="n">
        <v>0</v>
      </c>
      <c r="J688" t="n">
        <v>0</v>
      </c>
      <c r="K688" t="n">
        <v>0</v>
      </c>
      <c r="L688" t="n">
        <v>0</v>
      </c>
      <c r="M688" t="n">
        <v>0</v>
      </c>
      <c r="N688" t="n">
        <v>0</v>
      </c>
      <c r="O688" t="n">
        <v>0</v>
      </c>
      <c r="P688" t="n">
        <v>0</v>
      </c>
      <c r="Q688" t="n">
        <v>0</v>
      </c>
      <c r="R688" s="2" t="inlineStr"/>
    </row>
    <row r="689" ht="15" customHeight="1">
      <c r="A689" t="inlineStr">
        <is>
          <t>A 58046-2022</t>
        </is>
      </c>
      <c r="B689" s="1" t="n">
        <v>44900.57393518519</v>
      </c>
      <c r="C689" s="1" t="n">
        <v>46038</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45528-2021</t>
        </is>
      </c>
      <c r="B690" s="1" t="n">
        <v>44440.60415509259</v>
      </c>
      <c r="C690" s="1" t="n">
        <v>46038</v>
      </c>
      <c r="D690" t="inlineStr">
        <is>
          <t>KALMAR LÄN</t>
        </is>
      </c>
      <c r="E690" t="inlineStr">
        <is>
          <t>VIMMERBY</t>
        </is>
      </c>
      <c r="G690" t="n">
        <v>2.2</v>
      </c>
      <c r="H690" t="n">
        <v>0</v>
      </c>
      <c r="I690" t="n">
        <v>0</v>
      </c>
      <c r="J690" t="n">
        <v>0</v>
      </c>
      <c r="K690" t="n">
        <v>0</v>
      </c>
      <c r="L690" t="n">
        <v>0</v>
      </c>
      <c r="M690" t="n">
        <v>0</v>
      </c>
      <c r="N690" t="n">
        <v>0</v>
      </c>
      <c r="O690" t="n">
        <v>0</v>
      </c>
      <c r="P690" t="n">
        <v>0</v>
      </c>
      <c r="Q690" t="n">
        <v>0</v>
      </c>
      <c r="R690" s="2" t="inlineStr"/>
    </row>
    <row r="691" ht="15" customHeight="1">
      <c r="A691" t="inlineStr">
        <is>
          <t>A 46979-2023</t>
        </is>
      </c>
      <c r="B691" s="1" t="n">
        <v>45201</v>
      </c>
      <c r="C691" s="1" t="n">
        <v>46038</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6574-2023</t>
        </is>
      </c>
      <c r="B692" s="1" t="n">
        <v>44966</v>
      </c>
      <c r="C692" s="1" t="n">
        <v>46038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4058-2024</t>
        </is>
      </c>
      <c r="B693" s="1" t="n">
        <v>45323.53744212963</v>
      </c>
      <c r="C693" s="1" t="n">
        <v>46038</v>
      </c>
      <c r="D693" t="inlineStr">
        <is>
          <t>KALMAR LÄN</t>
        </is>
      </c>
      <c r="E693" t="inlineStr">
        <is>
          <t>VIMMERBY</t>
        </is>
      </c>
      <c r="G693" t="n">
        <v>6.5</v>
      </c>
      <c r="H693" t="n">
        <v>0</v>
      </c>
      <c r="I693" t="n">
        <v>0</v>
      </c>
      <c r="J693" t="n">
        <v>0</v>
      </c>
      <c r="K693" t="n">
        <v>0</v>
      </c>
      <c r="L693" t="n">
        <v>0</v>
      </c>
      <c r="M693" t="n">
        <v>0</v>
      </c>
      <c r="N693" t="n">
        <v>0</v>
      </c>
      <c r="O693" t="n">
        <v>0</v>
      </c>
      <c r="P693" t="n">
        <v>0</v>
      </c>
      <c r="Q693" t="n">
        <v>0</v>
      </c>
      <c r="R693" s="2" t="inlineStr"/>
    </row>
    <row r="694" ht="15" customHeight="1">
      <c r="A694" t="inlineStr">
        <is>
          <t>A 63848-2025</t>
        </is>
      </c>
      <c r="B694" s="1" t="n">
        <v>46020.44902777778</v>
      </c>
      <c r="C694" s="1" t="n">
        <v>46038</v>
      </c>
      <c r="D694" t="inlineStr">
        <is>
          <t>KALMAR LÄN</t>
        </is>
      </c>
      <c r="E694" t="inlineStr">
        <is>
          <t>VIMMERBY</t>
        </is>
      </c>
      <c r="G694" t="n">
        <v>3.4</v>
      </c>
      <c r="H694" t="n">
        <v>0</v>
      </c>
      <c r="I694" t="n">
        <v>0</v>
      </c>
      <c r="J694" t="n">
        <v>0</v>
      </c>
      <c r="K694" t="n">
        <v>0</v>
      </c>
      <c r="L694" t="n">
        <v>0</v>
      </c>
      <c r="M694" t="n">
        <v>0</v>
      </c>
      <c r="N694" t="n">
        <v>0</v>
      </c>
      <c r="O694" t="n">
        <v>0</v>
      </c>
      <c r="P694" t="n">
        <v>0</v>
      </c>
      <c r="Q694" t="n">
        <v>0</v>
      </c>
      <c r="R694" s="2" t="inlineStr"/>
    </row>
    <row r="695" ht="15" customHeight="1">
      <c r="A695" t="inlineStr">
        <is>
          <t>A 63839-2025</t>
        </is>
      </c>
      <c r="B695" s="1" t="n">
        <v>46020.41998842593</v>
      </c>
      <c r="C695" s="1" t="n">
        <v>46038</v>
      </c>
      <c r="D695" t="inlineStr">
        <is>
          <t>KALMAR LÄN</t>
        </is>
      </c>
      <c r="E695" t="inlineStr">
        <is>
          <t>VIMMERBY</t>
        </is>
      </c>
      <c r="G695" t="n">
        <v>2.9</v>
      </c>
      <c r="H695" t="n">
        <v>0</v>
      </c>
      <c r="I695" t="n">
        <v>0</v>
      </c>
      <c r="J695" t="n">
        <v>0</v>
      </c>
      <c r="K695" t="n">
        <v>0</v>
      </c>
      <c r="L695" t="n">
        <v>0</v>
      </c>
      <c r="M695" t="n">
        <v>0</v>
      </c>
      <c r="N695" t="n">
        <v>0</v>
      </c>
      <c r="O695" t="n">
        <v>0</v>
      </c>
      <c r="P695" t="n">
        <v>0</v>
      </c>
      <c r="Q695" t="n">
        <v>0</v>
      </c>
      <c r="R695" s="2" t="inlineStr"/>
    </row>
    <row r="696" ht="15" customHeight="1">
      <c r="A696" t="inlineStr">
        <is>
          <t>A 1978-2024</t>
        </is>
      </c>
      <c r="B696" s="1" t="n">
        <v>45308.59001157407</v>
      </c>
      <c r="C696" s="1" t="n">
        <v>46038</v>
      </c>
      <c r="D696" t="inlineStr">
        <is>
          <t>KALMAR LÄN</t>
        </is>
      </c>
      <c r="E696" t="inlineStr">
        <is>
          <t>VIMMERBY</t>
        </is>
      </c>
      <c r="G696" t="n">
        <v>0.9</v>
      </c>
      <c r="H696" t="n">
        <v>0</v>
      </c>
      <c r="I696" t="n">
        <v>0</v>
      </c>
      <c r="J696" t="n">
        <v>0</v>
      </c>
      <c r="K696" t="n">
        <v>0</v>
      </c>
      <c r="L696" t="n">
        <v>0</v>
      </c>
      <c r="M696" t="n">
        <v>0</v>
      </c>
      <c r="N696" t="n">
        <v>0</v>
      </c>
      <c r="O696" t="n">
        <v>0</v>
      </c>
      <c r="P696" t="n">
        <v>0</v>
      </c>
      <c r="Q696" t="n">
        <v>0</v>
      </c>
      <c r="R696" s="2" t="inlineStr"/>
    </row>
    <row r="697" ht="15" customHeight="1">
      <c r="A697" t="inlineStr">
        <is>
          <t>A 30318-2023</t>
        </is>
      </c>
      <c r="B697" s="1" t="n">
        <v>45111.30824074074</v>
      </c>
      <c r="C697" s="1" t="n">
        <v>46038</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63762-2025</t>
        </is>
      </c>
      <c r="B698" s="1" t="n">
        <v>46018.67197916667</v>
      </c>
      <c r="C698" s="1" t="n">
        <v>46038</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63845-2025</t>
        </is>
      </c>
      <c r="B699" s="1" t="n">
        <v>46020.43715277778</v>
      </c>
      <c r="C699" s="1" t="n">
        <v>46038</v>
      </c>
      <c r="D699" t="inlineStr">
        <is>
          <t>KALMAR LÄN</t>
        </is>
      </c>
      <c r="E699" t="inlineStr">
        <is>
          <t>VIMMERBY</t>
        </is>
      </c>
      <c r="G699" t="n">
        <v>3.8</v>
      </c>
      <c r="H699" t="n">
        <v>0</v>
      </c>
      <c r="I699" t="n">
        <v>0</v>
      </c>
      <c r="J699" t="n">
        <v>0</v>
      </c>
      <c r="K699" t="n">
        <v>0</v>
      </c>
      <c r="L699" t="n">
        <v>0</v>
      </c>
      <c r="M699" t="n">
        <v>0</v>
      </c>
      <c r="N699" t="n">
        <v>0</v>
      </c>
      <c r="O699" t="n">
        <v>0</v>
      </c>
      <c r="P699" t="n">
        <v>0</v>
      </c>
      <c r="Q699" t="n">
        <v>0</v>
      </c>
      <c r="R699" s="2" t="inlineStr"/>
    </row>
    <row r="700" ht="15" customHeight="1">
      <c r="A700" t="inlineStr">
        <is>
          <t>A 25234-2023</t>
        </is>
      </c>
      <c r="B700" s="1" t="n">
        <v>45086.63194444445</v>
      </c>
      <c r="C700" s="1" t="n">
        <v>46038</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46078-2023</t>
        </is>
      </c>
      <c r="B701" s="1" t="n">
        <v>45196</v>
      </c>
      <c r="C701" s="1" t="n">
        <v>46038</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63758-2025</t>
        </is>
      </c>
      <c r="B702" s="1" t="n">
        <v>46018.46483796297</v>
      </c>
      <c r="C702" s="1" t="n">
        <v>46038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3609-2024</t>
        </is>
      </c>
      <c r="B703" s="1" t="n">
        <v>45320.89128472222</v>
      </c>
      <c r="C703" s="1" t="n">
        <v>46038</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10424-2023</t>
        </is>
      </c>
      <c r="B704" s="1" t="n">
        <v>44987.54104166666</v>
      </c>
      <c r="C704" s="1" t="n">
        <v>46038</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57728-2025</t>
        </is>
      </c>
      <c r="B705" s="1" t="n">
        <v>45981</v>
      </c>
      <c r="C705" s="1" t="n">
        <v>46038</v>
      </c>
      <c r="D705" t="inlineStr">
        <is>
          <t>KALMAR LÄN</t>
        </is>
      </c>
      <c r="E705" t="inlineStr">
        <is>
          <t>VIMMERBY</t>
        </is>
      </c>
      <c r="G705" t="n">
        <v>0.8</v>
      </c>
      <c r="H705" t="n">
        <v>0</v>
      </c>
      <c r="I705" t="n">
        <v>0</v>
      </c>
      <c r="J705" t="n">
        <v>0</v>
      </c>
      <c r="K705" t="n">
        <v>0</v>
      </c>
      <c r="L705" t="n">
        <v>0</v>
      </c>
      <c r="M705" t="n">
        <v>0</v>
      </c>
      <c r="N705" t="n">
        <v>0</v>
      </c>
      <c r="O705" t="n">
        <v>0</v>
      </c>
      <c r="P705" t="n">
        <v>0</v>
      </c>
      <c r="Q705" t="n">
        <v>0</v>
      </c>
      <c r="R705" s="2" t="inlineStr"/>
    </row>
    <row r="706" ht="15" customHeight="1">
      <c r="A706" t="inlineStr">
        <is>
          <t>A 49382-2023</t>
        </is>
      </c>
      <c r="B706" s="1" t="n">
        <v>45208</v>
      </c>
      <c r="C706" s="1" t="n">
        <v>46038</v>
      </c>
      <c r="D706" t="inlineStr">
        <is>
          <t>KALMAR LÄN</t>
        </is>
      </c>
      <c r="E706" t="inlineStr">
        <is>
          <t>VIMMERBY</t>
        </is>
      </c>
      <c r="G706" t="n">
        <v>2.2</v>
      </c>
      <c r="H706" t="n">
        <v>0</v>
      </c>
      <c r="I706" t="n">
        <v>0</v>
      </c>
      <c r="J706" t="n">
        <v>0</v>
      </c>
      <c r="K706" t="n">
        <v>0</v>
      </c>
      <c r="L706" t="n">
        <v>0</v>
      </c>
      <c r="M706" t="n">
        <v>0</v>
      </c>
      <c r="N706" t="n">
        <v>0</v>
      </c>
      <c r="O706" t="n">
        <v>0</v>
      </c>
      <c r="P706" t="n">
        <v>0</v>
      </c>
      <c r="Q706" t="n">
        <v>0</v>
      </c>
      <c r="R706" s="2" t="inlineStr"/>
    </row>
    <row r="707" ht="15" customHeight="1">
      <c r="A707" t="inlineStr">
        <is>
          <t>A 12810-2023</t>
        </is>
      </c>
      <c r="B707" s="1" t="n">
        <v>45001.43854166667</v>
      </c>
      <c r="C707" s="1" t="n">
        <v>46038</v>
      </c>
      <c r="D707" t="inlineStr">
        <is>
          <t>KALMAR LÄN</t>
        </is>
      </c>
      <c r="E707" t="inlineStr">
        <is>
          <t>VIMMERBY</t>
        </is>
      </c>
      <c r="G707" t="n">
        <v>1.5</v>
      </c>
      <c r="H707" t="n">
        <v>0</v>
      </c>
      <c r="I707" t="n">
        <v>0</v>
      </c>
      <c r="J707" t="n">
        <v>0</v>
      </c>
      <c r="K707" t="n">
        <v>0</v>
      </c>
      <c r="L707" t="n">
        <v>0</v>
      </c>
      <c r="M707" t="n">
        <v>0</v>
      </c>
      <c r="N707" t="n">
        <v>0</v>
      </c>
      <c r="O707" t="n">
        <v>0</v>
      </c>
      <c r="P707" t="n">
        <v>0</v>
      </c>
      <c r="Q707" t="n">
        <v>0</v>
      </c>
      <c r="R707" s="2" t="inlineStr"/>
    </row>
    <row r="708" ht="15" customHeight="1">
      <c r="A708" t="inlineStr">
        <is>
          <t>A 3425-2022</t>
        </is>
      </c>
      <c r="B708" s="1" t="n">
        <v>44585.51060185185</v>
      </c>
      <c r="C708" s="1" t="n">
        <v>46038</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60675-2023</t>
        </is>
      </c>
      <c r="B709" s="1" t="n">
        <v>45260.4716550926</v>
      </c>
      <c r="C709" s="1" t="n">
        <v>46038</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2536-2023</t>
        </is>
      </c>
      <c r="B710" s="1" t="n">
        <v>44943.62954861111</v>
      </c>
      <c r="C710" s="1" t="n">
        <v>46038</v>
      </c>
      <c r="D710" t="inlineStr">
        <is>
          <t>KALMAR LÄN</t>
        </is>
      </c>
      <c r="E710" t="inlineStr">
        <is>
          <t>VIMMERBY</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58503-2025</t>
        </is>
      </c>
      <c r="B711" s="1" t="n">
        <v>45985.69509259259</v>
      </c>
      <c r="C711" s="1" t="n">
        <v>46038</v>
      </c>
      <c r="D711" t="inlineStr">
        <is>
          <t>KALMAR LÄN</t>
        </is>
      </c>
      <c r="E711" t="inlineStr">
        <is>
          <t>VIMMERBY</t>
        </is>
      </c>
      <c r="G711" t="n">
        <v>1.6</v>
      </c>
      <c r="H711" t="n">
        <v>0</v>
      </c>
      <c r="I711" t="n">
        <v>0</v>
      </c>
      <c r="J711" t="n">
        <v>0</v>
      </c>
      <c r="K711" t="n">
        <v>0</v>
      </c>
      <c r="L711" t="n">
        <v>0</v>
      </c>
      <c r="M711" t="n">
        <v>0</v>
      </c>
      <c r="N711" t="n">
        <v>0</v>
      </c>
      <c r="O711" t="n">
        <v>0</v>
      </c>
      <c r="P711" t="n">
        <v>0</v>
      </c>
      <c r="Q711" t="n">
        <v>0</v>
      </c>
      <c r="R711" s="2" t="inlineStr"/>
    </row>
    <row r="712" ht="15" customHeight="1">
      <c r="A712" t="inlineStr">
        <is>
          <t>A 11111-2024</t>
        </is>
      </c>
      <c r="B712" s="1" t="n">
        <v>45371.36359953704</v>
      </c>
      <c r="C712" s="1" t="n">
        <v>46038</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58498-2025</t>
        </is>
      </c>
      <c r="B713" s="1" t="n">
        <v>45985.68671296296</v>
      </c>
      <c r="C713" s="1" t="n">
        <v>46038</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58501-2025</t>
        </is>
      </c>
      <c r="B714" s="1" t="n">
        <v>45985.69153935185</v>
      </c>
      <c r="C714" s="1" t="n">
        <v>46038</v>
      </c>
      <c r="D714" t="inlineStr">
        <is>
          <t>KALMAR LÄN</t>
        </is>
      </c>
      <c r="E714" t="inlineStr">
        <is>
          <t>VIMMERBY</t>
        </is>
      </c>
      <c r="G714" t="n">
        <v>1</v>
      </c>
      <c r="H714" t="n">
        <v>0</v>
      </c>
      <c r="I714" t="n">
        <v>0</v>
      </c>
      <c r="J714" t="n">
        <v>0</v>
      </c>
      <c r="K714" t="n">
        <v>0</v>
      </c>
      <c r="L714" t="n">
        <v>0</v>
      </c>
      <c r="M714" t="n">
        <v>0</v>
      </c>
      <c r="N714" t="n">
        <v>0</v>
      </c>
      <c r="O714" t="n">
        <v>0</v>
      </c>
      <c r="P714" t="n">
        <v>0</v>
      </c>
      <c r="Q714" t="n">
        <v>0</v>
      </c>
      <c r="R714" s="2" t="inlineStr"/>
    </row>
    <row r="715" ht="15" customHeight="1">
      <c r="A715" t="inlineStr">
        <is>
          <t>A 58514-2025</t>
        </is>
      </c>
      <c r="B715" s="1" t="n">
        <v>45985.70513888889</v>
      </c>
      <c r="C715" s="1" t="n">
        <v>46038</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58442-2025</t>
        </is>
      </c>
      <c r="B716" s="1" t="n">
        <v>45985.61635416667</v>
      </c>
      <c r="C716" s="1" t="n">
        <v>46038</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58435-2025</t>
        </is>
      </c>
      <c r="B717" s="1" t="n">
        <v>45985.61501157407</v>
      </c>
      <c r="C717" s="1" t="n">
        <v>46038</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58446-2025</t>
        </is>
      </c>
      <c r="B718" s="1" t="n">
        <v>45985.62168981481</v>
      </c>
      <c r="C718" s="1" t="n">
        <v>46038</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1687-2023</t>
        </is>
      </c>
      <c r="B719" s="1" t="n">
        <v>44938</v>
      </c>
      <c r="C719" s="1" t="n">
        <v>46038</v>
      </c>
      <c r="D719" t="inlineStr">
        <is>
          <t>KALMAR LÄN</t>
        </is>
      </c>
      <c r="E719" t="inlineStr">
        <is>
          <t>VIMMERBY</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3494-2023</t>
        </is>
      </c>
      <c r="B720" s="1" t="n">
        <v>44949</v>
      </c>
      <c r="C720" s="1" t="n">
        <v>46038</v>
      </c>
      <c r="D720" t="inlineStr">
        <is>
          <t>KALMAR LÄN</t>
        </is>
      </c>
      <c r="E720" t="inlineStr">
        <is>
          <t>VIMMERBY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58500-2025</t>
        </is>
      </c>
      <c r="B721" s="1" t="n">
        <v>45985.69008101852</v>
      </c>
      <c r="C721" s="1" t="n">
        <v>46038</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409-2026</t>
        </is>
      </c>
      <c r="B722" s="1" t="n">
        <v>46028.69432870371</v>
      </c>
      <c r="C722" s="1" t="n">
        <v>46038</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58841-2025</t>
        </is>
      </c>
      <c r="B723" s="1" t="n">
        <v>45987.36275462963</v>
      </c>
      <c r="C723" s="1" t="n">
        <v>46038</v>
      </c>
      <c r="D723" t="inlineStr">
        <is>
          <t>KALMAR LÄN</t>
        </is>
      </c>
      <c r="E723" t="inlineStr">
        <is>
          <t>VIMMERBY</t>
        </is>
      </c>
      <c r="G723" t="n">
        <v>3.5</v>
      </c>
      <c r="H723" t="n">
        <v>0</v>
      </c>
      <c r="I723" t="n">
        <v>0</v>
      </c>
      <c r="J723" t="n">
        <v>0</v>
      </c>
      <c r="K723" t="n">
        <v>0</v>
      </c>
      <c r="L723" t="n">
        <v>0</v>
      </c>
      <c r="M723" t="n">
        <v>0</v>
      </c>
      <c r="N723" t="n">
        <v>0</v>
      </c>
      <c r="O723" t="n">
        <v>0</v>
      </c>
      <c r="P723" t="n">
        <v>0</v>
      </c>
      <c r="Q723" t="n">
        <v>0</v>
      </c>
      <c r="R723" s="2" t="inlineStr"/>
    </row>
    <row r="724" ht="15" customHeight="1">
      <c r="A724" t="inlineStr">
        <is>
          <t>A 406-2026</t>
        </is>
      </c>
      <c r="B724" s="1" t="n">
        <v>46028.68663194445</v>
      </c>
      <c r="C724" s="1" t="n">
        <v>46038</v>
      </c>
      <c r="D724" t="inlineStr">
        <is>
          <t>KALMAR LÄN</t>
        </is>
      </c>
      <c r="E724" t="inlineStr">
        <is>
          <t>VIMMERBY</t>
        </is>
      </c>
      <c r="G724" t="n">
        <v>1.8</v>
      </c>
      <c r="H724" t="n">
        <v>0</v>
      </c>
      <c r="I724" t="n">
        <v>0</v>
      </c>
      <c r="J724" t="n">
        <v>0</v>
      </c>
      <c r="K724" t="n">
        <v>0</v>
      </c>
      <c r="L724" t="n">
        <v>0</v>
      </c>
      <c r="M724" t="n">
        <v>0</v>
      </c>
      <c r="N724" t="n">
        <v>0</v>
      </c>
      <c r="O724" t="n">
        <v>0</v>
      </c>
      <c r="P724" t="n">
        <v>0</v>
      </c>
      <c r="Q724" t="n">
        <v>0</v>
      </c>
      <c r="R724" s="2" t="inlineStr"/>
    </row>
    <row r="725" ht="15" customHeight="1">
      <c r="A725" t="inlineStr">
        <is>
          <t>A 15449-2023</t>
        </is>
      </c>
      <c r="B725" s="1" t="n">
        <v>45020</v>
      </c>
      <c r="C725" s="1" t="n">
        <v>46038</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43242-2024</t>
        </is>
      </c>
      <c r="B726" s="1" t="n">
        <v>45568.30189814815</v>
      </c>
      <c r="C726" s="1" t="n">
        <v>46038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58858-2025</t>
        </is>
      </c>
      <c r="B727" s="1" t="n">
        <v>45987.4243287037</v>
      </c>
      <c r="C727" s="1" t="n">
        <v>46038</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44894.49538194444</v>
      </c>
      <c r="C728" s="1" t="n">
        <v>46038</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579-2026</t>
        </is>
      </c>
      <c r="B729" s="1" t="n">
        <v>46029.47912037037</v>
      </c>
      <c r="C729" s="1" t="n">
        <v>46038</v>
      </c>
      <c r="D729" t="inlineStr">
        <is>
          <t>KALMAR LÄN</t>
        </is>
      </c>
      <c r="E729" t="inlineStr">
        <is>
          <t>VIMMERBY</t>
        </is>
      </c>
      <c r="G729" t="n">
        <v>3</v>
      </c>
      <c r="H729" t="n">
        <v>0</v>
      </c>
      <c r="I729" t="n">
        <v>0</v>
      </c>
      <c r="J729" t="n">
        <v>0</v>
      </c>
      <c r="K729" t="n">
        <v>0</v>
      </c>
      <c r="L729" t="n">
        <v>0</v>
      </c>
      <c r="M729" t="n">
        <v>0</v>
      </c>
      <c r="N729" t="n">
        <v>0</v>
      </c>
      <c r="O729" t="n">
        <v>0</v>
      </c>
      <c r="P729" t="n">
        <v>0</v>
      </c>
      <c r="Q729" t="n">
        <v>0</v>
      </c>
      <c r="R729" s="2" t="inlineStr"/>
    </row>
    <row r="730" ht="15" customHeight="1">
      <c r="A730" t="inlineStr">
        <is>
          <t>A 33815-2022</t>
        </is>
      </c>
      <c r="B730" s="1" t="n">
        <v>44790.45876157407</v>
      </c>
      <c r="C730" s="1" t="n">
        <v>46038</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33842-2022</t>
        </is>
      </c>
      <c r="B731" s="1" t="n">
        <v>44790.49523148148</v>
      </c>
      <c r="C731" s="1" t="n">
        <v>46038</v>
      </c>
      <c r="D731" t="inlineStr">
        <is>
          <t>KALMAR LÄN</t>
        </is>
      </c>
      <c r="E731" t="inlineStr">
        <is>
          <t>VIMMERBY</t>
        </is>
      </c>
      <c r="G731" t="n">
        <v>1.6</v>
      </c>
      <c r="H731" t="n">
        <v>0</v>
      </c>
      <c r="I731" t="n">
        <v>0</v>
      </c>
      <c r="J731" t="n">
        <v>0</v>
      </c>
      <c r="K731" t="n">
        <v>0</v>
      </c>
      <c r="L731" t="n">
        <v>0</v>
      </c>
      <c r="M731" t="n">
        <v>0</v>
      </c>
      <c r="N731" t="n">
        <v>0</v>
      </c>
      <c r="O731" t="n">
        <v>0</v>
      </c>
      <c r="P731" t="n">
        <v>0</v>
      </c>
      <c r="Q731" t="n">
        <v>0</v>
      </c>
      <c r="R731" s="2" t="inlineStr"/>
    </row>
    <row r="732" ht="15" customHeight="1">
      <c r="A732" t="inlineStr">
        <is>
          <t>A 59039-2025</t>
        </is>
      </c>
      <c r="B732" s="1" t="n">
        <v>45988.36790509259</v>
      </c>
      <c r="C732" s="1" t="n">
        <v>46038</v>
      </c>
      <c r="D732" t="inlineStr">
        <is>
          <t>KALMAR LÄN</t>
        </is>
      </c>
      <c r="E732" t="inlineStr">
        <is>
          <t>VIMMERBY</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842-2026</t>
        </is>
      </c>
      <c r="B733" s="1" t="n">
        <v>46030.380625</v>
      </c>
      <c r="C733" s="1" t="n">
        <v>46038</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49408-2023</t>
        </is>
      </c>
      <c r="B734" s="1" t="n">
        <v>45211.43555555555</v>
      </c>
      <c r="C734" s="1" t="n">
        <v>46038</v>
      </c>
      <c r="D734" t="inlineStr">
        <is>
          <t>KALMAR LÄN</t>
        </is>
      </c>
      <c r="E734" t="inlineStr">
        <is>
          <t>VIMMERBY</t>
        </is>
      </c>
      <c r="G734" t="n">
        <v>13.1</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46038</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61937-2025</t>
        </is>
      </c>
      <c r="B736" s="1" t="n">
        <v>46003</v>
      </c>
      <c r="C736" s="1" t="n">
        <v>46038</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41199-2023</t>
        </is>
      </c>
      <c r="B737" s="1" t="n">
        <v>45174.40454861111</v>
      </c>
      <c r="C737" s="1" t="n">
        <v>46038</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59034-2025</t>
        </is>
      </c>
      <c r="B738" s="1" t="n">
        <v>45988.36243055556</v>
      </c>
      <c r="C738" s="1" t="n">
        <v>46038</v>
      </c>
      <c r="D738" t="inlineStr">
        <is>
          <t>KALMAR LÄN</t>
        </is>
      </c>
      <c r="E738" t="inlineStr">
        <is>
          <t>VIMMERBY</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8945-2025</t>
        </is>
      </c>
      <c r="B739" s="1" t="n">
        <v>45713.45311342592</v>
      </c>
      <c r="C739" s="1" t="n">
        <v>46038</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59037-2025</t>
        </is>
      </c>
      <c r="B740" s="1" t="n">
        <v>45988.36508101852</v>
      </c>
      <c r="C740" s="1" t="n">
        <v>46038</v>
      </c>
      <c r="D740" t="inlineStr">
        <is>
          <t>KALMAR LÄN</t>
        </is>
      </c>
      <c r="E740" t="inlineStr">
        <is>
          <t>VIMMERBY</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59068-2025</t>
        </is>
      </c>
      <c r="B741" s="1" t="n">
        <v>45988.41725694444</v>
      </c>
      <c r="C741" s="1" t="n">
        <v>46038</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11619-2023</t>
        </is>
      </c>
      <c r="B742" s="1" t="n">
        <v>44994.42113425926</v>
      </c>
      <c r="C742" s="1" t="n">
        <v>46038</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41896-2023</t>
        </is>
      </c>
      <c r="B743" s="1" t="n">
        <v>45176.72427083334</v>
      </c>
      <c r="C743" s="1" t="n">
        <v>46038</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1734-2026</t>
        </is>
      </c>
      <c r="B744" s="1" t="n">
        <v>46034</v>
      </c>
      <c r="C744" s="1" t="n">
        <v>46038</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59579-2025</t>
        </is>
      </c>
      <c r="B745" s="1" t="n">
        <v>45992.30569444445</v>
      </c>
      <c r="C745" s="1" t="n">
        <v>46038</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17926-2025</t>
        </is>
      </c>
      <c r="B746" s="1" t="n">
        <v>45759.38987268518</v>
      </c>
      <c r="C746" s="1" t="n">
        <v>46038</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21028-2023</t>
        </is>
      </c>
      <c r="B747" s="1" t="n">
        <v>45061</v>
      </c>
      <c r="C747" s="1" t="n">
        <v>46038</v>
      </c>
      <c r="D747" t="inlineStr">
        <is>
          <t>KALMAR LÄN</t>
        </is>
      </c>
      <c r="E747" t="inlineStr">
        <is>
          <t>VIMMERBY</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1743-2026</t>
        </is>
      </c>
      <c r="B748" s="1" t="n">
        <v>46034</v>
      </c>
      <c r="C748" s="1" t="n">
        <v>46038</v>
      </c>
      <c r="D748" t="inlineStr">
        <is>
          <t>KALMAR LÄN</t>
        </is>
      </c>
      <c r="E748" t="inlineStr">
        <is>
          <t>VIMMERBY</t>
        </is>
      </c>
      <c r="G748" t="n">
        <v>0.9</v>
      </c>
      <c r="H748" t="n">
        <v>0</v>
      </c>
      <c r="I748" t="n">
        <v>0</v>
      </c>
      <c r="J748" t="n">
        <v>0</v>
      </c>
      <c r="K748" t="n">
        <v>0</v>
      </c>
      <c r="L748" t="n">
        <v>0</v>
      </c>
      <c r="M748" t="n">
        <v>0</v>
      </c>
      <c r="N748" t="n">
        <v>0</v>
      </c>
      <c r="O748" t="n">
        <v>0</v>
      </c>
      <c r="P748" t="n">
        <v>0</v>
      </c>
      <c r="Q748" t="n">
        <v>0</v>
      </c>
      <c r="R748" s="2" t="inlineStr"/>
    </row>
    <row r="749" ht="15" customHeight="1">
      <c r="A749" t="inlineStr">
        <is>
          <t>A 1748-2026</t>
        </is>
      </c>
      <c r="B749" s="1" t="n">
        <v>46034.65589120371</v>
      </c>
      <c r="C749" s="1" t="n">
        <v>46038</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19445-2021</t>
        </is>
      </c>
      <c r="B750" s="1" t="n">
        <v>44310</v>
      </c>
      <c r="C750" s="1" t="n">
        <v>46038</v>
      </c>
      <c r="D750" t="inlineStr">
        <is>
          <t>KALMAR LÄN</t>
        </is>
      </c>
      <c r="E750" t="inlineStr">
        <is>
          <t>VIMMERBY</t>
        </is>
      </c>
      <c r="G750" t="n">
        <v>6.8</v>
      </c>
      <c r="H750" t="n">
        <v>0</v>
      </c>
      <c r="I750" t="n">
        <v>0</v>
      </c>
      <c r="J750" t="n">
        <v>0</v>
      </c>
      <c r="K750" t="n">
        <v>0</v>
      </c>
      <c r="L750" t="n">
        <v>0</v>
      </c>
      <c r="M750" t="n">
        <v>0</v>
      </c>
      <c r="N750" t="n">
        <v>0</v>
      </c>
      <c r="O750" t="n">
        <v>0</v>
      </c>
      <c r="P750" t="n">
        <v>0</v>
      </c>
      <c r="Q750" t="n">
        <v>0</v>
      </c>
      <c r="R750" s="2" t="inlineStr"/>
    </row>
    <row r="751" ht="15" customHeight="1">
      <c r="A751" t="inlineStr">
        <is>
          <t>A 27122-2023</t>
        </is>
      </c>
      <c r="B751" s="1" t="n">
        <v>45096.45247685185</v>
      </c>
      <c r="C751" s="1" t="n">
        <v>46038</v>
      </c>
      <c r="D751" t="inlineStr">
        <is>
          <t>KALMAR LÄN</t>
        </is>
      </c>
      <c r="E751" t="inlineStr">
        <is>
          <t>VIMMERBY</t>
        </is>
      </c>
      <c r="G751" t="n">
        <v>1.7</v>
      </c>
      <c r="H751" t="n">
        <v>0</v>
      </c>
      <c r="I751" t="n">
        <v>0</v>
      </c>
      <c r="J751" t="n">
        <v>0</v>
      </c>
      <c r="K751" t="n">
        <v>0</v>
      </c>
      <c r="L751" t="n">
        <v>0</v>
      </c>
      <c r="M751" t="n">
        <v>0</v>
      </c>
      <c r="N751" t="n">
        <v>0</v>
      </c>
      <c r="O751" t="n">
        <v>0</v>
      </c>
      <c r="P751" t="n">
        <v>0</v>
      </c>
      <c r="Q751" t="n">
        <v>0</v>
      </c>
      <c r="R751" s="2" t="inlineStr"/>
    </row>
    <row r="752" ht="15" customHeight="1">
      <c r="A752" t="inlineStr">
        <is>
          <t>A 13813-2024</t>
        </is>
      </c>
      <c r="B752" s="1" t="n">
        <v>45391.41310185185</v>
      </c>
      <c r="C752" s="1" t="n">
        <v>46038</v>
      </c>
      <c r="D752" t="inlineStr">
        <is>
          <t>KALMAR LÄN</t>
        </is>
      </c>
      <c r="E752" t="inlineStr">
        <is>
          <t>VIMMERBY</t>
        </is>
      </c>
      <c r="G752" t="n">
        <v>0.4</v>
      </c>
      <c r="H752" t="n">
        <v>0</v>
      </c>
      <c r="I752" t="n">
        <v>0</v>
      </c>
      <c r="J752" t="n">
        <v>0</v>
      </c>
      <c r="K752" t="n">
        <v>0</v>
      </c>
      <c r="L752" t="n">
        <v>0</v>
      </c>
      <c r="M752" t="n">
        <v>0</v>
      </c>
      <c r="N752" t="n">
        <v>0</v>
      </c>
      <c r="O752" t="n">
        <v>0</v>
      </c>
      <c r="P752" t="n">
        <v>0</v>
      </c>
      <c r="Q752" t="n">
        <v>0</v>
      </c>
      <c r="R752" s="2" t="inlineStr"/>
    </row>
    <row r="753" ht="15" customHeight="1">
      <c r="A753" t="inlineStr">
        <is>
          <t>A 38969-2023</t>
        </is>
      </c>
      <c r="B753" s="1" t="n">
        <v>45163.63621527778</v>
      </c>
      <c r="C753" s="1" t="n">
        <v>46038</v>
      </c>
      <c r="D753" t="inlineStr">
        <is>
          <t>KALMAR LÄN</t>
        </is>
      </c>
      <c r="E753" t="inlineStr">
        <is>
          <t>VIMMERBY</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1862-2026</t>
        </is>
      </c>
      <c r="B754" s="1" t="n">
        <v>46035.44689814815</v>
      </c>
      <c r="C754" s="1" t="n">
        <v>46038</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26937-2023</t>
        </is>
      </c>
      <c r="B755" s="1" t="n">
        <v>45093.62777777778</v>
      </c>
      <c r="C755" s="1" t="n">
        <v>46038</v>
      </c>
      <c r="D755" t="inlineStr">
        <is>
          <t>KALMAR LÄN</t>
        </is>
      </c>
      <c r="E755" t="inlineStr">
        <is>
          <t>VIMMERBY</t>
        </is>
      </c>
      <c r="F755" t="inlineStr">
        <is>
          <t>Sveaskog</t>
        </is>
      </c>
      <c r="G755" t="n">
        <v>14.5</v>
      </c>
      <c r="H755" t="n">
        <v>0</v>
      </c>
      <c r="I755" t="n">
        <v>0</v>
      </c>
      <c r="J755" t="n">
        <v>0</v>
      </c>
      <c r="K755" t="n">
        <v>0</v>
      </c>
      <c r="L755" t="n">
        <v>0</v>
      </c>
      <c r="M755" t="n">
        <v>0</v>
      </c>
      <c r="N755" t="n">
        <v>0</v>
      </c>
      <c r="O755" t="n">
        <v>0</v>
      </c>
      <c r="P755" t="n">
        <v>0</v>
      </c>
      <c r="Q755" t="n">
        <v>0</v>
      </c>
      <c r="R755" s="2" t="inlineStr"/>
    </row>
    <row r="756" ht="15" customHeight="1">
      <c r="A756" t="inlineStr">
        <is>
          <t>A 57486-2024</t>
        </is>
      </c>
      <c r="B756" s="1" t="n">
        <v>45630.35827546296</v>
      </c>
      <c r="C756" s="1" t="n">
        <v>46038</v>
      </c>
      <c r="D756" t="inlineStr">
        <is>
          <t>KALMAR LÄN</t>
        </is>
      </c>
      <c r="E756" t="inlineStr">
        <is>
          <t>VIMMERBY</t>
        </is>
      </c>
      <c r="G756" t="n">
        <v>0.4</v>
      </c>
      <c r="H756" t="n">
        <v>0</v>
      </c>
      <c r="I756" t="n">
        <v>0</v>
      </c>
      <c r="J756" t="n">
        <v>0</v>
      </c>
      <c r="K756" t="n">
        <v>0</v>
      </c>
      <c r="L756" t="n">
        <v>0</v>
      </c>
      <c r="M756" t="n">
        <v>0</v>
      </c>
      <c r="N756" t="n">
        <v>0</v>
      </c>
      <c r="O756" t="n">
        <v>0</v>
      </c>
      <c r="P756" t="n">
        <v>0</v>
      </c>
      <c r="Q756" t="n">
        <v>0</v>
      </c>
      <c r="R756" s="2" t="inlineStr"/>
    </row>
    <row r="757" ht="15" customHeight="1">
      <c r="A757" t="inlineStr">
        <is>
          <t>A 1069-2026</t>
        </is>
      </c>
      <c r="B757" s="1" t="n">
        <v>46030</v>
      </c>
      <c r="C757" s="1" t="n">
        <v>46038</v>
      </c>
      <c r="D757" t="inlineStr">
        <is>
          <t>KALMAR LÄN</t>
        </is>
      </c>
      <c r="E757" t="inlineStr">
        <is>
          <t>VIMMERBY</t>
        </is>
      </c>
      <c r="G757" t="n">
        <v>3.3</v>
      </c>
      <c r="H757" t="n">
        <v>0</v>
      </c>
      <c r="I757" t="n">
        <v>0</v>
      </c>
      <c r="J757" t="n">
        <v>0</v>
      </c>
      <c r="K757" t="n">
        <v>0</v>
      </c>
      <c r="L757" t="n">
        <v>0</v>
      </c>
      <c r="M757" t="n">
        <v>0</v>
      </c>
      <c r="N757" t="n">
        <v>0</v>
      </c>
      <c r="O757" t="n">
        <v>0</v>
      </c>
      <c r="P757" t="n">
        <v>0</v>
      </c>
      <c r="Q757" t="n">
        <v>0</v>
      </c>
      <c r="R757" s="2" t="inlineStr"/>
    </row>
    <row r="758" ht="15" customHeight="1">
      <c r="A758" t="inlineStr">
        <is>
          <t>A 43186-2021</t>
        </is>
      </c>
      <c r="B758" s="1" t="n">
        <v>44431.84840277778</v>
      </c>
      <c r="C758" s="1" t="n">
        <v>46038</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1799-2025</t>
        </is>
      </c>
      <c r="B759" s="1" t="n">
        <v>45671.46746527778</v>
      </c>
      <c r="C759" s="1" t="n">
        <v>46038</v>
      </c>
      <c r="D759" t="inlineStr">
        <is>
          <t>KALMAR LÄN</t>
        </is>
      </c>
      <c r="E759" t="inlineStr">
        <is>
          <t>VIMMERBY</t>
        </is>
      </c>
      <c r="G759" t="n">
        <v>3.3</v>
      </c>
      <c r="H759" t="n">
        <v>0</v>
      </c>
      <c r="I759" t="n">
        <v>0</v>
      </c>
      <c r="J759" t="n">
        <v>0</v>
      </c>
      <c r="K759" t="n">
        <v>0</v>
      </c>
      <c r="L759" t="n">
        <v>0</v>
      </c>
      <c r="M759" t="n">
        <v>0</v>
      </c>
      <c r="N759" t="n">
        <v>0</v>
      </c>
      <c r="O759" t="n">
        <v>0</v>
      </c>
      <c r="P759" t="n">
        <v>0</v>
      </c>
      <c r="Q759" t="n">
        <v>0</v>
      </c>
      <c r="R759" s="2" t="inlineStr"/>
    </row>
    <row r="760" ht="15" customHeight="1">
      <c r="A760" t="inlineStr">
        <is>
          <t>A 30063-2023</t>
        </is>
      </c>
      <c r="B760" s="1" t="n">
        <v>45110.4184375</v>
      </c>
      <c r="C760" s="1" t="n">
        <v>46038</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2514-2026</t>
        </is>
      </c>
      <c r="B761" s="1" t="n">
        <v>46037.42219907408</v>
      </c>
      <c r="C761" s="1" t="n">
        <v>46038</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2518-2026</t>
        </is>
      </c>
      <c r="B762" s="1" t="n">
        <v>46037.42511574074</v>
      </c>
      <c r="C762" s="1" t="n">
        <v>46038</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43068-2023</t>
        </is>
      </c>
      <c r="B763" s="1" t="n">
        <v>45182.78834490741</v>
      </c>
      <c r="C763" s="1" t="n">
        <v>46038</v>
      </c>
      <c r="D763" t="inlineStr">
        <is>
          <t>KALMAR LÄN</t>
        </is>
      </c>
      <c r="E763" t="inlineStr">
        <is>
          <t>VIMMERBY</t>
        </is>
      </c>
      <c r="G763" t="n">
        <v>1.5</v>
      </c>
      <c r="H763" t="n">
        <v>0</v>
      </c>
      <c r="I763" t="n">
        <v>0</v>
      </c>
      <c r="J763" t="n">
        <v>0</v>
      </c>
      <c r="K763" t="n">
        <v>0</v>
      </c>
      <c r="L763" t="n">
        <v>0</v>
      </c>
      <c r="M763" t="n">
        <v>0</v>
      </c>
      <c r="N763" t="n">
        <v>0</v>
      </c>
      <c r="O763" t="n">
        <v>0</v>
      </c>
      <c r="P763" t="n">
        <v>0</v>
      </c>
      <c r="Q763" t="n">
        <v>0</v>
      </c>
      <c r="R763" s="2" t="inlineStr"/>
    </row>
    <row r="764" ht="15" customHeight="1">
      <c r="A764" t="inlineStr">
        <is>
          <t>A 2523-2026</t>
        </is>
      </c>
      <c r="B764" s="1" t="n">
        <v>46037.42825231481</v>
      </c>
      <c r="C764" s="1" t="n">
        <v>46038</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18020-2025</t>
        </is>
      </c>
      <c r="B765" s="1" t="n">
        <v>45761.4437962963</v>
      </c>
      <c r="C765" s="1" t="n">
        <v>46038</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33424-2023</t>
        </is>
      </c>
      <c r="B766" s="1" t="n">
        <v>45128.9325</v>
      </c>
      <c r="C766" s="1" t="n">
        <v>46038</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33425-2023</t>
        </is>
      </c>
      <c r="B767" s="1" t="n">
        <v>45128.93540509259</v>
      </c>
      <c r="C767" s="1" t="n">
        <v>46038</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12327-2023</t>
        </is>
      </c>
      <c r="B768" s="1" t="n">
        <v>44999.36081018519</v>
      </c>
      <c r="C768" s="1" t="n">
        <v>46038</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43092-2024</t>
        </is>
      </c>
      <c r="B769" s="1" t="n">
        <v>45567</v>
      </c>
      <c r="C769" s="1" t="n">
        <v>46038</v>
      </c>
      <c r="D769" t="inlineStr">
        <is>
          <t>KALMAR LÄN</t>
        </is>
      </c>
      <c r="E769" t="inlineStr">
        <is>
          <t>VIMMERBY</t>
        </is>
      </c>
      <c r="G769" t="n">
        <v>2.7</v>
      </c>
      <c r="H769" t="n">
        <v>0</v>
      </c>
      <c r="I769" t="n">
        <v>0</v>
      </c>
      <c r="J769" t="n">
        <v>0</v>
      </c>
      <c r="K769" t="n">
        <v>0</v>
      </c>
      <c r="L769" t="n">
        <v>0</v>
      </c>
      <c r="M769" t="n">
        <v>0</v>
      </c>
      <c r="N769" t="n">
        <v>0</v>
      </c>
      <c r="O769" t="n">
        <v>0</v>
      </c>
      <c r="P769" t="n">
        <v>0</v>
      </c>
      <c r="Q769" t="n">
        <v>0</v>
      </c>
      <c r="R769" s="2" t="inlineStr"/>
    </row>
    <row r="770" ht="15" customHeight="1">
      <c r="A770" t="inlineStr">
        <is>
          <t>A 52435-2021</t>
        </is>
      </c>
      <c r="B770" s="1" t="n">
        <v>44466.34962962963</v>
      </c>
      <c r="C770" s="1" t="n">
        <v>46038</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60180-2025</t>
        </is>
      </c>
      <c r="B771" s="1" t="n">
        <v>45994.46428240741</v>
      </c>
      <c r="C771" s="1" t="n">
        <v>46038</v>
      </c>
      <c r="D771" t="inlineStr">
        <is>
          <t>KALMAR LÄN</t>
        </is>
      </c>
      <c r="E771" t="inlineStr">
        <is>
          <t>VIMMERBY</t>
        </is>
      </c>
      <c r="G771" t="n">
        <v>6.8</v>
      </c>
      <c r="H771" t="n">
        <v>0</v>
      </c>
      <c r="I771" t="n">
        <v>0</v>
      </c>
      <c r="J771" t="n">
        <v>0</v>
      </c>
      <c r="K771" t="n">
        <v>0</v>
      </c>
      <c r="L771" t="n">
        <v>0</v>
      </c>
      <c r="M771" t="n">
        <v>0</v>
      </c>
      <c r="N771" t="n">
        <v>0</v>
      </c>
      <c r="O771" t="n">
        <v>0</v>
      </c>
      <c r="P771" t="n">
        <v>0</v>
      </c>
      <c r="Q771" t="n">
        <v>0</v>
      </c>
      <c r="R771" s="2" t="inlineStr"/>
    </row>
    <row r="772" ht="15" customHeight="1">
      <c r="A772" t="inlineStr">
        <is>
          <t>A 35127-2024</t>
        </is>
      </c>
      <c r="B772" s="1" t="n">
        <v>45530.33202546297</v>
      </c>
      <c r="C772" s="1" t="n">
        <v>46038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60215-2022</t>
        </is>
      </c>
      <c r="B773" s="1" t="n">
        <v>44910.41346064815</v>
      </c>
      <c r="C773" s="1" t="n">
        <v>46038</v>
      </c>
      <c r="D773" t="inlineStr">
        <is>
          <t>KALMAR LÄN</t>
        </is>
      </c>
      <c r="E773" t="inlineStr">
        <is>
          <t>VIMMERBY</t>
        </is>
      </c>
      <c r="G773" t="n">
        <v>1.1</v>
      </c>
      <c r="H773" t="n">
        <v>0</v>
      </c>
      <c r="I773" t="n">
        <v>0</v>
      </c>
      <c r="J773" t="n">
        <v>0</v>
      </c>
      <c r="K773" t="n">
        <v>0</v>
      </c>
      <c r="L773" t="n">
        <v>0</v>
      </c>
      <c r="M773" t="n">
        <v>0</v>
      </c>
      <c r="N773" t="n">
        <v>0</v>
      </c>
      <c r="O773" t="n">
        <v>0</v>
      </c>
      <c r="P773" t="n">
        <v>0</v>
      </c>
      <c r="Q773" t="n">
        <v>0</v>
      </c>
      <c r="R773" s="2" t="inlineStr"/>
    </row>
    <row r="774" ht="15" customHeight="1">
      <c r="A774" t="inlineStr">
        <is>
          <t>A 29441-2024</t>
        </is>
      </c>
      <c r="B774" s="1" t="n">
        <v>45483.82834490741</v>
      </c>
      <c r="C774" s="1" t="n">
        <v>46038</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6216-2025</t>
        </is>
      </c>
      <c r="B775" s="1" t="n">
        <v>45698.52806712963</v>
      </c>
      <c r="C775" s="1" t="n">
        <v>46038</v>
      </c>
      <c r="D775" t="inlineStr">
        <is>
          <t>KALMAR LÄN</t>
        </is>
      </c>
      <c r="E775" t="inlineStr">
        <is>
          <t>VIMMERBY</t>
        </is>
      </c>
      <c r="G775" t="n">
        <v>1.2</v>
      </c>
      <c r="H775" t="n">
        <v>0</v>
      </c>
      <c r="I775" t="n">
        <v>0</v>
      </c>
      <c r="J775" t="n">
        <v>0</v>
      </c>
      <c r="K775" t="n">
        <v>0</v>
      </c>
      <c r="L775" t="n">
        <v>0</v>
      </c>
      <c r="M775" t="n">
        <v>0</v>
      </c>
      <c r="N775" t="n">
        <v>0</v>
      </c>
      <c r="O775" t="n">
        <v>0</v>
      </c>
      <c r="P775" t="n">
        <v>0</v>
      </c>
      <c r="Q775" t="n">
        <v>0</v>
      </c>
      <c r="R775" s="2" t="inlineStr"/>
    </row>
    <row r="776" ht="15" customHeight="1">
      <c r="A776" t="inlineStr">
        <is>
          <t>A 62779-2023</t>
        </is>
      </c>
      <c r="B776" s="1" t="n">
        <v>45271.66576388889</v>
      </c>
      <c r="C776" s="1" t="n">
        <v>46038</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60297-2025</t>
        </is>
      </c>
      <c r="B777" s="1" t="n">
        <v>45994</v>
      </c>
      <c r="C777" s="1" t="n">
        <v>46038</v>
      </c>
      <c r="D777" t="inlineStr">
        <is>
          <t>KALMAR LÄN</t>
        </is>
      </c>
      <c r="E777" t="inlineStr">
        <is>
          <t>VIMMERBY</t>
        </is>
      </c>
      <c r="G777" t="n">
        <v>4.2</v>
      </c>
      <c r="H777" t="n">
        <v>0</v>
      </c>
      <c r="I777" t="n">
        <v>0</v>
      </c>
      <c r="J777" t="n">
        <v>0</v>
      </c>
      <c r="K777" t="n">
        <v>0</v>
      </c>
      <c r="L777" t="n">
        <v>0</v>
      </c>
      <c r="M777" t="n">
        <v>0</v>
      </c>
      <c r="N777" t="n">
        <v>0</v>
      </c>
      <c r="O777" t="n">
        <v>0</v>
      </c>
      <c r="P777" t="n">
        <v>0</v>
      </c>
      <c r="Q777" t="n">
        <v>0</v>
      </c>
      <c r="R777" s="2" t="inlineStr"/>
    </row>
    <row r="778" ht="15" customHeight="1">
      <c r="A778" t="inlineStr">
        <is>
          <t>A 52294-2023</t>
        </is>
      </c>
      <c r="B778" s="1" t="n">
        <v>45224.60075231481</v>
      </c>
      <c r="C778" s="1" t="n">
        <v>46038</v>
      </c>
      <c r="D778" t="inlineStr">
        <is>
          <t>KALMAR LÄN</t>
        </is>
      </c>
      <c r="E778" t="inlineStr">
        <is>
          <t>VIMMERBY</t>
        </is>
      </c>
      <c r="F778" t="inlineStr">
        <is>
          <t>Sveaskog</t>
        </is>
      </c>
      <c r="G778" t="n">
        <v>2.5</v>
      </c>
      <c r="H778" t="n">
        <v>0</v>
      </c>
      <c r="I778" t="n">
        <v>0</v>
      </c>
      <c r="J778" t="n">
        <v>0</v>
      </c>
      <c r="K778" t="n">
        <v>0</v>
      </c>
      <c r="L778" t="n">
        <v>0</v>
      </c>
      <c r="M778" t="n">
        <v>0</v>
      </c>
      <c r="N778" t="n">
        <v>0</v>
      </c>
      <c r="O778" t="n">
        <v>0</v>
      </c>
      <c r="P778" t="n">
        <v>0</v>
      </c>
      <c r="Q778" t="n">
        <v>0</v>
      </c>
      <c r="R778" s="2" t="inlineStr"/>
    </row>
    <row r="779" ht="15" customHeight="1">
      <c r="A779" t="inlineStr">
        <is>
          <t>A 31013-2023</t>
        </is>
      </c>
      <c r="B779" s="1" t="n">
        <v>45113.56574074074</v>
      </c>
      <c r="C779" s="1" t="n">
        <v>46038</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72067-2021</t>
        </is>
      </c>
      <c r="B780" s="1" t="n">
        <v>44540</v>
      </c>
      <c r="C780" s="1" t="n">
        <v>46038</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61538-2022</t>
        </is>
      </c>
      <c r="B781" s="1" t="n">
        <v>44916.55414351852</v>
      </c>
      <c r="C781" s="1" t="n">
        <v>46038</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36155-2023</t>
        </is>
      </c>
      <c r="B782" s="1" t="n">
        <v>45149.60917824074</v>
      </c>
      <c r="C782" s="1" t="n">
        <v>46038</v>
      </c>
      <c r="D782" t="inlineStr">
        <is>
          <t>KALMAR LÄN</t>
        </is>
      </c>
      <c r="E782" t="inlineStr">
        <is>
          <t>VIMMERBY</t>
        </is>
      </c>
      <c r="G782" t="n">
        <v>5</v>
      </c>
      <c r="H782" t="n">
        <v>0</v>
      </c>
      <c r="I782" t="n">
        <v>0</v>
      </c>
      <c r="J782" t="n">
        <v>0</v>
      </c>
      <c r="K782" t="n">
        <v>0</v>
      </c>
      <c r="L782" t="n">
        <v>0</v>
      </c>
      <c r="M782" t="n">
        <v>0</v>
      </c>
      <c r="N782" t="n">
        <v>0</v>
      </c>
      <c r="O782" t="n">
        <v>0</v>
      </c>
      <c r="P782" t="n">
        <v>0</v>
      </c>
      <c r="Q782" t="n">
        <v>0</v>
      </c>
      <c r="R782" s="2" t="inlineStr"/>
    </row>
    <row r="783" ht="15" customHeight="1">
      <c r="A783" t="inlineStr">
        <is>
          <t>A 29173-2024</t>
        </is>
      </c>
      <c r="B783" s="1" t="n">
        <v>45482.52887731481</v>
      </c>
      <c r="C783" s="1" t="n">
        <v>46038</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53542-2022</t>
        </is>
      </c>
      <c r="B784" s="1" t="n">
        <v>44879.62173611111</v>
      </c>
      <c r="C784" s="1" t="n">
        <v>46038</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6807-2025</t>
        </is>
      </c>
      <c r="B785" s="1" t="n">
        <v>45700.68672453704</v>
      </c>
      <c r="C785" s="1" t="n">
        <v>46038</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7047-2022</t>
        </is>
      </c>
      <c r="B786" s="1" t="n">
        <v>44603</v>
      </c>
      <c r="C786" s="1" t="n">
        <v>46038</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35711-2023</t>
        </is>
      </c>
      <c r="B787" s="1" t="n">
        <v>45147.67172453704</v>
      </c>
      <c r="C787" s="1" t="n">
        <v>46038</v>
      </c>
      <c r="D787" t="inlineStr">
        <is>
          <t>KALMAR LÄN</t>
        </is>
      </c>
      <c r="E787" t="inlineStr">
        <is>
          <t>VIMMERBY</t>
        </is>
      </c>
      <c r="G787" t="n">
        <v>1</v>
      </c>
      <c r="H787" t="n">
        <v>0</v>
      </c>
      <c r="I787" t="n">
        <v>0</v>
      </c>
      <c r="J787" t="n">
        <v>0</v>
      </c>
      <c r="K787" t="n">
        <v>0</v>
      </c>
      <c r="L787" t="n">
        <v>0</v>
      </c>
      <c r="M787" t="n">
        <v>0</v>
      </c>
      <c r="N787" t="n">
        <v>0</v>
      </c>
      <c r="O787" t="n">
        <v>0</v>
      </c>
      <c r="P787" t="n">
        <v>0</v>
      </c>
      <c r="Q787" t="n">
        <v>0</v>
      </c>
      <c r="R787" s="2" t="inlineStr"/>
    </row>
    <row r="788" ht="15" customHeight="1">
      <c r="A788" t="inlineStr">
        <is>
          <t>A 5382-2023</t>
        </is>
      </c>
      <c r="B788" s="1" t="n">
        <v>44959.66407407408</v>
      </c>
      <c r="C788" s="1" t="n">
        <v>46038</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40823-2023</t>
        </is>
      </c>
      <c r="B789" s="1" t="n">
        <v>45171.77335648148</v>
      </c>
      <c r="C789" s="1" t="n">
        <v>46038</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6218-2025</t>
        </is>
      </c>
      <c r="B790" s="1" t="n">
        <v>45698.53336805556</v>
      </c>
      <c r="C790" s="1" t="n">
        <v>46038</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30920-2023</t>
        </is>
      </c>
      <c r="B791" s="1" t="n">
        <v>45113.43921296296</v>
      </c>
      <c r="C791" s="1" t="n">
        <v>46038</v>
      </c>
      <c r="D791" t="inlineStr">
        <is>
          <t>KALMAR LÄN</t>
        </is>
      </c>
      <c r="E791" t="inlineStr">
        <is>
          <t>VIMMERBY</t>
        </is>
      </c>
      <c r="G791" t="n">
        <v>3.1</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44967.45122685185</v>
      </c>
      <c r="C792" s="1" t="n">
        <v>46038</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5792-2023</t>
        </is>
      </c>
      <c r="B793" s="1" t="n">
        <v>44963.44769675926</v>
      </c>
      <c r="C793" s="1" t="n">
        <v>46038</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10303-2025</t>
        </is>
      </c>
      <c r="B794" s="1" t="n">
        <v>45720.44217592593</v>
      </c>
      <c r="C794" s="1" t="n">
        <v>46038</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60110-2022</t>
        </is>
      </c>
      <c r="B795" s="1" t="n">
        <v>44909</v>
      </c>
      <c r="C795" s="1" t="n">
        <v>46038</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15394-2025</t>
        </is>
      </c>
      <c r="B796" s="1" t="n">
        <v>45747.43196759259</v>
      </c>
      <c r="C796" s="1" t="n">
        <v>46038</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15388-2025</t>
        </is>
      </c>
      <c r="B797" s="1" t="n">
        <v>45747.42633101852</v>
      </c>
      <c r="C797" s="1" t="n">
        <v>46038</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15391-2025</t>
        </is>
      </c>
      <c r="B798" s="1" t="n">
        <v>45747.42958333333</v>
      </c>
      <c r="C798" s="1" t="n">
        <v>46038</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6474-2025</t>
        </is>
      </c>
      <c r="B799" s="1" t="n">
        <v>45699.60055555555</v>
      </c>
      <c r="C799" s="1" t="n">
        <v>46038</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32919-2022</t>
        </is>
      </c>
      <c r="B800" s="1" t="n">
        <v>44784.62724537037</v>
      </c>
      <c r="C800" s="1" t="n">
        <v>46038</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56659-2023</t>
        </is>
      </c>
      <c r="B801" s="1" t="n">
        <v>45243.84869212963</v>
      </c>
      <c r="C801" s="1" t="n">
        <v>46038</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13015-2022</t>
        </is>
      </c>
      <c r="B802" s="1" t="n">
        <v>44643</v>
      </c>
      <c r="C802" s="1" t="n">
        <v>46038</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17968-2025</t>
        </is>
      </c>
      <c r="B803" s="1" t="n">
        <v>45761.35990740741</v>
      </c>
      <c r="C803" s="1" t="n">
        <v>46038</v>
      </c>
      <c r="D803" t="inlineStr">
        <is>
          <t>KALMAR LÄN</t>
        </is>
      </c>
      <c r="E803" t="inlineStr">
        <is>
          <t>VIMMERBY</t>
        </is>
      </c>
      <c r="G803" t="n">
        <v>3.3</v>
      </c>
      <c r="H803" t="n">
        <v>0</v>
      </c>
      <c r="I803" t="n">
        <v>0</v>
      </c>
      <c r="J803" t="n">
        <v>0</v>
      </c>
      <c r="K803" t="n">
        <v>0</v>
      </c>
      <c r="L803" t="n">
        <v>0</v>
      </c>
      <c r="M803" t="n">
        <v>0</v>
      </c>
      <c r="N803" t="n">
        <v>0</v>
      </c>
      <c r="O803" t="n">
        <v>0</v>
      </c>
      <c r="P803" t="n">
        <v>0</v>
      </c>
      <c r="Q803" t="n">
        <v>0</v>
      </c>
      <c r="R803" s="2" t="inlineStr"/>
    </row>
    <row r="804" ht="15" customHeight="1">
      <c r="A804" t="inlineStr">
        <is>
          <t>A 6028-2023</t>
        </is>
      </c>
      <c r="B804" s="1" t="n">
        <v>44964.44356481481</v>
      </c>
      <c r="C804" s="1" t="n">
        <v>46038</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55436-2023</t>
        </is>
      </c>
      <c r="B805" s="1" t="n">
        <v>45238.4328587963</v>
      </c>
      <c r="C805" s="1" t="n">
        <v>46038</v>
      </c>
      <c r="D805" t="inlineStr">
        <is>
          <t>KALMAR LÄN</t>
        </is>
      </c>
      <c r="E805" t="inlineStr">
        <is>
          <t>VIMMERBY</t>
        </is>
      </c>
      <c r="G805" t="n">
        <v>5.6</v>
      </c>
      <c r="H805" t="n">
        <v>0</v>
      </c>
      <c r="I805" t="n">
        <v>0</v>
      </c>
      <c r="J805" t="n">
        <v>0</v>
      </c>
      <c r="K805" t="n">
        <v>0</v>
      </c>
      <c r="L805" t="n">
        <v>0</v>
      </c>
      <c r="M805" t="n">
        <v>0</v>
      </c>
      <c r="N805" t="n">
        <v>0</v>
      </c>
      <c r="O805" t="n">
        <v>0</v>
      </c>
      <c r="P805" t="n">
        <v>0</v>
      </c>
      <c r="Q805" t="n">
        <v>0</v>
      </c>
      <c r="R805" s="2" t="inlineStr"/>
    </row>
    <row r="806" ht="15" customHeight="1">
      <c r="A806" t="inlineStr">
        <is>
          <t>A 56582-2022</t>
        </is>
      </c>
      <c r="B806" s="1" t="n">
        <v>44893</v>
      </c>
      <c r="C806" s="1" t="n">
        <v>46038</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20-2025</t>
        </is>
      </c>
      <c r="B807" s="1" t="n">
        <v>45658.80232638889</v>
      </c>
      <c r="C807" s="1" t="n">
        <v>46038</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23-2025</t>
        </is>
      </c>
      <c r="B808" s="1" t="n">
        <v>45658.80827546296</v>
      </c>
      <c r="C808" s="1" t="n">
        <v>46038</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43962-2024</t>
        </is>
      </c>
      <c r="B809" s="1" t="n">
        <v>45572.48293981481</v>
      </c>
      <c r="C809" s="1" t="n">
        <v>46038</v>
      </c>
      <c r="D809" t="inlineStr">
        <is>
          <t>KALMAR LÄN</t>
        </is>
      </c>
      <c r="E809" t="inlineStr">
        <is>
          <t>VIMMERBY</t>
        </is>
      </c>
      <c r="G809" t="n">
        <v>0.6</v>
      </c>
      <c r="H809" t="n">
        <v>0</v>
      </c>
      <c r="I809" t="n">
        <v>0</v>
      </c>
      <c r="J809" t="n">
        <v>0</v>
      </c>
      <c r="K809" t="n">
        <v>0</v>
      </c>
      <c r="L809" t="n">
        <v>0</v>
      </c>
      <c r="M809" t="n">
        <v>0</v>
      </c>
      <c r="N809" t="n">
        <v>0</v>
      </c>
      <c r="O809" t="n">
        <v>0</v>
      </c>
      <c r="P809" t="n">
        <v>0</v>
      </c>
      <c r="Q809" t="n">
        <v>0</v>
      </c>
      <c r="R809" s="2" t="inlineStr"/>
    </row>
    <row r="810" ht="15" customHeight="1">
      <c r="A810" t="inlineStr">
        <is>
          <t>A 35713-2023</t>
        </is>
      </c>
      <c r="B810" s="1" t="n">
        <v>45147</v>
      </c>
      <c r="C810" s="1" t="n">
        <v>46038</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40147-2023</t>
        </is>
      </c>
      <c r="B811" s="1" t="n">
        <v>45169</v>
      </c>
      <c r="C811" s="1" t="n">
        <v>46038</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50995-2022</t>
        </is>
      </c>
      <c r="B812" s="1" t="n">
        <v>44867</v>
      </c>
      <c r="C812" s="1" t="n">
        <v>46038</v>
      </c>
      <c r="D812" t="inlineStr">
        <is>
          <t>KALMAR LÄN</t>
        </is>
      </c>
      <c r="E812" t="inlineStr">
        <is>
          <t>VIMMERBY</t>
        </is>
      </c>
      <c r="G812" t="n">
        <v>2.4</v>
      </c>
      <c r="H812" t="n">
        <v>0</v>
      </c>
      <c r="I812" t="n">
        <v>0</v>
      </c>
      <c r="J812" t="n">
        <v>0</v>
      </c>
      <c r="K812" t="n">
        <v>0</v>
      </c>
      <c r="L812" t="n">
        <v>0</v>
      </c>
      <c r="M812" t="n">
        <v>0</v>
      </c>
      <c r="N812" t="n">
        <v>0</v>
      </c>
      <c r="O812" t="n">
        <v>0</v>
      </c>
      <c r="P812" t="n">
        <v>0</v>
      </c>
      <c r="Q812" t="n">
        <v>0</v>
      </c>
      <c r="R812" s="2" t="inlineStr"/>
    </row>
    <row r="813" ht="15" customHeight="1">
      <c r="A813" t="inlineStr">
        <is>
          <t>A 27993-2022</t>
        </is>
      </c>
      <c r="B813" s="1" t="n">
        <v>44745.84396990741</v>
      </c>
      <c r="C813" s="1" t="n">
        <v>46038</v>
      </c>
      <c r="D813" t="inlineStr">
        <is>
          <t>KALMAR LÄN</t>
        </is>
      </c>
      <c r="E813" t="inlineStr">
        <is>
          <t>VIMMERBY</t>
        </is>
      </c>
      <c r="G813" t="n">
        <v>2.8</v>
      </c>
      <c r="H813" t="n">
        <v>0</v>
      </c>
      <c r="I813" t="n">
        <v>0</v>
      </c>
      <c r="J813" t="n">
        <v>0</v>
      </c>
      <c r="K813" t="n">
        <v>0</v>
      </c>
      <c r="L813" t="n">
        <v>0</v>
      </c>
      <c r="M813" t="n">
        <v>0</v>
      </c>
      <c r="N813" t="n">
        <v>0</v>
      </c>
      <c r="O813" t="n">
        <v>0</v>
      </c>
      <c r="P813" t="n">
        <v>0</v>
      </c>
      <c r="Q813" t="n">
        <v>0</v>
      </c>
      <c r="R813" s="2" t="inlineStr"/>
    </row>
    <row r="814" ht="15" customHeight="1">
      <c r="A814" t="inlineStr">
        <is>
          <t>A 57555-2024</t>
        </is>
      </c>
      <c r="B814" s="1" t="n">
        <v>45630.45069444444</v>
      </c>
      <c r="C814" s="1" t="n">
        <v>46038</v>
      </c>
      <c r="D814" t="inlineStr">
        <is>
          <t>KALMAR LÄN</t>
        </is>
      </c>
      <c r="E814" t="inlineStr">
        <is>
          <t>VIMMERBY</t>
        </is>
      </c>
      <c r="G814" t="n">
        <v>1.1</v>
      </c>
      <c r="H814" t="n">
        <v>0</v>
      </c>
      <c r="I814" t="n">
        <v>0</v>
      </c>
      <c r="J814" t="n">
        <v>0</v>
      </c>
      <c r="K814" t="n">
        <v>0</v>
      </c>
      <c r="L814" t="n">
        <v>0</v>
      </c>
      <c r="M814" t="n">
        <v>0</v>
      </c>
      <c r="N814" t="n">
        <v>0</v>
      </c>
      <c r="O814" t="n">
        <v>0</v>
      </c>
      <c r="P814" t="n">
        <v>0</v>
      </c>
      <c r="Q814" t="n">
        <v>0</v>
      </c>
      <c r="R814" s="2" t="inlineStr"/>
    </row>
    <row r="815" ht="15" customHeight="1">
      <c r="A815" t="inlineStr">
        <is>
          <t>A 36014-2024</t>
        </is>
      </c>
      <c r="B815" s="1" t="n">
        <v>45533.56108796296</v>
      </c>
      <c r="C815" s="1" t="n">
        <v>46038</v>
      </c>
      <c r="D815" t="inlineStr">
        <is>
          <t>KALMAR LÄN</t>
        </is>
      </c>
      <c r="E815" t="inlineStr">
        <is>
          <t>VIMMERBY</t>
        </is>
      </c>
      <c r="G815" t="n">
        <v>2.3</v>
      </c>
      <c r="H815" t="n">
        <v>0</v>
      </c>
      <c r="I815" t="n">
        <v>0</v>
      </c>
      <c r="J815" t="n">
        <v>0</v>
      </c>
      <c r="K815" t="n">
        <v>0</v>
      </c>
      <c r="L815" t="n">
        <v>0</v>
      </c>
      <c r="M815" t="n">
        <v>0</v>
      </c>
      <c r="N815" t="n">
        <v>0</v>
      </c>
      <c r="O815" t="n">
        <v>0</v>
      </c>
      <c r="P815" t="n">
        <v>0</v>
      </c>
      <c r="Q815" t="n">
        <v>0</v>
      </c>
      <c r="R815" s="2" t="inlineStr"/>
    </row>
    <row r="816" ht="15" customHeight="1">
      <c r="A816" t="inlineStr">
        <is>
          <t>A 36030-2024</t>
        </is>
      </c>
      <c r="B816" s="1" t="n">
        <v>45533.58302083334</v>
      </c>
      <c r="C816" s="1" t="n">
        <v>46038</v>
      </c>
      <c r="D816" t="inlineStr">
        <is>
          <t>KALMAR LÄN</t>
        </is>
      </c>
      <c r="E816" t="inlineStr">
        <is>
          <t>VIMMERBY</t>
        </is>
      </c>
      <c r="F816" t="inlineStr">
        <is>
          <t>Kommuner</t>
        </is>
      </c>
      <c r="G816" t="n">
        <v>4</v>
      </c>
      <c r="H816" t="n">
        <v>0</v>
      </c>
      <c r="I816" t="n">
        <v>0</v>
      </c>
      <c r="J816" t="n">
        <v>0</v>
      </c>
      <c r="K816" t="n">
        <v>0</v>
      </c>
      <c r="L816" t="n">
        <v>0</v>
      </c>
      <c r="M816" t="n">
        <v>0</v>
      </c>
      <c r="N816" t="n">
        <v>0</v>
      </c>
      <c r="O816" t="n">
        <v>0</v>
      </c>
      <c r="P816" t="n">
        <v>0</v>
      </c>
      <c r="Q816" t="n">
        <v>0</v>
      </c>
      <c r="R816" s="2" t="inlineStr"/>
    </row>
    <row r="817" ht="15" customHeight="1">
      <c r="A817" t="inlineStr">
        <is>
          <t>A 32865-2023</t>
        </is>
      </c>
      <c r="B817" s="1" t="n">
        <v>45124</v>
      </c>
      <c r="C817" s="1" t="n">
        <v>46038</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42918-2021</t>
        </is>
      </c>
      <c r="B818" s="1" t="n">
        <v>44431</v>
      </c>
      <c r="C818" s="1" t="n">
        <v>46038</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22643-2023</t>
        </is>
      </c>
      <c r="B819" s="1" t="n">
        <v>45071</v>
      </c>
      <c r="C819" s="1" t="n">
        <v>46038</v>
      </c>
      <c r="D819" t="inlineStr">
        <is>
          <t>KALMAR LÄN</t>
        </is>
      </c>
      <c r="E819" t="inlineStr">
        <is>
          <t>VIMMERBY</t>
        </is>
      </c>
      <c r="G819" t="n">
        <v>3.9</v>
      </c>
      <c r="H819" t="n">
        <v>0</v>
      </c>
      <c r="I819" t="n">
        <v>0</v>
      </c>
      <c r="J819" t="n">
        <v>0</v>
      </c>
      <c r="K819" t="n">
        <v>0</v>
      </c>
      <c r="L819" t="n">
        <v>0</v>
      </c>
      <c r="M819" t="n">
        <v>0</v>
      </c>
      <c r="N819" t="n">
        <v>0</v>
      </c>
      <c r="O819" t="n">
        <v>0</v>
      </c>
      <c r="P819" t="n">
        <v>0</v>
      </c>
      <c r="Q819" t="n">
        <v>0</v>
      </c>
      <c r="R819" s="2" t="inlineStr"/>
    </row>
    <row r="820" ht="15" customHeight="1">
      <c r="A820" t="inlineStr">
        <is>
          <t>A 18669-2025</t>
        </is>
      </c>
      <c r="B820" s="1" t="n">
        <v>45763.59436342592</v>
      </c>
      <c r="C820" s="1" t="n">
        <v>46038</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38780-2021</t>
        </is>
      </c>
      <c r="B821" s="1" t="n">
        <v>44410</v>
      </c>
      <c r="C821" s="1" t="n">
        <v>46038</v>
      </c>
      <c r="D821" t="inlineStr">
        <is>
          <t>KALMAR LÄN</t>
        </is>
      </c>
      <c r="E821" t="inlineStr">
        <is>
          <t>VIMMERBY</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29020-2024</t>
        </is>
      </c>
      <c r="B822" s="1" t="n">
        <v>45481.58048611111</v>
      </c>
      <c r="C822" s="1" t="n">
        <v>46038</v>
      </c>
      <c r="D822" t="inlineStr">
        <is>
          <t>KALMAR LÄN</t>
        </is>
      </c>
      <c r="E822" t="inlineStr">
        <is>
          <t>VIMMERBY</t>
        </is>
      </c>
      <c r="G822" t="n">
        <v>2.3</v>
      </c>
      <c r="H822" t="n">
        <v>0</v>
      </c>
      <c r="I822" t="n">
        <v>0</v>
      </c>
      <c r="J822" t="n">
        <v>0</v>
      </c>
      <c r="K822" t="n">
        <v>0</v>
      </c>
      <c r="L822" t="n">
        <v>0</v>
      </c>
      <c r="M822" t="n">
        <v>0</v>
      </c>
      <c r="N822" t="n">
        <v>0</v>
      </c>
      <c r="O822" t="n">
        <v>0</v>
      </c>
      <c r="P822" t="n">
        <v>0</v>
      </c>
      <c r="Q822" t="n">
        <v>0</v>
      </c>
      <c r="R822" s="2" t="inlineStr"/>
    </row>
    <row r="823" ht="15" customHeight="1">
      <c r="A823" t="inlineStr">
        <is>
          <t>A 30406-2023</t>
        </is>
      </c>
      <c r="B823" s="1" t="n">
        <v>45111.48787037037</v>
      </c>
      <c r="C823" s="1" t="n">
        <v>46038</v>
      </c>
      <c r="D823" t="inlineStr">
        <is>
          <t>KALMAR LÄN</t>
        </is>
      </c>
      <c r="E823" t="inlineStr">
        <is>
          <t>VIMMERBY</t>
        </is>
      </c>
      <c r="G823" t="n">
        <v>2.4</v>
      </c>
      <c r="H823" t="n">
        <v>0</v>
      </c>
      <c r="I823" t="n">
        <v>0</v>
      </c>
      <c r="J823" t="n">
        <v>0</v>
      </c>
      <c r="K823" t="n">
        <v>0</v>
      </c>
      <c r="L823" t="n">
        <v>0</v>
      </c>
      <c r="M823" t="n">
        <v>0</v>
      </c>
      <c r="N823" t="n">
        <v>0</v>
      </c>
      <c r="O823" t="n">
        <v>0</v>
      </c>
      <c r="P823" t="n">
        <v>0</v>
      </c>
      <c r="Q823" t="n">
        <v>0</v>
      </c>
      <c r="R823" s="2" t="inlineStr"/>
    </row>
    <row r="824" ht="15" customHeight="1">
      <c r="A824" t="inlineStr">
        <is>
          <t>A 13817-2024</t>
        </is>
      </c>
      <c r="B824" s="1" t="n">
        <v>45391.41976851852</v>
      </c>
      <c r="C824" s="1" t="n">
        <v>46038</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22399-2025</t>
        </is>
      </c>
      <c r="B825" s="1" t="n">
        <v>45786.52996527778</v>
      </c>
      <c r="C825" s="1" t="n">
        <v>46038</v>
      </c>
      <c r="D825" t="inlineStr">
        <is>
          <t>KALMAR LÄN</t>
        </is>
      </c>
      <c r="E825" t="inlineStr">
        <is>
          <t>VIMMERBY</t>
        </is>
      </c>
      <c r="G825" t="n">
        <v>2.1</v>
      </c>
      <c r="H825" t="n">
        <v>0</v>
      </c>
      <c r="I825" t="n">
        <v>0</v>
      </c>
      <c r="J825" t="n">
        <v>0</v>
      </c>
      <c r="K825" t="n">
        <v>0</v>
      </c>
      <c r="L825" t="n">
        <v>0</v>
      </c>
      <c r="M825" t="n">
        <v>0</v>
      </c>
      <c r="N825" t="n">
        <v>0</v>
      </c>
      <c r="O825" t="n">
        <v>0</v>
      </c>
      <c r="P825" t="n">
        <v>0</v>
      </c>
      <c r="Q825" t="n">
        <v>0</v>
      </c>
      <c r="R825" s="2" t="inlineStr"/>
    </row>
    <row r="826" ht="15" customHeight="1">
      <c r="A826" t="inlineStr">
        <is>
          <t>A 22397-2025</t>
        </is>
      </c>
      <c r="B826" s="1" t="n">
        <v>45786.52878472222</v>
      </c>
      <c r="C826" s="1" t="n">
        <v>46038</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25582-2024</t>
        </is>
      </c>
      <c r="B827" s="1" t="n">
        <v>45463</v>
      </c>
      <c r="C827" s="1" t="n">
        <v>46038</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57578-2024</t>
        </is>
      </c>
      <c r="B828" s="1" t="n">
        <v>45630.47564814815</v>
      </c>
      <c r="C828" s="1" t="n">
        <v>46038</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6307-2025</t>
        </is>
      </c>
      <c r="B829" s="1" t="n">
        <v>45698.69016203703</v>
      </c>
      <c r="C829" s="1" t="n">
        <v>46038</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11442-2025</t>
        </is>
      </c>
      <c r="B830" s="1" t="n">
        <v>45726.62721064815</v>
      </c>
      <c r="C830" s="1" t="n">
        <v>46038</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23394-2025</t>
        </is>
      </c>
      <c r="B831" s="1" t="n">
        <v>45791.89865740741</v>
      </c>
      <c r="C831" s="1" t="n">
        <v>46038</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23984-2025</t>
        </is>
      </c>
      <c r="B832" s="1" t="n">
        <v>45796</v>
      </c>
      <c r="C832" s="1" t="n">
        <v>46038</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35082-2024</t>
        </is>
      </c>
      <c r="B833" s="1" t="n">
        <v>45527.68784722222</v>
      </c>
      <c r="C833" s="1" t="n">
        <v>46038</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51278-2024</t>
        </is>
      </c>
      <c r="B834" s="1" t="n">
        <v>45603.74959490741</v>
      </c>
      <c r="C834" s="1" t="n">
        <v>46038</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9456-2025</t>
        </is>
      </c>
      <c r="B835" s="1" t="n">
        <v>45715.44159722222</v>
      </c>
      <c r="C835" s="1" t="n">
        <v>46038</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11111-2023</t>
        </is>
      </c>
      <c r="B836" s="1" t="n">
        <v>44992.4255787037</v>
      </c>
      <c r="C836" s="1" t="n">
        <v>46038</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44582-2024</t>
        </is>
      </c>
      <c r="B837" s="1" t="n">
        <v>45574.49298611111</v>
      </c>
      <c r="C837" s="1" t="n">
        <v>46038</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15494-2024</t>
        </is>
      </c>
      <c r="B838" s="1" t="n">
        <v>45401.53033564815</v>
      </c>
      <c r="C838" s="1" t="n">
        <v>46038</v>
      </c>
      <c r="D838" t="inlineStr">
        <is>
          <t>KALMAR LÄN</t>
        </is>
      </c>
      <c r="E838" t="inlineStr">
        <is>
          <t>VIMMERBY</t>
        </is>
      </c>
      <c r="G838" t="n">
        <v>3.2</v>
      </c>
      <c r="H838" t="n">
        <v>0</v>
      </c>
      <c r="I838" t="n">
        <v>0</v>
      </c>
      <c r="J838" t="n">
        <v>0</v>
      </c>
      <c r="K838" t="n">
        <v>0</v>
      </c>
      <c r="L838" t="n">
        <v>0</v>
      </c>
      <c r="M838" t="n">
        <v>0</v>
      </c>
      <c r="N838" t="n">
        <v>0</v>
      </c>
      <c r="O838" t="n">
        <v>0</v>
      </c>
      <c r="P838" t="n">
        <v>0</v>
      </c>
      <c r="Q838" t="n">
        <v>0</v>
      </c>
      <c r="R838" s="2" t="inlineStr"/>
    </row>
    <row r="839" ht="15" customHeight="1">
      <c r="A839" t="inlineStr">
        <is>
          <t>A 58724-2024</t>
        </is>
      </c>
      <c r="B839" s="1" t="n">
        <v>45635.66409722222</v>
      </c>
      <c r="C839" s="1" t="n">
        <v>46038</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25792-2025</t>
        </is>
      </c>
      <c r="B840" s="1" t="n">
        <v>45804.39141203704</v>
      </c>
      <c r="C840" s="1" t="n">
        <v>46038</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26039-2025</t>
        </is>
      </c>
      <c r="B841" s="1" t="n">
        <v>45804.6953587963</v>
      </c>
      <c r="C841" s="1" t="n">
        <v>46038</v>
      </c>
      <c r="D841" t="inlineStr">
        <is>
          <t>KALMAR LÄN</t>
        </is>
      </c>
      <c r="E841" t="inlineStr">
        <is>
          <t>VIMMERBY</t>
        </is>
      </c>
      <c r="F841" t="inlineStr">
        <is>
          <t>Sveaskog</t>
        </is>
      </c>
      <c r="G841" t="n">
        <v>5.2</v>
      </c>
      <c r="H841" t="n">
        <v>0</v>
      </c>
      <c r="I841" t="n">
        <v>0</v>
      </c>
      <c r="J841" t="n">
        <v>0</v>
      </c>
      <c r="K841" t="n">
        <v>0</v>
      </c>
      <c r="L841" t="n">
        <v>0</v>
      </c>
      <c r="M841" t="n">
        <v>0</v>
      </c>
      <c r="N841" t="n">
        <v>0</v>
      </c>
      <c r="O841" t="n">
        <v>0</v>
      </c>
      <c r="P841" t="n">
        <v>0</v>
      </c>
      <c r="Q841" t="n">
        <v>0</v>
      </c>
      <c r="R841" s="2" t="inlineStr"/>
    </row>
    <row r="842" ht="15" customHeight="1">
      <c r="A842" t="inlineStr">
        <is>
          <t>A 26046-2025</t>
        </is>
      </c>
      <c r="B842" s="1" t="n">
        <v>45804.708125</v>
      </c>
      <c r="C842" s="1" t="n">
        <v>46038</v>
      </c>
      <c r="D842" t="inlineStr">
        <is>
          <t>KALMAR LÄN</t>
        </is>
      </c>
      <c r="E842" t="inlineStr">
        <is>
          <t>VIMMERBY</t>
        </is>
      </c>
      <c r="F842" t="inlineStr">
        <is>
          <t>Sveaskog</t>
        </is>
      </c>
      <c r="G842" t="n">
        <v>5.1</v>
      </c>
      <c r="H842" t="n">
        <v>0</v>
      </c>
      <c r="I842" t="n">
        <v>0</v>
      </c>
      <c r="J842" t="n">
        <v>0</v>
      </c>
      <c r="K842" t="n">
        <v>0</v>
      </c>
      <c r="L842" t="n">
        <v>0</v>
      </c>
      <c r="M842" t="n">
        <v>0</v>
      </c>
      <c r="N842" t="n">
        <v>0</v>
      </c>
      <c r="O842" t="n">
        <v>0</v>
      </c>
      <c r="P842" t="n">
        <v>0</v>
      </c>
      <c r="Q842" t="n">
        <v>0</v>
      </c>
      <c r="R842" s="2" t="inlineStr"/>
    </row>
    <row r="843" ht="15" customHeight="1">
      <c r="A843" t="inlineStr">
        <is>
          <t>A 26124-2025</t>
        </is>
      </c>
      <c r="B843" s="1" t="n">
        <v>45805.39247685186</v>
      </c>
      <c r="C843" s="1" t="n">
        <v>46038</v>
      </c>
      <c r="D843" t="inlineStr">
        <is>
          <t>KALMAR LÄN</t>
        </is>
      </c>
      <c r="E843" t="inlineStr">
        <is>
          <t>VIMMERBY</t>
        </is>
      </c>
      <c r="G843" t="n">
        <v>6.6</v>
      </c>
      <c r="H843" t="n">
        <v>0</v>
      </c>
      <c r="I843" t="n">
        <v>0</v>
      </c>
      <c r="J843" t="n">
        <v>0</v>
      </c>
      <c r="K843" t="n">
        <v>0</v>
      </c>
      <c r="L843" t="n">
        <v>0</v>
      </c>
      <c r="M843" t="n">
        <v>0</v>
      </c>
      <c r="N843" t="n">
        <v>0</v>
      </c>
      <c r="O843" t="n">
        <v>0</v>
      </c>
      <c r="P843" t="n">
        <v>0</v>
      </c>
      <c r="Q843" t="n">
        <v>0</v>
      </c>
      <c r="R843" s="2" t="inlineStr"/>
    </row>
    <row r="844" ht="15" customHeight="1">
      <c r="A844" t="inlineStr">
        <is>
          <t>A 26207-2025</t>
        </is>
      </c>
      <c r="B844" s="1" t="n">
        <v>45805.52983796296</v>
      </c>
      <c r="C844" s="1" t="n">
        <v>46038</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25830-2025</t>
        </is>
      </c>
      <c r="B845" s="1" t="n">
        <v>45804.44519675926</v>
      </c>
      <c r="C845" s="1" t="n">
        <v>46038</v>
      </c>
      <c r="D845" t="inlineStr">
        <is>
          <t>KALMAR LÄN</t>
        </is>
      </c>
      <c r="E845" t="inlineStr">
        <is>
          <t>VIMMERBY</t>
        </is>
      </c>
      <c r="G845" t="n">
        <v>4.9</v>
      </c>
      <c r="H845" t="n">
        <v>0</v>
      </c>
      <c r="I845" t="n">
        <v>0</v>
      </c>
      <c r="J845" t="n">
        <v>0</v>
      </c>
      <c r="K845" t="n">
        <v>0</v>
      </c>
      <c r="L845" t="n">
        <v>0</v>
      </c>
      <c r="M845" t="n">
        <v>0</v>
      </c>
      <c r="N845" t="n">
        <v>0</v>
      </c>
      <c r="O845" t="n">
        <v>0</v>
      </c>
      <c r="P845" t="n">
        <v>0</v>
      </c>
      <c r="Q845" t="n">
        <v>0</v>
      </c>
      <c r="R845" s="2" t="inlineStr"/>
    </row>
    <row r="846" ht="15" customHeight="1">
      <c r="A846" t="inlineStr">
        <is>
          <t>A 26254-2025</t>
        </is>
      </c>
      <c r="B846" s="1" t="n">
        <v>45805</v>
      </c>
      <c r="C846" s="1" t="n">
        <v>46038</v>
      </c>
      <c r="D846" t="inlineStr">
        <is>
          <t>KALMAR LÄN</t>
        </is>
      </c>
      <c r="E846" t="inlineStr">
        <is>
          <t>VIMMERBY</t>
        </is>
      </c>
      <c r="G846" t="n">
        <v>2</v>
      </c>
      <c r="H846" t="n">
        <v>0</v>
      </c>
      <c r="I846" t="n">
        <v>0</v>
      </c>
      <c r="J846" t="n">
        <v>0</v>
      </c>
      <c r="K846" t="n">
        <v>0</v>
      </c>
      <c r="L846" t="n">
        <v>0</v>
      </c>
      <c r="M846" t="n">
        <v>0</v>
      </c>
      <c r="N846" t="n">
        <v>0</v>
      </c>
      <c r="O846" t="n">
        <v>0</v>
      </c>
      <c r="P846" t="n">
        <v>0</v>
      </c>
      <c r="Q846" t="n">
        <v>0</v>
      </c>
      <c r="R846" s="2" t="inlineStr"/>
    </row>
    <row r="847" ht="15" customHeight="1">
      <c r="A847" t="inlineStr">
        <is>
          <t>A 28286-2025</t>
        </is>
      </c>
      <c r="B847" s="1" t="n">
        <v>45818.58993055556</v>
      </c>
      <c r="C847" s="1" t="n">
        <v>46038</v>
      </c>
      <c r="D847" t="inlineStr">
        <is>
          <t>KALMAR LÄN</t>
        </is>
      </c>
      <c r="E847" t="inlineStr">
        <is>
          <t>VIMMERBY</t>
        </is>
      </c>
      <c r="F847" t="inlineStr">
        <is>
          <t>Sveaskog</t>
        </is>
      </c>
      <c r="G847" t="n">
        <v>8</v>
      </c>
      <c r="H847" t="n">
        <v>0</v>
      </c>
      <c r="I847" t="n">
        <v>0</v>
      </c>
      <c r="J847" t="n">
        <v>0</v>
      </c>
      <c r="K847" t="n">
        <v>0</v>
      </c>
      <c r="L847" t="n">
        <v>0</v>
      </c>
      <c r="M847" t="n">
        <v>0</v>
      </c>
      <c r="N847" t="n">
        <v>0</v>
      </c>
      <c r="O847" t="n">
        <v>0</v>
      </c>
      <c r="P847" t="n">
        <v>0</v>
      </c>
      <c r="Q847" t="n">
        <v>0</v>
      </c>
      <c r="R847" s="2" t="inlineStr"/>
    </row>
    <row r="848" ht="15" customHeight="1">
      <c r="A848" t="inlineStr">
        <is>
          <t>A 28282-2025</t>
        </is>
      </c>
      <c r="B848" s="1" t="n">
        <v>45818.58769675926</v>
      </c>
      <c r="C848" s="1" t="n">
        <v>46038</v>
      </c>
      <c r="D848" t="inlineStr">
        <is>
          <t>KALMAR LÄN</t>
        </is>
      </c>
      <c r="E848" t="inlineStr">
        <is>
          <t>VIMMERBY</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28294-2025</t>
        </is>
      </c>
      <c r="B849" s="1" t="n">
        <v>45818.595625</v>
      </c>
      <c r="C849" s="1" t="n">
        <v>46038</v>
      </c>
      <c r="D849" t="inlineStr">
        <is>
          <t>KALMAR LÄN</t>
        </is>
      </c>
      <c r="E849" t="inlineStr">
        <is>
          <t>VIMMERBY</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28290-2025</t>
        </is>
      </c>
      <c r="B850" s="1" t="n">
        <v>45818.59261574074</v>
      </c>
      <c r="C850" s="1" t="n">
        <v>46038</v>
      </c>
      <c r="D850" t="inlineStr">
        <is>
          <t>KALMAR LÄN</t>
        </is>
      </c>
      <c r="E850" t="inlineStr">
        <is>
          <t>VIMMERBY</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28280-2025</t>
        </is>
      </c>
      <c r="B851" s="1" t="n">
        <v>45818.5862037037</v>
      </c>
      <c r="C851" s="1" t="n">
        <v>46038</v>
      </c>
      <c r="D851" t="inlineStr">
        <is>
          <t>KALMAR LÄN</t>
        </is>
      </c>
      <c r="E851" t="inlineStr">
        <is>
          <t>VIMMERBY</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28620-2025</t>
        </is>
      </c>
      <c r="B852" s="1" t="n">
        <v>45819.61060185185</v>
      </c>
      <c r="C852" s="1" t="n">
        <v>46038</v>
      </c>
      <c r="D852" t="inlineStr">
        <is>
          <t>KALMAR LÄN</t>
        </is>
      </c>
      <c r="E852" t="inlineStr">
        <is>
          <t>VIMMERBY</t>
        </is>
      </c>
      <c r="G852" t="n">
        <v>5.6</v>
      </c>
      <c r="H852" t="n">
        <v>0</v>
      </c>
      <c r="I852" t="n">
        <v>0</v>
      </c>
      <c r="J852" t="n">
        <v>0</v>
      </c>
      <c r="K852" t="n">
        <v>0</v>
      </c>
      <c r="L852" t="n">
        <v>0</v>
      </c>
      <c r="M852" t="n">
        <v>0</v>
      </c>
      <c r="N852" t="n">
        <v>0</v>
      </c>
      <c r="O852" t="n">
        <v>0</v>
      </c>
      <c r="P852" t="n">
        <v>0</v>
      </c>
      <c r="Q852" t="n">
        <v>0</v>
      </c>
      <c r="R852" s="2" t="inlineStr"/>
    </row>
    <row r="853" ht="15" customHeight="1">
      <c r="A853" t="inlineStr">
        <is>
          <t>A 28712-2025</t>
        </is>
      </c>
      <c r="B853" s="1" t="n">
        <v>45820.33708333333</v>
      </c>
      <c r="C853" s="1" t="n">
        <v>46038</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28714-2025</t>
        </is>
      </c>
      <c r="B854" s="1" t="n">
        <v>45820.34128472222</v>
      </c>
      <c r="C854" s="1" t="n">
        <v>46038</v>
      </c>
      <c r="D854" t="inlineStr">
        <is>
          <t>KALMAR LÄN</t>
        </is>
      </c>
      <c r="E854" t="inlineStr">
        <is>
          <t>VIMMERBY</t>
        </is>
      </c>
      <c r="G854" t="n">
        <v>1.8</v>
      </c>
      <c r="H854" t="n">
        <v>0</v>
      </c>
      <c r="I854" t="n">
        <v>0</v>
      </c>
      <c r="J854" t="n">
        <v>0</v>
      </c>
      <c r="K854" t="n">
        <v>0</v>
      </c>
      <c r="L854" t="n">
        <v>0</v>
      </c>
      <c r="M854" t="n">
        <v>0</v>
      </c>
      <c r="N854" t="n">
        <v>0</v>
      </c>
      <c r="O854" t="n">
        <v>0</v>
      </c>
      <c r="P854" t="n">
        <v>0</v>
      </c>
      <c r="Q854" t="n">
        <v>0</v>
      </c>
      <c r="R854" s="2" t="inlineStr"/>
    </row>
    <row r="855" ht="15" customHeight="1">
      <c r="A855" t="inlineStr">
        <is>
          <t>A 28713-2025</t>
        </is>
      </c>
      <c r="B855" s="1" t="n">
        <v>45820.33930555556</v>
      </c>
      <c r="C855" s="1" t="n">
        <v>46038</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29737-2025</t>
        </is>
      </c>
      <c r="B856" s="1" t="n">
        <v>45825.58672453704</v>
      </c>
      <c r="C856" s="1" t="n">
        <v>46038</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29727-2025</t>
        </is>
      </c>
      <c r="B857" s="1" t="n">
        <v>45825.5796875</v>
      </c>
      <c r="C857" s="1" t="n">
        <v>46038</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30293-2025</t>
        </is>
      </c>
      <c r="B858" s="1" t="n">
        <v>45827</v>
      </c>
      <c r="C858" s="1" t="n">
        <v>46038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30290-2025</t>
        </is>
      </c>
      <c r="B859" s="1" t="n">
        <v>45827</v>
      </c>
      <c r="C859" s="1" t="n">
        <v>46038</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30850-2025</t>
        </is>
      </c>
      <c r="B860" s="1" t="n">
        <v>45831</v>
      </c>
      <c r="C860" s="1" t="n">
        <v>46038</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31552-2025</t>
        </is>
      </c>
      <c r="B861" s="1" t="n">
        <v>45833.64563657407</v>
      </c>
      <c r="C861" s="1" t="n">
        <v>46038</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31555-2025</t>
        </is>
      </c>
      <c r="B862" s="1" t="n">
        <v>45833.64814814815</v>
      </c>
      <c r="C862" s="1" t="n">
        <v>46038</v>
      </c>
      <c r="D862" t="inlineStr">
        <is>
          <t>KALMAR LÄN</t>
        </is>
      </c>
      <c r="E862" t="inlineStr">
        <is>
          <t>VIMMERBY</t>
        </is>
      </c>
      <c r="G862" t="n">
        <v>1.8</v>
      </c>
      <c r="H862" t="n">
        <v>0</v>
      </c>
      <c r="I862" t="n">
        <v>0</v>
      </c>
      <c r="J862" t="n">
        <v>0</v>
      </c>
      <c r="K862" t="n">
        <v>0</v>
      </c>
      <c r="L862" t="n">
        <v>0</v>
      </c>
      <c r="M862" t="n">
        <v>0</v>
      </c>
      <c r="N862" t="n">
        <v>0</v>
      </c>
      <c r="O862" t="n">
        <v>0</v>
      </c>
      <c r="P862" t="n">
        <v>0</v>
      </c>
      <c r="Q862" t="n">
        <v>0</v>
      </c>
      <c r="R862" s="2" t="inlineStr"/>
    </row>
    <row r="863" ht="15" customHeight="1">
      <c r="A863" t="inlineStr">
        <is>
          <t>A 30971-2025</t>
        </is>
      </c>
      <c r="B863" s="1" t="n">
        <v>45832.46146990741</v>
      </c>
      <c r="C863" s="1" t="n">
        <v>46038</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31551-2025</t>
        </is>
      </c>
      <c r="B864" s="1" t="n">
        <v>45833.64237268519</v>
      </c>
      <c r="C864" s="1" t="n">
        <v>46038</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30882-2025</t>
        </is>
      </c>
      <c r="B865" s="1" t="n">
        <v>45832.34540509259</v>
      </c>
      <c r="C865" s="1" t="n">
        <v>46038</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31872-2025</t>
        </is>
      </c>
      <c r="B866" s="1" t="n">
        <v>45834.65040509259</v>
      </c>
      <c r="C866" s="1" t="n">
        <v>46038</v>
      </c>
      <c r="D866" t="inlineStr">
        <is>
          <t>KALMAR LÄN</t>
        </is>
      </c>
      <c r="E866" t="inlineStr">
        <is>
          <t>VIMMERBY</t>
        </is>
      </c>
      <c r="F866" t="inlineStr">
        <is>
          <t>Sveaskog</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8559-2025</t>
        </is>
      </c>
      <c r="B867" s="1" t="n">
        <v>45709.62280092593</v>
      </c>
      <c r="C867" s="1" t="n">
        <v>46038</v>
      </c>
      <c r="D867" t="inlineStr">
        <is>
          <t>KALMAR LÄN</t>
        </is>
      </c>
      <c r="E867" t="inlineStr">
        <is>
          <t>VIMMERBY</t>
        </is>
      </c>
      <c r="G867" t="n">
        <v>8.9</v>
      </c>
      <c r="H867" t="n">
        <v>0</v>
      </c>
      <c r="I867" t="n">
        <v>0</v>
      </c>
      <c r="J867" t="n">
        <v>0</v>
      </c>
      <c r="K867" t="n">
        <v>0</v>
      </c>
      <c r="L867" t="n">
        <v>0</v>
      </c>
      <c r="M867" t="n">
        <v>0</v>
      </c>
      <c r="N867" t="n">
        <v>0</v>
      </c>
      <c r="O867" t="n">
        <v>0</v>
      </c>
      <c r="P867" t="n">
        <v>0</v>
      </c>
      <c r="Q867" t="n">
        <v>0</v>
      </c>
      <c r="R867" s="2" t="inlineStr"/>
    </row>
    <row r="868" ht="15" customHeight="1">
      <c r="A868" t="inlineStr">
        <is>
          <t>A 32064-2025</t>
        </is>
      </c>
      <c r="B868" s="1" t="n">
        <v>45835.44709490741</v>
      </c>
      <c r="C868" s="1" t="n">
        <v>46038</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32109-2025</t>
        </is>
      </c>
      <c r="B869" s="1" t="n">
        <v>45835.48267361111</v>
      </c>
      <c r="C869" s="1" t="n">
        <v>46038</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32113-2025</t>
        </is>
      </c>
      <c r="B870" s="1" t="n">
        <v>45835.48445601852</v>
      </c>
      <c r="C870" s="1" t="n">
        <v>46038</v>
      </c>
      <c r="D870" t="inlineStr">
        <is>
          <t>KALMAR LÄN</t>
        </is>
      </c>
      <c r="E870" t="inlineStr">
        <is>
          <t>VIMMERBY</t>
        </is>
      </c>
      <c r="G870" t="n">
        <v>3.5</v>
      </c>
      <c r="H870" t="n">
        <v>0</v>
      </c>
      <c r="I870" t="n">
        <v>0</v>
      </c>
      <c r="J870" t="n">
        <v>0</v>
      </c>
      <c r="K870" t="n">
        <v>0</v>
      </c>
      <c r="L870" t="n">
        <v>0</v>
      </c>
      <c r="M870" t="n">
        <v>0</v>
      </c>
      <c r="N870" t="n">
        <v>0</v>
      </c>
      <c r="O870" t="n">
        <v>0</v>
      </c>
      <c r="P870" t="n">
        <v>0</v>
      </c>
      <c r="Q870" t="n">
        <v>0</v>
      </c>
      <c r="R870" s="2" t="inlineStr"/>
    </row>
    <row r="871" ht="15" customHeight="1">
      <c r="A871" t="inlineStr">
        <is>
          <t>A 32116-2025</t>
        </is>
      </c>
      <c r="B871" s="1" t="n">
        <v>45835.48862268519</v>
      </c>
      <c r="C871" s="1" t="n">
        <v>46038</v>
      </c>
      <c r="D871" t="inlineStr">
        <is>
          <t>KALMAR LÄN</t>
        </is>
      </c>
      <c r="E871" t="inlineStr">
        <is>
          <t>VIMMERBY</t>
        </is>
      </c>
      <c r="G871" t="n">
        <v>0.9</v>
      </c>
      <c r="H871" t="n">
        <v>0</v>
      </c>
      <c r="I871" t="n">
        <v>0</v>
      </c>
      <c r="J871" t="n">
        <v>0</v>
      </c>
      <c r="K871" t="n">
        <v>0</v>
      </c>
      <c r="L871" t="n">
        <v>0</v>
      </c>
      <c r="M871" t="n">
        <v>0</v>
      </c>
      <c r="N871" t="n">
        <v>0</v>
      </c>
      <c r="O871" t="n">
        <v>0</v>
      </c>
      <c r="P871" t="n">
        <v>0</v>
      </c>
      <c r="Q871" t="n">
        <v>0</v>
      </c>
      <c r="R871" s="2" t="inlineStr"/>
    </row>
    <row r="872" ht="15" customHeight="1">
      <c r="A872" t="inlineStr">
        <is>
          <t>A 31870-2025</t>
        </is>
      </c>
      <c r="B872" s="1" t="n">
        <v>45834.64667824074</v>
      </c>
      <c r="C872" s="1" t="n">
        <v>46038</v>
      </c>
      <c r="D872" t="inlineStr">
        <is>
          <t>KALMAR LÄN</t>
        </is>
      </c>
      <c r="E872" t="inlineStr">
        <is>
          <t>VIMMERBY</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32065-2025</t>
        </is>
      </c>
      <c r="B873" s="1" t="n">
        <v>45835.44732638889</v>
      </c>
      <c r="C873" s="1" t="n">
        <v>46038</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31987-2025</t>
        </is>
      </c>
      <c r="B874" s="1" t="n">
        <v>45835.36229166666</v>
      </c>
      <c r="C874" s="1" t="n">
        <v>46038</v>
      </c>
      <c r="D874" t="inlineStr">
        <is>
          <t>KALMAR LÄN</t>
        </is>
      </c>
      <c r="E874" t="inlineStr">
        <is>
          <t>VIMMERBY</t>
        </is>
      </c>
      <c r="F874" t="inlineStr">
        <is>
          <t>Kyrkan</t>
        </is>
      </c>
      <c r="G874" t="n">
        <v>1.2</v>
      </c>
      <c r="H874" t="n">
        <v>0</v>
      </c>
      <c r="I874" t="n">
        <v>0</v>
      </c>
      <c r="J874" t="n">
        <v>0</v>
      </c>
      <c r="K874" t="n">
        <v>0</v>
      </c>
      <c r="L874" t="n">
        <v>0</v>
      </c>
      <c r="M874" t="n">
        <v>0</v>
      </c>
      <c r="N874" t="n">
        <v>0</v>
      </c>
      <c r="O874" t="n">
        <v>0</v>
      </c>
      <c r="P874" t="n">
        <v>0</v>
      </c>
      <c r="Q874" t="n">
        <v>0</v>
      </c>
      <c r="R874" s="2" t="inlineStr"/>
    </row>
    <row r="875" ht="15" customHeight="1">
      <c r="A875" t="inlineStr">
        <is>
          <t>A 32077-2025</t>
        </is>
      </c>
      <c r="B875" s="1" t="n">
        <v>45835.45099537037</v>
      </c>
      <c r="C875" s="1" t="n">
        <v>46038</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32120-2025</t>
        </is>
      </c>
      <c r="B876" s="1" t="n">
        <v>45835.4924537037</v>
      </c>
      <c r="C876" s="1" t="n">
        <v>46038</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31876-2025</t>
        </is>
      </c>
      <c r="B877" s="1" t="n">
        <v>45834.65197916667</v>
      </c>
      <c r="C877" s="1" t="n">
        <v>46038</v>
      </c>
      <c r="D877" t="inlineStr">
        <is>
          <t>KALMAR LÄN</t>
        </is>
      </c>
      <c r="E877" t="inlineStr">
        <is>
          <t>VIMMERBY</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32380-2025</t>
        </is>
      </c>
      <c r="B878" s="1" t="n">
        <v>45837.77701388889</v>
      </c>
      <c r="C878" s="1" t="n">
        <v>46038</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33186-2025</t>
        </is>
      </c>
      <c r="B879" s="1" t="n">
        <v>45840.59474537037</v>
      </c>
      <c r="C879" s="1" t="n">
        <v>46038</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33695-2025</t>
        </is>
      </c>
      <c r="B880" s="1" t="n">
        <v>45841.70569444444</v>
      </c>
      <c r="C880" s="1" t="n">
        <v>46038</v>
      </c>
      <c r="D880" t="inlineStr">
        <is>
          <t>KALMAR LÄN</t>
        </is>
      </c>
      <c r="E880" t="inlineStr">
        <is>
          <t>VIMMERBY</t>
        </is>
      </c>
      <c r="G880" t="n">
        <v>2.7</v>
      </c>
      <c r="H880" t="n">
        <v>0</v>
      </c>
      <c r="I880" t="n">
        <v>0</v>
      </c>
      <c r="J880" t="n">
        <v>0</v>
      </c>
      <c r="K880" t="n">
        <v>0</v>
      </c>
      <c r="L880" t="n">
        <v>0</v>
      </c>
      <c r="M880" t="n">
        <v>0</v>
      </c>
      <c r="N880" t="n">
        <v>0</v>
      </c>
      <c r="O880" t="n">
        <v>0</v>
      </c>
      <c r="P880" t="n">
        <v>0</v>
      </c>
      <c r="Q880" t="n">
        <v>0</v>
      </c>
      <c r="R880" s="2" t="inlineStr"/>
    </row>
    <row r="881" ht="15" customHeight="1">
      <c r="A881" t="inlineStr">
        <is>
          <t>A 33698-2025</t>
        </is>
      </c>
      <c r="B881" s="1" t="n">
        <v>45841.70868055556</v>
      </c>
      <c r="C881" s="1" t="n">
        <v>46038</v>
      </c>
      <c r="D881" t="inlineStr">
        <is>
          <t>KALMAR LÄN</t>
        </is>
      </c>
      <c r="E881" t="inlineStr">
        <is>
          <t>VIMMERBY</t>
        </is>
      </c>
      <c r="G881" t="n">
        <v>3.7</v>
      </c>
      <c r="H881" t="n">
        <v>0</v>
      </c>
      <c r="I881" t="n">
        <v>0</v>
      </c>
      <c r="J881" t="n">
        <v>0</v>
      </c>
      <c r="K881" t="n">
        <v>0</v>
      </c>
      <c r="L881" t="n">
        <v>0</v>
      </c>
      <c r="M881" t="n">
        <v>0</v>
      </c>
      <c r="N881" t="n">
        <v>0</v>
      </c>
      <c r="O881" t="n">
        <v>0</v>
      </c>
      <c r="P881" t="n">
        <v>0</v>
      </c>
      <c r="Q881" t="n">
        <v>0</v>
      </c>
      <c r="R881" s="2" t="inlineStr"/>
    </row>
    <row r="882" ht="15" customHeight="1">
      <c r="A882" t="inlineStr">
        <is>
          <t>A 30977-2025</t>
        </is>
      </c>
      <c r="B882" s="1" t="n">
        <v>45832.46649305556</v>
      </c>
      <c r="C882" s="1" t="n">
        <v>46038</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33696-2025</t>
        </is>
      </c>
      <c r="B883" s="1" t="n">
        <v>45841.7072337963</v>
      </c>
      <c r="C883" s="1" t="n">
        <v>46038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26956-2025</t>
        </is>
      </c>
      <c r="B884" s="1" t="n">
        <v>45811.45460648148</v>
      </c>
      <c r="C884" s="1" t="n">
        <v>46038</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34071-2025</t>
        </is>
      </c>
      <c r="B885" s="1" t="n">
        <v>45845.43803240741</v>
      </c>
      <c r="C885" s="1" t="n">
        <v>46038</v>
      </c>
      <c r="D885" t="inlineStr">
        <is>
          <t>KALMAR LÄN</t>
        </is>
      </c>
      <c r="E885" t="inlineStr">
        <is>
          <t>VIMMERBY</t>
        </is>
      </c>
      <c r="G885" t="n">
        <v>6.8</v>
      </c>
      <c r="H885" t="n">
        <v>0</v>
      </c>
      <c r="I885" t="n">
        <v>0</v>
      </c>
      <c r="J885" t="n">
        <v>0</v>
      </c>
      <c r="K885" t="n">
        <v>0</v>
      </c>
      <c r="L885" t="n">
        <v>0</v>
      </c>
      <c r="M885" t="n">
        <v>0</v>
      </c>
      <c r="N885" t="n">
        <v>0</v>
      </c>
      <c r="O885" t="n">
        <v>0</v>
      </c>
      <c r="P885" t="n">
        <v>0</v>
      </c>
      <c r="Q885" t="n">
        <v>0</v>
      </c>
      <c r="R885" s="2" t="inlineStr"/>
    </row>
    <row r="886" ht="15" customHeight="1">
      <c r="A886" t="inlineStr">
        <is>
          <t>A 34106-2025</t>
        </is>
      </c>
      <c r="B886" s="1" t="n">
        <v>45845.49414351852</v>
      </c>
      <c r="C886" s="1" t="n">
        <v>46038</v>
      </c>
      <c r="D886" t="inlineStr">
        <is>
          <t>KALMAR LÄN</t>
        </is>
      </c>
      <c r="E886" t="inlineStr">
        <is>
          <t>VIMMERBY</t>
        </is>
      </c>
      <c r="G886" t="n">
        <v>6</v>
      </c>
      <c r="H886" t="n">
        <v>0</v>
      </c>
      <c r="I886" t="n">
        <v>0</v>
      </c>
      <c r="J886" t="n">
        <v>0</v>
      </c>
      <c r="K886" t="n">
        <v>0</v>
      </c>
      <c r="L886" t="n">
        <v>0</v>
      </c>
      <c r="M886" t="n">
        <v>0</v>
      </c>
      <c r="N886" t="n">
        <v>0</v>
      </c>
      <c r="O886" t="n">
        <v>0</v>
      </c>
      <c r="P886" t="n">
        <v>0</v>
      </c>
      <c r="Q886" t="n">
        <v>0</v>
      </c>
      <c r="R886" s="2" t="inlineStr"/>
    </row>
    <row r="887" ht="15" customHeight="1">
      <c r="A887" t="inlineStr">
        <is>
          <t>A 28702-2025</t>
        </is>
      </c>
      <c r="B887" s="1" t="n">
        <v>45820.03976851852</v>
      </c>
      <c r="C887" s="1" t="n">
        <v>46038</v>
      </c>
      <c r="D887" t="inlineStr">
        <is>
          <t>KALMAR LÄN</t>
        </is>
      </c>
      <c r="E887" t="inlineStr">
        <is>
          <t>VIMMERBY</t>
        </is>
      </c>
      <c r="G887" t="n">
        <v>2.1</v>
      </c>
      <c r="H887" t="n">
        <v>0</v>
      </c>
      <c r="I887" t="n">
        <v>0</v>
      </c>
      <c r="J887" t="n">
        <v>0</v>
      </c>
      <c r="K887" t="n">
        <v>0</v>
      </c>
      <c r="L887" t="n">
        <v>0</v>
      </c>
      <c r="M887" t="n">
        <v>0</v>
      </c>
      <c r="N887" t="n">
        <v>0</v>
      </c>
      <c r="O887" t="n">
        <v>0</v>
      </c>
      <c r="P887" t="n">
        <v>0</v>
      </c>
      <c r="Q887" t="n">
        <v>0</v>
      </c>
      <c r="R887" s="2" t="inlineStr"/>
    </row>
    <row r="888" ht="15" customHeight="1">
      <c r="A888" t="inlineStr">
        <is>
          <t>A 34628-2025</t>
        </is>
      </c>
      <c r="B888" s="1" t="n">
        <v>45847.91280092593</v>
      </c>
      <c r="C888" s="1" t="n">
        <v>46038</v>
      </c>
      <c r="D888" t="inlineStr">
        <is>
          <t>KALMAR LÄN</t>
        </is>
      </c>
      <c r="E888" t="inlineStr">
        <is>
          <t>VIMMERBY</t>
        </is>
      </c>
      <c r="G888" t="n">
        <v>4.2</v>
      </c>
      <c r="H888" t="n">
        <v>0</v>
      </c>
      <c r="I888" t="n">
        <v>0</v>
      </c>
      <c r="J888" t="n">
        <v>0</v>
      </c>
      <c r="K888" t="n">
        <v>0</v>
      </c>
      <c r="L888" t="n">
        <v>0</v>
      </c>
      <c r="M888" t="n">
        <v>0</v>
      </c>
      <c r="N888" t="n">
        <v>0</v>
      </c>
      <c r="O888" t="n">
        <v>0</v>
      </c>
      <c r="P888" t="n">
        <v>0</v>
      </c>
      <c r="Q888" t="n">
        <v>0</v>
      </c>
      <c r="R888" s="2" t="inlineStr"/>
    </row>
    <row r="889" ht="15" customHeight="1">
      <c r="A889" t="inlineStr">
        <is>
          <t>A 35270-2025</t>
        </is>
      </c>
      <c r="B889" s="1" t="n">
        <v>45853.87112268519</v>
      </c>
      <c r="C889" s="1" t="n">
        <v>46038</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35271-2025</t>
        </is>
      </c>
      <c r="B890" s="1" t="n">
        <v>45853.87599537037</v>
      </c>
      <c r="C890" s="1" t="n">
        <v>46038</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35272-2025</t>
        </is>
      </c>
      <c r="B891" s="1" t="n">
        <v>45853.88070601852</v>
      </c>
      <c r="C891" s="1" t="n">
        <v>46038</v>
      </c>
      <c r="D891" t="inlineStr">
        <is>
          <t>KALMAR LÄN</t>
        </is>
      </c>
      <c r="E891" t="inlineStr">
        <is>
          <t>VIMMERBY</t>
        </is>
      </c>
      <c r="G891" t="n">
        <v>0.6</v>
      </c>
      <c r="H891" t="n">
        <v>0</v>
      </c>
      <c r="I891" t="n">
        <v>0</v>
      </c>
      <c r="J891" t="n">
        <v>0</v>
      </c>
      <c r="K891" t="n">
        <v>0</v>
      </c>
      <c r="L891" t="n">
        <v>0</v>
      </c>
      <c r="M891" t="n">
        <v>0</v>
      </c>
      <c r="N891" t="n">
        <v>0</v>
      </c>
      <c r="O891" t="n">
        <v>0</v>
      </c>
      <c r="P891" t="n">
        <v>0</v>
      </c>
      <c r="Q891" t="n">
        <v>0</v>
      </c>
      <c r="R891" s="2" t="inlineStr"/>
    </row>
    <row r="892" ht="15" customHeight="1">
      <c r="A892" t="inlineStr">
        <is>
          <t>A 16953-2025</t>
        </is>
      </c>
      <c r="B892" s="1" t="n">
        <v>45755.44333333334</v>
      </c>
      <c r="C892" s="1" t="n">
        <v>46038</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35596-2025</t>
        </is>
      </c>
      <c r="B893" s="1" t="n">
        <v>45858.60641203704</v>
      </c>
      <c r="C893" s="1" t="n">
        <v>46038</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35597-2025</t>
        </is>
      </c>
      <c r="B894" s="1" t="n">
        <v>45858.66019675926</v>
      </c>
      <c r="C894" s="1" t="n">
        <v>46038</v>
      </c>
      <c r="D894" t="inlineStr">
        <is>
          <t>KALMAR LÄN</t>
        </is>
      </c>
      <c r="E894" t="inlineStr">
        <is>
          <t>VIMMERBY</t>
        </is>
      </c>
      <c r="G894" t="n">
        <v>6.4</v>
      </c>
      <c r="H894" t="n">
        <v>0</v>
      </c>
      <c r="I894" t="n">
        <v>0</v>
      </c>
      <c r="J894" t="n">
        <v>0</v>
      </c>
      <c r="K894" t="n">
        <v>0</v>
      </c>
      <c r="L894" t="n">
        <v>0</v>
      </c>
      <c r="M894" t="n">
        <v>0</v>
      </c>
      <c r="N894" t="n">
        <v>0</v>
      </c>
      <c r="O894" t="n">
        <v>0</v>
      </c>
      <c r="P894" t="n">
        <v>0</v>
      </c>
      <c r="Q894" t="n">
        <v>0</v>
      </c>
      <c r="R894" s="2" t="inlineStr"/>
    </row>
    <row r="895" ht="15" customHeight="1">
      <c r="A895" t="inlineStr">
        <is>
          <t>A 36226-2025</t>
        </is>
      </c>
      <c r="B895" s="1" t="n">
        <v>45867.51630787037</v>
      </c>
      <c r="C895" s="1" t="n">
        <v>46038</v>
      </c>
      <c r="D895" t="inlineStr">
        <is>
          <t>KALMAR LÄN</t>
        </is>
      </c>
      <c r="E895" t="inlineStr">
        <is>
          <t>VIMMERBY</t>
        </is>
      </c>
      <c r="G895" t="n">
        <v>3.1</v>
      </c>
      <c r="H895" t="n">
        <v>0</v>
      </c>
      <c r="I895" t="n">
        <v>0</v>
      </c>
      <c r="J895" t="n">
        <v>0</v>
      </c>
      <c r="K895" t="n">
        <v>0</v>
      </c>
      <c r="L895" t="n">
        <v>0</v>
      </c>
      <c r="M895" t="n">
        <v>0</v>
      </c>
      <c r="N895" t="n">
        <v>0</v>
      </c>
      <c r="O895" t="n">
        <v>0</v>
      </c>
      <c r="P895" t="n">
        <v>0</v>
      </c>
      <c r="Q895" t="n">
        <v>0</v>
      </c>
      <c r="R895" s="2" t="inlineStr"/>
    </row>
    <row r="896" ht="15" customHeight="1">
      <c r="A896" t="inlineStr">
        <is>
          <t>A 36273-2025</t>
        </is>
      </c>
      <c r="B896" s="1" t="n">
        <v>45867.63094907408</v>
      </c>
      <c r="C896" s="1" t="n">
        <v>46038</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36282-2025</t>
        </is>
      </c>
      <c r="B897" s="1" t="n">
        <v>45867.64663194444</v>
      </c>
      <c r="C897" s="1" t="n">
        <v>46038</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36246-2025</t>
        </is>
      </c>
      <c r="B898" s="1" t="n">
        <v>45867.56320601852</v>
      </c>
      <c r="C898" s="1" t="n">
        <v>46038</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36297-2025</t>
        </is>
      </c>
      <c r="B899" s="1" t="n">
        <v>45867.68625</v>
      </c>
      <c r="C899" s="1" t="n">
        <v>46038</v>
      </c>
      <c r="D899" t="inlineStr">
        <is>
          <t>KALMAR LÄN</t>
        </is>
      </c>
      <c r="E899" t="inlineStr">
        <is>
          <t>VIMMERBY</t>
        </is>
      </c>
      <c r="G899" t="n">
        <v>4.9</v>
      </c>
      <c r="H899" t="n">
        <v>0</v>
      </c>
      <c r="I899" t="n">
        <v>0</v>
      </c>
      <c r="J899" t="n">
        <v>0</v>
      </c>
      <c r="K899" t="n">
        <v>0</v>
      </c>
      <c r="L899" t="n">
        <v>0</v>
      </c>
      <c r="M899" t="n">
        <v>0</v>
      </c>
      <c r="N899" t="n">
        <v>0</v>
      </c>
      <c r="O899" t="n">
        <v>0</v>
      </c>
      <c r="P899" t="n">
        <v>0</v>
      </c>
      <c r="Q899" t="n">
        <v>0</v>
      </c>
      <c r="R899" s="2" t="inlineStr"/>
    </row>
    <row r="900" ht="15" customHeight="1">
      <c r="A900" t="inlineStr">
        <is>
          <t>A 36221-2025</t>
        </is>
      </c>
      <c r="B900" s="1" t="n">
        <v>45867.50792824074</v>
      </c>
      <c r="C900" s="1" t="n">
        <v>46038</v>
      </c>
      <c r="D900" t="inlineStr">
        <is>
          <t>KALMAR LÄN</t>
        </is>
      </c>
      <c r="E900" t="inlineStr">
        <is>
          <t>VIMMERBY</t>
        </is>
      </c>
      <c r="G900" t="n">
        <v>2.5</v>
      </c>
      <c r="H900" t="n">
        <v>0</v>
      </c>
      <c r="I900" t="n">
        <v>0</v>
      </c>
      <c r="J900" t="n">
        <v>0</v>
      </c>
      <c r="K900" t="n">
        <v>0</v>
      </c>
      <c r="L900" t="n">
        <v>0</v>
      </c>
      <c r="M900" t="n">
        <v>0</v>
      </c>
      <c r="N900" t="n">
        <v>0</v>
      </c>
      <c r="O900" t="n">
        <v>0</v>
      </c>
      <c r="P900" t="n">
        <v>0</v>
      </c>
      <c r="Q900" t="n">
        <v>0</v>
      </c>
      <c r="R900" s="2" t="inlineStr"/>
    </row>
    <row r="901" ht="15" customHeight="1">
      <c r="A901" t="inlineStr">
        <is>
          <t>A 19502-2025</t>
        </is>
      </c>
      <c r="B901" s="1" t="n">
        <v>45769</v>
      </c>
      <c r="C901" s="1" t="n">
        <v>46038</v>
      </c>
      <c r="D901" t="inlineStr">
        <is>
          <t>KALMAR LÄN</t>
        </is>
      </c>
      <c r="E901" t="inlineStr">
        <is>
          <t>VIMMERBY</t>
        </is>
      </c>
      <c r="G901" t="n">
        <v>1.9</v>
      </c>
      <c r="H901" t="n">
        <v>0</v>
      </c>
      <c r="I901" t="n">
        <v>0</v>
      </c>
      <c r="J901" t="n">
        <v>0</v>
      </c>
      <c r="K901" t="n">
        <v>0</v>
      </c>
      <c r="L901" t="n">
        <v>0</v>
      </c>
      <c r="M901" t="n">
        <v>0</v>
      </c>
      <c r="N901" t="n">
        <v>0</v>
      </c>
      <c r="O901" t="n">
        <v>0</v>
      </c>
      <c r="P901" t="n">
        <v>0</v>
      </c>
      <c r="Q901" t="n">
        <v>0</v>
      </c>
      <c r="R901" s="2" t="inlineStr"/>
    </row>
    <row r="902" ht="15" customHeight="1">
      <c r="A902" t="inlineStr">
        <is>
          <t>A 36299-2025</t>
        </is>
      </c>
      <c r="B902" s="1" t="n">
        <v>45867.69346064814</v>
      </c>
      <c r="C902" s="1" t="n">
        <v>46038</v>
      </c>
      <c r="D902" t="inlineStr">
        <is>
          <t>KALMAR LÄN</t>
        </is>
      </c>
      <c r="E902" t="inlineStr">
        <is>
          <t>VIMMERBY</t>
        </is>
      </c>
      <c r="G902" t="n">
        <v>7.6</v>
      </c>
      <c r="H902" t="n">
        <v>0</v>
      </c>
      <c r="I902" t="n">
        <v>0</v>
      </c>
      <c r="J902" t="n">
        <v>0</v>
      </c>
      <c r="K902" t="n">
        <v>0</v>
      </c>
      <c r="L902" t="n">
        <v>0</v>
      </c>
      <c r="M902" t="n">
        <v>0</v>
      </c>
      <c r="N902" t="n">
        <v>0</v>
      </c>
      <c r="O902" t="n">
        <v>0</v>
      </c>
      <c r="P902" t="n">
        <v>0</v>
      </c>
      <c r="Q902" t="n">
        <v>0</v>
      </c>
      <c r="R902" s="2" t="inlineStr"/>
    </row>
    <row r="903" ht="15" customHeight="1">
      <c r="A903" t="inlineStr">
        <is>
          <t>A 36538-2025</t>
        </is>
      </c>
      <c r="B903" s="1" t="n">
        <v>45869.62276620371</v>
      </c>
      <c r="C903" s="1" t="n">
        <v>46038</v>
      </c>
      <c r="D903" t="inlineStr">
        <is>
          <t>KALMAR LÄN</t>
        </is>
      </c>
      <c r="E903" t="inlineStr">
        <is>
          <t>VIMMERBY</t>
        </is>
      </c>
      <c r="G903" t="n">
        <v>2.6</v>
      </c>
      <c r="H903" t="n">
        <v>0</v>
      </c>
      <c r="I903" t="n">
        <v>0</v>
      </c>
      <c r="J903" t="n">
        <v>0</v>
      </c>
      <c r="K903" t="n">
        <v>0</v>
      </c>
      <c r="L903" t="n">
        <v>0</v>
      </c>
      <c r="M903" t="n">
        <v>0</v>
      </c>
      <c r="N903" t="n">
        <v>0</v>
      </c>
      <c r="O903" t="n">
        <v>0</v>
      </c>
      <c r="P903" t="n">
        <v>0</v>
      </c>
      <c r="Q903" t="n">
        <v>0</v>
      </c>
      <c r="R903" s="2" t="inlineStr"/>
    </row>
    <row r="904" ht="15" customHeight="1">
      <c r="A904" t="inlineStr">
        <is>
          <t>A 36598-2025</t>
        </is>
      </c>
      <c r="B904" s="1" t="n">
        <v>45870.51708333333</v>
      </c>
      <c r="C904" s="1" t="n">
        <v>46038</v>
      </c>
      <c r="D904" t="inlineStr">
        <is>
          <t>KALMAR LÄN</t>
        </is>
      </c>
      <c r="E904" t="inlineStr">
        <is>
          <t>VIMMERBY</t>
        </is>
      </c>
      <c r="G904" t="n">
        <v>3.7</v>
      </c>
      <c r="H904" t="n">
        <v>0</v>
      </c>
      <c r="I904" t="n">
        <v>0</v>
      </c>
      <c r="J904" t="n">
        <v>0</v>
      </c>
      <c r="K904" t="n">
        <v>0</v>
      </c>
      <c r="L904" t="n">
        <v>0</v>
      </c>
      <c r="M904" t="n">
        <v>0</v>
      </c>
      <c r="N904" t="n">
        <v>0</v>
      </c>
      <c r="O904" t="n">
        <v>0</v>
      </c>
      <c r="P904" t="n">
        <v>0</v>
      </c>
      <c r="Q904" t="n">
        <v>0</v>
      </c>
      <c r="R904" s="2" t="inlineStr"/>
    </row>
    <row r="905" ht="15" customHeight="1">
      <c r="A905" t="inlineStr">
        <is>
          <t>A 36602-2025</t>
        </is>
      </c>
      <c r="B905" s="1" t="n">
        <v>45870.52111111111</v>
      </c>
      <c r="C905" s="1" t="n">
        <v>46038</v>
      </c>
      <c r="D905" t="inlineStr">
        <is>
          <t>KALMAR LÄN</t>
        </is>
      </c>
      <c r="E905" t="inlineStr">
        <is>
          <t>VIMMERBY</t>
        </is>
      </c>
      <c r="G905" t="n">
        <v>0.6</v>
      </c>
      <c r="H905" t="n">
        <v>0</v>
      </c>
      <c r="I905" t="n">
        <v>0</v>
      </c>
      <c r="J905" t="n">
        <v>0</v>
      </c>
      <c r="K905" t="n">
        <v>0</v>
      </c>
      <c r="L905" t="n">
        <v>0</v>
      </c>
      <c r="M905" t="n">
        <v>0</v>
      </c>
      <c r="N905" t="n">
        <v>0</v>
      </c>
      <c r="O905" t="n">
        <v>0</v>
      </c>
      <c r="P905" t="n">
        <v>0</v>
      </c>
      <c r="Q905" t="n">
        <v>0</v>
      </c>
      <c r="R905" s="2" t="inlineStr"/>
    </row>
    <row r="906" ht="15" customHeight="1">
      <c r="A906" t="inlineStr">
        <is>
          <t>A 36603-2025</t>
        </is>
      </c>
      <c r="B906" s="1" t="n">
        <v>45870.52142361111</v>
      </c>
      <c r="C906" s="1" t="n">
        <v>46038</v>
      </c>
      <c r="D906" t="inlineStr">
        <is>
          <t>KALMAR LÄN</t>
        </is>
      </c>
      <c r="E906" t="inlineStr">
        <is>
          <t>VIMMERBY</t>
        </is>
      </c>
      <c r="G906" t="n">
        <v>1.6</v>
      </c>
      <c r="H906" t="n">
        <v>0</v>
      </c>
      <c r="I906" t="n">
        <v>0</v>
      </c>
      <c r="J906" t="n">
        <v>0</v>
      </c>
      <c r="K906" t="n">
        <v>0</v>
      </c>
      <c r="L906" t="n">
        <v>0</v>
      </c>
      <c r="M906" t="n">
        <v>0</v>
      </c>
      <c r="N906" t="n">
        <v>0</v>
      </c>
      <c r="O906" t="n">
        <v>0</v>
      </c>
      <c r="P906" t="n">
        <v>0</v>
      </c>
      <c r="Q906" t="n">
        <v>0</v>
      </c>
      <c r="R906" s="2" t="inlineStr"/>
    </row>
    <row r="907" ht="15" customHeight="1">
      <c r="A907" t="inlineStr">
        <is>
          <t>A 36600-2025</t>
        </is>
      </c>
      <c r="B907" s="1" t="n">
        <v>45870.51958333333</v>
      </c>
      <c r="C907" s="1" t="n">
        <v>46038</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36601-2025</t>
        </is>
      </c>
      <c r="B908" s="1" t="n">
        <v>45870.52005787037</v>
      </c>
      <c r="C908" s="1" t="n">
        <v>46038</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37088-2025</t>
        </is>
      </c>
      <c r="B909" s="1" t="n">
        <v>45875.45716435185</v>
      </c>
      <c r="C909" s="1" t="n">
        <v>46038</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37102-2025</t>
        </is>
      </c>
      <c r="B910" s="1" t="n">
        <v>45875.47454861111</v>
      </c>
      <c r="C910" s="1" t="n">
        <v>46038</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37079-2025</t>
        </is>
      </c>
      <c r="B911" s="1" t="n">
        <v>45875.42716435185</v>
      </c>
      <c r="C911" s="1" t="n">
        <v>46038</v>
      </c>
      <c r="D911" t="inlineStr">
        <is>
          <t>KALMAR LÄN</t>
        </is>
      </c>
      <c r="E911" t="inlineStr">
        <is>
          <t>VIMMERBY</t>
        </is>
      </c>
      <c r="G911" t="n">
        <v>0.8</v>
      </c>
      <c r="H911" t="n">
        <v>0</v>
      </c>
      <c r="I911" t="n">
        <v>0</v>
      </c>
      <c r="J911" t="n">
        <v>0</v>
      </c>
      <c r="K911" t="n">
        <v>0</v>
      </c>
      <c r="L911" t="n">
        <v>0</v>
      </c>
      <c r="M911" t="n">
        <v>0</v>
      </c>
      <c r="N911" t="n">
        <v>0</v>
      </c>
      <c r="O911" t="n">
        <v>0</v>
      </c>
      <c r="P911" t="n">
        <v>0</v>
      </c>
      <c r="Q911" t="n">
        <v>0</v>
      </c>
      <c r="R911" s="2" t="inlineStr"/>
    </row>
    <row r="912" ht="15" customHeight="1">
      <c r="A912" t="inlineStr">
        <is>
          <t>A 36934-2025</t>
        </is>
      </c>
      <c r="B912" s="1" t="n">
        <v>45874.57109953704</v>
      </c>
      <c r="C912" s="1" t="n">
        <v>46038</v>
      </c>
      <c r="D912" t="inlineStr">
        <is>
          <t>KALMAR LÄN</t>
        </is>
      </c>
      <c r="E912" t="inlineStr">
        <is>
          <t>VIMMERBY</t>
        </is>
      </c>
      <c r="G912" t="n">
        <v>4.2</v>
      </c>
      <c r="H912" t="n">
        <v>0</v>
      </c>
      <c r="I912" t="n">
        <v>0</v>
      </c>
      <c r="J912" t="n">
        <v>0</v>
      </c>
      <c r="K912" t="n">
        <v>0</v>
      </c>
      <c r="L912" t="n">
        <v>0</v>
      </c>
      <c r="M912" t="n">
        <v>0</v>
      </c>
      <c r="N912" t="n">
        <v>0</v>
      </c>
      <c r="O912" t="n">
        <v>0</v>
      </c>
      <c r="P912" t="n">
        <v>0</v>
      </c>
      <c r="Q912" t="n">
        <v>0</v>
      </c>
      <c r="R912" s="2" t="inlineStr"/>
    </row>
    <row r="913" ht="15" customHeight="1">
      <c r="A913" t="inlineStr">
        <is>
          <t>A 37578-2025</t>
        </is>
      </c>
      <c r="B913" s="1" t="n">
        <v>45880.38380787037</v>
      </c>
      <c r="C913" s="1" t="n">
        <v>46038</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37668-2025</t>
        </is>
      </c>
      <c r="B914" s="1" t="n">
        <v>45880.51550925926</v>
      </c>
      <c r="C914" s="1" t="n">
        <v>46038</v>
      </c>
      <c r="D914" t="inlineStr">
        <is>
          <t>KALMAR LÄN</t>
        </is>
      </c>
      <c r="E914" t="inlineStr">
        <is>
          <t>VIMMERBY</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37939-2025</t>
        </is>
      </c>
      <c r="B915" s="1" t="n">
        <v>45881.59877314815</v>
      </c>
      <c r="C915" s="1" t="n">
        <v>46038</v>
      </c>
      <c r="D915" t="inlineStr">
        <is>
          <t>KALMAR LÄN</t>
        </is>
      </c>
      <c r="E915" t="inlineStr">
        <is>
          <t>VIMMERBY</t>
        </is>
      </c>
      <c r="G915" t="n">
        <v>1.3</v>
      </c>
      <c r="H915" t="n">
        <v>0</v>
      </c>
      <c r="I915" t="n">
        <v>0</v>
      </c>
      <c r="J915" t="n">
        <v>0</v>
      </c>
      <c r="K915" t="n">
        <v>0</v>
      </c>
      <c r="L915" t="n">
        <v>0</v>
      </c>
      <c r="M915" t="n">
        <v>0</v>
      </c>
      <c r="N915" t="n">
        <v>0</v>
      </c>
      <c r="O915" t="n">
        <v>0</v>
      </c>
      <c r="P915" t="n">
        <v>0</v>
      </c>
      <c r="Q915" t="n">
        <v>0</v>
      </c>
      <c r="R915" s="2" t="inlineStr"/>
    </row>
    <row r="916">
      <c r="A916" t="inlineStr">
        <is>
          <t>A 37866-2025</t>
        </is>
      </c>
      <c r="B916" s="1" t="n">
        <v>45881</v>
      </c>
      <c r="C916" s="1" t="n">
        <v>46038</v>
      </c>
      <c r="D916" t="inlineStr">
        <is>
          <t>KALMAR LÄN</t>
        </is>
      </c>
      <c r="E916" t="inlineStr">
        <is>
          <t>VIMMERBY</t>
        </is>
      </c>
      <c r="G916" t="n">
        <v>3.4</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2026-01-16T10:59:29Z</dcterms:created>
  <dcterms:modified xmlns:dcterms="http://purl.org/dc/terms/" xmlns:xsi="http://www.w3.org/2001/XMLSchema-instance" xsi:type="dcterms:W3CDTF">2026-01-16T10:59:30Z</dcterms:modified>
</cp:coreProperties>
</file>