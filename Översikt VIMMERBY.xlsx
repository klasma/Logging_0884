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45760</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45760</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45760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45760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45760</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45760</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45760</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45760</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45760</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45760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45760</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45760</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45760</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45760</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45760</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45760</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45760</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45760</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45760</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45760</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45760</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45760</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45760</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45760</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15808-2025</t>
        </is>
      </c>
      <c r="B32" s="1" t="n">
        <v>45748</v>
      </c>
      <c r="C32" s="1" t="n">
        <v>45760</v>
      </c>
      <c r="D32" t="inlineStr">
        <is>
          <t>KALMAR LÄN</t>
        </is>
      </c>
      <c r="E32" t="inlineStr">
        <is>
          <t>VIMMERBY</t>
        </is>
      </c>
      <c r="G32" t="n">
        <v>6.1</v>
      </c>
      <c r="H32" t="n">
        <v>3</v>
      </c>
      <c r="I32" t="n">
        <v>0</v>
      </c>
      <c r="J32" t="n">
        <v>0</v>
      </c>
      <c r="K32" t="n">
        <v>0</v>
      </c>
      <c r="L32" t="n">
        <v>0</v>
      </c>
      <c r="M32" t="n">
        <v>0</v>
      </c>
      <c r="N32" t="n">
        <v>0</v>
      </c>
      <c r="O32" t="n">
        <v>0</v>
      </c>
      <c r="P32" t="n">
        <v>0</v>
      </c>
      <c r="Q32" t="n">
        <v>3</v>
      </c>
      <c r="R32" s="2" t="inlineStr">
        <is>
          <t>Kungsfågel
Åkergroda
Mattlummer</t>
        </is>
      </c>
      <c r="S32">
        <f>HYPERLINK("https://klasma.github.io/Logging_080884/artfynd/A 15808-2025 artfynd.xlsx", "A 15808-2025")</f>
        <v/>
      </c>
      <c r="T32">
        <f>HYPERLINK("https://klasma.github.io/Logging_080884/kartor/A 15808-2025 karta.png", "A 15808-2025")</f>
        <v/>
      </c>
      <c r="V32">
        <f>HYPERLINK("https://klasma.github.io/Logging_080884/klagomål/A 15808-2025 FSC-klagomål.docx", "A 15808-2025")</f>
        <v/>
      </c>
      <c r="W32">
        <f>HYPERLINK("https://klasma.github.io/Logging_080884/klagomålsmail/A 15808-2025 FSC-klagomål mail.docx", "A 15808-2025")</f>
        <v/>
      </c>
      <c r="X32">
        <f>HYPERLINK("https://klasma.github.io/Logging_080884/tillsyn/A 15808-2025 tillsynsbegäran.docx", "A 15808-2025")</f>
        <v/>
      </c>
      <c r="Y32">
        <f>HYPERLINK("https://klasma.github.io/Logging_080884/tillsynsmail/A 15808-2025 tillsynsbegäran mail.docx", "A 15808-2025")</f>
        <v/>
      </c>
      <c r="Z32">
        <f>HYPERLINK("https://klasma.github.io/Logging_080884/fåglar/A 15808-2025 prioriterade fågelarter.docx", "A 15808-2025")</f>
        <v/>
      </c>
    </row>
    <row r="33" ht="15" customHeight="1">
      <c r="A33" t="inlineStr">
        <is>
          <t>A 32602-2019</t>
        </is>
      </c>
      <c r="B33" s="1" t="n">
        <v>43647</v>
      </c>
      <c r="C33" s="1" t="n">
        <v>45760</v>
      </c>
      <c r="D33" t="inlineStr">
        <is>
          <t>KALMAR LÄN</t>
        </is>
      </c>
      <c r="E33" t="inlineStr">
        <is>
          <t>VIMMERBY</t>
        </is>
      </c>
      <c r="G33" t="n">
        <v>3.4</v>
      </c>
      <c r="H33" t="n">
        <v>0</v>
      </c>
      <c r="I33" t="n">
        <v>0</v>
      </c>
      <c r="J33" t="n">
        <v>2</v>
      </c>
      <c r="K33" t="n">
        <v>0</v>
      </c>
      <c r="L33" t="n">
        <v>0</v>
      </c>
      <c r="M33" t="n">
        <v>0</v>
      </c>
      <c r="N33" t="n">
        <v>0</v>
      </c>
      <c r="O33" t="n">
        <v>2</v>
      </c>
      <c r="P33" t="n">
        <v>0</v>
      </c>
      <c r="Q33" t="n">
        <v>2</v>
      </c>
      <c r="R33" s="2" t="inlineStr">
        <is>
          <t>Asppraktbagge
Vedskivlav</t>
        </is>
      </c>
      <c r="S33">
        <f>HYPERLINK("https://klasma.github.io/Logging_0884/artfynd/A 32602-2019 artfynd.xlsx", "A 32602-2019")</f>
        <v/>
      </c>
      <c r="T33">
        <f>HYPERLINK("https://klasma.github.io/Logging_0884/kartor/A 32602-2019 karta.png", "A 32602-2019")</f>
        <v/>
      </c>
      <c r="V33">
        <f>HYPERLINK("https://klasma.github.io/Logging_0884/klagomål/A 32602-2019 FSC-klagomål.docx", "A 32602-2019")</f>
        <v/>
      </c>
      <c r="W33">
        <f>HYPERLINK("https://klasma.github.io/Logging_0884/klagomålsmail/A 32602-2019 FSC-klagomål mail.docx", "A 32602-2019")</f>
        <v/>
      </c>
      <c r="X33">
        <f>HYPERLINK("https://klasma.github.io/Logging_0884/tillsyn/A 32602-2019 tillsynsbegäran.docx", "A 32602-2019")</f>
        <v/>
      </c>
      <c r="Y33">
        <f>HYPERLINK("https://klasma.github.io/Logging_0884/tillsynsmail/A 32602-2019 tillsynsbegäran mail.docx", "A 32602-2019")</f>
        <v/>
      </c>
    </row>
    <row r="34" ht="15" customHeight="1">
      <c r="A34" t="inlineStr">
        <is>
          <t>A 36803-2019</t>
        </is>
      </c>
      <c r="B34" s="1" t="n">
        <v>43672</v>
      </c>
      <c r="C34" s="1" t="n">
        <v>45760</v>
      </c>
      <c r="D34" t="inlineStr">
        <is>
          <t>KALMAR LÄN</t>
        </is>
      </c>
      <c r="E34" t="inlineStr">
        <is>
          <t>VIMMERBY</t>
        </is>
      </c>
      <c r="G34" t="n">
        <v>3.8</v>
      </c>
      <c r="H34" t="n">
        <v>0</v>
      </c>
      <c r="I34" t="n">
        <v>1</v>
      </c>
      <c r="J34" t="n">
        <v>1</v>
      </c>
      <c r="K34" t="n">
        <v>0</v>
      </c>
      <c r="L34" t="n">
        <v>0</v>
      </c>
      <c r="M34" t="n">
        <v>0</v>
      </c>
      <c r="N34" t="n">
        <v>0</v>
      </c>
      <c r="O34" t="n">
        <v>1</v>
      </c>
      <c r="P34" t="n">
        <v>0</v>
      </c>
      <c r="Q34" t="n">
        <v>2</v>
      </c>
      <c r="R34" s="2" t="inlineStr">
        <is>
          <t>Tallticka
Dropptaggsvamp</t>
        </is>
      </c>
      <c r="S34">
        <f>HYPERLINK("https://klasma.github.io/Logging_0884/artfynd/A 36803-2019 artfynd.xlsx", "A 36803-2019")</f>
        <v/>
      </c>
      <c r="T34">
        <f>HYPERLINK("https://klasma.github.io/Logging_0884/kartor/A 36803-2019 karta.png", "A 36803-2019")</f>
        <v/>
      </c>
      <c r="U34">
        <f>HYPERLINK("https://klasma.github.io/Logging_0884/knärot/A 36803-2019 karta knärot.png", "A 36803-2019")</f>
        <v/>
      </c>
      <c r="V34">
        <f>HYPERLINK("https://klasma.github.io/Logging_0884/klagomål/A 36803-2019 FSC-klagomål.docx", "A 36803-2019")</f>
        <v/>
      </c>
      <c r="W34">
        <f>HYPERLINK("https://klasma.github.io/Logging_0884/klagomålsmail/A 36803-2019 FSC-klagomål mail.docx", "A 36803-2019")</f>
        <v/>
      </c>
      <c r="X34">
        <f>HYPERLINK("https://klasma.github.io/Logging_0884/tillsyn/A 36803-2019 tillsynsbegäran.docx", "A 36803-2019")</f>
        <v/>
      </c>
      <c r="Y34">
        <f>HYPERLINK("https://klasma.github.io/Logging_0884/tillsynsmail/A 36803-2019 tillsynsbegäran mail.docx", "A 36803-2019")</f>
        <v/>
      </c>
    </row>
    <row r="35" ht="15" customHeight="1">
      <c r="A35" t="inlineStr">
        <is>
          <t>A 38921-2019</t>
        </is>
      </c>
      <c r="B35" s="1" t="n">
        <v>43689</v>
      </c>
      <c r="C35" s="1" t="n">
        <v>45760</v>
      </c>
      <c r="D35" t="inlineStr">
        <is>
          <t>KALMAR LÄN</t>
        </is>
      </c>
      <c r="E35" t="inlineStr">
        <is>
          <t>VIMMERBY</t>
        </is>
      </c>
      <c r="G35" t="n">
        <v>1.4</v>
      </c>
      <c r="H35" t="n">
        <v>2</v>
      </c>
      <c r="I35" t="n">
        <v>0</v>
      </c>
      <c r="J35" t="n">
        <v>2</v>
      </c>
      <c r="K35" t="n">
        <v>0</v>
      </c>
      <c r="L35" t="n">
        <v>0</v>
      </c>
      <c r="M35" t="n">
        <v>0</v>
      </c>
      <c r="N35" t="n">
        <v>0</v>
      </c>
      <c r="O35" t="n">
        <v>2</v>
      </c>
      <c r="P35" t="n">
        <v>0</v>
      </c>
      <c r="Q35" t="n">
        <v>2</v>
      </c>
      <c r="R35" s="2" t="inlineStr">
        <is>
          <t>Barbastell
Nordfladdermus</t>
        </is>
      </c>
      <c r="S35">
        <f>HYPERLINK("https://klasma.github.io/Logging_0884/artfynd/A 38921-2019 artfynd.xlsx", "A 38921-2019")</f>
        <v/>
      </c>
      <c r="T35">
        <f>HYPERLINK("https://klasma.github.io/Logging_0884/kartor/A 38921-2019 karta.png", "A 38921-2019")</f>
        <v/>
      </c>
      <c r="V35">
        <f>HYPERLINK("https://klasma.github.io/Logging_0884/klagomål/A 38921-2019 FSC-klagomål.docx", "A 38921-2019")</f>
        <v/>
      </c>
      <c r="W35">
        <f>HYPERLINK("https://klasma.github.io/Logging_0884/klagomålsmail/A 38921-2019 FSC-klagomål mail.docx", "A 38921-2019")</f>
        <v/>
      </c>
      <c r="X35">
        <f>HYPERLINK("https://klasma.github.io/Logging_0884/tillsyn/A 38921-2019 tillsynsbegäran.docx", "A 38921-2019")</f>
        <v/>
      </c>
      <c r="Y35">
        <f>HYPERLINK("https://klasma.github.io/Logging_0884/tillsynsmail/A 38921-2019 tillsynsbegäran mail.docx", "A 38921-2019")</f>
        <v/>
      </c>
    </row>
    <row r="36" ht="15" customHeight="1">
      <c r="A36" t="inlineStr">
        <is>
          <t>A 36077-2021</t>
        </is>
      </c>
      <c r="B36" s="1" t="n">
        <v>44386</v>
      </c>
      <c r="C36" s="1" t="n">
        <v>45760</v>
      </c>
      <c r="D36" t="inlineStr">
        <is>
          <t>KALMAR LÄN</t>
        </is>
      </c>
      <c r="E36" t="inlineStr">
        <is>
          <t>VIMMERBY</t>
        </is>
      </c>
      <c r="G36" t="n">
        <v>2</v>
      </c>
      <c r="H36" t="n">
        <v>1</v>
      </c>
      <c r="I36" t="n">
        <v>1</v>
      </c>
      <c r="J36" t="n">
        <v>0</v>
      </c>
      <c r="K36" t="n">
        <v>1</v>
      </c>
      <c r="L36" t="n">
        <v>0</v>
      </c>
      <c r="M36" t="n">
        <v>0</v>
      </c>
      <c r="N36" t="n">
        <v>0</v>
      </c>
      <c r="O36" t="n">
        <v>1</v>
      </c>
      <c r="P36" t="n">
        <v>1</v>
      </c>
      <c r="Q36" t="n">
        <v>2</v>
      </c>
      <c r="R36" s="2" t="inlineStr">
        <is>
          <t>Knärot
Kattfotslav</t>
        </is>
      </c>
      <c r="S36">
        <f>HYPERLINK("https://klasma.github.io/Logging_0884/artfynd/A 36077-2021 artfynd.xlsx", "A 36077-2021")</f>
        <v/>
      </c>
      <c r="T36">
        <f>HYPERLINK("https://klasma.github.io/Logging_0884/kartor/A 36077-2021 karta.png", "A 36077-2021")</f>
        <v/>
      </c>
      <c r="U36">
        <f>HYPERLINK("https://klasma.github.io/Logging_0884/knärot/A 36077-2021 karta knärot.png", "A 36077-2021")</f>
        <v/>
      </c>
      <c r="V36">
        <f>HYPERLINK("https://klasma.github.io/Logging_0884/klagomål/A 36077-2021 FSC-klagomål.docx", "A 36077-2021")</f>
        <v/>
      </c>
      <c r="W36">
        <f>HYPERLINK("https://klasma.github.io/Logging_0884/klagomålsmail/A 36077-2021 FSC-klagomål mail.docx", "A 36077-2021")</f>
        <v/>
      </c>
      <c r="X36">
        <f>HYPERLINK("https://klasma.github.io/Logging_0884/tillsyn/A 36077-2021 tillsynsbegäran.docx", "A 36077-2021")</f>
        <v/>
      </c>
      <c r="Y36">
        <f>HYPERLINK("https://klasma.github.io/Logging_0884/tillsynsmail/A 36077-2021 tillsynsbegäran mail.docx", "A 36077-2021")</f>
        <v/>
      </c>
    </row>
    <row r="37" ht="15" customHeight="1">
      <c r="A37" t="inlineStr">
        <is>
          <t>A 41398-2021</t>
        </is>
      </c>
      <c r="B37" s="1" t="n">
        <v>44424</v>
      </c>
      <c r="C37" s="1" t="n">
        <v>45760</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41398-2021 artfynd.xlsx", "A 41398-2021")</f>
        <v/>
      </c>
      <c r="T37">
        <f>HYPERLINK("https://klasma.github.io/Logging_0884/kartor/A 41398-2021 karta.png", "A 41398-2021")</f>
        <v/>
      </c>
      <c r="V37">
        <f>HYPERLINK("https://klasma.github.io/Logging_0884/klagomål/A 41398-2021 FSC-klagomål.docx", "A 41398-2021")</f>
        <v/>
      </c>
      <c r="W37">
        <f>HYPERLINK("https://klasma.github.io/Logging_0884/klagomålsmail/A 41398-2021 FSC-klagomål mail.docx", "A 41398-2021")</f>
        <v/>
      </c>
      <c r="X37">
        <f>HYPERLINK("https://klasma.github.io/Logging_0884/tillsyn/A 41398-2021 tillsynsbegäran.docx", "A 41398-2021")</f>
        <v/>
      </c>
      <c r="Y37">
        <f>HYPERLINK("https://klasma.github.io/Logging_0884/tillsynsmail/A 41398-2021 tillsynsbegäran mail.docx", "A 41398-2021")</f>
        <v/>
      </c>
    </row>
    <row r="38" ht="15" customHeight="1">
      <c r="A38" t="inlineStr">
        <is>
          <t>A 42141-2021</t>
        </is>
      </c>
      <c r="B38" s="1" t="n">
        <v>44426</v>
      </c>
      <c r="C38" s="1" t="n">
        <v>45760</v>
      </c>
      <c r="D38" t="inlineStr">
        <is>
          <t>KALMAR LÄN</t>
        </is>
      </c>
      <c r="E38" t="inlineStr">
        <is>
          <t>VIMMERBY</t>
        </is>
      </c>
      <c r="G38" t="n">
        <v>6.8</v>
      </c>
      <c r="H38" t="n">
        <v>2</v>
      </c>
      <c r="I38" t="n">
        <v>0</v>
      </c>
      <c r="J38" t="n">
        <v>0</v>
      </c>
      <c r="K38" t="n">
        <v>0</v>
      </c>
      <c r="L38" t="n">
        <v>0</v>
      </c>
      <c r="M38" t="n">
        <v>0</v>
      </c>
      <c r="N38" t="n">
        <v>0</v>
      </c>
      <c r="O38" t="n">
        <v>0</v>
      </c>
      <c r="P38" t="n">
        <v>0</v>
      </c>
      <c r="Q38" t="n">
        <v>2</v>
      </c>
      <c r="R38" s="2" t="inlineStr">
        <is>
          <t>Grönvit nattviol
Nattviol</t>
        </is>
      </c>
      <c r="S38">
        <f>HYPERLINK("https://klasma.github.io/Logging_0884/artfynd/A 42141-2021 artfynd.xlsx", "A 42141-2021")</f>
        <v/>
      </c>
      <c r="T38">
        <f>HYPERLINK("https://klasma.github.io/Logging_0884/kartor/A 42141-2021 karta.png", "A 42141-2021")</f>
        <v/>
      </c>
      <c r="V38">
        <f>HYPERLINK("https://klasma.github.io/Logging_0884/klagomål/A 42141-2021 FSC-klagomål.docx", "A 42141-2021")</f>
        <v/>
      </c>
      <c r="W38">
        <f>HYPERLINK("https://klasma.github.io/Logging_0884/klagomålsmail/A 42141-2021 FSC-klagomål mail.docx", "A 42141-2021")</f>
        <v/>
      </c>
      <c r="X38">
        <f>HYPERLINK("https://klasma.github.io/Logging_0884/tillsyn/A 42141-2021 tillsynsbegäran.docx", "A 42141-2021")</f>
        <v/>
      </c>
      <c r="Y38">
        <f>HYPERLINK("https://klasma.github.io/Logging_0884/tillsynsmail/A 42141-2021 tillsynsbegäran mail.docx", "A 42141-2021")</f>
        <v/>
      </c>
    </row>
    <row r="39" ht="15" customHeight="1">
      <c r="A39" t="inlineStr">
        <is>
          <t>A 2518-2023</t>
        </is>
      </c>
      <c r="B39" s="1" t="n">
        <v>44943</v>
      </c>
      <c r="C39" s="1" t="n">
        <v>45760</v>
      </c>
      <c r="D39" t="inlineStr">
        <is>
          <t>KALMAR LÄN</t>
        </is>
      </c>
      <c r="E39" t="inlineStr">
        <is>
          <t>VIMMERBY</t>
        </is>
      </c>
      <c r="G39" t="n">
        <v>6.1</v>
      </c>
      <c r="H39" t="n">
        <v>1</v>
      </c>
      <c r="I39" t="n">
        <v>1</v>
      </c>
      <c r="J39" t="n">
        <v>0</v>
      </c>
      <c r="K39" t="n">
        <v>1</v>
      </c>
      <c r="L39" t="n">
        <v>0</v>
      </c>
      <c r="M39" t="n">
        <v>0</v>
      </c>
      <c r="N39" t="n">
        <v>0</v>
      </c>
      <c r="O39" t="n">
        <v>1</v>
      </c>
      <c r="P39" t="n">
        <v>1</v>
      </c>
      <c r="Q39" t="n">
        <v>2</v>
      </c>
      <c r="R39" s="2" t="inlineStr">
        <is>
          <t>Knärot
Grönpyrola</t>
        </is>
      </c>
      <c r="S39">
        <f>HYPERLINK("https://klasma.github.io/Logging_0884/artfynd/A 2518-2023 artfynd.xlsx", "A 2518-2023")</f>
        <v/>
      </c>
      <c r="T39">
        <f>HYPERLINK("https://klasma.github.io/Logging_0884/kartor/A 2518-2023 karta.png", "A 2518-2023")</f>
        <v/>
      </c>
      <c r="U39">
        <f>HYPERLINK("https://klasma.github.io/Logging_0884/knärot/A 2518-2023 karta knärot.png", "A 2518-2023")</f>
        <v/>
      </c>
      <c r="V39">
        <f>HYPERLINK("https://klasma.github.io/Logging_0884/klagomål/A 2518-2023 FSC-klagomål.docx", "A 2518-2023")</f>
        <v/>
      </c>
      <c r="W39">
        <f>HYPERLINK("https://klasma.github.io/Logging_0884/klagomålsmail/A 2518-2023 FSC-klagomål mail.docx", "A 2518-2023")</f>
        <v/>
      </c>
      <c r="X39">
        <f>HYPERLINK("https://klasma.github.io/Logging_0884/tillsyn/A 2518-2023 tillsynsbegäran.docx", "A 2518-2023")</f>
        <v/>
      </c>
      <c r="Y39">
        <f>HYPERLINK("https://klasma.github.io/Logging_0884/tillsynsmail/A 2518-2023 tillsynsbegäran mail.docx", "A 2518-2023")</f>
        <v/>
      </c>
    </row>
    <row r="40" ht="15" customHeight="1">
      <c r="A40" t="inlineStr">
        <is>
          <t>A 14024-2023</t>
        </is>
      </c>
      <c r="B40" s="1" t="n">
        <v>45008</v>
      </c>
      <c r="C40" s="1" t="n">
        <v>45760</v>
      </c>
      <c r="D40" t="inlineStr">
        <is>
          <t>KALMAR LÄN</t>
        </is>
      </c>
      <c r="E40" t="inlineStr">
        <is>
          <t>VIMMERBY</t>
        </is>
      </c>
      <c r="G40" t="n">
        <v>3.2</v>
      </c>
      <c r="H40" t="n">
        <v>1</v>
      </c>
      <c r="I40" t="n">
        <v>1</v>
      </c>
      <c r="J40" t="n">
        <v>0</v>
      </c>
      <c r="K40" t="n">
        <v>0</v>
      </c>
      <c r="L40" t="n">
        <v>1</v>
      </c>
      <c r="M40" t="n">
        <v>0</v>
      </c>
      <c r="N40" t="n">
        <v>0</v>
      </c>
      <c r="O40" t="n">
        <v>1</v>
      </c>
      <c r="P40" t="n">
        <v>1</v>
      </c>
      <c r="Q40" t="n">
        <v>2</v>
      </c>
      <c r="R40" s="2" t="inlineStr">
        <is>
          <t>Ryl
Purpurknipprot</t>
        </is>
      </c>
      <c r="S40">
        <f>HYPERLINK("https://klasma.github.io/Logging_0884/artfynd/A 14024-2023 artfynd.xlsx", "A 14024-2023")</f>
        <v/>
      </c>
      <c r="T40">
        <f>HYPERLINK("https://klasma.github.io/Logging_0884/kartor/A 14024-2023 karta.png", "A 14024-2023")</f>
        <v/>
      </c>
      <c r="V40">
        <f>HYPERLINK("https://klasma.github.io/Logging_0884/klagomål/A 14024-2023 FSC-klagomål.docx", "A 14024-2023")</f>
        <v/>
      </c>
      <c r="W40">
        <f>HYPERLINK("https://klasma.github.io/Logging_0884/klagomålsmail/A 14024-2023 FSC-klagomål mail.docx", "A 14024-2023")</f>
        <v/>
      </c>
      <c r="X40">
        <f>HYPERLINK("https://klasma.github.io/Logging_0884/tillsyn/A 14024-2023 tillsynsbegäran.docx", "A 14024-2023")</f>
        <v/>
      </c>
      <c r="Y40">
        <f>HYPERLINK("https://klasma.github.io/Logging_0884/tillsynsmail/A 14024-2023 tillsynsbegäran mail.docx", "A 14024-2023")</f>
        <v/>
      </c>
    </row>
    <row r="41" ht="15" customHeight="1">
      <c r="A41" t="inlineStr">
        <is>
          <t>A 19158-2023</t>
        </is>
      </c>
      <c r="B41" s="1" t="n">
        <v>45048</v>
      </c>
      <c r="C41" s="1" t="n">
        <v>45760</v>
      </c>
      <c r="D41" t="inlineStr">
        <is>
          <t>KALMAR LÄN</t>
        </is>
      </c>
      <c r="E41" t="inlineStr">
        <is>
          <t>VIMMERBY</t>
        </is>
      </c>
      <c r="G41" t="n">
        <v>2.2</v>
      </c>
      <c r="H41" t="n">
        <v>2</v>
      </c>
      <c r="I41" t="n">
        <v>0</v>
      </c>
      <c r="J41" t="n">
        <v>0</v>
      </c>
      <c r="K41" t="n">
        <v>1</v>
      </c>
      <c r="L41" t="n">
        <v>0</v>
      </c>
      <c r="M41" t="n">
        <v>0</v>
      </c>
      <c r="N41" t="n">
        <v>0</v>
      </c>
      <c r="O41" t="n">
        <v>1</v>
      </c>
      <c r="P41" t="n">
        <v>1</v>
      </c>
      <c r="Q41" t="n">
        <v>2</v>
      </c>
      <c r="R41" s="2" t="inlineStr">
        <is>
          <t>Knärot
Blåsippa</t>
        </is>
      </c>
      <c r="S41">
        <f>HYPERLINK("https://klasma.github.io/Logging_0884/artfynd/A 19158-2023 artfynd.xlsx", "A 19158-2023")</f>
        <v/>
      </c>
      <c r="T41">
        <f>HYPERLINK("https://klasma.github.io/Logging_0884/kartor/A 19158-2023 karta.png", "A 19158-2023")</f>
        <v/>
      </c>
      <c r="U41">
        <f>HYPERLINK("https://klasma.github.io/Logging_0884/knärot/A 19158-2023 karta knärot.png", "A 19158-2023")</f>
        <v/>
      </c>
      <c r="V41">
        <f>HYPERLINK("https://klasma.github.io/Logging_0884/klagomål/A 19158-2023 FSC-klagomål.docx", "A 19158-2023")</f>
        <v/>
      </c>
      <c r="W41">
        <f>HYPERLINK("https://klasma.github.io/Logging_0884/klagomålsmail/A 19158-2023 FSC-klagomål mail.docx", "A 19158-2023")</f>
        <v/>
      </c>
      <c r="X41">
        <f>HYPERLINK("https://klasma.github.io/Logging_0884/tillsyn/A 19158-2023 tillsynsbegäran.docx", "A 19158-2023")</f>
        <v/>
      </c>
      <c r="Y41">
        <f>HYPERLINK("https://klasma.github.io/Logging_0884/tillsynsmail/A 19158-2023 tillsynsbegäran mail.docx", "A 19158-2023")</f>
        <v/>
      </c>
    </row>
    <row r="42" ht="15" customHeight="1">
      <c r="A42" t="inlineStr">
        <is>
          <t>A 22825-2023</t>
        </is>
      </c>
      <c r="B42" s="1" t="n">
        <v>45072</v>
      </c>
      <c r="C42" s="1" t="n">
        <v>45760</v>
      </c>
      <c r="D42" t="inlineStr">
        <is>
          <t>KALMAR LÄN</t>
        </is>
      </c>
      <c r="E42" t="inlineStr">
        <is>
          <t>VIMMERBY</t>
        </is>
      </c>
      <c r="G42" t="n">
        <v>14.1</v>
      </c>
      <c r="H42" t="n">
        <v>0</v>
      </c>
      <c r="I42" t="n">
        <v>0</v>
      </c>
      <c r="J42" t="n">
        <v>2</v>
      </c>
      <c r="K42" t="n">
        <v>0</v>
      </c>
      <c r="L42" t="n">
        <v>0</v>
      </c>
      <c r="M42" t="n">
        <v>0</v>
      </c>
      <c r="N42" t="n">
        <v>0</v>
      </c>
      <c r="O42" t="n">
        <v>2</v>
      </c>
      <c r="P42" t="n">
        <v>0</v>
      </c>
      <c r="Q42" t="n">
        <v>2</v>
      </c>
      <c r="R42" s="2" t="inlineStr">
        <is>
          <t>Klasefibbla
Sommarfibbla</t>
        </is>
      </c>
      <c r="S42">
        <f>HYPERLINK("https://klasma.github.io/Logging_0884/artfynd/A 22825-2023 artfynd.xlsx", "A 22825-2023")</f>
        <v/>
      </c>
      <c r="T42">
        <f>HYPERLINK("https://klasma.github.io/Logging_0884/kartor/A 22825-2023 karta.png", "A 22825-2023")</f>
        <v/>
      </c>
      <c r="V42">
        <f>HYPERLINK("https://klasma.github.io/Logging_0884/klagomål/A 22825-2023 FSC-klagomål.docx", "A 22825-2023")</f>
        <v/>
      </c>
      <c r="W42">
        <f>HYPERLINK("https://klasma.github.io/Logging_0884/klagomålsmail/A 22825-2023 FSC-klagomål mail.docx", "A 22825-2023")</f>
        <v/>
      </c>
      <c r="X42">
        <f>HYPERLINK("https://klasma.github.io/Logging_0884/tillsyn/A 22825-2023 tillsynsbegäran.docx", "A 22825-2023")</f>
        <v/>
      </c>
      <c r="Y42">
        <f>HYPERLINK("https://klasma.github.io/Logging_0884/tillsynsmail/A 22825-2023 tillsynsbegäran mail.docx", "A 22825-2023")</f>
        <v/>
      </c>
    </row>
    <row r="43" ht="15" customHeight="1">
      <c r="A43" t="inlineStr">
        <is>
          <t>A 32657-2023</t>
        </is>
      </c>
      <c r="B43" s="1" t="n">
        <v>45121</v>
      </c>
      <c r="C43" s="1" t="n">
        <v>45760</v>
      </c>
      <c r="D43" t="inlineStr">
        <is>
          <t>KALMAR LÄN</t>
        </is>
      </c>
      <c r="E43" t="inlineStr">
        <is>
          <t>VIMMERBY</t>
        </is>
      </c>
      <c r="G43" t="n">
        <v>1.6</v>
      </c>
      <c r="H43" t="n">
        <v>1</v>
      </c>
      <c r="I43" t="n">
        <v>0</v>
      </c>
      <c r="J43" t="n">
        <v>1</v>
      </c>
      <c r="K43" t="n">
        <v>0</v>
      </c>
      <c r="L43" t="n">
        <v>1</v>
      </c>
      <c r="M43" t="n">
        <v>0</v>
      </c>
      <c r="N43" t="n">
        <v>0</v>
      </c>
      <c r="O43" t="n">
        <v>2</v>
      </c>
      <c r="P43" t="n">
        <v>1</v>
      </c>
      <c r="Q43" t="n">
        <v>2</v>
      </c>
      <c r="R43" s="2" t="inlineStr">
        <is>
          <t>Bredgentiana
Sandviol</t>
        </is>
      </c>
      <c r="S43">
        <f>HYPERLINK("https://klasma.github.io/Logging_0884/artfynd/A 32657-2023 artfynd.xlsx", "A 32657-2023")</f>
        <v/>
      </c>
      <c r="T43">
        <f>HYPERLINK("https://klasma.github.io/Logging_0884/kartor/A 32657-2023 karta.png", "A 32657-2023")</f>
        <v/>
      </c>
      <c r="V43">
        <f>HYPERLINK("https://klasma.github.io/Logging_0884/klagomål/A 32657-2023 FSC-klagomål.docx", "A 32657-2023")</f>
        <v/>
      </c>
      <c r="W43">
        <f>HYPERLINK("https://klasma.github.io/Logging_0884/klagomålsmail/A 32657-2023 FSC-klagomål mail.docx", "A 32657-2023")</f>
        <v/>
      </c>
      <c r="X43">
        <f>HYPERLINK("https://klasma.github.io/Logging_0884/tillsyn/A 32657-2023 tillsynsbegäran.docx", "A 32657-2023")</f>
        <v/>
      </c>
      <c r="Y43">
        <f>HYPERLINK("https://klasma.github.io/Logging_0884/tillsynsmail/A 32657-2023 tillsynsbegäran mail.docx", "A 32657-2023")</f>
        <v/>
      </c>
    </row>
    <row r="44" ht="15" customHeight="1">
      <c r="A44" t="inlineStr">
        <is>
          <t>A 4864-2024</t>
        </is>
      </c>
      <c r="B44" s="1" t="n">
        <v>45329</v>
      </c>
      <c r="C44" s="1" t="n">
        <v>45760</v>
      </c>
      <c r="D44" t="inlineStr">
        <is>
          <t>KALMAR LÄN</t>
        </is>
      </c>
      <c r="E44" t="inlineStr">
        <is>
          <t>VIMMERBY</t>
        </is>
      </c>
      <c r="G44" t="n">
        <v>2.1</v>
      </c>
      <c r="H44" t="n">
        <v>2</v>
      </c>
      <c r="I44" t="n">
        <v>0</v>
      </c>
      <c r="J44" t="n">
        <v>1</v>
      </c>
      <c r="K44" t="n">
        <v>1</v>
      </c>
      <c r="L44" t="n">
        <v>0</v>
      </c>
      <c r="M44" t="n">
        <v>0</v>
      </c>
      <c r="N44" t="n">
        <v>0</v>
      </c>
      <c r="O44" t="n">
        <v>2</v>
      </c>
      <c r="P44" t="n">
        <v>1</v>
      </c>
      <c r="Q44" t="n">
        <v>2</v>
      </c>
      <c r="R44" s="2" t="inlineStr">
        <is>
          <t>Knärot
Talltita</t>
        </is>
      </c>
      <c r="S44">
        <f>HYPERLINK("https://klasma.github.io/Logging_0884/artfynd/A 4864-2024 artfynd.xlsx", "A 4864-2024")</f>
        <v/>
      </c>
      <c r="T44">
        <f>HYPERLINK("https://klasma.github.io/Logging_0884/kartor/A 4864-2024 karta.png", "A 4864-2024")</f>
        <v/>
      </c>
      <c r="U44">
        <f>HYPERLINK("https://klasma.github.io/Logging_0884/knärot/A 4864-2024 karta knärot.png", "A 4864-2024")</f>
        <v/>
      </c>
      <c r="V44">
        <f>HYPERLINK("https://klasma.github.io/Logging_0884/klagomål/A 4864-2024 FSC-klagomål.docx", "A 4864-2024")</f>
        <v/>
      </c>
      <c r="W44">
        <f>HYPERLINK("https://klasma.github.io/Logging_0884/klagomålsmail/A 4864-2024 FSC-klagomål mail.docx", "A 4864-2024")</f>
        <v/>
      </c>
      <c r="X44">
        <f>HYPERLINK("https://klasma.github.io/Logging_0884/tillsyn/A 4864-2024 tillsynsbegäran.docx", "A 4864-2024")</f>
        <v/>
      </c>
      <c r="Y44">
        <f>HYPERLINK("https://klasma.github.io/Logging_0884/tillsynsmail/A 4864-2024 tillsynsbegäran mail.docx", "A 4864-2024")</f>
        <v/>
      </c>
      <c r="Z44">
        <f>HYPERLINK("https://klasma.github.io/Logging_0884/fåglar/A 4864-2024 prioriterade fågelarter.docx", "A 4864-2024")</f>
        <v/>
      </c>
    </row>
    <row r="45" ht="15" customHeight="1">
      <c r="A45" t="inlineStr">
        <is>
          <t>A 26465-2024</t>
        </is>
      </c>
      <c r="B45" s="1" t="n">
        <v>45469</v>
      </c>
      <c r="C45" s="1" t="n">
        <v>45760</v>
      </c>
      <c r="D45" t="inlineStr">
        <is>
          <t>KALMAR LÄN</t>
        </is>
      </c>
      <c r="E45" t="inlineStr">
        <is>
          <t>VIMMERBY</t>
        </is>
      </c>
      <c r="F45" t="inlineStr">
        <is>
          <t>Kyrkan</t>
        </is>
      </c>
      <c r="G45" t="n">
        <v>8.199999999999999</v>
      </c>
      <c r="H45" t="n">
        <v>2</v>
      </c>
      <c r="I45" t="n">
        <v>0</v>
      </c>
      <c r="J45" t="n">
        <v>2</v>
      </c>
      <c r="K45" t="n">
        <v>0</v>
      </c>
      <c r="L45" t="n">
        <v>0</v>
      </c>
      <c r="M45" t="n">
        <v>0</v>
      </c>
      <c r="N45" t="n">
        <v>0</v>
      </c>
      <c r="O45" t="n">
        <v>2</v>
      </c>
      <c r="P45" t="n">
        <v>0</v>
      </c>
      <c r="Q45" t="n">
        <v>2</v>
      </c>
      <c r="R45" s="2" t="inlineStr">
        <is>
          <t>Mindre hackspett
Talltita</t>
        </is>
      </c>
      <c r="S45">
        <f>HYPERLINK("https://klasma.github.io/Logging_0884/artfynd/A 26465-2024 artfynd.xlsx", "A 26465-2024")</f>
        <v/>
      </c>
      <c r="T45">
        <f>HYPERLINK("https://klasma.github.io/Logging_0884/kartor/A 26465-2024 karta.png", "A 26465-2024")</f>
        <v/>
      </c>
      <c r="V45">
        <f>HYPERLINK("https://klasma.github.io/Logging_0884/klagomål/A 26465-2024 FSC-klagomål.docx", "A 26465-2024")</f>
        <v/>
      </c>
      <c r="W45">
        <f>HYPERLINK("https://klasma.github.io/Logging_0884/klagomålsmail/A 26465-2024 FSC-klagomål mail.docx", "A 26465-2024")</f>
        <v/>
      </c>
      <c r="X45">
        <f>HYPERLINK("https://klasma.github.io/Logging_0884/tillsyn/A 26465-2024 tillsynsbegäran.docx", "A 26465-2024")</f>
        <v/>
      </c>
      <c r="Y45">
        <f>HYPERLINK("https://klasma.github.io/Logging_0884/tillsynsmail/A 26465-2024 tillsynsbegäran mail.docx", "A 26465-2024")</f>
        <v/>
      </c>
      <c r="Z45">
        <f>HYPERLINK("https://klasma.github.io/Logging_0884/fåglar/A 26465-2024 prioriterade fågelarter.docx", "A 26465-2024")</f>
        <v/>
      </c>
    </row>
    <row r="46" ht="15" customHeight="1">
      <c r="A46" t="inlineStr">
        <is>
          <t>A 19055-2019</t>
        </is>
      </c>
      <c r="B46" s="1" t="n">
        <v>43563</v>
      </c>
      <c r="C46" s="1" t="n">
        <v>45760</v>
      </c>
      <c r="D46" t="inlineStr">
        <is>
          <t>KALMAR LÄN</t>
        </is>
      </c>
      <c r="E46" t="inlineStr">
        <is>
          <t>VIMMERBY</t>
        </is>
      </c>
      <c r="G46" t="n">
        <v>1</v>
      </c>
      <c r="H46" t="n">
        <v>1</v>
      </c>
      <c r="I46" t="n">
        <v>1</v>
      </c>
      <c r="J46" t="n">
        <v>0</v>
      </c>
      <c r="K46" t="n">
        <v>0</v>
      </c>
      <c r="L46" t="n">
        <v>0</v>
      </c>
      <c r="M46" t="n">
        <v>0</v>
      </c>
      <c r="N46" t="n">
        <v>0</v>
      </c>
      <c r="O46" t="n">
        <v>0</v>
      </c>
      <c r="P46" t="n">
        <v>0</v>
      </c>
      <c r="Q46" t="n">
        <v>1</v>
      </c>
      <c r="R46" s="2" t="inlineStr">
        <is>
          <t>Korallrot</t>
        </is>
      </c>
      <c r="S46">
        <f>HYPERLINK("https://klasma.github.io/Logging_0884/artfynd/A 19055-2019 artfynd.xlsx", "A 19055-2019")</f>
        <v/>
      </c>
      <c r="T46">
        <f>HYPERLINK("https://klasma.github.io/Logging_0884/kartor/A 19055-2019 karta.png", "A 19055-2019")</f>
        <v/>
      </c>
      <c r="V46">
        <f>HYPERLINK("https://klasma.github.io/Logging_0884/klagomål/A 19055-2019 FSC-klagomål.docx", "A 19055-2019")</f>
        <v/>
      </c>
      <c r="W46">
        <f>HYPERLINK("https://klasma.github.io/Logging_0884/klagomålsmail/A 19055-2019 FSC-klagomål mail.docx", "A 19055-2019")</f>
        <v/>
      </c>
      <c r="X46">
        <f>HYPERLINK("https://klasma.github.io/Logging_0884/tillsyn/A 19055-2019 tillsynsbegäran.docx", "A 19055-2019")</f>
        <v/>
      </c>
      <c r="Y46">
        <f>HYPERLINK("https://klasma.github.io/Logging_0884/tillsynsmail/A 19055-2019 tillsynsbegäran mail.docx", "A 19055-2019")</f>
        <v/>
      </c>
    </row>
    <row r="47" ht="15" customHeight="1">
      <c r="A47" t="inlineStr">
        <is>
          <t>A 52156-2019</t>
        </is>
      </c>
      <c r="B47" s="1" t="n">
        <v>43742</v>
      </c>
      <c r="C47" s="1" t="n">
        <v>45760</v>
      </c>
      <c r="D47" t="inlineStr">
        <is>
          <t>KALMAR LÄN</t>
        </is>
      </c>
      <c r="E47" t="inlineStr">
        <is>
          <t>VIMMERBY</t>
        </is>
      </c>
      <c r="G47" t="n">
        <v>3.7</v>
      </c>
      <c r="H47" t="n">
        <v>1</v>
      </c>
      <c r="I47" t="n">
        <v>0</v>
      </c>
      <c r="J47" t="n">
        <v>0</v>
      </c>
      <c r="K47" t="n">
        <v>0</v>
      </c>
      <c r="L47" t="n">
        <v>0</v>
      </c>
      <c r="M47" t="n">
        <v>0</v>
      </c>
      <c r="N47" t="n">
        <v>0</v>
      </c>
      <c r="O47" t="n">
        <v>0</v>
      </c>
      <c r="P47" t="n">
        <v>0</v>
      </c>
      <c r="Q47" t="n">
        <v>1</v>
      </c>
      <c r="R47" s="2" t="inlineStr">
        <is>
          <t>Blåsippa</t>
        </is>
      </c>
      <c r="S47">
        <f>HYPERLINK("https://klasma.github.io/Logging_0884/artfynd/A 52156-2019 artfynd.xlsx", "A 52156-2019")</f>
        <v/>
      </c>
      <c r="T47">
        <f>HYPERLINK("https://klasma.github.io/Logging_0884/kartor/A 52156-2019 karta.png", "A 52156-2019")</f>
        <v/>
      </c>
      <c r="U47">
        <f>HYPERLINK("https://klasma.github.io/Logging_0884/knärot/A 52156-2019 karta knärot.png", "A 52156-2019")</f>
        <v/>
      </c>
      <c r="V47">
        <f>HYPERLINK("https://klasma.github.io/Logging_0884/klagomål/A 52156-2019 FSC-klagomål.docx", "A 52156-2019")</f>
        <v/>
      </c>
      <c r="W47">
        <f>HYPERLINK("https://klasma.github.io/Logging_0884/klagomålsmail/A 52156-2019 FSC-klagomål mail.docx", "A 52156-2019")</f>
        <v/>
      </c>
      <c r="X47">
        <f>HYPERLINK("https://klasma.github.io/Logging_0884/tillsyn/A 52156-2019 tillsynsbegäran.docx", "A 52156-2019")</f>
        <v/>
      </c>
      <c r="Y47">
        <f>HYPERLINK("https://klasma.github.io/Logging_0884/tillsynsmail/A 52156-2019 tillsynsbegäran mail.docx", "A 52156-2019")</f>
        <v/>
      </c>
    </row>
    <row r="48" ht="15" customHeight="1">
      <c r="A48" t="inlineStr">
        <is>
          <t>A 64356-2019</t>
        </is>
      </c>
      <c r="B48" s="1" t="n">
        <v>43797</v>
      </c>
      <c r="C48" s="1" t="n">
        <v>45760</v>
      </c>
      <c r="D48" t="inlineStr">
        <is>
          <t>KALMAR LÄN</t>
        </is>
      </c>
      <c r="E48" t="inlineStr">
        <is>
          <t>VIMMERBY</t>
        </is>
      </c>
      <c r="G48" t="n">
        <v>1.4</v>
      </c>
      <c r="H48" t="n">
        <v>0</v>
      </c>
      <c r="I48" t="n">
        <v>1</v>
      </c>
      <c r="J48" t="n">
        <v>0</v>
      </c>
      <c r="K48" t="n">
        <v>0</v>
      </c>
      <c r="L48" t="n">
        <v>0</v>
      </c>
      <c r="M48" t="n">
        <v>0</v>
      </c>
      <c r="N48" t="n">
        <v>0</v>
      </c>
      <c r="O48" t="n">
        <v>0</v>
      </c>
      <c r="P48" t="n">
        <v>0</v>
      </c>
      <c r="Q48" t="n">
        <v>1</v>
      </c>
      <c r="R48" s="2" t="inlineStr">
        <is>
          <t>Fällmossa</t>
        </is>
      </c>
      <c r="S48">
        <f>HYPERLINK("https://klasma.github.io/Logging_0884/artfynd/A 64356-2019 artfynd.xlsx", "A 64356-2019")</f>
        <v/>
      </c>
      <c r="T48">
        <f>HYPERLINK("https://klasma.github.io/Logging_0884/kartor/A 64356-2019 karta.png", "A 64356-2019")</f>
        <v/>
      </c>
      <c r="V48">
        <f>HYPERLINK("https://klasma.github.io/Logging_0884/klagomål/A 64356-2019 FSC-klagomål.docx", "A 64356-2019")</f>
        <v/>
      </c>
      <c r="W48">
        <f>HYPERLINK("https://klasma.github.io/Logging_0884/klagomålsmail/A 64356-2019 FSC-klagomål mail.docx", "A 64356-2019")</f>
        <v/>
      </c>
      <c r="X48">
        <f>HYPERLINK("https://klasma.github.io/Logging_0884/tillsyn/A 64356-2019 tillsynsbegäran.docx", "A 64356-2019")</f>
        <v/>
      </c>
      <c r="Y48">
        <f>HYPERLINK("https://klasma.github.io/Logging_0884/tillsynsmail/A 64356-2019 tillsynsbegäran mail.docx", "A 64356-2019")</f>
        <v/>
      </c>
    </row>
    <row r="49" ht="15" customHeight="1">
      <c r="A49" t="inlineStr">
        <is>
          <t>A 22439-2020</t>
        </is>
      </c>
      <c r="B49" s="1" t="n">
        <v>43963</v>
      </c>
      <c r="C49" s="1" t="n">
        <v>45760</v>
      </c>
      <c r="D49" t="inlineStr">
        <is>
          <t>KALMAR LÄN</t>
        </is>
      </c>
      <c r="E49" t="inlineStr">
        <is>
          <t>VIMMERBY</t>
        </is>
      </c>
      <c r="G49" t="n">
        <v>13.8</v>
      </c>
      <c r="H49" t="n">
        <v>0</v>
      </c>
      <c r="I49" t="n">
        <v>0</v>
      </c>
      <c r="J49" t="n">
        <v>1</v>
      </c>
      <c r="K49" t="n">
        <v>0</v>
      </c>
      <c r="L49" t="n">
        <v>0</v>
      </c>
      <c r="M49" t="n">
        <v>0</v>
      </c>
      <c r="N49" t="n">
        <v>0</v>
      </c>
      <c r="O49" t="n">
        <v>1</v>
      </c>
      <c r="P49" t="n">
        <v>0</v>
      </c>
      <c r="Q49" t="n">
        <v>1</v>
      </c>
      <c r="R49" s="2" t="inlineStr">
        <is>
          <t>Tallticka</t>
        </is>
      </c>
      <c r="S49">
        <f>HYPERLINK("https://klasma.github.io/Logging_0884/artfynd/A 22439-2020 artfynd.xlsx", "A 22439-2020")</f>
        <v/>
      </c>
      <c r="T49">
        <f>HYPERLINK("https://klasma.github.io/Logging_0884/kartor/A 22439-2020 karta.png", "A 22439-2020")</f>
        <v/>
      </c>
      <c r="V49">
        <f>HYPERLINK("https://klasma.github.io/Logging_0884/klagomål/A 22439-2020 FSC-klagomål.docx", "A 22439-2020")</f>
        <v/>
      </c>
      <c r="W49">
        <f>HYPERLINK("https://klasma.github.io/Logging_0884/klagomålsmail/A 22439-2020 FSC-klagomål mail.docx", "A 22439-2020")</f>
        <v/>
      </c>
      <c r="X49">
        <f>HYPERLINK("https://klasma.github.io/Logging_0884/tillsyn/A 22439-2020 tillsynsbegäran.docx", "A 22439-2020")</f>
        <v/>
      </c>
      <c r="Y49">
        <f>HYPERLINK("https://klasma.github.io/Logging_0884/tillsynsmail/A 22439-2020 tillsynsbegäran mail.docx", "A 22439-2020")</f>
        <v/>
      </c>
    </row>
    <row r="50" ht="15" customHeight="1">
      <c r="A50" t="inlineStr">
        <is>
          <t>A 42097-2020</t>
        </is>
      </c>
      <c r="B50" s="1" t="n">
        <v>44075</v>
      </c>
      <c r="C50" s="1" t="n">
        <v>45760</v>
      </c>
      <c r="D50" t="inlineStr">
        <is>
          <t>KALMAR LÄN</t>
        </is>
      </c>
      <c r="E50" t="inlineStr">
        <is>
          <t>VIMMERBY</t>
        </is>
      </c>
      <c r="G50" t="n">
        <v>5.5</v>
      </c>
      <c r="H50" t="n">
        <v>0</v>
      </c>
      <c r="I50" t="n">
        <v>0</v>
      </c>
      <c r="J50" t="n">
        <v>1</v>
      </c>
      <c r="K50" t="n">
        <v>0</v>
      </c>
      <c r="L50" t="n">
        <v>0</v>
      </c>
      <c r="M50" t="n">
        <v>0</v>
      </c>
      <c r="N50" t="n">
        <v>0</v>
      </c>
      <c r="O50" t="n">
        <v>1</v>
      </c>
      <c r="P50" t="n">
        <v>0</v>
      </c>
      <c r="Q50" t="n">
        <v>1</v>
      </c>
      <c r="R50" s="2" t="inlineStr">
        <is>
          <t>Mjukdån</t>
        </is>
      </c>
      <c r="S50">
        <f>HYPERLINK("https://klasma.github.io/Logging_0884/artfynd/A 42097-2020 artfynd.xlsx", "A 42097-2020")</f>
        <v/>
      </c>
      <c r="T50">
        <f>HYPERLINK("https://klasma.github.io/Logging_0884/kartor/A 42097-2020 karta.png", "A 42097-2020")</f>
        <v/>
      </c>
      <c r="V50">
        <f>HYPERLINK("https://klasma.github.io/Logging_0884/klagomål/A 42097-2020 FSC-klagomål.docx", "A 42097-2020")</f>
        <v/>
      </c>
      <c r="W50">
        <f>HYPERLINK("https://klasma.github.io/Logging_0884/klagomålsmail/A 42097-2020 FSC-klagomål mail.docx", "A 42097-2020")</f>
        <v/>
      </c>
      <c r="X50">
        <f>HYPERLINK("https://klasma.github.io/Logging_0884/tillsyn/A 42097-2020 tillsynsbegäran.docx", "A 42097-2020")</f>
        <v/>
      </c>
      <c r="Y50">
        <f>HYPERLINK("https://klasma.github.io/Logging_0884/tillsynsmail/A 42097-2020 tillsynsbegäran mail.docx", "A 42097-2020")</f>
        <v/>
      </c>
    </row>
    <row r="51" ht="15" customHeight="1">
      <c r="A51" t="inlineStr">
        <is>
          <t>A 44306-2020</t>
        </is>
      </c>
      <c r="B51" s="1" t="n">
        <v>44082</v>
      </c>
      <c r="C51" s="1" t="n">
        <v>45760</v>
      </c>
      <c r="D51" t="inlineStr">
        <is>
          <t>KALMAR LÄN</t>
        </is>
      </c>
      <c r="E51" t="inlineStr">
        <is>
          <t>VIMMERBY</t>
        </is>
      </c>
      <c r="G51" t="n">
        <v>16.4</v>
      </c>
      <c r="H51" t="n">
        <v>1</v>
      </c>
      <c r="I51" t="n">
        <v>1</v>
      </c>
      <c r="J51" t="n">
        <v>0</v>
      </c>
      <c r="K51" t="n">
        <v>0</v>
      </c>
      <c r="L51" t="n">
        <v>0</v>
      </c>
      <c r="M51" t="n">
        <v>0</v>
      </c>
      <c r="N51" t="n">
        <v>0</v>
      </c>
      <c r="O51" t="n">
        <v>0</v>
      </c>
      <c r="P51" t="n">
        <v>0</v>
      </c>
      <c r="Q51" t="n">
        <v>1</v>
      </c>
      <c r="R51" s="2" t="inlineStr">
        <is>
          <t>Plattlummer</t>
        </is>
      </c>
      <c r="S51">
        <f>HYPERLINK("https://klasma.github.io/Logging_0884/artfynd/A 44306-2020 artfynd.xlsx", "A 44306-2020")</f>
        <v/>
      </c>
      <c r="T51">
        <f>HYPERLINK("https://klasma.github.io/Logging_0884/kartor/A 44306-2020 karta.png", "A 44306-2020")</f>
        <v/>
      </c>
      <c r="V51">
        <f>HYPERLINK("https://klasma.github.io/Logging_0884/klagomål/A 44306-2020 FSC-klagomål.docx", "A 44306-2020")</f>
        <v/>
      </c>
      <c r="W51">
        <f>HYPERLINK("https://klasma.github.io/Logging_0884/klagomålsmail/A 44306-2020 FSC-klagomål mail.docx", "A 44306-2020")</f>
        <v/>
      </c>
      <c r="X51">
        <f>HYPERLINK("https://klasma.github.io/Logging_0884/tillsyn/A 44306-2020 tillsynsbegäran.docx", "A 44306-2020")</f>
        <v/>
      </c>
      <c r="Y51">
        <f>HYPERLINK("https://klasma.github.io/Logging_0884/tillsynsmail/A 44306-2020 tillsynsbegäran mail.docx", "A 44306-2020")</f>
        <v/>
      </c>
    </row>
    <row r="52" ht="15" customHeight="1">
      <c r="A52" t="inlineStr">
        <is>
          <t>A 57949-2020</t>
        </is>
      </c>
      <c r="B52" s="1" t="n">
        <v>44142</v>
      </c>
      <c r="C52" s="1" t="n">
        <v>45760</v>
      </c>
      <c r="D52" t="inlineStr">
        <is>
          <t>KALMAR LÄN</t>
        </is>
      </c>
      <c r="E52" t="inlineStr">
        <is>
          <t>VIMMERBY</t>
        </is>
      </c>
      <c r="G52" t="n">
        <v>3.4</v>
      </c>
      <c r="H52" t="n">
        <v>0</v>
      </c>
      <c r="I52" t="n">
        <v>1</v>
      </c>
      <c r="J52" t="n">
        <v>0</v>
      </c>
      <c r="K52" t="n">
        <v>0</v>
      </c>
      <c r="L52" t="n">
        <v>0</v>
      </c>
      <c r="M52" t="n">
        <v>0</v>
      </c>
      <c r="N52" t="n">
        <v>0</v>
      </c>
      <c r="O52" t="n">
        <v>0</v>
      </c>
      <c r="P52" t="n">
        <v>0</v>
      </c>
      <c r="Q52" t="n">
        <v>1</v>
      </c>
      <c r="R52" s="2" t="inlineStr">
        <is>
          <t>Vårärt</t>
        </is>
      </c>
      <c r="S52">
        <f>HYPERLINK("https://klasma.github.io/Logging_0884/artfynd/A 57949-2020 artfynd.xlsx", "A 57949-2020")</f>
        <v/>
      </c>
      <c r="T52">
        <f>HYPERLINK("https://klasma.github.io/Logging_0884/kartor/A 57949-2020 karta.png", "A 57949-2020")</f>
        <v/>
      </c>
      <c r="V52">
        <f>HYPERLINK("https://klasma.github.io/Logging_0884/klagomål/A 57949-2020 FSC-klagomål.docx", "A 57949-2020")</f>
        <v/>
      </c>
      <c r="W52">
        <f>HYPERLINK("https://klasma.github.io/Logging_0884/klagomålsmail/A 57949-2020 FSC-klagomål mail.docx", "A 57949-2020")</f>
        <v/>
      </c>
      <c r="X52">
        <f>HYPERLINK("https://klasma.github.io/Logging_0884/tillsyn/A 57949-2020 tillsynsbegäran.docx", "A 57949-2020")</f>
        <v/>
      </c>
      <c r="Y52">
        <f>HYPERLINK("https://klasma.github.io/Logging_0884/tillsynsmail/A 57949-2020 tillsynsbegäran mail.docx", "A 57949-2020")</f>
        <v/>
      </c>
    </row>
    <row r="53" ht="15" customHeight="1">
      <c r="A53" t="inlineStr">
        <is>
          <t>A 64674-2020</t>
        </is>
      </c>
      <c r="B53" s="1" t="n">
        <v>44169</v>
      </c>
      <c r="C53" s="1" t="n">
        <v>45760</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64674-2020 artfynd.xlsx", "A 64674-2020")</f>
        <v/>
      </c>
      <c r="T53">
        <f>HYPERLINK("https://klasma.github.io/Logging_0884/kartor/A 64674-2020 karta.png", "A 64674-2020")</f>
        <v/>
      </c>
      <c r="V53">
        <f>HYPERLINK("https://klasma.github.io/Logging_0884/klagomål/A 64674-2020 FSC-klagomål.docx", "A 64674-2020")</f>
        <v/>
      </c>
      <c r="W53">
        <f>HYPERLINK("https://klasma.github.io/Logging_0884/klagomålsmail/A 64674-2020 FSC-klagomål mail.docx", "A 64674-2020")</f>
        <v/>
      </c>
      <c r="X53">
        <f>HYPERLINK("https://klasma.github.io/Logging_0884/tillsyn/A 64674-2020 tillsynsbegäran.docx", "A 64674-2020")</f>
        <v/>
      </c>
      <c r="Y53">
        <f>HYPERLINK("https://klasma.github.io/Logging_0884/tillsynsmail/A 64674-2020 tillsynsbegäran mail.docx", "A 64674-2020")</f>
        <v/>
      </c>
    </row>
    <row r="54" ht="15" customHeight="1">
      <c r="A54" t="inlineStr">
        <is>
          <t>A 68851-2020</t>
        </is>
      </c>
      <c r="B54" s="1" t="n">
        <v>44187</v>
      </c>
      <c r="C54" s="1" t="n">
        <v>45760</v>
      </c>
      <c r="D54" t="inlineStr">
        <is>
          <t>KALMAR LÄN</t>
        </is>
      </c>
      <c r="E54" t="inlineStr">
        <is>
          <t>VIMMERBY</t>
        </is>
      </c>
      <c r="G54" t="n">
        <v>7.4</v>
      </c>
      <c r="H54" t="n">
        <v>0</v>
      </c>
      <c r="I54" t="n">
        <v>0</v>
      </c>
      <c r="J54" t="n">
        <v>0</v>
      </c>
      <c r="K54" t="n">
        <v>1</v>
      </c>
      <c r="L54" t="n">
        <v>0</v>
      </c>
      <c r="M54" t="n">
        <v>0</v>
      </c>
      <c r="N54" t="n">
        <v>0</v>
      </c>
      <c r="O54" t="n">
        <v>1</v>
      </c>
      <c r="P54" t="n">
        <v>1</v>
      </c>
      <c r="Q54" t="n">
        <v>1</v>
      </c>
      <c r="R54" s="2" t="inlineStr">
        <is>
          <t>Lansettfibbla</t>
        </is>
      </c>
      <c r="S54">
        <f>HYPERLINK("https://klasma.github.io/Logging_0884/artfynd/A 68851-2020 artfynd.xlsx", "A 68851-2020")</f>
        <v/>
      </c>
      <c r="T54">
        <f>HYPERLINK("https://klasma.github.io/Logging_0884/kartor/A 68851-2020 karta.png", "A 68851-2020")</f>
        <v/>
      </c>
      <c r="V54">
        <f>HYPERLINK("https://klasma.github.io/Logging_0884/klagomål/A 68851-2020 FSC-klagomål.docx", "A 68851-2020")</f>
        <v/>
      </c>
      <c r="W54">
        <f>HYPERLINK("https://klasma.github.io/Logging_0884/klagomålsmail/A 68851-2020 FSC-klagomål mail.docx", "A 68851-2020")</f>
        <v/>
      </c>
      <c r="X54">
        <f>HYPERLINK("https://klasma.github.io/Logging_0884/tillsyn/A 68851-2020 tillsynsbegäran.docx", "A 68851-2020")</f>
        <v/>
      </c>
      <c r="Y54">
        <f>HYPERLINK("https://klasma.github.io/Logging_0884/tillsynsmail/A 68851-2020 tillsynsbegäran mail.docx", "A 68851-2020")</f>
        <v/>
      </c>
    </row>
    <row r="55" ht="15" customHeight="1">
      <c r="A55" t="inlineStr">
        <is>
          <t>A 6841-2021</t>
        </is>
      </c>
      <c r="B55" s="1" t="n">
        <v>44236</v>
      </c>
      <c r="C55" s="1" t="n">
        <v>45760</v>
      </c>
      <c r="D55" t="inlineStr">
        <is>
          <t>KALMAR LÄN</t>
        </is>
      </c>
      <c r="E55" t="inlineStr">
        <is>
          <t>VIMMERBY</t>
        </is>
      </c>
      <c r="G55" t="n">
        <v>25</v>
      </c>
      <c r="H55" t="n">
        <v>0</v>
      </c>
      <c r="I55" t="n">
        <v>0</v>
      </c>
      <c r="J55" t="n">
        <v>1</v>
      </c>
      <c r="K55" t="n">
        <v>0</v>
      </c>
      <c r="L55" t="n">
        <v>0</v>
      </c>
      <c r="M55" t="n">
        <v>0</v>
      </c>
      <c r="N55" t="n">
        <v>0</v>
      </c>
      <c r="O55" t="n">
        <v>1</v>
      </c>
      <c r="P55" t="n">
        <v>0</v>
      </c>
      <c r="Q55" t="n">
        <v>1</v>
      </c>
      <c r="R55" s="2" t="inlineStr">
        <is>
          <t>Bredbrämad bastardsvärmare</t>
        </is>
      </c>
      <c r="S55">
        <f>HYPERLINK("https://klasma.github.io/Logging_0884/artfynd/A 6841-2021 artfynd.xlsx", "A 6841-2021")</f>
        <v/>
      </c>
      <c r="T55">
        <f>HYPERLINK("https://klasma.github.io/Logging_0884/kartor/A 6841-2021 karta.png", "A 6841-2021")</f>
        <v/>
      </c>
      <c r="V55">
        <f>HYPERLINK("https://klasma.github.io/Logging_0884/klagomål/A 6841-2021 FSC-klagomål.docx", "A 6841-2021")</f>
        <v/>
      </c>
      <c r="W55">
        <f>HYPERLINK("https://klasma.github.io/Logging_0884/klagomålsmail/A 6841-2021 FSC-klagomål mail.docx", "A 6841-2021")</f>
        <v/>
      </c>
      <c r="X55">
        <f>HYPERLINK("https://klasma.github.io/Logging_0884/tillsyn/A 6841-2021 tillsynsbegäran.docx", "A 6841-2021")</f>
        <v/>
      </c>
      <c r="Y55">
        <f>HYPERLINK("https://klasma.github.io/Logging_0884/tillsynsmail/A 6841-2021 tillsynsbegäran mail.docx", "A 6841-2021")</f>
        <v/>
      </c>
    </row>
    <row r="56" ht="15" customHeight="1">
      <c r="A56" t="inlineStr">
        <is>
          <t>A 32396-2021</t>
        </is>
      </c>
      <c r="B56" s="1" t="n">
        <v>44371</v>
      </c>
      <c r="C56" s="1" t="n">
        <v>45760</v>
      </c>
      <c r="D56" t="inlineStr">
        <is>
          <t>KALMAR LÄN</t>
        </is>
      </c>
      <c r="E56" t="inlineStr">
        <is>
          <t>VIMMERBY</t>
        </is>
      </c>
      <c r="G56" t="n">
        <v>2.8</v>
      </c>
      <c r="H56" t="n">
        <v>1</v>
      </c>
      <c r="I56" t="n">
        <v>0</v>
      </c>
      <c r="J56" t="n">
        <v>0</v>
      </c>
      <c r="K56" t="n">
        <v>0</v>
      </c>
      <c r="L56" t="n">
        <v>0</v>
      </c>
      <c r="M56" t="n">
        <v>0</v>
      </c>
      <c r="N56" t="n">
        <v>0</v>
      </c>
      <c r="O56" t="n">
        <v>0</v>
      </c>
      <c r="P56" t="n">
        <v>0</v>
      </c>
      <c r="Q56" t="n">
        <v>1</v>
      </c>
      <c r="R56" s="2" t="inlineStr">
        <is>
          <t>Blåsippa</t>
        </is>
      </c>
      <c r="S56">
        <f>HYPERLINK("https://klasma.github.io/Logging_0884/artfynd/A 32396-2021 artfynd.xlsx", "A 32396-2021")</f>
        <v/>
      </c>
      <c r="T56">
        <f>HYPERLINK("https://klasma.github.io/Logging_0884/kartor/A 32396-2021 karta.png", "A 32396-2021")</f>
        <v/>
      </c>
      <c r="V56">
        <f>HYPERLINK("https://klasma.github.io/Logging_0884/klagomål/A 32396-2021 FSC-klagomål.docx", "A 32396-2021")</f>
        <v/>
      </c>
      <c r="W56">
        <f>HYPERLINK("https://klasma.github.io/Logging_0884/klagomålsmail/A 32396-2021 FSC-klagomål mail.docx", "A 32396-2021")</f>
        <v/>
      </c>
      <c r="X56">
        <f>HYPERLINK("https://klasma.github.io/Logging_0884/tillsyn/A 32396-2021 tillsynsbegäran.docx", "A 32396-2021")</f>
        <v/>
      </c>
      <c r="Y56">
        <f>HYPERLINK("https://klasma.github.io/Logging_0884/tillsynsmail/A 32396-2021 tillsynsbegäran mail.docx", "A 32396-2021")</f>
        <v/>
      </c>
    </row>
    <row r="57" ht="15" customHeight="1">
      <c r="A57" t="inlineStr">
        <is>
          <t>A 33436-2021</t>
        </is>
      </c>
      <c r="B57" s="1" t="n">
        <v>44377</v>
      </c>
      <c r="C57" s="1" t="n">
        <v>45760</v>
      </c>
      <c r="D57" t="inlineStr">
        <is>
          <t>KALMAR LÄN</t>
        </is>
      </c>
      <c r="E57" t="inlineStr">
        <is>
          <t>VIMMERBY</t>
        </is>
      </c>
      <c r="G57" t="n">
        <v>11.8</v>
      </c>
      <c r="H57" t="n">
        <v>1</v>
      </c>
      <c r="I57" t="n">
        <v>0</v>
      </c>
      <c r="J57" t="n">
        <v>0</v>
      </c>
      <c r="K57" t="n">
        <v>1</v>
      </c>
      <c r="L57" t="n">
        <v>0</v>
      </c>
      <c r="M57" t="n">
        <v>0</v>
      </c>
      <c r="N57" t="n">
        <v>0</v>
      </c>
      <c r="O57" t="n">
        <v>1</v>
      </c>
      <c r="P57" t="n">
        <v>1</v>
      </c>
      <c r="Q57" t="n">
        <v>1</v>
      </c>
      <c r="R57" s="2" t="inlineStr">
        <is>
          <t>Knärot</t>
        </is>
      </c>
      <c r="S57">
        <f>HYPERLINK("https://klasma.github.io/Logging_0884/artfynd/A 33436-2021 artfynd.xlsx", "A 33436-2021")</f>
        <v/>
      </c>
      <c r="T57">
        <f>HYPERLINK("https://klasma.github.io/Logging_0884/kartor/A 33436-2021 karta.png", "A 33436-2021")</f>
        <v/>
      </c>
      <c r="U57">
        <f>HYPERLINK("https://klasma.github.io/Logging_0884/knärot/A 33436-2021 karta knärot.png", "A 33436-2021")</f>
        <v/>
      </c>
      <c r="V57">
        <f>HYPERLINK("https://klasma.github.io/Logging_0884/klagomål/A 33436-2021 FSC-klagomål.docx", "A 33436-2021")</f>
        <v/>
      </c>
      <c r="W57">
        <f>HYPERLINK("https://klasma.github.io/Logging_0884/klagomålsmail/A 33436-2021 FSC-klagomål mail.docx", "A 33436-2021")</f>
        <v/>
      </c>
      <c r="X57">
        <f>HYPERLINK("https://klasma.github.io/Logging_0884/tillsyn/A 33436-2021 tillsynsbegäran.docx", "A 33436-2021")</f>
        <v/>
      </c>
      <c r="Y57">
        <f>HYPERLINK("https://klasma.github.io/Logging_0884/tillsynsmail/A 33436-2021 tillsynsbegäran mail.docx", "A 33436-2021")</f>
        <v/>
      </c>
    </row>
    <row r="58" ht="15" customHeight="1">
      <c r="A58" t="inlineStr">
        <is>
          <t>A 37930-2021</t>
        </is>
      </c>
      <c r="B58" s="1" t="n">
        <v>44403</v>
      </c>
      <c r="C58" s="1" t="n">
        <v>45760</v>
      </c>
      <c r="D58" t="inlineStr">
        <is>
          <t>KALMAR LÄN</t>
        </is>
      </c>
      <c r="E58" t="inlineStr">
        <is>
          <t>VIMMERBY</t>
        </is>
      </c>
      <c r="G58" t="n">
        <v>4.4</v>
      </c>
      <c r="H58" t="n">
        <v>0</v>
      </c>
      <c r="I58" t="n">
        <v>0</v>
      </c>
      <c r="J58" t="n">
        <v>1</v>
      </c>
      <c r="K58" t="n">
        <v>0</v>
      </c>
      <c r="L58" t="n">
        <v>0</v>
      </c>
      <c r="M58" t="n">
        <v>0</v>
      </c>
      <c r="N58" t="n">
        <v>0</v>
      </c>
      <c r="O58" t="n">
        <v>1</v>
      </c>
      <c r="P58" t="n">
        <v>0</v>
      </c>
      <c r="Q58" t="n">
        <v>1</v>
      </c>
      <c r="R58" s="2" t="inlineStr">
        <is>
          <t>Spindelört</t>
        </is>
      </c>
      <c r="S58">
        <f>HYPERLINK("https://klasma.github.io/Logging_0884/artfynd/A 37930-2021 artfynd.xlsx", "A 37930-2021")</f>
        <v/>
      </c>
      <c r="T58">
        <f>HYPERLINK("https://klasma.github.io/Logging_0884/kartor/A 37930-2021 karta.png", "A 37930-2021")</f>
        <v/>
      </c>
      <c r="V58">
        <f>HYPERLINK("https://klasma.github.io/Logging_0884/klagomål/A 37930-2021 FSC-klagomål.docx", "A 37930-2021")</f>
        <v/>
      </c>
      <c r="W58">
        <f>HYPERLINK("https://klasma.github.io/Logging_0884/klagomålsmail/A 37930-2021 FSC-klagomål mail.docx", "A 37930-2021")</f>
        <v/>
      </c>
      <c r="X58">
        <f>HYPERLINK("https://klasma.github.io/Logging_0884/tillsyn/A 37930-2021 tillsynsbegäran.docx", "A 37930-2021")</f>
        <v/>
      </c>
      <c r="Y58">
        <f>HYPERLINK("https://klasma.github.io/Logging_0884/tillsynsmail/A 37930-2021 tillsynsbegäran mail.docx", "A 37930-2021")</f>
        <v/>
      </c>
    </row>
    <row r="59" ht="15" customHeight="1">
      <c r="A59" t="inlineStr">
        <is>
          <t>A 71785-2021</t>
        </is>
      </c>
      <c r="B59" s="1" t="n">
        <v>44539</v>
      </c>
      <c r="C59" s="1" t="n">
        <v>45760</v>
      </c>
      <c r="D59" t="inlineStr">
        <is>
          <t>KALMAR LÄN</t>
        </is>
      </c>
      <c r="E59" t="inlineStr">
        <is>
          <t>VIMMERBY</t>
        </is>
      </c>
      <c r="G59" t="n">
        <v>1.1</v>
      </c>
      <c r="H59" t="n">
        <v>0</v>
      </c>
      <c r="I59" t="n">
        <v>0</v>
      </c>
      <c r="J59" t="n">
        <v>0</v>
      </c>
      <c r="K59" t="n">
        <v>0</v>
      </c>
      <c r="L59" t="n">
        <v>1</v>
      </c>
      <c r="M59" t="n">
        <v>0</v>
      </c>
      <c r="N59" t="n">
        <v>0</v>
      </c>
      <c r="O59" t="n">
        <v>1</v>
      </c>
      <c r="P59" t="n">
        <v>1</v>
      </c>
      <c r="Q59" t="n">
        <v>1</v>
      </c>
      <c r="R59" s="2" t="inlineStr">
        <is>
          <t>Ryl</t>
        </is>
      </c>
      <c r="S59">
        <f>HYPERLINK("https://klasma.github.io/Logging_0884/artfynd/A 71785-2021 artfynd.xlsx", "A 71785-2021")</f>
        <v/>
      </c>
      <c r="T59">
        <f>HYPERLINK("https://klasma.github.io/Logging_0884/kartor/A 71785-2021 karta.png", "A 71785-2021")</f>
        <v/>
      </c>
      <c r="V59">
        <f>HYPERLINK("https://klasma.github.io/Logging_0884/klagomål/A 71785-2021 FSC-klagomål.docx", "A 71785-2021")</f>
        <v/>
      </c>
      <c r="W59">
        <f>HYPERLINK("https://klasma.github.io/Logging_0884/klagomålsmail/A 71785-2021 FSC-klagomål mail.docx", "A 71785-2021")</f>
        <v/>
      </c>
      <c r="X59">
        <f>HYPERLINK("https://klasma.github.io/Logging_0884/tillsyn/A 71785-2021 tillsynsbegäran.docx", "A 71785-2021")</f>
        <v/>
      </c>
      <c r="Y59">
        <f>HYPERLINK("https://klasma.github.io/Logging_0884/tillsynsmail/A 71785-2021 tillsynsbegäran mail.docx", "A 71785-2021")</f>
        <v/>
      </c>
    </row>
    <row r="60" ht="15" customHeight="1">
      <c r="A60" t="inlineStr">
        <is>
          <t>A 21489-2022</t>
        </is>
      </c>
      <c r="B60" s="1" t="n">
        <v>44706</v>
      </c>
      <c r="C60" s="1" t="n">
        <v>45760</v>
      </c>
      <c r="D60" t="inlineStr">
        <is>
          <t>KALMAR LÄN</t>
        </is>
      </c>
      <c r="E60" t="inlineStr">
        <is>
          <t>VIMMERBY</t>
        </is>
      </c>
      <c r="G60" t="n">
        <v>4.8</v>
      </c>
      <c r="H60" t="n">
        <v>0</v>
      </c>
      <c r="I60" t="n">
        <v>0</v>
      </c>
      <c r="J60" t="n">
        <v>0</v>
      </c>
      <c r="K60" t="n">
        <v>1</v>
      </c>
      <c r="L60" t="n">
        <v>0</v>
      </c>
      <c r="M60" t="n">
        <v>0</v>
      </c>
      <c r="N60" t="n">
        <v>0</v>
      </c>
      <c r="O60" t="n">
        <v>1</v>
      </c>
      <c r="P60" t="n">
        <v>1</v>
      </c>
      <c r="Q60" t="n">
        <v>1</v>
      </c>
      <c r="R60" s="2" t="inlineStr">
        <is>
          <t>Späd fetfibbla</t>
        </is>
      </c>
      <c r="S60">
        <f>HYPERLINK("https://klasma.github.io/Logging_0884/artfynd/A 21489-2022 artfynd.xlsx", "A 21489-2022")</f>
        <v/>
      </c>
      <c r="T60">
        <f>HYPERLINK("https://klasma.github.io/Logging_0884/kartor/A 21489-2022 karta.png", "A 21489-2022")</f>
        <v/>
      </c>
      <c r="V60">
        <f>HYPERLINK("https://klasma.github.io/Logging_0884/klagomål/A 21489-2022 FSC-klagomål.docx", "A 21489-2022")</f>
        <v/>
      </c>
      <c r="W60">
        <f>HYPERLINK("https://klasma.github.io/Logging_0884/klagomålsmail/A 21489-2022 FSC-klagomål mail.docx", "A 21489-2022")</f>
        <v/>
      </c>
      <c r="X60">
        <f>HYPERLINK("https://klasma.github.io/Logging_0884/tillsyn/A 21489-2022 tillsynsbegäran.docx", "A 21489-2022")</f>
        <v/>
      </c>
      <c r="Y60">
        <f>HYPERLINK("https://klasma.github.io/Logging_0884/tillsynsmail/A 21489-2022 tillsynsbegäran mail.docx", "A 21489-2022")</f>
        <v/>
      </c>
    </row>
    <row r="61" ht="15" customHeight="1">
      <c r="A61" t="inlineStr">
        <is>
          <t>A 30473-2022</t>
        </is>
      </c>
      <c r="B61" s="1" t="n">
        <v>44761</v>
      </c>
      <c r="C61" s="1" t="n">
        <v>45760</v>
      </c>
      <c r="D61" t="inlineStr">
        <is>
          <t>KALMAR LÄN</t>
        </is>
      </c>
      <c r="E61" t="inlineStr">
        <is>
          <t>VIMMERBY</t>
        </is>
      </c>
      <c r="G61" t="n">
        <v>4.2</v>
      </c>
      <c r="H61" t="n">
        <v>1</v>
      </c>
      <c r="I61" t="n">
        <v>0</v>
      </c>
      <c r="J61" t="n">
        <v>1</v>
      </c>
      <c r="K61" t="n">
        <v>0</v>
      </c>
      <c r="L61" t="n">
        <v>0</v>
      </c>
      <c r="M61" t="n">
        <v>0</v>
      </c>
      <c r="N61" t="n">
        <v>0</v>
      </c>
      <c r="O61" t="n">
        <v>1</v>
      </c>
      <c r="P61" t="n">
        <v>0</v>
      </c>
      <c r="Q61" t="n">
        <v>1</v>
      </c>
      <c r="R61" s="2" t="inlineStr">
        <is>
          <t>Talltita</t>
        </is>
      </c>
      <c r="S61">
        <f>HYPERLINK("https://klasma.github.io/Logging_0884/artfynd/A 30473-2022 artfynd.xlsx", "A 30473-2022")</f>
        <v/>
      </c>
      <c r="T61">
        <f>HYPERLINK("https://klasma.github.io/Logging_0884/kartor/A 30473-2022 karta.png", "A 30473-2022")</f>
        <v/>
      </c>
      <c r="V61">
        <f>HYPERLINK("https://klasma.github.io/Logging_0884/klagomål/A 30473-2022 FSC-klagomål.docx", "A 30473-2022")</f>
        <v/>
      </c>
      <c r="W61">
        <f>HYPERLINK("https://klasma.github.io/Logging_0884/klagomålsmail/A 30473-2022 FSC-klagomål mail.docx", "A 30473-2022")</f>
        <v/>
      </c>
      <c r="X61">
        <f>HYPERLINK("https://klasma.github.io/Logging_0884/tillsyn/A 30473-2022 tillsynsbegäran.docx", "A 30473-2022")</f>
        <v/>
      </c>
      <c r="Y61">
        <f>HYPERLINK("https://klasma.github.io/Logging_0884/tillsynsmail/A 30473-2022 tillsynsbegäran mail.docx", "A 30473-2022")</f>
        <v/>
      </c>
      <c r="Z61">
        <f>HYPERLINK("https://klasma.github.io/Logging_0884/fåglar/A 30473-2022 prioriterade fågelarter.docx", "A 30473-2022")</f>
        <v/>
      </c>
    </row>
    <row r="62" ht="15" customHeight="1">
      <c r="A62" t="inlineStr">
        <is>
          <t>A 9638-2023</t>
        </is>
      </c>
      <c r="B62" s="1" t="n">
        <v>44984</v>
      </c>
      <c r="C62" s="1" t="n">
        <v>45760</v>
      </c>
      <c r="D62" t="inlineStr">
        <is>
          <t>KALMAR LÄN</t>
        </is>
      </c>
      <c r="E62" t="inlineStr">
        <is>
          <t>VIMMERBY</t>
        </is>
      </c>
      <c r="G62" t="n">
        <v>6.3</v>
      </c>
      <c r="H62" t="n">
        <v>0</v>
      </c>
      <c r="I62" t="n">
        <v>1</v>
      </c>
      <c r="J62" t="n">
        <v>0</v>
      </c>
      <c r="K62" t="n">
        <v>0</v>
      </c>
      <c r="L62" t="n">
        <v>0</v>
      </c>
      <c r="M62" t="n">
        <v>0</v>
      </c>
      <c r="N62" t="n">
        <v>0</v>
      </c>
      <c r="O62" t="n">
        <v>0</v>
      </c>
      <c r="P62" t="n">
        <v>0</v>
      </c>
      <c r="Q62" t="n">
        <v>1</v>
      </c>
      <c r="R62" s="2" t="inlineStr">
        <is>
          <t>Fällmossa</t>
        </is>
      </c>
      <c r="S62">
        <f>HYPERLINK("https://klasma.github.io/Logging_0884/artfynd/A 9638-2023 artfynd.xlsx", "A 9638-2023")</f>
        <v/>
      </c>
      <c r="T62">
        <f>HYPERLINK("https://klasma.github.io/Logging_0884/kartor/A 9638-2023 karta.png", "A 9638-2023")</f>
        <v/>
      </c>
      <c r="V62">
        <f>HYPERLINK("https://klasma.github.io/Logging_0884/klagomål/A 9638-2023 FSC-klagomål.docx", "A 9638-2023")</f>
        <v/>
      </c>
      <c r="W62">
        <f>HYPERLINK("https://klasma.github.io/Logging_0884/klagomålsmail/A 9638-2023 FSC-klagomål mail.docx", "A 9638-2023")</f>
        <v/>
      </c>
      <c r="X62">
        <f>HYPERLINK("https://klasma.github.io/Logging_0884/tillsyn/A 9638-2023 tillsynsbegäran.docx", "A 9638-2023")</f>
        <v/>
      </c>
      <c r="Y62">
        <f>HYPERLINK("https://klasma.github.io/Logging_0884/tillsynsmail/A 9638-2023 tillsynsbegäran mail.docx", "A 9638-2023")</f>
        <v/>
      </c>
    </row>
    <row r="63" ht="15" customHeight="1">
      <c r="A63" t="inlineStr">
        <is>
          <t>A 9642-2023</t>
        </is>
      </c>
      <c r="B63" s="1" t="n">
        <v>44984</v>
      </c>
      <c r="C63" s="1" t="n">
        <v>45760</v>
      </c>
      <c r="D63" t="inlineStr">
        <is>
          <t>KALMAR LÄN</t>
        </is>
      </c>
      <c r="E63" t="inlineStr">
        <is>
          <t>VIMMERBY</t>
        </is>
      </c>
      <c r="G63" t="n">
        <v>4</v>
      </c>
      <c r="H63" t="n">
        <v>1</v>
      </c>
      <c r="I63" t="n">
        <v>0</v>
      </c>
      <c r="J63" t="n">
        <v>1</v>
      </c>
      <c r="K63" t="n">
        <v>0</v>
      </c>
      <c r="L63" t="n">
        <v>0</v>
      </c>
      <c r="M63" t="n">
        <v>0</v>
      </c>
      <c r="N63" t="n">
        <v>0</v>
      </c>
      <c r="O63" t="n">
        <v>1</v>
      </c>
      <c r="P63" t="n">
        <v>0</v>
      </c>
      <c r="Q63" t="n">
        <v>1</v>
      </c>
      <c r="R63" s="2" t="inlineStr">
        <is>
          <t>Spillkråka</t>
        </is>
      </c>
      <c r="S63">
        <f>HYPERLINK("https://klasma.github.io/Logging_0884/artfynd/A 9642-2023 artfynd.xlsx", "A 9642-2023")</f>
        <v/>
      </c>
      <c r="T63">
        <f>HYPERLINK("https://klasma.github.io/Logging_0884/kartor/A 9642-2023 karta.png", "A 9642-2023")</f>
        <v/>
      </c>
      <c r="V63">
        <f>HYPERLINK("https://klasma.github.io/Logging_0884/klagomål/A 9642-2023 FSC-klagomål.docx", "A 9642-2023")</f>
        <v/>
      </c>
      <c r="W63">
        <f>HYPERLINK("https://klasma.github.io/Logging_0884/klagomålsmail/A 9642-2023 FSC-klagomål mail.docx", "A 9642-2023")</f>
        <v/>
      </c>
      <c r="X63">
        <f>HYPERLINK("https://klasma.github.io/Logging_0884/tillsyn/A 9642-2023 tillsynsbegäran.docx", "A 9642-2023")</f>
        <v/>
      </c>
      <c r="Y63">
        <f>HYPERLINK("https://klasma.github.io/Logging_0884/tillsynsmail/A 9642-2023 tillsynsbegäran mail.docx", "A 9642-2023")</f>
        <v/>
      </c>
      <c r="Z63">
        <f>HYPERLINK("https://klasma.github.io/Logging_0884/fåglar/A 9642-2023 prioriterade fågelarter.docx", "A 9642-2023")</f>
        <v/>
      </c>
    </row>
    <row r="64" ht="15" customHeight="1">
      <c r="A64" t="inlineStr">
        <is>
          <t>A 23602-2023</t>
        </is>
      </c>
      <c r="B64" s="1" t="n">
        <v>45077</v>
      </c>
      <c r="C64" s="1" t="n">
        <v>45760</v>
      </c>
      <c r="D64" t="inlineStr">
        <is>
          <t>KALMAR LÄN</t>
        </is>
      </c>
      <c r="E64" t="inlineStr">
        <is>
          <t>VIMMERBY</t>
        </is>
      </c>
      <c r="G64" t="n">
        <v>1.6</v>
      </c>
      <c r="H64" t="n">
        <v>0</v>
      </c>
      <c r="I64" t="n">
        <v>0</v>
      </c>
      <c r="J64" t="n">
        <v>1</v>
      </c>
      <c r="K64" t="n">
        <v>0</v>
      </c>
      <c r="L64" t="n">
        <v>0</v>
      </c>
      <c r="M64" t="n">
        <v>0</v>
      </c>
      <c r="N64" t="n">
        <v>0</v>
      </c>
      <c r="O64" t="n">
        <v>1</v>
      </c>
      <c r="P64" t="n">
        <v>0</v>
      </c>
      <c r="Q64" t="n">
        <v>1</v>
      </c>
      <c r="R64" s="2" t="inlineStr">
        <is>
          <t>Vedtrappmossa</t>
        </is>
      </c>
      <c r="S64">
        <f>HYPERLINK("https://klasma.github.io/Logging_0884/artfynd/A 23602-2023 artfynd.xlsx", "A 23602-2023")</f>
        <v/>
      </c>
      <c r="T64">
        <f>HYPERLINK("https://klasma.github.io/Logging_0884/kartor/A 23602-2023 karta.png", "A 23602-2023")</f>
        <v/>
      </c>
      <c r="V64">
        <f>HYPERLINK("https://klasma.github.io/Logging_0884/klagomål/A 23602-2023 FSC-klagomål.docx", "A 23602-2023")</f>
        <v/>
      </c>
      <c r="W64">
        <f>HYPERLINK("https://klasma.github.io/Logging_0884/klagomålsmail/A 23602-2023 FSC-klagomål mail.docx", "A 23602-2023")</f>
        <v/>
      </c>
      <c r="X64">
        <f>HYPERLINK("https://klasma.github.io/Logging_0884/tillsyn/A 23602-2023 tillsynsbegäran.docx", "A 23602-2023")</f>
        <v/>
      </c>
      <c r="Y64">
        <f>HYPERLINK("https://klasma.github.io/Logging_0884/tillsynsmail/A 23602-2023 tillsynsbegäran mail.docx", "A 23602-2023")</f>
        <v/>
      </c>
    </row>
    <row r="65" ht="15" customHeight="1">
      <c r="A65" t="inlineStr">
        <is>
          <t>A 28852-2023</t>
        </is>
      </c>
      <c r="B65" s="1" t="n">
        <v>45104</v>
      </c>
      <c r="C65" s="1" t="n">
        <v>45760</v>
      </c>
      <c r="D65" t="inlineStr">
        <is>
          <t>KALMAR LÄN</t>
        </is>
      </c>
      <c r="E65" t="inlineStr">
        <is>
          <t>VIMMERBY</t>
        </is>
      </c>
      <c r="G65" t="n">
        <v>0.7</v>
      </c>
      <c r="H65" t="n">
        <v>0</v>
      </c>
      <c r="I65" t="n">
        <v>1</v>
      </c>
      <c r="J65" t="n">
        <v>0</v>
      </c>
      <c r="K65" t="n">
        <v>0</v>
      </c>
      <c r="L65" t="n">
        <v>0</v>
      </c>
      <c r="M65" t="n">
        <v>0</v>
      </c>
      <c r="N65" t="n">
        <v>0</v>
      </c>
      <c r="O65" t="n">
        <v>0</v>
      </c>
      <c r="P65" t="n">
        <v>0</v>
      </c>
      <c r="Q65" t="n">
        <v>1</v>
      </c>
      <c r="R65" s="2" t="inlineStr">
        <is>
          <t>Tibast</t>
        </is>
      </c>
      <c r="S65">
        <f>HYPERLINK("https://klasma.github.io/Logging_0884/artfynd/A 28852-2023 artfynd.xlsx", "A 28852-2023")</f>
        <v/>
      </c>
      <c r="T65">
        <f>HYPERLINK("https://klasma.github.io/Logging_0884/kartor/A 28852-2023 karta.png", "A 28852-2023")</f>
        <v/>
      </c>
      <c r="V65">
        <f>HYPERLINK("https://klasma.github.io/Logging_0884/klagomål/A 28852-2023 FSC-klagomål.docx", "A 28852-2023")</f>
        <v/>
      </c>
      <c r="W65">
        <f>HYPERLINK("https://klasma.github.io/Logging_0884/klagomålsmail/A 28852-2023 FSC-klagomål mail.docx", "A 28852-2023")</f>
        <v/>
      </c>
      <c r="X65">
        <f>HYPERLINK("https://klasma.github.io/Logging_0884/tillsyn/A 28852-2023 tillsynsbegäran.docx", "A 28852-2023")</f>
        <v/>
      </c>
      <c r="Y65">
        <f>HYPERLINK("https://klasma.github.io/Logging_0884/tillsynsmail/A 28852-2023 tillsynsbegäran mail.docx", "A 28852-2023")</f>
        <v/>
      </c>
    </row>
    <row r="66" ht="15" customHeight="1">
      <c r="A66" t="inlineStr">
        <is>
          <t>A 32985-2023</t>
        </is>
      </c>
      <c r="B66" s="1" t="n">
        <v>45125</v>
      </c>
      <c r="C66" s="1" t="n">
        <v>45760</v>
      </c>
      <c r="D66" t="inlineStr">
        <is>
          <t>KALMAR LÄN</t>
        </is>
      </c>
      <c r="E66" t="inlineStr">
        <is>
          <t>VIMMERBY</t>
        </is>
      </c>
      <c r="G66" t="n">
        <v>1.9</v>
      </c>
      <c r="H66" t="n">
        <v>0</v>
      </c>
      <c r="I66" t="n">
        <v>0</v>
      </c>
      <c r="J66" t="n">
        <v>0</v>
      </c>
      <c r="K66" t="n">
        <v>0</v>
      </c>
      <c r="L66" t="n">
        <v>1</v>
      </c>
      <c r="M66" t="n">
        <v>0</v>
      </c>
      <c r="N66" t="n">
        <v>0</v>
      </c>
      <c r="O66" t="n">
        <v>1</v>
      </c>
      <c r="P66" t="n">
        <v>1</v>
      </c>
      <c r="Q66" t="n">
        <v>1</v>
      </c>
      <c r="R66" s="2" t="inlineStr">
        <is>
          <t>Ryl</t>
        </is>
      </c>
      <c r="S66">
        <f>HYPERLINK("https://klasma.github.io/Logging_0884/artfynd/A 32985-2023 artfynd.xlsx", "A 32985-2023")</f>
        <v/>
      </c>
      <c r="T66">
        <f>HYPERLINK("https://klasma.github.io/Logging_0884/kartor/A 32985-2023 karta.png", "A 32985-2023")</f>
        <v/>
      </c>
      <c r="V66">
        <f>HYPERLINK("https://klasma.github.io/Logging_0884/klagomål/A 32985-2023 FSC-klagomål.docx", "A 32985-2023")</f>
        <v/>
      </c>
      <c r="W66">
        <f>HYPERLINK("https://klasma.github.io/Logging_0884/klagomålsmail/A 32985-2023 FSC-klagomål mail.docx", "A 32985-2023")</f>
        <v/>
      </c>
      <c r="X66">
        <f>HYPERLINK("https://klasma.github.io/Logging_0884/tillsyn/A 32985-2023 tillsynsbegäran.docx", "A 32985-2023")</f>
        <v/>
      </c>
      <c r="Y66">
        <f>HYPERLINK("https://klasma.github.io/Logging_0884/tillsynsmail/A 32985-2023 tillsynsbegäran mail.docx", "A 32985-2023")</f>
        <v/>
      </c>
    </row>
    <row r="67" ht="15" customHeight="1">
      <c r="A67" t="inlineStr">
        <is>
          <t>A 40083-2023</t>
        </is>
      </c>
      <c r="B67" s="1" t="n">
        <v>45168</v>
      </c>
      <c r="C67" s="1" t="n">
        <v>45760</v>
      </c>
      <c r="D67" t="inlineStr">
        <is>
          <t>KALMAR LÄN</t>
        </is>
      </c>
      <c r="E67" t="inlineStr">
        <is>
          <t>VIMMERBY</t>
        </is>
      </c>
      <c r="G67" t="n">
        <v>2.2</v>
      </c>
      <c r="H67" t="n">
        <v>1</v>
      </c>
      <c r="I67" t="n">
        <v>0</v>
      </c>
      <c r="J67" t="n">
        <v>0</v>
      </c>
      <c r="K67" t="n">
        <v>0</v>
      </c>
      <c r="L67" t="n">
        <v>0</v>
      </c>
      <c r="M67" t="n">
        <v>0</v>
      </c>
      <c r="N67" t="n">
        <v>0</v>
      </c>
      <c r="O67" t="n">
        <v>0</v>
      </c>
      <c r="P67" t="n">
        <v>0</v>
      </c>
      <c r="Q67" t="n">
        <v>1</v>
      </c>
      <c r="R67" s="2" t="inlineStr">
        <is>
          <t>Revlummer</t>
        </is>
      </c>
      <c r="S67">
        <f>HYPERLINK("https://klasma.github.io/Logging_0884/artfynd/A 40083-2023 artfynd.xlsx", "A 40083-2023")</f>
        <v/>
      </c>
      <c r="T67">
        <f>HYPERLINK("https://klasma.github.io/Logging_0884/kartor/A 40083-2023 karta.png", "A 40083-2023")</f>
        <v/>
      </c>
      <c r="V67">
        <f>HYPERLINK("https://klasma.github.io/Logging_0884/klagomål/A 40083-2023 FSC-klagomål.docx", "A 40083-2023")</f>
        <v/>
      </c>
      <c r="W67">
        <f>HYPERLINK("https://klasma.github.io/Logging_0884/klagomålsmail/A 40083-2023 FSC-klagomål mail.docx", "A 40083-2023")</f>
        <v/>
      </c>
      <c r="X67">
        <f>HYPERLINK("https://klasma.github.io/Logging_0884/tillsyn/A 40083-2023 tillsynsbegäran.docx", "A 40083-2023")</f>
        <v/>
      </c>
      <c r="Y67">
        <f>HYPERLINK("https://klasma.github.io/Logging_0884/tillsynsmail/A 40083-2023 tillsynsbegäran mail.docx", "A 40083-2023")</f>
        <v/>
      </c>
    </row>
    <row r="68" ht="15" customHeight="1">
      <c r="A68" t="inlineStr">
        <is>
          <t>A 40084-2023</t>
        </is>
      </c>
      <c r="B68" s="1" t="n">
        <v>45168</v>
      </c>
      <c r="C68" s="1" t="n">
        <v>45760</v>
      </c>
      <c r="D68" t="inlineStr">
        <is>
          <t>KALMAR LÄN</t>
        </is>
      </c>
      <c r="E68" t="inlineStr">
        <is>
          <t>VIMMERBY</t>
        </is>
      </c>
      <c r="G68" t="n">
        <v>1.3</v>
      </c>
      <c r="H68" t="n">
        <v>1</v>
      </c>
      <c r="I68" t="n">
        <v>0</v>
      </c>
      <c r="J68" t="n">
        <v>1</v>
      </c>
      <c r="K68" t="n">
        <v>0</v>
      </c>
      <c r="L68" t="n">
        <v>0</v>
      </c>
      <c r="M68" t="n">
        <v>0</v>
      </c>
      <c r="N68" t="n">
        <v>0</v>
      </c>
      <c r="O68" t="n">
        <v>1</v>
      </c>
      <c r="P68" t="n">
        <v>0</v>
      </c>
      <c r="Q68" t="n">
        <v>1</v>
      </c>
      <c r="R68" s="2" t="inlineStr">
        <is>
          <t>Entita</t>
        </is>
      </c>
      <c r="S68">
        <f>HYPERLINK("https://klasma.github.io/Logging_0884/artfynd/A 40084-2023 artfynd.xlsx", "A 40084-2023")</f>
        <v/>
      </c>
      <c r="T68">
        <f>HYPERLINK("https://klasma.github.io/Logging_0884/kartor/A 40084-2023 karta.png", "A 40084-2023")</f>
        <v/>
      </c>
      <c r="V68">
        <f>HYPERLINK("https://klasma.github.io/Logging_0884/klagomål/A 40084-2023 FSC-klagomål.docx", "A 40084-2023")</f>
        <v/>
      </c>
      <c r="W68">
        <f>HYPERLINK("https://klasma.github.io/Logging_0884/klagomålsmail/A 40084-2023 FSC-klagomål mail.docx", "A 40084-2023")</f>
        <v/>
      </c>
      <c r="X68">
        <f>HYPERLINK("https://klasma.github.io/Logging_0884/tillsyn/A 40084-2023 tillsynsbegäran.docx", "A 40084-2023")</f>
        <v/>
      </c>
      <c r="Y68">
        <f>HYPERLINK("https://klasma.github.io/Logging_0884/tillsynsmail/A 40084-2023 tillsynsbegäran mail.docx", "A 40084-2023")</f>
        <v/>
      </c>
      <c r="Z68">
        <f>HYPERLINK("https://klasma.github.io/Logging_0884/fåglar/A 40084-2023 prioriterade fågelarter.docx", "A 40084-2023")</f>
        <v/>
      </c>
    </row>
    <row r="69" ht="15" customHeight="1">
      <c r="A69" t="inlineStr">
        <is>
          <t>A 44633-2023</t>
        </is>
      </c>
      <c r="B69" s="1" t="n">
        <v>45189</v>
      </c>
      <c r="C69" s="1" t="n">
        <v>45760</v>
      </c>
      <c r="D69" t="inlineStr">
        <is>
          <t>KALMAR LÄN</t>
        </is>
      </c>
      <c r="E69" t="inlineStr">
        <is>
          <t>VIMMERBY</t>
        </is>
      </c>
      <c r="G69" t="n">
        <v>2.4</v>
      </c>
      <c r="H69" t="n">
        <v>0</v>
      </c>
      <c r="I69" t="n">
        <v>1</v>
      </c>
      <c r="J69" t="n">
        <v>0</v>
      </c>
      <c r="K69" t="n">
        <v>0</v>
      </c>
      <c r="L69" t="n">
        <v>0</v>
      </c>
      <c r="M69" t="n">
        <v>0</v>
      </c>
      <c r="N69" t="n">
        <v>0</v>
      </c>
      <c r="O69" t="n">
        <v>0</v>
      </c>
      <c r="P69" t="n">
        <v>0</v>
      </c>
      <c r="Q69" t="n">
        <v>1</v>
      </c>
      <c r="R69" s="2" t="inlineStr">
        <is>
          <t>Sårläka</t>
        </is>
      </c>
      <c r="S69">
        <f>HYPERLINK("https://klasma.github.io/Logging_0884/artfynd/A 44633-2023 artfynd.xlsx", "A 44633-2023")</f>
        <v/>
      </c>
      <c r="T69">
        <f>HYPERLINK("https://klasma.github.io/Logging_0884/kartor/A 44633-2023 karta.png", "A 44633-2023")</f>
        <v/>
      </c>
      <c r="V69">
        <f>HYPERLINK("https://klasma.github.io/Logging_0884/klagomål/A 44633-2023 FSC-klagomål.docx", "A 44633-2023")</f>
        <v/>
      </c>
      <c r="W69">
        <f>HYPERLINK("https://klasma.github.io/Logging_0884/klagomålsmail/A 44633-2023 FSC-klagomål mail.docx", "A 44633-2023")</f>
        <v/>
      </c>
      <c r="X69">
        <f>HYPERLINK("https://klasma.github.io/Logging_0884/tillsyn/A 44633-2023 tillsynsbegäran.docx", "A 44633-2023")</f>
        <v/>
      </c>
      <c r="Y69">
        <f>HYPERLINK("https://klasma.github.io/Logging_0884/tillsynsmail/A 44633-2023 tillsynsbegäran mail.docx", "A 44633-2023")</f>
        <v/>
      </c>
    </row>
    <row r="70" ht="15" customHeight="1">
      <c r="A70" t="inlineStr">
        <is>
          <t>A 52301-2023</t>
        </is>
      </c>
      <c r="B70" s="1" t="n">
        <v>45224</v>
      </c>
      <c r="C70" s="1" t="n">
        <v>45760</v>
      </c>
      <c r="D70" t="inlineStr">
        <is>
          <t>KALMAR LÄN</t>
        </is>
      </c>
      <c r="E70" t="inlineStr">
        <is>
          <t>VIMMERBY</t>
        </is>
      </c>
      <c r="G70" t="n">
        <v>5.3</v>
      </c>
      <c r="H70" t="n">
        <v>0</v>
      </c>
      <c r="I70" t="n">
        <v>0</v>
      </c>
      <c r="J70" t="n">
        <v>0</v>
      </c>
      <c r="K70" t="n">
        <v>0</v>
      </c>
      <c r="L70" t="n">
        <v>1</v>
      </c>
      <c r="M70" t="n">
        <v>0</v>
      </c>
      <c r="N70" t="n">
        <v>0</v>
      </c>
      <c r="O70" t="n">
        <v>1</v>
      </c>
      <c r="P70" t="n">
        <v>1</v>
      </c>
      <c r="Q70" t="n">
        <v>1</v>
      </c>
      <c r="R70" s="2" t="inlineStr">
        <is>
          <t>Ask</t>
        </is>
      </c>
      <c r="S70">
        <f>HYPERLINK("https://klasma.github.io/Logging_0884/artfynd/A 52301-2023 artfynd.xlsx", "A 52301-2023")</f>
        <v/>
      </c>
      <c r="T70">
        <f>HYPERLINK("https://klasma.github.io/Logging_0884/kartor/A 52301-2023 karta.png", "A 52301-2023")</f>
        <v/>
      </c>
      <c r="V70">
        <f>HYPERLINK("https://klasma.github.io/Logging_0884/klagomål/A 52301-2023 FSC-klagomål.docx", "A 52301-2023")</f>
        <v/>
      </c>
      <c r="W70">
        <f>HYPERLINK("https://klasma.github.io/Logging_0884/klagomålsmail/A 52301-2023 FSC-klagomål mail.docx", "A 52301-2023")</f>
        <v/>
      </c>
      <c r="X70">
        <f>HYPERLINK("https://klasma.github.io/Logging_0884/tillsyn/A 52301-2023 tillsynsbegäran.docx", "A 52301-2023")</f>
        <v/>
      </c>
      <c r="Y70">
        <f>HYPERLINK("https://klasma.github.io/Logging_0884/tillsynsmail/A 52301-2023 tillsynsbegäran mail.docx", "A 52301-2023")</f>
        <v/>
      </c>
    </row>
    <row r="71" ht="15" customHeight="1">
      <c r="A71" t="inlineStr">
        <is>
          <t>A 57038-2023</t>
        </is>
      </c>
      <c r="B71" s="1" t="n">
        <v>45244</v>
      </c>
      <c r="C71" s="1" t="n">
        <v>45760</v>
      </c>
      <c r="D71" t="inlineStr">
        <is>
          <t>KALMAR LÄN</t>
        </is>
      </c>
      <c r="E71" t="inlineStr">
        <is>
          <t>VIMMERBY</t>
        </is>
      </c>
      <c r="G71" t="n">
        <v>4.6</v>
      </c>
      <c r="H71" t="n">
        <v>1</v>
      </c>
      <c r="I71" t="n">
        <v>0</v>
      </c>
      <c r="J71" t="n">
        <v>1</v>
      </c>
      <c r="K71" t="n">
        <v>0</v>
      </c>
      <c r="L71" t="n">
        <v>0</v>
      </c>
      <c r="M71" t="n">
        <v>0</v>
      </c>
      <c r="N71" t="n">
        <v>0</v>
      </c>
      <c r="O71" t="n">
        <v>1</v>
      </c>
      <c r="P71" t="n">
        <v>0</v>
      </c>
      <c r="Q71" t="n">
        <v>1</v>
      </c>
      <c r="R71" s="2" t="inlineStr">
        <is>
          <t>Talltita</t>
        </is>
      </c>
      <c r="S71">
        <f>HYPERLINK("https://klasma.github.io/Logging_0884/artfynd/A 57038-2023 artfynd.xlsx", "A 57038-2023")</f>
        <v/>
      </c>
      <c r="T71">
        <f>HYPERLINK("https://klasma.github.io/Logging_0884/kartor/A 57038-2023 karta.png", "A 57038-2023")</f>
        <v/>
      </c>
      <c r="V71">
        <f>HYPERLINK("https://klasma.github.io/Logging_0884/klagomål/A 57038-2023 FSC-klagomål.docx", "A 57038-2023")</f>
        <v/>
      </c>
      <c r="W71">
        <f>HYPERLINK("https://klasma.github.io/Logging_0884/klagomålsmail/A 57038-2023 FSC-klagomål mail.docx", "A 57038-2023")</f>
        <v/>
      </c>
      <c r="X71">
        <f>HYPERLINK("https://klasma.github.io/Logging_0884/tillsyn/A 57038-2023 tillsynsbegäran.docx", "A 57038-2023")</f>
        <v/>
      </c>
      <c r="Y71">
        <f>HYPERLINK("https://klasma.github.io/Logging_0884/tillsynsmail/A 57038-2023 tillsynsbegäran mail.docx", "A 57038-2023")</f>
        <v/>
      </c>
      <c r="Z71">
        <f>HYPERLINK("https://klasma.github.io/Logging_0884/fåglar/A 57038-2023 prioriterade fågelarter.docx", "A 57038-2023")</f>
        <v/>
      </c>
    </row>
    <row r="72" ht="15" customHeight="1">
      <c r="A72" t="inlineStr">
        <is>
          <t>A 4359-2024</t>
        </is>
      </c>
      <c r="B72" s="1" t="n">
        <v>45325</v>
      </c>
      <c r="C72" s="1" t="n">
        <v>45760</v>
      </c>
      <c r="D72" t="inlineStr">
        <is>
          <t>KALMAR LÄN</t>
        </is>
      </c>
      <c r="E72" t="inlineStr">
        <is>
          <t>VIMMERBY</t>
        </is>
      </c>
      <c r="G72" t="n">
        <v>3.6</v>
      </c>
      <c r="H72" t="n">
        <v>0</v>
      </c>
      <c r="I72" t="n">
        <v>0</v>
      </c>
      <c r="J72" t="n">
        <v>1</v>
      </c>
      <c r="K72" t="n">
        <v>0</v>
      </c>
      <c r="L72" t="n">
        <v>0</v>
      </c>
      <c r="M72" t="n">
        <v>0</v>
      </c>
      <c r="N72" t="n">
        <v>0</v>
      </c>
      <c r="O72" t="n">
        <v>1</v>
      </c>
      <c r="P72" t="n">
        <v>0</v>
      </c>
      <c r="Q72" t="n">
        <v>1</v>
      </c>
      <c r="R72" s="2" t="inlineStr">
        <is>
          <t>Kandelabersvamp</t>
        </is>
      </c>
      <c r="S72">
        <f>HYPERLINK("https://klasma.github.io/Logging_0884/artfynd/A 4359-2024 artfynd.xlsx", "A 4359-2024")</f>
        <v/>
      </c>
      <c r="T72">
        <f>HYPERLINK("https://klasma.github.io/Logging_0884/kartor/A 4359-2024 karta.png", "A 4359-2024")</f>
        <v/>
      </c>
      <c r="V72">
        <f>HYPERLINK("https://klasma.github.io/Logging_0884/klagomål/A 4359-2024 FSC-klagomål.docx", "A 4359-2024")</f>
        <v/>
      </c>
      <c r="W72">
        <f>HYPERLINK("https://klasma.github.io/Logging_0884/klagomålsmail/A 4359-2024 FSC-klagomål mail.docx", "A 4359-2024")</f>
        <v/>
      </c>
      <c r="X72">
        <f>HYPERLINK("https://klasma.github.io/Logging_0884/tillsyn/A 4359-2024 tillsynsbegäran.docx", "A 4359-2024")</f>
        <v/>
      </c>
      <c r="Y72">
        <f>HYPERLINK("https://klasma.github.io/Logging_0884/tillsynsmail/A 4359-2024 tillsynsbegäran mail.docx", "A 4359-2024")</f>
        <v/>
      </c>
    </row>
    <row r="73" ht="15" customHeight="1">
      <c r="A73" t="inlineStr">
        <is>
          <t>A 10016-2024</t>
        </is>
      </c>
      <c r="B73" s="1" t="n">
        <v>45363</v>
      </c>
      <c r="C73" s="1" t="n">
        <v>45760</v>
      </c>
      <c r="D73" t="inlineStr">
        <is>
          <t>KALMAR LÄN</t>
        </is>
      </c>
      <c r="E73" t="inlineStr">
        <is>
          <t>VIMMERBY</t>
        </is>
      </c>
      <c r="G73" t="n">
        <v>1.5</v>
      </c>
      <c r="H73" t="n">
        <v>1</v>
      </c>
      <c r="I73" t="n">
        <v>0</v>
      </c>
      <c r="J73" t="n">
        <v>1</v>
      </c>
      <c r="K73" t="n">
        <v>0</v>
      </c>
      <c r="L73" t="n">
        <v>0</v>
      </c>
      <c r="M73" t="n">
        <v>0</v>
      </c>
      <c r="N73" t="n">
        <v>0</v>
      </c>
      <c r="O73" t="n">
        <v>1</v>
      </c>
      <c r="P73" t="n">
        <v>0</v>
      </c>
      <c r="Q73" t="n">
        <v>1</v>
      </c>
      <c r="R73" s="2" t="inlineStr">
        <is>
          <t>Röd skogslilja</t>
        </is>
      </c>
      <c r="S73">
        <f>HYPERLINK("https://klasma.github.io/Logging_0884/artfynd/A 10016-2024 artfynd.xlsx", "A 10016-2024")</f>
        <v/>
      </c>
      <c r="T73">
        <f>HYPERLINK("https://klasma.github.io/Logging_0884/kartor/A 10016-2024 karta.png", "A 10016-2024")</f>
        <v/>
      </c>
      <c r="V73">
        <f>HYPERLINK("https://klasma.github.io/Logging_0884/klagomål/A 10016-2024 FSC-klagomål.docx", "A 10016-2024")</f>
        <v/>
      </c>
      <c r="W73">
        <f>HYPERLINK("https://klasma.github.io/Logging_0884/klagomålsmail/A 10016-2024 FSC-klagomål mail.docx", "A 10016-2024")</f>
        <v/>
      </c>
      <c r="X73">
        <f>HYPERLINK("https://klasma.github.io/Logging_0884/tillsyn/A 10016-2024 tillsynsbegäran.docx", "A 10016-2024")</f>
        <v/>
      </c>
      <c r="Y73">
        <f>HYPERLINK("https://klasma.github.io/Logging_0884/tillsynsmail/A 10016-2024 tillsynsbegäran mail.docx", "A 10016-2024")</f>
        <v/>
      </c>
    </row>
    <row r="74" ht="15" customHeight="1">
      <c r="A74" t="inlineStr">
        <is>
          <t>A 15122-2024</t>
        </is>
      </c>
      <c r="B74" s="1" t="n">
        <v>45399</v>
      </c>
      <c r="C74" s="1" t="n">
        <v>45760</v>
      </c>
      <c r="D74" t="inlineStr">
        <is>
          <t>KALMAR LÄN</t>
        </is>
      </c>
      <c r="E74" t="inlineStr">
        <is>
          <t>VIMMERBY</t>
        </is>
      </c>
      <c r="G74" t="n">
        <v>1.7</v>
      </c>
      <c r="H74" t="n">
        <v>0</v>
      </c>
      <c r="I74" t="n">
        <v>0</v>
      </c>
      <c r="J74" t="n">
        <v>0</v>
      </c>
      <c r="K74" t="n">
        <v>1</v>
      </c>
      <c r="L74" t="n">
        <v>0</v>
      </c>
      <c r="M74" t="n">
        <v>0</v>
      </c>
      <c r="N74" t="n">
        <v>0</v>
      </c>
      <c r="O74" t="n">
        <v>1</v>
      </c>
      <c r="P74" t="n">
        <v>1</v>
      </c>
      <c r="Q74" t="n">
        <v>1</v>
      </c>
      <c r="R74" s="2" t="inlineStr">
        <is>
          <t>Sågfibbla</t>
        </is>
      </c>
      <c r="S74">
        <f>HYPERLINK("https://klasma.github.io/Logging_0884/artfynd/A 15122-2024 artfynd.xlsx", "A 15122-2024")</f>
        <v/>
      </c>
      <c r="T74">
        <f>HYPERLINK("https://klasma.github.io/Logging_0884/kartor/A 15122-2024 karta.png", "A 15122-2024")</f>
        <v/>
      </c>
      <c r="V74">
        <f>HYPERLINK("https://klasma.github.io/Logging_0884/klagomål/A 15122-2024 FSC-klagomål.docx", "A 15122-2024")</f>
        <v/>
      </c>
      <c r="W74">
        <f>HYPERLINK("https://klasma.github.io/Logging_0884/klagomålsmail/A 15122-2024 FSC-klagomål mail.docx", "A 15122-2024")</f>
        <v/>
      </c>
      <c r="X74">
        <f>HYPERLINK("https://klasma.github.io/Logging_0884/tillsyn/A 15122-2024 tillsynsbegäran.docx", "A 15122-2024")</f>
        <v/>
      </c>
      <c r="Y74">
        <f>HYPERLINK("https://klasma.github.io/Logging_0884/tillsynsmail/A 15122-2024 tillsynsbegäran mail.docx", "A 15122-2024")</f>
        <v/>
      </c>
    </row>
    <row r="75" ht="15" customHeight="1">
      <c r="A75" t="inlineStr">
        <is>
          <t>A 15627-2024</t>
        </is>
      </c>
      <c r="B75" s="1" t="n">
        <v>45402</v>
      </c>
      <c r="C75" s="1" t="n">
        <v>45760</v>
      </c>
      <c r="D75" t="inlineStr">
        <is>
          <t>KALMAR LÄN</t>
        </is>
      </c>
      <c r="E75" t="inlineStr">
        <is>
          <t>VIMMERBY</t>
        </is>
      </c>
      <c r="G75" t="n">
        <v>3.2</v>
      </c>
      <c r="H75" t="n">
        <v>1</v>
      </c>
      <c r="I75" t="n">
        <v>1</v>
      </c>
      <c r="J75" t="n">
        <v>0</v>
      </c>
      <c r="K75" t="n">
        <v>0</v>
      </c>
      <c r="L75" t="n">
        <v>0</v>
      </c>
      <c r="M75" t="n">
        <v>0</v>
      </c>
      <c r="N75" t="n">
        <v>0</v>
      </c>
      <c r="O75" t="n">
        <v>0</v>
      </c>
      <c r="P75" t="n">
        <v>0</v>
      </c>
      <c r="Q75" t="n">
        <v>1</v>
      </c>
      <c r="R75" s="2" t="inlineStr">
        <is>
          <t>Plattlummer</t>
        </is>
      </c>
      <c r="S75">
        <f>HYPERLINK("https://klasma.github.io/Logging_0884/artfynd/A 15627-2024 artfynd.xlsx", "A 15627-2024")</f>
        <v/>
      </c>
      <c r="T75">
        <f>HYPERLINK("https://klasma.github.io/Logging_0884/kartor/A 15627-2024 karta.png", "A 15627-2024")</f>
        <v/>
      </c>
      <c r="V75">
        <f>HYPERLINK("https://klasma.github.io/Logging_0884/klagomål/A 15627-2024 FSC-klagomål.docx", "A 15627-2024")</f>
        <v/>
      </c>
      <c r="W75">
        <f>HYPERLINK("https://klasma.github.io/Logging_0884/klagomålsmail/A 15627-2024 FSC-klagomål mail.docx", "A 15627-2024")</f>
        <v/>
      </c>
      <c r="X75">
        <f>HYPERLINK("https://klasma.github.io/Logging_0884/tillsyn/A 15627-2024 tillsynsbegäran.docx", "A 15627-2024")</f>
        <v/>
      </c>
      <c r="Y75">
        <f>HYPERLINK("https://klasma.github.io/Logging_0884/tillsynsmail/A 15627-2024 tillsynsbegäran mail.docx", "A 15627-2024")</f>
        <v/>
      </c>
    </row>
    <row r="76" ht="15" customHeight="1">
      <c r="A76" t="inlineStr">
        <is>
          <t>A 37199-2024</t>
        </is>
      </c>
      <c r="B76" s="1" t="n">
        <v>45539</v>
      </c>
      <c r="C76" s="1" t="n">
        <v>45760</v>
      </c>
      <c r="D76" t="inlineStr">
        <is>
          <t>KALMAR LÄN</t>
        </is>
      </c>
      <c r="E76" t="inlineStr">
        <is>
          <t>VIMMERBY</t>
        </is>
      </c>
      <c r="G76" t="n">
        <v>0.6</v>
      </c>
      <c r="H76" t="n">
        <v>1</v>
      </c>
      <c r="I76" t="n">
        <v>1</v>
      </c>
      <c r="J76" t="n">
        <v>0</v>
      </c>
      <c r="K76" t="n">
        <v>0</v>
      </c>
      <c r="L76" t="n">
        <v>0</v>
      </c>
      <c r="M76" t="n">
        <v>0</v>
      </c>
      <c r="N76" t="n">
        <v>0</v>
      </c>
      <c r="O76" t="n">
        <v>0</v>
      </c>
      <c r="P76" t="n">
        <v>0</v>
      </c>
      <c r="Q76" t="n">
        <v>1</v>
      </c>
      <c r="R76" s="2" t="inlineStr">
        <is>
          <t>Purpurknipprot</t>
        </is>
      </c>
      <c r="S76">
        <f>HYPERLINK("https://klasma.github.io/Logging_0884/artfynd/A 37199-2024 artfynd.xlsx", "A 37199-2024")</f>
        <v/>
      </c>
      <c r="T76">
        <f>HYPERLINK("https://klasma.github.io/Logging_0884/kartor/A 37199-2024 karta.png", "A 37199-2024")</f>
        <v/>
      </c>
      <c r="V76">
        <f>HYPERLINK("https://klasma.github.io/Logging_0884/klagomål/A 37199-2024 FSC-klagomål.docx", "A 37199-2024")</f>
        <v/>
      </c>
      <c r="W76">
        <f>HYPERLINK("https://klasma.github.io/Logging_0884/klagomålsmail/A 37199-2024 FSC-klagomål mail.docx", "A 37199-2024")</f>
        <v/>
      </c>
      <c r="X76">
        <f>HYPERLINK("https://klasma.github.io/Logging_0884/tillsyn/A 37199-2024 tillsynsbegäran.docx", "A 37199-2024")</f>
        <v/>
      </c>
      <c r="Y76">
        <f>HYPERLINK("https://klasma.github.io/Logging_0884/tillsynsmail/A 37199-2024 tillsynsbegäran mail.docx", "A 37199-2024")</f>
        <v/>
      </c>
    </row>
    <row r="77" ht="15" customHeight="1">
      <c r="A77" t="inlineStr">
        <is>
          <t>A 38208-2024</t>
        </is>
      </c>
      <c r="B77" s="1" t="n">
        <v>45545</v>
      </c>
      <c r="C77" s="1" t="n">
        <v>45760</v>
      </c>
      <c r="D77" t="inlineStr">
        <is>
          <t>KALMAR LÄN</t>
        </is>
      </c>
      <c r="E77" t="inlineStr">
        <is>
          <t>VIMMERBY</t>
        </is>
      </c>
      <c r="G77" t="n">
        <v>5.2</v>
      </c>
      <c r="H77" t="n">
        <v>0</v>
      </c>
      <c r="I77" t="n">
        <v>0</v>
      </c>
      <c r="J77" t="n">
        <v>1</v>
      </c>
      <c r="K77" t="n">
        <v>0</v>
      </c>
      <c r="L77" t="n">
        <v>0</v>
      </c>
      <c r="M77" t="n">
        <v>0</v>
      </c>
      <c r="N77" t="n">
        <v>0</v>
      </c>
      <c r="O77" t="n">
        <v>1</v>
      </c>
      <c r="P77" t="n">
        <v>0</v>
      </c>
      <c r="Q77" t="n">
        <v>1</v>
      </c>
      <c r="R77" s="2" t="inlineStr">
        <is>
          <t>Solvända</t>
        </is>
      </c>
      <c r="S77">
        <f>HYPERLINK("https://klasma.github.io/Logging_0884/artfynd/A 38208-2024 artfynd.xlsx", "A 38208-2024")</f>
        <v/>
      </c>
      <c r="T77">
        <f>HYPERLINK("https://klasma.github.io/Logging_0884/kartor/A 38208-2024 karta.png", "A 38208-2024")</f>
        <v/>
      </c>
      <c r="V77">
        <f>HYPERLINK("https://klasma.github.io/Logging_0884/klagomål/A 38208-2024 FSC-klagomål.docx", "A 38208-2024")</f>
        <v/>
      </c>
      <c r="W77">
        <f>HYPERLINK("https://klasma.github.io/Logging_0884/klagomålsmail/A 38208-2024 FSC-klagomål mail.docx", "A 38208-2024")</f>
        <v/>
      </c>
      <c r="X77">
        <f>HYPERLINK("https://klasma.github.io/Logging_0884/tillsyn/A 38208-2024 tillsynsbegäran.docx", "A 38208-2024")</f>
        <v/>
      </c>
      <c r="Y77">
        <f>HYPERLINK("https://klasma.github.io/Logging_0884/tillsynsmail/A 38208-2024 tillsynsbegäran mail.docx", "A 38208-2024")</f>
        <v/>
      </c>
    </row>
    <row r="78" ht="15" customHeight="1">
      <c r="A78" t="inlineStr">
        <is>
          <t>A 44684-2024</t>
        </is>
      </c>
      <c r="B78" s="1" t="n">
        <v>45574</v>
      </c>
      <c r="C78" s="1" t="n">
        <v>45760</v>
      </c>
      <c r="D78" t="inlineStr">
        <is>
          <t>KALMAR LÄN</t>
        </is>
      </c>
      <c r="E78" t="inlineStr">
        <is>
          <t>VIMMERBY</t>
        </is>
      </c>
      <c r="G78" t="n">
        <v>2.8</v>
      </c>
      <c r="H78" t="n">
        <v>0</v>
      </c>
      <c r="I78" t="n">
        <v>1</v>
      </c>
      <c r="J78" t="n">
        <v>0</v>
      </c>
      <c r="K78" t="n">
        <v>0</v>
      </c>
      <c r="L78" t="n">
        <v>0</v>
      </c>
      <c r="M78" t="n">
        <v>0</v>
      </c>
      <c r="N78" t="n">
        <v>0</v>
      </c>
      <c r="O78" t="n">
        <v>0</v>
      </c>
      <c r="P78" t="n">
        <v>0</v>
      </c>
      <c r="Q78" t="n">
        <v>1</v>
      </c>
      <c r="R78" s="2" t="inlineStr">
        <is>
          <t>Blåmossa</t>
        </is>
      </c>
      <c r="S78">
        <f>HYPERLINK("https://klasma.github.io/Logging_0884/artfynd/A 44684-2024 artfynd.xlsx", "A 44684-2024")</f>
        <v/>
      </c>
      <c r="T78">
        <f>HYPERLINK("https://klasma.github.io/Logging_0884/kartor/A 44684-2024 karta.png", "A 44684-2024")</f>
        <v/>
      </c>
      <c r="U78">
        <f>HYPERLINK("https://klasma.github.io/Logging_0884/knärot/A 44684-2024 karta knärot.png", "A 44684-2024")</f>
        <v/>
      </c>
      <c r="V78">
        <f>HYPERLINK("https://klasma.github.io/Logging_0884/klagomål/A 44684-2024 FSC-klagomål.docx", "A 44684-2024")</f>
        <v/>
      </c>
      <c r="W78">
        <f>HYPERLINK("https://klasma.github.io/Logging_0884/klagomålsmail/A 44684-2024 FSC-klagomål mail.docx", "A 44684-2024")</f>
        <v/>
      </c>
      <c r="X78">
        <f>HYPERLINK("https://klasma.github.io/Logging_0884/tillsyn/A 44684-2024 tillsynsbegäran.docx", "A 44684-2024")</f>
        <v/>
      </c>
      <c r="Y78">
        <f>HYPERLINK("https://klasma.github.io/Logging_0884/tillsynsmail/A 44684-2024 tillsynsbegäran mail.docx", "A 44684-2024")</f>
        <v/>
      </c>
    </row>
    <row r="79" ht="15" customHeight="1">
      <c r="A79" t="inlineStr">
        <is>
          <t>A 44515-2024</t>
        </is>
      </c>
      <c r="B79" s="1" t="n">
        <v>45574</v>
      </c>
      <c r="C79" s="1" t="n">
        <v>45760</v>
      </c>
      <c r="D79" t="inlineStr">
        <is>
          <t>KALMAR LÄN</t>
        </is>
      </c>
      <c r="E79" t="inlineStr">
        <is>
          <t>VIMMERBY</t>
        </is>
      </c>
      <c r="G79" t="n">
        <v>1.4</v>
      </c>
      <c r="H79" t="n">
        <v>1</v>
      </c>
      <c r="I79" t="n">
        <v>0</v>
      </c>
      <c r="J79" t="n">
        <v>0</v>
      </c>
      <c r="K79" t="n">
        <v>1</v>
      </c>
      <c r="L79" t="n">
        <v>0</v>
      </c>
      <c r="M79" t="n">
        <v>0</v>
      </c>
      <c r="N79" t="n">
        <v>0</v>
      </c>
      <c r="O79" t="n">
        <v>1</v>
      </c>
      <c r="P79" t="n">
        <v>1</v>
      </c>
      <c r="Q79" t="n">
        <v>1</v>
      </c>
      <c r="R79" s="2" t="inlineStr">
        <is>
          <t>Knärot</t>
        </is>
      </c>
      <c r="S79">
        <f>HYPERLINK("https://klasma.github.io/Logging_0884/artfynd/A 44515-2024 artfynd.xlsx", "A 44515-2024")</f>
        <v/>
      </c>
      <c r="T79">
        <f>HYPERLINK("https://klasma.github.io/Logging_0884/kartor/A 44515-2024 karta.png", "A 44515-2024")</f>
        <v/>
      </c>
      <c r="U79">
        <f>HYPERLINK("https://klasma.github.io/Logging_0884/knärot/A 44515-2024 karta knärot.png", "A 44515-2024")</f>
        <v/>
      </c>
      <c r="V79">
        <f>HYPERLINK("https://klasma.github.io/Logging_0884/klagomål/A 44515-2024 FSC-klagomål.docx", "A 44515-2024")</f>
        <v/>
      </c>
      <c r="W79">
        <f>HYPERLINK("https://klasma.github.io/Logging_0884/klagomålsmail/A 44515-2024 FSC-klagomål mail.docx", "A 44515-2024")</f>
        <v/>
      </c>
      <c r="X79">
        <f>HYPERLINK("https://klasma.github.io/Logging_0884/tillsyn/A 44515-2024 tillsynsbegäran.docx", "A 44515-2024")</f>
        <v/>
      </c>
      <c r="Y79">
        <f>HYPERLINK("https://klasma.github.io/Logging_0884/tillsynsmail/A 44515-2024 tillsynsbegäran mail.docx", "A 44515-2024")</f>
        <v/>
      </c>
    </row>
    <row r="80" ht="15" customHeight="1">
      <c r="A80" t="inlineStr">
        <is>
          <t>A 44723-2024</t>
        </is>
      </c>
      <c r="B80" s="1" t="n">
        <v>45574</v>
      </c>
      <c r="C80" s="1" t="n">
        <v>45760</v>
      </c>
      <c r="D80" t="inlineStr">
        <is>
          <t>KALMAR LÄN</t>
        </is>
      </c>
      <c r="E80" t="inlineStr">
        <is>
          <t>VIMMERBY</t>
        </is>
      </c>
      <c r="G80" t="n">
        <v>6.9</v>
      </c>
      <c r="H80" t="n">
        <v>0</v>
      </c>
      <c r="I80" t="n">
        <v>1</v>
      </c>
      <c r="J80" t="n">
        <v>0</v>
      </c>
      <c r="K80" t="n">
        <v>0</v>
      </c>
      <c r="L80" t="n">
        <v>0</v>
      </c>
      <c r="M80" t="n">
        <v>0</v>
      </c>
      <c r="N80" t="n">
        <v>0</v>
      </c>
      <c r="O80" t="n">
        <v>0</v>
      </c>
      <c r="P80" t="n">
        <v>0</v>
      </c>
      <c r="Q80" t="n">
        <v>1</v>
      </c>
      <c r="R80" s="2" t="inlineStr">
        <is>
          <t>Dropptaggsvamp</t>
        </is>
      </c>
      <c r="S80">
        <f>HYPERLINK("https://klasma.github.io/Logging_0884/artfynd/A 44723-2024 artfynd.xlsx", "A 44723-2024")</f>
        <v/>
      </c>
      <c r="T80">
        <f>HYPERLINK("https://klasma.github.io/Logging_0884/kartor/A 44723-2024 karta.png", "A 44723-2024")</f>
        <v/>
      </c>
      <c r="V80">
        <f>HYPERLINK("https://klasma.github.io/Logging_0884/klagomål/A 44723-2024 FSC-klagomål.docx", "A 44723-2024")</f>
        <v/>
      </c>
      <c r="W80">
        <f>HYPERLINK("https://klasma.github.io/Logging_0884/klagomålsmail/A 44723-2024 FSC-klagomål mail.docx", "A 44723-2024")</f>
        <v/>
      </c>
      <c r="X80">
        <f>HYPERLINK("https://klasma.github.io/Logging_0884/tillsyn/A 44723-2024 tillsynsbegäran.docx", "A 44723-2024")</f>
        <v/>
      </c>
      <c r="Y80">
        <f>HYPERLINK("https://klasma.github.io/Logging_0884/tillsynsmail/A 44723-2024 tillsynsbegäran mail.docx", "A 44723-2024")</f>
        <v/>
      </c>
    </row>
    <row r="81" ht="15" customHeight="1">
      <c r="A81" t="inlineStr">
        <is>
          <t>A 59343-2024</t>
        </is>
      </c>
      <c r="B81" s="1" t="n">
        <v>45637</v>
      </c>
      <c r="C81" s="1" t="n">
        <v>45760</v>
      </c>
      <c r="D81" t="inlineStr">
        <is>
          <t>KALMAR LÄN</t>
        </is>
      </c>
      <c r="E81" t="inlineStr">
        <is>
          <t>VIMMERBY</t>
        </is>
      </c>
      <c r="G81" t="n">
        <v>3.5</v>
      </c>
      <c r="H81" t="n">
        <v>0</v>
      </c>
      <c r="I81" t="n">
        <v>1</v>
      </c>
      <c r="J81" t="n">
        <v>0</v>
      </c>
      <c r="K81" t="n">
        <v>0</v>
      </c>
      <c r="L81" t="n">
        <v>0</v>
      </c>
      <c r="M81" t="n">
        <v>0</v>
      </c>
      <c r="N81" t="n">
        <v>0</v>
      </c>
      <c r="O81" t="n">
        <v>0</v>
      </c>
      <c r="P81" t="n">
        <v>0</v>
      </c>
      <c r="Q81" t="n">
        <v>1</v>
      </c>
      <c r="R81" s="2" t="inlineStr">
        <is>
          <t>Vårärt</t>
        </is>
      </c>
      <c r="S81">
        <f>HYPERLINK("https://klasma.github.io/Logging_0884/artfynd/A 59343-2024 artfynd.xlsx", "A 59343-2024")</f>
        <v/>
      </c>
      <c r="T81">
        <f>HYPERLINK("https://klasma.github.io/Logging_0884/kartor/A 59343-2024 karta.png", "A 59343-2024")</f>
        <v/>
      </c>
      <c r="V81">
        <f>HYPERLINK("https://klasma.github.io/Logging_0884/klagomål/A 59343-2024 FSC-klagomål.docx", "A 59343-2024")</f>
        <v/>
      </c>
      <c r="W81">
        <f>HYPERLINK("https://klasma.github.io/Logging_0884/klagomålsmail/A 59343-2024 FSC-klagomål mail.docx", "A 59343-2024")</f>
        <v/>
      </c>
      <c r="X81">
        <f>HYPERLINK("https://klasma.github.io/Logging_0884/tillsyn/A 59343-2024 tillsynsbegäran.docx", "A 59343-2024")</f>
        <v/>
      </c>
      <c r="Y81">
        <f>HYPERLINK("https://klasma.github.io/Logging_0884/tillsynsmail/A 59343-2024 tillsynsbegäran mail.docx", "A 59343-2024")</f>
        <v/>
      </c>
    </row>
    <row r="82" ht="15" customHeight="1">
      <c r="A82" t="inlineStr">
        <is>
          <t>A 61860-2024</t>
        </is>
      </c>
      <c r="B82" s="1" t="n">
        <v>45649</v>
      </c>
      <c r="C82" s="1" t="n">
        <v>45760</v>
      </c>
      <c r="D82" t="inlineStr">
        <is>
          <t>KALMAR LÄN</t>
        </is>
      </c>
      <c r="E82" t="inlineStr">
        <is>
          <t>VIMMERBY</t>
        </is>
      </c>
      <c r="G82" t="n">
        <v>4.4</v>
      </c>
      <c r="H82" t="n">
        <v>1</v>
      </c>
      <c r="I82" t="n">
        <v>0</v>
      </c>
      <c r="J82" t="n">
        <v>0</v>
      </c>
      <c r="K82" t="n">
        <v>1</v>
      </c>
      <c r="L82" t="n">
        <v>0</v>
      </c>
      <c r="M82" t="n">
        <v>0</v>
      </c>
      <c r="N82" t="n">
        <v>0</v>
      </c>
      <c r="O82" t="n">
        <v>1</v>
      </c>
      <c r="P82" t="n">
        <v>1</v>
      </c>
      <c r="Q82" t="n">
        <v>1</v>
      </c>
      <c r="R82" s="2" t="inlineStr">
        <is>
          <t>Knärot</t>
        </is>
      </c>
      <c r="S82">
        <f>HYPERLINK("https://klasma.github.io/Logging_0884/artfynd/A 61860-2024 artfynd.xlsx", "A 61860-2024")</f>
        <v/>
      </c>
      <c r="T82">
        <f>HYPERLINK("https://klasma.github.io/Logging_0884/kartor/A 61860-2024 karta.png", "A 61860-2024")</f>
        <v/>
      </c>
      <c r="U82">
        <f>HYPERLINK("https://klasma.github.io/Logging_0884/knärot/A 61860-2024 karta knärot.png", "A 61860-2024")</f>
        <v/>
      </c>
      <c r="V82">
        <f>HYPERLINK("https://klasma.github.io/Logging_0884/klagomål/A 61860-2024 FSC-klagomål.docx", "A 61860-2024")</f>
        <v/>
      </c>
      <c r="W82">
        <f>HYPERLINK("https://klasma.github.io/Logging_0884/klagomålsmail/A 61860-2024 FSC-klagomål mail.docx", "A 61860-2024")</f>
        <v/>
      </c>
      <c r="X82">
        <f>HYPERLINK("https://klasma.github.io/Logging_0884/tillsyn/A 61860-2024 tillsynsbegäran.docx", "A 61860-2024")</f>
        <v/>
      </c>
      <c r="Y82">
        <f>HYPERLINK("https://klasma.github.io/Logging_0884/tillsynsmail/A 61860-2024 tillsynsbegäran mail.docx", "A 61860-2024")</f>
        <v/>
      </c>
    </row>
    <row r="83" ht="15" customHeight="1">
      <c r="A83" t="inlineStr">
        <is>
          <t>A 667-2025</t>
        </is>
      </c>
      <c r="B83" s="1" t="n">
        <v>45664</v>
      </c>
      <c r="C83" s="1" t="n">
        <v>45760</v>
      </c>
      <c r="D83" t="inlineStr">
        <is>
          <t>KALMAR LÄN</t>
        </is>
      </c>
      <c r="E83" t="inlineStr">
        <is>
          <t>VIMMERBY</t>
        </is>
      </c>
      <c r="G83" t="n">
        <v>4.4</v>
      </c>
      <c r="H83" t="n">
        <v>0</v>
      </c>
      <c r="I83" t="n">
        <v>0</v>
      </c>
      <c r="J83" t="n">
        <v>1</v>
      </c>
      <c r="K83" t="n">
        <v>0</v>
      </c>
      <c r="L83" t="n">
        <v>0</v>
      </c>
      <c r="M83" t="n">
        <v>0</v>
      </c>
      <c r="N83" t="n">
        <v>0</v>
      </c>
      <c r="O83" t="n">
        <v>1</v>
      </c>
      <c r="P83" t="n">
        <v>0</v>
      </c>
      <c r="Q83" t="n">
        <v>1</v>
      </c>
      <c r="R83" s="2" t="inlineStr">
        <is>
          <t>Tallticka</t>
        </is>
      </c>
      <c r="S83">
        <f>HYPERLINK("https://klasma.github.io/Logging_0884/artfynd/A 667-2025 artfynd.xlsx", "A 667-2025")</f>
        <v/>
      </c>
      <c r="T83">
        <f>HYPERLINK("https://klasma.github.io/Logging_0884/kartor/A 667-2025 karta.png", "A 667-2025")</f>
        <v/>
      </c>
      <c r="V83">
        <f>HYPERLINK("https://klasma.github.io/Logging_0884/klagomål/A 667-2025 FSC-klagomål.docx", "A 667-2025")</f>
        <v/>
      </c>
      <c r="W83">
        <f>HYPERLINK("https://klasma.github.io/Logging_0884/klagomålsmail/A 667-2025 FSC-klagomål mail.docx", "A 667-2025")</f>
        <v/>
      </c>
      <c r="X83">
        <f>HYPERLINK("https://klasma.github.io/Logging_0884/tillsyn/A 667-2025 tillsynsbegäran.docx", "A 667-2025")</f>
        <v/>
      </c>
      <c r="Y83">
        <f>HYPERLINK("https://klasma.github.io/Logging_0884/tillsynsmail/A 667-2025 tillsynsbegäran mail.docx", "A 667-2025")</f>
        <v/>
      </c>
    </row>
    <row r="84" ht="15" customHeight="1">
      <c r="A84" t="inlineStr">
        <is>
          <t>A 1201-2025</t>
        </is>
      </c>
      <c r="B84" s="1" t="n">
        <v>45667</v>
      </c>
      <c r="C84" s="1" t="n">
        <v>45760</v>
      </c>
      <c r="D84" t="inlineStr">
        <is>
          <t>KALMAR LÄN</t>
        </is>
      </c>
      <c r="E84" t="inlineStr">
        <is>
          <t>VIMMERBY</t>
        </is>
      </c>
      <c r="G84" t="n">
        <v>6.4</v>
      </c>
      <c r="H84" t="n">
        <v>1</v>
      </c>
      <c r="I84" t="n">
        <v>0</v>
      </c>
      <c r="J84" t="n">
        <v>0</v>
      </c>
      <c r="K84" t="n">
        <v>1</v>
      </c>
      <c r="L84" t="n">
        <v>0</v>
      </c>
      <c r="M84" t="n">
        <v>0</v>
      </c>
      <c r="N84" t="n">
        <v>0</v>
      </c>
      <c r="O84" t="n">
        <v>1</v>
      </c>
      <c r="P84" t="n">
        <v>1</v>
      </c>
      <c r="Q84" t="n">
        <v>1</v>
      </c>
      <c r="R84" s="2" t="inlineStr">
        <is>
          <t>Knärot</t>
        </is>
      </c>
      <c r="S84">
        <f>HYPERLINK("https://klasma.github.io/Logging_0884/artfynd/A 1201-2025 artfynd.xlsx", "A 1201-2025")</f>
        <v/>
      </c>
      <c r="T84">
        <f>HYPERLINK("https://klasma.github.io/Logging_0884/kartor/A 1201-2025 karta.png", "A 1201-2025")</f>
        <v/>
      </c>
      <c r="U84">
        <f>HYPERLINK("https://klasma.github.io/Logging_0884/knärot/A 1201-2025 karta knärot.png", "A 1201-2025")</f>
        <v/>
      </c>
      <c r="V84">
        <f>HYPERLINK("https://klasma.github.io/Logging_0884/klagomål/A 1201-2025 FSC-klagomål.docx", "A 1201-2025")</f>
        <v/>
      </c>
      <c r="W84">
        <f>HYPERLINK("https://klasma.github.io/Logging_0884/klagomålsmail/A 1201-2025 FSC-klagomål mail.docx", "A 1201-2025")</f>
        <v/>
      </c>
      <c r="X84">
        <f>HYPERLINK("https://klasma.github.io/Logging_0884/tillsyn/A 1201-2025 tillsynsbegäran.docx", "A 1201-2025")</f>
        <v/>
      </c>
      <c r="Y84">
        <f>HYPERLINK("https://klasma.github.io/Logging_0884/tillsynsmail/A 1201-2025 tillsynsbegäran mail.docx", "A 1201-2025")</f>
        <v/>
      </c>
    </row>
    <row r="85" ht="15" customHeight="1">
      <c r="A85" t="inlineStr">
        <is>
          <t>A 6449-2025</t>
        </is>
      </c>
      <c r="B85" s="1" t="n">
        <v>45699</v>
      </c>
      <c r="C85" s="1" t="n">
        <v>45760</v>
      </c>
      <c r="D85" t="inlineStr">
        <is>
          <t>KALMAR LÄN</t>
        </is>
      </c>
      <c r="E85" t="inlineStr">
        <is>
          <t>VIMMERBY</t>
        </is>
      </c>
      <c r="G85" t="n">
        <v>0.7</v>
      </c>
      <c r="H85" t="n">
        <v>0</v>
      </c>
      <c r="I85" t="n">
        <v>0</v>
      </c>
      <c r="J85" t="n">
        <v>1</v>
      </c>
      <c r="K85" t="n">
        <v>0</v>
      </c>
      <c r="L85" t="n">
        <v>0</v>
      </c>
      <c r="M85" t="n">
        <v>0</v>
      </c>
      <c r="N85" t="n">
        <v>0</v>
      </c>
      <c r="O85" t="n">
        <v>1</v>
      </c>
      <c r="P85" t="n">
        <v>0</v>
      </c>
      <c r="Q85" t="n">
        <v>1</v>
      </c>
      <c r="R85" s="2" t="inlineStr">
        <is>
          <t>Skogshare</t>
        </is>
      </c>
      <c r="S85">
        <f>HYPERLINK("https://klasma.github.io/Logging_0884/artfynd/A 6449-2025 artfynd.xlsx", "A 6449-2025")</f>
        <v/>
      </c>
      <c r="T85">
        <f>HYPERLINK("https://klasma.github.io/Logging_0884/kartor/A 6449-2025 karta.png", "A 6449-2025")</f>
        <v/>
      </c>
      <c r="V85">
        <f>HYPERLINK("https://klasma.github.io/Logging_0884/klagomål/A 6449-2025 FSC-klagomål.docx", "A 6449-2025")</f>
        <v/>
      </c>
      <c r="W85">
        <f>HYPERLINK("https://klasma.github.io/Logging_0884/klagomålsmail/A 6449-2025 FSC-klagomål mail.docx", "A 6449-2025")</f>
        <v/>
      </c>
      <c r="X85">
        <f>HYPERLINK("https://klasma.github.io/Logging_0884/tillsyn/A 6449-2025 tillsynsbegäran.docx", "A 6449-2025")</f>
        <v/>
      </c>
      <c r="Y85">
        <f>HYPERLINK("https://klasma.github.io/Logging_0884/tillsynsmail/A 6449-2025 tillsynsbegäran mail.docx", "A 6449-2025")</f>
        <v/>
      </c>
    </row>
    <row r="86" ht="15" customHeight="1">
      <c r="A86" t="inlineStr">
        <is>
          <t>A 9067-2025</t>
        </is>
      </c>
      <c r="B86" s="1" t="n">
        <v>45713</v>
      </c>
      <c r="C86" s="1" t="n">
        <v>45760</v>
      </c>
      <c r="D86" t="inlineStr">
        <is>
          <t>KALMAR LÄN</t>
        </is>
      </c>
      <c r="E86" t="inlineStr">
        <is>
          <t>VIMMERBY</t>
        </is>
      </c>
      <c r="G86" t="n">
        <v>3.9</v>
      </c>
      <c r="H86" t="n">
        <v>0</v>
      </c>
      <c r="I86" t="n">
        <v>1</v>
      </c>
      <c r="J86" t="n">
        <v>0</v>
      </c>
      <c r="K86" t="n">
        <v>0</v>
      </c>
      <c r="L86" t="n">
        <v>0</v>
      </c>
      <c r="M86" t="n">
        <v>0</v>
      </c>
      <c r="N86" t="n">
        <v>0</v>
      </c>
      <c r="O86" t="n">
        <v>0</v>
      </c>
      <c r="P86" t="n">
        <v>0</v>
      </c>
      <c r="Q86" t="n">
        <v>1</v>
      </c>
      <c r="R86" s="2" t="inlineStr">
        <is>
          <t>Ögonpyrola</t>
        </is>
      </c>
      <c r="S86">
        <f>HYPERLINK("https://klasma.github.io/Logging_0884/artfynd/A 9067-2025 artfynd.xlsx", "A 9067-2025")</f>
        <v/>
      </c>
      <c r="T86">
        <f>HYPERLINK("https://klasma.github.io/Logging_0884/kartor/A 9067-2025 karta.png", "A 9067-2025")</f>
        <v/>
      </c>
      <c r="V86">
        <f>HYPERLINK("https://klasma.github.io/Logging_0884/klagomål/A 9067-2025 FSC-klagomål.docx", "A 9067-2025")</f>
        <v/>
      </c>
      <c r="W86">
        <f>HYPERLINK("https://klasma.github.io/Logging_0884/klagomålsmail/A 9067-2025 FSC-klagomål mail.docx", "A 9067-2025")</f>
        <v/>
      </c>
      <c r="X86">
        <f>HYPERLINK("https://klasma.github.io/Logging_0884/tillsyn/A 9067-2025 tillsynsbegäran.docx", "A 9067-2025")</f>
        <v/>
      </c>
      <c r="Y86">
        <f>HYPERLINK("https://klasma.github.io/Logging_0884/tillsynsmail/A 9067-2025 tillsynsbegäran mail.docx", "A 9067-2025")</f>
        <v/>
      </c>
    </row>
    <row r="87" ht="15" customHeight="1">
      <c r="A87" t="inlineStr">
        <is>
          <t>A 18658-2019</t>
        </is>
      </c>
      <c r="B87" s="1" t="n">
        <v>43559</v>
      </c>
      <c r="C87" s="1" t="n">
        <v>45760</v>
      </c>
      <c r="D87" t="inlineStr">
        <is>
          <t>KALMAR LÄN</t>
        </is>
      </c>
      <c r="E87" t="inlineStr">
        <is>
          <t>VIMMERBY</t>
        </is>
      </c>
      <c r="G87" t="n">
        <v>2.5</v>
      </c>
      <c r="H87" t="n">
        <v>0</v>
      </c>
      <c r="I87" t="n">
        <v>0</v>
      </c>
      <c r="J87" t="n">
        <v>0</v>
      </c>
      <c r="K87" t="n">
        <v>0</v>
      </c>
      <c r="L87" t="n">
        <v>0</v>
      </c>
      <c r="M87" t="n">
        <v>0</v>
      </c>
      <c r="N87" t="n">
        <v>0</v>
      </c>
      <c r="O87" t="n">
        <v>0</v>
      </c>
      <c r="P87" t="n">
        <v>0</v>
      </c>
      <c r="Q87" t="n">
        <v>0</v>
      </c>
      <c r="R87" s="2" t="inlineStr"/>
    </row>
    <row r="88" ht="15" customHeight="1">
      <c r="A88" t="inlineStr">
        <is>
          <t>A 18656-2019</t>
        </is>
      </c>
      <c r="B88" s="1" t="n">
        <v>43559</v>
      </c>
      <c r="C88" s="1" t="n">
        <v>45760</v>
      </c>
      <c r="D88" t="inlineStr">
        <is>
          <t>KALMAR LÄN</t>
        </is>
      </c>
      <c r="E88" t="inlineStr">
        <is>
          <t>VIMMERBY</t>
        </is>
      </c>
      <c r="G88" t="n">
        <v>2.1</v>
      </c>
      <c r="H88" t="n">
        <v>0</v>
      </c>
      <c r="I88" t="n">
        <v>0</v>
      </c>
      <c r="J88" t="n">
        <v>0</v>
      </c>
      <c r="K88" t="n">
        <v>0</v>
      </c>
      <c r="L88" t="n">
        <v>0</v>
      </c>
      <c r="M88" t="n">
        <v>0</v>
      </c>
      <c r="N88" t="n">
        <v>0</v>
      </c>
      <c r="O88" t="n">
        <v>0</v>
      </c>
      <c r="P88" t="n">
        <v>0</v>
      </c>
      <c r="Q88" t="n">
        <v>0</v>
      </c>
      <c r="R88" s="2" t="inlineStr"/>
    </row>
    <row r="89" ht="15" customHeight="1">
      <c r="A89" t="inlineStr">
        <is>
          <t>A 18755-2019</t>
        </is>
      </c>
      <c r="B89" s="1" t="n">
        <v>43560</v>
      </c>
      <c r="C89" s="1" t="n">
        <v>45760</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19057-2019</t>
        </is>
      </c>
      <c r="B90" s="1" t="n">
        <v>43563</v>
      </c>
      <c r="C90" s="1" t="n">
        <v>45760</v>
      </c>
      <c r="D90" t="inlineStr">
        <is>
          <t>KALMAR LÄN</t>
        </is>
      </c>
      <c r="E90" t="inlineStr">
        <is>
          <t>VIMMERBY</t>
        </is>
      </c>
      <c r="G90" t="n">
        <v>10.1</v>
      </c>
      <c r="H90" t="n">
        <v>0</v>
      </c>
      <c r="I90" t="n">
        <v>0</v>
      </c>
      <c r="J90" t="n">
        <v>0</v>
      </c>
      <c r="K90" t="n">
        <v>0</v>
      </c>
      <c r="L90" t="n">
        <v>0</v>
      </c>
      <c r="M90" t="n">
        <v>0</v>
      </c>
      <c r="N90" t="n">
        <v>0</v>
      </c>
      <c r="O90" t="n">
        <v>0</v>
      </c>
      <c r="P90" t="n">
        <v>0</v>
      </c>
      <c r="Q90" t="n">
        <v>0</v>
      </c>
      <c r="R90" s="2" t="inlineStr"/>
    </row>
    <row r="91" ht="15" customHeight="1">
      <c r="A91" t="inlineStr">
        <is>
          <t>A 19056-2019</t>
        </is>
      </c>
      <c r="B91" s="1" t="n">
        <v>43563</v>
      </c>
      <c r="C91" s="1" t="n">
        <v>45760</v>
      </c>
      <c r="D91" t="inlineStr">
        <is>
          <t>KALMAR LÄN</t>
        </is>
      </c>
      <c r="E91" t="inlineStr">
        <is>
          <t>VIMMERBY</t>
        </is>
      </c>
      <c r="G91" t="n">
        <v>3.2</v>
      </c>
      <c r="H91" t="n">
        <v>0</v>
      </c>
      <c r="I91" t="n">
        <v>0</v>
      </c>
      <c r="J91" t="n">
        <v>0</v>
      </c>
      <c r="K91" t="n">
        <v>0</v>
      </c>
      <c r="L91" t="n">
        <v>0</v>
      </c>
      <c r="M91" t="n">
        <v>0</v>
      </c>
      <c r="N91" t="n">
        <v>0</v>
      </c>
      <c r="O91" t="n">
        <v>0</v>
      </c>
      <c r="P91" t="n">
        <v>0</v>
      </c>
      <c r="Q91" t="n">
        <v>0</v>
      </c>
      <c r="R91" s="2" t="inlineStr"/>
    </row>
    <row r="92" ht="15" customHeight="1">
      <c r="A92" t="inlineStr">
        <is>
          <t>A 19054-2019</t>
        </is>
      </c>
      <c r="B92" s="1" t="n">
        <v>43563</v>
      </c>
      <c r="C92" s="1" t="n">
        <v>45760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19616-2019</t>
        </is>
      </c>
      <c r="B93" s="1" t="n">
        <v>43566</v>
      </c>
      <c r="C93" s="1" t="n">
        <v>45760</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19632-2019</t>
        </is>
      </c>
      <c r="B94" s="1" t="n">
        <v>43566</v>
      </c>
      <c r="C94" s="1" t="n">
        <v>45760</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19899-2019</t>
        </is>
      </c>
      <c r="B95" s="1" t="n">
        <v>43567</v>
      </c>
      <c r="C95" s="1" t="n">
        <v>45760</v>
      </c>
      <c r="D95" t="inlineStr">
        <is>
          <t>KALMAR LÄN</t>
        </is>
      </c>
      <c r="E95" t="inlineStr">
        <is>
          <t>VIMMERBY</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20035-2019</t>
        </is>
      </c>
      <c r="B96" s="1" t="n">
        <v>43570</v>
      </c>
      <c r="C96" s="1" t="n">
        <v>45760</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19983-2019</t>
        </is>
      </c>
      <c r="B97" s="1" t="n">
        <v>43570</v>
      </c>
      <c r="C97" s="1" t="n">
        <v>45760</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20080-2019</t>
        </is>
      </c>
      <c r="B98" s="1" t="n">
        <v>43570</v>
      </c>
      <c r="C98" s="1" t="n">
        <v>45760</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20069-2019</t>
        </is>
      </c>
      <c r="B99" s="1" t="n">
        <v>43570</v>
      </c>
      <c r="C99" s="1" t="n">
        <v>45760</v>
      </c>
      <c r="D99" t="inlineStr">
        <is>
          <t>KALMAR LÄN</t>
        </is>
      </c>
      <c r="E99" t="inlineStr">
        <is>
          <t>VIMMERBY</t>
        </is>
      </c>
      <c r="G99" t="n">
        <v>4.9</v>
      </c>
      <c r="H99" t="n">
        <v>0</v>
      </c>
      <c r="I99" t="n">
        <v>0</v>
      </c>
      <c r="J99" t="n">
        <v>0</v>
      </c>
      <c r="K99" t="n">
        <v>0</v>
      </c>
      <c r="L99" t="n">
        <v>0</v>
      </c>
      <c r="M99" t="n">
        <v>0</v>
      </c>
      <c r="N99" t="n">
        <v>0</v>
      </c>
      <c r="O99" t="n">
        <v>0</v>
      </c>
      <c r="P99" t="n">
        <v>0</v>
      </c>
      <c r="Q99" t="n">
        <v>0</v>
      </c>
      <c r="R99" s="2" t="inlineStr"/>
    </row>
    <row r="100" ht="15" customHeight="1">
      <c r="A100" t="inlineStr">
        <is>
          <t>A 20314-2019</t>
        </is>
      </c>
      <c r="B100" s="1" t="n">
        <v>43571</v>
      </c>
      <c r="C100" s="1" t="n">
        <v>45760</v>
      </c>
      <c r="D100" t="inlineStr">
        <is>
          <t>KALMAR LÄN</t>
        </is>
      </c>
      <c r="E100" t="inlineStr">
        <is>
          <t>VIMMERBY</t>
        </is>
      </c>
      <c r="G100" t="n">
        <v>2.2</v>
      </c>
      <c r="H100" t="n">
        <v>0</v>
      </c>
      <c r="I100" t="n">
        <v>0</v>
      </c>
      <c r="J100" t="n">
        <v>0</v>
      </c>
      <c r="K100" t="n">
        <v>0</v>
      </c>
      <c r="L100" t="n">
        <v>0</v>
      </c>
      <c r="M100" t="n">
        <v>0</v>
      </c>
      <c r="N100" t="n">
        <v>0</v>
      </c>
      <c r="O100" t="n">
        <v>0</v>
      </c>
      <c r="P100" t="n">
        <v>0</v>
      </c>
      <c r="Q100" t="n">
        <v>0</v>
      </c>
      <c r="R100" s="2" t="inlineStr"/>
    </row>
    <row r="101" ht="15" customHeight="1">
      <c r="A101" t="inlineStr">
        <is>
          <t>A 20312-2019</t>
        </is>
      </c>
      <c r="B101" s="1" t="n">
        <v>43571</v>
      </c>
      <c r="C101" s="1" t="n">
        <v>45760</v>
      </c>
      <c r="D101" t="inlineStr">
        <is>
          <t>KALMAR LÄN</t>
        </is>
      </c>
      <c r="E101" t="inlineStr">
        <is>
          <t>VIMMERBY</t>
        </is>
      </c>
      <c r="G101" t="n">
        <v>4.2</v>
      </c>
      <c r="H101" t="n">
        <v>0</v>
      </c>
      <c r="I101" t="n">
        <v>0</v>
      </c>
      <c r="J101" t="n">
        <v>0</v>
      </c>
      <c r="K101" t="n">
        <v>0</v>
      </c>
      <c r="L101" t="n">
        <v>0</v>
      </c>
      <c r="M101" t="n">
        <v>0</v>
      </c>
      <c r="N101" t="n">
        <v>0</v>
      </c>
      <c r="O101" t="n">
        <v>0</v>
      </c>
      <c r="P101" t="n">
        <v>0</v>
      </c>
      <c r="Q101" t="n">
        <v>0</v>
      </c>
      <c r="R101" s="2" t="inlineStr"/>
    </row>
    <row r="102" ht="15" customHeight="1">
      <c r="A102" t="inlineStr">
        <is>
          <t>A 20565-2019</t>
        </is>
      </c>
      <c r="B102" s="1" t="n">
        <v>43572</v>
      </c>
      <c r="C102" s="1" t="n">
        <v>45760</v>
      </c>
      <c r="D102" t="inlineStr">
        <is>
          <t>KALMAR LÄN</t>
        </is>
      </c>
      <c r="E102" t="inlineStr">
        <is>
          <t>VIMMERBY</t>
        </is>
      </c>
      <c r="G102" t="n">
        <v>5.5</v>
      </c>
      <c r="H102" t="n">
        <v>0</v>
      </c>
      <c r="I102" t="n">
        <v>0</v>
      </c>
      <c r="J102" t="n">
        <v>0</v>
      </c>
      <c r="K102" t="n">
        <v>0</v>
      </c>
      <c r="L102" t="n">
        <v>0</v>
      </c>
      <c r="M102" t="n">
        <v>0</v>
      </c>
      <c r="N102" t="n">
        <v>0</v>
      </c>
      <c r="O102" t="n">
        <v>0</v>
      </c>
      <c r="P102" t="n">
        <v>0</v>
      </c>
      <c r="Q102" t="n">
        <v>0</v>
      </c>
      <c r="R102" s="2" t="inlineStr"/>
    </row>
    <row r="103" ht="15" customHeight="1">
      <c r="A103" t="inlineStr">
        <is>
          <t>A 20856-2019</t>
        </is>
      </c>
      <c r="B103" s="1" t="n">
        <v>43578</v>
      </c>
      <c r="C103" s="1" t="n">
        <v>45760</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21557-2019</t>
        </is>
      </c>
      <c r="B104" s="1" t="n">
        <v>43580</v>
      </c>
      <c r="C104" s="1" t="n">
        <v>45760</v>
      </c>
      <c r="D104" t="inlineStr">
        <is>
          <t>KALMAR LÄN</t>
        </is>
      </c>
      <c r="E104" t="inlineStr">
        <is>
          <t>VIMMERBY</t>
        </is>
      </c>
      <c r="G104" t="n">
        <v>13.8</v>
      </c>
      <c r="H104" t="n">
        <v>0</v>
      </c>
      <c r="I104" t="n">
        <v>0</v>
      </c>
      <c r="J104" t="n">
        <v>0</v>
      </c>
      <c r="K104" t="n">
        <v>0</v>
      </c>
      <c r="L104" t="n">
        <v>0</v>
      </c>
      <c r="M104" t="n">
        <v>0</v>
      </c>
      <c r="N104" t="n">
        <v>0</v>
      </c>
      <c r="O104" t="n">
        <v>0</v>
      </c>
      <c r="P104" t="n">
        <v>0</v>
      </c>
      <c r="Q104" t="n">
        <v>0</v>
      </c>
      <c r="R104" s="2" t="inlineStr"/>
    </row>
    <row r="105" ht="15" customHeight="1">
      <c r="A105" t="inlineStr">
        <is>
          <t>A 21500-2019</t>
        </is>
      </c>
      <c r="B105" s="1" t="n">
        <v>43580</v>
      </c>
      <c r="C105" s="1" t="n">
        <v>45760</v>
      </c>
      <c r="D105" t="inlineStr">
        <is>
          <t>KALMAR LÄN</t>
        </is>
      </c>
      <c r="E105" t="inlineStr">
        <is>
          <t>VIMMERBY</t>
        </is>
      </c>
      <c r="G105" t="n">
        <v>0.7</v>
      </c>
      <c r="H105" t="n">
        <v>0</v>
      </c>
      <c r="I105" t="n">
        <v>0</v>
      </c>
      <c r="J105" t="n">
        <v>0</v>
      </c>
      <c r="K105" t="n">
        <v>0</v>
      </c>
      <c r="L105" t="n">
        <v>0</v>
      </c>
      <c r="M105" t="n">
        <v>0</v>
      </c>
      <c r="N105" t="n">
        <v>0</v>
      </c>
      <c r="O105" t="n">
        <v>0</v>
      </c>
      <c r="P105" t="n">
        <v>0</v>
      </c>
      <c r="Q105" t="n">
        <v>0</v>
      </c>
      <c r="R105" s="2" t="inlineStr"/>
    </row>
    <row r="106" ht="15" customHeight="1">
      <c r="A106" t="inlineStr">
        <is>
          <t>A 21688-2019</t>
        </is>
      </c>
      <c r="B106" s="1" t="n">
        <v>43581</v>
      </c>
      <c r="C106" s="1" t="n">
        <v>45760</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22372-2019</t>
        </is>
      </c>
      <c r="B107" s="1" t="n">
        <v>43587</v>
      </c>
      <c r="C107" s="1" t="n">
        <v>45760</v>
      </c>
      <c r="D107" t="inlineStr">
        <is>
          <t>KALMAR LÄN</t>
        </is>
      </c>
      <c r="E107" t="inlineStr">
        <is>
          <t>VIMMERBY</t>
        </is>
      </c>
      <c r="G107" t="n">
        <v>0.3</v>
      </c>
      <c r="H107" t="n">
        <v>0</v>
      </c>
      <c r="I107" t="n">
        <v>0</v>
      </c>
      <c r="J107" t="n">
        <v>0</v>
      </c>
      <c r="K107" t="n">
        <v>0</v>
      </c>
      <c r="L107" t="n">
        <v>0</v>
      </c>
      <c r="M107" t="n">
        <v>0</v>
      </c>
      <c r="N107" t="n">
        <v>0</v>
      </c>
      <c r="O107" t="n">
        <v>0</v>
      </c>
      <c r="P107" t="n">
        <v>0</v>
      </c>
      <c r="Q107" t="n">
        <v>0</v>
      </c>
      <c r="R107" s="2" t="inlineStr"/>
    </row>
    <row r="108" ht="15" customHeight="1">
      <c r="A108" t="inlineStr">
        <is>
          <t>A 22659-2019</t>
        </is>
      </c>
      <c r="B108" s="1" t="n">
        <v>43588</v>
      </c>
      <c r="C108" s="1" t="n">
        <v>45760</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23498-2019</t>
        </is>
      </c>
      <c r="B109" s="1" t="n">
        <v>43593</v>
      </c>
      <c r="C109" s="1" t="n">
        <v>45760</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24254-2019</t>
        </is>
      </c>
      <c r="B110" s="1" t="n">
        <v>43599</v>
      </c>
      <c r="C110" s="1" t="n">
        <v>45760</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24937-2019</t>
        </is>
      </c>
      <c r="B111" s="1" t="n">
        <v>43602</v>
      </c>
      <c r="C111" s="1" t="n">
        <v>45760</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26073-2019</t>
        </is>
      </c>
      <c r="B112" s="1" t="n">
        <v>43609</v>
      </c>
      <c r="C112" s="1" t="n">
        <v>45760</v>
      </c>
      <c r="D112" t="inlineStr">
        <is>
          <t>KALMAR LÄN</t>
        </is>
      </c>
      <c r="E112" t="inlineStr">
        <is>
          <t>VIMMERBY</t>
        </is>
      </c>
      <c r="G112" t="n">
        <v>0.4</v>
      </c>
      <c r="H112" t="n">
        <v>0</v>
      </c>
      <c r="I112" t="n">
        <v>0</v>
      </c>
      <c r="J112" t="n">
        <v>0</v>
      </c>
      <c r="K112" t="n">
        <v>0</v>
      </c>
      <c r="L112" t="n">
        <v>0</v>
      </c>
      <c r="M112" t="n">
        <v>0</v>
      </c>
      <c r="N112" t="n">
        <v>0</v>
      </c>
      <c r="O112" t="n">
        <v>0</v>
      </c>
      <c r="P112" t="n">
        <v>0</v>
      </c>
      <c r="Q112" t="n">
        <v>0</v>
      </c>
      <c r="R112" s="2" t="inlineStr"/>
    </row>
    <row r="113" ht="15" customHeight="1">
      <c r="A113" t="inlineStr">
        <is>
          <t>A 26660-2019</t>
        </is>
      </c>
      <c r="B113" s="1" t="n">
        <v>43613</v>
      </c>
      <c r="C113" s="1" t="n">
        <v>45760</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28013-2019</t>
        </is>
      </c>
      <c r="B114" s="1" t="n">
        <v>43621</v>
      </c>
      <c r="C114" s="1" t="n">
        <v>45760</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28348-2019</t>
        </is>
      </c>
      <c r="B115" s="1" t="n">
        <v>43624</v>
      </c>
      <c r="C115" s="1" t="n">
        <v>45760</v>
      </c>
      <c r="D115" t="inlineStr">
        <is>
          <t>KALMAR LÄN</t>
        </is>
      </c>
      <c r="E115" t="inlineStr">
        <is>
          <t>VIMMERBY</t>
        </is>
      </c>
      <c r="G115" t="n">
        <v>1</v>
      </c>
      <c r="H115" t="n">
        <v>0</v>
      </c>
      <c r="I115" t="n">
        <v>0</v>
      </c>
      <c r="J115" t="n">
        <v>0</v>
      </c>
      <c r="K115" t="n">
        <v>0</v>
      </c>
      <c r="L115" t="n">
        <v>0</v>
      </c>
      <c r="M115" t="n">
        <v>0</v>
      </c>
      <c r="N115" t="n">
        <v>0</v>
      </c>
      <c r="O115" t="n">
        <v>0</v>
      </c>
      <c r="P115" t="n">
        <v>0</v>
      </c>
      <c r="Q115" t="n">
        <v>0</v>
      </c>
      <c r="R115" s="2" t="inlineStr"/>
    </row>
    <row r="116" ht="15" customHeight="1">
      <c r="A116" t="inlineStr">
        <is>
          <t>A 28414-2019</t>
        </is>
      </c>
      <c r="B116" s="1" t="n">
        <v>43626</v>
      </c>
      <c r="C116" s="1" t="n">
        <v>45760</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29004-2019</t>
        </is>
      </c>
      <c r="B117" s="1" t="n">
        <v>43628</v>
      </c>
      <c r="C117" s="1" t="n">
        <v>45760</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29228-2019</t>
        </is>
      </c>
      <c r="B118" s="1" t="n">
        <v>43629</v>
      </c>
      <c r="C118" s="1" t="n">
        <v>45760</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29408-2019</t>
        </is>
      </c>
      <c r="B119" s="1" t="n">
        <v>43629</v>
      </c>
      <c r="C119" s="1" t="n">
        <v>45760</v>
      </c>
      <c r="D119" t="inlineStr">
        <is>
          <t>KALMAR LÄN</t>
        </is>
      </c>
      <c r="E119" t="inlineStr">
        <is>
          <t>VIMMERBY</t>
        </is>
      </c>
      <c r="G119" t="n">
        <v>10.2</v>
      </c>
      <c r="H119" t="n">
        <v>0</v>
      </c>
      <c r="I119" t="n">
        <v>0</v>
      </c>
      <c r="J119" t="n">
        <v>0</v>
      </c>
      <c r="K119" t="n">
        <v>0</v>
      </c>
      <c r="L119" t="n">
        <v>0</v>
      </c>
      <c r="M119" t="n">
        <v>0</v>
      </c>
      <c r="N119" t="n">
        <v>0</v>
      </c>
      <c r="O119" t="n">
        <v>0</v>
      </c>
      <c r="P119" t="n">
        <v>0</v>
      </c>
      <c r="Q119" t="n">
        <v>0</v>
      </c>
      <c r="R119" s="2" t="inlineStr"/>
    </row>
    <row r="120" ht="15" customHeight="1">
      <c r="A120" t="inlineStr">
        <is>
          <t>A 29693-2019</t>
        </is>
      </c>
      <c r="B120" s="1" t="n">
        <v>43630</v>
      </c>
      <c r="C120" s="1" t="n">
        <v>45760</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29675-2019</t>
        </is>
      </c>
      <c r="B121" s="1" t="n">
        <v>43630</v>
      </c>
      <c r="C121" s="1" t="n">
        <v>45760</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29775-2019</t>
        </is>
      </c>
      <c r="B122" s="1" t="n">
        <v>43632</v>
      </c>
      <c r="C122" s="1" t="n">
        <v>45760</v>
      </c>
      <c r="D122" t="inlineStr">
        <is>
          <t>KALMAR LÄN</t>
        </is>
      </c>
      <c r="E122" t="inlineStr">
        <is>
          <t>VIMMERBY</t>
        </is>
      </c>
      <c r="G122" t="n">
        <v>2</v>
      </c>
      <c r="H122" t="n">
        <v>0</v>
      </c>
      <c r="I122" t="n">
        <v>0</v>
      </c>
      <c r="J122" t="n">
        <v>0</v>
      </c>
      <c r="K122" t="n">
        <v>0</v>
      </c>
      <c r="L122" t="n">
        <v>0</v>
      </c>
      <c r="M122" t="n">
        <v>0</v>
      </c>
      <c r="N122" t="n">
        <v>0</v>
      </c>
      <c r="O122" t="n">
        <v>0</v>
      </c>
      <c r="P122" t="n">
        <v>0</v>
      </c>
      <c r="Q122" t="n">
        <v>0</v>
      </c>
      <c r="R122" s="2" t="inlineStr"/>
    </row>
    <row r="123" ht="15" customHeight="1">
      <c r="A123" t="inlineStr">
        <is>
          <t>A 29773-2019</t>
        </is>
      </c>
      <c r="B123" s="1" t="n">
        <v>43632</v>
      </c>
      <c r="C123" s="1" t="n">
        <v>45760</v>
      </c>
      <c r="D123" t="inlineStr">
        <is>
          <t>KALMAR LÄN</t>
        </is>
      </c>
      <c r="E123" t="inlineStr">
        <is>
          <t>VIMMERBY</t>
        </is>
      </c>
      <c r="G123" t="n">
        <v>0.7</v>
      </c>
      <c r="H123" t="n">
        <v>0</v>
      </c>
      <c r="I123" t="n">
        <v>0</v>
      </c>
      <c r="J123" t="n">
        <v>0</v>
      </c>
      <c r="K123" t="n">
        <v>0</v>
      </c>
      <c r="L123" t="n">
        <v>0</v>
      </c>
      <c r="M123" t="n">
        <v>0</v>
      </c>
      <c r="N123" t="n">
        <v>0</v>
      </c>
      <c r="O123" t="n">
        <v>0</v>
      </c>
      <c r="P123" t="n">
        <v>0</v>
      </c>
      <c r="Q123" t="n">
        <v>0</v>
      </c>
      <c r="R123" s="2" t="inlineStr"/>
    </row>
    <row r="124" ht="15" customHeight="1">
      <c r="A124" t="inlineStr">
        <is>
          <t>A 31027-2019</t>
        </is>
      </c>
      <c r="B124" s="1" t="n">
        <v>43636</v>
      </c>
      <c r="C124" s="1" t="n">
        <v>45760</v>
      </c>
      <c r="D124" t="inlineStr">
        <is>
          <t>KALMAR LÄN</t>
        </is>
      </c>
      <c r="E124" t="inlineStr">
        <is>
          <t>VIMMERBY</t>
        </is>
      </c>
      <c r="F124" t="inlineStr">
        <is>
          <t>Övriga statliga verk och myndigheter</t>
        </is>
      </c>
      <c r="G124" t="n">
        <v>0.5</v>
      </c>
      <c r="H124" t="n">
        <v>0</v>
      </c>
      <c r="I124" t="n">
        <v>0</v>
      </c>
      <c r="J124" t="n">
        <v>0</v>
      </c>
      <c r="K124" t="n">
        <v>0</v>
      </c>
      <c r="L124" t="n">
        <v>0</v>
      </c>
      <c r="M124" t="n">
        <v>0</v>
      </c>
      <c r="N124" t="n">
        <v>0</v>
      </c>
      <c r="O124" t="n">
        <v>0</v>
      </c>
      <c r="P124" t="n">
        <v>0</v>
      </c>
      <c r="Q124" t="n">
        <v>0</v>
      </c>
      <c r="R124" s="2" t="inlineStr"/>
    </row>
    <row r="125" ht="15" customHeight="1">
      <c r="A125" t="inlineStr">
        <is>
          <t>A 30994-2019</t>
        </is>
      </c>
      <c r="B125" s="1" t="n">
        <v>43640</v>
      </c>
      <c r="C125" s="1" t="n">
        <v>45760</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31859-2019</t>
        </is>
      </c>
      <c r="B126" s="1" t="n">
        <v>43642</v>
      </c>
      <c r="C126" s="1" t="n">
        <v>45760</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32911-2019</t>
        </is>
      </c>
      <c r="B127" s="1" t="n">
        <v>43648</v>
      </c>
      <c r="C127" s="1" t="n">
        <v>45760</v>
      </c>
      <c r="D127" t="inlineStr">
        <is>
          <t>KALMAR LÄN</t>
        </is>
      </c>
      <c r="E127" t="inlineStr">
        <is>
          <t>VIMMERBY</t>
        </is>
      </c>
      <c r="G127" t="n">
        <v>5</v>
      </c>
      <c r="H127" t="n">
        <v>0</v>
      </c>
      <c r="I127" t="n">
        <v>0</v>
      </c>
      <c r="J127" t="n">
        <v>0</v>
      </c>
      <c r="K127" t="n">
        <v>0</v>
      </c>
      <c r="L127" t="n">
        <v>0</v>
      </c>
      <c r="M127" t="n">
        <v>0</v>
      </c>
      <c r="N127" t="n">
        <v>0</v>
      </c>
      <c r="O127" t="n">
        <v>0</v>
      </c>
      <c r="P127" t="n">
        <v>0</v>
      </c>
      <c r="Q127" t="n">
        <v>0</v>
      </c>
      <c r="R127" s="2" t="inlineStr"/>
    </row>
    <row r="128" ht="15" customHeight="1">
      <c r="A128" t="inlineStr">
        <is>
          <t>A 32924-2019</t>
        </is>
      </c>
      <c r="B128" s="1" t="n">
        <v>43648</v>
      </c>
      <c r="C128" s="1" t="n">
        <v>45760</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32918-2019</t>
        </is>
      </c>
      <c r="B129" s="1" t="n">
        <v>43648</v>
      </c>
      <c r="C129" s="1" t="n">
        <v>45760</v>
      </c>
      <c r="D129" t="inlineStr">
        <is>
          <t>KALMAR LÄN</t>
        </is>
      </c>
      <c r="E129" t="inlineStr">
        <is>
          <t>VIMMERBY</t>
        </is>
      </c>
      <c r="G129" t="n">
        <v>4.1</v>
      </c>
      <c r="H129" t="n">
        <v>0</v>
      </c>
      <c r="I129" t="n">
        <v>0</v>
      </c>
      <c r="J129" t="n">
        <v>0</v>
      </c>
      <c r="K129" t="n">
        <v>0</v>
      </c>
      <c r="L129" t="n">
        <v>0</v>
      </c>
      <c r="M129" t="n">
        <v>0</v>
      </c>
      <c r="N129" t="n">
        <v>0</v>
      </c>
      <c r="O129" t="n">
        <v>0</v>
      </c>
      <c r="P129" t="n">
        <v>0</v>
      </c>
      <c r="Q129" t="n">
        <v>0</v>
      </c>
      <c r="R129" s="2" t="inlineStr"/>
    </row>
    <row r="130" ht="15" customHeight="1">
      <c r="A130" t="inlineStr">
        <is>
          <t>A 32910-2019</t>
        </is>
      </c>
      <c r="B130" s="1" t="n">
        <v>43648</v>
      </c>
      <c r="C130" s="1" t="n">
        <v>45760</v>
      </c>
      <c r="D130" t="inlineStr">
        <is>
          <t>KALMAR LÄN</t>
        </is>
      </c>
      <c r="E130" t="inlineStr">
        <is>
          <t>VIMMERBY</t>
        </is>
      </c>
      <c r="G130" t="n">
        <v>6</v>
      </c>
      <c r="H130" t="n">
        <v>0</v>
      </c>
      <c r="I130" t="n">
        <v>0</v>
      </c>
      <c r="J130" t="n">
        <v>0</v>
      </c>
      <c r="K130" t="n">
        <v>0</v>
      </c>
      <c r="L130" t="n">
        <v>0</v>
      </c>
      <c r="M130" t="n">
        <v>0</v>
      </c>
      <c r="N130" t="n">
        <v>0</v>
      </c>
      <c r="O130" t="n">
        <v>0</v>
      </c>
      <c r="P130" t="n">
        <v>0</v>
      </c>
      <c r="Q130" t="n">
        <v>0</v>
      </c>
      <c r="R130" s="2" t="inlineStr"/>
    </row>
    <row r="131" ht="15" customHeight="1">
      <c r="A131" t="inlineStr">
        <is>
          <t>A 34765-2019</t>
        </is>
      </c>
      <c r="B131" s="1" t="n">
        <v>43649</v>
      </c>
      <c r="C131" s="1" t="n">
        <v>45760</v>
      </c>
      <c r="D131" t="inlineStr">
        <is>
          <t>KALMAR LÄN</t>
        </is>
      </c>
      <c r="E131" t="inlineStr">
        <is>
          <t>VIMMERBY</t>
        </is>
      </c>
      <c r="G131" t="n">
        <v>6.9</v>
      </c>
      <c r="H131" t="n">
        <v>0</v>
      </c>
      <c r="I131" t="n">
        <v>0</v>
      </c>
      <c r="J131" t="n">
        <v>0</v>
      </c>
      <c r="K131" t="n">
        <v>0</v>
      </c>
      <c r="L131" t="n">
        <v>0</v>
      </c>
      <c r="M131" t="n">
        <v>0</v>
      </c>
      <c r="N131" t="n">
        <v>0</v>
      </c>
      <c r="O131" t="n">
        <v>0</v>
      </c>
      <c r="P131" t="n">
        <v>0</v>
      </c>
      <c r="Q131" t="n">
        <v>0</v>
      </c>
      <c r="R131" s="2" t="inlineStr"/>
    </row>
    <row r="132" ht="15" customHeight="1">
      <c r="A132" t="inlineStr">
        <is>
          <t>A 33411-2019</t>
        </is>
      </c>
      <c r="B132" s="1" t="n">
        <v>43650</v>
      </c>
      <c r="C132" s="1" t="n">
        <v>45760</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33410-2019</t>
        </is>
      </c>
      <c r="B133" s="1" t="n">
        <v>43650</v>
      </c>
      <c r="C133" s="1" t="n">
        <v>45760</v>
      </c>
      <c r="D133" t="inlineStr">
        <is>
          <t>KALMAR LÄN</t>
        </is>
      </c>
      <c r="E133" t="inlineStr">
        <is>
          <t>VIMMERBY</t>
        </is>
      </c>
      <c r="G133" t="n">
        <v>4.4</v>
      </c>
      <c r="H133" t="n">
        <v>0</v>
      </c>
      <c r="I133" t="n">
        <v>0</v>
      </c>
      <c r="J133" t="n">
        <v>0</v>
      </c>
      <c r="K133" t="n">
        <v>0</v>
      </c>
      <c r="L133" t="n">
        <v>0</v>
      </c>
      <c r="M133" t="n">
        <v>0</v>
      </c>
      <c r="N133" t="n">
        <v>0</v>
      </c>
      <c r="O133" t="n">
        <v>0</v>
      </c>
      <c r="P133" t="n">
        <v>0</v>
      </c>
      <c r="Q133" t="n">
        <v>0</v>
      </c>
      <c r="R133" s="2" t="inlineStr"/>
    </row>
    <row r="134" ht="15" customHeight="1">
      <c r="A134" t="inlineStr">
        <is>
          <t>A 35259-2019</t>
        </is>
      </c>
      <c r="B134" s="1" t="n">
        <v>43651</v>
      </c>
      <c r="C134" s="1" t="n">
        <v>45760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33869-2019</t>
        </is>
      </c>
      <c r="B135" s="1" t="n">
        <v>43652</v>
      </c>
      <c r="C135" s="1" t="n">
        <v>45760</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34241-2019</t>
        </is>
      </c>
      <c r="B136" s="1" t="n">
        <v>43655</v>
      </c>
      <c r="C136" s="1" t="n">
        <v>45760</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34244-2019</t>
        </is>
      </c>
      <c r="B137" s="1" t="n">
        <v>43655</v>
      </c>
      <c r="C137" s="1" t="n">
        <v>45760</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34273-2019</t>
        </is>
      </c>
      <c r="B138" s="1" t="n">
        <v>43655</v>
      </c>
      <c r="C138" s="1" t="n">
        <v>45760</v>
      </c>
      <c r="D138" t="inlineStr">
        <is>
          <t>KALMAR LÄN</t>
        </is>
      </c>
      <c r="E138" t="inlineStr">
        <is>
          <t>VIMMERBY</t>
        </is>
      </c>
      <c r="G138" t="n">
        <v>3.1</v>
      </c>
      <c r="H138" t="n">
        <v>0</v>
      </c>
      <c r="I138" t="n">
        <v>0</v>
      </c>
      <c r="J138" t="n">
        <v>0</v>
      </c>
      <c r="K138" t="n">
        <v>0</v>
      </c>
      <c r="L138" t="n">
        <v>0</v>
      </c>
      <c r="M138" t="n">
        <v>0</v>
      </c>
      <c r="N138" t="n">
        <v>0</v>
      </c>
      <c r="O138" t="n">
        <v>0</v>
      </c>
      <c r="P138" t="n">
        <v>0</v>
      </c>
      <c r="Q138" t="n">
        <v>0</v>
      </c>
      <c r="R138" s="2" t="inlineStr"/>
    </row>
    <row r="139" ht="15" customHeight="1">
      <c r="A139" t="inlineStr">
        <is>
          <t>A 35701-2019</t>
        </is>
      </c>
      <c r="B139" s="1" t="n">
        <v>43655</v>
      </c>
      <c r="C139" s="1" t="n">
        <v>45760</v>
      </c>
      <c r="D139" t="inlineStr">
        <is>
          <t>KALMAR LÄN</t>
        </is>
      </c>
      <c r="E139" t="inlineStr">
        <is>
          <t>VIMMERBY</t>
        </is>
      </c>
      <c r="G139" t="n">
        <v>1.3</v>
      </c>
      <c r="H139" t="n">
        <v>0</v>
      </c>
      <c r="I139" t="n">
        <v>0</v>
      </c>
      <c r="J139" t="n">
        <v>0</v>
      </c>
      <c r="K139" t="n">
        <v>0</v>
      </c>
      <c r="L139" t="n">
        <v>0</v>
      </c>
      <c r="M139" t="n">
        <v>0</v>
      </c>
      <c r="N139" t="n">
        <v>0</v>
      </c>
      <c r="O139" t="n">
        <v>0</v>
      </c>
      <c r="P139" t="n">
        <v>0</v>
      </c>
      <c r="Q139" t="n">
        <v>0</v>
      </c>
      <c r="R139" s="2" t="inlineStr"/>
    </row>
    <row r="140" ht="15" customHeight="1">
      <c r="A140" t="inlineStr">
        <is>
          <t>A 34672-2019</t>
        </is>
      </c>
      <c r="B140" s="1" t="n">
        <v>43657</v>
      </c>
      <c r="C140" s="1" t="n">
        <v>45760</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35780-2019</t>
        </is>
      </c>
      <c r="B141" s="1" t="n">
        <v>43665</v>
      </c>
      <c r="C141" s="1" t="n">
        <v>45760</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35834-2019</t>
        </is>
      </c>
      <c r="B142" s="1" t="n">
        <v>43665</v>
      </c>
      <c r="C142" s="1" t="n">
        <v>45760</v>
      </c>
      <c r="D142" t="inlineStr">
        <is>
          <t>KALMAR LÄN</t>
        </is>
      </c>
      <c r="E142" t="inlineStr">
        <is>
          <t>VIMMERBY</t>
        </is>
      </c>
      <c r="G142" t="n">
        <v>0.2</v>
      </c>
      <c r="H142" t="n">
        <v>0</v>
      </c>
      <c r="I142" t="n">
        <v>0</v>
      </c>
      <c r="J142" t="n">
        <v>0</v>
      </c>
      <c r="K142" t="n">
        <v>0</v>
      </c>
      <c r="L142" t="n">
        <v>0</v>
      </c>
      <c r="M142" t="n">
        <v>0</v>
      </c>
      <c r="N142" t="n">
        <v>0</v>
      </c>
      <c r="O142" t="n">
        <v>0</v>
      </c>
      <c r="P142" t="n">
        <v>0</v>
      </c>
      <c r="Q142" t="n">
        <v>0</v>
      </c>
      <c r="R142" s="2" t="inlineStr"/>
    </row>
    <row r="143" ht="15" customHeight="1">
      <c r="A143" t="inlineStr">
        <is>
          <t>A 35829-2019</t>
        </is>
      </c>
      <c r="B143" s="1" t="n">
        <v>43665</v>
      </c>
      <c r="C143" s="1" t="n">
        <v>45760</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35919-2019</t>
        </is>
      </c>
      <c r="B144" s="1" t="n">
        <v>43665</v>
      </c>
      <c r="C144" s="1" t="n">
        <v>45760</v>
      </c>
      <c r="D144" t="inlineStr">
        <is>
          <t>KALMAR LÄN</t>
        </is>
      </c>
      <c r="E144" t="inlineStr">
        <is>
          <t>VIMMERBY</t>
        </is>
      </c>
      <c r="G144" t="n">
        <v>7.1</v>
      </c>
      <c r="H144" t="n">
        <v>0</v>
      </c>
      <c r="I144" t="n">
        <v>0</v>
      </c>
      <c r="J144" t="n">
        <v>0</v>
      </c>
      <c r="K144" t="n">
        <v>0</v>
      </c>
      <c r="L144" t="n">
        <v>0</v>
      </c>
      <c r="M144" t="n">
        <v>0</v>
      </c>
      <c r="N144" t="n">
        <v>0</v>
      </c>
      <c r="O144" t="n">
        <v>0</v>
      </c>
      <c r="P144" t="n">
        <v>0</v>
      </c>
      <c r="Q144" t="n">
        <v>0</v>
      </c>
      <c r="R144" s="2" t="inlineStr"/>
    </row>
    <row r="145" ht="15" customHeight="1">
      <c r="A145" t="inlineStr">
        <is>
          <t>A 36027-2019</t>
        </is>
      </c>
      <c r="B145" s="1" t="n">
        <v>43668</v>
      </c>
      <c r="C145" s="1" t="n">
        <v>45760</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36024-2019</t>
        </is>
      </c>
      <c r="B146" s="1" t="n">
        <v>43668</v>
      </c>
      <c r="C146" s="1" t="n">
        <v>45760</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36716-2019</t>
        </is>
      </c>
      <c r="B147" s="1" t="n">
        <v>43669</v>
      </c>
      <c r="C147" s="1" t="n">
        <v>45760</v>
      </c>
      <c r="D147" t="inlineStr">
        <is>
          <t>KALMAR LÄN</t>
        </is>
      </c>
      <c r="E147" t="inlineStr">
        <is>
          <t>VIMMERBY</t>
        </is>
      </c>
      <c r="G147" t="n">
        <v>3.6</v>
      </c>
      <c r="H147" t="n">
        <v>0</v>
      </c>
      <c r="I147" t="n">
        <v>0</v>
      </c>
      <c r="J147" t="n">
        <v>0</v>
      </c>
      <c r="K147" t="n">
        <v>0</v>
      </c>
      <c r="L147" t="n">
        <v>0</v>
      </c>
      <c r="M147" t="n">
        <v>0</v>
      </c>
      <c r="N147" t="n">
        <v>0</v>
      </c>
      <c r="O147" t="n">
        <v>0</v>
      </c>
      <c r="P147" t="n">
        <v>0</v>
      </c>
      <c r="Q147" t="n">
        <v>0</v>
      </c>
      <c r="R147" s="2" t="inlineStr"/>
    </row>
    <row r="148" ht="15" customHeight="1">
      <c r="A148" t="inlineStr">
        <is>
          <t>A 36454-2019</t>
        </is>
      </c>
      <c r="B148" s="1" t="n">
        <v>43670</v>
      </c>
      <c r="C148" s="1" t="n">
        <v>45760</v>
      </c>
      <c r="D148" t="inlineStr">
        <is>
          <t>KALMAR LÄN</t>
        </is>
      </c>
      <c r="E148" t="inlineStr">
        <is>
          <t>VIMMERBY</t>
        </is>
      </c>
      <c r="G148" t="n">
        <v>2.1</v>
      </c>
      <c r="H148" t="n">
        <v>0</v>
      </c>
      <c r="I148" t="n">
        <v>0</v>
      </c>
      <c r="J148" t="n">
        <v>0</v>
      </c>
      <c r="K148" t="n">
        <v>0</v>
      </c>
      <c r="L148" t="n">
        <v>0</v>
      </c>
      <c r="M148" t="n">
        <v>0</v>
      </c>
      <c r="N148" t="n">
        <v>0</v>
      </c>
      <c r="O148" t="n">
        <v>0</v>
      </c>
      <c r="P148" t="n">
        <v>0</v>
      </c>
      <c r="Q148" t="n">
        <v>0</v>
      </c>
      <c r="R148" s="2" t="inlineStr"/>
    </row>
    <row r="149" ht="15" customHeight="1">
      <c r="A149" t="inlineStr">
        <is>
          <t>A 37031-2019</t>
        </is>
      </c>
      <c r="B149" s="1" t="n">
        <v>43672</v>
      </c>
      <c r="C149" s="1" t="n">
        <v>45760</v>
      </c>
      <c r="D149" t="inlineStr">
        <is>
          <t>KALMAR LÄN</t>
        </is>
      </c>
      <c r="E149" t="inlineStr">
        <is>
          <t>VIMMERBY</t>
        </is>
      </c>
      <c r="G149" t="n">
        <v>16.8</v>
      </c>
      <c r="H149" t="n">
        <v>0</v>
      </c>
      <c r="I149" t="n">
        <v>0</v>
      </c>
      <c r="J149" t="n">
        <v>0</v>
      </c>
      <c r="K149" t="n">
        <v>0</v>
      </c>
      <c r="L149" t="n">
        <v>0</v>
      </c>
      <c r="M149" t="n">
        <v>0</v>
      </c>
      <c r="N149" t="n">
        <v>0</v>
      </c>
      <c r="O149" t="n">
        <v>0</v>
      </c>
      <c r="P149" t="n">
        <v>0</v>
      </c>
      <c r="Q149" t="n">
        <v>0</v>
      </c>
      <c r="R149" s="2" t="inlineStr"/>
    </row>
    <row r="150" ht="15" customHeight="1">
      <c r="A150" t="inlineStr">
        <is>
          <t>A 36830-2019</t>
        </is>
      </c>
      <c r="B150" s="1" t="n">
        <v>43674</v>
      </c>
      <c r="C150" s="1" t="n">
        <v>45760</v>
      </c>
      <c r="D150" t="inlineStr">
        <is>
          <t>KALMAR LÄN</t>
        </is>
      </c>
      <c r="E150" t="inlineStr">
        <is>
          <t>VIMMERBY</t>
        </is>
      </c>
      <c r="G150" t="n">
        <v>7.2</v>
      </c>
      <c r="H150" t="n">
        <v>0</v>
      </c>
      <c r="I150" t="n">
        <v>0</v>
      </c>
      <c r="J150" t="n">
        <v>0</v>
      </c>
      <c r="K150" t="n">
        <v>0</v>
      </c>
      <c r="L150" t="n">
        <v>0</v>
      </c>
      <c r="M150" t="n">
        <v>0</v>
      </c>
      <c r="N150" t="n">
        <v>0</v>
      </c>
      <c r="O150" t="n">
        <v>0</v>
      </c>
      <c r="P150" t="n">
        <v>0</v>
      </c>
      <c r="Q150" t="n">
        <v>0</v>
      </c>
      <c r="R150" s="2" t="inlineStr"/>
    </row>
    <row r="151" ht="15" customHeight="1">
      <c r="A151" t="inlineStr">
        <is>
          <t>A 36936-2019</t>
        </is>
      </c>
      <c r="B151" s="1" t="n">
        <v>43675</v>
      </c>
      <c r="C151" s="1" t="n">
        <v>45760</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37063-2019</t>
        </is>
      </c>
      <c r="B152" s="1" t="n">
        <v>43676</v>
      </c>
      <c r="C152" s="1" t="n">
        <v>45760</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37209-2019</t>
        </is>
      </c>
      <c r="B153" s="1" t="n">
        <v>43677</v>
      </c>
      <c r="C153" s="1" t="n">
        <v>45760</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37412-2019</t>
        </is>
      </c>
      <c r="B154" s="1" t="n">
        <v>43678</v>
      </c>
      <c r="C154" s="1" t="n">
        <v>45760</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38602-2019</t>
        </is>
      </c>
      <c r="B155" s="1" t="n">
        <v>43684</v>
      </c>
      <c r="C155" s="1" t="n">
        <v>45760</v>
      </c>
      <c r="D155" t="inlineStr">
        <is>
          <t>KALMAR LÄN</t>
        </is>
      </c>
      <c r="E155" t="inlineStr">
        <is>
          <t>VIMMERBY</t>
        </is>
      </c>
      <c r="G155" t="n">
        <v>2.7</v>
      </c>
      <c r="H155" t="n">
        <v>0</v>
      </c>
      <c r="I155" t="n">
        <v>0</v>
      </c>
      <c r="J155" t="n">
        <v>0</v>
      </c>
      <c r="K155" t="n">
        <v>0</v>
      </c>
      <c r="L155" t="n">
        <v>0</v>
      </c>
      <c r="M155" t="n">
        <v>0</v>
      </c>
      <c r="N155" t="n">
        <v>0</v>
      </c>
      <c r="O155" t="n">
        <v>0</v>
      </c>
      <c r="P155" t="n">
        <v>0</v>
      </c>
      <c r="Q155" t="n">
        <v>0</v>
      </c>
      <c r="R155" s="2" t="inlineStr"/>
    </row>
    <row r="156" ht="15" customHeight="1">
      <c r="A156" t="inlineStr">
        <is>
          <t>A 38866-2019</t>
        </is>
      </c>
      <c r="B156" s="1" t="n">
        <v>43685</v>
      </c>
      <c r="C156" s="1" t="n">
        <v>45760</v>
      </c>
      <c r="D156" t="inlineStr">
        <is>
          <t>KALMAR LÄN</t>
        </is>
      </c>
      <c r="E156" t="inlineStr">
        <is>
          <t>VIMMERBY</t>
        </is>
      </c>
      <c r="G156" t="n">
        <v>1.2</v>
      </c>
      <c r="H156" t="n">
        <v>0</v>
      </c>
      <c r="I156" t="n">
        <v>0</v>
      </c>
      <c r="J156" t="n">
        <v>0</v>
      </c>
      <c r="K156" t="n">
        <v>0</v>
      </c>
      <c r="L156" t="n">
        <v>0</v>
      </c>
      <c r="M156" t="n">
        <v>0</v>
      </c>
      <c r="N156" t="n">
        <v>0</v>
      </c>
      <c r="O156" t="n">
        <v>0</v>
      </c>
      <c r="P156" t="n">
        <v>0</v>
      </c>
      <c r="Q156" t="n">
        <v>0</v>
      </c>
      <c r="R156" s="2" t="inlineStr"/>
    </row>
    <row r="157" ht="15" customHeight="1">
      <c r="A157" t="inlineStr">
        <is>
          <t>A 38789-2019</t>
        </is>
      </c>
      <c r="B157" s="1" t="n">
        <v>43687</v>
      </c>
      <c r="C157" s="1" t="n">
        <v>45760</v>
      </c>
      <c r="D157" t="inlineStr">
        <is>
          <t>KALMAR LÄN</t>
        </is>
      </c>
      <c r="E157" t="inlineStr">
        <is>
          <t>VIMMERBY</t>
        </is>
      </c>
      <c r="G157" t="n">
        <v>0.3</v>
      </c>
      <c r="H157" t="n">
        <v>0</v>
      </c>
      <c r="I157" t="n">
        <v>0</v>
      </c>
      <c r="J157" t="n">
        <v>0</v>
      </c>
      <c r="K157" t="n">
        <v>0</v>
      </c>
      <c r="L157" t="n">
        <v>0</v>
      </c>
      <c r="M157" t="n">
        <v>0</v>
      </c>
      <c r="N157" t="n">
        <v>0</v>
      </c>
      <c r="O157" t="n">
        <v>0</v>
      </c>
      <c r="P157" t="n">
        <v>0</v>
      </c>
      <c r="Q157" t="n">
        <v>0</v>
      </c>
      <c r="R157" s="2" t="inlineStr"/>
    </row>
    <row r="158" ht="15" customHeight="1">
      <c r="A158" t="inlineStr">
        <is>
          <t>A 38835-2019</t>
        </is>
      </c>
      <c r="B158" s="1" t="n">
        <v>43689</v>
      </c>
      <c r="C158" s="1" t="n">
        <v>45760</v>
      </c>
      <c r="D158" t="inlineStr">
        <is>
          <t>KALMAR LÄN</t>
        </is>
      </c>
      <c r="E158" t="inlineStr">
        <is>
          <t>VIMMERBY</t>
        </is>
      </c>
      <c r="G158" t="n">
        <v>3.8</v>
      </c>
      <c r="H158" t="n">
        <v>0</v>
      </c>
      <c r="I158" t="n">
        <v>0</v>
      </c>
      <c r="J158" t="n">
        <v>0</v>
      </c>
      <c r="K158" t="n">
        <v>0</v>
      </c>
      <c r="L158" t="n">
        <v>0</v>
      </c>
      <c r="M158" t="n">
        <v>0</v>
      </c>
      <c r="N158" t="n">
        <v>0</v>
      </c>
      <c r="O158" t="n">
        <v>0</v>
      </c>
      <c r="P158" t="n">
        <v>0</v>
      </c>
      <c r="Q158" t="n">
        <v>0</v>
      </c>
      <c r="R158" s="2" t="inlineStr"/>
    </row>
    <row r="159" ht="15" customHeight="1">
      <c r="A159" t="inlineStr">
        <is>
          <t>A 38823-2019</t>
        </is>
      </c>
      <c r="B159" s="1" t="n">
        <v>43689</v>
      </c>
      <c r="C159" s="1" t="n">
        <v>45760</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38837-2019</t>
        </is>
      </c>
      <c r="B160" s="1" t="n">
        <v>43689</v>
      </c>
      <c r="C160" s="1" t="n">
        <v>45760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38831-2019</t>
        </is>
      </c>
      <c r="B161" s="1" t="n">
        <v>43689</v>
      </c>
      <c r="C161" s="1" t="n">
        <v>45760</v>
      </c>
      <c r="D161" t="inlineStr">
        <is>
          <t>KALMAR LÄN</t>
        </is>
      </c>
      <c r="E161" t="inlineStr">
        <is>
          <t>VIMMERBY</t>
        </is>
      </c>
      <c r="G161" t="n">
        <v>3</v>
      </c>
      <c r="H161" t="n">
        <v>0</v>
      </c>
      <c r="I161" t="n">
        <v>0</v>
      </c>
      <c r="J161" t="n">
        <v>0</v>
      </c>
      <c r="K161" t="n">
        <v>0</v>
      </c>
      <c r="L161" t="n">
        <v>0</v>
      </c>
      <c r="M161" t="n">
        <v>0</v>
      </c>
      <c r="N161" t="n">
        <v>0</v>
      </c>
      <c r="O161" t="n">
        <v>0</v>
      </c>
      <c r="P161" t="n">
        <v>0</v>
      </c>
      <c r="Q161" t="n">
        <v>0</v>
      </c>
      <c r="R161" s="2" t="inlineStr"/>
    </row>
    <row r="162" ht="15" customHeight="1">
      <c r="A162" t="inlineStr">
        <is>
          <t>A 39442-2019</t>
        </is>
      </c>
      <c r="B162" s="1" t="n">
        <v>43691</v>
      </c>
      <c r="C162" s="1" t="n">
        <v>45760</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39575-2019</t>
        </is>
      </c>
      <c r="B163" s="1" t="n">
        <v>43691</v>
      </c>
      <c r="C163" s="1" t="n">
        <v>45760</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39568-2019</t>
        </is>
      </c>
      <c r="B164" s="1" t="n">
        <v>43691</v>
      </c>
      <c r="C164" s="1" t="n">
        <v>45760</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39564-2019</t>
        </is>
      </c>
      <c r="B165" s="1" t="n">
        <v>43691</v>
      </c>
      <c r="C165" s="1" t="n">
        <v>45760</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39577-2019</t>
        </is>
      </c>
      <c r="B166" s="1" t="n">
        <v>43691</v>
      </c>
      <c r="C166" s="1" t="n">
        <v>45760</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39856-2019</t>
        </is>
      </c>
      <c r="B167" s="1" t="n">
        <v>43692</v>
      </c>
      <c r="C167" s="1" t="n">
        <v>45760</v>
      </c>
      <c r="D167" t="inlineStr">
        <is>
          <t>KALMAR LÄN</t>
        </is>
      </c>
      <c r="E167" t="inlineStr">
        <is>
          <t>VIMMERBY</t>
        </is>
      </c>
      <c r="G167" t="n">
        <v>1.9</v>
      </c>
      <c r="H167" t="n">
        <v>0</v>
      </c>
      <c r="I167" t="n">
        <v>0</v>
      </c>
      <c r="J167" t="n">
        <v>0</v>
      </c>
      <c r="K167" t="n">
        <v>0</v>
      </c>
      <c r="L167" t="n">
        <v>0</v>
      </c>
      <c r="M167" t="n">
        <v>0</v>
      </c>
      <c r="N167" t="n">
        <v>0</v>
      </c>
      <c r="O167" t="n">
        <v>0</v>
      </c>
      <c r="P167" t="n">
        <v>0</v>
      </c>
      <c r="Q167" t="n">
        <v>0</v>
      </c>
      <c r="R167" s="2" t="inlineStr"/>
    </row>
    <row r="168" ht="15" customHeight="1">
      <c r="A168" t="inlineStr">
        <is>
          <t>A 39901-2019</t>
        </is>
      </c>
      <c r="B168" s="1" t="n">
        <v>43692</v>
      </c>
      <c r="C168" s="1" t="n">
        <v>45760</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39962-2019</t>
        </is>
      </c>
      <c r="B169" s="1" t="n">
        <v>43692</v>
      </c>
      <c r="C169" s="1" t="n">
        <v>45760</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39899-2019</t>
        </is>
      </c>
      <c r="B170" s="1" t="n">
        <v>43692</v>
      </c>
      <c r="C170" s="1" t="n">
        <v>45760</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39894-2019</t>
        </is>
      </c>
      <c r="B171" s="1" t="n">
        <v>43692</v>
      </c>
      <c r="C171" s="1" t="n">
        <v>45760</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39920-2019</t>
        </is>
      </c>
      <c r="B172" s="1" t="n">
        <v>43692</v>
      </c>
      <c r="C172" s="1" t="n">
        <v>45760</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39897-2019</t>
        </is>
      </c>
      <c r="B173" s="1" t="n">
        <v>43692</v>
      </c>
      <c r="C173" s="1" t="n">
        <v>45760</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40140-2019</t>
        </is>
      </c>
      <c r="B174" s="1" t="n">
        <v>43693</v>
      </c>
      <c r="C174" s="1" t="n">
        <v>45760</v>
      </c>
      <c r="D174" t="inlineStr">
        <is>
          <t>KALMAR LÄN</t>
        </is>
      </c>
      <c r="E174" t="inlineStr">
        <is>
          <t>VIMMERBY</t>
        </is>
      </c>
      <c r="F174" t="inlineStr">
        <is>
          <t>Kommuner</t>
        </is>
      </c>
      <c r="G174" t="n">
        <v>1.3</v>
      </c>
      <c r="H174" t="n">
        <v>0</v>
      </c>
      <c r="I174" t="n">
        <v>0</v>
      </c>
      <c r="J174" t="n">
        <v>0</v>
      </c>
      <c r="K174" t="n">
        <v>0</v>
      </c>
      <c r="L174" t="n">
        <v>0</v>
      </c>
      <c r="M174" t="n">
        <v>0</v>
      </c>
      <c r="N174" t="n">
        <v>0</v>
      </c>
      <c r="O174" t="n">
        <v>0</v>
      </c>
      <c r="P174" t="n">
        <v>0</v>
      </c>
      <c r="Q174" t="n">
        <v>0</v>
      </c>
      <c r="R174" s="2" t="inlineStr"/>
    </row>
    <row r="175" ht="15" customHeight="1">
      <c r="A175" t="inlineStr">
        <is>
          <t>A 40691-2019</t>
        </is>
      </c>
      <c r="B175" s="1" t="n">
        <v>43696</v>
      </c>
      <c r="C175" s="1" t="n">
        <v>45760</v>
      </c>
      <c r="D175" t="inlineStr">
        <is>
          <t>KALMAR LÄN</t>
        </is>
      </c>
      <c r="E175" t="inlineStr">
        <is>
          <t>VIMMERBY</t>
        </is>
      </c>
      <c r="G175" t="n">
        <v>10.9</v>
      </c>
      <c r="H175" t="n">
        <v>0</v>
      </c>
      <c r="I175" t="n">
        <v>0</v>
      </c>
      <c r="J175" t="n">
        <v>0</v>
      </c>
      <c r="K175" t="n">
        <v>0</v>
      </c>
      <c r="L175" t="n">
        <v>0</v>
      </c>
      <c r="M175" t="n">
        <v>0</v>
      </c>
      <c r="N175" t="n">
        <v>0</v>
      </c>
      <c r="O175" t="n">
        <v>0</v>
      </c>
      <c r="P175" t="n">
        <v>0</v>
      </c>
      <c r="Q175" t="n">
        <v>0</v>
      </c>
      <c r="R175" s="2" t="inlineStr"/>
    </row>
    <row r="176" ht="15" customHeight="1">
      <c r="A176" t="inlineStr">
        <is>
          <t>A 40692-2019</t>
        </is>
      </c>
      <c r="B176" s="1" t="n">
        <v>43696</v>
      </c>
      <c r="C176" s="1" t="n">
        <v>45760</v>
      </c>
      <c r="D176" t="inlineStr">
        <is>
          <t>KALMAR LÄN</t>
        </is>
      </c>
      <c r="E176" t="inlineStr">
        <is>
          <t>VIMMERBY</t>
        </is>
      </c>
      <c r="G176" t="n">
        <v>1.4</v>
      </c>
      <c r="H176" t="n">
        <v>0</v>
      </c>
      <c r="I176" t="n">
        <v>0</v>
      </c>
      <c r="J176" t="n">
        <v>0</v>
      </c>
      <c r="K176" t="n">
        <v>0</v>
      </c>
      <c r="L176" t="n">
        <v>0</v>
      </c>
      <c r="M176" t="n">
        <v>0</v>
      </c>
      <c r="N176" t="n">
        <v>0</v>
      </c>
      <c r="O176" t="n">
        <v>0</v>
      </c>
      <c r="P176" t="n">
        <v>0</v>
      </c>
      <c r="Q176" t="n">
        <v>0</v>
      </c>
      <c r="R176" s="2" t="inlineStr"/>
    </row>
    <row r="177" ht="15" customHeight="1">
      <c r="A177" t="inlineStr">
        <is>
          <t>A 41347-2019</t>
        </is>
      </c>
      <c r="B177" s="1" t="n">
        <v>43698</v>
      </c>
      <c r="C177" s="1" t="n">
        <v>45760</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42142-2019</t>
        </is>
      </c>
      <c r="B178" s="1" t="n">
        <v>43703</v>
      </c>
      <c r="C178" s="1" t="n">
        <v>45760</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42759-2019</t>
        </is>
      </c>
      <c r="B179" s="1" t="n">
        <v>43704</v>
      </c>
      <c r="C179" s="1" t="n">
        <v>45760</v>
      </c>
      <c r="D179" t="inlineStr">
        <is>
          <t>KALMAR LÄN</t>
        </is>
      </c>
      <c r="E179" t="inlineStr">
        <is>
          <t>VIMMERBY</t>
        </is>
      </c>
      <c r="G179" t="n">
        <v>4.6</v>
      </c>
      <c r="H179" t="n">
        <v>0</v>
      </c>
      <c r="I179" t="n">
        <v>0</v>
      </c>
      <c r="J179" t="n">
        <v>0</v>
      </c>
      <c r="K179" t="n">
        <v>0</v>
      </c>
      <c r="L179" t="n">
        <v>0</v>
      </c>
      <c r="M179" t="n">
        <v>0</v>
      </c>
      <c r="N179" t="n">
        <v>0</v>
      </c>
      <c r="O179" t="n">
        <v>0</v>
      </c>
      <c r="P179" t="n">
        <v>0</v>
      </c>
      <c r="Q179" t="n">
        <v>0</v>
      </c>
      <c r="R179" s="2" t="inlineStr"/>
    </row>
    <row r="180" ht="15" customHeight="1">
      <c r="A180" t="inlineStr">
        <is>
          <t>A 42758-2019</t>
        </is>
      </c>
      <c r="B180" s="1" t="n">
        <v>43704</v>
      </c>
      <c r="C180" s="1" t="n">
        <v>45760</v>
      </c>
      <c r="D180" t="inlineStr">
        <is>
          <t>KALMAR LÄN</t>
        </is>
      </c>
      <c r="E180" t="inlineStr">
        <is>
          <t>VIMMERBY</t>
        </is>
      </c>
      <c r="G180" t="n">
        <v>6.2</v>
      </c>
      <c r="H180" t="n">
        <v>0</v>
      </c>
      <c r="I180" t="n">
        <v>0</v>
      </c>
      <c r="J180" t="n">
        <v>0</v>
      </c>
      <c r="K180" t="n">
        <v>0</v>
      </c>
      <c r="L180" t="n">
        <v>0</v>
      </c>
      <c r="M180" t="n">
        <v>0</v>
      </c>
      <c r="N180" t="n">
        <v>0</v>
      </c>
      <c r="O180" t="n">
        <v>0</v>
      </c>
      <c r="P180" t="n">
        <v>0</v>
      </c>
      <c r="Q180" t="n">
        <v>0</v>
      </c>
      <c r="R180" s="2" t="inlineStr"/>
    </row>
    <row r="181" ht="15" customHeight="1">
      <c r="A181" t="inlineStr">
        <is>
          <t>A 42947-2019</t>
        </is>
      </c>
      <c r="B181" s="1" t="n">
        <v>43705</v>
      </c>
      <c r="C181" s="1" t="n">
        <v>45760</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42972-2019</t>
        </is>
      </c>
      <c r="B182" s="1" t="n">
        <v>43705</v>
      </c>
      <c r="C182" s="1" t="n">
        <v>45760</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44202-2019</t>
        </is>
      </c>
      <c r="B183" s="1" t="n">
        <v>43710</v>
      </c>
      <c r="C183" s="1" t="n">
        <v>45760</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44630-2019</t>
        </is>
      </c>
      <c r="B184" s="1" t="n">
        <v>43712</v>
      </c>
      <c r="C184" s="1" t="n">
        <v>45760</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45446-2019</t>
        </is>
      </c>
      <c r="B185" s="1" t="n">
        <v>43714</v>
      </c>
      <c r="C185" s="1" t="n">
        <v>45760</v>
      </c>
      <c r="D185" t="inlineStr">
        <is>
          <t>KALMAR LÄN</t>
        </is>
      </c>
      <c r="E185" t="inlineStr">
        <is>
          <t>VIMMERBY</t>
        </is>
      </c>
      <c r="G185" t="n">
        <v>3.8</v>
      </c>
      <c r="H185" t="n">
        <v>0</v>
      </c>
      <c r="I185" t="n">
        <v>0</v>
      </c>
      <c r="J185" t="n">
        <v>0</v>
      </c>
      <c r="K185" t="n">
        <v>0</v>
      </c>
      <c r="L185" t="n">
        <v>0</v>
      </c>
      <c r="M185" t="n">
        <v>0</v>
      </c>
      <c r="N185" t="n">
        <v>0</v>
      </c>
      <c r="O185" t="n">
        <v>0</v>
      </c>
      <c r="P185" t="n">
        <v>0</v>
      </c>
      <c r="Q185" t="n">
        <v>0</v>
      </c>
      <c r="R185" s="2" t="inlineStr"/>
    </row>
    <row r="186" ht="15" customHeight="1">
      <c r="A186" t="inlineStr">
        <is>
          <t>A 45413-2019</t>
        </is>
      </c>
      <c r="B186" s="1" t="n">
        <v>43714</v>
      </c>
      <c r="C186" s="1" t="n">
        <v>45760</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45515-2019</t>
        </is>
      </c>
      <c r="B187" s="1" t="n">
        <v>43714</v>
      </c>
      <c r="C187" s="1" t="n">
        <v>45760</v>
      </c>
      <c r="D187" t="inlineStr">
        <is>
          <t>KALMAR LÄN</t>
        </is>
      </c>
      <c r="E187" t="inlineStr">
        <is>
          <t>VIMMERBY</t>
        </is>
      </c>
      <c r="G187" t="n">
        <v>2.4</v>
      </c>
      <c r="H187" t="n">
        <v>0</v>
      </c>
      <c r="I187" t="n">
        <v>0</v>
      </c>
      <c r="J187" t="n">
        <v>0</v>
      </c>
      <c r="K187" t="n">
        <v>0</v>
      </c>
      <c r="L187" t="n">
        <v>0</v>
      </c>
      <c r="M187" t="n">
        <v>0</v>
      </c>
      <c r="N187" t="n">
        <v>0</v>
      </c>
      <c r="O187" t="n">
        <v>0</v>
      </c>
      <c r="P187" t="n">
        <v>0</v>
      </c>
      <c r="Q187" t="n">
        <v>0</v>
      </c>
      <c r="R187" s="2" t="inlineStr"/>
    </row>
    <row r="188" ht="15" customHeight="1">
      <c r="A188" t="inlineStr">
        <is>
          <t>A 46242-2019</t>
        </is>
      </c>
      <c r="B188" s="1" t="n">
        <v>43718</v>
      </c>
      <c r="C188" s="1" t="n">
        <v>45760</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46845-2019</t>
        </is>
      </c>
      <c r="B189" s="1" t="n">
        <v>43718</v>
      </c>
      <c r="C189" s="1" t="n">
        <v>45760</v>
      </c>
      <c r="D189" t="inlineStr">
        <is>
          <t>KALMAR LÄN</t>
        </is>
      </c>
      <c r="E189" t="inlineStr">
        <is>
          <t>VIMMERBY</t>
        </is>
      </c>
      <c r="G189" t="n">
        <v>2</v>
      </c>
      <c r="H189" t="n">
        <v>0</v>
      </c>
      <c r="I189" t="n">
        <v>0</v>
      </c>
      <c r="J189" t="n">
        <v>0</v>
      </c>
      <c r="K189" t="n">
        <v>0</v>
      </c>
      <c r="L189" t="n">
        <v>0</v>
      </c>
      <c r="M189" t="n">
        <v>0</v>
      </c>
      <c r="N189" t="n">
        <v>0</v>
      </c>
      <c r="O189" t="n">
        <v>0</v>
      </c>
      <c r="P189" t="n">
        <v>0</v>
      </c>
      <c r="Q189" t="n">
        <v>0</v>
      </c>
      <c r="R189" s="2" t="inlineStr"/>
    </row>
    <row r="190" ht="15" customHeight="1">
      <c r="A190" t="inlineStr">
        <is>
          <t>A 46291-2019</t>
        </is>
      </c>
      <c r="B190" s="1" t="n">
        <v>43718</v>
      </c>
      <c r="C190" s="1" t="n">
        <v>45760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47187-2019</t>
        </is>
      </c>
      <c r="B191" s="1" t="n">
        <v>43719</v>
      </c>
      <c r="C191" s="1" t="n">
        <v>45760</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46619-2019</t>
        </is>
      </c>
      <c r="B192" s="1" t="n">
        <v>43719</v>
      </c>
      <c r="C192" s="1" t="n">
        <v>45760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46988-2019</t>
        </is>
      </c>
      <c r="B193" s="1" t="n">
        <v>43720</v>
      </c>
      <c r="C193" s="1" t="n">
        <v>45760</v>
      </c>
      <c r="D193" t="inlineStr">
        <is>
          <t>KALMAR LÄN</t>
        </is>
      </c>
      <c r="E193" t="inlineStr">
        <is>
          <t>VIMMERBY</t>
        </is>
      </c>
      <c r="F193" t="inlineStr">
        <is>
          <t>Kommuner</t>
        </is>
      </c>
      <c r="G193" t="n">
        <v>0.5</v>
      </c>
      <c r="H193" t="n">
        <v>0</v>
      </c>
      <c r="I193" t="n">
        <v>0</v>
      </c>
      <c r="J193" t="n">
        <v>0</v>
      </c>
      <c r="K193" t="n">
        <v>0</v>
      </c>
      <c r="L193" t="n">
        <v>0</v>
      </c>
      <c r="M193" t="n">
        <v>0</v>
      </c>
      <c r="N193" t="n">
        <v>0</v>
      </c>
      <c r="O193" t="n">
        <v>0</v>
      </c>
      <c r="P193" t="n">
        <v>0</v>
      </c>
      <c r="Q193" t="n">
        <v>0</v>
      </c>
      <c r="R193" s="2" t="inlineStr"/>
    </row>
    <row r="194" ht="15" customHeight="1">
      <c r="A194" t="inlineStr">
        <is>
          <t>A 48029-2019</t>
        </is>
      </c>
      <c r="B194" s="1" t="n">
        <v>43725</v>
      </c>
      <c r="C194" s="1" t="n">
        <v>45760</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48051-2019</t>
        </is>
      </c>
      <c r="B195" s="1" t="n">
        <v>43725</v>
      </c>
      <c r="C195" s="1" t="n">
        <v>45760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48164-2019</t>
        </is>
      </c>
      <c r="B196" s="1" t="n">
        <v>43726</v>
      </c>
      <c r="C196" s="1" t="n">
        <v>45760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48381-2019</t>
        </is>
      </c>
      <c r="B197" s="1" t="n">
        <v>43726</v>
      </c>
      <c r="C197" s="1" t="n">
        <v>45760</v>
      </c>
      <c r="D197" t="inlineStr">
        <is>
          <t>KALMAR LÄN</t>
        </is>
      </c>
      <c r="E197" t="inlineStr">
        <is>
          <t>VIMMERBY</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48380-2019</t>
        </is>
      </c>
      <c r="B198" s="1" t="n">
        <v>43726</v>
      </c>
      <c r="C198" s="1" t="n">
        <v>45760</v>
      </c>
      <c r="D198" t="inlineStr">
        <is>
          <t>KALMAR LÄN</t>
        </is>
      </c>
      <c r="E198" t="inlineStr">
        <is>
          <t>VIMMERBY</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48834-2019</t>
        </is>
      </c>
      <c r="B199" s="1" t="n">
        <v>43728</v>
      </c>
      <c r="C199" s="1" t="n">
        <v>45760</v>
      </c>
      <c r="D199" t="inlineStr">
        <is>
          <t>KALMAR LÄN</t>
        </is>
      </c>
      <c r="E199" t="inlineStr">
        <is>
          <t>VIMMERBY</t>
        </is>
      </c>
      <c r="G199" t="n">
        <v>5.3</v>
      </c>
      <c r="H199" t="n">
        <v>0</v>
      </c>
      <c r="I199" t="n">
        <v>0</v>
      </c>
      <c r="J199" t="n">
        <v>0</v>
      </c>
      <c r="K199" t="n">
        <v>0</v>
      </c>
      <c r="L199" t="n">
        <v>0</v>
      </c>
      <c r="M199" t="n">
        <v>0</v>
      </c>
      <c r="N199" t="n">
        <v>0</v>
      </c>
      <c r="O199" t="n">
        <v>0</v>
      </c>
      <c r="P199" t="n">
        <v>0</v>
      </c>
      <c r="Q199" t="n">
        <v>0</v>
      </c>
      <c r="R199" s="2" t="inlineStr"/>
    </row>
    <row r="200" ht="15" customHeight="1">
      <c r="A200" t="inlineStr">
        <is>
          <t>A 48921-2019</t>
        </is>
      </c>
      <c r="B200" s="1" t="n">
        <v>43728</v>
      </c>
      <c r="C200" s="1" t="n">
        <v>45760</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49212-2019</t>
        </is>
      </c>
      <c r="B201" s="1" t="n">
        <v>43731</v>
      </c>
      <c r="C201" s="1" t="n">
        <v>45760</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49208-2019</t>
        </is>
      </c>
      <c r="B202" s="1" t="n">
        <v>43731</v>
      </c>
      <c r="C202" s="1" t="n">
        <v>45760</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49206-2019</t>
        </is>
      </c>
      <c r="B203" s="1" t="n">
        <v>43731</v>
      </c>
      <c r="C203" s="1" t="n">
        <v>45760</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49741-2019</t>
        </is>
      </c>
      <c r="B204" s="1" t="n">
        <v>43733</v>
      </c>
      <c r="C204" s="1" t="n">
        <v>45760</v>
      </c>
      <c r="D204" t="inlineStr">
        <is>
          <t>KALMAR LÄN</t>
        </is>
      </c>
      <c r="E204" t="inlineStr">
        <is>
          <t>VIMMERBY</t>
        </is>
      </c>
      <c r="G204" t="n">
        <v>2.2</v>
      </c>
      <c r="H204" t="n">
        <v>0</v>
      </c>
      <c r="I204" t="n">
        <v>0</v>
      </c>
      <c r="J204" t="n">
        <v>0</v>
      </c>
      <c r="K204" t="n">
        <v>0</v>
      </c>
      <c r="L204" t="n">
        <v>0</v>
      </c>
      <c r="M204" t="n">
        <v>0</v>
      </c>
      <c r="N204" t="n">
        <v>0</v>
      </c>
      <c r="O204" t="n">
        <v>0</v>
      </c>
      <c r="P204" t="n">
        <v>0</v>
      </c>
      <c r="Q204" t="n">
        <v>0</v>
      </c>
      <c r="R204" s="2" t="inlineStr"/>
    </row>
    <row r="205" ht="15" customHeight="1">
      <c r="A205" t="inlineStr">
        <is>
          <t>A 49760-2019</t>
        </is>
      </c>
      <c r="B205" s="1" t="n">
        <v>43733</v>
      </c>
      <c r="C205" s="1" t="n">
        <v>45760</v>
      </c>
      <c r="D205" t="inlineStr">
        <is>
          <t>KALMAR LÄN</t>
        </is>
      </c>
      <c r="E205" t="inlineStr">
        <is>
          <t>VIMMERBY</t>
        </is>
      </c>
      <c r="G205" t="n">
        <v>2.3</v>
      </c>
      <c r="H205" t="n">
        <v>0</v>
      </c>
      <c r="I205" t="n">
        <v>0</v>
      </c>
      <c r="J205" t="n">
        <v>0</v>
      </c>
      <c r="K205" t="n">
        <v>0</v>
      </c>
      <c r="L205" t="n">
        <v>0</v>
      </c>
      <c r="M205" t="n">
        <v>0</v>
      </c>
      <c r="N205" t="n">
        <v>0</v>
      </c>
      <c r="O205" t="n">
        <v>0</v>
      </c>
      <c r="P205" t="n">
        <v>0</v>
      </c>
      <c r="Q205" t="n">
        <v>0</v>
      </c>
      <c r="R205" s="2" t="inlineStr"/>
    </row>
    <row r="206" ht="15" customHeight="1">
      <c r="A206" t="inlineStr">
        <is>
          <t>A 49747-2019</t>
        </is>
      </c>
      <c r="B206" s="1" t="n">
        <v>43733</v>
      </c>
      <c r="C206" s="1" t="n">
        <v>45760</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49855-2019</t>
        </is>
      </c>
      <c r="B207" s="1" t="n">
        <v>43733</v>
      </c>
      <c r="C207" s="1" t="n">
        <v>45760</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49871-2019</t>
        </is>
      </c>
      <c r="B208" s="1" t="n">
        <v>43733</v>
      </c>
      <c r="C208" s="1" t="n">
        <v>45760</v>
      </c>
      <c r="D208" t="inlineStr">
        <is>
          <t>KALMAR LÄN</t>
        </is>
      </c>
      <c r="E208" t="inlineStr">
        <is>
          <t>VIMMERBY</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49880-2019</t>
        </is>
      </c>
      <c r="B209" s="1" t="n">
        <v>43733</v>
      </c>
      <c r="C209" s="1" t="n">
        <v>45760</v>
      </c>
      <c r="D209" t="inlineStr">
        <is>
          <t>KALMAR LÄN</t>
        </is>
      </c>
      <c r="E209" t="inlineStr">
        <is>
          <t>VIMMERBY</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49885-2019</t>
        </is>
      </c>
      <c r="B210" s="1" t="n">
        <v>43733</v>
      </c>
      <c r="C210" s="1" t="n">
        <v>45760</v>
      </c>
      <c r="D210" t="inlineStr">
        <is>
          <t>KALMAR LÄN</t>
        </is>
      </c>
      <c r="E210" t="inlineStr">
        <is>
          <t>VIMMERBY</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49901-2019</t>
        </is>
      </c>
      <c r="B211" s="1" t="n">
        <v>43733</v>
      </c>
      <c r="C211" s="1" t="n">
        <v>45760</v>
      </c>
      <c r="D211" t="inlineStr">
        <is>
          <t>KALMAR LÄN</t>
        </is>
      </c>
      <c r="E211" t="inlineStr">
        <is>
          <t>VIMMERBY</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49891-2019</t>
        </is>
      </c>
      <c r="B212" s="1" t="n">
        <v>43733</v>
      </c>
      <c r="C212" s="1" t="n">
        <v>45760</v>
      </c>
      <c r="D212" t="inlineStr">
        <is>
          <t>KALMAR LÄN</t>
        </is>
      </c>
      <c r="E212" t="inlineStr">
        <is>
          <t>VIMMERBY</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49695-2019</t>
        </is>
      </c>
      <c r="B213" s="1" t="n">
        <v>43733</v>
      </c>
      <c r="C213" s="1" t="n">
        <v>45760</v>
      </c>
      <c r="D213" t="inlineStr">
        <is>
          <t>KALMAR LÄN</t>
        </is>
      </c>
      <c r="E213" t="inlineStr">
        <is>
          <t>VIMMERBY</t>
        </is>
      </c>
      <c r="G213" t="n">
        <v>4.6</v>
      </c>
      <c r="H213" t="n">
        <v>0</v>
      </c>
      <c r="I213" t="n">
        <v>0</v>
      </c>
      <c r="J213" t="n">
        <v>0</v>
      </c>
      <c r="K213" t="n">
        <v>0</v>
      </c>
      <c r="L213" t="n">
        <v>0</v>
      </c>
      <c r="M213" t="n">
        <v>0</v>
      </c>
      <c r="N213" t="n">
        <v>0</v>
      </c>
      <c r="O213" t="n">
        <v>0</v>
      </c>
      <c r="P213" t="n">
        <v>0</v>
      </c>
      <c r="Q213" t="n">
        <v>0</v>
      </c>
      <c r="R213" s="2" t="inlineStr"/>
    </row>
    <row r="214" ht="15" customHeight="1">
      <c r="A214" t="inlineStr">
        <is>
          <t>A 50214-2019</t>
        </is>
      </c>
      <c r="B214" s="1" t="n">
        <v>43734</v>
      </c>
      <c r="C214" s="1" t="n">
        <v>45760</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50317-2019</t>
        </is>
      </c>
      <c r="B215" s="1" t="n">
        <v>43735</v>
      </c>
      <c r="C215" s="1" t="n">
        <v>45760</v>
      </c>
      <c r="D215" t="inlineStr">
        <is>
          <t>KALMAR LÄN</t>
        </is>
      </c>
      <c r="E215" t="inlineStr">
        <is>
          <t>VIMMERBY</t>
        </is>
      </c>
      <c r="G215" t="n">
        <v>2</v>
      </c>
      <c r="H215" t="n">
        <v>0</v>
      </c>
      <c r="I215" t="n">
        <v>0</v>
      </c>
      <c r="J215" t="n">
        <v>0</v>
      </c>
      <c r="K215" t="n">
        <v>0</v>
      </c>
      <c r="L215" t="n">
        <v>0</v>
      </c>
      <c r="M215" t="n">
        <v>0</v>
      </c>
      <c r="N215" t="n">
        <v>0</v>
      </c>
      <c r="O215" t="n">
        <v>0</v>
      </c>
      <c r="P215" t="n">
        <v>0</v>
      </c>
      <c r="Q215" t="n">
        <v>0</v>
      </c>
      <c r="R215" s="2" t="inlineStr"/>
    </row>
    <row r="216" ht="15" customHeight="1">
      <c r="A216" t="inlineStr">
        <is>
          <t>A 50761-2019</t>
        </is>
      </c>
      <c r="B216" s="1" t="n">
        <v>43738</v>
      </c>
      <c r="C216" s="1" t="n">
        <v>45760</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51273-2019</t>
        </is>
      </c>
      <c r="B217" s="1" t="n">
        <v>43739</v>
      </c>
      <c r="C217" s="1" t="n">
        <v>45760</v>
      </c>
      <c r="D217" t="inlineStr">
        <is>
          <t>KALMAR LÄN</t>
        </is>
      </c>
      <c r="E217" t="inlineStr">
        <is>
          <t>VIMMERBY</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51277-2019</t>
        </is>
      </c>
      <c r="B218" s="1" t="n">
        <v>43739</v>
      </c>
      <c r="C218" s="1" t="n">
        <v>45760</v>
      </c>
      <c r="D218" t="inlineStr">
        <is>
          <t>KALMAR LÄN</t>
        </is>
      </c>
      <c r="E218" t="inlineStr">
        <is>
          <t>VIMMERBY</t>
        </is>
      </c>
      <c r="F218" t="inlineStr">
        <is>
          <t>Sveaskog</t>
        </is>
      </c>
      <c r="G218" t="n">
        <v>7.9</v>
      </c>
      <c r="H218" t="n">
        <v>0</v>
      </c>
      <c r="I218" t="n">
        <v>0</v>
      </c>
      <c r="J218" t="n">
        <v>0</v>
      </c>
      <c r="K218" t="n">
        <v>0</v>
      </c>
      <c r="L218" t="n">
        <v>0</v>
      </c>
      <c r="M218" t="n">
        <v>0</v>
      </c>
      <c r="N218" t="n">
        <v>0</v>
      </c>
      <c r="O218" t="n">
        <v>0</v>
      </c>
      <c r="P218" t="n">
        <v>0</v>
      </c>
      <c r="Q218" t="n">
        <v>0</v>
      </c>
      <c r="R218" s="2" t="inlineStr"/>
    </row>
    <row r="219" ht="15" customHeight="1">
      <c r="A219" t="inlineStr">
        <is>
          <t>A 51362-2019</t>
        </is>
      </c>
      <c r="B219" s="1" t="n">
        <v>43740</v>
      </c>
      <c r="C219" s="1" t="n">
        <v>45760</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51552-2019</t>
        </is>
      </c>
      <c r="B220" s="1" t="n">
        <v>43740</v>
      </c>
      <c r="C220" s="1" t="n">
        <v>45760</v>
      </c>
      <c r="D220" t="inlineStr">
        <is>
          <t>KALMAR LÄN</t>
        </is>
      </c>
      <c r="E220" t="inlineStr">
        <is>
          <t>VIMMERBY</t>
        </is>
      </c>
      <c r="G220" t="n">
        <v>1.2</v>
      </c>
      <c r="H220" t="n">
        <v>0</v>
      </c>
      <c r="I220" t="n">
        <v>0</v>
      </c>
      <c r="J220" t="n">
        <v>0</v>
      </c>
      <c r="K220" t="n">
        <v>0</v>
      </c>
      <c r="L220" t="n">
        <v>0</v>
      </c>
      <c r="M220" t="n">
        <v>0</v>
      </c>
      <c r="N220" t="n">
        <v>0</v>
      </c>
      <c r="O220" t="n">
        <v>0</v>
      </c>
      <c r="P220" t="n">
        <v>0</v>
      </c>
      <c r="Q220" t="n">
        <v>0</v>
      </c>
      <c r="R220" s="2" t="inlineStr"/>
    </row>
    <row r="221" ht="15" customHeight="1">
      <c r="A221" t="inlineStr">
        <is>
          <t>A 51719-2019</t>
        </is>
      </c>
      <c r="B221" s="1" t="n">
        <v>43741</v>
      </c>
      <c r="C221" s="1" t="n">
        <v>45760</v>
      </c>
      <c r="D221" t="inlineStr">
        <is>
          <t>KALMAR LÄN</t>
        </is>
      </c>
      <c r="E221" t="inlineStr">
        <is>
          <t>VIMMERBY</t>
        </is>
      </c>
      <c r="G221" t="n">
        <v>3</v>
      </c>
      <c r="H221" t="n">
        <v>0</v>
      </c>
      <c r="I221" t="n">
        <v>0</v>
      </c>
      <c r="J221" t="n">
        <v>0</v>
      </c>
      <c r="K221" t="n">
        <v>0</v>
      </c>
      <c r="L221" t="n">
        <v>0</v>
      </c>
      <c r="M221" t="n">
        <v>0</v>
      </c>
      <c r="N221" t="n">
        <v>0</v>
      </c>
      <c r="O221" t="n">
        <v>0</v>
      </c>
      <c r="P221" t="n">
        <v>0</v>
      </c>
      <c r="Q221" t="n">
        <v>0</v>
      </c>
      <c r="R221" s="2" t="inlineStr"/>
    </row>
    <row r="222" ht="15" customHeight="1">
      <c r="A222" t="inlineStr">
        <is>
          <t>A 52173-2019</t>
        </is>
      </c>
      <c r="B222" s="1" t="n">
        <v>43742</v>
      </c>
      <c r="C222" s="1" t="n">
        <v>45760</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52356-2019</t>
        </is>
      </c>
      <c r="B223" s="1" t="n">
        <v>43745</v>
      </c>
      <c r="C223" s="1" t="n">
        <v>45760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52909-2019</t>
        </is>
      </c>
      <c r="B224" s="1" t="n">
        <v>43746</v>
      </c>
      <c r="C224" s="1" t="n">
        <v>45760</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52908-2019</t>
        </is>
      </c>
      <c r="B225" s="1" t="n">
        <v>43746</v>
      </c>
      <c r="C225" s="1" t="n">
        <v>45760</v>
      </c>
      <c r="D225" t="inlineStr">
        <is>
          <t>KALMAR LÄN</t>
        </is>
      </c>
      <c r="E225" t="inlineStr">
        <is>
          <t>VIMMERBY</t>
        </is>
      </c>
      <c r="G225" t="n">
        <v>5.8</v>
      </c>
      <c r="H225" t="n">
        <v>0</v>
      </c>
      <c r="I225" t="n">
        <v>0</v>
      </c>
      <c r="J225" t="n">
        <v>0</v>
      </c>
      <c r="K225" t="n">
        <v>0</v>
      </c>
      <c r="L225" t="n">
        <v>0</v>
      </c>
      <c r="M225" t="n">
        <v>0</v>
      </c>
      <c r="N225" t="n">
        <v>0</v>
      </c>
      <c r="O225" t="n">
        <v>0</v>
      </c>
      <c r="P225" t="n">
        <v>0</v>
      </c>
      <c r="Q225" t="n">
        <v>0</v>
      </c>
      <c r="R225" s="2" t="inlineStr"/>
    </row>
    <row r="226" ht="15" customHeight="1">
      <c r="A226" t="inlineStr">
        <is>
          <t>A 52780-2019</t>
        </is>
      </c>
      <c r="B226" s="1" t="n">
        <v>43746</v>
      </c>
      <c r="C226" s="1" t="n">
        <v>45760</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53691-2019</t>
        </is>
      </c>
      <c r="B227" s="1" t="n">
        <v>43749</v>
      </c>
      <c r="C227" s="1" t="n">
        <v>45760</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54593-2019</t>
        </is>
      </c>
      <c r="B228" s="1" t="n">
        <v>43754</v>
      </c>
      <c r="C228" s="1" t="n">
        <v>45760</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54794-2019</t>
        </is>
      </c>
      <c r="B229" s="1" t="n">
        <v>43755</v>
      </c>
      <c r="C229" s="1" t="n">
        <v>45760</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55757-2019</t>
        </is>
      </c>
      <c r="B230" s="1" t="n">
        <v>43759</v>
      </c>
      <c r="C230" s="1" t="n">
        <v>45760</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57998-2019</t>
        </is>
      </c>
      <c r="B231" s="1" t="n">
        <v>43762</v>
      </c>
      <c r="C231" s="1" t="n">
        <v>45760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57509-2019</t>
        </is>
      </c>
      <c r="B232" s="1" t="n">
        <v>43767</v>
      </c>
      <c r="C232" s="1" t="n">
        <v>45760</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57886-2019</t>
        </is>
      </c>
      <c r="B233" s="1" t="n">
        <v>43768</v>
      </c>
      <c r="C233" s="1" t="n">
        <v>45760</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59256-2019</t>
        </is>
      </c>
      <c r="B234" s="1" t="n">
        <v>43773</v>
      </c>
      <c r="C234" s="1" t="n">
        <v>45760</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58812-2019</t>
        </is>
      </c>
      <c r="B235" s="1" t="n">
        <v>43774</v>
      </c>
      <c r="C235" s="1" t="n">
        <v>45760</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60253-2019</t>
        </is>
      </c>
      <c r="B236" s="1" t="n">
        <v>43780</v>
      </c>
      <c r="C236" s="1" t="n">
        <v>45760</v>
      </c>
      <c r="D236" t="inlineStr">
        <is>
          <t>KALMAR LÄN</t>
        </is>
      </c>
      <c r="E236" t="inlineStr">
        <is>
          <t>VIMMERBY</t>
        </is>
      </c>
      <c r="G236" t="n">
        <v>4.4</v>
      </c>
      <c r="H236" t="n">
        <v>0</v>
      </c>
      <c r="I236" t="n">
        <v>0</v>
      </c>
      <c r="J236" t="n">
        <v>0</v>
      </c>
      <c r="K236" t="n">
        <v>0</v>
      </c>
      <c r="L236" t="n">
        <v>0</v>
      </c>
      <c r="M236" t="n">
        <v>0</v>
      </c>
      <c r="N236" t="n">
        <v>0</v>
      </c>
      <c r="O236" t="n">
        <v>0</v>
      </c>
      <c r="P236" t="n">
        <v>0</v>
      </c>
      <c r="Q236" t="n">
        <v>0</v>
      </c>
      <c r="R236" s="2" t="inlineStr"/>
    </row>
    <row r="237" ht="15" customHeight="1">
      <c r="A237" t="inlineStr">
        <is>
          <t>A 60673-2019</t>
        </is>
      </c>
      <c r="B237" s="1" t="n">
        <v>43781</v>
      </c>
      <c r="C237" s="1" t="n">
        <v>45760</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60802-2019</t>
        </is>
      </c>
      <c r="B238" s="1" t="n">
        <v>43781</v>
      </c>
      <c r="C238" s="1" t="n">
        <v>45760</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61049-2019</t>
        </is>
      </c>
      <c r="B239" s="1" t="n">
        <v>43782</v>
      </c>
      <c r="C239" s="1" t="n">
        <v>45760</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63362-2019</t>
        </is>
      </c>
      <c r="B240" s="1" t="n">
        <v>43787</v>
      </c>
      <c r="C240" s="1" t="n">
        <v>45760</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62625-2019</t>
        </is>
      </c>
      <c r="B241" s="1" t="n">
        <v>43789</v>
      </c>
      <c r="C241" s="1" t="n">
        <v>45760</v>
      </c>
      <c r="D241" t="inlineStr">
        <is>
          <t>KALMAR LÄN</t>
        </is>
      </c>
      <c r="E241" t="inlineStr">
        <is>
          <t>VIMMERBY</t>
        </is>
      </c>
      <c r="F241" t="inlineStr">
        <is>
          <t>Övriga Aktiebolag</t>
        </is>
      </c>
      <c r="G241" t="n">
        <v>8.1</v>
      </c>
      <c r="H241" t="n">
        <v>0</v>
      </c>
      <c r="I241" t="n">
        <v>0</v>
      </c>
      <c r="J241" t="n">
        <v>0</v>
      </c>
      <c r="K241" t="n">
        <v>0</v>
      </c>
      <c r="L241" t="n">
        <v>0</v>
      </c>
      <c r="M241" t="n">
        <v>0</v>
      </c>
      <c r="N241" t="n">
        <v>0</v>
      </c>
      <c r="O241" t="n">
        <v>0</v>
      </c>
      <c r="P241" t="n">
        <v>0</v>
      </c>
      <c r="Q241" t="n">
        <v>0</v>
      </c>
      <c r="R241" s="2" t="inlineStr"/>
    </row>
    <row r="242" ht="15" customHeight="1">
      <c r="A242" t="inlineStr">
        <is>
          <t>A 63029-2019</t>
        </is>
      </c>
      <c r="B242" s="1" t="n">
        <v>43791</v>
      </c>
      <c r="C242" s="1" t="n">
        <v>45760</v>
      </c>
      <c r="D242" t="inlineStr">
        <is>
          <t>KALMAR LÄN</t>
        </is>
      </c>
      <c r="E242" t="inlineStr">
        <is>
          <t>VIMMERBY</t>
        </is>
      </c>
      <c r="F242" t="inlineStr">
        <is>
          <t>Kyrkan</t>
        </is>
      </c>
      <c r="G242" t="n">
        <v>3.1</v>
      </c>
      <c r="H242" t="n">
        <v>0</v>
      </c>
      <c r="I242" t="n">
        <v>0</v>
      </c>
      <c r="J242" t="n">
        <v>0</v>
      </c>
      <c r="K242" t="n">
        <v>0</v>
      </c>
      <c r="L242" t="n">
        <v>0</v>
      </c>
      <c r="M242" t="n">
        <v>0</v>
      </c>
      <c r="N242" t="n">
        <v>0</v>
      </c>
      <c r="O242" t="n">
        <v>0</v>
      </c>
      <c r="P242" t="n">
        <v>0</v>
      </c>
      <c r="Q242" t="n">
        <v>0</v>
      </c>
      <c r="R242" s="2" t="inlineStr"/>
    </row>
    <row r="243" ht="15" customHeight="1">
      <c r="A243" t="inlineStr">
        <is>
          <t>A 63746-2019</t>
        </is>
      </c>
      <c r="B243" s="1" t="n">
        <v>43795</v>
      </c>
      <c r="C243" s="1" t="n">
        <v>45760</v>
      </c>
      <c r="D243" t="inlineStr">
        <is>
          <t>KALMAR LÄN</t>
        </is>
      </c>
      <c r="E243" t="inlineStr">
        <is>
          <t>VIMMERBY</t>
        </is>
      </c>
      <c r="G243" t="n">
        <v>4.5</v>
      </c>
      <c r="H243" t="n">
        <v>0</v>
      </c>
      <c r="I243" t="n">
        <v>0</v>
      </c>
      <c r="J243" t="n">
        <v>0</v>
      </c>
      <c r="K243" t="n">
        <v>0</v>
      </c>
      <c r="L243" t="n">
        <v>0</v>
      </c>
      <c r="M243" t="n">
        <v>0</v>
      </c>
      <c r="N243" t="n">
        <v>0</v>
      </c>
      <c r="O243" t="n">
        <v>0</v>
      </c>
      <c r="P243" t="n">
        <v>0</v>
      </c>
      <c r="Q243" t="n">
        <v>0</v>
      </c>
      <c r="R243" s="2" t="inlineStr"/>
    </row>
    <row r="244" ht="15" customHeight="1">
      <c r="A244" t="inlineStr">
        <is>
          <t>A 64119-2019</t>
        </is>
      </c>
      <c r="B244" s="1" t="n">
        <v>43796</v>
      </c>
      <c r="C244" s="1" t="n">
        <v>45760</v>
      </c>
      <c r="D244" t="inlineStr">
        <is>
          <t>KALMAR LÄN</t>
        </is>
      </c>
      <c r="E244" t="inlineStr">
        <is>
          <t>VIMMERBY</t>
        </is>
      </c>
      <c r="G244" t="n">
        <v>4.6</v>
      </c>
      <c r="H244" t="n">
        <v>0</v>
      </c>
      <c r="I244" t="n">
        <v>0</v>
      </c>
      <c r="J244" t="n">
        <v>0</v>
      </c>
      <c r="K244" t="n">
        <v>0</v>
      </c>
      <c r="L244" t="n">
        <v>0</v>
      </c>
      <c r="M244" t="n">
        <v>0</v>
      </c>
      <c r="N244" t="n">
        <v>0</v>
      </c>
      <c r="O244" t="n">
        <v>0</v>
      </c>
      <c r="P244" t="n">
        <v>0</v>
      </c>
      <c r="Q244" t="n">
        <v>0</v>
      </c>
      <c r="R244" s="2" t="inlineStr"/>
    </row>
    <row r="245" ht="15" customHeight="1">
      <c r="A245" t="inlineStr">
        <is>
          <t>A 64345-2019</t>
        </is>
      </c>
      <c r="B245" s="1" t="n">
        <v>43797</v>
      </c>
      <c r="C245" s="1" t="n">
        <v>45760</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64334-2019</t>
        </is>
      </c>
      <c r="B246" s="1" t="n">
        <v>43797</v>
      </c>
      <c r="C246" s="1" t="n">
        <v>45760</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65267-2019</t>
        </is>
      </c>
      <c r="B247" s="1" t="n">
        <v>43802</v>
      </c>
      <c r="C247" s="1" t="n">
        <v>45760</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66169-2019</t>
        </is>
      </c>
      <c r="B248" s="1" t="n">
        <v>43808</v>
      </c>
      <c r="C248" s="1" t="n">
        <v>45760</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66172-2019</t>
        </is>
      </c>
      <c r="B249" s="1" t="n">
        <v>43808</v>
      </c>
      <c r="C249" s="1" t="n">
        <v>45760</v>
      </c>
      <c r="D249" t="inlineStr">
        <is>
          <t>KALMAR LÄN</t>
        </is>
      </c>
      <c r="E249" t="inlineStr">
        <is>
          <t>VIMMERBY</t>
        </is>
      </c>
      <c r="G249" t="n">
        <v>3.6</v>
      </c>
      <c r="H249" t="n">
        <v>0</v>
      </c>
      <c r="I249" t="n">
        <v>0</v>
      </c>
      <c r="J249" t="n">
        <v>0</v>
      </c>
      <c r="K249" t="n">
        <v>0</v>
      </c>
      <c r="L249" t="n">
        <v>0</v>
      </c>
      <c r="M249" t="n">
        <v>0</v>
      </c>
      <c r="N249" t="n">
        <v>0</v>
      </c>
      <c r="O249" t="n">
        <v>0</v>
      </c>
      <c r="P249" t="n">
        <v>0</v>
      </c>
      <c r="Q249" t="n">
        <v>0</v>
      </c>
      <c r="R249" s="2" t="inlineStr"/>
    </row>
    <row r="250" ht="15" customHeight="1">
      <c r="A250" t="inlineStr">
        <is>
          <t>A 66151-2019</t>
        </is>
      </c>
      <c r="B250" s="1" t="n">
        <v>43808</v>
      </c>
      <c r="C250" s="1" t="n">
        <v>45760</v>
      </c>
      <c r="D250" t="inlineStr">
        <is>
          <t>KALMAR LÄN</t>
        </is>
      </c>
      <c r="E250" t="inlineStr">
        <is>
          <t>VIMMERBY</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67293-2019</t>
        </is>
      </c>
      <c r="B251" s="1" t="n">
        <v>43812</v>
      </c>
      <c r="C251" s="1" t="n">
        <v>45760</v>
      </c>
      <c r="D251" t="inlineStr">
        <is>
          <t>KALMAR LÄN</t>
        </is>
      </c>
      <c r="E251" t="inlineStr">
        <is>
          <t>VIMMERBY</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67359-2019</t>
        </is>
      </c>
      <c r="B252" s="1" t="n">
        <v>43812</v>
      </c>
      <c r="C252" s="1" t="n">
        <v>45760</v>
      </c>
      <c r="D252" t="inlineStr">
        <is>
          <t>KALMAR LÄN</t>
        </is>
      </c>
      <c r="E252" t="inlineStr">
        <is>
          <t>VIMMERBY</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67346-2019</t>
        </is>
      </c>
      <c r="B253" s="1" t="n">
        <v>43812</v>
      </c>
      <c r="C253" s="1" t="n">
        <v>45760</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447-2020</t>
        </is>
      </c>
      <c r="B254" s="1" t="n">
        <v>43837</v>
      </c>
      <c r="C254" s="1" t="n">
        <v>45760</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306-2020</t>
        </is>
      </c>
      <c r="B255" s="1" t="n">
        <v>43837</v>
      </c>
      <c r="C255" s="1" t="n">
        <v>45760</v>
      </c>
      <c r="D255" t="inlineStr">
        <is>
          <t>KALMAR LÄN</t>
        </is>
      </c>
      <c r="E255" t="inlineStr">
        <is>
          <t>VIMMERBY</t>
        </is>
      </c>
      <c r="G255" t="n">
        <v>9.9</v>
      </c>
      <c r="H255" t="n">
        <v>0</v>
      </c>
      <c r="I255" t="n">
        <v>0</v>
      </c>
      <c r="J255" t="n">
        <v>0</v>
      </c>
      <c r="K255" t="n">
        <v>0</v>
      </c>
      <c r="L255" t="n">
        <v>0</v>
      </c>
      <c r="M255" t="n">
        <v>0</v>
      </c>
      <c r="N255" t="n">
        <v>0</v>
      </c>
      <c r="O255" t="n">
        <v>0</v>
      </c>
      <c r="P255" t="n">
        <v>0</v>
      </c>
      <c r="Q255" t="n">
        <v>0</v>
      </c>
      <c r="R255" s="2" t="inlineStr"/>
    </row>
    <row r="256" ht="15" customHeight="1">
      <c r="A256" t="inlineStr">
        <is>
          <t>A 593-2020</t>
        </is>
      </c>
      <c r="B256" s="1" t="n">
        <v>43838</v>
      </c>
      <c r="C256" s="1" t="n">
        <v>45760</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2473-2020</t>
        </is>
      </c>
      <c r="B257" s="1" t="n">
        <v>43840</v>
      </c>
      <c r="C257" s="1" t="n">
        <v>45760</v>
      </c>
      <c r="D257" t="inlineStr">
        <is>
          <t>KALMAR LÄN</t>
        </is>
      </c>
      <c r="E257" t="inlineStr">
        <is>
          <t>VIMMERBY</t>
        </is>
      </c>
      <c r="G257" t="n">
        <v>4.5</v>
      </c>
      <c r="H257" t="n">
        <v>0</v>
      </c>
      <c r="I257" t="n">
        <v>0</v>
      </c>
      <c r="J257" t="n">
        <v>0</v>
      </c>
      <c r="K257" t="n">
        <v>0</v>
      </c>
      <c r="L257" t="n">
        <v>0</v>
      </c>
      <c r="M257" t="n">
        <v>0</v>
      </c>
      <c r="N257" t="n">
        <v>0</v>
      </c>
      <c r="O257" t="n">
        <v>0</v>
      </c>
      <c r="P257" t="n">
        <v>0</v>
      </c>
      <c r="Q257" t="n">
        <v>0</v>
      </c>
      <c r="R257" s="2" t="inlineStr"/>
    </row>
    <row r="258" ht="15" customHeight="1">
      <c r="A258" t="inlineStr">
        <is>
          <t>A 1967-2020</t>
        </is>
      </c>
      <c r="B258" s="1" t="n">
        <v>43845</v>
      </c>
      <c r="C258" s="1" t="n">
        <v>45760</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2070-2020</t>
        </is>
      </c>
      <c r="B259" s="1" t="n">
        <v>43845</v>
      </c>
      <c r="C259" s="1" t="n">
        <v>45760</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3434-2020</t>
        </is>
      </c>
      <c r="B260" s="1" t="n">
        <v>43845</v>
      </c>
      <c r="C260" s="1" t="n">
        <v>45760</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2756-2020</t>
        </is>
      </c>
      <c r="B261" s="1" t="n">
        <v>43850</v>
      </c>
      <c r="C261" s="1" t="n">
        <v>45760</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2856-2020</t>
        </is>
      </c>
      <c r="B262" s="1" t="n">
        <v>43850</v>
      </c>
      <c r="C262" s="1" t="n">
        <v>45760</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3211-2020</t>
        </is>
      </c>
      <c r="B263" s="1" t="n">
        <v>43851</v>
      </c>
      <c r="C263" s="1" t="n">
        <v>45760</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3414-2020</t>
        </is>
      </c>
      <c r="B264" s="1" t="n">
        <v>43852</v>
      </c>
      <c r="C264" s="1" t="n">
        <v>45760</v>
      </c>
      <c r="D264" t="inlineStr">
        <is>
          <t>KALMAR LÄN</t>
        </is>
      </c>
      <c r="E264" t="inlineStr">
        <is>
          <t>VIMMERBY</t>
        </is>
      </c>
      <c r="G264" t="n">
        <v>4</v>
      </c>
      <c r="H264" t="n">
        <v>0</v>
      </c>
      <c r="I264" t="n">
        <v>0</v>
      </c>
      <c r="J264" t="n">
        <v>0</v>
      </c>
      <c r="K264" t="n">
        <v>0</v>
      </c>
      <c r="L264" t="n">
        <v>0</v>
      </c>
      <c r="M264" t="n">
        <v>0</v>
      </c>
      <c r="N264" t="n">
        <v>0</v>
      </c>
      <c r="O264" t="n">
        <v>0</v>
      </c>
      <c r="P264" t="n">
        <v>0</v>
      </c>
      <c r="Q264" t="n">
        <v>0</v>
      </c>
      <c r="R264" s="2" t="inlineStr"/>
    </row>
    <row r="265" ht="15" customHeight="1">
      <c r="A265" t="inlineStr">
        <is>
          <t>A 3672-2020</t>
        </is>
      </c>
      <c r="B265" s="1" t="n">
        <v>43853</v>
      </c>
      <c r="C265" s="1" t="n">
        <v>45760</v>
      </c>
      <c r="D265" t="inlineStr">
        <is>
          <t>KALMAR LÄN</t>
        </is>
      </c>
      <c r="E265" t="inlineStr">
        <is>
          <t>VIMMERBY</t>
        </is>
      </c>
      <c r="G265" t="n">
        <v>3.7</v>
      </c>
      <c r="H265" t="n">
        <v>0</v>
      </c>
      <c r="I265" t="n">
        <v>0</v>
      </c>
      <c r="J265" t="n">
        <v>0</v>
      </c>
      <c r="K265" t="n">
        <v>0</v>
      </c>
      <c r="L265" t="n">
        <v>0</v>
      </c>
      <c r="M265" t="n">
        <v>0</v>
      </c>
      <c r="N265" t="n">
        <v>0</v>
      </c>
      <c r="O265" t="n">
        <v>0</v>
      </c>
      <c r="P265" t="n">
        <v>0</v>
      </c>
      <c r="Q265" t="n">
        <v>0</v>
      </c>
      <c r="R265" s="2" t="inlineStr"/>
    </row>
    <row r="266" ht="15" customHeight="1">
      <c r="A266" t="inlineStr">
        <is>
          <t>A 5047-2020</t>
        </is>
      </c>
      <c r="B266" s="1" t="n">
        <v>43853</v>
      </c>
      <c r="C266" s="1" t="n">
        <v>45760</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5043-2020</t>
        </is>
      </c>
      <c r="B267" s="1" t="n">
        <v>43853</v>
      </c>
      <c r="C267" s="1" t="n">
        <v>45760</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4194-2020</t>
        </is>
      </c>
      <c r="B268" s="1" t="n">
        <v>43857</v>
      </c>
      <c r="C268" s="1" t="n">
        <v>45760</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5362-2020</t>
        </is>
      </c>
      <c r="B269" s="1" t="n">
        <v>43857</v>
      </c>
      <c r="C269" s="1" t="n">
        <v>45760</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4472-2020</t>
        </is>
      </c>
      <c r="B270" s="1" t="n">
        <v>43858</v>
      </c>
      <c r="C270" s="1" t="n">
        <v>45760</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5548-2020</t>
        </is>
      </c>
      <c r="B271" s="1" t="n">
        <v>43861</v>
      </c>
      <c r="C271" s="1" t="n">
        <v>45760</v>
      </c>
      <c r="D271" t="inlineStr">
        <is>
          <t>KALMAR LÄN</t>
        </is>
      </c>
      <c r="E271" t="inlineStr">
        <is>
          <t>VIMMERBY</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6042-2020</t>
        </is>
      </c>
      <c r="B272" s="1" t="n">
        <v>43865</v>
      </c>
      <c r="C272" s="1" t="n">
        <v>45760</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7870-2020</t>
        </is>
      </c>
      <c r="B273" s="1" t="n">
        <v>43873</v>
      </c>
      <c r="C273" s="1" t="n">
        <v>45760</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8691-2020</t>
        </is>
      </c>
      <c r="B274" s="1" t="n">
        <v>43878</v>
      </c>
      <c r="C274" s="1" t="n">
        <v>45760</v>
      </c>
      <c r="D274" t="inlineStr">
        <is>
          <t>KALMAR LÄN</t>
        </is>
      </c>
      <c r="E274" t="inlineStr">
        <is>
          <t>VIMMERBY</t>
        </is>
      </c>
      <c r="G274" t="n">
        <v>5.1</v>
      </c>
      <c r="H274" t="n">
        <v>0</v>
      </c>
      <c r="I274" t="n">
        <v>0</v>
      </c>
      <c r="J274" t="n">
        <v>0</v>
      </c>
      <c r="K274" t="n">
        <v>0</v>
      </c>
      <c r="L274" t="n">
        <v>0</v>
      </c>
      <c r="M274" t="n">
        <v>0</v>
      </c>
      <c r="N274" t="n">
        <v>0</v>
      </c>
      <c r="O274" t="n">
        <v>0</v>
      </c>
      <c r="P274" t="n">
        <v>0</v>
      </c>
      <c r="Q274" t="n">
        <v>0</v>
      </c>
      <c r="R274" s="2" t="inlineStr"/>
    </row>
    <row r="275" ht="15" customHeight="1">
      <c r="A275" t="inlineStr">
        <is>
          <t>A 9151-2020</t>
        </is>
      </c>
      <c r="B275" s="1" t="n">
        <v>43879</v>
      </c>
      <c r="C275" s="1" t="n">
        <v>45760</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9382-2020</t>
        </is>
      </c>
      <c r="B276" s="1" t="n">
        <v>43880</v>
      </c>
      <c r="C276" s="1" t="n">
        <v>45760</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9718-2020</t>
        </is>
      </c>
      <c r="B277" s="1" t="n">
        <v>43881</v>
      </c>
      <c r="C277" s="1" t="n">
        <v>45760</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10474-2020</t>
        </is>
      </c>
      <c r="B278" s="1" t="n">
        <v>43887</v>
      </c>
      <c r="C278" s="1" t="n">
        <v>45760</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10484-2020</t>
        </is>
      </c>
      <c r="B279" s="1" t="n">
        <v>43887</v>
      </c>
      <c r="C279" s="1" t="n">
        <v>45760</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10923-2020</t>
        </is>
      </c>
      <c r="B280" s="1" t="n">
        <v>43889</v>
      </c>
      <c r="C280" s="1" t="n">
        <v>45760</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11243-2020</t>
        </is>
      </c>
      <c r="B281" s="1" t="n">
        <v>43892</v>
      </c>
      <c r="C281" s="1" t="n">
        <v>45760</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12823-2020</t>
        </is>
      </c>
      <c r="B282" s="1" t="n">
        <v>43899</v>
      </c>
      <c r="C282" s="1" t="n">
        <v>45760</v>
      </c>
      <c r="D282" t="inlineStr">
        <is>
          <t>KALMAR LÄN</t>
        </is>
      </c>
      <c r="E282" t="inlineStr">
        <is>
          <t>VIMMERBY</t>
        </is>
      </c>
      <c r="G282" t="n">
        <v>3.3</v>
      </c>
      <c r="H282" t="n">
        <v>0</v>
      </c>
      <c r="I282" t="n">
        <v>0</v>
      </c>
      <c r="J282" t="n">
        <v>0</v>
      </c>
      <c r="K282" t="n">
        <v>0</v>
      </c>
      <c r="L282" t="n">
        <v>0</v>
      </c>
      <c r="M282" t="n">
        <v>0</v>
      </c>
      <c r="N282" t="n">
        <v>0</v>
      </c>
      <c r="O282" t="n">
        <v>0</v>
      </c>
      <c r="P282" t="n">
        <v>0</v>
      </c>
      <c r="Q282" t="n">
        <v>0</v>
      </c>
      <c r="R282" s="2" t="inlineStr"/>
    </row>
    <row r="283" ht="15" customHeight="1">
      <c r="A283" t="inlineStr">
        <is>
          <t>A 13496-2020</t>
        </is>
      </c>
      <c r="B283" s="1" t="n">
        <v>43900</v>
      </c>
      <c r="C283" s="1" t="n">
        <v>45760</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14410-2020</t>
        </is>
      </c>
      <c r="B284" s="1" t="n">
        <v>43902</v>
      </c>
      <c r="C284" s="1" t="n">
        <v>45760</v>
      </c>
      <c r="D284" t="inlineStr">
        <is>
          <t>KALMAR LÄN</t>
        </is>
      </c>
      <c r="E284" t="inlineStr">
        <is>
          <t>VIMMERBY</t>
        </is>
      </c>
      <c r="G284" t="n">
        <v>2.7</v>
      </c>
      <c r="H284" t="n">
        <v>0</v>
      </c>
      <c r="I284" t="n">
        <v>0</v>
      </c>
      <c r="J284" t="n">
        <v>0</v>
      </c>
      <c r="K284" t="n">
        <v>0</v>
      </c>
      <c r="L284" t="n">
        <v>0</v>
      </c>
      <c r="M284" t="n">
        <v>0</v>
      </c>
      <c r="N284" t="n">
        <v>0</v>
      </c>
      <c r="O284" t="n">
        <v>0</v>
      </c>
      <c r="P284" t="n">
        <v>0</v>
      </c>
      <c r="Q284" t="n">
        <v>0</v>
      </c>
      <c r="R284" s="2" t="inlineStr"/>
    </row>
    <row r="285" ht="15" customHeight="1">
      <c r="A285" t="inlineStr">
        <is>
          <t>A 13606-2020</t>
        </is>
      </c>
      <c r="B285" s="1" t="n">
        <v>43903</v>
      </c>
      <c r="C285" s="1" t="n">
        <v>45760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14022-2020</t>
        </is>
      </c>
      <c r="B286" s="1" t="n">
        <v>43906</v>
      </c>
      <c r="C286" s="1" t="n">
        <v>45760</v>
      </c>
      <c r="D286" t="inlineStr">
        <is>
          <t>KALMAR LÄN</t>
        </is>
      </c>
      <c r="E286" t="inlineStr">
        <is>
          <t>VIMMERBY</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16222-2020</t>
        </is>
      </c>
      <c r="B287" s="1" t="n">
        <v>43917</v>
      </c>
      <c r="C287" s="1" t="n">
        <v>45760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18676-2020</t>
        </is>
      </c>
      <c r="B288" s="1" t="n">
        <v>43930</v>
      </c>
      <c r="C288" s="1" t="n">
        <v>45760</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18855-2020</t>
        </is>
      </c>
      <c r="B289" s="1" t="n">
        <v>43930</v>
      </c>
      <c r="C289" s="1" t="n">
        <v>45760</v>
      </c>
      <c r="D289" t="inlineStr">
        <is>
          <t>KALMAR LÄN</t>
        </is>
      </c>
      <c r="E289" t="inlineStr">
        <is>
          <t>VIMMERBY</t>
        </is>
      </c>
      <c r="G289" t="n">
        <v>2.9</v>
      </c>
      <c r="H289" t="n">
        <v>0</v>
      </c>
      <c r="I289" t="n">
        <v>0</v>
      </c>
      <c r="J289" t="n">
        <v>0</v>
      </c>
      <c r="K289" t="n">
        <v>0</v>
      </c>
      <c r="L289" t="n">
        <v>0</v>
      </c>
      <c r="M289" t="n">
        <v>0</v>
      </c>
      <c r="N289" t="n">
        <v>0</v>
      </c>
      <c r="O289" t="n">
        <v>0</v>
      </c>
      <c r="P289" t="n">
        <v>0</v>
      </c>
      <c r="Q289" t="n">
        <v>0</v>
      </c>
      <c r="R289" s="2" t="inlineStr"/>
    </row>
    <row r="290" ht="15" customHeight="1">
      <c r="A290" t="inlineStr">
        <is>
          <t>A 18885-2020</t>
        </is>
      </c>
      <c r="B290" s="1" t="n">
        <v>43935</v>
      </c>
      <c r="C290" s="1" t="n">
        <v>45760</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18909-2020</t>
        </is>
      </c>
      <c r="B291" s="1" t="n">
        <v>43935</v>
      </c>
      <c r="C291" s="1" t="n">
        <v>45760</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20291-2020</t>
        </is>
      </c>
      <c r="B292" s="1" t="n">
        <v>43945</v>
      </c>
      <c r="C292" s="1" t="n">
        <v>45760</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21408-2020</t>
        </is>
      </c>
      <c r="B293" s="1" t="n">
        <v>43955</v>
      </c>
      <c r="C293" s="1" t="n">
        <v>45760</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21581-2020</t>
        </is>
      </c>
      <c r="B294" s="1" t="n">
        <v>43956</v>
      </c>
      <c r="C294" s="1" t="n">
        <v>45760</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21891-2020</t>
        </is>
      </c>
      <c r="B295" s="1" t="n">
        <v>43958</v>
      </c>
      <c r="C295" s="1" t="n">
        <v>45760</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22267-2020</t>
        </is>
      </c>
      <c r="B296" s="1" t="n">
        <v>43962</v>
      </c>
      <c r="C296" s="1" t="n">
        <v>45760</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22574-2020</t>
        </is>
      </c>
      <c r="B297" s="1" t="n">
        <v>43963</v>
      </c>
      <c r="C297" s="1" t="n">
        <v>45760</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22637-2020</t>
        </is>
      </c>
      <c r="B298" s="1" t="n">
        <v>43963</v>
      </c>
      <c r="C298" s="1" t="n">
        <v>45760</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22828-2020</t>
        </is>
      </c>
      <c r="B299" s="1" t="n">
        <v>43964</v>
      </c>
      <c r="C299" s="1" t="n">
        <v>45760</v>
      </c>
      <c r="D299" t="inlineStr">
        <is>
          <t>KALMAR LÄN</t>
        </is>
      </c>
      <c r="E299" t="inlineStr">
        <is>
          <t>VIMMERBY</t>
        </is>
      </c>
      <c r="G299" t="n">
        <v>7.5</v>
      </c>
      <c r="H299" t="n">
        <v>0</v>
      </c>
      <c r="I299" t="n">
        <v>0</v>
      </c>
      <c r="J299" t="n">
        <v>0</v>
      </c>
      <c r="K299" t="n">
        <v>0</v>
      </c>
      <c r="L299" t="n">
        <v>0</v>
      </c>
      <c r="M299" t="n">
        <v>0</v>
      </c>
      <c r="N299" t="n">
        <v>0</v>
      </c>
      <c r="O299" t="n">
        <v>0</v>
      </c>
      <c r="P299" t="n">
        <v>0</v>
      </c>
      <c r="Q299" t="n">
        <v>0</v>
      </c>
      <c r="R299" s="2" t="inlineStr"/>
    </row>
    <row r="300" ht="15" customHeight="1">
      <c r="A300" t="inlineStr">
        <is>
          <t>A 23391-2020</t>
        </is>
      </c>
      <c r="B300" s="1" t="n">
        <v>43968</v>
      </c>
      <c r="C300" s="1" t="n">
        <v>45760</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23394-2020</t>
        </is>
      </c>
      <c r="B301" s="1" t="n">
        <v>43968</v>
      </c>
      <c r="C301" s="1" t="n">
        <v>45760</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23705-2020</t>
        </is>
      </c>
      <c r="B302" s="1" t="n">
        <v>43970</v>
      </c>
      <c r="C302" s="1" t="n">
        <v>45760</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23877-2020</t>
        </is>
      </c>
      <c r="B303" s="1" t="n">
        <v>43971</v>
      </c>
      <c r="C303" s="1" t="n">
        <v>45760</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24016-2020</t>
        </is>
      </c>
      <c r="B304" s="1" t="n">
        <v>43971</v>
      </c>
      <c r="C304" s="1" t="n">
        <v>45760</v>
      </c>
      <c r="D304" t="inlineStr">
        <is>
          <t>KALMAR LÄN</t>
        </is>
      </c>
      <c r="E304" t="inlineStr">
        <is>
          <t>VIMMERBY</t>
        </is>
      </c>
      <c r="G304" t="n">
        <v>4.5</v>
      </c>
      <c r="H304" t="n">
        <v>0</v>
      </c>
      <c r="I304" t="n">
        <v>0</v>
      </c>
      <c r="J304" t="n">
        <v>0</v>
      </c>
      <c r="K304" t="n">
        <v>0</v>
      </c>
      <c r="L304" t="n">
        <v>0</v>
      </c>
      <c r="M304" t="n">
        <v>0</v>
      </c>
      <c r="N304" t="n">
        <v>0</v>
      </c>
      <c r="O304" t="n">
        <v>0</v>
      </c>
      <c r="P304" t="n">
        <v>0</v>
      </c>
      <c r="Q304" t="n">
        <v>0</v>
      </c>
      <c r="R304" s="2" t="inlineStr"/>
    </row>
    <row r="305" ht="15" customHeight="1">
      <c r="A305" t="inlineStr">
        <is>
          <t>A 24770-2020</t>
        </is>
      </c>
      <c r="B305" s="1" t="n">
        <v>43978</v>
      </c>
      <c r="C305" s="1" t="n">
        <v>45760</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24784-2020</t>
        </is>
      </c>
      <c r="B306" s="1" t="n">
        <v>43978</v>
      </c>
      <c r="C306" s="1" t="n">
        <v>45760</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24782-2020</t>
        </is>
      </c>
      <c r="B307" s="1" t="n">
        <v>43978</v>
      </c>
      <c r="C307" s="1" t="n">
        <v>45760</v>
      </c>
      <c r="D307" t="inlineStr">
        <is>
          <t>KALMAR LÄN</t>
        </is>
      </c>
      <c r="E307" t="inlineStr">
        <is>
          <t>VIMMERBY</t>
        </is>
      </c>
      <c r="G307" t="n">
        <v>1.8</v>
      </c>
      <c r="H307" t="n">
        <v>0</v>
      </c>
      <c r="I307" t="n">
        <v>0</v>
      </c>
      <c r="J307" t="n">
        <v>0</v>
      </c>
      <c r="K307" t="n">
        <v>0</v>
      </c>
      <c r="L307" t="n">
        <v>0</v>
      </c>
      <c r="M307" t="n">
        <v>0</v>
      </c>
      <c r="N307" t="n">
        <v>0</v>
      </c>
      <c r="O307" t="n">
        <v>0</v>
      </c>
      <c r="P307" t="n">
        <v>0</v>
      </c>
      <c r="Q307" t="n">
        <v>0</v>
      </c>
      <c r="R307" s="2" t="inlineStr"/>
    </row>
    <row r="308" ht="15" customHeight="1">
      <c r="A308" t="inlineStr">
        <is>
          <t>A 25761-2020</t>
        </is>
      </c>
      <c r="B308" s="1" t="n">
        <v>43984</v>
      </c>
      <c r="C308" s="1" t="n">
        <v>45760</v>
      </c>
      <c r="D308" t="inlineStr">
        <is>
          <t>KALMAR LÄN</t>
        </is>
      </c>
      <c r="E308" t="inlineStr">
        <is>
          <t>VIMMERBY</t>
        </is>
      </c>
      <c r="G308" t="n">
        <v>2.3</v>
      </c>
      <c r="H308" t="n">
        <v>0</v>
      </c>
      <c r="I308" t="n">
        <v>0</v>
      </c>
      <c r="J308" t="n">
        <v>0</v>
      </c>
      <c r="K308" t="n">
        <v>0</v>
      </c>
      <c r="L308" t="n">
        <v>0</v>
      </c>
      <c r="M308" t="n">
        <v>0</v>
      </c>
      <c r="N308" t="n">
        <v>0</v>
      </c>
      <c r="O308" t="n">
        <v>0</v>
      </c>
      <c r="P308" t="n">
        <v>0</v>
      </c>
      <c r="Q308" t="n">
        <v>0</v>
      </c>
      <c r="R308" s="2" t="inlineStr"/>
    </row>
    <row r="309" ht="15" customHeight="1">
      <c r="A309" t="inlineStr">
        <is>
          <t>A 26723-2020</t>
        </is>
      </c>
      <c r="B309" s="1" t="n">
        <v>43990</v>
      </c>
      <c r="C309" s="1" t="n">
        <v>45760</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27104-2020</t>
        </is>
      </c>
      <c r="B310" s="1" t="n">
        <v>43991</v>
      </c>
      <c r="C310" s="1" t="n">
        <v>45760</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27212-2020</t>
        </is>
      </c>
      <c r="B311" s="1" t="n">
        <v>43992</v>
      </c>
      <c r="C311" s="1" t="n">
        <v>45760</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27316-2020</t>
        </is>
      </c>
      <c r="B312" s="1" t="n">
        <v>43992</v>
      </c>
      <c r="C312" s="1" t="n">
        <v>45760</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27214-2020</t>
        </is>
      </c>
      <c r="B313" s="1" t="n">
        <v>43992</v>
      </c>
      <c r="C313" s="1" t="n">
        <v>45760</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27213-2020</t>
        </is>
      </c>
      <c r="B314" s="1" t="n">
        <v>43992</v>
      </c>
      <c r="C314" s="1" t="n">
        <v>45760</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27236-2020</t>
        </is>
      </c>
      <c r="B315" s="1" t="n">
        <v>43992</v>
      </c>
      <c r="C315" s="1" t="n">
        <v>45760</v>
      </c>
      <c r="D315" t="inlineStr">
        <is>
          <t>KALMAR LÄN</t>
        </is>
      </c>
      <c r="E315" t="inlineStr">
        <is>
          <t>VIMMERBY</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28853-2020</t>
        </is>
      </c>
      <c r="B316" s="1" t="n">
        <v>44000</v>
      </c>
      <c r="C316" s="1" t="n">
        <v>45760</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28885-2020</t>
        </is>
      </c>
      <c r="B317" s="1" t="n">
        <v>44000</v>
      </c>
      <c r="C317" s="1" t="n">
        <v>45760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28969-2020</t>
        </is>
      </c>
      <c r="B318" s="1" t="n">
        <v>44000</v>
      </c>
      <c r="C318" s="1" t="n">
        <v>45760</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29235-2020</t>
        </is>
      </c>
      <c r="B319" s="1" t="n">
        <v>44004</v>
      </c>
      <c r="C319" s="1" t="n">
        <v>45760</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29913-2020</t>
        </is>
      </c>
      <c r="B320" s="1" t="n">
        <v>44006</v>
      </c>
      <c r="C320" s="1" t="n">
        <v>45760</v>
      </c>
      <c r="D320" t="inlineStr">
        <is>
          <t>KALMAR LÄN</t>
        </is>
      </c>
      <c r="E320" t="inlineStr">
        <is>
          <t>VIMMERBY</t>
        </is>
      </c>
      <c r="F320" t="inlineStr">
        <is>
          <t>Kommuner</t>
        </is>
      </c>
      <c r="G320" t="n">
        <v>3.8</v>
      </c>
      <c r="H320" t="n">
        <v>0</v>
      </c>
      <c r="I320" t="n">
        <v>0</v>
      </c>
      <c r="J320" t="n">
        <v>0</v>
      </c>
      <c r="K320" t="n">
        <v>0</v>
      </c>
      <c r="L320" t="n">
        <v>0</v>
      </c>
      <c r="M320" t="n">
        <v>0</v>
      </c>
      <c r="N320" t="n">
        <v>0</v>
      </c>
      <c r="O320" t="n">
        <v>0</v>
      </c>
      <c r="P320" t="n">
        <v>0</v>
      </c>
      <c r="Q320" t="n">
        <v>0</v>
      </c>
      <c r="R320" s="2" t="inlineStr"/>
    </row>
    <row r="321" ht="15" customHeight="1">
      <c r="A321" t="inlineStr">
        <is>
          <t>A 29918-2020</t>
        </is>
      </c>
      <c r="B321" s="1" t="n">
        <v>44006</v>
      </c>
      <c r="C321" s="1" t="n">
        <v>45760</v>
      </c>
      <c r="D321" t="inlineStr">
        <is>
          <t>KALMAR LÄN</t>
        </is>
      </c>
      <c r="E321" t="inlineStr">
        <is>
          <t>VIMMERBY</t>
        </is>
      </c>
      <c r="F321" t="inlineStr">
        <is>
          <t>Kommuner</t>
        </is>
      </c>
      <c r="G321" t="n">
        <v>2.5</v>
      </c>
      <c r="H321" t="n">
        <v>0</v>
      </c>
      <c r="I321" t="n">
        <v>0</v>
      </c>
      <c r="J321" t="n">
        <v>0</v>
      </c>
      <c r="K321" t="n">
        <v>0</v>
      </c>
      <c r="L321" t="n">
        <v>0</v>
      </c>
      <c r="M321" t="n">
        <v>0</v>
      </c>
      <c r="N321" t="n">
        <v>0</v>
      </c>
      <c r="O321" t="n">
        <v>0</v>
      </c>
      <c r="P321" t="n">
        <v>0</v>
      </c>
      <c r="Q321" t="n">
        <v>0</v>
      </c>
      <c r="R321" s="2" t="inlineStr"/>
    </row>
    <row r="322" ht="15" customHeight="1">
      <c r="A322" t="inlineStr">
        <is>
          <t>A 29979-2020</t>
        </is>
      </c>
      <c r="B322" s="1" t="n">
        <v>44006</v>
      </c>
      <c r="C322" s="1" t="n">
        <v>45760</v>
      </c>
      <c r="D322" t="inlineStr">
        <is>
          <t>KALMAR LÄN</t>
        </is>
      </c>
      <c r="E322" t="inlineStr">
        <is>
          <t>VIMMERBY</t>
        </is>
      </c>
      <c r="F322" t="inlineStr">
        <is>
          <t>Kommuner</t>
        </is>
      </c>
      <c r="G322" t="n">
        <v>1.4</v>
      </c>
      <c r="H322" t="n">
        <v>0</v>
      </c>
      <c r="I322" t="n">
        <v>0</v>
      </c>
      <c r="J322" t="n">
        <v>0</v>
      </c>
      <c r="K322" t="n">
        <v>0</v>
      </c>
      <c r="L322" t="n">
        <v>0</v>
      </c>
      <c r="M322" t="n">
        <v>0</v>
      </c>
      <c r="N322" t="n">
        <v>0</v>
      </c>
      <c r="O322" t="n">
        <v>0</v>
      </c>
      <c r="P322" t="n">
        <v>0</v>
      </c>
      <c r="Q322" t="n">
        <v>0</v>
      </c>
      <c r="R322" s="2" t="inlineStr"/>
    </row>
    <row r="323" ht="15" customHeight="1">
      <c r="A323" t="inlineStr">
        <is>
          <t>A 29935-2020</t>
        </is>
      </c>
      <c r="B323" s="1" t="n">
        <v>44006</v>
      </c>
      <c r="C323" s="1" t="n">
        <v>45760</v>
      </c>
      <c r="D323" t="inlineStr">
        <is>
          <t>KALMAR LÄN</t>
        </is>
      </c>
      <c r="E323" t="inlineStr">
        <is>
          <t>VIMMERBY</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30206-2020</t>
        </is>
      </c>
      <c r="B324" s="1" t="n">
        <v>44007</v>
      </c>
      <c r="C324" s="1" t="n">
        <v>45760</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31289-2020</t>
        </is>
      </c>
      <c r="B325" s="1" t="n">
        <v>44012</v>
      </c>
      <c r="C325" s="1" t="n">
        <v>45760</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33159-2020</t>
        </is>
      </c>
      <c r="B326" s="1" t="n">
        <v>44021</v>
      </c>
      <c r="C326" s="1" t="n">
        <v>45760</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33279-2020</t>
        </is>
      </c>
      <c r="B327" s="1" t="n">
        <v>44022</v>
      </c>
      <c r="C327" s="1" t="n">
        <v>45760</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33856-2020</t>
        </is>
      </c>
      <c r="B328" s="1" t="n">
        <v>44027</v>
      </c>
      <c r="C328" s="1" t="n">
        <v>45760</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34350-2020</t>
        </is>
      </c>
      <c r="B329" s="1" t="n">
        <v>44028</v>
      </c>
      <c r="C329" s="1" t="n">
        <v>45760</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34345-2020</t>
        </is>
      </c>
      <c r="B330" s="1" t="n">
        <v>44028</v>
      </c>
      <c r="C330" s="1" t="n">
        <v>45760</v>
      </c>
      <c r="D330" t="inlineStr">
        <is>
          <t>KALMAR LÄN</t>
        </is>
      </c>
      <c r="E330" t="inlineStr">
        <is>
          <t>VIMMERBY</t>
        </is>
      </c>
      <c r="G330" t="n">
        <v>5.1</v>
      </c>
      <c r="H330" t="n">
        <v>0</v>
      </c>
      <c r="I330" t="n">
        <v>0</v>
      </c>
      <c r="J330" t="n">
        <v>0</v>
      </c>
      <c r="K330" t="n">
        <v>0</v>
      </c>
      <c r="L330" t="n">
        <v>0</v>
      </c>
      <c r="M330" t="n">
        <v>0</v>
      </c>
      <c r="N330" t="n">
        <v>0</v>
      </c>
      <c r="O330" t="n">
        <v>0</v>
      </c>
      <c r="P330" t="n">
        <v>0</v>
      </c>
      <c r="Q330" t="n">
        <v>0</v>
      </c>
      <c r="R330" s="2" t="inlineStr"/>
    </row>
    <row r="331" ht="15" customHeight="1">
      <c r="A331" t="inlineStr">
        <is>
          <t>A 34719-2020</t>
        </is>
      </c>
      <c r="B331" s="1" t="n">
        <v>44035</v>
      </c>
      <c r="C331" s="1" t="n">
        <v>45760</v>
      </c>
      <c r="D331" t="inlineStr">
        <is>
          <t>KALMAR LÄN</t>
        </is>
      </c>
      <c r="E331" t="inlineStr">
        <is>
          <t>VIMMERBY</t>
        </is>
      </c>
      <c r="G331" t="n">
        <v>3.5</v>
      </c>
      <c r="H331" t="n">
        <v>0</v>
      </c>
      <c r="I331" t="n">
        <v>0</v>
      </c>
      <c r="J331" t="n">
        <v>0</v>
      </c>
      <c r="K331" t="n">
        <v>0</v>
      </c>
      <c r="L331" t="n">
        <v>0</v>
      </c>
      <c r="M331" t="n">
        <v>0</v>
      </c>
      <c r="N331" t="n">
        <v>0</v>
      </c>
      <c r="O331" t="n">
        <v>0</v>
      </c>
      <c r="P331" t="n">
        <v>0</v>
      </c>
      <c r="Q331" t="n">
        <v>0</v>
      </c>
      <c r="R331" s="2" t="inlineStr"/>
    </row>
    <row r="332" ht="15" customHeight="1">
      <c r="A332" t="inlineStr">
        <is>
          <t>A 34907-2020</t>
        </is>
      </c>
      <c r="B332" s="1" t="n">
        <v>44036</v>
      </c>
      <c r="C332" s="1" t="n">
        <v>45760</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35350-2020</t>
        </is>
      </c>
      <c r="B333" s="1" t="n">
        <v>44041</v>
      </c>
      <c r="C333" s="1" t="n">
        <v>45760</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35462-2020</t>
        </is>
      </c>
      <c r="B334" s="1" t="n">
        <v>44042</v>
      </c>
      <c r="C334" s="1" t="n">
        <v>45760</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35886-2020</t>
        </is>
      </c>
      <c r="B335" s="1" t="n">
        <v>44047</v>
      </c>
      <c r="C335" s="1" t="n">
        <v>45760</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36085-2020</t>
        </is>
      </c>
      <c r="B336" s="1" t="n">
        <v>44048</v>
      </c>
      <c r="C336" s="1" t="n">
        <v>45760</v>
      </c>
      <c r="D336" t="inlineStr">
        <is>
          <t>KALMAR LÄN</t>
        </is>
      </c>
      <c r="E336" t="inlineStr">
        <is>
          <t>VIMMERBY</t>
        </is>
      </c>
      <c r="G336" t="n">
        <v>2.5</v>
      </c>
      <c r="H336" t="n">
        <v>0</v>
      </c>
      <c r="I336" t="n">
        <v>0</v>
      </c>
      <c r="J336" t="n">
        <v>0</v>
      </c>
      <c r="K336" t="n">
        <v>0</v>
      </c>
      <c r="L336" t="n">
        <v>0</v>
      </c>
      <c r="M336" t="n">
        <v>0</v>
      </c>
      <c r="N336" t="n">
        <v>0</v>
      </c>
      <c r="O336" t="n">
        <v>0</v>
      </c>
      <c r="P336" t="n">
        <v>0</v>
      </c>
      <c r="Q336" t="n">
        <v>0</v>
      </c>
      <c r="R336" s="2" t="inlineStr"/>
    </row>
    <row r="337" ht="15" customHeight="1">
      <c r="A337" t="inlineStr">
        <is>
          <t>A 36161-2020</t>
        </is>
      </c>
      <c r="B337" s="1" t="n">
        <v>44048</v>
      </c>
      <c r="C337" s="1" t="n">
        <v>45760</v>
      </c>
      <c r="D337" t="inlineStr">
        <is>
          <t>KALMAR LÄN</t>
        </is>
      </c>
      <c r="E337" t="inlineStr">
        <is>
          <t>VIMMERBY</t>
        </is>
      </c>
      <c r="G337" t="n">
        <v>12.5</v>
      </c>
      <c r="H337" t="n">
        <v>0</v>
      </c>
      <c r="I337" t="n">
        <v>0</v>
      </c>
      <c r="J337" t="n">
        <v>0</v>
      </c>
      <c r="K337" t="n">
        <v>0</v>
      </c>
      <c r="L337" t="n">
        <v>0</v>
      </c>
      <c r="M337" t="n">
        <v>0</v>
      </c>
      <c r="N337" t="n">
        <v>0</v>
      </c>
      <c r="O337" t="n">
        <v>0</v>
      </c>
      <c r="P337" t="n">
        <v>0</v>
      </c>
      <c r="Q337" t="n">
        <v>0</v>
      </c>
      <c r="R337" s="2" t="inlineStr"/>
    </row>
    <row r="338" ht="15" customHeight="1">
      <c r="A338" t="inlineStr">
        <is>
          <t>A 37104-2020</t>
        </is>
      </c>
      <c r="B338" s="1" t="n">
        <v>44054</v>
      </c>
      <c r="C338" s="1" t="n">
        <v>45760</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37201-2020</t>
        </is>
      </c>
      <c r="B339" s="1" t="n">
        <v>44054</v>
      </c>
      <c r="C339" s="1" t="n">
        <v>45760</v>
      </c>
      <c r="D339" t="inlineStr">
        <is>
          <t>KALMAR LÄN</t>
        </is>
      </c>
      <c r="E339" t="inlineStr">
        <is>
          <t>VIMMERBY</t>
        </is>
      </c>
      <c r="G339" t="n">
        <v>3.6</v>
      </c>
      <c r="H339" t="n">
        <v>0</v>
      </c>
      <c r="I339" t="n">
        <v>0</v>
      </c>
      <c r="J339" t="n">
        <v>0</v>
      </c>
      <c r="K339" t="n">
        <v>0</v>
      </c>
      <c r="L339" t="n">
        <v>0</v>
      </c>
      <c r="M339" t="n">
        <v>0</v>
      </c>
      <c r="N339" t="n">
        <v>0</v>
      </c>
      <c r="O339" t="n">
        <v>0</v>
      </c>
      <c r="P339" t="n">
        <v>0</v>
      </c>
      <c r="Q339" t="n">
        <v>0</v>
      </c>
      <c r="R339" s="2" t="inlineStr"/>
    </row>
    <row r="340" ht="15" customHeight="1">
      <c r="A340" t="inlineStr">
        <is>
          <t>A 37078-2020</t>
        </is>
      </c>
      <c r="B340" s="1" t="n">
        <v>44054</v>
      </c>
      <c r="C340" s="1" t="n">
        <v>45760</v>
      </c>
      <c r="D340" t="inlineStr">
        <is>
          <t>KALMAR LÄN</t>
        </is>
      </c>
      <c r="E340" t="inlineStr">
        <is>
          <t>VIMMERBY</t>
        </is>
      </c>
      <c r="G340" t="n">
        <v>4.5</v>
      </c>
      <c r="H340" t="n">
        <v>0</v>
      </c>
      <c r="I340" t="n">
        <v>0</v>
      </c>
      <c r="J340" t="n">
        <v>0</v>
      </c>
      <c r="K340" t="n">
        <v>0</v>
      </c>
      <c r="L340" t="n">
        <v>0</v>
      </c>
      <c r="M340" t="n">
        <v>0</v>
      </c>
      <c r="N340" t="n">
        <v>0</v>
      </c>
      <c r="O340" t="n">
        <v>0</v>
      </c>
      <c r="P340" t="n">
        <v>0</v>
      </c>
      <c r="Q340" t="n">
        <v>0</v>
      </c>
      <c r="R340" s="2" t="inlineStr"/>
    </row>
    <row r="341" ht="15" customHeight="1">
      <c r="A341" t="inlineStr">
        <is>
          <t>A 37362-2020</t>
        </is>
      </c>
      <c r="B341" s="1" t="n">
        <v>44055</v>
      </c>
      <c r="C341" s="1" t="n">
        <v>45760</v>
      </c>
      <c r="D341" t="inlineStr">
        <is>
          <t>KALMAR LÄN</t>
        </is>
      </c>
      <c r="E341" t="inlineStr">
        <is>
          <t>VIMMERBY</t>
        </is>
      </c>
      <c r="F341" t="inlineStr">
        <is>
          <t>Övriga Aktiebolag</t>
        </is>
      </c>
      <c r="G341" t="n">
        <v>3</v>
      </c>
      <c r="H341" t="n">
        <v>0</v>
      </c>
      <c r="I341" t="n">
        <v>0</v>
      </c>
      <c r="J341" t="n">
        <v>0</v>
      </c>
      <c r="K341" t="n">
        <v>0</v>
      </c>
      <c r="L341" t="n">
        <v>0</v>
      </c>
      <c r="M341" t="n">
        <v>0</v>
      </c>
      <c r="N341" t="n">
        <v>0</v>
      </c>
      <c r="O341" t="n">
        <v>0</v>
      </c>
      <c r="P341" t="n">
        <v>0</v>
      </c>
      <c r="Q341" t="n">
        <v>0</v>
      </c>
      <c r="R341" s="2" t="inlineStr"/>
    </row>
    <row r="342" ht="15" customHeight="1">
      <c r="A342" t="inlineStr">
        <is>
          <t>A 37813-2020</t>
        </is>
      </c>
      <c r="B342" s="1" t="n">
        <v>44057</v>
      </c>
      <c r="C342" s="1" t="n">
        <v>45760</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37973-2020</t>
        </is>
      </c>
      <c r="B343" s="1" t="n">
        <v>44057</v>
      </c>
      <c r="C343" s="1" t="n">
        <v>45760</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38153-2020</t>
        </is>
      </c>
      <c r="B344" s="1" t="n">
        <v>44060</v>
      </c>
      <c r="C344" s="1" t="n">
        <v>45760</v>
      </c>
      <c r="D344" t="inlineStr">
        <is>
          <t>KALMAR LÄN</t>
        </is>
      </c>
      <c r="E344" t="inlineStr">
        <is>
          <t>VIMMERBY</t>
        </is>
      </c>
      <c r="G344" t="n">
        <v>6</v>
      </c>
      <c r="H344" t="n">
        <v>0</v>
      </c>
      <c r="I344" t="n">
        <v>0</v>
      </c>
      <c r="J344" t="n">
        <v>0</v>
      </c>
      <c r="K344" t="n">
        <v>0</v>
      </c>
      <c r="L344" t="n">
        <v>0</v>
      </c>
      <c r="M344" t="n">
        <v>0</v>
      </c>
      <c r="N344" t="n">
        <v>0</v>
      </c>
      <c r="O344" t="n">
        <v>0</v>
      </c>
      <c r="P344" t="n">
        <v>0</v>
      </c>
      <c r="Q344" t="n">
        <v>0</v>
      </c>
      <c r="R344" s="2" t="inlineStr"/>
    </row>
    <row r="345" ht="15" customHeight="1">
      <c r="A345" t="inlineStr">
        <is>
          <t>A 38397-2020</t>
        </is>
      </c>
      <c r="B345" s="1" t="n">
        <v>44060</v>
      </c>
      <c r="C345" s="1" t="n">
        <v>45760</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38530-2020</t>
        </is>
      </c>
      <c r="B346" s="1" t="n">
        <v>44061</v>
      </c>
      <c r="C346" s="1" t="n">
        <v>45760</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38710-2020</t>
        </is>
      </c>
      <c r="B347" s="1" t="n">
        <v>44061</v>
      </c>
      <c r="C347" s="1" t="n">
        <v>45760</v>
      </c>
      <c r="D347" t="inlineStr">
        <is>
          <t>KALMAR LÄN</t>
        </is>
      </c>
      <c r="E347" t="inlineStr">
        <is>
          <t>VIMMERBY</t>
        </is>
      </c>
      <c r="G347" t="n">
        <v>2.2</v>
      </c>
      <c r="H347" t="n">
        <v>0</v>
      </c>
      <c r="I347" t="n">
        <v>0</v>
      </c>
      <c r="J347" t="n">
        <v>0</v>
      </c>
      <c r="K347" t="n">
        <v>0</v>
      </c>
      <c r="L347" t="n">
        <v>0</v>
      </c>
      <c r="M347" t="n">
        <v>0</v>
      </c>
      <c r="N347" t="n">
        <v>0</v>
      </c>
      <c r="O347" t="n">
        <v>0</v>
      </c>
      <c r="P347" t="n">
        <v>0</v>
      </c>
      <c r="Q347" t="n">
        <v>0</v>
      </c>
      <c r="R347" s="2" t="inlineStr"/>
    </row>
    <row r="348" ht="15" customHeight="1">
      <c r="A348" t="inlineStr">
        <is>
          <t>A 38844-2020</t>
        </is>
      </c>
      <c r="B348" s="1" t="n">
        <v>44062</v>
      </c>
      <c r="C348" s="1" t="n">
        <v>45760</v>
      </c>
      <c r="D348" t="inlineStr">
        <is>
          <t>KALMAR LÄN</t>
        </is>
      </c>
      <c r="E348" t="inlineStr">
        <is>
          <t>VIMMERBY</t>
        </is>
      </c>
      <c r="G348" t="n">
        <v>3</v>
      </c>
      <c r="H348" t="n">
        <v>0</v>
      </c>
      <c r="I348" t="n">
        <v>0</v>
      </c>
      <c r="J348" t="n">
        <v>0</v>
      </c>
      <c r="K348" t="n">
        <v>0</v>
      </c>
      <c r="L348" t="n">
        <v>0</v>
      </c>
      <c r="M348" t="n">
        <v>0</v>
      </c>
      <c r="N348" t="n">
        <v>0</v>
      </c>
      <c r="O348" t="n">
        <v>0</v>
      </c>
      <c r="P348" t="n">
        <v>0</v>
      </c>
      <c r="Q348" t="n">
        <v>0</v>
      </c>
      <c r="R348" s="2" t="inlineStr"/>
    </row>
    <row r="349" ht="15" customHeight="1">
      <c r="A349" t="inlineStr">
        <is>
          <t>A 39191-2020</t>
        </is>
      </c>
      <c r="B349" s="1" t="n">
        <v>44063</v>
      </c>
      <c r="C349" s="1" t="n">
        <v>45760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39251-2020</t>
        </is>
      </c>
      <c r="B350" s="1" t="n">
        <v>44063</v>
      </c>
      <c r="C350" s="1" t="n">
        <v>45760</v>
      </c>
      <c r="D350" t="inlineStr">
        <is>
          <t>KALMAR LÄN</t>
        </is>
      </c>
      <c r="E350" t="inlineStr">
        <is>
          <t>VIMMERBY</t>
        </is>
      </c>
      <c r="G350" t="n">
        <v>6.1</v>
      </c>
      <c r="H350" t="n">
        <v>0</v>
      </c>
      <c r="I350" t="n">
        <v>0</v>
      </c>
      <c r="J350" t="n">
        <v>0</v>
      </c>
      <c r="K350" t="n">
        <v>0</v>
      </c>
      <c r="L350" t="n">
        <v>0</v>
      </c>
      <c r="M350" t="n">
        <v>0</v>
      </c>
      <c r="N350" t="n">
        <v>0</v>
      </c>
      <c r="O350" t="n">
        <v>0</v>
      </c>
      <c r="P350" t="n">
        <v>0</v>
      </c>
      <c r="Q350" t="n">
        <v>0</v>
      </c>
      <c r="R350" s="2" t="inlineStr"/>
    </row>
    <row r="351" ht="15" customHeight="1">
      <c r="A351" t="inlineStr">
        <is>
          <t>A 39125-2020</t>
        </is>
      </c>
      <c r="B351" s="1" t="n">
        <v>44063</v>
      </c>
      <c r="C351" s="1" t="n">
        <v>45760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39300-2020</t>
        </is>
      </c>
      <c r="B352" s="1" t="n">
        <v>44063</v>
      </c>
      <c r="C352" s="1" t="n">
        <v>45760</v>
      </c>
      <c r="D352" t="inlineStr">
        <is>
          <t>KALMAR LÄN</t>
        </is>
      </c>
      <c r="E352" t="inlineStr">
        <is>
          <t>VIMMERBY</t>
        </is>
      </c>
      <c r="G352" t="n">
        <v>5.1</v>
      </c>
      <c r="H352" t="n">
        <v>0</v>
      </c>
      <c r="I352" t="n">
        <v>0</v>
      </c>
      <c r="J352" t="n">
        <v>0</v>
      </c>
      <c r="K352" t="n">
        <v>0</v>
      </c>
      <c r="L352" t="n">
        <v>0</v>
      </c>
      <c r="M352" t="n">
        <v>0</v>
      </c>
      <c r="N352" t="n">
        <v>0</v>
      </c>
      <c r="O352" t="n">
        <v>0</v>
      </c>
      <c r="P352" t="n">
        <v>0</v>
      </c>
      <c r="Q352" t="n">
        <v>0</v>
      </c>
      <c r="R352" s="2" t="inlineStr"/>
    </row>
    <row r="353" ht="15" customHeight="1">
      <c r="A353" t="inlineStr">
        <is>
          <t>A 39288-2020</t>
        </is>
      </c>
      <c r="B353" s="1" t="n">
        <v>44063</v>
      </c>
      <c r="C353" s="1" t="n">
        <v>45760</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39508-2020</t>
        </is>
      </c>
      <c r="B354" s="1" t="n">
        <v>44064</v>
      </c>
      <c r="C354" s="1" t="n">
        <v>45760</v>
      </c>
      <c r="D354" t="inlineStr">
        <is>
          <t>KALMAR LÄN</t>
        </is>
      </c>
      <c r="E354" t="inlineStr">
        <is>
          <t>VIMMERBY</t>
        </is>
      </c>
      <c r="G354" t="n">
        <v>4.7</v>
      </c>
      <c r="H354" t="n">
        <v>0</v>
      </c>
      <c r="I354" t="n">
        <v>0</v>
      </c>
      <c r="J354" t="n">
        <v>0</v>
      </c>
      <c r="K354" t="n">
        <v>0</v>
      </c>
      <c r="L354" t="n">
        <v>0</v>
      </c>
      <c r="M354" t="n">
        <v>0</v>
      </c>
      <c r="N354" t="n">
        <v>0</v>
      </c>
      <c r="O354" t="n">
        <v>0</v>
      </c>
      <c r="P354" t="n">
        <v>0</v>
      </c>
      <c r="Q354" t="n">
        <v>0</v>
      </c>
      <c r="R354" s="2" t="inlineStr"/>
    </row>
    <row r="355" ht="15" customHeight="1">
      <c r="A355" t="inlineStr">
        <is>
          <t>A 39769-2020</t>
        </is>
      </c>
      <c r="B355" s="1" t="n">
        <v>44064</v>
      </c>
      <c r="C355" s="1" t="n">
        <v>45760</v>
      </c>
      <c r="D355" t="inlineStr">
        <is>
          <t>KALMAR LÄN</t>
        </is>
      </c>
      <c r="E355" t="inlineStr">
        <is>
          <t>VIMMERBY</t>
        </is>
      </c>
      <c r="G355" t="n">
        <v>24.6</v>
      </c>
      <c r="H355" t="n">
        <v>0</v>
      </c>
      <c r="I355" t="n">
        <v>0</v>
      </c>
      <c r="J355" t="n">
        <v>0</v>
      </c>
      <c r="K355" t="n">
        <v>0</v>
      </c>
      <c r="L355" t="n">
        <v>0</v>
      </c>
      <c r="M355" t="n">
        <v>0</v>
      </c>
      <c r="N355" t="n">
        <v>0</v>
      </c>
      <c r="O355" t="n">
        <v>0</v>
      </c>
      <c r="P355" t="n">
        <v>0</v>
      </c>
      <c r="Q355" t="n">
        <v>0</v>
      </c>
      <c r="R355" s="2" t="inlineStr"/>
    </row>
    <row r="356" ht="15" customHeight="1">
      <c r="A356" t="inlineStr">
        <is>
          <t>A 40239-2020</t>
        </is>
      </c>
      <c r="B356" s="1" t="n">
        <v>44068</v>
      </c>
      <c r="C356" s="1" t="n">
        <v>45760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40766-2020</t>
        </is>
      </c>
      <c r="B357" s="1" t="n">
        <v>44070</v>
      </c>
      <c r="C357" s="1" t="n">
        <v>45760</v>
      </c>
      <c r="D357" t="inlineStr">
        <is>
          <t>KALMAR LÄN</t>
        </is>
      </c>
      <c r="E357" t="inlineStr">
        <is>
          <t>VIMMERBY</t>
        </is>
      </c>
      <c r="G357" t="n">
        <v>4.2</v>
      </c>
      <c r="H357" t="n">
        <v>0</v>
      </c>
      <c r="I357" t="n">
        <v>0</v>
      </c>
      <c r="J357" t="n">
        <v>0</v>
      </c>
      <c r="K357" t="n">
        <v>0</v>
      </c>
      <c r="L357" t="n">
        <v>0</v>
      </c>
      <c r="M357" t="n">
        <v>0</v>
      </c>
      <c r="N357" t="n">
        <v>0</v>
      </c>
      <c r="O357" t="n">
        <v>0</v>
      </c>
      <c r="P357" t="n">
        <v>0</v>
      </c>
      <c r="Q357" t="n">
        <v>0</v>
      </c>
      <c r="R357" s="2" t="inlineStr"/>
    </row>
    <row r="358" ht="15" customHeight="1">
      <c r="A358" t="inlineStr">
        <is>
          <t>A 40890-2020</t>
        </is>
      </c>
      <c r="B358" s="1" t="n">
        <v>44070</v>
      </c>
      <c r="C358" s="1" t="n">
        <v>45760</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40812-2020</t>
        </is>
      </c>
      <c r="B359" s="1" t="n">
        <v>44070</v>
      </c>
      <c r="C359" s="1" t="n">
        <v>45760</v>
      </c>
      <c r="D359" t="inlineStr">
        <is>
          <t>KALMAR LÄN</t>
        </is>
      </c>
      <c r="E359" t="inlineStr">
        <is>
          <t>VIMMERBY</t>
        </is>
      </c>
      <c r="G359" t="n">
        <v>4.9</v>
      </c>
      <c r="H359" t="n">
        <v>0</v>
      </c>
      <c r="I359" t="n">
        <v>0</v>
      </c>
      <c r="J359" t="n">
        <v>0</v>
      </c>
      <c r="K359" t="n">
        <v>0</v>
      </c>
      <c r="L359" t="n">
        <v>0</v>
      </c>
      <c r="M359" t="n">
        <v>0</v>
      </c>
      <c r="N359" t="n">
        <v>0</v>
      </c>
      <c r="O359" t="n">
        <v>0</v>
      </c>
      <c r="P359" t="n">
        <v>0</v>
      </c>
      <c r="Q359" t="n">
        <v>0</v>
      </c>
      <c r="R359" s="2" t="inlineStr"/>
    </row>
    <row r="360" ht="15" customHeight="1">
      <c r="A360" t="inlineStr">
        <is>
          <t>A 40889-2020</t>
        </is>
      </c>
      <c r="B360" s="1" t="n">
        <v>44070</v>
      </c>
      <c r="C360" s="1" t="n">
        <v>45760</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40818-2020</t>
        </is>
      </c>
      <c r="B361" s="1" t="n">
        <v>44070</v>
      </c>
      <c r="C361" s="1" t="n">
        <v>45760</v>
      </c>
      <c r="D361" t="inlineStr">
        <is>
          <t>KALMAR LÄN</t>
        </is>
      </c>
      <c r="E361" t="inlineStr">
        <is>
          <t>VIMMERBY</t>
        </is>
      </c>
      <c r="G361" t="n">
        <v>2.2</v>
      </c>
      <c r="H361" t="n">
        <v>0</v>
      </c>
      <c r="I361" t="n">
        <v>0</v>
      </c>
      <c r="J361" t="n">
        <v>0</v>
      </c>
      <c r="K361" t="n">
        <v>0</v>
      </c>
      <c r="L361" t="n">
        <v>0</v>
      </c>
      <c r="M361" t="n">
        <v>0</v>
      </c>
      <c r="N361" t="n">
        <v>0</v>
      </c>
      <c r="O361" t="n">
        <v>0</v>
      </c>
      <c r="P361" t="n">
        <v>0</v>
      </c>
      <c r="Q361" t="n">
        <v>0</v>
      </c>
      <c r="R361" s="2" t="inlineStr"/>
    </row>
    <row r="362" ht="15" customHeight="1">
      <c r="A362" t="inlineStr">
        <is>
          <t>A 40808-2020</t>
        </is>
      </c>
      <c r="B362" s="1" t="n">
        <v>44070</v>
      </c>
      <c r="C362" s="1" t="n">
        <v>45760</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42067-2020</t>
        </is>
      </c>
      <c r="B363" s="1" t="n">
        <v>44075</v>
      </c>
      <c r="C363" s="1" t="n">
        <v>45760</v>
      </c>
      <c r="D363" t="inlineStr">
        <is>
          <t>KALMAR LÄN</t>
        </is>
      </c>
      <c r="E363" t="inlineStr">
        <is>
          <t>VIMMERBY</t>
        </is>
      </c>
      <c r="G363" t="n">
        <v>1.9</v>
      </c>
      <c r="H363" t="n">
        <v>0</v>
      </c>
      <c r="I363" t="n">
        <v>0</v>
      </c>
      <c r="J363" t="n">
        <v>0</v>
      </c>
      <c r="K363" t="n">
        <v>0</v>
      </c>
      <c r="L363" t="n">
        <v>0</v>
      </c>
      <c r="M363" t="n">
        <v>0</v>
      </c>
      <c r="N363" t="n">
        <v>0</v>
      </c>
      <c r="O363" t="n">
        <v>0</v>
      </c>
      <c r="P363" t="n">
        <v>0</v>
      </c>
      <c r="Q363" t="n">
        <v>0</v>
      </c>
      <c r="R363" s="2" t="inlineStr"/>
    </row>
    <row r="364" ht="15" customHeight="1">
      <c r="A364" t="inlineStr">
        <is>
          <t>A 42494-2020</t>
        </is>
      </c>
      <c r="B364" s="1" t="n">
        <v>44077</v>
      </c>
      <c r="C364" s="1" t="n">
        <v>45760</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44000-2020</t>
        </is>
      </c>
      <c r="B365" s="1" t="n">
        <v>44083</v>
      </c>
      <c r="C365" s="1" t="n">
        <v>45760</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43998-2020</t>
        </is>
      </c>
      <c r="B366" s="1" t="n">
        <v>44083</v>
      </c>
      <c r="C366" s="1" t="n">
        <v>45760</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44605-2020</t>
        </is>
      </c>
      <c r="B367" s="1" t="n">
        <v>44085</v>
      </c>
      <c r="C367" s="1" t="n">
        <v>45760</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45050-2020</t>
        </is>
      </c>
      <c r="B368" s="1" t="n">
        <v>44088</v>
      </c>
      <c r="C368" s="1" t="n">
        <v>45760</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45054-2020</t>
        </is>
      </c>
      <c r="B369" s="1" t="n">
        <v>44088</v>
      </c>
      <c r="C369" s="1" t="n">
        <v>45760</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45528-2020</t>
        </is>
      </c>
      <c r="B370" s="1" t="n">
        <v>44089</v>
      </c>
      <c r="C370" s="1" t="n">
        <v>45760</v>
      </c>
      <c r="D370" t="inlineStr">
        <is>
          <t>KALMAR LÄN</t>
        </is>
      </c>
      <c r="E370" t="inlineStr">
        <is>
          <t>VIMMERBY</t>
        </is>
      </c>
      <c r="G370" t="n">
        <v>3.8</v>
      </c>
      <c r="H370" t="n">
        <v>0</v>
      </c>
      <c r="I370" t="n">
        <v>0</v>
      </c>
      <c r="J370" t="n">
        <v>0</v>
      </c>
      <c r="K370" t="n">
        <v>0</v>
      </c>
      <c r="L370" t="n">
        <v>0</v>
      </c>
      <c r="M370" t="n">
        <v>0</v>
      </c>
      <c r="N370" t="n">
        <v>0</v>
      </c>
      <c r="O370" t="n">
        <v>0</v>
      </c>
      <c r="P370" t="n">
        <v>0</v>
      </c>
      <c r="Q370" t="n">
        <v>0</v>
      </c>
      <c r="R370" s="2" t="inlineStr"/>
    </row>
    <row r="371" ht="15" customHeight="1">
      <c r="A371" t="inlineStr">
        <is>
          <t>A 45678-2020</t>
        </is>
      </c>
      <c r="B371" s="1" t="n">
        <v>44090</v>
      </c>
      <c r="C371" s="1" t="n">
        <v>45760</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46085-2020</t>
        </is>
      </c>
      <c r="B372" s="1" t="n">
        <v>44091</v>
      </c>
      <c r="C372" s="1" t="n">
        <v>45760</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46461-2020</t>
        </is>
      </c>
      <c r="B373" s="1" t="n">
        <v>44092</v>
      </c>
      <c r="C373" s="1" t="n">
        <v>45760</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46527-2020</t>
        </is>
      </c>
      <c r="B374" s="1" t="n">
        <v>44095</v>
      </c>
      <c r="C374" s="1" t="n">
        <v>45760</v>
      </c>
      <c r="D374" t="inlineStr">
        <is>
          <t>KALMAR LÄN</t>
        </is>
      </c>
      <c r="E374" t="inlineStr">
        <is>
          <t>VIMMERBY</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47295-2020</t>
        </is>
      </c>
      <c r="B375" s="1" t="n">
        <v>44097</v>
      </c>
      <c r="C375" s="1" t="n">
        <v>45760</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49059-2020</t>
        </is>
      </c>
      <c r="B376" s="1" t="n">
        <v>44102</v>
      </c>
      <c r="C376" s="1" t="n">
        <v>45760</v>
      </c>
      <c r="D376" t="inlineStr">
        <is>
          <t>KALMAR LÄN</t>
        </is>
      </c>
      <c r="E376" t="inlineStr">
        <is>
          <t>VIMMERBY</t>
        </is>
      </c>
      <c r="G376" t="n">
        <v>5.8</v>
      </c>
      <c r="H376" t="n">
        <v>0</v>
      </c>
      <c r="I376" t="n">
        <v>0</v>
      </c>
      <c r="J376" t="n">
        <v>0</v>
      </c>
      <c r="K376" t="n">
        <v>0</v>
      </c>
      <c r="L376" t="n">
        <v>0</v>
      </c>
      <c r="M376" t="n">
        <v>0</v>
      </c>
      <c r="N376" t="n">
        <v>0</v>
      </c>
      <c r="O376" t="n">
        <v>0</v>
      </c>
      <c r="P376" t="n">
        <v>0</v>
      </c>
      <c r="Q376" t="n">
        <v>0</v>
      </c>
      <c r="R376" s="2" t="inlineStr"/>
    </row>
    <row r="377" ht="15" customHeight="1">
      <c r="A377" t="inlineStr">
        <is>
          <t>A 48949-2020</t>
        </is>
      </c>
      <c r="B377" s="1" t="n">
        <v>44102</v>
      </c>
      <c r="C377" s="1" t="n">
        <v>45760</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49186-2020</t>
        </is>
      </c>
      <c r="B378" s="1" t="n">
        <v>44105</v>
      </c>
      <c r="C378" s="1" t="n">
        <v>45760</v>
      </c>
      <c r="D378" t="inlineStr">
        <is>
          <t>KALMAR LÄN</t>
        </is>
      </c>
      <c r="E378" t="inlineStr">
        <is>
          <t>VIMMERBY</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51571-2020</t>
        </is>
      </c>
      <c r="B379" s="1" t="n">
        <v>44109</v>
      </c>
      <c r="C379" s="1" t="n">
        <v>45760</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51569-2020</t>
        </is>
      </c>
      <c r="B380" s="1" t="n">
        <v>44109</v>
      </c>
      <c r="C380" s="1" t="n">
        <v>45760</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50764-2020</t>
        </is>
      </c>
      <c r="B381" s="1" t="n">
        <v>44111</v>
      </c>
      <c r="C381" s="1" t="n">
        <v>45760</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51977-2020</t>
        </is>
      </c>
      <c r="B382" s="1" t="n">
        <v>44116</v>
      </c>
      <c r="C382" s="1" t="n">
        <v>45760</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52073-2020</t>
        </is>
      </c>
      <c r="B383" s="1" t="n">
        <v>44117</v>
      </c>
      <c r="C383" s="1" t="n">
        <v>45760</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53100-2020</t>
        </is>
      </c>
      <c r="B384" s="1" t="n">
        <v>44120</v>
      </c>
      <c r="C384" s="1" t="n">
        <v>45760</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53387-2020</t>
        </is>
      </c>
      <c r="B385" s="1" t="n">
        <v>44123</v>
      </c>
      <c r="C385" s="1" t="n">
        <v>45760</v>
      </c>
      <c r="D385" t="inlineStr">
        <is>
          <t>KALMAR LÄN</t>
        </is>
      </c>
      <c r="E385" t="inlineStr">
        <is>
          <t>VIMMERBY</t>
        </is>
      </c>
      <c r="G385" t="n">
        <v>7.2</v>
      </c>
      <c r="H385" t="n">
        <v>0</v>
      </c>
      <c r="I385" t="n">
        <v>0</v>
      </c>
      <c r="J385" t="n">
        <v>0</v>
      </c>
      <c r="K385" t="n">
        <v>0</v>
      </c>
      <c r="L385" t="n">
        <v>0</v>
      </c>
      <c r="M385" t="n">
        <v>0</v>
      </c>
      <c r="N385" t="n">
        <v>0</v>
      </c>
      <c r="O385" t="n">
        <v>0</v>
      </c>
      <c r="P385" t="n">
        <v>0</v>
      </c>
      <c r="Q385" t="n">
        <v>0</v>
      </c>
      <c r="R385" s="2" t="inlineStr"/>
    </row>
    <row r="386" ht="15" customHeight="1">
      <c r="A386" t="inlineStr">
        <is>
          <t>A 53711-2020</t>
        </is>
      </c>
      <c r="B386" s="1" t="n">
        <v>44124</v>
      </c>
      <c r="C386" s="1" t="n">
        <v>45760</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54917-2020</t>
        </is>
      </c>
      <c r="B387" s="1" t="n">
        <v>44127</v>
      </c>
      <c r="C387" s="1" t="n">
        <v>45760</v>
      </c>
      <c r="D387" t="inlineStr">
        <is>
          <t>KALMAR LÄN</t>
        </is>
      </c>
      <c r="E387" t="inlineStr">
        <is>
          <t>VIMMERBY</t>
        </is>
      </c>
      <c r="G387" t="n">
        <v>9.5</v>
      </c>
      <c r="H387" t="n">
        <v>0</v>
      </c>
      <c r="I387" t="n">
        <v>0</v>
      </c>
      <c r="J387" t="n">
        <v>0</v>
      </c>
      <c r="K387" t="n">
        <v>0</v>
      </c>
      <c r="L387" t="n">
        <v>0</v>
      </c>
      <c r="M387" t="n">
        <v>0</v>
      </c>
      <c r="N387" t="n">
        <v>0</v>
      </c>
      <c r="O387" t="n">
        <v>0</v>
      </c>
      <c r="P387" t="n">
        <v>0</v>
      </c>
      <c r="Q387" t="n">
        <v>0</v>
      </c>
      <c r="R387" s="2" t="inlineStr"/>
    </row>
    <row r="388" ht="15" customHeight="1">
      <c r="A388" t="inlineStr">
        <is>
          <t>A 55053-2020</t>
        </is>
      </c>
      <c r="B388" s="1" t="n">
        <v>44130</v>
      </c>
      <c r="C388" s="1" t="n">
        <v>45760</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57948-2020</t>
        </is>
      </c>
      <c r="B389" s="1" t="n">
        <v>44142</v>
      </c>
      <c r="C389" s="1" t="n">
        <v>45760</v>
      </c>
      <c r="D389" t="inlineStr">
        <is>
          <t>KALMAR LÄN</t>
        </is>
      </c>
      <c r="E389" t="inlineStr">
        <is>
          <t>VIMMERBY</t>
        </is>
      </c>
      <c r="G389" t="n">
        <v>7.1</v>
      </c>
      <c r="H389" t="n">
        <v>0</v>
      </c>
      <c r="I389" t="n">
        <v>0</v>
      </c>
      <c r="J389" t="n">
        <v>0</v>
      </c>
      <c r="K389" t="n">
        <v>0</v>
      </c>
      <c r="L389" t="n">
        <v>0</v>
      </c>
      <c r="M389" t="n">
        <v>0</v>
      </c>
      <c r="N389" t="n">
        <v>0</v>
      </c>
      <c r="O389" t="n">
        <v>0</v>
      </c>
      <c r="P389" t="n">
        <v>0</v>
      </c>
      <c r="Q389" t="n">
        <v>0</v>
      </c>
      <c r="R389" s="2" t="inlineStr"/>
    </row>
    <row r="390" ht="15" customHeight="1">
      <c r="A390" t="inlineStr">
        <is>
          <t>A 58026-2020</t>
        </is>
      </c>
      <c r="B390" s="1" t="n">
        <v>44144</v>
      </c>
      <c r="C390" s="1" t="n">
        <v>45760</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58145-2020</t>
        </is>
      </c>
      <c r="B391" s="1" t="n">
        <v>44144</v>
      </c>
      <c r="C391" s="1" t="n">
        <v>45760</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60810-2020</t>
        </is>
      </c>
      <c r="B392" s="1" t="n">
        <v>44154</v>
      </c>
      <c r="C392" s="1" t="n">
        <v>45760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61878-2020</t>
        </is>
      </c>
      <c r="B393" s="1" t="n">
        <v>44159</v>
      </c>
      <c r="C393" s="1" t="n">
        <v>45760</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64707-2020</t>
        </is>
      </c>
      <c r="B394" s="1" t="n">
        <v>44169</v>
      </c>
      <c r="C394" s="1" t="n">
        <v>45760</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65049-2020</t>
        </is>
      </c>
      <c r="B395" s="1" t="n">
        <v>44172</v>
      </c>
      <c r="C395" s="1" t="n">
        <v>45760</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65564-2020</t>
        </is>
      </c>
      <c r="B396" s="1" t="n">
        <v>44172</v>
      </c>
      <c r="C396" s="1" t="n">
        <v>45760</v>
      </c>
      <c r="D396" t="inlineStr">
        <is>
          <t>KALMAR LÄN</t>
        </is>
      </c>
      <c r="E396" t="inlineStr">
        <is>
          <t>VIMMERBY</t>
        </is>
      </c>
      <c r="G396" t="n">
        <v>4.1</v>
      </c>
      <c r="H396" t="n">
        <v>0</v>
      </c>
      <c r="I396" t="n">
        <v>0</v>
      </c>
      <c r="J396" t="n">
        <v>0</v>
      </c>
      <c r="K396" t="n">
        <v>0</v>
      </c>
      <c r="L396" t="n">
        <v>0</v>
      </c>
      <c r="M396" t="n">
        <v>0</v>
      </c>
      <c r="N396" t="n">
        <v>0</v>
      </c>
      <c r="O396" t="n">
        <v>0</v>
      </c>
      <c r="P396" t="n">
        <v>0</v>
      </c>
      <c r="Q396" t="n">
        <v>0</v>
      </c>
      <c r="R396" s="2" t="inlineStr"/>
    </row>
    <row r="397" ht="15" customHeight="1">
      <c r="A397" t="inlineStr">
        <is>
          <t>A 65956-2020</t>
        </is>
      </c>
      <c r="B397" s="1" t="n">
        <v>44175</v>
      </c>
      <c r="C397" s="1" t="n">
        <v>45760</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65952-2020</t>
        </is>
      </c>
      <c r="B398" s="1" t="n">
        <v>44175</v>
      </c>
      <c r="C398" s="1" t="n">
        <v>45760</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65961-2020</t>
        </is>
      </c>
      <c r="B399" s="1" t="n">
        <v>44175</v>
      </c>
      <c r="C399" s="1" t="n">
        <v>45760</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65973-2020</t>
        </is>
      </c>
      <c r="B400" s="1" t="n">
        <v>44175</v>
      </c>
      <c r="C400" s="1" t="n">
        <v>45760</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66913-2020</t>
        </is>
      </c>
      <c r="B401" s="1" t="n">
        <v>44175</v>
      </c>
      <c r="C401" s="1" t="n">
        <v>45760</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66295-2020</t>
        </is>
      </c>
      <c r="B402" s="1" t="n">
        <v>44176</v>
      </c>
      <c r="C402" s="1" t="n">
        <v>45760</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68744-2020</t>
        </is>
      </c>
      <c r="B403" s="1" t="n">
        <v>44186</v>
      </c>
      <c r="C403" s="1" t="n">
        <v>45760</v>
      </c>
      <c r="D403" t="inlineStr">
        <is>
          <t>KALMAR LÄN</t>
        </is>
      </c>
      <c r="E403" t="inlineStr">
        <is>
          <t>VIMMERBY</t>
        </is>
      </c>
      <c r="G403" t="n">
        <v>2.5</v>
      </c>
      <c r="H403" t="n">
        <v>0</v>
      </c>
      <c r="I403" t="n">
        <v>0</v>
      </c>
      <c r="J403" t="n">
        <v>0</v>
      </c>
      <c r="K403" t="n">
        <v>0</v>
      </c>
      <c r="L403" t="n">
        <v>0</v>
      </c>
      <c r="M403" t="n">
        <v>0</v>
      </c>
      <c r="N403" t="n">
        <v>0</v>
      </c>
      <c r="O403" t="n">
        <v>0</v>
      </c>
      <c r="P403" t="n">
        <v>0</v>
      </c>
      <c r="Q403" t="n">
        <v>0</v>
      </c>
      <c r="R403" s="2" t="inlineStr"/>
    </row>
    <row r="404" ht="15" customHeight="1">
      <c r="A404" t="inlineStr">
        <is>
          <t>A 68785-2020</t>
        </is>
      </c>
      <c r="B404" s="1" t="n">
        <v>44186</v>
      </c>
      <c r="C404" s="1" t="n">
        <v>45760</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618-2021</t>
        </is>
      </c>
      <c r="B405" s="1" t="n">
        <v>44203</v>
      </c>
      <c r="C405" s="1" t="n">
        <v>45760</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1929-2021</t>
        </is>
      </c>
      <c r="B406" s="1" t="n">
        <v>44210</v>
      </c>
      <c r="C406" s="1" t="n">
        <v>45760</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2555-2021</t>
        </is>
      </c>
      <c r="B407" s="1" t="n">
        <v>44214</v>
      </c>
      <c r="C407" s="1" t="n">
        <v>45760</v>
      </c>
      <c r="D407" t="inlineStr">
        <is>
          <t>KALMAR LÄN</t>
        </is>
      </c>
      <c r="E407" t="inlineStr">
        <is>
          <t>VIMMERBY</t>
        </is>
      </c>
      <c r="G407" t="n">
        <v>7.3</v>
      </c>
      <c r="H407" t="n">
        <v>0</v>
      </c>
      <c r="I407" t="n">
        <v>0</v>
      </c>
      <c r="J407" t="n">
        <v>0</v>
      </c>
      <c r="K407" t="n">
        <v>0</v>
      </c>
      <c r="L407" t="n">
        <v>0</v>
      </c>
      <c r="M407" t="n">
        <v>0</v>
      </c>
      <c r="N407" t="n">
        <v>0</v>
      </c>
      <c r="O407" t="n">
        <v>0</v>
      </c>
      <c r="P407" t="n">
        <v>0</v>
      </c>
      <c r="Q407" t="n">
        <v>0</v>
      </c>
      <c r="R407" s="2" t="inlineStr"/>
    </row>
    <row r="408" ht="15" customHeight="1">
      <c r="A408" t="inlineStr">
        <is>
          <t>A 2654-2021</t>
        </is>
      </c>
      <c r="B408" s="1" t="n">
        <v>44215</v>
      </c>
      <c r="C408" s="1" t="n">
        <v>45760</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3330-2021</t>
        </is>
      </c>
      <c r="B409" s="1" t="n">
        <v>44217</v>
      </c>
      <c r="C409" s="1" t="n">
        <v>45760</v>
      </c>
      <c r="D409" t="inlineStr">
        <is>
          <t>KALMAR LÄN</t>
        </is>
      </c>
      <c r="E409" t="inlineStr">
        <is>
          <t>VIMMERBY</t>
        </is>
      </c>
      <c r="G409" t="n">
        <v>11.1</v>
      </c>
      <c r="H409" t="n">
        <v>0</v>
      </c>
      <c r="I409" t="n">
        <v>0</v>
      </c>
      <c r="J409" t="n">
        <v>0</v>
      </c>
      <c r="K409" t="n">
        <v>0</v>
      </c>
      <c r="L409" t="n">
        <v>0</v>
      </c>
      <c r="M409" t="n">
        <v>0</v>
      </c>
      <c r="N409" t="n">
        <v>0</v>
      </c>
      <c r="O409" t="n">
        <v>0</v>
      </c>
      <c r="P409" t="n">
        <v>0</v>
      </c>
      <c r="Q409" t="n">
        <v>0</v>
      </c>
      <c r="R409" s="2" t="inlineStr"/>
    </row>
    <row r="410" ht="15" customHeight="1">
      <c r="A410" t="inlineStr">
        <is>
          <t>A 3184-2021</t>
        </is>
      </c>
      <c r="B410" s="1" t="n">
        <v>44217</v>
      </c>
      <c r="C410" s="1" t="n">
        <v>45760</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3621-2021</t>
        </is>
      </c>
      <c r="B411" s="1" t="n">
        <v>44221</v>
      </c>
      <c r="C411" s="1" t="n">
        <v>45760</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4762-2021</t>
        </is>
      </c>
      <c r="B412" s="1" t="n">
        <v>44225</v>
      </c>
      <c r="C412" s="1" t="n">
        <v>45760</v>
      </c>
      <c r="D412" t="inlineStr">
        <is>
          <t>KALMAR LÄN</t>
        </is>
      </c>
      <c r="E412" t="inlineStr">
        <is>
          <t>VIMMERBY</t>
        </is>
      </c>
      <c r="G412" t="n">
        <v>5.3</v>
      </c>
      <c r="H412" t="n">
        <v>0</v>
      </c>
      <c r="I412" t="n">
        <v>0</v>
      </c>
      <c r="J412" t="n">
        <v>0</v>
      </c>
      <c r="K412" t="n">
        <v>0</v>
      </c>
      <c r="L412" t="n">
        <v>0</v>
      </c>
      <c r="M412" t="n">
        <v>0</v>
      </c>
      <c r="N412" t="n">
        <v>0</v>
      </c>
      <c r="O412" t="n">
        <v>0</v>
      </c>
      <c r="P412" t="n">
        <v>0</v>
      </c>
      <c r="Q412" t="n">
        <v>0</v>
      </c>
      <c r="R412" s="2" t="inlineStr"/>
    </row>
    <row r="413" ht="15" customHeight="1">
      <c r="A413" t="inlineStr">
        <is>
          <t>A 5689-2021</t>
        </is>
      </c>
      <c r="B413" s="1" t="n">
        <v>44230</v>
      </c>
      <c r="C413" s="1" t="n">
        <v>45760</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5654-2021</t>
        </is>
      </c>
      <c r="B414" s="1" t="n">
        <v>44230</v>
      </c>
      <c r="C414" s="1" t="n">
        <v>45760</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7072-2021</t>
        </is>
      </c>
      <c r="B415" s="1" t="n">
        <v>44237</v>
      </c>
      <c r="C415" s="1" t="n">
        <v>45760</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7075-2021</t>
        </is>
      </c>
      <c r="B416" s="1" t="n">
        <v>44237</v>
      </c>
      <c r="C416" s="1" t="n">
        <v>45760</v>
      </c>
      <c r="D416" t="inlineStr">
        <is>
          <t>KALMAR LÄN</t>
        </is>
      </c>
      <c r="E416" t="inlineStr">
        <is>
          <t>VIMMERBY</t>
        </is>
      </c>
      <c r="G416" t="n">
        <v>3.6</v>
      </c>
      <c r="H416" t="n">
        <v>0</v>
      </c>
      <c r="I416" t="n">
        <v>0</v>
      </c>
      <c r="J416" t="n">
        <v>0</v>
      </c>
      <c r="K416" t="n">
        <v>0</v>
      </c>
      <c r="L416" t="n">
        <v>0</v>
      </c>
      <c r="M416" t="n">
        <v>0</v>
      </c>
      <c r="N416" t="n">
        <v>0</v>
      </c>
      <c r="O416" t="n">
        <v>0</v>
      </c>
      <c r="P416" t="n">
        <v>0</v>
      </c>
      <c r="Q416" t="n">
        <v>0</v>
      </c>
      <c r="R416" s="2" t="inlineStr"/>
    </row>
    <row r="417" ht="15" customHeight="1">
      <c r="A417" t="inlineStr">
        <is>
          <t>A 7515-2021</t>
        </is>
      </c>
      <c r="B417" s="1" t="n">
        <v>44238</v>
      </c>
      <c r="C417" s="1" t="n">
        <v>45760</v>
      </c>
      <c r="D417" t="inlineStr">
        <is>
          <t>KALMAR LÄN</t>
        </is>
      </c>
      <c r="E417" t="inlineStr">
        <is>
          <t>VIMMERBY</t>
        </is>
      </c>
      <c r="G417" t="n">
        <v>20.9</v>
      </c>
      <c r="H417" t="n">
        <v>0</v>
      </c>
      <c r="I417" t="n">
        <v>0</v>
      </c>
      <c r="J417" t="n">
        <v>0</v>
      </c>
      <c r="K417" t="n">
        <v>0</v>
      </c>
      <c r="L417" t="n">
        <v>0</v>
      </c>
      <c r="M417" t="n">
        <v>0</v>
      </c>
      <c r="N417" t="n">
        <v>0</v>
      </c>
      <c r="O417" t="n">
        <v>0</v>
      </c>
      <c r="P417" t="n">
        <v>0</v>
      </c>
      <c r="Q417" t="n">
        <v>0</v>
      </c>
      <c r="R417" s="2" t="inlineStr"/>
    </row>
    <row r="418" ht="15" customHeight="1">
      <c r="A418" t="inlineStr">
        <is>
          <t>A 7828-2021</t>
        </is>
      </c>
      <c r="B418" s="1" t="n">
        <v>44242</v>
      </c>
      <c r="C418" s="1" t="n">
        <v>45760</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8121-2021</t>
        </is>
      </c>
      <c r="B419" s="1" t="n">
        <v>44243</v>
      </c>
      <c r="C419" s="1" t="n">
        <v>45760</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8086-2021</t>
        </is>
      </c>
      <c r="B420" s="1" t="n">
        <v>44243</v>
      </c>
      <c r="C420" s="1" t="n">
        <v>45760</v>
      </c>
      <c r="D420" t="inlineStr">
        <is>
          <t>KALMAR LÄN</t>
        </is>
      </c>
      <c r="E420" t="inlineStr">
        <is>
          <t>VIMMERBY</t>
        </is>
      </c>
      <c r="G420" t="n">
        <v>4.1</v>
      </c>
      <c r="H420" t="n">
        <v>0</v>
      </c>
      <c r="I420" t="n">
        <v>0</v>
      </c>
      <c r="J420" t="n">
        <v>0</v>
      </c>
      <c r="K420" t="n">
        <v>0</v>
      </c>
      <c r="L420" t="n">
        <v>0</v>
      </c>
      <c r="M420" t="n">
        <v>0</v>
      </c>
      <c r="N420" t="n">
        <v>0</v>
      </c>
      <c r="O420" t="n">
        <v>0</v>
      </c>
      <c r="P420" t="n">
        <v>0</v>
      </c>
      <c r="Q420" t="n">
        <v>0</v>
      </c>
      <c r="R420" s="2" t="inlineStr"/>
    </row>
    <row r="421" ht="15" customHeight="1">
      <c r="A421" t="inlineStr">
        <is>
          <t>A 8415-2021</t>
        </is>
      </c>
      <c r="B421" s="1" t="n">
        <v>44245</v>
      </c>
      <c r="C421" s="1" t="n">
        <v>45760</v>
      </c>
      <c r="D421" t="inlineStr">
        <is>
          <t>KALMAR LÄN</t>
        </is>
      </c>
      <c r="E421" t="inlineStr">
        <is>
          <t>VIMMERBY</t>
        </is>
      </c>
      <c r="G421" t="n">
        <v>4.7</v>
      </c>
      <c r="H421" t="n">
        <v>0</v>
      </c>
      <c r="I421" t="n">
        <v>0</v>
      </c>
      <c r="J421" t="n">
        <v>0</v>
      </c>
      <c r="K421" t="n">
        <v>0</v>
      </c>
      <c r="L421" t="n">
        <v>0</v>
      </c>
      <c r="M421" t="n">
        <v>0</v>
      </c>
      <c r="N421" t="n">
        <v>0</v>
      </c>
      <c r="O421" t="n">
        <v>0</v>
      </c>
      <c r="P421" t="n">
        <v>0</v>
      </c>
      <c r="Q421" t="n">
        <v>0</v>
      </c>
      <c r="R421" s="2" t="inlineStr"/>
    </row>
    <row r="422" ht="15" customHeight="1">
      <c r="A422" t="inlineStr">
        <is>
          <t>A 9836-2021</t>
        </is>
      </c>
      <c r="B422" s="1" t="n">
        <v>44253</v>
      </c>
      <c r="C422" s="1" t="n">
        <v>45760</v>
      </c>
      <c r="D422" t="inlineStr">
        <is>
          <t>KALMAR LÄN</t>
        </is>
      </c>
      <c r="E422" t="inlineStr">
        <is>
          <t>VIMMERBY</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10674-2021</t>
        </is>
      </c>
      <c r="B423" s="1" t="n">
        <v>44258</v>
      </c>
      <c r="C423" s="1" t="n">
        <v>45760</v>
      </c>
      <c r="D423" t="inlineStr">
        <is>
          <t>KALMAR LÄN</t>
        </is>
      </c>
      <c r="E423" t="inlineStr">
        <is>
          <t>VIMMERBY</t>
        </is>
      </c>
      <c r="G423" t="n">
        <v>8.4</v>
      </c>
      <c r="H423" t="n">
        <v>0</v>
      </c>
      <c r="I423" t="n">
        <v>0</v>
      </c>
      <c r="J423" t="n">
        <v>0</v>
      </c>
      <c r="K423" t="n">
        <v>0</v>
      </c>
      <c r="L423" t="n">
        <v>0</v>
      </c>
      <c r="M423" t="n">
        <v>0</v>
      </c>
      <c r="N423" t="n">
        <v>0</v>
      </c>
      <c r="O423" t="n">
        <v>0</v>
      </c>
      <c r="P423" t="n">
        <v>0</v>
      </c>
      <c r="Q423" t="n">
        <v>0</v>
      </c>
      <c r="R423" s="2" t="inlineStr"/>
    </row>
    <row r="424" ht="15" customHeight="1">
      <c r="A424" t="inlineStr">
        <is>
          <t>A 10518-2021</t>
        </is>
      </c>
      <c r="B424" s="1" t="n">
        <v>44258</v>
      </c>
      <c r="C424" s="1" t="n">
        <v>45760</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10744-2021</t>
        </is>
      </c>
      <c r="B425" s="1" t="n">
        <v>44259</v>
      </c>
      <c r="C425" s="1" t="n">
        <v>45760</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10928-2021</t>
        </is>
      </c>
      <c r="B426" s="1" t="n">
        <v>44259</v>
      </c>
      <c r="C426" s="1" t="n">
        <v>45760</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11011-2021</t>
        </is>
      </c>
      <c r="B427" s="1" t="n">
        <v>44260</v>
      </c>
      <c r="C427" s="1" t="n">
        <v>45760</v>
      </c>
      <c r="D427" t="inlineStr">
        <is>
          <t>KALMAR LÄN</t>
        </is>
      </c>
      <c r="E427" t="inlineStr">
        <is>
          <t>VIMMERBY</t>
        </is>
      </c>
      <c r="G427" t="n">
        <v>1.7</v>
      </c>
      <c r="H427" t="n">
        <v>0</v>
      </c>
      <c r="I427" t="n">
        <v>0</v>
      </c>
      <c r="J427" t="n">
        <v>0</v>
      </c>
      <c r="K427" t="n">
        <v>0</v>
      </c>
      <c r="L427" t="n">
        <v>0</v>
      </c>
      <c r="M427" t="n">
        <v>0</v>
      </c>
      <c r="N427" t="n">
        <v>0</v>
      </c>
      <c r="O427" t="n">
        <v>0</v>
      </c>
      <c r="P427" t="n">
        <v>0</v>
      </c>
      <c r="Q427" t="n">
        <v>0</v>
      </c>
      <c r="R427" s="2" t="inlineStr"/>
    </row>
    <row r="428" ht="15" customHeight="1">
      <c r="A428" t="inlineStr">
        <is>
          <t>A 12241-2021</t>
        </is>
      </c>
      <c r="B428" s="1" t="n">
        <v>44266</v>
      </c>
      <c r="C428" s="1" t="n">
        <v>45760</v>
      </c>
      <c r="D428" t="inlineStr">
        <is>
          <t>KALMAR LÄN</t>
        </is>
      </c>
      <c r="E428" t="inlineStr">
        <is>
          <t>VIMMERBY</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12465-2021</t>
        </is>
      </c>
      <c r="B429" s="1" t="n">
        <v>44267</v>
      </c>
      <c r="C429" s="1" t="n">
        <v>45760</v>
      </c>
      <c r="D429" t="inlineStr">
        <is>
          <t>KALMAR LÄN</t>
        </is>
      </c>
      <c r="E429" t="inlineStr">
        <is>
          <t>VIMMERBY</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12467-2021</t>
        </is>
      </c>
      <c r="B430" s="1" t="n">
        <v>44267</v>
      </c>
      <c r="C430" s="1" t="n">
        <v>45760</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12586-2021</t>
        </is>
      </c>
      <c r="B431" s="1" t="n">
        <v>44270</v>
      </c>
      <c r="C431" s="1" t="n">
        <v>45760</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12661-2021</t>
        </is>
      </c>
      <c r="B432" s="1" t="n">
        <v>44270</v>
      </c>
      <c r="C432" s="1" t="n">
        <v>45760</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12757-2021</t>
        </is>
      </c>
      <c r="B433" s="1" t="n">
        <v>44270</v>
      </c>
      <c r="C433" s="1" t="n">
        <v>45760</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12585-2021</t>
        </is>
      </c>
      <c r="B434" s="1" t="n">
        <v>44270</v>
      </c>
      <c r="C434" s="1" t="n">
        <v>45760</v>
      </c>
      <c r="D434" t="inlineStr">
        <is>
          <t>KALMAR LÄN</t>
        </is>
      </c>
      <c r="E434" t="inlineStr">
        <is>
          <t>VIMMERBY</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12597-2021</t>
        </is>
      </c>
      <c r="B435" s="1" t="n">
        <v>44270</v>
      </c>
      <c r="C435" s="1" t="n">
        <v>45760</v>
      </c>
      <c r="D435" t="inlineStr">
        <is>
          <t>KALMAR LÄN</t>
        </is>
      </c>
      <c r="E435" t="inlineStr">
        <is>
          <t>VIMMERBY</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12582-2021</t>
        </is>
      </c>
      <c r="B436" s="1" t="n">
        <v>44270</v>
      </c>
      <c r="C436" s="1" t="n">
        <v>45760</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12596-2021</t>
        </is>
      </c>
      <c r="B437" s="1" t="n">
        <v>44270</v>
      </c>
      <c r="C437" s="1" t="n">
        <v>45760</v>
      </c>
      <c r="D437" t="inlineStr">
        <is>
          <t>KALMAR LÄN</t>
        </is>
      </c>
      <c r="E437" t="inlineStr">
        <is>
          <t>VIMMERBY</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12587-2021</t>
        </is>
      </c>
      <c r="B438" s="1" t="n">
        <v>44270</v>
      </c>
      <c r="C438" s="1" t="n">
        <v>45760</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12595-2021</t>
        </is>
      </c>
      <c r="B439" s="1" t="n">
        <v>44270</v>
      </c>
      <c r="C439" s="1" t="n">
        <v>45760</v>
      </c>
      <c r="D439" t="inlineStr">
        <is>
          <t>KALMAR LÄN</t>
        </is>
      </c>
      <c r="E439" t="inlineStr">
        <is>
          <t>VIMMERBY</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12662-2021</t>
        </is>
      </c>
      <c r="B440" s="1" t="n">
        <v>44270</v>
      </c>
      <c r="C440" s="1" t="n">
        <v>45760</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12848-2021</t>
        </is>
      </c>
      <c r="B441" s="1" t="n">
        <v>44271</v>
      </c>
      <c r="C441" s="1" t="n">
        <v>45760</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13457-2021</t>
        </is>
      </c>
      <c r="B442" s="1" t="n">
        <v>44273</v>
      </c>
      <c r="C442" s="1" t="n">
        <v>45760</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13492-2021</t>
        </is>
      </c>
      <c r="B443" s="1" t="n">
        <v>44273</v>
      </c>
      <c r="C443" s="1" t="n">
        <v>45760</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14220-2021</t>
        </is>
      </c>
      <c r="B444" s="1" t="n">
        <v>44278</v>
      </c>
      <c r="C444" s="1" t="n">
        <v>45760</v>
      </c>
      <c r="D444" t="inlineStr">
        <is>
          <t>KALMAR LÄN</t>
        </is>
      </c>
      <c r="E444" t="inlineStr">
        <is>
          <t>VIMMERBY</t>
        </is>
      </c>
      <c r="G444" t="n">
        <v>0.3</v>
      </c>
      <c r="H444" t="n">
        <v>0</v>
      </c>
      <c r="I444" t="n">
        <v>0</v>
      </c>
      <c r="J444" t="n">
        <v>0</v>
      </c>
      <c r="K444" t="n">
        <v>0</v>
      </c>
      <c r="L444" t="n">
        <v>0</v>
      </c>
      <c r="M444" t="n">
        <v>0</v>
      </c>
      <c r="N444" t="n">
        <v>0</v>
      </c>
      <c r="O444" t="n">
        <v>0</v>
      </c>
      <c r="P444" t="n">
        <v>0</v>
      </c>
      <c r="Q444" t="n">
        <v>0</v>
      </c>
      <c r="R444" s="2" t="inlineStr"/>
    </row>
    <row r="445" ht="15" customHeight="1">
      <c r="A445" t="inlineStr">
        <is>
          <t>A 14278-2021</t>
        </is>
      </c>
      <c r="B445" s="1" t="n">
        <v>44278</v>
      </c>
      <c r="C445" s="1" t="n">
        <v>45760</v>
      </c>
      <c r="D445" t="inlineStr">
        <is>
          <t>KALMAR LÄN</t>
        </is>
      </c>
      <c r="E445" t="inlineStr">
        <is>
          <t>VIMMERBY</t>
        </is>
      </c>
      <c r="F445" t="inlineStr">
        <is>
          <t>Övriga statliga verk och myndigheter</t>
        </is>
      </c>
      <c r="G445" t="n">
        <v>0.8</v>
      </c>
      <c r="H445" t="n">
        <v>0</v>
      </c>
      <c r="I445" t="n">
        <v>0</v>
      </c>
      <c r="J445" t="n">
        <v>0</v>
      </c>
      <c r="K445" t="n">
        <v>0</v>
      </c>
      <c r="L445" t="n">
        <v>0</v>
      </c>
      <c r="M445" t="n">
        <v>0</v>
      </c>
      <c r="N445" t="n">
        <v>0</v>
      </c>
      <c r="O445" t="n">
        <v>0</v>
      </c>
      <c r="P445" t="n">
        <v>0</v>
      </c>
      <c r="Q445" t="n">
        <v>0</v>
      </c>
      <c r="R445" s="2" t="inlineStr"/>
    </row>
    <row r="446" ht="15" customHeight="1">
      <c r="A446" t="inlineStr">
        <is>
          <t>A 14347-2021</t>
        </is>
      </c>
      <c r="B446" s="1" t="n">
        <v>44279</v>
      </c>
      <c r="C446" s="1" t="n">
        <v>45760</v>
      </c>
      <c r="D446" t="inlineStr">
        <is>
          <t>KALMAR LÄN</t>
        </is>
      </c>
      <c r="E446" t="inlineStr">
        <is>
          <t>VIMMERBY</t>
        </is>
      </c>
      <c r="G446" t="n">
        <v>6.4</v>
      </c>
      <c r="H446" t="n">
        <v>0</v>
      </c>
      <c r="I446" t="n">
        <v>0</v>
      </c>
      <c r="J446" t="n">
        <v>0</v>
      </c>
      <c r="K446" t="n">
        <v>0</v>
      </c>
      <c r="L446" t="n">
        <v>0</v>
      </c>
      <c r="M446" t="n">
        <v>0</v>
      </c>
      <c r="N446" t="n">
        <v>0</v>
      </c>
      <c r="O446" t="n">
        <v>0</v>
      </c>
      <c r="P446" t="n">
        <v>0</v>
      </c>
      <c r="Q446" t="n">
        <v>0</v>
      </c>
      <c r="R446" s="2" t="inlineStr"/>
    </row>
    <row r="447" ht="15" customHeight="1">
      <c r="A447" t="inlineStr">
        <is>
          <t>A 14451-2021</t>
        </is>
      </c>
      <c r="B447" s="1" t="n">
        <v>44279</v>
      </c>
      <c r="C447" s="1" t="n">
        <v>45760</v>
      </c>
      <c r="D447" t="inlineStr">
        <is>
          <t>KALMAR LÄN</t>
        </is>
      </c>
      <c r="E447" t="inlineStr">
        <is>
          <t>VIMMERBY</t>
        </is>
      </c>
      <c r="F447" t="inlineStr">
        <is>
          <t>Sveaskog</t>
        </is>
      </c>
      <c r="G447" t="n">
        <v>9.4</v>
      </c>
      <c r="H447" t="n">
        <v>0</v>
      </c>
      <c r="I447" t="n">
        <v>0</v>
      </c>
      <c r="J447" t="n">
        <v>0</v>
      </c>
      <c r="K447" t="n">
        <v>0</v>
      </c>
      <c r="L447" t="n">
        <v>0</v>
      </c>
      <c r="M447" t="n">
        <v>0</v>
      </c>
      <c r="N447" t="n">
        <v>0</v>
      </c>
      <c r="O447" t="n">
        <v>0</v>
      </c>
      <c r="P447" t="n">
        <v>0</v>
      </c>
      <c r="Q447" t="n">
        <v>0</v>
      </c>
      <c r="R447" s="2" t="inlineStr"/>
    </row>
    <row r="448" ht="15" customHeight="1">
      <c r="A448" t="inlineStr">
        <is>
          <t>A 14521-2021</t>
        </is>
      </c>
      <c r="B448" s="1" t="n">
        <v>44279</v>
      </c>
      <c r="C448" s="1" t="n">
        <v>45760</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15092-2021</t>
        </is>
      </c>
      <c r="B449" s="1" t="n">
        <v>44281</v>
      </c>
      <c r="C449" s="1" t="n">
        <v>45760</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15188-2021</t>
        </is>
      </c>
      <c r="B450" s="1" t="n">
        <v>44284</v>
      </c>
      <c r="C450" s="1" t="n">
        <v>45760</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15191-2021</t>
        </is>
      </c>
      <c r="B451" s="1" t="n">
        <v>44284</v>
      </c>
      <c r="C451" s="1" t="n">
        <v>45760</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15200-2021</t>
        </is>
      </c>
      <c r="B452" s="1" t="n">
        <v>44284</v>
      </c>
      <c r="C452" s="1" t="n">
        <v>45760</v>
      </c>
      <c r="D452" t="inlineStr">
        <is>
          <t>KALMAR LÄN</t>
        </is>
      </c>
      <c r="E452" t="inlineStr">
        <is>
          <t>VIMMERBY</t>
        </is>
      </c>
      <c r="G452" t="n">
        <v>1.2</v>
      </c>
      <c r="H452" t="n">
        <v>0</v>
      </c>
      <c r="I452" t="n">
        <v>0</v>
      </c>
      <c r="J452" t="n">
        <v>0</v>
      </c>
      <c r="K452" t="n">
        <v>0</v>
      </c>
      <c r="L452" t="n">
        <v>0</v>
      </c>
      <c r="M452" t="n">
        <v>0</v>
      </c>
      <c r="N452" t="n">
        <v>0</v>
      </c>
      <c r="O452" t="n">
        <v>0</v>
      </c>
      <c r="P452" t="n">
        <v>0</v>
      </c>
      <c r="Q452" t="n">
        <v>0</v>
      </c>
      <c r="R452" s="2" t="inlineStr"/>
    </row>
    <row r="453" ht="15" customHeight="1">
      <c r="A453" t="inlineStr">
        <is>
          <t>A 15903-2021</t>
        </is>
      </c>
      <c r="B453" s="1" t="n">
        <v>44287</v>
      </c>
      <c r="C453" s="1" t="n">
        <v>45760</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16288-2021</t>
        </is>
      </c>
      <c r="B454" s="1" t="n">
        <v>44292</v>
      </c>
      <c r="C454" s="1" t="n">
        <v>45760</v>
      </c>
      <c r="D454" t="inlineStr">
        <is>
          <t>KALMAR LÄN</t>
        </is>
      </c>
      <c r="E454" t="inlineStr">
        <is>
          <t>VIMMERBY</t>
        </is>
      </c>
      <c r="F454" t="inlineStr">
        <is>
          <t>Övriga Aktiebolag</t>
        </is>
      </c>
      <c r="G454" t="n">
        <v>27.6</v>
      </c>
      <c r="H454" t="n">
        <v>0</v>
      </c>
      <c r="I454" t="n">
        <v>0</v>
      </c>
      <c r="J454" t="n">
        <v>0</v>
      </c>
      <c r="K454" t="n">
        <v>0</v>
      </c>
      <c r="L454" t="n">
        <v>0</v>
      </c>
      <c r="M454" t="n">
        <v>0</v>
      </c>
      <c r="N454" t="n">
        <v>0</v>
      </c>
      <c r="O454" t="n">
        <v>0</v>
      </c>
      <c r="P454" t="n">
        <v>0</v>
      </c>
      <c r="Q454" t="n">
        <v>0</v>
      </c>
      <c r="R454" s="2" t="inlineStr"/>
    </row>
    <row r="455" ht="15" customHeight="1">
      <c r="A455" t="inlineStr">
        <is>
          <t>A 16602-2021</t>
        </is>
      </c>
      <c r="B455" s="1" t="n">
        <v>44294</v>
      </c>
      <c r="C455" s="1" t="n">
        <v>45760</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16607-2021</t>
        </is>
      </c>
      <c r="B456" s="1" t="n">
        <v>44294</v>
      </c>
      <c r="C456" s="1" t="n">
        <v>45760</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17869-2021</t>
        </is>
      </c>
      <c r="B457" s="1" t="n">
        <v>44301</v>
      </c>
      <c r="C457" s="1" t="n">
        <v>45760</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18411-2021</t>
        </is>
      </c>
      <c r="B458" s="1" t="n">
        <v>44302</v>
      </c>
      <c r="C458" s="1" t="n">
        <v>45760</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18276-2021</t>
        </is>
      </c>
      <c r="B459" s="1" t="n">
        <v>44305</v>
      </c>
      <c r="C459" s="1" t="n">
        <v>45760</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18356-2021</t>
        </is>
      </c>
      <c r="B460" s="1" t="n">
        <v>44305</v>
      </c>
      <c r="C460" s="1" t="n">
        <v>45760</v>
      </c>
      <c r="D460" t="inlineStr">
        <is>
          <t>KALMAR LÄN</t>
        </is>
      </c>
      <c r="E460" t="inlineStr">
        <is>
          <t>VIMMERBY</t>
        </is>
      </c>
      <c r="G460" t="n">
        <v>3.4</v>
      </c>
      <c r="H460" t="n">
        <v>0</v>
      </c>
      <c r="I460" t="n">
        <v>0</v>
      </c>
      <c r="J460" t="n">
        <v>0</v>
      </c>
      <c r="K460" t="n">
        <v>0</v>
      </c>
      <c r="L460" t="n">
        <v>0</v>
      </c>
      <c r="M460" t="n">
        <v>0</v>
      </c>
      <c r="N460" t="n">
        <v>0</v>
      </c>
      <c r="O460" t="n">
        <v>0</v>
      </c>
      <c r="P460" t="n">
        <v>0</v>
      </c>
      <c r="Q460" t="n">
        <v>0</v>
      </c>
      <c r="R460" s="2" t="inlineStr"/>
    </row>
    <row r="461" ht="15" customHeight="1">
      <c r="A461" t="inlineStr">
        <is>
          <t>A 18756-2021</t>
        </is>
      </c>
      <c r="B461" s="1" t="n">
        <v>44307</v>
      </c>
      <c r="C461" s="1" t="n">
        <v>45760</v>
      </c>
      <c r="D461" t="inlineStr">
        <is>
          <t>KALMAR LÄN</t>
        </is>
      </c>
      <c r="E461" t="inlineStr">
        <is>
          <t>VIMMERBY</t>
        </is>
      </c>
      <c r="G461" t="n">
        <v>7.4</v>
      </c>
      <c r="H461" t="n">
        <v>0</v>
      </c>
      <c r="I461" t="n">
        <v>0</v>
      </c>
      <c r="J461" t="n">
        <v>0</v>
      </c>
      <c r="K461" t="n">
        <v>0</v>
      </c>
      <c r="L461" t="n">
        <v>0</v>
      </c>
      <c r="M461" t="n">
        <v>0</v>
      </c>
      <c r="N461" t="n">
        <v>0</v>
      </c>
      <c r="O461" t="n">
        <v>0</v>
      </c>
      <c r="P461" t="n">
        <v>0</v>
      </c>
      <c r="Q461" t="n">
        <v>0</v>
      </c>
      <c r="R461" s="2" t="inlineStr"/>
    </row>
    <row r="462" ht="15" customHeight="1">
      <c r="A462" t="inlineStr">
        <is>
          <t>A 19445-2021</t>
        </is>
      </c>
      <c r="B462" s="1" t="n">
        <v>44310</v>
      </c>
      <c r="C462" s="1" t="n">
        <v>45760</v>
      </c>
      <c r="D462" t="inlineStr">
        <is>
          <t>KALMAR LÄN</t>
        </is>
      </c>
      <c r="E462" t="inlineStr">
        <is>
          <t>VIMMERBY</t>
        </is>
      </c>
      <c r="G462" t="n">
        <v>6.8</v>
      </c>
      <c r="H462" t="n">
        <v>0</v>
      </c>
      <c r="I462" t="n">
        <v>0</v>
      </c>
      <c r="J462" t="n">
        <v>0</v>
      </c>
      <c r="K462" t="n">
        <v>0</v>
      </c>
      <c r="L462" t="n">
        <v>0</v>
      </c>
      <c r="M462" t="n">
        <v>0</v>
      </c>
      <c r="N462" t="n">
        <v>0</v>
      </c>
      <c r="O462" t="n">
        <v>0</v>
      </c>
      <c r="P462" t="n">
        <v>0</v>
      </c>
      <c r="Q462" t="n">
        <v>0</v>
      </c>
      <c r="R462" s="2" t="inlineStr"/>
    </row>
    <row r="463" ht="15" customHeight="1">
      <c r="A463" t="inlineStr">
        <is>
          <t>A 19863-2021</t>
        </is>
      </c>
      <c r="B463" s="1" t="n">
        <v>44312</v>
      </c>
      <c r="C463" s="1" t="n">
        <v>45760</v>
      </c>
      <c r="D463" t="inlineStr">
        <is>
          <t>KALMAR LÄN</t>
        </is>
      </c>
      <c r="E463" t="inlineStr">
        <is>
          <t>VIMMERBY</t>
        </is>
      </c>
      <c r="G463" t="n">
        <v>3.7</v>
      </c>
      <c r="H463" t="n">
        <v>0</v>
      </c>
      <c r="I463" t="n">
        <v>0</v>
      </c>
      <c r="J463" t="n">
        <v>0</v>
      </c>
      <c r="K463" t="n">
        <v>0</v>
      </c>
      <c r="L463" t="n">
        <v>0</v>
      </c>
      <c r="M463" t="n">
        <v>0</v>
      </c>
      <c r="N463" t="n">
        <v>0</v>
      </c>
      <c r="O463" t="n">
        <v>0</v>
      </c>
      <c r="P463" t="n">
        <v>0</v>
      </c>
      <c r="Q463" t="n">
        <v>0</v>
      </c>
      <c r="R463" s="2" t="inlineStr"/>
    </row>
    <row r="464" ht="15" customHeight="1">
      <c r="A464" t="inlineStr">
        <is>
          <t>A 19865-2021</t>
        </is>
      </c>
      <c r="B464" s="1" t="n">
        <v>44312</v>
      </c>
      <c r="C464" s="1" t="n">
        <v>45760</v>
      </c>
      <c r="D464" t="inlineStr">
        <is>
          <t>KALMAR LÄN</t>
        </is>
      </c>
      <c r="E464" t="inlineStr">
        <is>
          <t>VIMMERBY</t>
        </is>
      </c>
      <c r="G464" t="n">
        <v>8.6</v>
      </c>
      <c r="H464" t="n">
        <v>0</v>
      </c>
      <c r="I464" t="n">
        <v>0</v>
      </c>
      <c r="J464" t="n">
        <v>0</v>
      </c>
      <c r="K464" t="n">
        <v>0</v>
      </c>
      <c r="L464" t="n">
        <v>0</v>
      </c>
      <c r="M464" t="n">
        <v>0</v>
      </c>
      <c r="N464" t="n">
        <v>0</v>
      </c>
      <c r="O464" t="n">
        <v>0</v>
      </c>
      <c r="P464" t="n">
        <v>0</v>
      </c>
      <c r="Q464" t="n">
        <v>0</v>
      </c>
      <c r="R464" s="2" t="inlineStr"/>
    </row>
    <row r="465" ht="15" customHeight="1">
      <c r="A465" t="inlineStr">
        <is>
          <t>A 22637-2021</t>
        </is>
      </c>
      <c r="B465" s="1" t="n">
        <v>44327</v>
      </c>
      <c r="C465" s="1" t="n">
        <v>45760</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24369-2021</t>
        </is>
      </c>
      <c r="B466" s="1" t="n">
        <v>44337</v>
      </c>
      <c r="C466" s="1" t="n">
        <v>45760</v>
      </c>
      <c r="D466" t="inlineStr">
        <is>
          <t>KALMAR LÄN</t>
        </is>
      </c>
      <c r="E466" t="inlineStr">
        <is>
          <t>VIMMERBY</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24655-2021</t>
        </is>
      </c>
      <c r="B467" s="1" t="n">
        <v>44340</v>
      </c>
      <c r="C467" s="1" t="n">
        <v>45760</v>
      </c>
      <c r="D467" t="inlineStr">
        <is>
          <t>KALMAR LÄN</t>
        </is>
      </c>
      <c r="E467" t="inlineStr">
        <is>
          <t>VIMMERBY</t>
        </is>
      </c>
      <c r="G467" t="n">
        <v>14.9</v>
      </c>
      <c r="H467" t="n">
        <v>0</v>
      </c>
      <c r="I467" t="n">
        <v>0</v>
      </c>
      <c r="J467" t="n">
        <v>0</v>
      </c>
      <c r="K467" t="n">
        <v>0</v>
      </c>
      <c r="L467" t="n">
        <v>0</v>
      </c>
      <c r="M467" t="n">
        <v>0</v>
      </c>
      <c r="N467" t="n">
        <v>0</v>
      </c>
      <c r="O467" t="n">
        <v>0</v>
      </c>
      <c r="P467" t="n">
        <v>0</v>
      </c>
      <c r="Q467" t="n">
        <v>0</v>
      </c>
      <c r="R467" s="2" t="inlineStr"/>
    </row>
    <row r="468" ht="15" customHeight="1">
      <c r="A468" t="inlineStr">
        <is>
          <t>A 24752-2021</t>
        </is>
      </c>
      <c r="B468" s="1" t="n">
        <v>44340</v>
      </c>
      <c r="C468" s="1" t="n">
        <v>45760</v>
      </c>
      <c r="D468" t="inlineStr">
        <is>
          <t>KALMAR LÄN</t>
        </is>
      </c>
      <c r="E468" t="inlineStr">
        <is>
          <t>VIMMERBY</t>
        </is>
      </c>
      <c r="G468" t="n">
        <v>4.1</v>
      </c>
      <c r="H468" t="n">
        <v>0</v>
      </c>
      <c r="I468" t="n">
        <v>0</v>
      </c>
      <c r="J468" t="n">
        <v>0</v>
      </c>
      <c r="K468" t="n">
        <v>0</v>
      </c>
      <c r="L468" t="n">
        <v>0</v>
      </c>
      <c r="M468" t="n">
        <v>0</v>
      </c>
      <c r="N468" t="n">
        <v>0</v>
      </c>
      <c r="O468" t="n">
        <v>0</v>
      </c>
      <c r="P468" t="n">
        <v>0</v>
      </c>
      <c r="Q468" t="n">
        <v>0</v>
      </c>
      <c r="R468" s="2" t="inlineStr"/>
    </row>
    <row r="469" ht="15" customHeight="1">
      <c r="A469" t="inlineStr">
        <is>
          <t>A 24738-2021</t>
        </is>
      </c>
      <c r="B469" s="1" t="n">
        <v>44340</v>
      </c>
      <c r="C469" s="1" t="n">
        <v>45760</v>
      </c>
      <c r="D469" t="inlineStr">
        <is>
          <t>KALMAR LÄN</t>
        </is>
      </c>
      <c r="E469" t="inlineStr">
        <is>
          <t>VIMMERBY</t>
        </is>
      </c>
      <c r="G469" t="n">
        <v>3.5</v>
      </c>
      <c r="H469" t="n">
        <v>0</v>
      </c>
      <c r="I469" t="n">
        <v>0</v>
      </c>
      <c r="J469" t="n">
        <v>0</v>
      </c>
      <c r="K469" t="n">
        <v>0</v>
      </c>
      <c r="L469" t="n">
        <v>0</v>
      </c>
      <c r="M469" t="n">
        <v>0</v>
      </c>
      <c r="N469" t="n">
        <v>0</v>
      </c>
      <c r="O469" t="n">
        <v>0</v>
      </c>
      <c r="P469" t="n">
        <v>0</v>
      </c>
      <c r="Q469" t="n">
        <v>0</v>
      </c>
      <c r="R469" s="2" t="inlineStr"/>
    </row>
    <row r="470" ht="15" customHeight="1">
      <c r="A470" t="inlineStr">
        <is>
          <t>A 24723-2021</t>
        </is>
      </c>
      <c r="B470" s="1" t="n">
        <v>44340</v>
      </c>
      <c r="C470" s="1" t="n">
        <v>45760</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24999-2021</t>
        </is>
      </c>
      <c r="B471" s="1" t="n">
        <v>44341</v>
      </c>
      <c r="C471" s="1" t="n">
        <v>45760</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27100-2021</t>
        </is>
      </c>
      <c r="B472" s="1" t="n">
        <v>44350</v>
      </c>
      <c r="C472" s="1" t="n">
        <v>45760</v>
      </c>
      <c r="D472" t="inlineStr">
        <is>
          <t>KALMAR LÄN</t>
        </is>
      </c>
      <c r="E472" t="inlineStr">
        <is>
          <t>VIMMERBY</t>
        </is>
      </c>
      <c r="G472" t="n">
        <v>9.6</v>
      </c>
      <c r="H472" t="n">
        <v>0</v>
      </c>
      <c r="I472" t="n">
        <v>0</v>
      </c>
      <c r="J472" t="n">
        <v>0</v>
      </c>
      <c r="K472" t="n">
        <v>0</v>
      </c>
      <c r="L472" t="n">
        <v>0</v>
      </c>
      <c r="M472" t="n">
        <v>0</v>
      </c>
      <c r="N472" t="n">
        <v>0</v>
      </c>
      <c r="O472" t="n">
        <v>0</v>
      </c>
      <c r="P472" t="n">
        <v>0</v>
      </c>
      <c r="Q472" t="n">
        <v>0</v>
      </c>
      <c r="R472" s="2" t="inlineStr"/>
    </row>
    <row r="473" ht="15" customHeight="1">
      <c r="A473" t="inlineStr">
        <is>
          <t>A 27086-2021</t>
        </is>
      </c>
      <c r="B473" s="1" t="n">
        <v>44350</v>
      </c>
      <c r="C473" s="1" t="n">
        <v>45760</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27759-2021</t>
        </is>
      </c>
      <c r="B474" s="1" t="n">
        <v>44354</v>
      </c>
      <c r="C474" s="1" t="n">
        <v>45760</v>
      </c>
      <c r="D474" t="inlineStr">
        <is>
          <t>KALMAR LÄN</t>
        </is>
      </c>
      <c r="E474" t="inlineStr">
        <is>
          <t>VIMMERBY</t>
        </is>
      </c>
      <c r="G474" t="n">
        <v>4.6</v>
      </c>
      <c r="H474" t="n">
        <v>0</v>
      </c>
      <c r="I474" t="n">
        <v>0</v>
      </c>
      <c r="J474" t="n">
        <v>0</v>
      </c>
      <c r="K474" t="n">
        <v>0</v>
      </c>
      <c r="L474" t="n">
        <v>0</v>
      </c>
      <c r="M474" t="n">
        <v>0</v>
      </c>
      <c r="N474" t="n">
        <v>0</v>
      </c>
      <c r="O474" t="n">
        <v>0</v>
      </c>
      <c r="P474" t="n">
        <v>0</v>
      </c>
      <c r="Q474" t="n">
        <v>0</v>
      </c>
      <c r="R474" s="2" t="inlineStr"/>
    </row>
    <row r="475" ht="15" customHeight="1">
      <c r="A475" t="inlineStr">
        <is>
          <t>A 27762-2021</t>
        </is>
      </c>
      <c r="B475" s="1" t="n">
        <v>44354</v>
      </c>
      <c r="C475" s="1" t="n">
        <v>45760</v>
      </c>
      <c r="D475" t="inlineStr">
        <is>
          <t>KALMAR LÄN</t>
        </is>
      </c>
      <c r="E475" t="inlineStr">
        <is>
          <t>VIMMERBY</t>
        </is>
      </c>
      <c r="G475" t="n">
        <v>1.4</v>
      </c>
      <c r="H475" t="n">
        <v>0</v>
      </c>
      <c r="I475" t="n">
        <v>0</v>
      </c>
      <c r="J475" t="n">
        <v>0</v>
      </c>
      <c r="K475" t="n">
        <v>0</v>
      </c>
      <c r="L475" t="n">
        <v>0</v>
      </c>
      <c r="M475" t="n">
        <v>0</v>
      </c>
      <c r="N475" t="n">
        <v>0</v>
      </c>
      <c r="O475" t="n">
        <v>0</v>
      </c>
      <c r="P475" t="n">
        <v>0</v>
      </c>
      <c r="Q475" t="n">
        <v>0</v>
      </c>
      <c r="R475" s="2" t="inlineStr"/>
    </row>
    <row r="476" ht="15" customHeight="1">
      <c r="A476" t="inlineStr">
        <is>
          <t>A 30682-2021</t>
        </is>
      </c>
      <c r="B476" s="1" t="n">
        <v>44365</v>
      </c>
      <c r="C476" s="1" t="n">
        <v>45760</v>
      </c>
      <c r="D476" t="inlineStr">
        <is>
          <t>KALMAR LÄN</t>
        </is>
      </c>
      <c r="E476" t="inlineStr">
        <is>
          <t>VIMMERBY</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31660-2021</t>
        </is>
      </c>
      <c r="B477" s="1" t="n">
        <v>44369</v>
      </c>
      <c r="C477" s="1" t="n">
        <v>45760</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32386-2021</t>
        </is>
      </c>
      <c r="B478" s="1" t="n">
        <v>44371</v>
      </c>
      <c r="C478" s="1" t="n">
        <v>45760</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32607-2021</t>
        </is>
      </c>
      <c r="B479" s="1" t="n">
        <v>44375</v>
      </c>
      <c r="C479" s="1" t="n">
        <v>45760</v>
      </c>
      <c r="D479" t="inlineStr">
        <is>
          <t>KALMAR LÄN</t>
        </is>
      </c>
      <c r="E479" t="inlineStr">
        <is>
          <t>VIMMERBY</t>
        </is>
      </c>
      <c r="G479" t="n">
        <v>0.4</v>
      </c>
      <c r="H479" t="n">
        <v>0</v>
      </c>
      <c r="I479" t="n">
        <v>0</v>
      </c>
      <c r="J479" t="n">
        <v>0</v>
      </c>
      <c r="K479" t="n">
        <v>0</v>
      </c>
      <c r="L479" t="n">
        <v>0</v>
      </c>
      <c r="M479" t="n">
        <v>0</v>
      </c>
      <c r="N479" t="n">
        <v>0</v>
      </c>
      <c r="O479" t="n">
        <v>0</v>
      </c>
      <c r="P479" t="n">
        <v>0</v>
      </c>
      <c r="Q479" t="n">
        <v>0</v>
      </c>
      <c r="R479" s="2" t="inlineStr"/>
    </row>
    <row r="480" ht="15" customHeight="1">
      <c r="A480" t="inlineStr">
        <is>
          <t>A 32603-2021</t>
        </is>
      </c>
      <c r="B480" s="1" t="n">
        <v>44375</v>
      </c>
      <c r="C480" s="1" t="n">
        <v>45760</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33359-2021</t>
        </is>
      </c>
      <c r="B481" s="1" t="n">
        <v>44377</v>
      </c>
      <c r="C481" s="1" t="n">
        <v>45760</v>
      </c>
      <c r="D481" t="inlineStr">
        <is>
          <t>KALMAR LÄN</t>
        </is>
      </c>
      <c r="E481" t="inlineStr">
        <is>
          <t>VIMMERBY</t>
        </is>
      </c>
      <c r="F481" t="inlineStr">
        <is>
          <t>Kommuner</t>
        </is>
      </c>
      <c r="G481" t="n">
        <v>8</v>
      </c>
      <c r="H481" t="n">
        <v>0</v>
      </c>
      <c r="I481" t="n">
        <v>0</v>
      </c>
      <c r="J481" t="n">
        <v>0</v>
      </c>
      <c r="K481" t="n">
        <v>0</v>
      </c>
      <c r="L481" t="n">
        <v>0</v>
      </c>
      <c r="M481" t="n">
        <v>0</v>
      </c>
      <c r="N481" t="n">
        <v>0</v>
      </c>
      <c r="O481" t="n">
        <v>0</v>
      </c>
      <c r="P481" t="n">
        <v>0</v>
      </c>
      <c r="Q481" t="n">
        <v>0</v>
      </c>
      <c r="R481" s="2" t="inlineStr"/>
    </row>
    <row r="482" ht="15" customHeight="1">
      <c r="A482" t="inlineStr">
        <is>
          <t>A 33374-2021</t>
        </is>
      </c>
      <c r="B482" s="1" t="n">
        <v>44377</v>
      </c>
      <c r="C482" s="1" t="n">
        <v>45760</v>
      </c>
      <c r="D482" t="inlineStr">
        <is>
          <t>KALMAR LÄN</t>
        </is>
      </c>
      <c r="E482" t="inlineStr">
        <is>
          <t>VIMMERBY</t>
        </is>
      </c>
      <c r="G482" t="n">
        <v>3.3</v>
      </c>
      <c r="H482" t="n">
        <v>0</v>
      </c>
      <c r="I482" t="n">
        <v>0</v>
      </c>
      <c r="J482" t="n">
        <v>0</v>
      </c>
      <c r="K482" t="n">
        <v>0</v>
      </c>
      <c r="L482" t="n">
        <v>0</v>
      </c>
      <c r="M482" t="n">
        <v>0</v>
      </c>
      <c r="N482" t="n">
        <v>0</v>
      </c>
      <c r="O482" t="n">
        <v>0</v>
      </c>
      <c r="P482" t="n">
        <v>0</v>
      </c>
      <c r="Q482" t="n">
        <v>0</v>
      </c>
      <c r="R482" s="2" t="inlineStr"/>
    </row>
    <row r="483" ht="15" customHeight="1">
      <c r="A483" t="inlineStr">
        <is>
          <t>A 33446-2021</t>
        </is>
      </c>
      <c r="B483" s="1" t="n">
        <v>44377</v>
      </c>
      <c r="C483" s="1" t="n">
        <v>45760</v>
      </c>
      <c r="D483" t="inlineStr">
        <is>
          <t>KALMAR LÄN</t>
        </is>
      </c>
      <c r="E483" t="inlineStr">
        <is>
          <t>VIMMERBY</t>
        </is>
      </c>
      <c r="G483" t="n">
        <v>4.3</v>
      </c>
      <c r="H483" t="n">
        <v>0</v>
      </c>
      <c r="I483" t="n">
        <v>0</v>
      </c>
      <c r="J483" t="n">
        <v>0</v>
      </c>
      <c r="K483" t="n">
        <v>0</v>
      </c>
      <c r="L483" t="n">
        <v>0</v>
      </c>
      <c r="M483" t="n">
        <v>0</v>
      </c>
      <c r="N483" t="n">
        <v>0</v>
      </c>
      <c r="O483" t="n">
        <v>0</v>
      </c>
      <c r="P483" t="n">
        <v>0</v>
      </c>
      <c r="Q483" t="n">
        <v>0</v>
      </c>
      <c r="R483" s="2" t="inlineStr"/>
    </row>
    <row r="484" ht="15" customHeight="1">
      <c r="A484" t="inlineStr">
        <is>
          <t>A 35198-2021</t>
        </is>
      </c>
      <c r="B484" s="1" t="n">
        <v>44377</v>
      </c>
      <c r="C484" s="1" t="n">
        <v>45760</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34040-2021</t>
        </is>
      </c>
      <c r="B485" s="1" t="n">
        <v>44379</v>
      </c>
      <c r="C485" s="1" t="n">
        <v>45760</v>
      </c>
      <c r="D485" t="inlineStr">
        <is>
          <t>KALMAR LÄN</t>
        </is>
      </c>
      <c r="E485" t="inlineStr">
        <is>
          <t>VIMMERBY</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34036-2021</t>
        </is>
      </c>
      <c r="B486" s="1" t="n">
        <v>44379</v>
      </c>
      <c r="C486" s="1" t="n">
        <v>45760</v>
      </c>
      <c r="D486" t="inlineStr">
        <is>
          <t>KALMAR LÄN</t>
        </is>
      </c>
      <c r="E486" t="inlineStr">
        <is>
          <t>VIMMERBY</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35001-2021</t>
        </is>
      </c>
      <c r="B487" s="1" t="n">
        <v>44383</v>
      </c>
      <c r="C487" s="1" t="n">
        <v>45760</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35316-2021</t>
        </is>
      </c>
      <c r="B488" s="1" t="n">
        <v>44384</v>
      </c>
      <c r="C488" s="1" t="n">
        <v>45760</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35531-2021</t>
        </is>
      </c>
      <c r="B489" s="1" t="n">
        <v>44385</v>
      </c>
      <c r="C489" s="1" t="n">
        <v>45760</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35633-2021</t>
        </is>
      </c>
      <c r="B490" s="1" t="n">
        <v>44386</v>
      </c>
      <c r="C490" s="1" t="n">
        <v>45760</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36117-2021</t>
        </is>
      </c>
      <c r="B491" s="1" t="n">
        <v>44386</v>
      </c>
      <c r="C491" s="1" t="n">
        <v>45760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36121-2021</t>
        </is>
      </c>
      <c r="B492" s="1" t="n">
        <v>44386</v>
      </c>
      <c r="C492" s="1" t="n">
        <v>45760</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36802-2021</t>
        </is>
      </c>
      <c r="B493" s="1" t="n">
        <v>44392</v>
      </c>
      <c r="C493" s="1" t="n">
        <v>45760</v>
      </c>
      <c r="D493" t="inlineStr">
        <is>
          <t>KALMAR LÄN</t>
        </is>
      </c>
      <c r="E493" t="inlineStr">
        <is>
          <t>VIMMERBY</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38086-2021</t>
        </is>
      </c>
      <c r="B494" s="1" t="n">
        <v>44404</v>
      </c>
      <c r="C494" s="1" t="n">
        <v>45760</v>
      </c>
      <c r="D494" t="inlineStr">
        <is>
          <t>KALMAR LÄN</t>
        </is>
      </c>
      <c r="E494" t="inlineStr">
        <is>
          <t>VIMMERBY</t>
        </is>
      </c>
      <c r="G494" t="n">
        <v>4.4</v>
      </c>
      <c r="H494" t="n">
        <v>0</v>
      </c>
      <c r="I494" t="n">
        <v>0</v>
      </c>
      <c r="J494" t="n">
        <v>0</v>
      </c>
      <c r="K494" t="n">
        <v>0</v>
      </c>
      <c r="L494" t="n">
        <v>0</v>
      </c>
      <c r="M494" t="n">
        <v>0</v>
      </c>
      <c r="N494" t="n">
        <v>0</v>
      </c>
      <c r="O494" t="n">
        <v>0</v>
      </c>
      <c r="P494" t="n">
        <v>0</v>
      </c>
      <c r="Q494" t="n">
        <v>0</v>
      </c>
      <c r="R494" s="2" t="inlineStr"/>
    </row>
    <row r="495" ht="15" customHeight="1">
      <c r="A495" t="inlineStr">
        <is>
          <t>A 38348-2021</t>
        </is>
      </c>
      <c r="B495" s="1" t="n">
        <v>44406</v>
      </c>
      <c r="C495" s="1" t="n">
        <v>45760</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38780-2021</t>
        </is>
      </c>
      <c r="B496" s="1" t="n">
        <v>44410</v>
      </c>
      <c r="C496" s="1" t="n">
        <v>45760</v>
      </c>
      <c r="D496" t="inlineStr">
        <is>
          <t>KALMAR LÄN</t>
        </is>
      </c>
      <c r="E496" t="inlineStr">
        <is>
          <t>VIMMERBY</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38789-2021</t>
        </is>
      </c>
      <c r="B497" s="1" t="n">
        <v>44410</v>
      </c>
      <c r="C497" s="1" t="n">
        <v>45760</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40073-2021</t>
        </is>
      </c>
      <c r="B498" s="1" t="n">
        <v>44418</v>
      </c>
      <c r="C498" s="1" t="n">
        <v>45760</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40076-2021</t>
        </is>
      </c>
      <c r="B499" s="1" t="n">
        <v>44418</v>
      </c>
      <c r="C499" s="1" t="n">
        <v>45760</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40071-2021</t>
        </is>
      </c>
      <c r="B500" s="1" t="n">
        <v>44418</v>
      </c>
      <c r="C500" s="1" t="n">
        <v>45760</v>
      </c>
      <c r="D500" t="inlineStr">
        <is>
          <t>KALMAR LÄN</t>
        </is>
      </c>
      <c r="E500" t="inlineStr">
        <is>
          <t>VIMMERBY</t>
        </is>
      </c>
      <c r="G500" t="n">
        <v>1.5</v>
      </c>
      <c r="H500" t="n">
        <v>0</v>
      </c>
      <c r="I500" t="n">
        <v>0</v>
      </c>
      <c r="J500" t="n">
        <v>0</v>
      </c>
      <c r="K500" t="n">
        <v>0</v>
      </c>
      <c r="L500" t="n">
        <v>0</v>
      </c>
      <c r="M500" t="n">
        <v>0</v>
      </c>
      <c r="N500" t="n">
        <v>0</v>
      </c>
      <c r="O500" t="n">
        <v>0</v>
      </c>
      <c r="P500" t="n">
        <v>0</v>
      </c>
      <c r="Q500" t="n">
        <v>0</v>
      </c>
      <c r="R500" s="2" t="inlineStr"/>
    </row>
    <row r="501" ht="15" customHeight="1">
      <c r="A501" t="inlineStr">
        <is>
          <t>A 40077-2021</t>
        </is>
      </c>
      <c r="B501" s="1" t="n">
        <v>44418</v>
      </c>
      <c r="C501" s="1" t="n">
        <v>45760</v>
      </c>
      <c r="D501" t="inlineStr">
        <is>
          <t>KALMAR LÄN</t>
        </is>
      </c>
      <c r="E501" t="inlineStr">
        <is>
          <t>VIMMERBY</t>
        </is>
      </c>
      <c r="G501" t="n">
        <v>2.9</v>
      </c>
      <c r="H501" t="n">
        <v>0</v>
      </c>
      <c r="I501" t="n">
        <v>0</v>
      </c>
      <c r="J501" t="n">
        <v>0</v>
      </c>
      <c r="K501" t="n">
        <v>0</v>
      </c>
      <c r="L501" t="n">
        <v>0</v>
      </c>
      <c r="M501" t="n">
        <v>0</v>
      </c>
      <c r="N501" t="n">
        <v>0</v>
      </c>
      <c r="O501" t="n">
        <v>0</v>
      </c>
      <c r="P501" t="n">
        <v>0</v>
      </c>
      <c r="Q501" t="n">
        <v>0</v>
      </c>
      <c r="R501" s="2" t="inlineStr"/>
    </row>
    <row r="502" ht="15" customHeight="1">
      <c r="A502" t="inlineStr">
        <is>
          <t>A 40971-2021</t>
        </is>
      </c>
      <c r="B502" s="1" t="n">
        <v>44421</v>
      </c>
      <c r="C502" s="1" t="n">
        <v>45760</v>
      </c>
      <c r="D502" t="inlineStr">
        <is>
          <t>KALMAR LÄN</t>
        </is>
      </c>
      <c r="E502" t="inlineStr">
        <is>
          <t>VIMMERBY</t>
        </is>
      </c>
      <c r="G502" t="n">
        <v>1.1</v>
      </c>
      <c r="H502" t="n">
        <v>0</v>
      </c>
      <c r="I502" t="n">
        <v>0</v>
      </c>
      <c r="J502" t="n">
        <v>0</v>
      </c>
      <c r="K502" t="n">
        <v>0</v>
      </c>
      <c r="L502" t="n">
        <v>0</v>
      </c>
      <c r="M502" t="n">
        <v>0</v>
      </c>
      <c r="N502" t="n">
        <v>0</v>
      </c>
      <c r="O502" t="n">
        <v>0</v>
      </c>
      <c r="P502" t="n">
        <v>0</v>
      </c>
      <c r="Q502" t="n">
        <v>0</v>
      </c>
      <c r="R502" s="2" t="inlineStr"/>
    </row>
    <row r="503" ht="15" customHeight="1">
      <c r="A503" t="inlineStr">
        <is>
          <t>A 42521-2021</t>
        </is>
      </c>
      <c r="B503" s="1" t="n">
        <v>44427</v>
      </c>
      <c r="C503" s="1" t="n">
        <v>45760</v>
      </c>
      <c r="D503" t="inlineStr">
        <is>
          <t>KALMAR LÄN</t>
        </is>
      </c>
      <c r="E503" t="inlineStr">
        <is>
          <t>VIMMERBY</t>
        </is>
      </c>
      <c r="G503" t="n">
        <v>5.4</v>
      </c>
      <c r="H503" t="n">
        <v>0</v>
      </c>
      <c r="I503" t="n">
        <v>0</v>
      </c>
      <c r="J503" t="n">
        <v>0</v>
      </c>
      <c r="K503" t="n">
        <v>0</v>
      </c>
      <c r="L503" t="n">
        <v>0</v>
      </c>
      <c r="M503" t="n">
        <v>0</v>
      </c>
      <c r="N503" t="n">
        <v>0</v>
      </c>
      <c r="O503" t="n">
        <v>0</v>
      </c>
      <c r="P503" t="n">
        <v>0</v>
      </c>
      <c r="Q503" t="n">
        <v>0</v>
      </c>
      <c r="R503" s="2" t="inlineStr"/>
    </row>
    <row r="504" ht="15" customHeight="1">
      <c r="A504" t="inlineStr">
        <is>
          <t>A 42918-2021</t>
        </is>
      </c>
      <c r="B504" s="1" t="n">
        <v>44431</v>
      </c>
      <c r="C504" s="1" t="n">
        <v>45760</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43186-2021</t>
        </is>
      </c>
      <c r="B505" s="1" t="n">
        <v>44431</v>
      </c>
      <c r="C505" s="1" t="n">
        <v>45760</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45528-2021</t>
        </is>
      </c>
      <c r="B506" s="1" t="n">
        <v>44440</v>
      </c>
      <c r="C506" s="1" t="n">
        <v>45760</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45390-2021</t>
        </is>
      </c>
      <c r="B507" s="1" t="n">
        <v>44440</v>
      </c>
      <c r="C507" s="1" t="n">
        <v>45760</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45560-2021</t>
        </is>
      </c>
      <c r="B508" s="1" t="n">
        <v>44440</v>
      </c>
      <c r="C508" s="1" t="n">
        <v>45760</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47208-2021</t>
        </is>
      </c>
      <c r="B509" s="1" t="n">
        <v>44447</v>
      </c>
      <c r="C509" s="1" t="n">
        <v>45760</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47205-2021</t>
        </is>
      </c>
      <c r="B510" s="1" t="n">
        <v>44447</v>
      </c>
      <c r="C510" s="1" t="n">
        <v>45760</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47473-2021</t>
        </is>
      </c>
      <c r="B511" s="1" t="n">
        <v>44447</v>
      </c>
      <c r="C511" s="1" t="n">
        <v>45760</v>
      </c>
      <c r="D511" t="inlineStr">
        <is>
          <t>KALMAR LÄN</t>
        </is>
      </c>
      <c r="E511" t="inlineStr">
        <is>
          <t>VIMMERBY</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48377-2021</t>
        </is>
      </c>
      <c r="B512" s="1" t="n">
        <v>44451</v>
      </c>
      <c r="C512" s="1" t="n">
        <v>45760</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48373-2021</t>
        </is>
      </c>
      <c r="B513" s="1" t="n">
        <v>44451</v>
      </c>
      <c r="C513" s="1" t="n">
        <v>45760</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48673-2021</t>
        </is>
      </c>
      <c r="B514" s="1" t="n">
        <v>44452</v>
      </c>
      <c r="C514" s="1" t="n">
        <v>45760</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49039-2021</t>
        </is>
      </c>
      <c r="B515" s="1" t="n">
        <v>44453</v>
      </c>
      <c r="C515" s="1" t="n">
        <v>45760</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51972-2021</t>
        </is>
      </c>
      <c r="B516" s="1" t="n">
        <v>44463</v>
      </c>
      <c r="C516" s="1" t="n">
        <v>45760</v>
      </c>
      <c r="D516" t="inlineStr">
        <is>
          <t>KALMAR LÄN</t>
        </is>
      </c>
      <c r="E516" t="inlineStr">
        <is>
          <t>VIMMERBY</t>
        </is>
      </c>
      <c r="G516" t="n">
        <v>4.5</v>
      </c>
      <c r="H516" t="n">
        <v>0</v>
      </c>
      <c r="I516" t="n">
        <v>0</v>
      </c>
      <c r="J516" t="n">
        <v>0</v>
      </c>
      <c r="K516" t="n">
        <v>0</v>
      </c>
      <c r="L516" t="n">
        <v>0</v>
      </c>
      <c r="M516" t="n">
        <v>0</v>
      </c>
      <c r="N516" t="n">
        <v>0</v>
      </c>
      <c r="O516" t="n">
        <v>0</v>
      </c>
      <c r="P516" t="n">
        <v>0</v>
      </c>
      <c r="Q516" t="n">
        <v>0</v>
      </c>
      <c r="R516" s="2" t="inlineStr"/>
    </row>
    <row r="517" ht="15" customHeight="1">
      <c r="A517" t="inlineStr">
        <is>
          <t>A 52433-2021</t>
        </is>
      </c>
      <c r="B517" s="1" t="n">
        <v>44466</v>
      </c>
      <c r="C517" s="1" t="n">
        <v>45760</v>
      </c>
      <c r="D517" t="inlineStr">
        <is>
          <t>KALMAR LÄN</t>
        </is>
      </c>
      <c r="E517" t="inlineStr">
        <is>
          <t>VIMMERBY</t>
        </is>
      </c>
      <c r="G517" t="n">
        <v>3.5</v>
      </c>
      <c r="H517" t="n">
        <v>0</v>
      </c>
      <c r="I517" t="n">
        <v>0</v>
      </c>
      <c r="J517" t="n">
        <v>0</v>
      </c>
      <c r="K517" t="n">
        <v>0</v>
      </c>
      <c r="L517" t="n">
        <v>0</v>
      </c>
      <c r="M517" t="n">
        <v>0</v>
      </c>
      <c r="N517" t="n">
        <v>0</v>
      </c>
      <c r="O517" t="n">
        <v>0</v>
      </c>
      <c r="P517" t="n">
        <v>0</v>
      </c>
      <c r="Q517" t="n">
        <v>0</v>
      </c>
      <c r="R517" s="2" t="inlineStr"/>
    </row>
    <row r="518" ht="15" customHeight="1">
      <c r="A518" t="inlineStr">
        <is>
          <t>A 52435-2021</t>
        </is>
      </c>
      <c r="B518" s="1" t="n">
        <v>44466</v>
      </c>
      <c r="C518" s="1" t="n">
        <v>45760</v>
      </c>
      <c r="D518" t="inlineStr">
        <is>
          <t>KALMAR LÄN</t>
        </is>
      </c>
      <c r="E518" t="inlineStr">
        <is>
          <t>VIMMERBY</t>
        </is>
      </c>
      <c r="G518" t="n">
        <v>2.8</v>
      </c>
      <c r="H518" t="n">
        <v>0</v>
      </c>
      <c r="I518" t="n">
        <v>0</v>
      </c>
      <c r="J518" t="n">
        <v>0</v>
      </c>
      <c r="K518" t="n">
        <v>0</v>
      </c>
      <c r="L518" t="n">
        <v>0</v>
      </c>
      <c r="M518" t="n">
        <v>0</v>
      </c>
      <c r="N518" t="n">
        <v>0</v>
      </c>
      <c r="O518" t="n">
        <v>0</v>
      </c>
      <c r="P518" t="n">
        <v>0</v>
      </c>
      <c r="Q518" t="n">
        <v>0</v>
      </c>
      <c r="R518" s="2" t="inlineStr"/>
    </row>
    <row r="519" ht="15" customHeight="1">
      <c r="A519" t="inlineStr">
        <is>
          <t>A 53083-2021</t>
        </is>
      </c>
      <c r="B519" s="1" t="n">
        <v>44467</v>
      </c>
      <c r="C519" s="1" t="n">
        <v>45760</v>
      </c>
      <c r="D519" t="inlineStr">
        <is>
          <t>KALMAR LÄN</t>
        </is>
      </c>
      <c r="E519" t="inlineStr">
        <is>
          <t>VIMMERBY</t>
        </is>
      </c>
      <c r="G519" t="n">
        <v>6.8</v>
      </c>
      <c r="H519" t="n">
        <v>0</v>
      </c>
      <c r="I519" t="n">
        <v>0</v>
      </c>
      <c r="J519" t="n">
        <v>0</v>
      </c>
      <c r="K519" t="n">
        <v>0</v>
      </c>
      <c r="L519" t="n">
        <v>0</v>
      </c>
      <c r="M519" t="n">
        <v>0</v>
      </c>
      <c r="N519" t="n">
        <v>0</v>
      </c>
      <c r="O519" t="n">
        <v>0</v>
      </c>
      <c r="P519" t="n">
        <v>0</v>
      </c>
      <c r="Q519" t="n">
        <v>0</v>
      </c>
      <c r="R519" s="2" t="inlineStr"/>
    </row>
    <row r="520" ht="15" customHeight="1">
      <c r="A520" t="inlineStr">
        <is>
          <t>A 53080-2021</t>
        </is>
      </c>
      <c r="B520" s="1" t="n">
        <v>44467</v>
      </c>
      <c r="C520" s="1" t="n">
        <v>45760</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54065-2021</t>
        </is>
      </c>
      <c r="B521" s="1" t="n">
        <v>44470</v>
      </c>
      <c r="C521" s="1" t="n">
        <v>45760</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55300-2021</t>
        </is>
      </c>
      <c r="B522" s="1" t="n">
        <v>44475</v>
      </c>
      <c r="C522" s="1" t="n">
        <v>45760</v>
      </c>
      <c r="D522" t="inlineStr">
        <is>
          <t>KALMAR LÄN</t>
        </is>
      </c>
      <c r="E522" t="inlineStr">
        <is>
          <t>VIMMERBY</t>
        </is>
      </c>
      <c r="G522" t="n">
        <v>3.4</v>
      </c>
      <c r="H522" t="n">
        <v>0</v>
      </c>
      <c r="I522" t="n">
        <v>0</v>
      </c>
      <c r="J522" t="n">
        <v>0</v>
      </c>
      <c r="K522" t="n">
        <v>0</v>
      </c>
      <c r="L522" t="n">
        <v>0</v>
      </c>
      <c r="M522" t="n">
        <v>0</v>
      </c>
      <c r="N522" t="n">
        <v>0</v>
      </c>
      <c r="O522" t="n">
        <v>0</v>
      </c>
      <c r="P522" t="n">
        <v>0</v>
      </c>
      <c r="Q522" t="n">
        <v>0</v>
      </c>
      <c r="R522" s="2" t="inlineStr"/>
    </row>
    <row r="523" ht="15" customHeight="1">
      <c r="A523" t="inlineStr">
        <is>
          <t>A 55297-2021</t>
        </is>
      </c>
      <c r="B523" s="1" t="n">
        <v>44475</v>
      </c>
      <c r="C523" s="1" t="n">
        <v>45760</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55674-2021</t>
        </is>
      </c>
      <c r="B524" s="1" t="n">
        <v>44476</v>
      </c>
      <c r="C524" s="1" t="n">
        <v>45760</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56029-2021</t>
        </is>
      </c>
      <c r="B525" s="1" t="n">
        <v>44477</v>
      </c>
      <c r="C525" s="1" t="n">
        <v>45760</v>
      </c>
      <c r="D525" t="inlineStr">
        <is>
          <t>KALMAR LÄN</t>
        </is>
      </c>
      <c r="E525" t="inlineStr">
        <is>
          <t>VIMMERBY</t>
        </is>
      </c>
      <c r="G525" t="n">
        <v>3.9</v>
      </c>
      <c r="H525" t="n">
        <v>0</v>
      </c>
      <c r="I525" t="n">
        <v>0</v>
      </c>
      <c r="J525" t="n">
        <v>0</v>
      </c>
      <c r="K525" t="n">
        <v>0</v>
      </c>
      <c r="L525" t="n">
        <v>0</v>
      </c>
      <c r="M525" t="n">
        <v>0</v>
      </c>
      <c r="N525" t="n">
        <v>0</v>
      </c>
      <c r="O525" t="n">
        <v>0</v>
      </c>
      <c r="P525" t="n">
        <v>0</v>
      </c>
      <c r="Q525" t="n">
        <v>0</v>
      </c>
      <c r="R525" s="2" t="inlineStr"/>
    </row>
    <row r="526" ht="15" customHeight="1">
      <c r="A526" t="inlineStr">
        <is>
          <t>A 56343-2021</t>
        </is>
      </c>
      <c r="B526" s="1" t="n">
        <v>44480</v>
      </c>
      <c r="C526" s="1" t="n">
        <v>45760</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56385-2021</t>
        </is>
      </c>
      <c r="B527" s="1" t="n">
        <v>44480</v>
      </c>
      <c r="C527" s="1" t="n">
        <v>45760</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56347-2021</t>
        </is>
      </c>
      <c r="B528" s="1" t="n">
        <v>44480</v>
      </c>
      <c r="C528" s="1" t="n">
        <v>45760</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56378-2021</t>
        </is>
      </c>
      <c r="B529" s="1" t="n">
        <v>44480</v>
      </c>
      <c r="C529" s="1" t="n">
        <v>45760</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56398-2021</t>
        </is>
      </c>
      <c r="B530" s="1" t="n">
        <v>44480</v>
      </c>
      <c r="C530" s="1" t="n">
        <v>45760</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56389-2021</t>
        </is>
      </c>
      <c r="B531" s="1" t="n">
        <v>44480</v>
      </c>
      <c r="C531" s="1" t="n">
        <v>45760</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56754-2021</t>
        </is>
      </c>
      <c r="B532" s="1" t="n">
        <v>44481</v>
      </c>
      <c r="C532" s="1" t="n">
        <v>45760</v>
      </c>
      <c r="D532" t="inlineStr">
        <is>
          <t>KALMAR LÄN</t>
        </is>
      </c>
      <c r="E532" t="inlineStr">
        <is>
          <t>VIMMERBY</t>
        </is>
      </c>
      <c r="G532" t="n">
        <v>1.4</v>
      </c>
      <c r="H532" t="n">
        <v>0</v>
      </c>
      <c r="I532" t="n">
        <v>0</v>
      </c>
      <c r="J532" t="n">
        <v>0</v>
      </c>
      <c r="K532" t="n">
        <v>0</v>
      </c>
      <c r="L532" t="n">
        <v>0</v>
      </c>
      <c r="M532" t="n">
        <v>0</v>
      </c>
      <c r="N532" t="n">
        <v>0</v>
      </c>
      <c r="O532" t="n">
        <v>0</v>
      </c>
      <c r="P532" t="n">
        <v>0</v>
      </c>
      <c r="Q532" t="n">
        <v>0</v>
      </c>
      <c r="R532" s="2" t="inlineStr"/>
    </row>
    <row r="533" ht="15" customHeight="1">
      <c r="A533" t="inlineStr">
        <is>
          <t>A 57416-2021</t>
        </is>
      </c>
      <c r="B533" s="1" t="n">
        <v>44483</v>
      </c>
      <c r="C533" s="1" t="n">
        <v>45760</v>
      </c>
      <c r="D533" t="inlineStr">
        <is>
          <t>KALMAR LÄN</t>
        </is>
      </c>
      <c r="E533" t="inlineStr">
        <is>
          <t>VIMMERBY</t>
        </is>
      </c>
      <c r="G533" t="n">
        <v>2.9</v>
      </c>
      <c r="H533" t="n">
        <v>0</v>
      </c>
      <c r="I533" t="n">
        <v>0</v>
      </c>
      <c r="J533" t="n">
        <v>0</v>
      </c>
      <c r="K533" t="n">
        <v>0</v>
      </c>
      <c r="L533" t="n">
        <v>0</v>
      </c>
      <c r="M533" t="n">
        <v>0</v>
      </c>
      <c r="N533" t="n">
        <v>0</v>
      </c>
      <c r="O533" t="n">
        <v>0</v>
      </c>
      <c r="P533" t="n">
        <v>0</v>
      </c>
      <c r="Q533" t="n">
        <v>0</v>
      </c>
      <c r="R533" s="2" t="inlineStr"/>
    </row>
    <row r="534" ht="15" customHeight="1">
      <c r="A534" t="inlineStr">
        <is>
          <t>A 57605-2021</t>
        </is>
      </c>
      <c r="B534" s="1" t="n">
        <v>44483</v>
      </c>
      <c r="C534" s="1" t="n">
        <v>45760</v>
      </c>
      <c r="D534" t="inlineStr">
        <is>
          <t>KALMAR LÄN</t>
        </is>
      </c>
      <c r="E534" t="inlineStr">
        <is>
          <t>VIMMERBY</t>
        </is>
      </c>
      <c r="G534" t="n">
        <v>13.1</v>
      </c>
      <c r="H534" t="n">
        <v>0</v>
      </c>
      <c r="I534" t="n">
        <v>0</v>
      </c>
      <c r="J534" t="n">
        <v>0</v>
      </c>
      <c r="K534" t="n">
        <v>0</v>
      </c>
      <c r="L534" t="n">
        <v>0</v>
      </c>
      <c r="M534" t="n">
        <v>0</v>
      </c>
      <c r="N534" t="n">
        <v>0</v>
      </c>
      <c r="O534" t="n">
        <v>0</v>
      </c>
      <c r="P534" t="n">
        <v>0</v>
      </c>
      <c r="Q534" t="n">
        <v>0</v>
      </c>
      <c r="R534" s="2" t="inlineStr"/>
    </row>
    <row r="535" ht="15" customHeight="1">
      <c r="A535" t="inlineStr">
        <is>
          <t>A 58318-2021</t>
        </is>
      </c>
      <c r="B535" s="1" t="n">
        <v>44488</v>
      </c>
      <c r="C535" s="1" t="n">
        <v>45760</v>
      </c>
      <c r="D535" t="inlineStr">
        <is>
          <t>KALMAR LÄN</t>
        </is>
      </c>
      <c r="E535" t="inlineStr">
        <is>
          <t>VIMMERBY</t>
        </is>
      </c>
      <c r="G535" t="n">
        <v>4</v>
      </c>
      <c r="H535" t="n">
        <v>0</v>
      </c>
      <c r="I535" t="n">
        <v>0</v>
      </c>
      <c r="J535" t="n">
        <v>0</v>
      </c>
      <c r="K535" t="n">
        <v>0</v>
      </c>
      <c r="L535" t="n">
        <v>0</v>
      </c>
      <c r="M535" t="n">
        <v>0</v>
      </c>
      <c r="N535" t="n">
        <v>0</v>
      </c>
      <c r="O535" t="n">
        <v>0</v>
      </c>
      <c r="P535" t="n">
        <v>0</v>
      </c>
      <c r="Q535" t="n">
        <v>0</v>
      </c>
      <c r="R535" s="2" t="inlineStr"/>
    </row>
    <row r="536" ht="15" customHeight="1">
      <c r="A536" t="inlineStr">
        <is>
          <t>A 59070-2021</t>
        </is>
      </c>
      <c r="B536" s="1" t="n">
        <v>44490</v>
      </c>
      <c r="C536" s="1" t="n">
        <v>45760</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59781-2021</t>
        </is>
      </c>
      <c r="B537" s="1" t="n">
        <v>44494</v>
      </c>
      <c r="C537" s="1" t="n">
        <v>45760</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59791-2021</t>
        </is>
      </c>
      <c r="B538" s="1" t="n">
        <v>44494</v>
      </c>
      <c r="C538" s="1" t="n">
        <v>45760</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60228-2021</t>
        </is>
      </c>
      <c r="B539" s="1" t="n">
        <v>44495</v>
      </c>
      <c r="C539" s="1" t="n">
        <v>45760</v>
      </c>
      <c r="D539" t="inlineStr">
        <is>
          <t>KALMAR LÄN</t>
        </is>
      </c>
      <c r="E539" t="inlineStr">
        <is>
          <t>VIMMERBY</t>
        </is>
      </c>
      <c r="G539" t="n">
        <v>4.1</v>
      </c>
      <c r="H539" t="n">
        <v>0</v>
      </c>
      <c r="I539" t="n">
        <v>0</v>
      </c>
      <c r="J539" t="n">
        <v>0</v>
      </c>
      <c r="K539" t="n">
        <v>0</v>
      </c>
      <c r="L539" t="n">
        <v>0</v>
      </c>
      <c r="M539" t="n">
        <v>0</v>
      </c>
      <c r="N539" t="n">
        <v>0</v>
      </c>
      <c r="O539" t="n">
        <v>0</v>
      </c>
      <c r="P539" t="n">
        <v>0</v>
      </c>
      <c r="Q539" t="n">
        <v>0</v>
      </c>
      <c r="R539" s="2" t="inlineStr"/>
    </row>
    <row r="540" ht="15" customHeight="1">
      <c r="A540" t="inlineStr">
        <is>
          <t>A 60225-2021</t>
        </is>
      </c>
      <c r="B540" s="1" t="n">
        <v>44495</v>
      </c>
      <c r="C540" s="1" t="n">
        <v>45760</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60994-2021</t>
        </is>
      </c>
      <c r="B541" s="1" t="n">
        <v>44497</v>
      </c>
      <c r="C541" s="1" t="n">
        <v>45760</v>
      </c>
      <c r="D541" t="inlineStr">
        <is>
          <t>KALMAR LÄN</t>
        </is>
      </c>
      <c r="E541" t="inlineStr">
        <is>
          <t>VIMMERBY</t>
        </is>
      </c>
      <c r="F541" t="inlineStr">
        <is>
          <t>Sveaskog</t>
        </is>
      </c>
      <c r="G541" t="n">
        <v>4.2</v>
      </c>
      <c r="H541" t="n">
        <v>0</v>
      </c>
      <c r="I541" t="n">
        <v>0</v>
      </c>
      <c r="J541" t="n">
        <v>0</v>
      </c>
      <c r="K541" t="n">
        <v>0</v>
      </c>
      <c r="L541" t="n">
        <v>0</v>
      </c>
      <c r="M541" t="n">
        <v>0</v>
      </c>
      <c r="N541" t="n">
        <v>0</v>
      </c>
      <c r="O541" t="n">
        <v>0</v>
      </c>
      <c r="P541" t="n">
        <v>0</v>
      </c>
      <c r="Q541" t="n">
        <v>0</v>
      </c>
      <c r="R541" s="2" t="inlineStr"/>
    </row>
    <row r="542" ht="15" customHeight="1">
      <c r="A542" t="inlineStr">
        <is>
          <t>A 61939-2021</t>
        </is>
      </c>
      <c r="B542" s="1" t="n">
        <v>44502</v>
      </c>
      <c r="C542" s="1" t="n">
        <v>45760</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63244-2021</t>
        </is>
      </c>
      <c r="B543" s="1" t="n">
        <v>44508</v>
      </c>
      <c r="C543" s="1" t="n">
        <v>45760</v>
      </c>
      <c r="D543" t="inlineStr">
        <is>
          <t>KALMAR LÄN</t>
        </is>
      </c>
      <c r="E543" t="inlineStr">
        <is>
          <t>VIMMERBY</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63926-2021</t>
        </is>
      </c>
      <c r="B544" s="1" t="n">
        <v>44509</v>
      </c>
      <c r="C544" s="1" t="n">
        <v>45760</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64143-2021</t>
        </is>
      </c>
      <c r="B545" s="1" t="n">
        <v>44510</v>
      </c>
      <c r="C545" s="1" t="n">
        <v>45760</v>
      </c>
      <c r="D545" t="inlineStr">
        <is>
          <t>KALMAR LÄN</t>
        </is>
      </c>
      <c r="E545" t="inlineStr">
        <is>
          <t>VIMMERBY</t>
        </is>
      </c>
      <c r="G545" t="n">
        <v>1.6</v>
      </c>
      <c r="H545" t="n">
        <v>0</v>
      </c>
      <c r="I545" t="n">
        <v>0</v>
      </c>
      <c r="J545" t="n">
        <v>0</v>
      </c>
      <c r="K545" t="n">
        <v>0</v>
      </c>
      <c r="L545" t="n">
        <v>0</v>
      </c>
      <c r="M545" t="n">
        <v>0</v>
      </c>
      <c r="N545" t="n">
        <v>0</v>
      </c>
      <c r="O545" t="n">
        <v>0</v>
      </c>
      <c r="P545" t="n">
        <v>0</v>
      </c>
      <c r="Q545" t="n">
        <v>0</v>
      </c>
      <c r="R545" s="2" t="inlineStr"/>
    </row>
    <row r="546" ht="15" customHeight="1">
      <c r="A546" t="inlineStr">
        <is>
          <t>A 64203-2021</t>
        </is>
      </c>
      <c r="B546" s="1" t="n">
        <v>44510</v>
      </c>
      <c r="C546" s="1" t="n">
        <v>45760</v>
      </c>
      <c r="D546" t="inlineStr">
        <is>
          <t>KALMAR LÄN</t>
        </is>
      </c>
      <c r="E546" t="inlineStr">
        <is>
          <t>VIMMERBY</t>
        </is>
      </c>
      <c r="F546" t="inlineStr">
        <is>
          <t>Övriga Aktiebolag</t>
        </is>
      </c>
      <c r="G546" t="n">
        <v>5.4</v>
      </c>
      <c r="H546" t="n">
        <v>0</v>
      </c>
      <c r="I546" t="n">
        <v>0</v>
      </c>
      <c r="J546" t="n">
        <v>0</v>
      </c>
      <c r="K546" t="n">
        <v>0</v>
      </c>
      <c r="L546" t="n">
        <v>0</v>
      </c>
      <c r="M546" t="n">
        <v>0</v>
      </c>
      <c r="N546" t="n">
        <v>0</v>
      </c>
      <c r="O546" t="n">
        <v>0</v>
      </c>
      <c r="P546" t="n">
        <v>0</v>
      </c>
      <c r="Q546" t="n">
        <v>0</v>
      </c>
      <c r="R546" s="2" t="inlineStr"/>
    </row>
    <row r="547" ht="15" customHeight="1">
      <c r="A547" t="inlineStr">
        <is>
          <t>A 64923-2021</t>
        </is>
      </c>
      <c r="B547" s="1" t="n">
        <v>44512</v>
      </c>
      <c r="C547" s="1" t="n">
        <v>45760</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65670-2021</t>
        </is>
      </c>
      <c r="B548" s="1" t="n">
        <v>44516</v>
      </c>
      <c r="C548" s="1" t="n">
        <v>45760</v>
      </c>
      <c r="D548" t="inlineStr">
        <is>
          <t>KALMAR LÄN</t>
        </is>
      </c>
      <c r="E548" t="inlineStr">
        <is>
          <t>VIMMERBY</t>
        </is>
      </c>
      <c r="G548" t="n">
        <v>1.9</v>
      </c>
      <c r="H548" t="n">
        <v>0</v>
      </c>
      <c r="I548" t="n">
        <v>0</v>
      </c>
      <c r="J548" t="n">
        <v>0</v>
      </c>
      <c r="K548" t="n">
        <v>0</v>
      </c>
      <c r="L548" t="n">
        <v>0</v>
      </c>
      <c r="M548" t="n">
        <v>0</v>
      </c>
      <c r="N548" t="n">
        <v>0</v>
      </c>
      <c r="O548" t="n">
        <v>0</v>
      </c>
      <c r="P548" t="n">
        <v>0</v>
      </c>
      <c r="Q548" t="n">
        <v>0</v>
      </c>
      <c r="R548" s="2" t="inlineStr"/>
    </row>
    <row r="549" ht="15" customHeight="1">
      <c r="A549" t="inlineStr">
        <is>
          <t>A 65864-2021</t>
        </is>
      </c>
      <c r="B549" s="1" t="n">
        <v>44517</v>
      </c>
      <c r="C549" s="1" t="n">
        <v>45760</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65887-2021</t>
        </is>
      </c>
      <c r="B550" s="1" t="n">
        <v>44517</v>
      </c>
      <c r="C550" s="1" t="n">
        <v>45760</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66022-2021</t>
        </is>
      </c>
      <c r="B551" s="1" t="n">
        <v>44517</v>
      </c>
      <c r="C551" s="1" t="n">
        <v>45760</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67952-2021</t>
        </is>
      </c>
      <c r="B552" s="1" t="n">
        <v>44525</v>
      </c>
      <c r="C552" s="1" t="n">
        <v>45760</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67983-2021</t>
        </is>
      </c>
      <c r="B553" s="1" t="n">
        <v>44525</v>
      </c>
      <c r="C553" s="1" t="n">
        <v>45760</v>
      </c>
      <c r="D553" t="inlineStr">
        <is>
          <t>KALMAR LÄN</t>
        </is>
      </c>
      <c r="E553" t="inlineStr">
        <is>
          <t>VIMMERBY</t>
        </is>
      </c>
      <c r="G553" t="n">
        <v>6.1</v>
      </c>
      <c r="H553" t="n">
        <v>0</v>
      </c>
      <c r="I553" t="n">
        <v>0</v>
      </c>
      <c r="J553" t="n">
        <v>0</v>
      </c>
      <c r="K553" t="n">
        <v>0</v>
      </c>
      <c r="L553" t="n">
        <v>0</v>
      </c>
      <c r="M553" t="n">
        <v>0</v>
      </c>
      <c r="N553" t="n">
        <v>0</v>
      </c>
      <c r="O553" t="n">
        <v>0</v>
      </c>
      <c r="P553" t="n">
        <v>0</v>
      </c>
      <c r="Q553" t="n">
        <v>0</v>
      </c>
      <c r="R553" s="2" t="inlineStr"/>
    </row>
    <row r="554" ht="15" customHeight="1">
      <c r="A554" t="inlineStr">
        <is>
          <t>A 68426-2021</t>
        </is>
      </c>
      <c r="B554" s="1" t="n">
        <v>44529</v>
      </c>
      <c r="C554" s="1" t="n">
        <v>45760</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68840-2021</t>
        </is>
      </c>
      <c r="B555" s="1" t="n">
        <v>44530</v>
      </c>
      <c r="C555" s="1" t="n">
        <v>45760</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71775-2021</t>
        </is>
      </c>
      <c r="B556" s="1" t="n">
        <v>44539</v>
      </c>
      <c r="C556" s="1" t="n">
        <v>45760</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71793-2021</t>
        </is>
      </c>
      <c r="B557" s="1" t="n">
        <v>44539</v>
      </c>
      <c r="C557" s="1" t="n">
        <v>45760</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72067-2021</t>
        </is>
      </c>
      <c r="B558" s="1" t="n">
        <v>44540</v>
      </c>
      <c r="C558" s="1" t="n">
        <v>45760</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71631-2021</t>
        </is>
      </c>
      <c r="B559" s="1" t="n">
        <v>44542</v>
      </c>
      <c r="C559" s="1" t="n">
        <v>45760</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71626-2021</t>
        </is>
      </c>
      <c r="B560" s="1" t="n">
        <v>44542</v>
      </c>
      <c r="C560" s="1" t="n">
        <v>45760</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72701-2021</t>
        </is>
      </c>
      <c r="B561" s="1" t="n">
        <v>44546</v>
      </c>
      <c r="C561" s="1" t="n">
        <v>45760</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73938-2021</t>
        </is>
      </c>
      <c r="B562" s="1" t="n">
        <v>44553</v>
      </c>
      <c r="C562" s="1" t="n">
        <v>45760</v>
      </c>
      <c r="D562" t="inlineStr">
        <is>
          <t>KALMAR LÄN</t>
        </is>
      </c>
      <c r="E562" t="inlineStr">
        <is>
          <t>VIMMERBY</t>
        </is>
      </c>
      <c r="G562" t="n">
        <v>3.2</v>
      </c>
      <c r="H562" t="n">
        <v>0</v>
      </c>
      <c r="I562" t="n">
        <v>0</v>
      </c>
      <c r="J562" t="n">
        <v>0</v>
      </c>
      <c r="K562" t="n">
        <v>0</v>
      </c>
      <c r="L562" t="n">
        <v>0</v>
      </c>
      <c r="M562" t="n">
        <v>0</v>
      </c>
      <c r="N562" t="n">
        <v>0</v>
      </c>
      <c r="O562" t="n">
        <v>0</v>
      </c>
      <c r="P562" t="n">
        <v>0</v>
      </c>
      <c r="Q562" t="n">
        <v>0</v>
      </c>
      <c r="R562" s="2" t="inlineStr"/>
    </row>
    <row r="563" ht="15" customHeight="1">
      <c r="A563" t="inlineStr">
        <is>
          <t>A 172-2022</t>
        </is>
      </c>
      <c r="B563" s="1" t="n">
        <v>44564</v>
      </c>
      <c r="C563" s="1" t="n">
        <v>45760</v>
      </c>
      <c r="D563" t="inlineStr">
        <is>
          <t>KALMAR LÄN</t>
        </is>
      </c>
      <c r="E563" t="inlineStr">
        <is>
          <t>VIMMERBY</t>
        </is>
      </c>
      <c r="G563" t="n">
        <v>2.1</v>
      </c>
      <c r="H563" t="n">
        <v>0</v>
      </c>
      <c r="I563" t="n">
        <v>0</v>
      </c>
      <c r="J563" t="n">
        <v>0</v>
      </c>
      <c r="K563" t="n">
        <v>0</v>
      </c>
      <c r="L563" t="n">
        <v>0</v>
      </c>
      <c r="M563" t="n">
        <v>0</v>
      </c>
      <c r="N563" t="n">
        <v>0</v>
      </c>
      <c r="O563" t="n">
        <v>0</v>
      </c>
      <c r="P563" t="n">
        <v>0</v>
      </c>
      <c r="Q563" t="n">
        <v>0</v>
      </c>
      <c r="R563" s="2" t="inlineStr"/>
    </row>
    <row r="564" ht="15" customHeight="1">
      <c r="A564" t="inlineStr">
        <is>
          <t>A 165-2022</t>
        </is>
      </c>
      <c r="B564" s="1" t="n">
        <v>44564</v>
      </c>
      <c r="C564" s="1" t="n">
        <v>45760</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529-2022</t>
        </is>
      </c>
      <c r="B565" s="1" t="n">
        <v>44566</v>
      </c>
      <c r="C565" s="1" t="n">
        <v>45760</v>
      </c>
      <c r="D565" t="inlineStr">
        <is>
          <t>KALMAR LÄN</t>
        </is>
      </c>
      <c r="E565" t="inlineStr">
        <is>
          <t>VIMMERBY</t>
        </is>
      </c>
      <c r="G565" t="n">
        <v>1.5</v>
      </c>
      <c r="H565" t="n">
        <v>0</v>
      </c>
      <c r="I565" t="n">
        <v>0</v>
      </c>
      <c r="J565" t="n">
        <v>0</v>
      </c>
      <c r="K565" t="n">
        <v>0</v>
      </c>
      <c r="L565" t="n">
        <v>0</v>
      </c>
      <c r="M565" t="n">
        <v>0</v>
      </c>
      <c r="N565" t="n">
        <v>0</v>
      </c>
      <c r="O565" t="n">
        <v>0</v>
      </c>
      <c r="P565" t="n">
        <v>0</v>
      </c>
      <c r="Q565" t="n">
        <v>0</v>
      </c>
      <c r="R565" s="2" t="inlineStr"/>
    </row>
    <row r="566" ht="15" customHeight="1">
      <c r="A566" t="inlineStr">
        <is>
          <t>A 1627-2022</t>
        </is>
      </c>
      <c r="B566" s="1" t="n">
        <v>44573</v>
      </c>
      <c r="C566" s="1" t="n">
        <v>45760</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1838-2022</t>
        </is>
      </c>
      <c r="B567" s="1" t="n">
        <v>44574</v>
      </c>
      <c r="C567" s="1" t="n">
        <v>45760</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2069-2022</t>
        </is>
      </c>
      <c r="B568" s="1" t="n">
        <v>44575</v>
      </c>
      <c r="C568" s="1" t="n">
        <v>45760</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2121-2022</t>
        </is>
      </c>
      <c r="B569" s="1" t="n">
        <v>44578</v>
      </c>
      <c r="C569" s="1" t="n">
        <v>45760</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2196-2022</t>
        </is>
      </c>
      <c r="B570" s="1" t="n">
        <v>44578</v>
      </c>
      <c r="C570" s="1" t="n">
        <v>45760</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2183-2022</t>
        </is>
      </c>
      <c r="B571" s="1" t="n">
        <v>44578</v>
      </c>
      <c r="C571" s="1" t="n">
        <v>45760</v>
      </c>
      <c r="D571" t="inlineStr">
        <is>
          <t>KALMAR LÄN</t>
        </is>
      </c>
      <c r="E571" t="inlineStr">
        <is>
          <t>VIMMERBY</t>
        </is>
      </c>
      <c r="G571" t="n">
        <v>4.8</v>
      </c>
      <c r="H571" t="n">
        <v>0</v>
      </c>
      <c r="I571" t="n">
        <v>0</v>
      </c>
      <c r="J571" t="n">
        <v>0</v>
      </c>
      <c r="K571" t="n">
        <v>0</v>
      </c>
      <c r="L571" t="n">
        <v>0</v>
      </c>
      <c r="M571" t="n">
        <v>0</v>
      </c>
      <c r="N571" t="n">
        <v>0</v>
      </c>
      <c r="O571" t="n">
        <v>0</v>
      </c>
      <c r="P571" t="n">
        <v>0</v>
      </c>
      <c r="Q571" t="n">
        <v>0</v>
      </c>
      <c r="R571" s="2" t="inlineStr"/>
    </row>
    <row r="572" ht="15" customHeight="1">
      <c r="A572" t="inlineStr">
        <is>
          <t>A 2260-2022</t>
        </is>
      </c>
      <c r="B572" s="1" t="n">
        <v>44578</v>
      </c>
      <c r="C572" s="1" t="n">
        <v>45760</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2411-2022</t>
        </is>
      </c>
      <c r="B573" s="1" t="n">
        <v>44579</v>
      </c>
      <c r="C573" s="1" t="n">
        <v>45760</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2462-2022</t>
        </is>
      </c>
      <c r="B574" s="1" t="n">
        <v>44579</v>
      </c>
      <c r="C574" s="1" t="n">
        <v>45760</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3425-2022</t>
        </is>
      </c>
      <c r="B575" s="1" t="n">
        <v>44585</v>
      </c>
      <c r="C575" s="1" t="n">
        <v>45760</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3423-2022</t>
        </is>
      </c>
      <c r="B576" s="1" t="n">
        <v>44585</v>
      </c>
      <c r="C576" s="1" t="n">
        <v>45760</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3426-2022</t>
        </is>
      </c>
      <c r="B577" s="1" t="n">
        <v>44585</v>
      </c>
      <c r="C577" s="1" t="n">
        <v>45760</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3816-2022</t>
        </is>
      </c>
      <c r="B578" s="1" t="n">
        <v>44587</v>
      </c>
      <c r="C578" s="1" t="n">
        <v>45760</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3902-2022</t>
        </is>
      </c>
      <c r="B579" s="1" t="n">
        <v>44587</v>
      </c>
      <c r="C579" s="1" t="n">
        <v>45760</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4046-2022</t>
        </is>
      </c>
      <c r="B580" s="1" t="n">
        <v>44588</v>
      </c>
      <c r="C580" s="1" t="n">
        <v>45760</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4054-2022</t>
        </is>
      </c>
      <c r="B581" s="1" t="n">
        <v>44588</v>
      </c>
      <c r="C581" s="1" t="n">
        <v>45760</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4118-2022</t>
        </is>
      </c>
      <c r="B582" s="1" t="n">
        <v>44588</v>
      </c>
      <c r="C582" s="1" t="n">
        <v>45760</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4126-2022</t>
        </is>
      </c>
      <c r="B583" s="1" t="n">
        <v>44588</v>
      </c>
      <c r="C583" s="1" t="n">
        <v>45760</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4042-2022</t>
        </is>
      </c>
      <c r="B584" s="1" t="n">
        <v>44588</v>
      </c>
      <c r="C584" s="1" t="n">
        <v>45760</v>
      </c>
      <c r="D584" t="inlineStr">
        <is>
          <t>KALMAR LÄN</t>
        </is>
      </c>
      <c r="E584" t="inlineStr">
        <is>
          <t>VIMMERBY</t>
        </is>
      </c>
      <c r="G584" t="n">
        <v>4.7</v>
      </c>
      <c r="H584" t="n">
        <v>0</v>
      </c>
      <c r="I584" t="n">
        <v>0</v>
      </c>
      <c r="J584" t="n">
        <v>0</v>
      </c>
      <c r="K584" t="n">
        <v>0</v>
      </c>
      <c r="L584" t="n">
        <v>0</v>
      </c>
      <c r="M584" t="n">
        <v>0</v>
      </c>
      <c r="N584" t="n">
        <v>0</v>
      </c>
      <c r="O584" t="n">
        <v>0</v>
      </c>
      <c r="P584" t="n">
        <v>0</v>
      </c>
      <c r="Q584" t="n">
        <v>0</v>
      </c>
      <c r="R584" s="2" t="inlineStr"/>
    </row>
    <row r="585" ht="15" customHeight="1">
      <c r="A585" t="inlineStr">
        <is>
          <t>A 4076-2022</t>
        </is>
      </c>
      <c r="B585" s="1" t="n">
        <v>44588</v>
      </c>
      <c r="C585" s="1" t="n">
        <v>45760</v>
      </c>
      <c r="D585" t="inlineStr">
        <is>
          <t>KALMAR LÄN</t>
        </is>
      </c>
      <c r="E585" t="inlineStr">
        <is>
          <t>VIMMERBY</t>
        </is>
      </c>
      <c r="G585" t="n">
        <v>3</v>
      </c>
      <c r="H585" t="n">
        <v>0</v>
      </c>
      <c r="I585" t="n">
        <v>0</v>
      </c>
      <c r="J585" t="n">
        <v>0</v>
      </c>
      <c r="K585" t="n">
        <v>0</v>
      </c>
      <c r="L585" t="n">
        <v>0</v>
      </c>
      <c r="M585" t="n">
        <v>0</v>
      </c>
      <c r="N585" t="n">
        <v>0</v>
      </c>
      <c r="O585" t="n">
        <v>0</v>
      </c>
      <c r="P585" t="n">
        <v>0</v>
      </c>
      <c r="Q585" t="n">
        <v>0</v>
      </c>
      <c r="R585" s="2" t="inlineStr"/>
    </row>
    <row r="586" ht="15" customHeight="1">
      <c r="A586" t="inlineStr">
        <is>
          <t>A 4122-2022</t>
        </is>
      </c>
      <c r="B586" s="1" t="n">
        <v>44588</v>
      </c>
      <c r="C586" s="1" t="n">
        <v>45760</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4297-2022</t>
        </is>
      </c>
      <c r="B587" s="1" t="n">
        <v>44588</v>
      </c>
      <c r="C587" s="1" t="n">
        <v>45760</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4296-2022</t>
        </is>
      </c>
      <c r="B588" s="1" t="n">
        <v>44588</v>
      </c>
      <c r="C588" s="1" t="n">
        <v>45760</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4532-2022</t>
        </is>
      </c>
      <c r="B589" s="1" t="n">
        <v>44590</v>
      </c>
      <c r="C589" s="1" t="n">
        <v>45760</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5527-2022</t>
        </is>
      </c>
      <c r="B590" s="1" t="n">
        <v>44595</v>
      </c>
      <c r="C590" s="1" t="n">
        <v>45760</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5545-2022</t>
        </is>
      </c>
      <c r="B591" s="1" t="n">
        <v>44595</v>
      </c>
      <c r="C591" s="1" t="n">
        <v>45760</v>
      </c>
      <c r="D591" t="inlineStr">
        <is>
          <t>KALMAR LÄN</t>
        </is>
      </c>
      <c r="E591" t="inlineStr">
        <is>
          <t>VIMMERBY</t>
        </is>
      </c>
      <c r="G591" t="n">
        <v>2.2</v>
      </c>
      <c r="H591" t="n">
        <v>0</v>
      </c>
      <c r="I591" t="n">
        <v>0</v>
      </c>
      <c r="J591" t="n">
        <v>0</v>
      </c>
      <c r="K591" t="n">
        <v>0</v>
      </c>
      <c r="L591" t="n">
        <v>0</v>
      </c>
      <c r="M591" t="n">
        <v>0</v>
      </c>
      <c r="N591" t="n">
        <v>0</v>
      </c>
      <c r="O591" t="n">
        <v>0</v>
      </c>
      <c r="P591" t="n">
        <v>0</v>
      </c>
      <c r="Q591" t="n">
        <v>0</v>
      </c>
      <c r="R591" s="2" t="inlineStr"/>
    </row>
    <row r="592" ht="15" customHeight="1">
      <c r="A592" t="inlineStr">
        <is>
          <t>A 5618-2022</t>
        </is>
      </c>
      <c r="B592" s="1" t="n">
        <v>44595</v>
      </c>
      <c r="C592" s="1" t="n">
        <v>45760</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5864-2022</t>
        </is>
      </c>
      <c r="B593" s="1" t="n">
        <v>44596</v>
      </c>
      <c r="C593" s="1" t="n">
        <v>45760</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5925-2022</t>
        </is>
      </c>
      <c r="B594" s="1" t="n">
        <v>44598</v>
      </c>
      <c r="C594" s="1" t="n">
        <v>45760</v>
      </c>
      <c r="D594" t="inlineStr">
        <is>
          <t>KALMAR LÄN</t>
        </is>
      </c>
      <c r="E594" t="inlineStr">
        <is>
          <t>VIMMERBY</t>
        </is>
      </c>
      <c r="G594" t="n">
        <v>2.1</v>
      </c>
      <c r="H594" t="n">
        <v>0</v>
      </c>
      <c r="I594" t="n">
        <v>0</v>
      </c>
      <c r="J594" t="n">
        <v>0</v>
      </c>
      <c r="K594" t="n">
        <v>0</v>
      </c>
      <c r="L594" t="n">
        <v>0</v>
      </c>
      <c r="M594" t="n">
        <v>0</v>
      </c>
      <c r="N594" t="n">
        <v>0</v>
      </c>
      <c r="O594" t="n">
        <v>0</v>
      </c>
      <c r="P594" t="n">
        <v>0</v>
      </c>
      <c r="Q594" t="n">
        <v>0</v>
      </c>
      <c r="R594" s="2" t="inlineStr"/>
    </row>
    <row r="595" ht="15" customHeight="1">
      <c r="A595" t="inlineStr">
        <is>
          <t>A 5938-2022</t>
        </is>
      </c>
      <c r="B595" s="1" t="n">
        <v>44598</v>
      </c>
      <c r="C595" s="1" t="n">
        <v>45760</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6083-2022</t>
        </is>
      </c>
      <c r="B596" s="1" t="n">
        <v>44599</v>
      </c>
      <c r="C596" s="1" t="n">
        <v>45760</v>
      </c>
      <c r="D596" t="inlineStr">
        <is>
          <t>KALMAR LÄN</t>
        </is>
      </c>
      <c r="E596" t="inlineStr">
        <is>
          <t>VIMMERBY</t>
        </is>
      </c>
      <c r="G596" t="n">
        <v>6.6</v>
      </c>
      <c r="H596" t="n">
        <v>0</v>
      </c>
      <c r="I596" t="n">
        <v>0</v>
      </c>
      <c r="J596" t="n">
        <v>0</v>
      </c>
      <c r="K596" t="n">
        <v>0</v>
      </c>
      <c r="L596" t="n">
        <v>0</v>
      </c>
      <c r="M596" t="n">
        <v>0</v>
      </c>
      <c r="N596" t="n">
        <v>0</v>
      </c>
      <c r="O596" t="n">
        <v>0</v>
      </c>
      <c r="P596" t="n">
        <v>0</v>
      </c>
      <c r="Q596" t="n">
        <v>0</v>
      </c>
      <c r="R596" s="2" t="inlineStr"/>
    </row>
    <row r="597" ht="15" customHeight="1">
      <c r="A597" t="inlineStr">
        <is>
          <t>A 6082-2022</t>
        </is>
      </c>
      <c r="B597" s="1" t="n">
        <v>44599</v>
      </c>
      <c r="C597" s="1" t="n">
        <v>45760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6358-2022</t>
        </is>
      </c>
      <c r="B598" s="1" t="n">
        <v>44600</v>
      </c>
      <c r="C598" s="1" t="n">
        <v>45760</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6355-2022</t>
        </is>
      </c>
      <c r="B599" s="1" t="n">
        <v>44600</v>
      </c>
      <c r="C599" s="1" t="n">
        <v>45760</v>
      </c>
      <c r="D599" t="inlineStr">
        <is>
          <t>KALMAR LÄN</t>
        </is>
      </c>
      <c r="E599" t="inlineStr">
        <is>
          <t>VIMMERBY</t>
        </is>
      </c>
      <c r="G599" t="n">
        <v>4.9</v>
      </c>
      <c r="H599" t="n">
        <v>0</v>
      </c>
      <c r="I599" t="n">
        <v>0</v>
      </c>
      <c r="J599" t="n">
        <v>0</v>
      </c>
      <c r="K599" t="n">
        <v>0</v>
      </c>
      <c r="L599" t="n">
        <v>0</v>
      </c>
      <c r="M599" t="n">
        <v>0</v>
      </c>
      <c r="N599" t="n">
        <v>0</v>
      </c>
      <c r="O599" t="n">
        <v>0</v>
      </c>
      <c r="P599" t="n">
        <v>0</v>
      </c>
      <c r="Q599" t="n">
        <v>0</v>
      </c>
      <c r="R599" s="2" t="inlineStr"/>
    </row>
    <row r="600" ht="15" customHeight="1">
      <c r="A600" t="inlineStr">
        <is>
          <t>A 7047-2022</t>
        </is>
      </c>
      <c r="B600" s="1" t="n">
        <v>44603</v>
      </c>
      <c r="C600" s="1" t="n">
        <v>45760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7049-2022</t>
        </is>
      </c>
      <c r="B601" s="1" t="n">
        <v>44603</v>
      </c>
      <c r="C601" s="1" t="n">
        <v>45760</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7167-2022</t>
        </is>
      </c>
      <c r="B602" s="1" t="n">
        <v>44604</v>
      </c>
      <c r="C602" s="1" t="n">
        <v>45760</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7643-2022</t>
        </is>
      </c>
      <c r="B603" s="1" t="n">
        <v>44607</v>
      </c>
      <c r="C603" s="1" t="n">
        <v>45760</v>
      </c>
      <c r="D603" t="inlineStr">
        <is>
          <t>KALMAR LÄN</t>
        </is>
      </c>
      <c r="E603" t="inlineStr">
        <is>
          <t>VIMMERBY</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7804-2022</t>
        </is>
      </c>
      <c r="B604" s="1" t="n">
        <v>44608</v>
      </c>
      <c r="C604" s="1" t="n">
        <v>45760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7917-2022</t>
        </is>
      </c>
      <c r="B605" s="1" t="n">
        <v>44608</v>
      </c>
      <c r="C605" s="1" t="n">
        <v>45760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8194-2022</t>
        </is>
      </c>
      <c r="B606" s="1" t="n">
        <v>44609</v>
      </c>
      <c r="C606" s="1" t="n">
        <v>45760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8454-2022</t>
        </is>
      </c>
      <c r="B607" s="1" t="n">
        <v>44612</v>
      </c>
      <c r="C607" s="1" t="n">
        <v>45760</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8453-2022</t>
        </is>
      </c>
      <c r="B608" s="1" t="n">
        <v>44612</v>
      </c>
      <c r="C608" s="1" t="n">
        <v>45760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8462-2022</t>
        </is>
      </c>
      <c r="B609" s="1" t="n">
        <v>44612</v>
      </c>
      <c r="C609" s="1" t="n">
        <v>45760</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8650-2022</t>
        </is>
      </c>
      <c r="B610" s="1" t="n">
        <v>44613</v>
      </c>
      <c r="C610" s="1" t="n">
        <v>45760</v>
      </c>
      <c r="D610" t="inlineStr">
        <is>
          <t>KALMAR LÄN</t>
        </is>
      </c>
      <c r="E610" t="inlineStr">
        <is>
          <t>VIMMERBY</t>
        </is>
      </c>
      <c r="G610" t="n">
        <v>1.4</v>
      </c>
      <c r="H610" t="n">
        <v>0</v>
      </c>
      <c r="I610" t="n">
        <v>0</v>
      </c>
      <c r="J610" t="n">
        <v>0</v>
      </c>
      <c r="K610" t="n">
        <v>0</v>
      </c>
      <c r="L610" t="n">
        <v>0</v>
      </c>
      <c r="M610" t="n">
        <v>0</v>
      </c>
      <c r="N610" t="n">
        <v>0</v>
      </c>
      <c r="O610" t="n">
        <v>0</v>
      </c>
      <c r="P610" t="n">
        <v>0</v>
      </c>
      <c r="Q610" t="n">
        <v>0</v>
      </c>
      <c r="R610" s="2" t="inlineStr"/>
    </row>
    <row r="611" ht="15" customHeight="1">
      <c r="A611" t="inlineStr">
        <is>
          <t>A 8908-2022</t>
        </is>
      </c>
      <c r="B611" s="1" t="n">
        <v>44614</v>
      </c>
      <c r="C611" s="1" t="n">
        <v>45760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9311-2022</t>
        </is>
      </c>
      <c r="B612" s="1" t="n">
        <v>44616</v>
      </c>
      <c r="C612" s="1" t="n">
        <v>45760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9918-2022</t>
        </is>
      </c>
      <c r="B613" s="1" t="n">
        <v>44620</v>
      </c>
      <c r="C613" s="1" t="n">
        <v>45760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10086-2022</t>
        </is>
      </c>
      <c r="B614" s="1" t="n">
        <v>44621</v>
      </c>
      <c r="C614" s="1" t="n">
        <v>45760</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10487-2022</t>
        </is>
      </c>
      <c r="B615" s="1" t="n">
        <v>44623</v>
      </c>
      <c r="C615" s="1" t="n">
        <v>45760</v>
      </c>
      <c r="D615" t="inlineStr">
        <is>
          <t>KALMAR LÄN</t>
        </is>
      </c>
      <c r="E615" t="inlineStr">
        <is>
          <t>VIMMERBY</t>
        </is>
      </c>
      <c r="G615" t="n">
        <v>2.5</v>
      </c>
      <c r="H615" t="n">
        <v>0</v>
      </c>
      <c r="I615" t="n">
        <v>0</v>
      </c>
      <c r="J615" t="n">
        <v>0</v>
      </c>
      <c r="K615" t="n">
        <v>0</v>
      </c>
      <c r="L615" t="n">
        <v>0</v>
      </c>
      <c r="M615" t="n">
        <v>0</v>
      </c>
      <c r="N615" t="n">
        <v>0</v>
      </c>
      <c r="O615" t="n">
        <v>0</v>
      </c>
      <c r="P615" t="n">
        <v>0</v>
      </c>
      <c r="Q615" t="n">
        <v>0</v>
      </c>
      <c r="R615" s="2" t="inlineStr"/>
    </row>
    <row r="616" ht="15" customHeight="1">
      <c r="A616" t="inlineStr">
        <is>
          <t>A 11429-2022</t>
        </is>
      </c>
      <c r="B616" s="1" t="n">
        <v>44630</v>
      </c>
      <c r="C616" s="1" t="n">
        <v>45760</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11733-2022</t>
        </is>
      </c>
      <c r="B617" s="1" t="n">
        <v>44634</v>
      </c>
      <c r="C617" s="1" t="n">
        <v>45760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11814-2022</t>
        </is>
      </c>
      <c r="B618" s="1" t="n">
        <v>44634</v>
      </c>
      <c r="C618" s="1" t="n">
        <v>45760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11928-2022</t>
        </is>
      </c>
      <c r="B619" s="1" t="n">
        <v>44635</v>
      </c>
      <c r="C619" s="1" t="n">
        <v>45760</v>
      </c>
      <c r="D619" t="inlineStr">
        <is>
          <t>KALMAR LÄN</t>
        </is>
      </c>
      <c r="E619" t="inlineStr">
        <is>
          <t>VIMMERBY</t>
        </is>
      </c>
      <c r="G619" t="n">
        <v>2.8</v>
      </c>
      <c r="H619" t="n">
        <v>0</v>
      </c>
      <c r="I619" t="n">
        <v>0</v>
      </c>
      <c r="J619" t="n">
        <v>0</v>
      </c>
      <c r="K619" t="n">
        <v>0</v>
      </c>
      <c r="L619" t="n">
        <v>0</v>
      </c>
      <c r="M619" t="n">
        <v>0</v>
      </c>
      <c r="N619" t="n">
        <v>0</v>
      </c>
      <c r="O619" t="n">
        <v>0</v>
      </c>
      <c r="P619" t="n">
        <v>0</v>
      </c>
      <c r="Q619" t="n">
        <v>0</v>
      </c>
      <c r="R619" s="2" t="inlineStr"/>
    </row>
    <row r="620" ht="15" customHeight="1">
      <c r="A620" t="inlineStr">
        <is>
          <t>A 11930-2022</t>
        </is>
      </c>
      <c r="B620" s="1" t="n">
        <v>44635</v>
      </c>
      <c r="C620" s="1" t="n">
        <v>45760</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12107-2022</t>
        </is>
      </c>
      <c r="B621" s="1" t="n">
        <v>44636</v>
      </c>
      <c r="C621" s="1" t="n">
        <v>45760</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12510-2022</t>
        </is>
      </c>
      <c r="B622" s="1" t="n">
        <v>44638</v>
      </c>
      <c r="C622" s="1" t="n">
        <v>45760</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13015-2022</t>
        </is>
      </c>
      <c r="B623" s="1" t="n">
        <v>44643</v>
      </c>
      <c r="C623" s="1" t="n">
        <v>45760</v>
      </c>
      <c r="D623" t="inlineStr">
        <is>
          <t>KALMAR LÄN</t>
        </is>
      </c>
      <c r="E623" t="inlineStr">
        <is>
          <t>VIMMERBY</t>
        </is>
      </c>
      <c r="G623" t="n">
        <v>2.4</v>
      </c>
      <c r="H623" t="n">
        <v>0</v>
      </c>
      <c r="I623" t="n">
        <v>0</v>
      </c>
      <c r="J623" t="n">
        <v>0</v>
      </c>
      <c r="K623" t="n">
        <v>0</v>
      </c>
      <c r="L623" t="n">
        <v>0</v>
      </c>
      <c r="M623" t="n">
        <v>0</v>
      </c>
      <c r="N623" t="n">
        <v>0</v>
      </c>
      <c r="O623" t="n">
        <v>0</v>
      </c>
      <c r="P623" t="n">
        <v>0</v>
      </c>
      <c r="Q623" t="n">
        <v>0</v>
      </c>
      <c r="R623" s="2" t="inlineStr"/>
    </row>
    <row r="624" ht="15" customHeight="1">
      <c r="A624" t="inlineStr">
        <is>
          <t>A 13180-2022</t>
        </is>
      </c>
      <c r="B624" s="1" t="n">
        <v>44644</v>
      </c>
      <c r="C624" s="1" t="n">
        <v>45760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14347-2022</t>
        </is>
      </c>
      <c r="B625" s="1" t="n">
        <v>44652</v>
      </c>
      <c r="C625" s="1" t="n">
        <v>45760</v>
      </c>
      <c r="D625" t="inlineStr">
        <is>
          <t>KALMAR LÄN</t>
        </is>
      </c>
      <c r="E625" t="inlineStr">
        <is>
          <t>VIMMERBY</t>
        </is>
      </c>
      <c r="F625" t="inlineStr">
        <is>
          <t>Sveaskog</t>
        </is>
      </c>
      <c r="G625" t="n">
        <v>7.2</v>
      </c>
      <c r="H625" t="n">
        <v>0</v>
      </c>
      <c r="I625" t="n">
        <v>0</v>
      </c>
      <c r="J625" t="n">
        <v>0</v>
      </c>
      <c r="K625" t="n">
        <v>0</v>
      </c>
      <c r="L625" t="n">
        <v>0</v>
      </c>
      <c r="M625" t="n">
        <v>0</v>
      </c>
      <c r="N625" t="n">
        <v>0</v>
      </c>
      <c r="O625" t="n">
        <v>0</v>
      </c>
      <c r="P625" t="n">
        <v>0</v>
      </c>
      <c r="Q625" t="n">
        <v>0</v>
      </c>
      <c r="R625" s="2" t="inlineStr"/>
    </row>
    <row r="626" ht="15" customHeight="1">
      <c r="A626" t="inlineStr">
        <is>
          <t>A 15146-2022</t>
        </is>
      </c>
      <c r="B626" s="1" t="n">
        <v>44658</v>
      </c>
      <c r="C626" s="1" t="n">
        <v>45760</v>
      </c>
      <c r="D626" t="inlineStr">
        <is>
          <t>KALMAR LÄN</t>
        </is>
      </c>
      <c r="E626" t="inlineStr">
        <is>
          <t>VIMMERBY</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15438-2022</t>
        </is>
      </c>
      <c r="B627" s="1" t="n">
        <v>44659</v>
      </c>
      <c r="C627" s="1" t="n">
        <v>45760</v>
      </c>
      <c r="D627" t="inlineStr">
        <is>
          <t>KALMAR LÄN</t>
        </is>
      </c>
      <c r="E627" t="inlineStr">
        <is>
          <t>VIMMERBY</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15533-2022</t>
        </is>
      </c>
      <c r="B628" s="1" t="n">
        <v>44662</v>
      </c>
      <c r="C628" s="1" t="n">
        <v>45760</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15535-2022</t>
        </is>
      </c>
      <c r="B629" s="1" t="n">
        <v>44662</v>
      </c>
      <c r="C629" s="1" t="n">
        <v>45760</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16156-2022</t>
        </is>
      </c>
      <c r="B630" s="1" t="n">
        <v>44666</v>
      </c>
      <c r="C630" s="1" t="n">
        <v>45760</v>
      </c>
      <c r="D630" t="inlineStr">
        <is>
          <t>KALMAR LÄN</t>
        </is>
      </c>
      <c r="E630" t="inlineStr">
        <is>
          <t>VIMMERBY</t>
        </is>
      </c>
      <c r="G630" t="n">
        <v>3.4</v>
      </c>
      <c r="H630" t="n">
        <v>0</v>
      </c>
      <c r="I630" t="n">
        <v>0</v>
      </c>
      <c r="J630" t="n">
        <v>0</v>
      </c>
      <c r="K630" t="n">
        <v>0</v>
      </c>
      <c r="L630" t="n">
        <v>0</v>
      </c>
      <c r="M630" t="n">
        <v>0</v>
      </c>
      <c r="N630" t="n">
        <v>0</v>
      </c>
      <c r="O630" t="n">
        <v>0</v>
      </c>
      <c r="P630" t="n">
        <v>0</v>
      </c>
      <c r="Q630" t="n">
        <v>0</v>
      </c>
      <c r="R630" s="2" t="inlineStr"/>
    </row>
    <row r="631" ht="15" customHeight="1">
      <c r="A631" t="inlineStr">
        <is>
          <t>A 16288-2022</t>
        </is>
      </c>
      <c r="B631" s="1" t="n">
        <v>44670</v>
      </c>
      <c r="C631" s="1" t="n">
        <v>45760</v>
      </c>
      <c r="D631" t="inlineStr">
        <is>
          <t>KALMAR LÄN</t>
        </is>
      </c>
      <c r="E631" t="inlineStr">
        <is>
          <t>VIMMERBY</t>
        </is>
      </c>
      <c r="G631" t="n">
        <v>1.7</v>
      </c>
      <c r="H631" t="n">
        <v>0</v>
      </c>
      <c r="I631" t="n">
        <v>0</v>
      </c>
      <c r="J631" t="n">
        <v>0</v>
      </c>
      <c r="K631" t="n">
        <v>0</v>
      </c>
      <c r="L631" t="n">
        <v>0</v>
      </c>
      <c r="M631" t="n">
        <v>0</v>
      </c>
      <c r="N631" t="n">
        <v>0</v>
      </c>
      <c r="O631" t="n">
        <v>0</v>
      </c>
      <c r="P631" t="n">
        <v>0</v>
      </c>
      <c r="Q631" t="n">
        <v>0</v>
      </c>
      <c r="R631" s="2" t="inlineStr"/>
    </row>
    <row r="632" ht="15" customHeight="1">
      <c r="A632" t="inlineStr">
        <is>
          <t>A 16283-2022</t>
        </is>
      </c>
      <c r="B632" s="1" t="n">
        <v>44670</v>
      </c>
      <c r="C632" s="1" t="n">
        <v>45760</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16290-2022</t>
        </is>
      </c>
      <c r="B633" s="1" t="n">
        <v>44670</v>
      </c>
      <c r="C633" s="1" t="n">
        <v>45760</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17029-2022</t>
        </is>
      </c>
      <c r="B634" s="1" t="n">
        <v>44676</v>
      </c>
      <c r="C634" s="1" t="n">
        <v>45760</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17253-2022</t>
        </is>
      </c>
      <c r="B635" s="1" t="n">
        <v>44678</v>
      </c>
      <c r="C635" s="1" t="n">
        <v>45760</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19535-2022</t>
        </is>
      </c>
      <c r="B636" s="1" t="n">
        <v>44693</v>
      </c>
      <c r="C636" s="1" t="n">
        <v>45760</v>
      </c>
      <c r="D636" t="inlineStr">
        <is>
          <t>KALMAR LÄN</t>
        </is>
      </c>
      <c r="E636" t="inlineStr">
        <is>
          <t>VIMMERBY</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19537-2022</t>
        </is>
      </c>
      <c r="B637" s="1" t="n">
        <v>44693</v>
      </c>
      <c r="C637" s="1" t="n">
        <v>45760</v>
      </c>
      <c r="D637" t="inlineStr">
        <is>
          <t>KALMAR LÄN</t>
        </is>
      </c>
      <c r="E637" t="inlineStr">
        <is>
          <t>VIMMERBY</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23341-2022</t>
        </is>
      </c>
      <c r="B638" s="1" t="n">
        <v>44720</v>
      </c>
      <c r="C638" s="1" t="n">
        <v>45760</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23825-2022</t>
        </is>
      </c>
      <c r="B639" s="1" t="n">
        <v>44722</v>
      </c>
      <c r="C639" s="1" t="n">
        <v>45760</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25049-2022</t>
        </is>
      </c>
      <c r="B640" s="1" t="n">
        <v>44729</v>
      </c>
      <c r="C640" s="1" t="n">
        <v>45760</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25370-2022</t>
        </is>
      </c>
      <c r="B641" s="1" t="n">
        <v>44732</v>
      </c>
      <c r="C641" s="1" t="n">
        <v>45760</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25738-2022</t>
        </is>
      </c>
      <c r="B642" s="1" t="n">
        <v>44733</v>
      </c>
      <c r="C642" s="1" t="n">
        <v>45760</v>
      </c>
      <c r="D642" t="inlineStr">
        <is>
          <t>KALMAR LÄN</t>
        </is>
      </c>
      <c r="E642" t="inlineStr">
        <is>
          <t>VIMMERBY</t>
        </is>
      </c>
      <c r="G642" t="n">
        <v>1</v>
      </c>
      <c r="H642" t="n">
        <v>0</v>
      </c>
      <c r="I642" t="n">
        <v>0</v>
      </c>
      <c r="J642" t="n">
        <v>0</v>
      </c>
      <c r="K642" t="n">
        <v>0</v>
      </c>
      <c r="L642" t="n">
        <v>0</v>
      </c>
      <c r="M642" t="n">
        <v>0</v>
      </c>
      <c r="N642" t="n">
        <v>0</v>
      </c>
      <c r="O642" t="n">
        <v>0</v>
      </c>
      <c r="P642" t="n">
        <v>0</v>
      </c>
      <c r="Q642" t="n">
        <v>0</v>
      </c>
      <c r="R642" s="2" t="inlineStr"/>
    </row>
    <row r="643" ht="15" customHeight="1">
      <c r="A643" t="inlineStr">
        <is>
          <t>A 25859-2022</t>
        </is>
      </c>
      <c r="B643" s="1" t="n">
        <v>44733</v>
      </c>
      <c r="C643" s="1" t="n">
        <v>45760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25868-2022</t>
        </is>
      </c>
      <c r="B644" s="1" t="n">
        <v>44733</v>
      </c>
      <c r="C644" s="1" t="n">
        <v>45760</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27455-2022</t>
        </is>
      </c>
      <c r="B645" s="1" t="n">
        <v>44742</v>
      </c>
      <c r="C645" s="1" t="n">
        <v>45760</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27993-2022</t>
        </is>
      </c>
      <c r="B646" s="1" t="n">
        <v>44745</v>
      </c>
      <c r="C646" s="1" t="n">
        <v>45760</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28034-2022</t>
        </is>
      </c>
      <c r="B647" s="1" t="n">
        <v>44746</v>
      </c>
      <c r="C647" s="1" t="n">
        <v>45760</v>
      </c>
      <c r="D647" t="inlineStr">
        <is>
          <t>KALMAR LÄN</t>
        </is>
      </c>
      <c r="E647" t="inlineStr">
        <is>
          <t>VIMMERBY</t>
        </is>
      </c>
      <c r="G647" t="n">
        <v>2</v>
      </c>
      <c r="H647" t="n">
        <v>0</v>
      </c>
      <c r="I647" t="n">
        <v>0</v>
      </c>
      <c r="J647" t="n">
        <v>0</v>
      </c>
      <c r="K647" t="n">
        <v>0</v>
      </c>
      <c r="L647" t="n">
        <v>0</v>
      </c>
      <c r="M647" t="n">
        <v>0</v>
      </c>
      <c r="N647" t="n">
        <v>0</v>
      </c>
      <c r="O647" t="n">
        <v>0</v>
      </c>
      <c r="P647" t="n">
        <v>0</v>
      </c>
      <c r="Q647" t="n">
        <v>0</v>
      </c>
      <c r="R647" s="2" t="inlineStr"/>
    </row>
    <row r="648" ht="15" customHeight="1">
      <c r="A648" t="inlineStr">
        <is>
          <t>A 28406-2022</t>
        </is>
      </c>
      <c r="B648" s="1" t="n">
        <v>44747</v>
      </c>
      <c r="C648" s="1" t="n">
        <v>45760</v>
      </c>
      <c r="D648" t="inlineStr">
        <is>
          <t>KALMAR LÄN</t>
        </is>
      </c>
      <c r="E648" t="inlineStr">
        <is>
          <t>VIMMERBY</t>
        </is>
      </c>
      <c r="G648" t="n">
        <v>3.1</v>
      </c>
      <c r="H648" t="n">
        <v>0</v>
      </c>
      <c r="I648" t="n">
        <v>0</v>
      </c>
      <c r="J648" t="n">
        <v>0</v>
      </c>
      <c r="K648" t="n">
        <v>0</v>
      </c>
      <c r="L648" t="n">
        <v>0</v>
      </c>
      <c r="M648" t="n">
        <v>0</v>
      </c>
      <c r="N648" t="n">
        <v>0</v>
      </c>
      <c r="O648" t="n">
        <v>0</v>
      </c>
      <c r="P648" t="n">
        <v>0</v>
      </c>
      <c r="Q648" t="n">
        <v>0</v>
      </c>
      <c r="R648" s="2" t="inlineStr"/>
    </row>
    <row r="649" ht="15" customHeight="1">
      <c r="A649" t="inlineStr">
        <is>
          <t>A 28646-2022</t>
        </is>
      </c>
      <c r="B649" s="1" t="n">
        <v>44748</v>
      </c>
      <c r="C649" s="1" t="n">
        <v>45760</v>
      </c>
      <c r="D649" t="inlineStr">
        <is>
          <t>KALMAR LÄN</t>
        </is>
      </c>
      <c r="E649" t="inlineStr">
        <is>
          <t>VIMMERBY</t>
        </is>
      </c>
      <c r="G649" t="n">
        <v>4.4</v>
      </c>
      <c r="H649" t="n">
        <v>0</v>
      </c>
      <c r="I649" t="n">
        <v>0</v>
      </c>
      <c r="J649" t="n">
        <v>0</v>
      </c>
      <c r="K649" t="n">
        <v>0</v>
      </c>
      <c r="L649" t="n">
        <v>0</v>
      </c>
      <c r="M649" t="n">
        <v>0</v>
      </c>
      <c r="N649" t="n">
        <v>0</v>
      </c>
      <c r="O649" t="n">
        <v>0</v>
      </c>
      <c r="P649" t="n">
        <v>0</v>
      </c>
      <c r="Q649" t="n">
        <v>0</v>
      </c>
      <c r="R649" s="2" t="inlineStr"/>
    </row>
    <row r="650" ht="15" customHeight="1">
      <c r="A650" t="inlineStr">
        <is>
          <t>A 29616-2022</t>
        </is>
      </c>
      <c r="B650" s="1" t="n">
        <v>44754</v>
      </c>
      <c r="C650" s="1" t="n">
        <v>45760</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29910-2022</t>
        </is>
      </c>
      <c r="B651" s="1" t="n">
        <v>44756</v>
      </c>
      <c r="C651" s="1" t="n">
        <v>45760</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31053-2022</t>
        </is>
      </c>
      <c r="B652" s="1" t="n">
        <v>44769</v>
      </c>
      <c r="C652" s="1" t="n">
        <v>45760</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31056-2022</t>
        </is>
      </c>
      <c r="B653" s="1" t="n">
        <v>44769</v>
      </c>
      <c r="C653" s="1" t="n">
        <v>45760</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31533-2022</t>
        </is>
      </c>
      <c r="B654" s="1" t="n">
        <v>44774</v>
      </c>
      <c r="C654" s="1" t="n">
        <v>45760</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31824-2022</t>
        </is>
      </c>
      <c r="B655" s="1" t="n">
        <v>44776</v>
      </c>
      <c r="C655" s="1" t="n">
        <v>45760</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32835-2022</t>
        </is>
      </c>
      <c r="B656" s="1" t="n">
        <v>44784</v>
      </c>
      <c r="C656" s="1" t="n">
        <v>45760</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32919-2022</t>
        </is>
      </c>
      <c r="B657" s="1" t="n">
        <v>44784</v>
      </c>
      <c r="C657" s="1" t="n">
        <v>45760</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33051-2022</t>
        </is>
      </c>
      <c r="B658" s="1" t="n">
        <v>44785</v>
      </c>
      <c r="C658" s="1" t="n">
        <v>45760</v>
      </c>
      <c r="D658" t="inlineStr">
        <is>
          <t>KALMAR LÄN</t>
        </is>
      </c>
      <c r="E658" t="inlineStr">
        <is>
          <t>VIMMERBY</t>
        </is>
      </c>
      <c r="G658" t="n">
        <v>0.3</v>
      </c>
      <c r="H658" t="n">
        <v>0</v>
      </c>
      <c r="I658" t="n">
        <v>0</v>
      </c>
      <c r="J658" t="n">
        <v>0</v>
      </c>
      <c r="K658" t="n">
        <v>0</v>
      </c>
      <c r="L658" t="n">
        <v>0</v>
      </c>
      <c r="M658" t="n">
        <v>0</v>
      </c>
      <c r="N658" t="n">
        <v>0</v>
      </c>
      <c r="O658" t="n">
        <v>0</v>
      </c>
      <c r="P658" t="n">
        <v>0</v>
      </c>
      <c r="Q658" t="n">
        <v>0</v>
      </c>
      <c r="R658" s="2" t="inlineStr"/>
    </row>
    <row r="659" ht="15" customHeight="1">
      <c r="A659" t="inlineStr">
        <is>
          <t>A 33352-2022</t>
        </is>
      </c>
      <c r="B659" s="1" t="n">
        <v>44788</v>
      </c>
      <c r="C659" s="1" t="n">
        <v>45760</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33681-2022</t>
        </is>
      </c>
      <c r="B660" s="1" t="n">
        <v>44789</v>
      </c>
      <c r="C660" s="1" t="n">
        <v>45760</v>
      </c>
      <c r="D660" t="inlineStr">
        <is>
          <t>KALMAR LÄN</t>
        </is>
      </c>
      <c r="E660" t="inlineStr">
        <is>
          <t>VIMMERBY</t>
        </is>
      </c>
      <c r="G660" t="n">
        <v>3.2</v>
      </c>
      <c r="H660" t="n">
        <v>0</v>
      </c>
      <c r="I660" t="n">
        <v>0</v>
      </c>
      <c r="J660" t="n">
        <v>0</v>
      </c>
      <c r="K660" t="n">
        <v>0</v>
      </c>
      <c r="L660" t="n">
        <v>0</v>
      </c>
      <c r="M660" t="n">
        <v>0</v>
      </c>
      <c r="N660" t="n">
        <v>0</v>
      </c>
      <c r="O660" t="n">
        <v>0</v>
      </c>
      <c r="P660" t="n">
        <v>0</v>
      </c>
      <c r="Q660" t="n">
        <v>0</v>
      </c>
      <c r="R660" s="2" t="inlineStr"/>
    </row>
    <row r="661" ht="15" customHeight="1">
      <c r="A661" t="inlineStr">
        <is>
          <t>A 33690-2022</t>
        </is>
      </c>
      <c r="B661" s="1" t="n">
        <v>44789</v>
      </c>
      <c r="C661" s="1" t="n">
        <v>45760</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33815-2022</t>
        </is>
      </c>
      <c r="B662" s="1" t="n">
        <v>44790</v>
      </c>
      <c r="C662" s="1" t="n">
        <v>45760</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33829-2022</t>
        </is>
      </c>
      <c r="B663" s="1" t="n">
        <v>44790</v>
      </c>
      <c r="C663" s="1" t="n">
        <v>45760</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33838-2022</t>
        </is>
      </c>
      <c r="B664" s="1" t="n">
        <v>44790</v>
      </c>
      <c r="C664" s="1" t="n">
        <v>45760</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33820-2022</t>
        </is>
      </c>
      <c r="B665" s="1" t="n">
        <v>44790</v>
      </c>
      <c r="C665" s="1" t="n">
        <v>45760</v>
      </c>
      <c r="D665" t="inlineStr">
        <is>
          <t>KALMAR LÄN</t>
        </is>
      </c>
      <c r="E665" t="inlineStr">
        <is>
          <t>VIMMERBY</t>
        </is>
      </c>
      <c r="G665" t="n">
        <v>3</v>
      </c>
      <c r="H665" t="n">
        <v>0</v>
      </c>
      <c r="I665" t="n">
        <v>0</v>
      </c>
      <c r="J665" t="n">
        <v>0</v>
      </c>
      <c r="K665" t="n">
        <v>0</v>
      </c>
      <c r="L665" t="n">
        <v>0</v>
      </c>
      <c r="M665" t="n">
        <v>0</v>
      </c>
      <c r="N665" t="n">
        <v>0</v>
      </c>
      <c r="O665" t="n">
        <v>0</v>
      </c>
      <c r="P665" t="n">
        <v>0</v>
      </c>
      <c r="Q665" t="n">
        <v>0</v>
      </c>
      <c r="R665" s="2" t="inlineStr"/>
    </row>
    <row r="666" ht="15" customHeight="1">
      <c r="A666" t="inlineStr">
        <is>
          <t>A 33831-2022</t>
        </is>
      </c>
      <c r="B666" s="1" t="n">
        <v>44790</v>
      </c>
      <c r="C666" s="1" t="n">
        <v>45760</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33842-2022</t>
        </is>
      </c>
      <c r="B667" s="1" t="n">
        <v>44790</v>
      </c>
      <c r="C667" s="1" t="n">
        <v>45760</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33824-2022</t>
        </is>
      </c>
      <c r="B668" s="1" t="n">
        <v>44790</v>
      </c>
      <c r="C668" s="1" t="n">
        <v>45760</v>
      </c>
      <c r="D668" t="inlineStr">
        <is>
          <t>KALMAR LÄN</t>
        </is>
      </c>
      <c r="E668" t="inlineStr">
        <is>
          <t>VIMMERBY</t>
        </is>
      </c>
      <c r="G668" t="n">
        <v>2.3</v>
      </c>
      <c r="H668" t="n">
        <v>0</v>
      </c>
      <c r="I668" t="n">
        <v>0</v>
      </c>
      <c r="J668" t="n">
        <v>0</v>
      </c>
      <c r="K668" t="n">
        <v>0</v>
      </c>
      <c r="L668" t="n">
        <v>0</v>
      </c>
      <c r="M668" t="n">
        <v>0</v>
      </c>
      <c r="N668" t="n">
        <v>0</v>
      </c>
      <c r="O668" t="n">
        <v>0</v>
      </c>
      <c r="P668" t="n">
        <v>0</v>
      </c>
      <c r="Q668" t="n">
        <v>0</v>
      </c>
      <c r="R668" s="2" t="inlineStr"/>
    </row>
    <row r="669" ht="15" customHeight="1">
      <c r="A669" t="inlineStr">
        <is>
          <t>A 33840-2022</t>
        </is>
      </c>
      <c r="B669" s="1" t="n">
        <v>44790</v>
      </c>
      <c r="C669" s="1" t="n">
        <v>45760</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34376-2022</t>
        </is>
      </c>
      <c r="B670" s="1" t="n">
        <v>44792</v>
      </c>
      <c r="C670" s="1" t="n">
        <v>45760</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34329-2022</t>
        </is>
      </c>
      <c r="B671" s="1" t="n">
        <v>44792</v>
      </c>
      <c r="C671" s="1" t="n">
        <v>45760</v>
      </c>
      <c r="D671" t="inlineStr">
        <is>
          <t>KALMAR LÄN</t>
        </is>
      </c>
      <c r="E671" t="inlineStr">
        <is>
          <t>VIMMERBY</t>
        </is>
      </c>
      <c r="F671" t="inlineStr">
        <is>
          <t>Sveaskog</t>
        </is>
      </c>
      <c r="G671" t="n">
        <v>5.5</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45760</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35429-2022</t>
        </is>
      </c>
      <c r="B673" s="1" t="n">
        <v>44798</v>
      </c>
      <c r="C673" s="1" t="n">
        <v>45760</v>
      </c>
      <c r="D673" t="inlineStr">
        <is>
          <t>KALMAR LÄN</t>
        </is>
      </c>
      <c r="E673" t="inlineStr">
        <is>
          <t>VIMMERBY</t>
        </is>
      </c>
      <c r="G673" t="n">
        <v>4.9</v>
      </c>
      <c r="H673" t="n">
        <v>0</v>
      </c>
      <c r="I673" t="n">
        <v>0</v>
      </c>
      <c r="J673" t="n">
        <v>0</v>
      </c>
      <c r="K673" t="n">
        <v>0</v>
      </c>
      <c r="L673" t="n">
        <v>0</v>
      </c>
      <c r="M673" t="n">
        <v>0</v>
      </c>
      <c r="N673" t="n">
        <v>0</v>
      </c>
      <c r="O673" t="n">
        <v>0</v>
      </c>
      <c r="P673" t="n">
        <v>0</v>
      </c>
      <c r="Q673" t="n">
        <v>0</v>
      </c>
      <c r="R673" s="2" t="inlineStr"/>
    </row>
    <row r="674" ht="15" customHeight="1">
      <c r="A674" t="inlineStr">
        <is>
          <t>A 35615-2022</t>
        </is>
      </c>
      <c r="B674" s="1" t="n">
        <v>44799</v>
      </c>
      <c r="C674" s="1" t="n">
        <v>45760</v>
      </c>
      <c r="D674" t="inlineStr">
        <is>
          <t>KALMAR LÄN</t>
        </is>
      </c>
      <c r="E674" t="inlineStr">
        <is>
          <t>VIMMERBY</t>
        </is>
      </c>
      <c r="G674" t="n">
        <v>3.8</v>
      </c>
      <c r="H674" t="n">
        <v>0</v>
      </c>
      <c r="I674" t="n">
        <v>0</v>
      </c>
      <c r="J674" t="n">
        <v>0</v>
      </c>
      <c r="K674" t="n">
        <v>0</v>
      </c>
      <c r="L674" t="n">
        <v>0</v>
      </c>
      <c r="M674" t="n">
        <v>0</v>
      </c>
      <c r="N674" t="n">
        <v>0</v>
      </c>
      <c r="O674" t="n">
        <v>0</v>
      </c>
      <c r="P674" t="n">
        <v>0</v>
      </c>
      <c r="Q674" t="n">
        <v>0</v>
      </c>
      <c r="R674" s="2" t="inlineStr"/>
    </row>
    <row r="675" ht="15" customHeight="1">
      <c r="A675" t="inlineStr">
        <is>
          <t>A 36259-2022</t>
        </is>
      </c>
      <c r="B675" s="1" t="n">
        <v>44803</v>
      </c>
      <c r="C675" s="1" t="n">
        <v>45760</v>
      </c>
      <c r="D675" t="inlineStr">
        <is>
          <t>KALMAR LÄN</t>
        </is>
      </c>
      <c r="E675" t="inlineStr">
        <is>
          <t>VIMMERBY</t>
        </is>
      </c>
      <c r="G675" t="n">
        <v>3.9</v>
      </c>
      <c r="H675" t="n">
        <v>0</v>
      </c>
      <c r="I675" t="n">
        <v>0</v>
      </c>
      <c r="J675" t="n">
        <v>0</v>
      </c>
      <c r="K675" t="n">
        <v>0</v>
      </c>
      <c r="L675" t="n">
        <v>0</v>
      </c>
      <c r="M675" t="n">
        <v>0</v>
      </c>
      <c r="N675" t="n">
        <v>0</v>
      </c>
      <c r="O675" t="n">
        <v>0</v>
      </c>
      <c r="P675" t="n">
        <v>0</v>
      </c>
      <c r="Q675" t="n">
        <v>0</v>
      </c>
      <c r="R675" s="2" t="inlineStr"/>
    </row>
    <row r="676" ht="15" customHeight="1">
      <c r="A676" t="inlineStr">
        <is>
          <t>A 36268-2022</t>
        </is>
      </c>
      <c r="B676" s="1" t="n">
        <v>44803</v>
      </c>
      <c r="C676" s="1" t="n">
        <v>45760</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36320-2022</t>
        </is>
      </c>
      <c r="B677" s="1" t="n">
        <v>44803</v>
      </c>
      <c r="C677" s="1" t="n">
        <v>45760</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39225-2022</t>
        </is>
      </c>
      <c r="B678" s="1" t="n">
        <v>44817</v>
      </c>
      <c r="C678" s="1" t="n">
        <v>45760</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39042-2022</t>
        </is>
      </c>
      <c r="B679" s="1" t="n">
        <v>44817</v>
      </c>
      <c r="C679" s="1" t="n">
        <v>45760</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39959-2022</t>
        </is>
      </c>
      <c r="B680" s="1" t="n">
        <v>44819</v>
      </c>
      <c r="C680" s="1" t="n">
        <v>45760</v>
      </c>
      <c r="D680" t="inlineStr">
        <is>
          <t>KALMAR LÄN</t>
        </is>
      </c>
      <c r="E680" t="inlineStr">
        <is>
          <t>VIMMERBY</t>
        </is>
      </c>
      <c r="G680" t="n">
        <v>0.9</v>
      </c>
      <c r="H680" t="n">
        <v>0</v>
      </c>
      <c r="I680" t="n">
        <v>0</v>
      </c>
      <c r="J680" t="n">
        <v>0</v>
      </c>
      <c r="K680" t="n">
        <v>0</v>
      </c>
      <c r="L680" t="n">
        <v>0</v>
      </c>
      <c r="M680" t="n">
        <v>0</v>
      </c>
      <c r="N680" t="n">
        <v>0</v>
      </c>
      <c r="O680" t="n">
        <v>0</v>
      </c>
      <c r="P680" t="n">
        <v>0</v>
      </c>
      <c r="Q680" t="n">
        <v>0</v>
      </c>
      <c r="R680" s="2" t="inlineStr"/>
    </row>
    <row r="681" ht="15" customHeight="1">
      <c r="A681" t="inlineStr">
        <is>
          <t>A 40095-2022</t>
        </is>
      </c>
      <c r="B681" s="1" t="n">
        <v>44820</v>
      </c>
      <c r="C681" s="1" t="n">
        <v>45760</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40026-2022</t>
        </is>
      </c>
      <c r="B682" s="1" t="n">
        <v>44820</v>
      </c>
      <c r="C682" s="1" t="n">
        <v>45760</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40916-2022</t>
        </is>
      </c>
      <c r="B683" s="1" t="n">
        <v>44820</v>
      </c>
      <c r="C683" s="1" t="n">
        <v>45760</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40472-2022</t>
        </is>
      </c>
      <c r="B684" s="1" t="n">
        <v>44823</v>
      </c>
      <c r="C684" s="1" t="n">
        <v>45760</v>
      </c>
      <c r="D684" t="inlineStr">
        <is>
          <t>KALMAR LÄN</t>
        </is>
      </c>
      <c r="E684" t="inlineStr">
        <is>
          <t>VIMMERBY</t>
        </is>
      </c>
      <c r="G684" t="n">
        <v>2</v>
      </c>
      <c r="H684" t="n">
        <v>0</v>
      </c>
      <c r="I684" t="n">
        <v>0</v>
      </c>
      <c r="J684" t="n">
        <v>0</v>
      </c>
      <c r="K684" t="n">
        <v>0</v>
      </c>
      <c r="L684" t="n">
        <v>0</v>
      </c>
      <c r="M684" t="n">
        <v>0</v>
      </c>
      <c r="N684" t="n">
        <v>0</v>
      </c>
      <c r="O684" t="n">
        <v>0</v>
      </c>
      <c r="P684" t="n">
        <v>0</v>
      </c>
      <c r="Q684" t="n">
        <v>0</v>
      </c>
      <c r="R684" s="2" t="inlineStr"/>
    </row>
    <row r="685" ht="15" customHeight="1">
      <c r="A685" t="inlineStr">
        <is>
          <t>A 40728-2022</t>
        </is>
      </c>
      <c r="B685" s="1" t="n">
        <v>44824</v>
      </c>
      <c r="C685" s="1" t="n">
        <v>45760</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41056-2022</t>
        </is>
      </c>
      <c r="B686" s="1" t="n">
        <v>44824</v>
      </c>
      <c r="C686" s="1" t="n">
        <v>45760</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40929-2022</t>
        </is>
      </c>
      <c r="B687" s="1" t="n">
        <v>44825</v>
      </c>
      <c r="C687" s="1" t="n">
        <v>45760</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40927-2022</t>
        </is>
      </c>
      <c r="B688" s="1" t="n">
        <v>44825</v>
      </c>
      <c r="C688" s="1" t="n">
        <v>45760</v>
      </c>
      <c r="D688" t="inlineStr">
        <is>
          <t>KALMAR LÄN</t>
        </is>
      </c>
      <c r="E688" t="inlineStr">
        <is>
          <t>VIMMERBY</t>
        </is>
      </c>
      <c r="G688" t="n">
        <v>3.2</v>
      </c>
      <c r="H688" t="n">
        <v>0</v>
      </c>
      <c r="I688" t="n">
        <v>0</v>
      </c>
      <c r="J688" t="n">
        <v>0</v>
      </c>
      <c r="K688" t="n">
        <v>0</v>
      </c>
      <c r="L688" t="n">
        <v>0</v>
      </c>
      <c r="M688" t="n">
        <v>0</v>
      </c>
      <c r="N688" t="n">
        <v>0</v>
      </c>
      <c r="O688" t="n">
        <v>0</v>
      </c>
      <c r="P688" t="n">
        <v>0</v>
      </c>
      <c r="Q688" t="n">
        <v>0</v>
      </c>
      <c r="R688" s="2" t="inlineStr"/>
    </row>
    <row r="689" ht="15" customHeight="1">
      <c r="A689" t="inlineStr">
        <is>
          <t>A 41424-2022</t>
        </is>
      </c>
      <c r="B689" s="1" t="n">
        <v>44826</v>
      </c>
      <c r="C689" s="1" t="n">
        <v>45760</v>
      </c>
      <c r="D689" t="inlineStr">
        <is>
          <t>KALMAR LÄN</t>
        </is>
      </c>
      <c r="E689" t="inlineStr">
        <is>
          <t>VIMMERBY</t>
        </is>
      </c>
      <c r="G689" t="n">
        <v>4.8</v>
      </c>
      <c r="H689" t="n">
        <v>0</v>
      </c>
      <c r="I689" t="n">
        <v>0</v>
      </c>
      <c r="J689" t="n">
        <v>0</v>
      </c>
      <c r="K689" t="n">
        <v>0</v>
      </c>
      <c r="L689" t="n">
        <v>0</v>
      </c>
      <c r="M689" t="n">
        <v>0</v>
      </c>
      <c r="N689" t="n">
        <v>0</v>
      </c>
      <c r="O689" t="n">
        <v>0</v>
      </c>
      <c r="P689" t="n">
        <v>0</v>
      </c>
      <c r="Q689" t="n">
        <v>0</v>
      </c>
      <c r="R689" s="2" t="inlineStr"/>
    </row>
    <row r="690" ht="15" customHeight="1">
      <c r="A690" t="inlineStr">
        <is>
          <t>A 41438-2022</t>
        </is>
      </c>
      <c r="B690" s="1" t="n">
        <v>44826</v>
      </c>
      <c r="C690" s="1" t="n">
        <v>45760</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42850-2022</t>
        </is>
      </c>
      <c r="B691" s="1" t="n">
        <v>44832</v>
      </c>
      <c r="C691" s="1" t="n">
        <v>45760</v>
      </c>
      <c r="D691" t="inlineStr">
        <is>
          <t>KALMAR LÄN</t>
        </is>
      </c>
      <c r="E691" t="inlineStr">
        <is>
          <t>VIMMERBY</t>
        </is>
      </c>
      <c r="G691" t="n">
        <v>5.9</v>
      </c>
      <c r="H691" t="n">
        <v>0</v>
      </c>
      <c r="I691" t="n">
        <v>0</v>
      </c>
      <c r="J691" t="n">
        <v>0</v>
      </c>
      <c r="K691" t="n">
        <v>0</v>
      </c>
      <c r="L691" t="n">
        <v>0</v>
      </c>
      <c r="M691" t="n">
        <v>0</v>
      </c>
      <c r="N691" t="n">
        <v>0</v>
      </c>
      <c r="O691" t="n">
        <v>0</v>
      </c>
      <c r="P691" t="n">
        <v>0</v>
      </c>
      <c r="Q691" t="n">
        <v>0</v>
      </c>
      <c r="R691" s="2" t="inlineStr"/>
    </row>
    <row r="692" ht="15" customHeight="1">
      <c r="A692" t="inlineStr">
        <is>
          <t>A 43038-2022</t>
        </is>
      </c>
      <c r="B692" s="1" t="n">
        <v>44833</v>
      </c>
      <c r="C692" s="1" t="n">
        <v>45760</v>
      </c>
      <c r="D692" t="inlineStr">
        <is>
          <t>KALMAR LÄN</t>
        </is>
      </c>
      <c r="E692" t="inlineStr">
        <is>
          <t>VIMMERBY</t>
        </is>
      </c>
      <c r="G692" t="n">
        <v>4.2</v>
      </c>
      <c r="H692" t="n">
        <v>0</v>
      </c>
      <c r="I692" t="n">
        <v>0</v>
      </c>
      <c r="J692" t="n">
        <v>0</v>
      </c>
      <c r="K692" t="n">
        <v>0</v>
      </c>
      <c r="L692" t="n">
        <v>0</v>
      </c>
      <c r="M692" t="n">
        <v>0</v>
      </c>
      <c r="N692" t="n">
        <v>0</v>
      </c>
      <c r="O692" t="n">
        <v>0</v>
      </c>
      <c r="P692" t="n">
        <v>0</v>
      </c>
      <c r="Q692" t="n">
        <v>0</v>
      </c>
      <c r="R692" s="2" t="inlineStr"/>
    </row>
    <row r="693" ht="15" customHeight="1">
      <c r="A693" t="inlineStr">
        <is>
          <t>A 43272-2022</t>
        </is>
      </c>
      <c r="B693" s="1" t="n">
        <v>44834</v>
      </c>
      <c r="C693" s="1" t="n">
        <v>45760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43553-2022</t>
        </is>
      </c>
      <c r="B694" s="1" t="n">
        <v>44837</v>
      </c>
      <c r="C694" s="1" t="n">
        <v>45760</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44179-2022</t>
        </is>
      </c>
      <c r="B695" s="1" t="n">
        <v>44839</v>
      </c>
      <c r="C695" s="1" t="n">
        <v>45760</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44654-2022</t>
        </is>
      </c>
      <c r="B696" s="1" t="n">
        <v>44840</v>
      </c>
      <c r="C696" s="1" t="n">
        <v>45760</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44651-2022</t>
        </is>
      </c>
      <c r="B697" s="1" t="n">
        <v>44840</v>
      </c>
      <c r="C697" s="1" t="n">
        <v>45760</v>
      </c>
      <c r="D697" t="inlineStr">
        <is>
          <t>KALMAR LÄN</t>
        </is>
      </c>
      <c r="E697" t="inlineStr">
        <is>
          <t>VIMMERBY</t>
        </is>
      </c>
      <c r="G697" t="n">
        <v>5.3</v>
      </c>
      <c r="H697" t="n">
        <v>0</v>
      </c>
      <c r="I697" t="n">
        <v>0</v>
      </c>
      <c r="J697" t="n">
        <v>0</v>
      </c>
      <c r="K697" t="n">
        <v>0</v>
      </c>
      <c r="L697" t="n">
        <v>0</v>
      </c>
      <c r="M697" t="n">
        <v>0</v>
      </c>
      <c r="N697" t="n">
        <v>0</v>
      </c>
      <c r="O697" t="n">
        <v>0</v>
      </c>
      <c r="P697" t="n">
        <v>0</v>
      </c>
      <c r="Q697" t="n">
        <v>0</v>
      </c>
      <c r="R697" s="2" t="inlineStr"/>
    </row>
    <row r="698" ht="15" customHeight="1">
      <c r="A698" t="inlineStr">
        <is>
          <t>A 44656-2022</t>
        </is>
      </c>
      <c r="B698" s="1" t="n">
        <v>44840</v>
      </c>
      <c r="C698" s="1" t="n">
        <v>45760</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45861-2022</t>
        </is>
      </c>
      <c r="B699" s="1" t="n">
        <v>44846</v>
      </c>
      <c r="C699" s="1" t="n">
        <v>45760</v>
      </c>
      <c r="D699" t="inlineStr">
        <is>
          <t>KALMAR LÄN</t>
        </is>
      </c>
      <c r="E699" t="inlineStr">
        <is>
          <t>VIMMERBY</t>
        </is>
      </c>
      <c r="G699" t="n">
        <v>3.5</v>
      </c>
      <c r="H699" t="n">
        <v>0</v>
      </c>
      <c r="I699" t="n">
        <v>0</v>
      </c>
      <c r="J699" t="n">
        <v>0</v>
      </c>
      <c r="K699" t="n">
        <v>0</v>
      </c>
      <c r="L699" t="n">
        <v>0</v>
      </c>
      <c r="M699" t="n">
        <v>0</v>
      </c>
      <c r="N699" t="n">
        <v>0</v>
      </c>
      <c r="O699" t="n">
        <v>0</v>
      </c>
      <c r="P699" t="n">
        <v>0</v>
      </c>
      <c r="Q699" t="n">
        <v>0</v>
      </c>
      <c r="R699" s="2" t="inlineStr"/>
    </row>
    <row r="700" ht="15" customHeight="1">
      <c r="A700" t="inlineStr">
        <is>
          <t>A 45858-2022</t>
        </is>
      </c>
      <c r="B700" s="1" t="n">
        <v>44846</v>
      </c>
      <c r="C700" s="1" t="n">
        <v>45760</v>
      </c>
      <c r="D700" t="inlineStr">
        <is>
          <t>KALMAR LÄN</t>
        </is>
      </c>
      <c r="E700" t="inlineStr">
        <is>
          <t>VIMMERBY</t>
        </is>
      </c>
      <c r="G700" t="n">
        <v>5.9</v>
      </c>
      <c r="H700" t="n">
        <v>0</v>
      </c>
      <c r="I700" t="n">
        <v>0</v>
      </c>
      <c r="J700" t="n">
        <v>0</v>
      </c>
      <c r="K700" t="n">
        <v>0</v>
      </c>
      <c r="L700" t="n">
        <v>0</v>
      </c>
      <c r="M700" t="n">
        <v>0</v>
      </c>
      <c r="N700" t="n">
        <v>0</v>
      </c>
      <c r="O700" t="n">
        <v>0</v>
      </c>
      <c r="P700" t="n">
        <v>0</v>
      </c>
      <c r="Q700" t="n">
        <v>0</v>
      </c>
      <c r="R700" s="2" t="inlineStr"/>
    </row>
    <row r="701" ht="15" customHeight="1">
      <c r="A701" t="inlineStr">
        <is>
          <t>A 46522-2022</t>
        </is>
      </c>
      <c r="B701" s="1" t="n">
        <v>44848</v>
      </c>
      <c r="C701" s="1" t="n">
        <v>45760</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46964-2022</t>
        </is>
      </c>
      <c r="B702" s="1" t="n">
        <v>44852</v>
      </c>
      <c r="C702" s="1" t="n">
        <v>45760</v>
      </c>
      <c r="D702" t="inlineStr">
        <is>
          <t>KALMAR LÄN</t>
        </is>
      </c>
      <c r="E702" t="inlineStr">
        <is>
          <t>VIMMERBY</t>
        </is>
      </c>
      <c r="G702" t="n">
        <v>0.2</v>
      </c>
      <c r="H702" t="n">
        <v>0</v>
      </c>
      <c r="I702" t="n">
        <v>0</v>
      </c>
      <c r="J702" t="n">
        <v>0</v>
      </c>
      <c r="K702" t="n">
        <v>0</v>
      </c>
      <c r="L702" t="n">
        <v>0</v>
      </c>
      <c r="M702" t="n">
        <v>0</v>
      </c>
      <c r="N702" t="n">
        <v>0</v>
      </c>
      <c r="O702" t="n">
        <v>0</v>
      </c>
      <c r="P702" t="n">
        <v>0</v>
      </c>
      <c r="Q702" t="n">
        <v>0</v>
      </c>
      <c r="R702" s="2" t="inlineStr"/>
    </row>
    <row r="703" ht="15" customHeight="1">
      <c r="A703" t="inlineStr">
        <is>
          <t>A 47214-2022</t>
        </is>
      </c>
      <c r="B703" s="1" t="n">
        <v>44852</v>
      </c>
      <c r="C703" s="1" t="n">
        <v>45760</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47063-2022</t>
        </is>
      </c>
      <c r="B704" s="1" t="n">
        <v>44852</v>
      </c>
      <c r="C704" s="1" t="n">
        <v>45760</v>
      </c>
      <c r="D704" t="inlineStr">
        <is>
          <t>KALMAR LÄN</t>
        </is>
      </c>
      <c r="E704" t="inlineStr">
        <is>
          <t>VIMMERBY</t>
        </is>
      </c>
      <c r="G704" t="n">
        <v>2.5</v>
      </c>
      <c r="H704" t="n">
        <v>0</v>
      </c>
      <c r="I704" t="n">
        <v>0</v>
      </c>
      <c r="J704" t="n">
        <v>0</v>
      </c>
      <c r="K704" t="n">
        <v>0</v>
      </c>
      <c r="L704" t="n">
        <v>0</v>
      </c>
      <c r="M704" t="n">
        <v>0</v>
      </c>
      <c r="N704" t="n">
        <v>0</v>
      </c>
      <c r="O704" t="n">
        <v>0</v>
      </c>
      <c r="P704" t="n">
        <v>0</v>
      </c>
      <c r="Q704" t="n">
        <v>0</v>
      </c>
      <c r="R704" s="2" t="inlineStr"/>
    </row>
    <row r="705" ht="15" customHeight="1">
      <c r="A705" t="inlineStr">
        <is>
          <t>A 47708-2022</t>
        </is>
      </c>
      <c r="B705" s="1" t="n">
        <v>44854</v>
      </c>
      <c r="C705" s="1" t="n">
        <v>45760</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47769-2022</t>
        </is>
      </c>
      <c r="B706" s="1" t="n">
        <v>44854</v>
      </c>
      <c r="C706" s="1" t="n">
        <v>45760</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48120-2022</t>
        </is>
      </c>
      <c r="B707" s="1" t="n">
        <v>44857</v>
      </c>
      <c r="C707" s="1" t="n">
        <v>45760</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49313-2022</t>
        </is>
      </c>
      <c r="B708" s="1" t="n">
        <v>44861</v>
      </c>
      <c r="C708" s="1" t="n">
        <v>45760</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49461-2022</t>
        </is>
      </c>
      <c r="B709" s="1" t="n">
        <v>44861</v>
      </c>
      <c r="C709" s="1" t="n">
        <v>45760</v>
      </c>
      <c r="D709" t="inlineStr">
        <is>
          <t>KALMAR LÄN</t>
        </is>
      </c>
      <c r="E709" t="inlineStr">
        <is>
          <t>VIMMERBY</t>
        </is>
      </c>
      <c r="G709" t="n">
        <v>3.2</v>
      </c>
      <c r="H709" t="n">
        <v>0</v>
      </c>
      <c r="I709" t="n">
        <v>0</v>
      </c>
      <c r="J709" t="n">
        <v>0</v>
      </c>
      <c r="K709" t="n">
        <v>0</v>
      </c>
      <c r="L709" t="n">
        <v>0</v>
      </c>
      <c r="M709" t="n">
        <v>0</v>
      </c>
      <c r="N709" t="n">
        <v>0</v>
      </c>
      <c r="O709" t="n">
        <v>0</v>
      </c>
      <c r="P709" t="n">
        <v>0</v>
      </c>
      <c r="Q709" t="n">
        <v>0</v>
      </c>
      <c r="R709" s="2" t="inlineStr"/>
    </row>
    <row r="710" ht="15" customHeight="1">
      <c r="A710" t="inlineStr">
        <is>
          <t>A 50809-2022</t>
        </is>
      </c>
      <c r="B710" s="1" t="n">
        <v>44862</v>
      </c>
      <c r="C710" s="1" t="n">
        <v>45760</v>
      </c>
      <c r="D710" t="inlineStr">
        <is>
          <t>KALMAR LÄN</t>
        </is>
      </c>
      <c r="E710" t="inlineStr">
        <is>
          <t>VIMMERBY</t>
        </is>
      </c>
      <c r="G710" t="n">
        <v>3.7</v>
      </c>
      <c r="H710" t="n">
        <v>0</v>
      </c>
      <c r="I710" t="n">
        <v>0</v>
      </c>
      <c r="J710" t="n">
        <v>0</v>
      </c>
      <c r="K710" t="n">
        <v>0</v>
      </c>
      <c r="L710" t="n">
        <v>0</v>
      </c>
      <c r="M710" t="n">
        <v>0</v>
      </c>
      <c r="N710" t="n">
        <v>0</v>
      </c>
      <c r="O710" t="n">
        <v>0</v>
      </c>
      <c r="P710" t="n">
        <v>0</v>
      </c>
      <c r="Q710" t="n">
        <v>0</v>
      </c>
      <c r="R710" s="2" t="inlineStr"/>
    </row>
    <row r="711" ht="15" customHeight="1">
      <c r="A711" t="inlineStr">
        <is>
          <t>A 50804-2022</t>
        </is>
      </c>
      <c r="B711" s="1" t="n">
        <v>44862</v>
      </c>
      <c r="C711" s="1" t="n">
        <v>45760</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50535-2022</t>
        </is>
      </c>
      <c r="B712" s="1" t="n">
        <v>44866</v>
      </c>
      <c r="C712" s="1" t="n">
        <v>45760</v>
      </c>
      <c r="D712" t="inlineStr">
        <is>
          <t>KALMAR LÄN</t>
        </is>
      </c>
      <c r="E712" t="inlineStr">
        <is>
          <t>VIMMERBY</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50621-2022</t>
        </is>
      </c>
      <c r="B713" s="1" t="n">
        <v>44866</v>
      </c>
      <c r="C713" s="1" t="n">
        <v>45760</v>
      </c>
      <c r="D713" t="inlineStr">
        <is>
          <t>KALMAR LÄN</t>
        </is>
      </c>
      <c r="E713" t="inlineStr">
        <is>
          <t>VIMMERBY</t>
        </is>
      </c>
      <c r="F713" t="inlineStr">
        <is>
          <t>Övriga Aktiebolag</t>
        </is>
      </c>
      <c r="G713" t="n">
        <v>5.1</v>
      </c>
      <c r="H713" t="n">
        <v>0</v>
      </c>
      <c r="I713" t="n">
        <v>0</v>
      </c>
      <c r="J713" t="n">
        <v>0</v>
      </c>
      <c r="K713" t="n">
        <v>0</v>
      </c>
      <c r="L713" t="n">
        <v>0</v>
      </c>
      <c r="M713" t="n">
        <v>0</v>
      </c>
      <c r="N713" t="n">
        <v>0</v>
      </c>
      <c r="O713" t="n">
        <v>0</v>
      </c>
      <c r="P713" t="n">
        <v>0</v>
      </c>
      <c r="Q713" t="n">
        <v>0</v>
      </c>
      <c r="R713" s="2" t="inlineStr"/>
    </row>
    <row r="714" ht="15" customHeight="1">
      <c r="A714" t="inlineStr">
        <is>
          <t>A 50860-2022</t>
        </is>
      </c>
      <c r="B714" s="1" t="n">
        <v>44867</v>
      </c>
      <c r="C714" s="1" t="n">
        <v>45760</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50995-2022</t>
        </is>
      </c>
      <c r="B715" s="1" t="n">
        <v>44867</v>
      </c>
      <c r="C715" s="1" t="n">
        <v>45760</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50993-2022</t>
        </is>
      </c>
      <c r="B716" s="1" t="n">
        <v>44867</v>
      </c>
      <c r="C716" s="1" t="n">
        <v>45760</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52753-2022</t>
        </is>
      </c>
      <c r="B717" s="1" t="n">
        <v>44875</v>
      </c>
      <c r="C717" s="1" t="n">
        <v>45760</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52755-2022</t>
        </is>
      </c>
      <c r="B718" s="1" t="n">
        <v>44875</v>
      </c>
      <c r="C718" s="1" t="n">
        <v>45760</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53145-2022</t>
        </is>
      </c>
      <c r="B719" s="1" t="n">
        <v>44876</v>
      </c>
      <c r="C719" s="1" t="n">
        <v>45760</v>
      </c>
      <c r="D719" t="inlineStr">
        <is>
          <t>KALMAR LÄN</t>
        </is>
      </c>
      <c r="E719" t="inlineStr">
        <is>
          <t>VIMMERBY</t>
        </is>
      </c>
      <c r="G719" t="n">
        <v>0.4</v>
      </c>
      <c r="H719" t="n">
        <v>0</v>
      </c>
      <c r="I719" t="n">
        <v>0</v>
      </c>
      <c r="J719" t="n">
        <v>0</v>
      </c>
      <c r="K719" t="n">
        <v>0</v>
      </c>
      <c r="L719" t="n">
        <v>0</v>
      </c>
      <c r="M719" t="n">
        <v>0</v>
      </c>
      <c r="N719" t="n">
        <v>0</v>
      </c>
      <c r="O719" t="n">
        <v>0</v>
      </c>
      <c r="P719" t="n">
        <v>0</v>
      </c>
      <c r="Q719" t="n">
        <v>0</v>
      </c>
      <c r="R719" s="2" t="inlineStr"/>
    </row>
    <row r="720" ht="15" customHeight="1">
      <c r="A720" t="inlineStr">
        <is>
          <t>A 53247-2022</t>
        </is>
      </c>
      <c r="B720" s="1" t="n">
        <v>44876</v>
      </c>
      <c r="C720" s="1" t="n">
        <v>45760</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53482-2022</t>
        </is>
      </c>
      <c r="B721" s="1" t="n">
        <v>44879</v>
      </c>
      <c r="C721" s="1" t="n">
        <v>45760</v>
      </c>
      <c r="D721" t="inlineStr">
        <is>
          <t>KALMAR LÄN</t>
        </is>
      </c>
      <c r="E721" t="inlineStr">
        <is>
          <t>VIMMERBY</t>
        </is>
      </c>
      <c r="G721" t="n">
        <v>10.1</v>
      </c>
      <c r="H721" t="n">
        <v>0</v>
      </c>
      <c r="I721" t="n">
        <v>0</v>
      </c>
      <c r="J721" t="n">
        <v>0</v>
      </c>
      <c r="K721" t="n">
        <v>0</v>
      </c>
      <c r="L721" t="n">
        <v>0</v>
      </c>
      <c r="M721" t="n">
        <v>0</v>
      </c>
      <c r="N721" t="n">
        <v>0</v>
      </c>
      <c r="O721" t="n">
        <v>0</v>
      </c>
      <c r="P721" t="n">
        <v>0</v>
      </c>
      <c r="Q721" t="n">
        <v>0</v>
      </c>
      <c r="R721" s="2" t="inlineStr"/>
    </row>
    <row r="722" ht="15" customHeight="1">
      <c r="A722" t="inlineStr">
        <is>
          <t>A 53542-2022</t>
        </is>
      </c>
      <c r="B722" s="1" t="n">
        <v>44879</v>
      </c>
      <c r="C722" s="1" t="n">
        <v>45760</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53483-2022</t>
        </is>
      </c>
      <c r="B723" s="1" t="n">
        <v>44879</v>
      </c>
      <c r="C723" s="1" t="n">
        <v>45760</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54020-2022</t>
        </is>
      </c>
      <c r="B724" s="1" t="n">
        <v>44881</v>
      </c>
      <c r="C724" s="1" t="n">
        <v>45760</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54749-2022</t>
        </is>
      </c>
      <c r="B725" s="1" t="n">
        <v>44883</v>
      </c>
      <c r="C725" s="1" t="n">
        <v>45760</v>
      </c>
      <c r="D725" t="inlineStr">
        <is>
          <t>KALMAR LÄN</t>
        </is>
      </c>
      <c r="E725" t="inlineStr">
        <is>
          <t>VIMMERBY</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54745-2022</t>
        </is>
      </c>
      <c r="B726" s="1" t="n">
        <v>44883</v>
      </c>
      <c r="C726" s="1" t="n">
        <v>45760</v>
      </c>
      <c r="D726" t="inlineStr">
        <is>
          <t>KALMAR LÄN</t>
        </is>
      </c>
      <c r="E726" t="inlineStr">
        <is>
          <t>VIMMERBY</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54877-2022</t>
        </is>
      </c>
      <c r="B727" s="1" t="n">
        <v>44886</v>
      </c>
      <c r="C727" s="1" t="n">
        <v>45760</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55333-2022</t>
        </is>
      </c>
      <c r="B728" s="1" t="n">
        <v>44887</v>
      </c>
      <c r="C728" s="1" t="n">
        <v>45760</v>
      </c>
      <c r="D728" t="inlineStr">
        <is>
          <t>KALMAR LÄN</t>
        </is>
      </c>
      <c r="E728" t="inlineStr">
        <is>
          <t>VIMMERBY</t>
        </is>
      </c>
      <c r="G728" t="n">
        <v>3.4</v>
      </c>
      <c r="H728" t="n">
        <v>0</v>
      </c>
      <c r="I728" t="n">
        <v>0</v>
      </c>
      <c r="J728" t="n">
        <v>0</v>
      </c>
      <c r="K728" t="n">
        <v>0</v>
      </c>
      <c r="L728" t="n">
        <v>0</v>
      </c>
      <c r="M728" t="n">
        <v>0</v>
      </c>
      <c r="N728" t="n">
        <v>0</v>
      </c>
      <c r="O728" t="n">
        <v>0</v>
      </c>
      <c r="P728" t="n">
        <v>0</v>
      </c>
      <c r="Q728" t="n">
        <v>0</v>
      </c>
      <c r="R728" s="2" t="inlineStr"/>
    </row>
    <row r="729" ht="15" customHeight="1">
      <c r="A729" t="inlineStr">
        <is>
          <t>A 57682-2022</t>
        </is>
      </c>
      <c r="B729" s="1" t="n">
        <v>44890</v>
      </c>
      <c r="C729" s="1" t="n">
        <v>45760</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56582-2022</t>
        </is>
      </c>
      <c r="B730" s="1" t="n">
        <v>44893</v>
      </c>
      <c r="C730" s="1" t="n">
        <v>45760</v>
      </c>
      <c r="D730" t="inlineStr">
        <is>
          <t>KALMAR LÄN</t>
        </is>
      </c>
      <c r="E730" t="inlineStr">
        <is>
          <t>VIMMERBY</t>
        </is>
      </c>
      <c r="G730" t="n">
        <v>2.2</v>
      </c>
      <c r="H730" t="n">
        <v>0</v>
      </c>
      <c r="I730" t="n">
        <v>0</v>
      </c>
      <c r="J730" t="n">
        <v>0</v>
      </c>
      <c r="K730" t="n">
        <v>0</v>
      </c>
      <c r="L730" t="n">
        <v>0</v>
      </c>
      <c r="M730" t="n">
        <v>0</v>
      </c>
      <c r="N730" t="n">
        <v>0</v>
      </c>
      <c r="O730" t="n">
        <v>0</v>
      </c>
      <c r="P730" t="n">
        <v>0</v>
      </c>
      <c r="Q730" t="n">
        <v>0</v>
      </c>
      <c r="R730" s="2" t="inlineStr"/>
    </row>
    <row r="731" ht="15" customHeight="1">
      <c r="A731" t="inlineStr">
        <is>
          <t>A 56536-2022</t>
        </is>
      </c>
      <c r="B731" s="1" t="n">
        <v>44893</v>
      </c>
      <c r="C731" s="1" t="n">
        <v>45760</v>
      </c>
      <c r="D731" t="inlineStr">
        <is>
          <t>KALMAR LÄN</t>
        </is>
      </c>
      <c r="E731" t="inlineStr">
        <is>
          <t>VIMMERBY</t>
        </is>
      </c>
      <c r="G731" t="n">
        <v>3.2</v>
      </c>
      <c r="H731" t="n">
        <v>0</v>
      </c>
      <c r="I731" t="n">
        <v>0</v>
      </c>
      <c r="J731" t="n">
        <v>0</v>
      </c>
      <c r="K731" t="n">
        <v>0</v>
      </c>
      <c r="L731" t="n">
        <v>0</v>
      </c>
      <c r="M731" t="n">
        <v>0</v>
      </c>
      <c r="N731" t="n">
        <v>0</v>
      </c>
      <c r="O731" t="n">
        <v>0</v>
      </c>
      <c r="P731" t="n">
        <v>0</v>
      </c>
      <c r="Q731" t="n">
        <v>0</v>
      </c>
      <c r="R731" s="2" t="inlineStr"/>
    </row>
    <row r="732" ht="15" customHeight="1">
      <c r="A732" t="inlineStr">
        <is>
          <t>A 56853-2022</t>
        </is>
      </c>
      <c r="B732" s="1" t="n">
        <v>44894</v>
      </c>
      <c r="C732" s="1" t="n">
        <v>45760</v>
      </c>
      <c r="D732" t="inlineStr">
        <is>
          <t>KALMAR LÄN</t>
        </is>
      </c>
      <c r="E732" t="inlineStr">
        <is>
          <t>VIMMERBY</t>
        </is>
      </c>
      <c r="G732" t="n">
        <v>4.3</v>
      </c>
      <c r="H732" t="n">
        <v>0</v>
      </c>
      <c r="I732" t="n">
        <v>0</v>
      </c>
      <c r="J732" t="n">
        <v>0</v>
      </c>
      <c r="K732" t="n">
        <v>0</v>
      </c>
      <c r="L732" t="n">
        <v>0</v>
      </c>
      <c r="M732" t="n">
        <v>0</v>
      </c>
      <c r="N732" t="n">
        <v>0</v>
      </c>
      <c r="O732" t="n">
        <v>0</v>
      </c>
      <c r="P732" t="n">
        <v>0</v>
      </c>
      <c r="Q732" t="n">
        <v>0</v>
      </c>
      <c r="R732" s="2" t="inlineStr"/>
    </row>
    <row r="733" ht="15" customHeight="1">
      <c r="A733" t="inlineStr">
        <is>
          <t>A 57091-2022</t>
        </is>
      </c>
      <c r="B733" s="1" t="n">
        <v>44895</v>
      </c>
      <c r="C733" s="1" t="n">
        <v>45760</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57189-2022</t>
        </is>
      </c>
      <c r="B734" s="1" t="n">
        <v>44895</v>
      </c>
      <c r="C734" s="1" t="n">
        <v>45760</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57190-2022</t>
        </is>
      </c>
      <c r="B735" s="1" t="n">
        <v>44895</v>
      </c>
      <c r="C735" s="1" t="n">
        <v>45760</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58967-2022</t>
        </is>
      </c>
      <c r="B736" s="1" t="n">
        <v>44896</v>
      </c>
      <c r="C736" s="1" t="n">
        <v>45760</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57799-2022</t>
        </is>
      </c>
      <c r="B737" s="1" t="n">
        <v>44897</v>
      </c>
      <c r="C737" s="1" t="n">
        <v>45760</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58046-2022</t>
        </is>
      </c>
      <c r="B738" s="1" t="n">
        <v>44900</v>
      </c>
      <c r="C738" s="1" t="n">
        <v>45760</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58750-2022</t>
        </is>
      </c>
      <c r="B739" s="1" t="n">
        <v>44903</v>
      </c>
      <c r="C739" s="1" t="n">
        <v>45760</v>
      </c>
      <c r="D739" t="inlineStr">
        <is>
          <t>KALMAR LÄN</t>
        </is>
      </c>
      <c r="E739" t="inlineStr">
        <is>
          <t>VIMMERBY</t>
        </is>
      </c>
      <c r="G739" t="n">
        <v>3.3</v>
      </c>
      <c r="H739" t="n">
        <v>0</v>
      </c>
      <c r="I739" t="n">
        <v>0</v>
      </c>
      <c r="J739" t="n">
        <v>0</v>
      </c>
      <c r="K739" t="n">
        <v>0</v>
      </c>
      <c r="L739" t="n">
        <v>0</v>
      </c>
      <c r="M739" t="n">
        <v>0</v>
      </c>
      <c r="N739" t="n">
        <v>0</v>
      </c>
      <c r="O739" t="n">
        <v>0</v>
      </c>
      <c r="P739" t="n">
        <v>0</v>
      </c>
      <c r="Q739" t="n">
        <v>0</v>
      </c>
      <c r="R739" s="2" t="inlineStr"/>
    </row>
    <row r="740" ht="15" customHeight="1">
      <c r="A740" t="inlineStr">
        <is>
          <t>A 58962-2022</t>
        </is>
      </c>
      <c r="B740" s="1" t="n">
        <v>44903</v>
      </c>
      <c r="C740" s="1" t="n">
        <v>45760</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60110-2022</t>
        </is>
      </c>
      <c r="B741" s="1" t="n">
        <v>44909</v>
      </c>
      <c r="C741" s="1" t="n">
        <v>45760</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60230-2022</t>
        </is>
      </c>
      <c r="B742" s="1" t="n">
        <v>44910</v>
      </c>
      <c r="C742" s="1" t="n">
        <v>45760</v>
      </c>
      <c r="D742" t="inlineStr">
        <is>
          <t>KALMAR LÄN</t>
        </is>
      </c>
      <c r="E742" t="inlineStr">
        <is>
          <t>VIMMERBY</t>
        </is>
      </c>
      <c r="G742" t="n">
        <v>11.3</v>
      </c>
      <c r="H742" t="n">
        <v>0</v>
      </c>
      <c r="I742" t="n">
        <v>0</v>
      </c>
      <c r="J742" t="n">
        <v>0</v>
      </c>
      <c r="K742" t="n">
        <v>0</v>
      </c>
      <c r="L742" t="n">
        <v>0</v>
      </c>
      <c r="M742" t="n">
        <v>0</v>
      </c>
      <c r="N742" t="n">
        <v>0</v>
      </c>
      <c r="O742" t="n">
        <v>0</v>
      </c>
      <c r="P742" t="n">
        <v>0</v>
      </c>
      <c r="Q742" t="n">
        <v>0</v>
      </c>
      <c r="R742" s="2" t="inlineStr"/>
    </row>
    <row r="743" ht="15" customHeight="1">
      <c r="A743" t="inlineStr">
        <is>
          <t>A 60215-2022</t>
        </is>
      </c>
      <c r="B743" s="1" t="n">
        <v>44910</v>
      </c>
      <c r="C743" s="1" t="n">
        <v>45760</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60292-2022</t>
        </is>
      </c>
      <c r="B744" s="1" t="n">
        <v>44910</v>
      </c>
      <c r="C744" s="1" t="n">
        <v>45760</v>
      </c>
      <c r="D744" t="inlineStr">
        <is>
          <t>KALMAR LÄN</t>
        </is>
      </c>
      <c r="E744" t="inlineStr">
        <is>
          <t>VIMMERBY</t>
        </is>
      </c>
      <c r="G744" t="n">
        <v>4.4</v>
      </c>
      <c r="H744" t="n">
        <v>0</v>
      </c>
      <c r="I744" t="n">
        <v>0</v>
      </c>
      <c r="J744" t="n">
        <v>0</v>
      </c>
      <c r="K744" t="n">
        <v>0</v>
      </c>
      <c r="L744" t="n">
        <v>0</v>
      </c>
      <c r="M744" t="n">
        <v>0</v>
      </c>
      <c r="N744" t="n">
        <v>0</v>
      </c>
      <c r="O744" t="n">
        <v>0</v>
      </c>
      <c r="P744" t="n">
        <v>0</v>
      </c>
      <c r="Q744" t="n">
        <v>0</v>
      </c>
      <c r="R744" s="2" t="inlineStr"/>
    </row>
    <row r="745" ht="15" customHeight="1">
      <c r="A745" t="inlineStr">
        <is>
          <t>A 60339-2022</t>
        </is>
      </c>
      <c r="B745" s="1" t="n">
        <v>44910</v>
      </c>
      <c r="C745" s="1" t="n">
        <v>45760</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61538-2022</t>
        </is>
      </c>
      <c r="B746" s="1" t="n">
        <v>44916</v>
      </c>
      <c r="C746" s="1" t="n">
        <v>45760</v>
      </c>
      <c r="D746" t="inlineStr">
        <is>
          <t>KALMAR LÄN</t>
        </is>
      </c>
      <c r="E746" t="inlineStr">
        <is>
          <t>VIMMERBY</t>
        </is>
      </c>
      <c r="G746" t="n">
        <v>1.5</v>
      </c>
      <c r="H746" t="n">
        <v>0</v>
      </c>
      <c r="I746" t="n">
        <v>0</v>
      </c>
      <c r="J746" t="n">
        <v>0</v>
      </c>
      <c r="K746" t="n">
        <v>0</v>
      </c>
      <c r="L746" t="n">
        <v>0</v>
      </c>
      <c r="M746" t="n">
        <v>0</v>
      </c>
      <c r="N746" t="n">
        <v>0</v>
      </c>
      <c r="O746" t="n">
        <v>0</v>
      </c>
      <c r="P746" t="n">
        <v>0</v>
      </c>
      <c r="Q746" t="n">
        <v>0</v>
      </c>
      <c r="R746" s="2" t="inlineStr"/>
    </row>
    <row r="747" ht="15" customHeight="1">
      <c r="A747" t="inlineStr">
        <is>
          <t>A 62075-2022</t>
        </is>
      </c>
      <c r="B747" s="1" t="n">
        <v>44918</v>
      </c>
      <c r="C747" s="1" t="n">
        <v>45760</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62023-2022</t>
        </is>
      </c>
      <c r="B748" s="1" t="n">
        <v>44918</v>
      </c>
      <c r="C748" s="1" t="n">
        <v>45760</v>
      </c>
      <c r="D748" t="inlineStr">
        <is>
          <t>KALMAR LÄN</t>
        </is>
      </c>
      <c r="E748" t="inlineStr">
        <is>
          <t>VIMMERBY</t>
        </is>
      </c>
      <c r="G748" t="n">
        <v>0.3</v>
      </c>
      <c r="H748" t="n">
        <v>0</v>
      </c>
      <c r="I748" t="n">
        <v>0</v>
      </c>
      <c r="J748" t="n">
        <v>0</v>
      </c>
      <c r="K748" t="n">
        <v>0</v>
      </c>
      <c r="L748" t="n">
        <v>0</v>
      </c>
      <c r="M748" t="n">
        <v>0</v>
      </c>
      <c r="N748" t="n">
        <v>0</v>
      </c>
      <c r="O748" t="n">
        <v>0</v>
      </c>
      <c r="P748" t="n">
        <v>0</v>
      </c>
      <c r="Q748" t="n">
        <v>0</v>
      </c>
      <c r="R748" s="2" t="inlineStr"/>
    </row>
    <row r="749" ht="15" customHeight="1">
      <c r="A749" t="inlineStr">
        <is>
          <t>A 89-2023</t>
        </is>
      </c>
      <c r="B749" s="1" t="n">
        <v>44918</v>
      </c>
      <c r="C749" s="1" t="n">
        <v>45760</v>
      </c>
      <c r="D749" t="inlineStr">
        <is>
          <t>KALMAR LÄN</t>
        </is>
      </c>
      <c r="E749" t="inlineStr">
        <is>
          <t>VIMMERBY</t>
        </is>
      </c>
      <c r="G749" t="n">
        <v>16.1</v>
      </c>
      <c r="H749" t="n">
        <v>0</v>
      </c>
      <c r="I749" t="n">
        <v>0</v>
      </c>
      <c r="J749" t="n">
        <v>0</v>
      </c>
      <c r="K749" t="n">
        <v>0</v>
      </c>
      <c r="L749" t="n">
        <v>0</v>
      </c>
      <c r="M749" t="n">
        <v>0</v>
      </c>
      <c r="N749" t="n">
        <v>0</v>
      </c>
      <c r="O749" t="n">
        <v>0</v>
      </c>
      <c r="P749" t="n">
        <v>0</v>
      </c>
      <c r="Q749" t="n">
        <v>0</v>
      </c>
      <c r="R749" s="2" t="inlineStr"/>
    </row>
    <row r="750" ht="15" customHeight="1">
      <c r="A750" t="inlineStr">
        <is>
          <t>A 346-2023</t>
        </is>
      </c>
      <c r="B750" s="1" t="n">
        <v>44929</v>
      </c>
      <c r="C750" s="1" t="n">
        <v>45760</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343-2023</t>
        </is>
      </c>
      <c r="B751" s="1" t="n">
        <v>44929</v>
      </c>
      <c r="C751" s="1" t="n">
        <v>45760</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502-2023</t>
        </is>
      </c>
      <c r="B752" s="1" t="n">
        <v>44930</v>
      </c>
      <c r="C752" s="1" t="n">
        <v>45760</v>
      </c>
      <c r="D752" t="inlineStr">
        <is>
          <t>KALMAR LÄN</t>
        </is>
      </c>
      <c r="E752" t="inlineStr">
        <is>
          <t>VIMMERBY</t>
        </is>
      </c>
      <c r="G752" t="n">
        <v>5</v>
      </c>
      <c r="H752" t="n">
        <v>0</v>
      </c>
      <c r="I752" t="n">
        <v>0</v>
      </c>
      <c r="J752" t="n">
        <v>0</v>
      </c>
      <c r="K752" t="n">
        <v>0</v>
      </c>
      <c r="L752" t="n">
        <v>0</v>
      </c>
      <c r="M752" t="n">
        <v>0</v>
      </c>
      <c r="N752" t="n">
        <v>0</v>
      </c>
      <c r="O752" t="n">
        <v>0</v>
      </c>
      <c r="P752" t="n">
        <v>0</v>
      </c>
      <c r="Q752" t="n">
        <v>0</v>
      </c>
      <c r="R752" s="2" t="inlineStr"/>
    </row>
    <row r="753" ht="15" customHeight="1">
      <c r="A753" t="inlineStr">
        <is>
          <t>A 508-2023</t>
        </is>
      </c>
      <c r="B753" s="1" t="n">
        <v>44930</v>
      </c>
      <c r="C753" s="1" t="n">
        <v>45760</v>
      </c>
      <c r="D753" t="inlineStr">
        <is>
          <t>KALMAR LÄN</t>
        </is>
      </c>
      <c r="E753" t="inlineStr">
        <is>
          <t>VIMMERBY</t>
        </is>
      </c>
      <c r="G753" t="n">
        <v>2.3</v>
      </c>
      <c r="H753" t="n">
        <v>0</v>
      </c>
      <c r="I753" t="n">
        <v>0</v>
      </c>
      <c r="J753" t="n">
        <v>0</v>
      </c>
      <c r="K753" t="n">
        <v>0</v>
      </c>
      <c r="L753" t="n">
        <v>0</v>
      </c>
      <c r="M753" t="n">
        <v>0</v>
      </c>
      <c r="N753" t="n">
        <v>0</v>
      </c>
      <c r="O753" t="n">
        <v>0</v>
      </c>
      <c r="P753" t="n">
        <v>0</v>
      </c>
      <c r="Q753" t="n">
        <v>0</v>
      </c>
      <c r="R753" s="2" t="inlineStr"/>
    </row>
    <row r="754" ht="15" customHeight="1">
      <c r="A754" t="inlineStr">
        <is>
          <t>A 845-2023</t>
        </is>
      </c>
      <c r="B754" s="1" t="n">
        <v>44931</v>
      </c>
      <c r="C754" s="1" t="n">
        <v>45760</v>
      </c>
      <c r="D754" t="inlineStr">
        <is>
          <t>KALMAR LÄN</t>
        </is>
      </c>
      <c r="E754" t="inlineStr">
        <is>
          <t>VIMMERBY</t>
        </is>
      </c>
      <c r="F754" t="inlineStr">
        <is>
          <t>Övriga Aktiebolag</t>
        </is>
      </c>
      <c r="G754" t="n">
        <v>19</v>
      </c>
      <c r="H754" t="n">
        <v>0</v>
      </c>
      <c r="I754" t="n">
        <v>0</v>
      </c>
      <c r="J754" t="n">
        <v>0</v>
      </c>
      <c r="K754" t="n">
        <v>0</v>
      </c>
      <c r="L754" t="n">
        <v>0</v>
      </c>
      <c r="M754" t="n">
        <v>0</v>
      </c>
      <c r="N754" t="n">
        <v>0</v>
      </c>
      <c r="O754" t="n">
        <v>0</v>
      </c>
      <c r="P754" t="n">
        <v>0</v>
      </c>
      <c r="Q754" t="n">
        <v>0</v>
      </c>
      <c r="R754" s="2" t="inlineStr"/>
    </row>
    <row r="755" ht="15" customHeight="1">
      <c r="A755" t="inlineStr">
        <is>
          <t>A 1086-2023</t>
        </is>
      </c>
      <c r="B755" s="1" t="n">
        <v>44935</v>
      </c>
      <c r="C755" s="1" t="n">
        <v>45760</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1081-2023</t>
        </is>
      </c>
      <c r="B756" s="1" t="n">
        <v>44935</v>
      </c>
      <c r="C756" s="1" t="n">
        <v>45760</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1687-2023</t>
        </is>
      </c>
      <c r="B757" s="1" t="n">
        <v>44938</v>
      </c>
      <c r="C757" s="1" t="n">
        <v>45760</v>
      </c>
      <c r="D757" t="inlineStr">
        <is>
          <t>KALMAR LÄN</t>
        </is>
      </c>
      <c r="E757" t="inlineStr">
        <is>
          <t>VIMMERBY</t>
        </is>
      </c>
      <c r="F757" t="inlineStr">
        <is>
          <t>Kommuner</t>
        </is>
      </c>
      <c r="G757" t="n">
        <v>2.5</v>
      </c>
      <c r="H757" t="n">
        <v>0</v>
      </c>
      <c r="I757" t="n">
        <v>0</v>
      </c>
      <c r="J757" t="n">
        <v>0</v>
      </c>
      <c r="K757" t="n">
        <v>0</v>
      </c>
      <c r="L757" t="n">
        <v>0</v>
      </c>
      <c r="M757" t="n">
        <v>0</v>
      </c>
      <c r="N757" t="n">
        <v>0</v>
      </c>
      <c r="O757" t="n">
        <v>0</v>
      </c>
      <c r="P757" t="n">
        <v>0</v>
      </c>
      <c r="Q757" t="n">
        <v>0</v>
      </c>
      <c r="R757" s="2" t="inlineStr"/>
    </row>
    <row r="758" ht="15" customHeight="1">
      <c r="A758" t="inlineStr">
        <is>
          <t>A 1667-2023</t>
        </is>
      </c>
      <c r="B758" s="1" t="n">
        <v>44938</v>
      </c>
      <c r="C758" s="1" t="n">
        <v>45760</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1955-2023</t>
        </is>
      </c>
      <c r="B759" s="1" t="n">
        <v>44939</v>
      </c>
      <c r="C759" s="1" t="n">
        <v>45760</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2510-2023</t>
        </is>
      </c>
      <c r="B760" s="1" t="n">
        <v>44943</v>
      </c>
      <c r="C760" s="1" t="n">
        <v>45760</v>
      </c>
      <c r="D760" t="inlineStr">
        <is>
          <t>KALMAR LÄN</t>
        </is>
      </c>
      <c r="E760" t="inlineStr">
        <is>
          <t>VIMMERBY</t>
        </is>
      </c>
      <c r="G760" t="n">
        <v>8.6</v>
      </c>
      <c r="H760" t="n">
        <v>0</v>
      </c>
      <c r="I760" t="n">
        <v>0</v>
      </c>
      <c r="J760" t="n">
        <v>0</v>
      </c>
      <c r="K760" t="n">
        <v>0</v>
      </c>
      <c r="L760" t="n">
        <v>0</v>
      </c>
      <c r="M760" t="n">
        <v>0</v>
      </c>
      <c r="N760" t="n">
        <v>0</v>
      </c>
      <c r="O760" t="n">
        <v>0</v>
      </c>
      <c r="P760" t="n">
        <v>0</v>
      </c>
      <c r="Q760" t="n">
        <v>0</v>
      </c>
      <c r="R760" s="2" t="inlineStr"/>
    </row>
    <row r="761" ht="15" customHeight="1">
      <c r="A761" t="inlineStr">
        <is>
          <t>A 2536-2023</t>
        </is>
      </c>
      <c r="B761" s="1" t="n">
        <v>44943</v>
      </c>
      <c r="C761" s="1" t="n">
        <v>45760</v>
      </c>
      <c r="D761" t="inlineStr">
        <is>
          <t>KALMAR LÄN</t>
        </is>
      </c>
      <c r="E761" t="inlineStr">
        <is>
          <t>VIMMERBY</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2799-2023</t>
        </is>
      </c>
      <c r="B762" s="1" t="n">
        <v>44944</v>
      </c>
      <c r="C762" s="1" t="n">
        <v>45760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2797-2023</t>
        </is>
      </c>
      <c r="B763" s="1" t="n">
        <v>44944</v>
      </c>
      <c r="C763" s="1" t="n">
        <v>45760</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2801-2023</t>
        </is>
      </c>
      <c r="B764" s="1" t="n">
        <v>44944</v>
      </c>
      <c r="C764" s="1" t="n">
        <v>45760</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3331-2023</t>
        </is>
      </c>
      <c r="B765" s="1" t="n">
        <v>44949</v>
      </c>
      <c r="C765" s="1" t="n">
        <v>45760</v>
      </c>
      <c r="D765" t="inlineStr">
        <is>
          <t>KALMAR LÄN</t>
        </is>
      </c>
      <c r="E765" t="inlineStr">
        <is>
          <t>VIMMERBY</t>
        </is>
      </c>
      <c r="G765" t="n">
        <v>6.2</v>
      </c>
      <c r="H765" t="n">
        <v>0</v>
      </c>
      <c r="I765" t="n">
        <v>0</v>
      </c>
      <c r="J765" t="n">
        <v>0</v>
      </c>
      <c r="K765" t="n">
        <v>0</v>
      </c>
      <c r="L765" t="n">
        <v>0</v>
      </c>
      <c r="M765" t="n">
        <v>0</v>
      </c>
      <c r="N765" t="n">
        <v>0</v>
      </c>
      <c r="O765" t="n">
        <v>0</v>
      </c>
      <c r="P765" t="n">
        <v>0</v>
      </c>
      <c r="Q765" t="n">
        <v>0</v>
      </c>
      <c r="R765" s="2" t="inlineStr"/>
    </row>
    <row r="766" ht="15" customHeight="1">
      <c r="A766" t="inlineStr">
        <is>
          <t>A 3494-2023</t>
        </is>
      </c>
      <c r="B766" s="1" t="n">
        <v>44949</v>
      </c>
      <c r="C766" s="1" t="n">
        <v>45760</v>
      </c>
      <c r="D766" t="inlineStr">
        <is>
          <t>KALMAR LÄN</t>
        </is>
      </c>
      <c r="E766" t="inlineStr">
        <is>
          <t>VIMMERBY</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3587-2023</t>
        </is>
      </c>
      <c r="B767" s="1" t="n">
        <v>44950</v>
      </c>
      <c r="C767" s="1" t="n">
        <v>45760</v>
      </c>
      <c r="D767" t="inlineStr">
        <is>
          <t>KALMAR LÄN</t>
        </is>
      </c>
      <c r="E767" t="inlineStr">
        <is>
          <t>VIMMERBY</t>
        </is>
      </c>
      <c r="G767" t="n">
        <v>6.9</v>
      </c>
      <c r="H767" t="n">
        <v>0</v>
      </c>
      <c r="I767" t="n">
        <v>0</v>
      </c>
      <c r="J767" t="n">
        <v>0</v>
      </c>
      <c r="K767" t="n">
        <v>0</v>
      </c>
      <c r="L767" t="n">
        <v>0</v>
      </c>
      <c r="M767" t="n">
        <v>0</v>
      </c>
      <c r="N767" t="n">
        <v>0</v>
      </c>
      <c r="O767" t="n">
        <v>0</v>
      </c>
      <c r="P767" t="n">
        <v>0</v>
      </c>
      <c r="Q767" t="n">
        <v>0</v>
      </c>
      <c r="R767" s="2" t="inlineStr"/>
    </row>
    <row r="768" ht="15" customHeight="1">
      <c r="A768" t="inlineStr">
        <is>
          <t>A 3938-2023</t>
        </is>
      </c>
      <c r="B768" s="1" t="n">
        <v>44952</v>
      </c>
      <c r="C768" s="1" t="n">
        <v>45760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3924-2023</t>
        </is>
      </c>
      <c r="B769" s="1" t="n">
        <v>44952</v>
      </c>
      <c r="C769" s="1" t="n">
        <v>45760</v>
      </c>
      <c r="D769" t="inlineStr">
        <is>
          <t>KALMAR LÄN</t>
        </is>
      </c>
      <c r="E769" t="inlineStr">
        <is>
          <t>VIMMERBY</t>
        </is>
      </c>
      <c r="G769" t="n">
        <v>4.7</v>
      </c>
      <c r="H769" t="n">
        <v>0</v>
      </c>
      <c r="I769" t="n">
        <v>0</v>
      </c>
      <c r="J769" t="n">
        <v>0</v>
      </c>
      <c r="K769" t="n">
        <v>0</v>
      </c>
      <c r="L769" t="n">
        <v>0</v>
      </c>
      <c r="M769" t="n">
        <v>0</v>
      </c>
      <c r="N769" t="n">
        <v>0</v>
      </c>
      <c r="O769" t="n">
        <v>0</v>
      </c>
      <c r="P769" t="n">
        <v>0</v>
      </c>
      <c r="Q769" t="n">
        <v>0</v>
      </c>
      <c r="R769" s="2" t="inlineStr"/>
    </row>
    <row r="770" ht="15" customHeight="1">
      <c r="A770" t="inlineStr">
        <is>
          <t>A 4527-2023</t>
        </is>
      </c>
      <c r="B770" s="1" t="n">
        <v>44956</v>
      </c>
      <c r="C770" s="1" t="n">
        <v>45760</v>
      </c>
      <c r="D770" t="inlineStr">
        <is>
          <t>KALMAR LÄN</t>
        </is>
      </c>
      <c r="E770" t="inlineStr">
        <is>
          <t>VIMMERBY</t>
        </is>
      </c>
      <c r="F770" t="inlineStr">
        <is>
          <t>Kommuner</t>
        </is>
      </c>
      <c r="G770" t="n">
        <v>8.5</v>
      </c>
      <c r="H770" t="n">
        <v>0</v>
      </c>
      <c r="I770" t="n">
        <v>0</v>
      </c>
      <c r="J770" t="n">
        <v>0</v>
      </c>
      <c r="K770" t="n">
        <v>0</v>
      </c>
      <c r="L770" t="n">
        <v>0</v>
      </c>
      <c r="M770" t="n">
        <v>0</v>
      </c>
      <c r="N770" t="n">
        <v>0</v>
      </c>
      <c r="O770" t="n">
        <v>0</v>
      </c>
      <c r="P770" t="n">
        <v>0</v>
      </c>
      <c r="Q770" t="n">
        <v>0</v>
      </c>
      <c r="R770" s="2" t="inlineStr"/>
    </row>
    <row r="771" ht="15" customHeight="1">
      <c r="A771" t="inlineStr">
        <is>
          <t>A 5074-2023</t>
        </is>
      </c>
      <c r="B771" s="1" t="n">
        <v>44958</v>
      </c>
      <c r="C771" s="1" t="n">
        <v>45760</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5342-2023</t>
        </is>
      </c>
      <c r="B772" s="1" t="n">
        <v>44959</v>
      </c>
      <c r="C772" s="1" t="n">
        <v>45760</v>
      </c>
      <c r="D772" t="inlineStr">
        <is>
          <t>KALMAR LÄN</t>
        </is>
      </c>
      <c r="E772" t="inlineStr">
        <is>
          <t>VIMMERBY</t>
        </is>
      </c>
      <c r="G772" t="n">
        <v>1.5</v>
      </c>
      <c r="H772" t="n">
        <v>0</v>
      </c>
      <c r="I772" t="n">
        <v>0</v>
      </c>
      <c r="J772" t="n">
        <v>0</v>
      </c>
      <c r="K772" t="n">
        <v>0</v>
      </c>
      <c r="L772" t="n">
        <v>0</v>
      </c>
      <c r="M772" t="n">
        <v>0</v>
      </c>
      <c r="N772" t="n">
        <v>0</v>
      </c>
      <c r="O772" t="n">
        <v>0</v>
      </c>
      <c r="P772" t="n">
        <v>0</v>
      </c>
      <c r="Q772" t="n">
        <v>0</v>
      </c>
      <c r="R772" s="2" t="inlineStr"/>
    </row>
    <row r="773" ht="15" customHeight="1">
      <c r="A773" t="inlineStr">
        <is>
          <t>A 5382-2023</t>
        </is>
      </c>
      <c r="B773" s="1" t="n">
        <v>44959</v>
      </c>
      <c r="C773" s="1" t="n">
        <v>45760</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5720-2023</t>
        </is>
      </c>
      <c r="B774" s="1" t="n">
        <v>44961</v>
      </c>
      <c r="C774" s="1" t="n">
        <v>45760</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5792-2023</t>
        </is>
      </c>
      <c r="B775" s="1" t="n">
        <v>44963</v>
      </c>
      <c r="C775" s="1" t="n">
        <v>45760</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6028-2023</t>
        </is>
      </c>
      <c r="B776" s="1" t="n">
        <v>44964</v>
      </c>
      <c r="C776" s="1" t="n">
        <v>45760</v>
      </c>
      <c r="D776" t="inlineStr">
        <is>
          <t>KALMAR LÄN</t>
        </is>
      </c>
      <c r="E776" t="inlineStr">
        <is>
          <t>VIMMERBY</t>
        </is>
      </c>
      <c r="G776" t="n">
        <v>2.5</v>
      </c>
      <c r="H776" t="n">
        <v>0</v>
      </c>
      <c r="I776" t="n">
        <v>0</v>
      </c>
      <c r="J776" t="n">
        <v>0</v>
      </c>
      <c r="K776" t="n">
        <v>0</v>
      </c>
      <c r="L776" t="n">
        <v>0</v>
      </c>
      <c r="M776" t="n">
        <v>0</v>
      </c>
      <c r="N776" t="n">
        <v>0</v>
      </c>
      <c r="O776" t="n">
        <v>0</v>
      </c>
      <c r="P776" t="n">
        <v>0</v>
      </c>
      <c r="Q776" t="n">
        <v>0</v>
      </c>
      <c r="R776" s="2" t="inlineStr"/>
    </row>
    <row r="777" ht="15" customHeight="1">
      <c r="A777" t="inlineStr">
        <is>
          <t>A 6066-2023</t>
        </is>
      </c>
      <c r="B777" s="1" t="n">
        <v>44964</v>
      </c>
      <c r="C777" s="1" t="n">
        <v>45760</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6017-2023</t>
        </is>
      </c>
      <c r="B778" s="1" t="n">
        <v>44964</v>
      </c>
      <c r="C778" s="1" t="n">
        <v>45760</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6368-2023</t>
        </is>
      </c>
      <c r="B779" s="1" t="n">
        <v>44965</v>
      </c>
      <c r="C779" s="1" t="n">
        <v>45760</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6321-2023</t>
        </is>
      </c>
      <c r="B780" s="1" t="n">
        <v>44965</v>
      </c>
      <c r="C780" s="1" t="n">
        <v>45760</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6660-2023</t>
        </is>
      </c>
      <c r="B781" s="1" t="n">
        <v>44966</v>
      </c>
      <c r="C781" s="1" t="n">
        <v>45760</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6574-2023</t>
        </is>
      </c>
      <c r="B782" s="1" t="n">
        <v>44966</v>
      </c>
      <c r="C782" s="1" t="n">
        <v>45760</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6662-2023</t>
        </is>
      </c>
      <c r="B783" s="1" t="n">
        <v>44966</v>
      </c>
      <c r="C783" s="1" t="n">
        <v>45760</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6668-2023</t>
        </is>
      </c>
      <c r="B784" s="1" t="n">
        <v>44966</v>
      </c>
      <c r="C784" s="1" t="n">
        <v>45760</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6538-2023</t>
        </is>
      </c>
      <c r="B785" s="1" t="n">
        <v>44966</v>
      </c>
      <c r="C785" s="1" t="n">
        <v>45760</v>
      </c>
      <c r="D785" t="inlineStr">
        <is>
          <t>KALMAR LÄN</t>
        </is>
      </c>
      <c r="E785" t="inlineStr">
        <is>
          <t>VIMMERBY</t>
        </is>
      </c>
      <c r="G785" t="n">
        <v>4.5</v>
      </c>
      <c r="H785" t="n">
        <v>0</v>
      </c>
      <c r="I785" t="n">
        <v>0</v>
      </c>
      <c r="J785" t="n">
        <v>0</v>
      </c>
      <c r="K785" t="n">
        <v>0</v>
      </c>
      <c r="L785" t="n">
        <v>0</v>
      </c>
      <c r="M785" t="n">
        <v>0</v>
      </c>
      <c r="N785" t="n">
        <v>0</v>
      </c>
      <c r="O785" t="n">
        <v>0</v>
      </c>
      <c r="P785" t="n">
        <v>0</v>
      </c>
      <c r="Q785" t="n">
        <v>0</v>
      </c>
      <c r="R785" s="2" t="inlineStr"/>
    </row>
    <row r="786" ht="15" customHeight="1">
      <c r="A786" t="inlineStr">
        <is>
          <t>A 6857-2023</t>
        </is>
      </c>
      <c r="B786" s="1" t="n">
        <v>44967</v>
      </c>
      <c r="C786" s="1" t="n">
        <v>45760</v>
      </c>
      <c r="D786" t="inlineStr">
        <is>
          <t>KALMAR LÄN</t>
        </is>
      </c>
      <c r="E786" t="inlineStr">
        <is>
          <t>VIMMERBY</t>
        </is>
      </c>
      <c r="G786" t="n">
        <v>2.1</v>
      </c>
      <c r="H786" t="n">
        <v>0</v>
      </c>
      <c r="I786" t="n">
        <v>0</v>
      </c>
      <c r="J786" t="n">
        <v>0</v>
      </c>
      <c r="K786" t="n">
        <v>0</v>
      </c>
      <c r="L786" t="n">
        <v>0</v>
      </c>
      <c r="M786" t="n">
        <v>0</v>
      </c>
      <c r="N786" t="n">
        <v>0</v>
      </c>
      <c r="O786" t="n">
        <v>0</v>
      </c>
      <c r="P786" t="n">
        <v>0</v>
      </c>
      <c r="Q786" t="n">
        <v>0</v>
      </c>
      <c r="R786" s="2" t="inlineStr"/>
    </row>
    <row r="787" ht="15" customHeight="1">
      <c r="A787" t="inlineStr">
        <is>
          <t>A 6850-2023</t>
        </is>
      </c>
      <c r="B787" s="1" t="n">
        <v>44967</v>
      </c>
      <c r="C787" s="1" t="n">
        <v>45760</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7454-2023</t>
        </is>
      </c>
      <c r="B788" s="1" t="n">
        <v>44971</v>
      </c>
      <c r="C788" s="1" t="n">
        <v>45760</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7557-2023</t>
        </is>
      </c>
      <c r="B789" s="1" t="n">
        <v>44972</v>
      </c>
      <c r="C789" s="1" t="n">
        <v>45760</v>
      </c>
      <c r="D789" t="inlineStr">
        <is>
          <t>KALMAR LÄN</t>
        </is>
      </c>
      <c r="E789" t="inlineStr">
        <is>
          <t>VIMMERBY</t>
        </is>
      </c>
      <c r="G789" t="n">
        <v>4.6</v>
      </c>
      <c r="H789" t="n">
        <v>0</v>
      </c>
      <c r="I789" t="n">
        <v>0</v>
      </c>
      <c r="J789" t="n">
        <v>0</v>
      </c>
      <c r="K789" t="n">
        <v>0</v>
      </c>
      <c r="L789" t="n">
        <v>0</v>
      </c>
      <c r="M789" t="n">
        <v>0</v>
      </c>
      <c r="N789" t="n">
        <v>0</v>
      </c>
      <c r="O789" t="n">
        <v>0</v>
      </c>
      <c r="P789" t="n">
        <v>0</v>
      </c>
      <c r="Q789" t="n">
        <v>0</v>
      </c>
      <c r="R789" s="2" t="inlineStr"/>
    </row>
    <row r="790" ht="15" customHeight="1">
      <c r="A790" t="inlineStr">
        <is>
          <t>A 7594-2023</t>
        </is>
      </c>
      <c r="B790" s="1" t="n">
        <v>44972</v>
      </c>
      <c r="C790" s="1" t="n">
        <v>45760</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7797-2023</t>
        </is>
      </c>
      <c r="B791" s="1" t="n">
        <v>44973</v>
      </c>
      <c r="C791" s="1" t="n">
        <v>45760</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7883-2023</t>
        </is>
      </c>
      <c r="B792" s="1" t="n">
        <v>44973</v>
      </c>
      <c r="C792" s="1" t="n">
        <v>45760</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7885-2023</t>
        </is>
      </c>
      <c r="B793" s="1" t="n">
        <v>44973</v>
      </c>
      <c r="C793" s="1" t="n">
        <v>45760</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8219-2023</t>
        </is>
      </c>
      <c r="B794" s="1" t="n">
        <v>44974</v>
      </c>
      <c r="C794" s="1" t="n">
        <v>45760</v>
      </c>
      <c r="D794" t="inlineStr">
        <is>
          <t>KALMAR LÄN</t>
        </is>
      </c>
      <c r="E794" t="inlineStr">
        <is>
          <t>VIMMERBY</t>
        </is>
      </c>
      <c r="F794" t="inlineStr">
        <is>
          <t>Sveaskog</t>
        </is>
      </c>
      <c r="G794" t="n">
        <v>6.1</v>
      </c>
      <c r="H794" t="n">
        <v>0</v>
      </c>
      <c r="I794" t="n">
        <v>0</v>
      </c>
      <c r="J794" t="n">
        <v>0</v>
      </c>
      <c r="K794" t="n">
        <v>0</v>
      </c>
      <c r="L794" t="n">
        <v>0</v>
      </c>
      <c r="M794" t="n">
        <v>0</v>
      </c>
      <c r="N794" t="n">
        <v>0</v>
      </c>
      <c r="O794" t="n">
        <v>0</v>
      </c>
      <c r="P794" t="n">
        <v>0</v>
      </c>
      <c r="Q794" t="n">
        <v>0</v>
      </c>
      <c r="R794" s="2" t="inlineStr"/>
    </row>
    <row r="795" ht="15" customHeight="1">
      <c r="A795" t="inlineStr">
        <is>
          <t>A 8410-2023</t>
        </is>
      </c>
      <c r="B795" s="1" t="n">
        <v>44977</v>
      </c>
      <c r="C795" s="1" t="n">
        <v>45760</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9024-2023</t>
        </is>
      </c>
      <c r="B796" s="1" t="n">
        <v>44979</v>
      </c>
      <c r="C796" s="1" t="n">
        <v>45760</v>
      </c>
      <c r="D796" t="inlineStr">
        <is>
          <t>KALMAR LÄN</t>
        </is>
      </c>
      <c r="E796" t="inlineStr">
        <is>
          <t>VIMMERBY</t>
        </is>
      </c>
      <c r="G796" t="n">
        <v>5.2</v>
      </c>
      <c r="H796" t="n">
        <v>0</v>
      </c>
      <c r="I796" t="n">
        <v>0</v>
      </c>
      <c r="J796" t="n">
        <v>0</v>
      </c>
      <c r="K796" t="n">
        <v>0</v>
      </c>
      <c r="L796" t="n">
        <v>0</v>
      </c>
      <c r="M796" t="n">
        <v>0</v>
      </c>
      <c r="N796" t="n">
        <v>0</v>
      </c>
      <c r="O796" t="n">
        <v>0</v>
      </c>
      <c r="P796" t="n">
        <v>0</v>
      </c>
      <c r="Q796" t="n">
        <v>0</v>
      </c>
      <c r="R796" s="2" t="inlineStr"/>
    </row>
    <row r="797" ht="15" customHeight="1">
      <c r="A797" t="inlineStr">
        <is>
          <t>A 9113-2023</t>
        </is>
      </c>
      <c r="B797" s="1" t="n">
        <v>44979</v>
      </c>
      <c r="C797" s="1" t="n">
        <v>45760</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9475-2023</t>
        </is>
      </c>
      <c r="B798" s="1" t="n">
        <v>44981</v>
      </c>
      <c r="C798" s="1" t="n">
        <v>45760</v>
      </c>
      <c r="D798" t="inlineStr">
        <is>
          <t>KALMAR LÄN</t>
        </is>
      </c>
      <c r="E798" t="inlineStr">
        <is>
          <t>VIMMERBY</t>
        </is>
      </c>
      <c r="G798" t="n">
        <v>2</v>
      </c>
      <c r="H798" t="n">
        <v>0</v>
      </c>
      <c r="I798" t="n">
        <v>0</v>
      </c>
      <c r="J798" t="n">
        <v>0</v>
      </c>
      <c r="K798" t="n">
        <v>0</v>
      </c>
      <c r="L798" t="n">
        <v>0</v>
      </c>
      <c r="M798" t="n">
        <v>0</v>
      </c>
      <c r="N798" t="n">
        <v>0</v>
      </c>
      <c r="O798" t="n">
        <v>0</v>
      </c>
      <c r="P798" t="n">
        <v>0</v>
      </c>
      <c r="Q798" t="n">
        <v>0</v>
      </c>
      <c r="R798" s="2" t="inlineStr"/>
    </row>
    <row r="799" ht="15" customHeight="1">
      <c r="A799" t="inlineStr">
        <is>
          <t>A 9511-2023</t>
        </is>
      </c>
      <c r="B799" s="1" t="n">
        <v>44981</v>
      </c>
      <c r="C799" s="1" t="n">
        <v>45760</v>
      </c>
      <c r="D799" t="inlineStr">
        <is>
          <t>KALMAR LÄN</t>
        </is>
      </c>
      <c r="E799" t="inlineStr">
        <is>
          <t>VIMMERBY</t>
        </is>
      </c>
      <c r="G799" t="n">
        <v>3.5</v>
      </c>
      <c r="H799" t="n">
        <v>0</v>
      </c>
      <c r="I799" t="n">
        <v>0</v>
      </c>
      <c r="J799" t="n">
        <v>0</v>
      </c>
      <c r="K799" t="n">
        <v>0</v>
      </c>
      <c r="L799" t="n">
        <v>0</v>
      </c>
      <c r="M799" t="n">
        <v>0</v>
      </c>
      <c r="N799" t="n">
        <v>0</v>
      </c>
      <c r="O799" t="n">
        <v>0</v>
      </c>
      <c r="P799" t="n">
        <v>0</v>
      </c>
      <c r="Q799" t="n">
        <v>0</v>
      </c>
      <c r="R799" s="2" t="inlineStr"/>
    </row>
    <row r="800" ht="15" customHeight="1">
      <c r="A800" t="inlineStr">
        <is>
          <t>A 9644-2023</t>
        </is>
      </c>
      <c r="B800" s="1" t="n">
        <v>44984</v>
      </c>
      <c r="C800" s="1" t="n">
        <v>45760</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9694-2023</t>
        </is>
      </c>
      <c r="B801" s="1" t="n">
        <v>44984</v>
      </c>
      <c r="C801" s="1" t="n">
        <v>45760</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9710-2023</t>
        </is>
      </c>
      <c r="B802" s="1" t="n">
        <v>44984</v>
      </c>
      <c r="C802" s="1" t="n">
        <v>45760</v>
      </c>
      <c r="D802" t="inlineStr">
        <is>
          <t>KALMAR LÄN</t>
        </is>
      </c>
      <c r="E802" t="inlineStr">
        <is>
          <t>VIMMERBY</t>
        </is>
      </c>
      <c r="G802" t="n">
        <v>3.7</v>
      </c>
      <c r="H802" t="n">
        <v>0</v>
      </c>
      <c r="I802" t="n">
        <v>0</v>
      </c>
      <c r="J802" t="n">
        <v>0</v>
      </c>
      <c r="K802" t="n">
        <v>0</v>
      </c>
      <c r="L802" t="n">
        <v>0</v>
      </c>
      <c r="M802" t="n">
        <v>0</v>
      </c>
      <c r="N802" t="n">
        <v>0</v>
      </c>
      <c r="O802" t="n">
        <v>0</v>
      </c>
      <c r="P802" t="n">
        <v>0</v>
      </c>
      <c r="Q802" t="n">
        <v>0</v>
      </c>
      <c r="R802" s="2" t="inlineStr"/>
    </row>
    <row r="803" ht="15" customHeight="1">
      <c r="A803" t="inlineStr">
        <is>
          <t>A 9720-2023</t>
        </is>
      </c>
      <c r="B803" s="1" t="n">
        <v>44984</v>
      </c>
      <c r="C803" s="1" t="n">
        <v>45760</v>
      </c>
      <c r="D803" t="inlineStr">
        <is>
          <t>KALMAR LÄN</t>
        </is>
      </c>
      <c r="E803" t="inlineStr">
        <is>
          <t>VIMMERBY</t>
        </is>
      </c>
      <c r="G803" t="n">
        <v>4.4</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45760</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10444-2023</t>
        </is>
      </c>
      <c r="B805" s="1" t="n">
        <v>44987</v>
      </c>
      <c r="C805" s="1" t="n">
        <v>45760</v>
      </c>
      <c r="D805" t="inlineStr">
        <is>
          <t>KALMAR LÄN</t>
        </is>
      </c>
      <c r="E805" t="inlineStr">
        <is>
          <t>VIMMERBY</t>
        </is>
      </c>
      <c r="G805" t="n">
        <v>7.4</v>
      </c>
      <c r="H805" t="n">
        <v>0</v>
      </c>
      <c r="I805" t="n">
        <v>0</v>
      </c>
      <c r="J805" t="n">
        <v>0</v>
      </c>
      <c r="K805" t="n">
        <v>0</v>
      </c>
      <c r="L805" t="n">
        <v>0</v>
      </c>
      <c r="M805" t="n">
        <v>0</v>
      </c>
      <c r="N805" t="n">
        <v>0</v>
      </c>
      <c r="O805" t="n">
        <v>0</v>
      </c>
      <c r="P805" t="n">
        <v>0</v>
      </c>
      <c r="Q805" t="n">
        <v>0</v>
      </c>
      <c r="R805" s="2" t="inlineStr"/>
    </row>
    <row r="806" ht="15" customHeight="1">
      <c r="A806" t="inlineStr">
        <is>
          <t>A 10424-2023</t>
        </is>
      </c>
      <c r="B806" s="1" t="n">
        <v>44987</v>
      </c>
      <c r="C806" s="1" t="n">
        <v>45760</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10439-2023</t>
        </is>
      </c>
      <c r="B807" s="1" t="n">
        <v>44987</v>
      </c>
      <c r="C807" s="1" t="n">
        <v>45760</v>
      </c>
      <c r="D807" t="inlineStr">
        <is>
          <t>KALMAR LÄN</t>
        </is>
      </c>
      <c r="E807" t="inlineStr">
        <is>
          <t>VIMMERBY</t>
        </is>
      </c>
      <c r="G807" t="n">
        <v>2.9</v>
      </c>
      <c r="H807" t="n">
        <v>0</v>
      </c>
      <c r="I807" t="n">
        <v>0</v>
      </c>
      <c r="J807" t="n">
        <v>0</v>
      </c>
      <c r="K807" t="n">
        <v>0</v>
      </c>
      <c r="L807" t="n">
        <v>0</v>
      </c>
      <c r="M807" t="n">
        <v>0</v>
      </c>
      <c r="N807" t="n">
        <v>0</v>
      </c>
      <c r="O807" t="n">
        <v>0</v>
      </c>
      <c r="P807" t="n">
        <v>0</v>
      </c>
      <c r="Q807" t="n">
        <v>0</v>
      </c>
      <c r="R807" s="2" t="inlineStr"/>
    </row>
    <row r="808" ht="15" customHeight="1">
      <c r="A808" t="inlineStr">
        <is>
          <t>A 10759-2023</t>
        </is>
      </c>
      <c r="B808" s="1" t="n">
        <v>44988</v>
      </c>
      <c r="C808" s="1" t="n">
        <v>45760</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10800-2023</t>
        </is>
      </c>
      <c r="B809" s="1" t="n">
        <v>44989</v>
      </c>
      <c r="C809" s="1" t="n">
        <v>45760</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10821-2023</t>
        </is>
      </c>
      <c r="B810" s="1" t="n">
        <v>44990</v>
      </c>
      <c r="C810" s="1" t="n">
        <v>45760</v>
      </c>
      <c r="D810" t="inlineStr">
        <is>
          <t>KALMAR LÄN</t>
        </is>
      </c>
      <c r="E810" t="inlineStr">
        <is>
          <t>VIMMERBY</t>
        </is>
      </c>
      <c r="G810" t="n">
        <v>4.3</v>
      </c>
      <c r="H810" t="n">
        <v>0</v>
      </c>
      <c r="I810" t="n">
        <v>0</v>
      </c>
      <c r="J810" t="n">
        <v>0</v>
      </c>
      <c r="K810" t="n">
        <v>0</v>
      </c>
      <c r="L810" t="n">
        <v>0</v>
      </c>
      <c r="M810" t="n">
        <v>0</v>
      </c>
      <c r="N810" t="n">
        <v>0</v>
      </c>
      <c r="O810" t="n">
        <v>0</v>
      </c>
      <c r="P810" t="n">
        <v>0</v>
      </c>
      <c r="Q810" t="n">
        <v>0</v>
      </c>
      <c r="R810" s="2" t="inlineStr"/>
    </row>
    <row r="811" ht="15" customHeight="1">
      <c r="A811" t="inlineStr">
        <is>
          <t>A 10837-2023</t>
        </is>
      </c>
      <c r="B811" s="1" t="n">
        <v>44991</v>
      </c>
      <c r="C811" s="1" t="n">
        <v>45760</v>
      </c>
      <c r="D811" t="inlineStr">
        <is>
          <t>KALMAR LÄN</t>
        </is>
      </c>
      <c r="E811" t="inlineStr">
        <is>
          <t>VIMMERBY</t>
        </is>
      </c>
      <c r="G811" t="n">
        <v>7.3</v>
      </c>
      <c r="H811" t="n">
        <v>0</v>
      </c>
      <c r="I811" t="n">
        <v>0</v>
      </c>
      <c r="J811" t="n">
        <v>0</v>
      </c>
      <c r="K811" t="n">
        <v>0</v>
      </c>
      <c r="L811" t="n">
        <v>0</v>
      </c>
      <c r="M811" t="n">
        <v>0</v>
      </c>
      <c r="N811" t="n">
        <v>0</v>
      </c>
      <c r="O811" t="n">
        <v>0</v>
      </c>
      <c r="P811" t="n">
        <v>0</v>
      </c>
      <c r="Q811" t="n">
        <v>0</v>
      </c>
      <c r="R811" s="2" t="inlineStr"/>
    </row>
    <row r="812" ht="15" customHeight="1">
      <c r="A812" t="inlineStr">
        <is>
          <t>A 10835-2023</t>
        </is>
      </c>
      <c r="B812" s="1" t="n">
        <v>44991</v>
      </c>
      <c r="C812" s="1" t="n">
        <v>45760</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10838-2023</t>
        </is>
      </c>
      <c r="B813" s="1" t="n">
        <v>44991</v>
      </c>
      <c r="C813" s="1" t="n">
        <v>45760</v>
      </c>
      <c r="D813" t="inlineStr">
        <is>
          <t>KALMAR LÄN</t>
        </is>
      </c>
      <c r="E813" t="inlineStr">
        <is>
          <t>VIMMERBY</t>
        </is>
      </c>
      <c r="G813" t="n">
        <v>5.1</v>
      </c>
      <c r="H813" t="n">
        <v>0</v>
      </c>
      <c r="I813" t="n">
        <v>0</v>
      </c>
      <c r="J813" t="n">
        <v>0</v>
      </c>
      <c r="K813" t="n">
        <v>0</v>
      </c>
      <c r="L813" t="n">
        <v>0</v>
      </c>
      <c r="M813" t="n">
        <v>0</v>
      </c>
      <c r="N813" t="n">
        <v>0</v>
      </c>
      <c r="O813" t="n">
        <v>0</v>
      </c>
      <c r="P813" t="n">
        <v>0</v>
      </c>
      <c r="Q813" t="n">
        <v>0</v>
      </c>
      <c r="R813" s="2" t="inlineStr"/>
    </row>
    <row r="814" ht="15" customHeight="1">
      <c r="A814" t="inlineStr">
        <is>
          <t>A 11027-2023</t>
        </is>
      </c>
      <c r="B814" s="1" t="n">
        <v>44991</v>
      </c>
      <c r="C814" s="1" t="n">
        <v>45760</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11076-2023</t>
        </is>
      </c>
      <c r="B815" s="1" t="n">
        <v>44992</v>
      </c>
      <c r="C815" s="1" t="n">
        <v>45760</v>
      </c>
      <c r="D815" t="inlineStr">
        <is>
          <t>KALMAR LÄN</t>
        </is>
      </c>
      <c r="E815" t="inlineStr">
        <is>
          <t>VIMMERBY</t>
        </is>
      </c>
      <c r="G815" t="n">
        <v>6.1</v>
      </c>
      <c r="H815" t="n">
        <v>0</v>
      </c>
      <c r="I815" t="n">
        <v>0</v>
      </c>
      <c r="J815" t="n">
        <v>0</v>
      </c>
      <c r="K815" t="n">
        <v>0</v>
      </c>
      <c r="L815" t="n">
        <v>0</v>
      </c>
      <c r="M815" t="n">
        <v>0</v>
      </c>
      <c r="N815" t="n">
        <v>0</v>
      </c>
      <c r="O815" t="n">
        <v>0</v>
      </c>
      <c r="P815" t="n">
        <v>0</v>
      </c>
      <c r="Q815" t="n">
        <v>0</v>
      </c>
      <c r="R815" s="2" t="inlineStr"/>
    </row>
    <row r="816" ht="15" customHeight="1">
      <c r="A816" t="inlineStr">
        <is>
          <t>A 11073-2023</t>
        </is>
      </c>
      <c r="B816" s="1" t="n">
        <v>44992</v>
      </c>
      <c r="C816" s="1" t="n">
        <v>45760</v>
      </c>
      <c r="D816" t="inlineStr">
        <is>
          <t>KALMAR LÄN</t>
        </is>
      </c>
      <c r="E816" t="inlineStr">
        <is>
          <t>VIMMERBY</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11147-2023</t>
        </is>
      </c>
      <c r="B817" s="1" t="n">
        <v>44992</v>
      </c>
      <c r="C817" s="1" t="n">
        <v>45760</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11111-2023</t>
        </is>
      </c>
      <c r="B818" s="1" t="n">
        <v>44992</v>
      </c>
      <c r="C818" s="1" t="n">
        <v>45760</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11152-2023</t>
        </is>
      </c>
      <c r="B819" s="1" t="n">
        <v>44992</v>
      </c>
      <c r="C819" s="1" t="n">
        <v>45760</v>
      </c>
      <c r="D819" t="inlineStr">
        <is>
          <t>KALMAR LÄN</t>
        </is>
      </c>
      <c r="E819" t="inlineStr">
        <is>
          <t>VIMMERBY</t>
        </is>
      </c>
      <c r="G819" t="n">
        <v>10.6</v>
      </c>
      <c r="H819" t="n">
        <v>0</v>
      </c>
      <c r="I819" t="n">
        <v>0</v>
      </c>
      <c r="J819" t="n">
        <v>0</v>
      </c>
      <c r="K819" t="n">
        <v>0</v>
      </c>
      <c r="L819" t="n">
        <v>0</v>
      </c>
      <c r="M819" t="n">
        <v>0</v>
      </c>
      <c r="N819" t="n">
        <v>0</v>
      </c>
      <c r="O819" t="n">
        <v>0</v>
      </c>
      <c r="P819" t="n">
        <v>0</v>
      </c>
      <c r="Q819" t="n">
        <v>0</v>
      </c>
      <c r="R819" s="2" t="inlineStr"/>
    </row>
    <row r="820" ht="15" customHeight="1">
      <c r="A820" t="inlineStr">
        <is>
          <t>A 11074-2023</t>
        </is>
      </c>
      <c r="B820" s="1" t="n">
        <v>44992</v>
      </c>
      <c r="C820" s="1" t="n">
        <v>45760</v>
      </c>
      <c r="D820" t="inlineStr">
        <is>
          <t>KALMAR LÄN</t>
        </is>
      </c>
      <c r="E820" t="inlineStr">
        <is>
          <t>VIMMERBY</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11219-2023</t>
        </is>
      </c>
      <c r="B821" s="1" t="n">
        <v>44992</v>
      </c>
      <c r="C821" s="1" t="n">
        <v>45760</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11416-2023</t>
        </is>
      </c>
      <c r="B822" s="1" t="n">
        <v>44993</v>
      </c>
      <c r="C822" s="1" t="n">
        <v>45760</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v>
      </c>
      <c r="C823" s="1" t="n">
        <v>45760</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11609-2023</t>
        </is>
      </c>
      <c r="B824" s="1" t="n">
        <v>44994</v>
      </c>
      <c r="C824" s="1" t="n">
        <v>45760</v>
      </c>
      <c r="D824" t="inlineStr">
        <is>
          <t>KALMAR LÄN</t>
        </is>
      </c>
      <c r="E824" t="inlineStr">
        <is>
          <t>VIMMERBY</t>
        </is>
      </c>
      <c r="G824" t="n">
        <v>4.9</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v>
      </c>
      <c r="C825" s="1" t="n">
        <v>45760</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12008-2023</t>
        </is>
      </c>
      <c r="B826" s="1" t="n">
        <v>44995</v>
      </c>
      <c r="C826" s="1" t="n">
        <v>45760</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11999-2023</t>
        </is>
      </c>
      <c r="B827" s="1" t="n">
        <v>44995</v>
      </c>
      <c r="C827" s="1" t="n">
        <v>45760</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12012-2023</t>
        </is>
      </c>
      <c r="B828" s="1" t="n">
        <v>44995</v>
      </c>
      <c r="C828" s="1" t="n">
        <v>45760</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12010-2023</t>
        </is>
      </c>
      <c r="B829" s="1" t="n">
        <v>44995</v>
      </c>
      <c r="C829" s="1" t="n">
        <v>45760</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12325-2023</t>
        </is>
      </c>
      <c r="B830" s="1" t="n">
        <v>44999</v>
      </c>
      <c r="C830" s="1" t="n">
        <v>45760</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12327-2023</t>
        </is>
      </c>
      <c r="B831" s="1" t="n">
        <v>44999</v>
      </c>
      <c r="C831" s="1" t="n">
        <v>45760</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12499-2023</t>
        </is>
      </c>
      <c r="B832" s="1" t="n">
        <v>44999</v>
      </c>
      <c r="C832" s="1" t="n">
        <v>45760</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12500-2023</t>
        </is>
      </c>
      <c r="B833" s="1" t="n">
        <v>44999</v>
      </c>
      <c r="C833" s="1" t="n">
        <v>45760</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12630-2023</t>
        </is>
      </c>
      <c r="B834" s="1" t="n">
        <v>45000</v>
      </c>
      <c r="C834" s="1" t="n">
        <v>45760</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12692-2023</t>
        </is>
      </c>
      <c r="B835" s="1" t="n">
        <v>45000</v>
      </c>
      <c r="C835" s="1" t="n">
        <v>45760</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12810-2023</t>
        </is>
      </c>
      <c r="B836" s="1" t="n">
        <v>45001</v>
      </c>
      <c r="C836" s="1" t="n">
        <v>45760</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12890-2023</t>
        </is>
      </c>
      <c r="B837" s="1" t="n">
        <v>45001</v>
      </c>
      <c r="C837" s="1" t="n">
        <v>45760</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13015-2023</t>
        </is>
      </c>
      <c r="B838" s="1" t="n">
        <v>45002</v>
      </c>
      <c r="C838" s="1" t="n">
        <v>45760</v>
      </c>
      <c r="D838" t="inlineStr">
        <is>
          <t>KALMAR LÄN</t>
        </is>
      </c>
      <c r="E838" t="inlineStr">
        <is>
          <t>VIMMERBY</t>
        </is>
      </c>
      <c r="G838" t="n">
        <v>3.2</v>
      </c>
      <c r="H838" t="n">
        <v>0</v>
      </c>
      <c r="I838" t="n">
        <v>0</v>
      </c>
      <c r="J838" t="n">
        <v>0</v>
      </c>
      <c r="K838" t="n">
        <v>0</v>
      </c>
      <c r="L838" t="n">
        <v>0</v>
      </c>
      <c r="M838" t="n">
        <v>0</v>
      </c>
      <c r="N838" t="n">
        <v>0</v>
      </c>
      <c r="O838" t="n">
        <v>0</v>
      </c>
      <c r="P838" t="n">
        <v>0</v>
      </c>
      <c r="Q838" t="n">
        <v>0</v>
      </c>
      <c r="R838" s="2" t="inlineStr"/>
    </row>
    <row r="839" ht="15" customHeight="1">
      <c r="A839" t="inlineStr">
        <is>
          <t>A 13462-2023</t>
        </is>
      </c>
      <c r="B839" s="1" t="n">
        <v>45005</v>
      </c>
      <c r="C839" s="1" t="n">
        <v>45760</v>
      </c>
      <c r="D839" t="inlineStr">
        <is>
          <t>KALMAR LÄN</t>
        </is>
      </c>
      <c r="E839" t="inlineStr">
        <is>
          <t>VIMMERBY</t>
        </is>
      </c>
      <c r="G839" t="n">
        <v>1.9</v>
      </c>
      <c r="H839" t="n">
        <v>0</v>
      </c>
      <c r="I839" t="n">
        <v>0</v>
      </c>
      <c r="J839" t="n">
        <v>0</v>
      </c>
      <c r="K839" t="n">
        <v>0</v>
      </c>
      <c r="L839" t="n">
        <v>0</v>
      </c>
      <c r="M839" t="n">
        <v>0</v>
      </c>
      <c r="N839" t="n">
        <v>0</v>
      </c>
      <c r="O839" t="n">
        <v>0</v>
      </c>
      <c r="P839" t="n">
        <v>0</v>
      </c>
      <c r="Q839" t="n">
        <v>0</v>
      </c>
      <c r="R839" s="2" t="inlineStr"/>
    </row>
    <row r="840" ht="15" customHeight="1">
      <c r="A840" t="inlineStr">
        <is>
          <t>A 13797-2023</t>
        </is>
      </c>
      <c r="B840" s="1" t="n">
        <v>45007</v>
      </c>
      <c r="C840" s="1" t="n">
        <v>45760</v>
      </c>
      <c r="D840" t="inlineStr">
        <is>
          <t>KALMAR LÄN</t>
        </is>
      </c>
      <c r="E840" t="inlineStr">
        <is>
          <t>VIMMERBY</t>
        </is>
      </c>
      <c r="G840" t="n">
        <v>2.2</v>
      </c>
      <c r="H840" t="n">
        <v>0</v>
      </c>
      <c r="I840" t="n">
        <v>0</v>
      </c>
      <c r="J840" t="n">
        <v>0</v>
      </c>
      <c r="K840" t="n">
        <v>0</v>
      </c>
      <c r="L840" t="n">
        <v>0</v>
      </c>
      <c r="M840" t="n">
        <v>0</v>
      </c>
      <c r="N840" t="n">
        <v>0</v>
      </c>
      <c r="O840" t="n">
        <v>0</v>
      </c>
      <c r="P840" t="n">
        <v>0</v>
      </c>
      <c r="Q840" t="n">
        <v>0</v>
      </c>
      <c r="R840" s="2" t="inlineStr"/>
    </row>
    <row r="841" ht="15" customHeight="1">
      <c r="A841" t="inlineStr">
        <is>
          <t>A 14025-2023</t>
        </is>
      </c>
      <c r="B841" s="1" t="n">
        <v>45008</v>
      </c>
      <c r="C841" s="1" t="n">
        <v>45760</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14132-2023</t>
        </is>
      </c>
      <c r="B842" s="1" t="n">
        <v>45009</v>
      </c>
      <c r="C842" s="1" t="n">
        <v>45760</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14137-2023</t>
        </is>
      </c>
      <c r="B843" s="1" t="n">
        <v>45009</v>
      </c>
      <c r="C843" s="1" t="n">
        <v>45760</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14142-2023</t>
        </is>
      </c>
      <c r="B844" s="1" t="n">
        <v>45009</v>
      </c>
      <c r="C844" s="1" t="n">
        <v>45760</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14248-2023</t>
        </is>
      </c>
      <c r="B845" s="1" t="n">
        <v>45009</v>
      </c>
      <c r="C845" s="1" t="n">
        <v>45760</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14440-2023</t>
        </is>
      </c>
      <c r="B846" s="1" t="n">
        <v>45012</v>
      </c>
      <c r="C846" s="1" t="n">
        <v>45760</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14438-2023</t>
        </is>
      </c>
      <c r="B847" s="1" t="n">
        <v>45012</v>
      </c>
      <c r="C847" s="1" t="n">
        <v>45760</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14996-2023</t>
        </is>
      </c>
      <c r="B848" s="1" t="n">
        <v>45014</v>
      </c>
      <c r="C848" s="1" t="n">
        <v>45760</v>
      </c>
      <c r="D848" t="inlineStr">
        <is>
          <t>KALMAR LÄN</t>
        </is>
      </c>
      <c r="E848" t="inlineStr">
        <is>
          <t>VIMMERBY</t>
        </is>
      </c>
      <c r="G848" t="n">
        <v>6.9</v>
      </c>
      <c r="H848" t="n">
        <v>0</v>
      </c>
      <c r="I848" t="n">
        <v>0</v>
      </c>
      <c r="J848" t="n">
        <v>0</v>
      </c>
      <c r="K848" t="n">
        <v>0</v>
      </c>
      <c r="L848" t="n">
        <v>0</v>
      </c>
      <c r="M848" t="n">
        <v>0</v>
      </c>
      <c r="N848" t="n">
        <v>0</v>
      </c>
      <c r="O848" t="n">
        <v>0</v>
      </c>
      <c r="P848" t="n">
        <v>0</v>
      </c>
      <c r="Q848" t="n">
        <v>0</v>
      </c>
      <c r="R848" s="2" t="inlineStr"/>
    </row>
    <row r="849" ht="15" customHeight="1">
      <c r="A849" t="inlineStr">
        <is>
          <t>A 15493-2023</t>
        </is>
      </c>
      <c r="B849" s="1" t="n">
        <v>45018</v>
      </c>
      <c r="C849" s="1" t="n">
        <v>45760</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15550-2023</t>
        </is>
      </c>
      <c r="B850" s="1" t="n">
        <v>45020</v>
      </c>
      <c r="C850" s="1" t="n">
        <v>45760</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15449-2023</t>
        </is>
      </c>
      <c r="B851" s="1" t="n">
        <v>45020</v>
      </c>
      <c r="C851" s="1" t="n">
        <v>45760</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15486-2023</t>
        </is>
      </c>
      <c r="B852" s="1" t="n">
        <v>45020</v>
      </c>
      <c r="C852" s="1" t="n">
        <v>45760</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15490-2023</t>
        </is>
      </c>
      <c r="B853" s="1" t="n">
        <v>45020</v>
      </c>
      <c r="C853" s="1" t="n">
        <v>45760</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15740-2023</t>
        </is>
      </c>
      <c r="B854" s="1" t="n">
        <v>45021</v>
      </c>
      <c r="C854" s="1" t="n">
        <v>45760</v>
      </c>
      <c r="D854" t="inlineStr">
        <is>
          <t>KALMAR LÄN</t>
        </is>
      </c>
      <c r="E854" t="inlineStr">
        <is>
          <t>VIMMERBY</t>
        </is>
      </c>
      <c r="G854" t="n">
        <v>1.9</v>
      </c>
      <c r="H854" t="n">
        <v>0</v>
      </c>
      <c r="I854" t="n">
        <v>0</v>
      </c>
      <c r="J854" t="n">
        <v>0</v>
      </c>
      <c r="K854" t="n">
        <v>0</v>
      </c>
      <c r="L854" t="n">
        <v>0</v>
      </c>
      <c r="M854" t="n">
        <v>0</v>
      </c>
      <c r="N854" t="n">
        <v>0</v>
      </c>
      <c r="O854" t="n">
        <v>0</v>
      </c>
      <c r="P854" t="n">
        <v>0</v>
      </c>
      <c r="Q854" t="n">
        <v>0</v>
      </c>
      <c r="R854" s="2" t="inlineStr"/>
    </row>
    <row r="855" ht="15" customHeight="1">
      <c r="A855" t="inlineStr">
        <is>
          <t>A 15993-2023</t>
        </is>
      </c>
      <c r="B855" s="1" t="n">
        <v>45023</v>
      </c>
      <c r="C855" s="1" t="n">
        <v>45760</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16020-2023</t>
        </is>
      </c>
      <c r="B856" s="1" t="n">
        <v>45026</v>
      </c>
      <c r="C856" s="1" t="n">
        <v>45760</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16119-2023</t>
        </is>
      </c>
      <c r="B857" s="1" t="n">
        <v>45027</v>
      </c>
      <c r="C857" s="1" t="n">
        <v>45760</v>
      </c>
      <c r="D857" t="inlineStr">
        <is>
          <t>KALMAR LÄN</t>
        </is>
      </c>
      <c r="E857" t="inlineStr">
        <is>
          <t>VIMMERBY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16676-2023</t>
        </is>
      </c>
      <c r="B858" s="1" t="n">
        <v>45028</v>
      </c>
      <c r="C858" s="1" t="n">
        <v>45760</v>
      </c>
      <c r="D858" t="inlineStr">
        <is>
          <t>KALMAR LÄN</t>
        </is>
      </c>
      <c r="E858" t="inlineStr">
        <is>
          <t>VIMMERBY</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16516-2023</t>
        </is>
      </c>
      <c r="B859" s="1" t="n">
        <v>45029</v>
      </c>
      <c r="C859" s="1" t="n">
        <v>45760</v>
      </c>
      <c r="D859" t="inlineStr">
        <is>
          <t>KALMAR LÄN</t>
        </is>
      </c>
      <c r="E859" t="inlineStr">
        <is>
          <t>VIMMERBY</t>
        </is>
      </c>
      <c r="G859" t="n">
        <v>4.3</v>
      </c>
      <c r="H859" t="n">
        <v>0</v>
      </c>
      <c r="I859" t="n">
        <v>0</v>
      </c>
      <c r="J859" t="n">
        <v>0</v>
      </c>
      <c r="K859" t="n">
        <v>0</v>
      </c>
      <c r="L859" t="n">
        <v>0</v>
      </c>
      <c r="M859" t="n">
        <v>0</v>
      </c>
      <c r="N859" t="n">
        <v>0</v>
      </c>
      <c r="O859" t="n">
        <v>0</v>
      </c>
      <c r="P859" t="n">
        <v>0</v>
      </c>
      <c r="Q859" t="n">
        <v>0</v>
      </c>
      <c r="R859" s="2" t="inlineStr"/>
    </row>
    <row r="860" ht="15" customHeight="1">
      <c r="A860" t="inlineStr">
        <is>
          <t>A 16734-2023</t>
        </is>
      </c>
      <c r="B860" s="1" t="n">
        <v>45030</v>
      </c>
      <c r="C860" s="1" t="n">
        <v>45760</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16750-2023</t>
        </is>
      </c>
      <c r="B861" s="1" t="n">
        <v>45030</v>
      </c>
      <c r="C861" s="1" t="n">
        <v>45760</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16927-2023</t>
        </is>
      </c>
      <c r="B862" s="1" t="n">
        <v>45033</v>
      </c>
      <c r="C862" s="1" t="n">
        <v>45760</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16983-2023</t>
        </is>
      </c>
      <c r="B863" s="1" t="n">
        <v>45033</v>
      </c>
      <c r="C863" s="1" t="n">
        <v>45760</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17758-2023</t>
        </is>
      </c>
      <c r="B864" s="1" t="n">
        <v>45037</v>
      </c>
      <c r="C864" s="1" t="n">
        <v>45760</v>
      </c>
      <c r="D864" t="inlineStr">
        <is>
          <t>KALMAR LÄN</t>
        </is>
      </c>
      <c r="E864" t="inlineStr">
        <is>
          <t>VIMMERBY</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17964-2023</t>
        </is>
      </c>
      <c r="B865" s="1" t="n">
        <v>45040</v>
      </c>
      <c r="C865" s="1" t="n">
        <v>45760</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18209-2023</t>
        </is>
      </c>
      <c r="B866" s="1" t="n">
        <v>45041</v>
      </c>
      <c r="C866" s="1" t="n">
        <v>45760</v>
      </c>
      <c r="D866" t="inlineStr">
        <is>
          <t>KALMAR LÄN</t>
        </is>
      </c>
      <c r="E866" t="inlineStr">
        <is>
          <t>VIMMERBY</t>
        </is>
      </c>
      <c r="G866" t="n">
        <v>2.6</v>
      </c>
      <c r="H866" t="n">
        <v>0</v>
      </c>
      <c r="I866" t="n">
        <v>0</v>
      </c>
      <c r="J866" t="n">
        <v>0</v>
      </c>
      <c r="K866" t="n">
        <v>0</v>
      </c>
      <c r="L866" t="n">
        <v>0</v>
      </c>
      <c r="M866" t="n">
        <v>0</v>
      </c>
      <c r="N866" t="n">
        <v>0</v>
      </c>
      <c r="O866" t="n">
        <v>0</v>
      </c>
      <c r="P866" t="n">
        <v>0</v>
      </c>
      <c r="Q866" t="n">
        <v>0</v>
      </c>
      <c r="R866" s="2" t="inlineStr"/>
    </row>
    <row r="867" ht="15" customHeight="1">
      <c r="A867" t="inlineStr">
        <is>
          <t>A 18330-2023</t>
        </is>
      </c>
      <c r="B867" s="1" t="n">
        <v>45041</v>
      </c>
      <c r="C867" s="1" t="n">
        <v>45760</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18329-2023</t>
        </is>
      </c>
      <c r="B868" s="1" t="n">
        <v>45041</v>
      </c>
      <c r="C868" s="1" t="n">
        <v>45760</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18328-2023</t>
        </is>
      </c>
      <c r="B869" s="1" t="n">
        <v>45041</v>
      </c>
      <c r="C869" s="1" t="n">
        <v>45760</v>
      </c>
      <c r="D869" t="inlineStr">
        <is>
          <t>KALMAR LÄN</t>
        </is>
      </c>
      <c r="E869" t="inlineStr">
        <is>
          <t>VIMMERBY</t>
        </is>
      </c>
      <c r="G869" t="n">
        <v>0.9</v>
      </c>
      <c r="H869" t="n">
        <v>0</v>
      </c>
      <c r="I869" t="n">
        <v>0</v>
      </c>
      <c r="J869" t="n">
        <v>0</v>
      </c>
      <c r="K869" t="n">
        <v>0</v>
      </c>
      <c r="L869" t="n">
        <v>0</v>
      </c>
      <c r="M869" t="n">
        <v>0</v>
      </c>
      <c r="N869" t="n">
        <v>0</v>
      </c>
      <c r="O869" t="n">
        <v>0</v>
      </c>
      <c r="P869" t="n">
        <v>0</v>
      </c>
      <c r="Q869" t="n">
        <v>0</v>
      </c>
      <c r="R869" s="2" t="inlineStr"/>
    </row>
    <row r="870" ht="15" customHeight="1">
      <c r="A870" t="inlineStr">
        <is>
          <t>A 18609-2023</t>
        </is>
      </c>
      <c r="B870" s="1" t="n">
        <v>45041</v>
      </c>
      <c r="C870" s="1" t="n">
        <v>45760</v>
      </c>
      <c r="D870" t="inlineStr">
        <is>
          <t>KALMAR LÄN</t>
        </is>
      </c>
      <c r="E870" t="inlineStr">
        <is>
          <t>VIMMERBY</t>
        </is>
      </c>
      <c r="G870" t="n">
        <v>3</v>
      </c>
      <c r="H870" t="n">
        <v>0</v>
      </c>
      <c r="I870" t="n">
        <v>0</v>
      </c>
      <c r="J870" t="n">
        <v>0</v>
      </c>
      <c r="K870" t="n">
        <v>0</v>
      </c>
      <c r="L870" t="n">
        <v>0</v>
      </c>
      <c r="M870" t="n">
        <v>0</v>
      </c>
      <c r="N870" t="n">
        <v>0</v>
      </c>
      <c r="O870" t="n">
        <v>0</v>
      </c>
      <c r="P870" t="n">
        <v>0</v>
      </c>
      <c r="Q870" t="n">
        <v>0</v>
      </c>
      <c r="R870" s="2" t="inlineStr"/>
    </row>
    <row r="871" ht="15" customHeight="1">
      <c r="A871" t="inlineStr">
        <is>
          <t>A 18731-2023</t>
        </is>
      </c>
      <c r="B871" s="1" t="n">
        <v>45043</v>
      </c>
      <c r="C871" s="1" t="n">
        <v>45760</v>
      </c>
      <c r="D871" t="inlineStr">
        <is>
          <t>KALMAR LÄN</t>
        </is>
      </c>
      <c r="E871" t="inlineStr">
        <is>
          <t>VIMMERBY</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19013-2023</t>
        </is>
      </c>
      <c r="B872" s="1" t="n">
        <v>45045</v>
      </c>
      <c r="C872" s="1" t="n">
        <v>45760</v>
      </c>
      <c r="D872" t="inlineStr">
        <is>
          <t>KALMAR LÄN</t>
        </is>
      </c>
      <c r="E872" t="inlineStr">
        <is>
          <t>VIMMERBY</t>
        </is>
      </c>
      <c r="G872" t="n">
        <v>2.5</v>
      </c>
      <c r="H872" t="n">
        <v>0</v>
      </c>
      <c r="I872" t="n">
        <v>0</v>
      </c>
      <c r="J872" t="n">
        <v>0</v>
      </c>
      <c r="K872" t="n">
        <v>0</v>
      </c>
      <c r="L872" t="n">
        <v>0</v>
      </c>
      <c r="M872" t="n">
        <v>0</v>
      </c>
      <c r="N872" t="n">
        <v>0</v>
      </c>
      <c r="O872" t="n">
        <v>0</v>
      </c>
      <c r="P872" t="n">
        <v>0</v>
      </c>
      <c r="Q872" t="n">
        <v>0</v>
      </c>
      <c r="R872" s="2" t="inlineStr"/>
    </row>
    <row r="873" ht="15" customHeight="1">
      <c r="A873" t="inlineStr">
        <is>
          <t>A 19162-2023</t>
        </is>
      </c>
      <c r="B873" s="1" t="n">
        <v>45048</v>
      </c>
      <c r="C873" s="1" t="n">
        <v>45760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19833-2023</t>
        </is>
      </c>
      <c r="B874" s="1" t="n">
        <v>45052</v>
      </c>
      <c r="C874" s="1" t="n">
        <v>45760</v>
      </c>
      <c r="D874" t="inlineStr">
        <is>
          <t>KALMAR LÄN</t>
        </is>
      </c>
      <c r="E874" t="inlineStr">
        <is>
          <t>VIMMERBY</t>
        </is>
      </c>
      <c r="G874" t="n">
        <v>6.7</v>
      </c>
      <c r="H874" t="n">
        <v>0</v>
      </c>
      <c r="I874" t="n">
        <v>0</v>
      </c>
      <c r="J874" t="n">
        <v>0</v>
      </c>
      <c r="K874" t="n">
        <v>0</v>
      </c>
      <c r="L874" t="n">
        <v>0</v>
      </c>
      <c r="M874" t="n">
        <v>0</v>
      </c>
      <c r="N874" t="n">
        <v>0</v>
      </c>
      <c r="O874" t="n">
        <v>0</v>
      </c>
      <c r="P874" t="n">
        <v>0</v>
      </c>
      <c r="Q874" t="n">
        <v>0</v>
      </c>
      <c r="R874" s="2" t="inlineStr"/>
    </row>
    <row r="875" ht="15" customHeight="1">
      <c r="A875" t="inlineStr">
        <is>
          <t>A 20054-2023</t>
        </is>
      </c>
      <c r="B875" s="1" t="n">
        <v>45054</v>
      </c>
      <c r="C875" s="1" t="n">
        <v>45760</v>
      </c>
      <c r="D875" t="inlineStr">
        <is>
          <t>KALMAR LÄN</t>
        </is>
      </c>
      <c r="E875" t="inlineStr">
        <is>
          <t>VIMMERBY</t>
        </is>
      </c>
      <c r="G875" t="n">
        <v>2.4</v>
      </c>
      <c r="H875" t="n">
        <v>0</v>
      </c>
      <c r="I875" t="n">
        <v>0</v>
      </c>
      <c r="J875" t="n">
        <v>0</v>
      </c>
      <c r="K875" t="n">
        <v>0</v>
      </c>
      <c r="L875" t="n">
        <v>0</v>
      </c>
      <c r="M875" t="n">
        <v>0</v>
      </c>
      <c r="N875" t="n">
        <v>0</v>
      </c>
      <c r="O875" t="n">
        <v>0</v>
      </c>
      <c r="P875" t="n">
        <v>0</v>
      </c>
      <c r="Q875" t="n">
        <v>0</v>
      </c>
      <c r="R875" s="2" t="inlineStr"/>
    </row>
    <row r="876" ht="15" customHeight="1">
      <c r="A876" t="inlineStr">
        <is>
          <t>A 20218-2023</t>
        </is>
      </c>
      <c r="B876" s="1" t="n">
        <v>45055</v>
      </c>
      <c r="C876" s="1" t="n">
        <v>45760</v>
      </c>
      <c r="D876" t="inlineStr">
        <is>
          <t>KALMAR LÄN</t>
        </is>
      </c>
      <c r="E876" t="inlineStr">
        <is>
          <t>VIMMERBY</t>
        </is>
      </c>
      <c r="G876" t="n">
        <v>4.9</v>
      </c>
      <c r="H876" t="n">
        <v>0</v>
      </c>
      <c r="I876" t="n">
        <v>0</v>
      </c>
      <c r="J876" t="n">
        <v>0</v>
      </c>
      <c r="K876" t="n">
        <v>0</v>
      </c>
      <c r="L876" t="n">
        <v>0</v>
      </c>
      <c r="M876" t="n">
        <v>0</v>
      </c>
      <c r="N876" t="n">
        <v>0</v>
      </c>
      <c r="O876" t="n">
        <v>0</v>
      </c>
      <c r="P876" t="n">
        <v>0</v>
      </c>
      <c r="Q876" t="n">
        <v>0</v>
      </c>
      <c r="R876" s="2" t="inlineStr"/>
    </row>
    <row r="877" ht="15" customHeight="1">
      <c r="A877" t="inlineStr">
        <is>
          <t>A 20117-2023</t>
        </is>
      </c>
      <c r="B877" s="1" t="n">
        <v>45055</v>
      </c>
      <c r="C877" s="1" t="n">
        <v>45760</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20215-2023</t>
        </is>
      </c>
      <c r="B878" s="1" t="n">
        <v>45055</v>
      </c>
      <c r="C878" s="1" t="n">
        <v>45760</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20216-2023</t>
        </is>
      </c>
      <c r="B879" s="1" t="n">
        <v>45055</v>
      </c>
      <c r="C879" s="1" t="n">
        <v>45760</v>
      </c>
      <c r="D879" t="inlineStr">
        <is>
          <t>KALMAR LÄN</t>
        </is>
      </c>
      <c r="E879" t="inlineStr">
        <is>
          <t>VIMMERBY</t>
        </is>
      </c>
      <c r="G879" t="n">
        <v>3.1</v>
      </c>
      <c r="H879" t="n">
        <v>0</v>
      </c>
      <c r="I879" t="n">
        <v>0</v>
      </c>
      <c r="J879" t="n">
        <v>0</v>
      </c>
      <c r="K879" t="n">
        <v>0</v>
      </c>
      <c r="L879" t="n">
        <v>0</v>
      </c>
      <c r="M879" t="n">
        <v>0</v>
      </c>
      <c r="N879" t="n">
        <v>0</v>
      </c>
      <c r="O879" t="n">
        <v>0</v>
      </c>
      <c r="P879" t="n">
        <v>0</v>
      </c>
      <c r="Q879" t="n">
        <v>0</v>
      </c>
      <c r="R879" s="2" t="inlineStr"/>
    </row>
    <row r="880" ht="15" customHeight="1">
      <c r="A880" t="inlineStr">
        <is>
          <t>A 20421-2023</t>
        </is>
      </c>
      <c r="B880" s="1" t="n">
        <v>45056</v>
      </c>
      <c r="C880" s="1" t="n">
        <v>45760</v>
      </c>
      <c r="D880" t="inlineStr">
        <is>
          <t>KALMAR LÄN</t>
        </is>
      </c>
      <c r="E880" t="inlineStr">
        <is>
          <t>VIMMERBY</t>
        </is>
      </c>
      <c r="G880" t="n">
        <v>5.2</v>
      </c>
      <c r="H880" t="n">
        <v>0</v>
      </c>
      <c r="I880" t="n">
        <v>0</v>
      </c>
      <c r="J880" t="n">
        <v>0</v>
      </c>
      <c r="K880" t="n">
        <v>0</v>
      </c>
      <c r="L880" t="n">
        <v>0</v>
      </c>
      <c r="M880" t="n">
        <v>0</v>
      </c>
      <c r="N880" t="n">
        <v>0</v>
      </c>
      <c r="O880" t="n">
        <v>0</v>
      </c>
      <c r="P880" t="n">
        <v>0</v>
      </c>
      <c r="Q880" t="n">
        <v>0</v>
      </c>
      <c r="R880" s="2" t="inlineStr"/>
    </row>
    <row r="881" ht="15" customHeight="1">
      <c r="A881" t="inlineStr">
        <is>
          <t>A 20542-2023</t>
        </is>
      </c>
      <c r="B881" s="1" t="n">
        <v>45057</v>
      </c>
      <c r="C881" s="1" t="n">
        <v>45760</v>
      </c>
      <c r="D881" t="inlineStr">
        <is>
          <t>KALMAR LÄN</t>
        </is>
      </c>
      <c r="E881" t="inlineStr">
        <is>
          <t>VIMMERBY</t>
        </is>
      </c>
      <c r="G881" t="n">
        <v>4.4</v>
      </c>
      <c r="H881" t="n">
        <v>0</v>
      </c>
      <c r="I881" t="n">
        <v>0</v>
      </c>
      <c r="J881" t="n">
        <v>0</v>
      </c>
      <c r="K881" t="n">
        <v>0</v>
      </c>
      <c r="L881" t="n">
        <v>0</v>
      </c>
      <c r="M881" t="n">
        <v>0</v>
      </c>
      <c r="N881" t="n">
        <v>0</v>
      </c>
      <c r="O881" t="n">
        <v>0</v>
      </c>
      <c r="P881" t="n">
        <v>0</v>
      </c>
      <c r="Q881" t="n">
        <v>0</v>
      </c>
      <c r="R881" s="2" t="inlineStr"/>
    </row>
    <row r="882" ht="15" customHeight="1">
      <c r="A882" t="inlineStr">
        <is>
          <t>A 20699-2023</t>
        </is>
      </c>
      <c r="B882" s="1" t="n">
        <v>45058</v>
      </c>
      <c r="C882" s="1" t="n">
        <v>45760</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20736-2023</t>
        </is>
      </c>
      <c r="B883" s="1" t="n">
        <v>45058</v>
      </c>
      <c r="C883" s="1" t="n">
        <v>45760</v>
      </c>
      <c r="D883" t="inlineStr">
        <is>
          <t>KALMAR LÄN</t>
        </is>
      </c>
      <c r="E883" t="inlineStr">
        <is>
          <t>VIMMERBY</t>
        </is>
      </c>
      <c r="G883" t="n">
        <v>1.9</v>
      </c>
      <c r="H883" t="n">
        <v>0</v>
      </c>
      <c r="I883" t="n">
        <v>0</v>
      </c>
      <c r="J883" t="n">
        <v>0</v>
      </c>
      <c r="K883" t="n">
        <v>0</v>
      </c>
      <c r="L883" t="n">
        <v>0</v>
      </c>
      <c r="M883" t="n">
        <v>0</v>
      </c>
      <c r="N883" t="n">
        <v>0</v>
      </c>
      <c r="O883" t="n">
        <v>0</v>
      </c>
      <c r="P883" t="n">
        <v>0</v>
      </c>
      <c r="Q883" t="n">
        <v>0</v>
      </c>
      <c r="R883" s="2" t="inlineStr"/>
    </row>
    <row r="884" ht="15" customHeight="1">
      <c r="A884" t="inlineStr">
        <is>
          <t>A 21025-2023</t>
        </is>
      </c>
      <c r="B884" s="1" t="n">
        <v>45061</v>
      </c>
      <c r="C884" s="1" t="n">
        <v>45760</v>
      </c>
      <c r="D884" t="inlineStr">
        <is>
          <t>KALMAR LÄN</t>
        </is>
      </c>
      <c r="E884" t="inlineStr">
        <is>
          <t>VIMMERBY</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21028-2023</t>
        </is>
      </c>
      <c r="B885" s="1" t="n">
        <v>45061</v>
      </c>
      <c r="C885" s="1" t="n">
        <v>45760</v>
      </c>
      <c r="D885" t="inlineStr">
        <is>
          <t>KALMAR LÄN</t>
        </is>
      </c>
      <c r="E885" t="inlineStr">
        <is>
          <t>VIMMERBY</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21496-2023</t>
        </is>
      </c>
      <c r="B886" s="1" t="n">
        <v>45063</v>
      </c>
      <c r="C886" s="1" t="n">
        <v>45760</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21507-2023</t>
        </is>
      </c>
      <c r="B887" s="1" t="n">
        <v>45063</v>
      </c>
      <c r="C887" s="1" t="n">
        <v>45760</v>
      </c>
      <c r="D887" t="inlineStr">
        <is>
          <t>KALMAR LÄN</t>
        </is>
      </c>
      <c r="E887" t="inlineStr">
        <is>
          <t>VIMMERBY</t>
        </is>
      </c>
      <c r="G887" t="n">
        <v>2.8</v>
      </c>
      <c r="H887" t="n">
        <v>0</v>
      </c>
      <c r="I887" t="n">
        <v>0</v>
      </c>
      <c r="J887" t="n">
        <v>0</v>
      </c>
      <c r="K887" t="n">
        <v>0</v>
      </c>
      <c r="L887" t="n">
        <v>0</v>
      </c>
      <c r="M887" t="n">
        <v>0</v>
      </c>
      <c r="N887" t="n">
        <v>0</v>
      </c>
      <c r="O887" t="n">
        <v>0</v>
      </c>
      <c r="P887" t="n">
        <v>0</v>
      </c>
      <c r="Q887" t="n">
        <v>0</v>
      </c>
      <c r="R887" s="2" t="inlineStr"/>
    </row>
    <row r="888" ht="15" customHeight="1">
      <c r="A888" t="inlineStr">
        <is>
          <t>A 21911-2023</t>
        </is>
      </c>
      <c r="B888" s="1" t="n">
        <v>45068</v>
      </c>
      <c r="C888" s="1" t="n">
        <v>45760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22415-2023</t>
        </is>
      </c>
      <c r="B889" s="1" t="n">
        <v>45070</v>
      </c>
      <c r="C889" s="1" t="n">
        <v>45760</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22264-2023</t>
        </is>
      </c>
      <c r="B890" s="1" t="n">
        <v>45070</v>
      </c>
      <c r="C890" s="1" t="n">
        <v>45760</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22421-2023</t>
        </is>
      </c>
      <c r="B891" s="1" t="n">
        <v>45070</v>
      </c>
      <c r="C891" s="1" t="n">
        <v>45760</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22266-2023</t>
        </is>
      </c>
      <c r="B892" s="1" t="n">
        <v>45070</v>
      </c>
      <c r="C892" s="1" t="n">
        <v>45760</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22418-2023</t>
        </is>
      </c>
      <c r="B893" s="1" t="n">
        <v>45070</v>
      </c>
      <c r="C893" s="1" t="n">
        <v>45760</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22426-2023</t>
        </is>
      </c>
      <c r="B894" s="1" t="n">
        <v>45070</v>
      </c>
      <c r="C894" s="1" t="n">
        <v>45760</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22423-2023</t>
        </is>
      </c>
      <c r="B895" s="1" t="n">
        <v>45070</v>
      </c>
      <c r="C895" s="1" t="n">
        <v>45760</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c r="U895">
        <f>HYPERLINK("https://klasma.github.io/Logging_0884/knärot/A 22423-2023 karta knärot.png", "A 22423-2023")</f>
        <v/>
      </c>
      <c r="V895">
        <f>HYPERLINK("https://klasma.github.io/Logging_0884/klagomål/A 22423-2023 FSC-klagomål.docx", "A 22423-2023")</f>
        <v/>
      </c>
      <c r="W895">
        <f>HYPERLINK("https://klasma.github.io/Logging_0884/klagomålsmail/A 22423-2023 FSC-klagomål mail.docx", "A 22423-2023")</f>
        <v/>
      </c>
      <c r="X895">
        <f>HYPERLINK("https://klasma.github.io/Logging_0884/tillsyn/A 22423-2023 tillsynsbegäran.docx", "A 22423-2023")</f>
        <v/>
      </c>
      <c r="Y895">
        <f>HYPERLINK("https://klasma.github.io/Logging_0884/tillsynsmail/A 22423-2023 tillsynsbegäran mail.docx", "A 22423-2023")</f>
        <v/>
      </c>
    </row>
    <row r="896" ht="15" customHeight="1">
      <c r="A896" t="inlineStr">
        <is>
          <t>A 22643-2023</t>
        </is>
      </c>
      <c r="B896" s="1" t="n">
        <v>45071</v>
      </c>
      <c r="C896" s="1" t="n">
        <v>45760</v>
      </c>
      <c r="D896" t="inlineStr">
        <is>
          <t>KALMAR LÄN</t>
        </is>
      </c>
      <c r="E896" t="inlineStr">
        <is>
          <t>VIMMERBY</t>
        </is>
      </c>
      <c r="G896" t="n">
        <v>3.9</v>
      </c>
      <c r="H896" t="n">
        <v>0</v>
      </c>
      <c r="I896" t="n">
        <v>0</v>
      </c>
      <c r="J896" t="n">
        <v>0</v>
      </c>
      <c r="K896" t="n">
        <v>0</v>
      </c>
      <c r="L896" t="n">
        <v>0</v>
      </c>
      <c r="M896" t="n">
        <v>0</v>
      </c>
      <c r="N896" t="n">
        <v>0</v>
      </c>
      <c r="O896" t="n">
        <v>0</v>
      </c>
      <c r="P896" t="n">
        <v>0</v>
      </c>
      <c r="Q896" t="n">
        <v>0</v>
      </c>
      <c r="R896" s="2" t="inlineStr"/>
    </row>
    <row r="897" ht="15" customHeight="1">
      <c r="A897" t="inlineStr">
        <is>
          <t>A 22760-2023</t>
        </is>
      </c>
      <c r="B897" s="1" t="n">
        <v>45072</v>
      </c>
      <c r="C897" s="1" t="n">
        <v>45760</v>
      </c>
      <c r="D897" t="inlineStr">
        <is>
          <t>KALMAR LÄN</t>
        </is>
      </c>
      <c r="E897" t="inlineStr">
        <is>
          <t>VIMMERBY</t>
        </is>
      </c>
      <c r="G897" t="n">
        <v>2.5</v>
      </c>
      <c r="H897" t="n">
        <v>0</v>
      </c>
      <c r="I897" t="n">
        <v>0</v>
      </c>
      <c r="J897" t="n">
        <v>0</v>
      </c>
      <c r="K897" t="n">
        <v>0</v>
      </c>
      <c r="L897" t="n">
        <v>0</v>
      </c>
      <c r="M897" t="n">
        <v>0</v>
      </c>
      <c r="N897" t="n">
        <v>0</v>
      </c>
      <c r="O897" t="n">
        <v>0</v>
      </c>
      <c r="P897" t="n">
        <v>0</v>
      </c>
      <c r="Q897" t="n">
        <v>0</v>
      </c>
      <c r="R897" s="2" t="inlineStr"/>
    </row>
    <row r="898" ht="15" customHeight="1">
      <c r="A898" t="inlineStr">
        <is>
          <t>A 23032-2023</t>
        </is>
      </c>
      <c r="B898" s="1" t="n">
        <v>45074</v>
      </c>
      <c r="C898" s="1" t="n">
        <v>45760</v>
      </c>
      <c r="D898" t="inlineStr">
        <is>
          <t>KALMAR LÄN</t>
        </is>
      </c>
      <c r="E898" t="inlineStr">
        <is>
          <t>VIMMERBY</t>
        </is>
      </c>
      <c r="G898" t="n">
        <v>1.2</v>
      </c>
      <c r="H898" t="n">
        <v>0</v>
      </c>
      <c r="I898" t="n">
        <v>0</v>
      </c>
      <c r="J898" t="n">
        <v>0</v>
      </c>
      <c r="K898" t="n">
        <v>0</v>
      </c>
      <c r="L898" t="n">
        <v>0</v>
      </c>
      <c r="M898" t="n">
        <v>0</v>
      </c>
      <c r="N898" t="n">
        <v>0</v>
      </c>
      <c r="O898" t="n">
        <v>0</v>
      </c>
      <c r="P898" t="n">
        <v>0</v>
      </c>
      <c r="Q898" t="n">
        <v>0</v>
      </c>
      <c r="R898" s="2" t="inlineStr"/>
    </row>
    <row r="899" ht="15" customHeight="1">
      <c r="A899" t="inlineStr">
        <is>
          <t>A 23095-2023</t>
        </is>
      </c>
      <c r="B899" s="1" t="n">
        <v>45075</v>
      </c>
      <c r="C899" s="1" t="n">
        <v>45760</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23425-2023</t>
        </is>
      </c>
      <c r="B900" s="1" t="n">
        <v>45076</v>
      </c>
      <c r="C900" s="1" t="n">
        <v>45760</v>
      </c>
      <c r="D900" t="inlineStr">
        <is>
          <t>KALMAR LÄN</t>
        </is>
      </c>
      <c r="E900" t="inlineStr">
        <is>
          <t>VIMMERBY</t>
        </is>
      </c>
      <c r="G900" t="n">
        <v>4.8</v>
      </c>
      <c r="H900" t="n">
        <v>0</v>
      </c>
      <c r="I900" t="n">
        <v>0</v>
      </c>
      <c r="J900" t="n">
        <v>0</v>
      </c>
      <c r="K900" t="n">
        <v>0</v>
      </c>
      <c r="L900" t="n">
        <v>0</v>
      </c>
      <c r="M900" t="n">
        <v>0</v>
      </c>
      <c r="N900" t="n">
        <v>0</v>
      </c>
      <c r="O900" t="n">
        <v>0</v>
      </c>
      <c r="P900" t="n">
        <v>0</v>
      </c>
      <c r="Q900" t="n">
        <v>0</v>
      </c>
      <c r="R900" s="2" t="inlineStr"/>
    </row>
    <row r="901" ht="15" customHeight="1">
      <c r="A901" t="inlineStr">
        <is>
          <t>A 23539-2023</t>
        </is>
      </c>
      <c r="B901" s="1" t="n">
        <v>45077</v>
      </c>
      <c r="C901" s="1" t="n">
        <v>45760</v>
      </c>
      <c r="D901" t="inlineStr">
        <is>
          <t>KALMAR LÄN</t>
        </is>
      </c>
      <c r="E901" t="inlineStr">
        <is>
          <t>VIMMERBY</t>
        </is>
      </c>
      <c r="G901" t="n">
        <v>6.9</v>
      </c>
      <c r="H901" t="n">
        <v>0</v>
      </c>
      <c r="I901" t="n">
        <v>0</v>
      </c>
      <c r="J901" t="n">
        <v>0</v>
      </c>
      <c r="K901" t="n">
        <v>0</v>
      </c>
      <c r="L901" t="n">
        <v>0</v>
      </c>
      <c r="M901" t="n">
        <v>0</v>
      </c>
      <c r="N901" t="n">
        <v>0</v>
      </c>
      <c r="O901" t="n">
        <v>0</v>
      </c>
      <c r="P901" t="n">
        <v>0</v>
      </c>
      <c r="Q901" t="n">
        <v>0</v>
      </c>
      <c r="R901" s="2" t="inlineStr"/>
    </row>
    <row r="902" ht="15" customHeight="1">
      <c r="A902" t="inlineStr">
        <is>
          <t>A 23695-2023</t>
        </is>
      </c>
      <c r="B902" s="1" t="n">
        <v>45077</v>
      </c>
      <c r="C902" s="1" t="n">
        <v>45760</v>
      </c>
      <c r="D902" t="inlineStr">
        <is>
          <t>KALMAR LÄN</t>
        </is>
      </c>
      <c r="E902" t="inlineStr">
        <is>
          <t>VIMMERBY</t>
        </is>
      </c>
      <c r="G902" t="n">
        <v>7.6</v>
      </c>
      <c r="H902" t="n">
        <v>0</v>
      </c>
      <c r="I902" t="n">
        <v>0</v>
      </c>
      <c r="J902" t="n">
        <v>0</v>
      </c>
      <c r="K902" t="n">
        <v>0</v>
      </c>
      <c r="L902" t="n">
        <v>0</v>
      </c>
      <c r="M902" t="n">
        <v>0</v>
      </c>
      <c r="N902" t="n">
        <v>0</v>
      </c>
      <c r="O902" t="n">
        <v>0</v>
      </c>
      <c r="P902" t="n">
        <v>0</v>
      </c>
      <c r="Q902" t="n">
        <v>0</v>
      </c>
      <c r="R902" s="2" t="inlineStr"/>
    </row>
    <row r="903" ht="15" customHeight="1">
      <c r="A903" t="inlineStr">
        <is>
          <t>A 24283-2023</t>
        </is>
      </c>
      <c r="B903" s="1" t="n">
        <v>45079</v>
      </c>
      <c r="C903" s="1" t="n">
        <v>45760</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ht="15" customHeight="1">
      <c r="A904" t="inlineStr">
        <is>
          <t>A 24285-2023</t>
        </is>
      </c>
      <c r="B904" s="1" t="n">
        <v>45079</v>
      </c>
      <c r="C904" s="1" t="n">
        <v>45760</v>
      </c>
      <c r="D904" t="inlineStr">
        <is>
          <t>KALMAR LÄN</t>
        </is>
      </c>
      <c r="E904" t="inlineStr">
        <is>
          <t>VIMMERBY</t>
        </is>
      </c>
      <c r="G904" t="n">
        <v>1.8</v>
      </c>
      <c r="H904" t="n">
        <v>0</v>
      </c>
      <c r="I904" t="n">
        <v>0</v>
      </c>
      <c r="J904" t="n">
        <v>0</v>
      </c>
      <c r="K904" t="n">
        <v>0</v>
      </c>
      <c r="L904" t="n">
        <v>0</v>
      </c>
      <c r="M904" t="n">
        <v>0</v>
      </c>
      <c r="N904" t="n">
        <v>0</v>
      </c>
      <c r="O904" t="n">
        <v>0</v>
      </c>
      <c r="P904" t="n">
        <v>0</v>
      </c>
      <c r="Q904" t="n">
        <v>0</v>
      </c>
      <c r="R904" s="2" t="inlineStr"/>
    </row>
    <row r="905" ht="15" customHeight="1">
      <c r="A905" t="inlineStr">
        <is>
          <t>A 24288-2023</t>
        </is>
      </c>
      <c r="B905" s="1" t="n">
        <v>45080</v>
      </c>
      <c r="C905" s="1" t="n">
        <v>45760</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25109-2023</t>
        </is>
      </c>
      <c r="B906" s="1" t="n">
        <v>45086</v>
      </c>
      <c r="C906" s="1" t="n">
        <v>45760</v>
      </c>
      <c r="D906" t="inlineStr">
        <is>
          <t>KALMAR LÄN</t>
        </is>
      </c>
      <c r="E906" t="inlineStr">
        <is>
          <t>VIMMERBY</t>
        </is>
      </c>
      <c r="G906" t="n">
        <v>1.5</v>
      </c>
      <c r="H906" t="n">
        <v>0</v>
      </c>
      <c r="I906" t="n">
        <v>0</v>
      </c>
      <c r="J906" t="n">
        <v>0</v>
      </c>
      <c r="K906" t="n">
        <v>0</v>
      </c>
      <c r="L906" t="n">
        <v>0</v>
      </c>
      <c r="M906" t="n">
        <v>0</v>
      </c>
      <c r="N906" t="n">
        <v>0</v>
      </c>
      <c r="O906" t="n">
        <v>0</v>
      </c>
      <c r="P906" t="n">
        <v>0</v>
      </c>
      <c r="Q906" t="n">
        <v>0</v>
      </c>
      <c r="R906" s="2" t="inlineStr"/>
    </row>
    <row r="907" ht="15" customHeight="1">
      <c r="A907" t="inlineStr">
        <is>
          <t>A 25236-2023</t>
        </is>
      </c>
      <c r="B907" s="1" t="n">
        <v>45086</v>
      </c>
      <c r="C907" s="1" t="n">
        <v>45760</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25244-2023</t>
        </is>
      </c>
      <c r="B908" s="1" t="n">
        <v>45086</v>
      </c>
      <c r="C908" s="1" t="n">
        <v>45760</v>
      </c>
      <c r="D908" t="inlineStr">
        <is>
          <t>KALMAR LÄN</t>
        </is>
      </c>
      <c r="E908" t="inlineStr">
        <is>
          <t>VIMMERBY</t>
        </is>
      </c>
      <c r="G908" t="n">
        <v>4.7</v>
      </c>
      <c r="H908" t="n">
        <v>0</v>
      </c>
      <c r="I908" t="n">
        <v>0</v>
      </c>
      <c r="J908" t="n">
        <v>0</v>
      </c>
      <c r="K908" t="n">
        <v>0</v>
      </c>
      <c r="L908" t="n">
        <v>0</v>
      </c>
      <c r="M908" t="n">
        <v>0</v>
      </c>
      <c r="N908" t="n">
        <v>0</v>
      </c>
      <c r="O908" t="n">
        <v>0</v>
      </c>
      <c r="P908" t="n">
        <v>0</v>
      </c>
      <c r="Q908" t="n">
        <v>0</v>
      </c>
      <c r="R908" s="2" t="inlineStr"/>
    </row>
    <row r="909" ht="15" customHeight="1">
      <c r="A909" t="inlineStr">
        <is>
          <t>A 25234-2023</t>
        </is>
      </c>
      <c r="B909" s="1" t="n">
        <v>45086</v>
      </c>
      <c r="C909" s="1" t="n">
        <v>45760</v>
      </c>
      <c r="D909" t="inlineStr">
        <is>
          <t>KALMAR LÄN</t>
        </is>
      </c>
      <c r="E909" t="inlineStr">
        <is>
          <t>VIMMERBY</t>
        </is>
      </c>
      <c r="G909" t="n">
        <v>2.1</v>
      </c>
      <c r="H909" t="n">
        <v>0</v>
      </c>
      <c r="I909" t="n">
        <v>0</v>
      </c>
      <c r="J909" t="n">
        <v>0</v>
      </c>
      <c r="K909" t="n">
        <v>0</v>
      </c>
      <c r="L909" t="n">
        <v>0</v>
      </c>
      <c r="M909" t="n">
        <v>0</v>
      </c>
      <c r="N909" t="n">
        <v>0</v>
      </c>
      <c r="O909" t="n">
        <v>0</v>
      </c>
      <c r="P909" t="n">
        <v>0</v>
      </c>
      <c r="Q909" t="n">
        <v>0</v>
      </c>
      <c r="R909" s="2" t="inlineStr"/>
    </row>
    <row r="910" ht="15" customHeight="1">
      <c r="A910" t="inlineStr">
        <is>
          <t>A 25885-2023</t>
        </is>
      </c>
      <c r="B910" s="1" t="n">
        <v>45090</v>
      </c>
      <c r="C910" s="1" t="n">
        <v>45760</v>
      </c>
      <c r="D910" t="inlineStr">
        <is>
          <t>KALMAR LÄN</t>
        </is>
      </c>
      <c r="E910" t="inlineStr">
        <is>
          <t>VIMMERBY</t>
        </is>
      </c>
      <c r="G910" t="n">
        <v>4.6</v>
      </c>
      <c r="H910" t="n">
        <v>0</v>
      </c>
      <c r="I910" t="n">
        <v>0</v>
      </c>
      <c r="J910" t="n">
        <v>0</v>
      </c>
      <c r="K910" t="n">
        <v>0</v>
      </c>
      <c r="L910" t="n">
        <v>0</v>
      </c>
      <c r="M910" t="n">
        <v>0</v>
      </c>
      <c r="N910" t="n">
        <v>0</v>
      </c>
      <c r="O910" t="n">
        <v>0</v>
      </c>
      <c r="P910" t="n">
        <v>0</v>
      </c>
      <c r="Q910" t="n">
        <v>0</v>
      </c>
      <c r="R910" s="2" t="inlineStr"/>
    </row>
    <row r="911" ht="15" customHeight="1">
      <c r="A911" t="inlineStr">
        <is>
          <t>A 25799-2023</t>
        </is>
      </c>
      <c r="B911" s="1" t="n">
        <v>45090</v>
      </c>
      <c r="C911" s="1" t="n">
        <v>45760</v>
      </c>
      <c r="D911" t="inlineStr">
        <is>
          <t>KALMAR LÄN</t>
        </is>
      </c>
      <c r="E911" t="inlineStr">
        <is>
          <t>VIMMERBY</t>
        </is>
      </c>
      <c r="G911" t="n">
        <v>7.7</v>
      </c>
      <c r="H911" t="n">
        <v>0</v>
      </c>
      <c r="I911" t="n">
        <v>0</v>
      </c>
      <c r="J911" t="n">
        <v>0</v>
      </c>
      <c r="K911" t="n">
        <v>0</v>
      </c>
      <c r="L911" t="n">
        <v>0</v>
      </c>
      <c r="M911" t="n">
        <v>0</v>
      </c>
      <c r="N911" t="n">
        <v>0</v>
      </c>
      <c r="O911" t="n">
        <v>0</v>
      </c>
      <c r="P911" t="n">
        <v>0</v>
      </c>
      <c r="Q911" t="n">
        <v>0</v>
      </c>
      <c r="R911" s="2" t="inlineStr"/>
    </row>
    <row r="912" ht="15" customHeight="1">
      <c r="A912" t="inlineStr">
        <is>
          <t>A 25979-2023</t>
        </is>
      </c>
      <c r="B912" s="1" t="n">
        <v>45090</v>
      </c>
      <c r="C912" s="1" t="n">
        <v>45760</v>
      </c>
      <c r="D912" t="inlineStr">
        <is>
          <t>KALMAR LÄN</t>
        </is>
      </c>
      <c r="E912" t="inlineStr">
        <is>
          <t>VIMMERBY</t>
        </is>
      </c>
      <c r="G912" t="n">
        <v>2</v>
      </c>
      <c r="H912" t="n">
        <v>0</v>
      </c>
      <c r="I912" t="n">
        <v>0</v>
      </c>
      <c r="J912" t="n">
        <v>0</v>
      </c>
      <c r="K912" t="n">
        <v>0</v>
      </c>
      <c r="L912" t="n">
        <v>0</v>
      </c>
      <c r="M912" t="n">
        <v>0</v>
      </c>
      <c r="N912" t="n">
        <v>0</v>
      </c>
      <c r="O912" t="n">
        <v>0</v>
      </c>
      <c r="P912" t="n">
        <v>0</v>
      </c>
      <c r="Q912" t="n">
        <v>0</v>
      </c>
      <c r="R912" s="2" t="inlineStr"/>
    </row>
    <row r="913" ht="15" customHeight="1">
      <c r="A913" t="inlineStr">
        <is>
          <t>A 25976-2023</t>
        </is>
      </c>
      <c r="B913" s="1" t="n">
        <v>45090</v>
      </c>
      <c r="C913" s="1" t="n">
        <v>45760</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25980-2023</t>
        </is>
      </c>
      <c r="B914" s="1" t="n">
        <v>45090</v>
      </c>
      <c r="C914" s="1" t="n">
        <v>45760</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25977-2023</t>
        </is>
      </c>
      <c r="B915" s="1" t="n">
        <v>45090</v>
      </c>
      <c r="C915" s="1" t="n">
        <v>45760</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26318-2023</t>
        </is>
      </c>
      <c r="B916" s="1" t="n">
        <v>45091</v>
      </c>
      <c r="C916" s="1" t="n">
        <v>45760</v>
      </c>
      <c r="D916" t="inlineStr">
        <is>
          <t>KALMAR LÄN</t>
        </is>
      </c>
      <c r="E916" t="inlineStr">
        <is>
          <t>VIMMERBY</t>
        </is>
      </c>
      <c r="G916" t="n">
        <v>3.8</v>
      </c>
      <c r="H916" t="n">
        <v>0</v>
      </c>
      <c r="I916" t="n">
        <v>0</v>
      </c>
      <c r="J916" t="n">
        <v>0</v>
      </c>
      <c r="K916" t="n">
        <v>0</v>
      </c>
      <c r="L916" t="n">
        <v>0</v>
      </c>
      <c r="M916" t="n">
        <v>0</v>
      </c>
      <c r="N916" t="n">
        <v>0</v>
      </c>
      <c r="O916" t="n">
        <v>0</v>
      </c>
      <c r="P916" t="n">
        <v>0</v>
      </c>
      <c r="Q916" t="n">
        <v>0</v>
      </c>
      <c r="R916" s="2" t="inlineStr"/>
    </row>
    <row r="917" ht="15" customHeight="1">
      <c r="A917" t="inlineStr">
        <is>
          <t>A 26626-2023</t>
        </is>
      </c>
      <c r="B917" s="1" t="n">
        <v>45092</v>
      </c>
      <c r="C917" s="1" t="n">
        <v>45760</v>
      </c>
      <c r="D917" t="inlineStr">
        <is>
          <t>KALMAR LÄN</t>
        </is>
      </c>
      <c r="E917" t="inlineStr">
        <is>
          <t>VIMMERBY</t>
        </is>
      </c>
      <c r="G917" t="n">
        <v>2.4</v>
      </c>
      <c r="H917" t="n">
        <v>0</v>
      </c>
      <c r="I917" t="n">
        <v>0</v>
      </c>
      <c r="J917" t="n">
        <v>0</v>
      </c>
      <c r="K917" t="n">
        <v>0</v>
      </c>
      <c r="L917" t="n">
        <v>0</v>
      </c>
      <c r="M917" t="n">
        <v>0</v>
      </c>
      <c r="N917" t="n">
        <v>0</v>
      </c>
      <c r="O917" t="n">
        <v>0</v>
      </c>
      <c r="P917" t="n">
        <v>0</v>
      </c>
      <c r="Q917" t="n">
        <v>0</v>
      </c>
      <c r="R917" s="2" t="inlineStr"/>
    </row>
    <row r="918" ht="15" customHeight="1">
      <c r="A918" t="inlineStr">
        <is>
          <t>A 26937-2023</t>
        </is>
      </c>
      <c r="B918" s="1" t="n">
        <v>45093</v>
      </c>
      <c r="C918" s="1" t="n">
        <v>45760</v>
      </c>
      <c r="D918" t="inlineStr">
        <is>
          <t>KALMAR LÄN</t>
        </is>
      </c>
      <c r="E918" t="inlineStr">
        <is>
          <t>VIMMERBY</t>
        </is>
      </c>
      <c r="F918" t="inlineStr">
        <is>
          <t>Sveaskog</t>
        </is>
      </c>
      <c r="G918" t="n">
        <v>14.5</v>
      </c>
      <c r="H918" t="n">
        <v>0</v>
      </c>
      <c r="I918" t="n">
        <v>0</v>
      </c>
      <c r="J918" t="n">
        <v>0</v>
      </c>
      <c r="K918" t="n">
        <v>0</v>
      </c>
      <c r="L918" t="n">
        <v>0</v>
      </c>
      <c r="M918" t="n">
        <v>0</v>
      </c>
      <c r="N918" t="n">
        <v>0</v>
      </c>
      <c r="O918" t="n">
        <v>0</v>
      </c>
      <c r="P918" t="n">
        <v>0</v>
      </c>
      <c r="Q918" t="n">
        <v>0</v>
      </c>
      <c r="R918" s="2" t="inlineStr"/>
    </row>
    <row r="919" ht="15" customHeight="1">
      <c r="A919" t="inlineStr">
        <is>
          <t>A 27122-2023</t>
        </is>
      </c>
      <c r="B919" s="1" t="n">
        <v>45096</v>
      </c>
      <c r="C919" s="1" t="n">
        <v>45760</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27138-2023</t>
        </is>
      </c>
      <c r="B920" s="1" t="n">
        <v>45096</v>
      </c>
      <c r="C920" s="1" t="n">
        <v>45760</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28988-2023</t>
        </is>
      </c>
      <c r="B921" s="1" t="n">
        <v>45096</v>
      </c>
      <c r="C921" s="1" t="n">
        <v>45760</v>
      </c>
      <c r="D921" t="inlineStr">
        <is>
          <t>KALMAR LÄN</t>
        </is>
      </c>
      <c r="E921" t="inlineStr">
        <is>
          <t>VIMMERBY</t>
        </is>
      </c>
      <c r="G921" t="n">
        <v>6</v>
      </c>
      <c r="H921" t="n">
        <v>0</v>
      </c>
      <c r="I921" t="n">
        <v>0</v>
      </c>
      <c r="J921" t="n">
        <v>0</v>
      </c>
      <c r="K921" t="n">
        <v>0</v>
      </c>
      <c r="L921" t="n">
        <v>0</v>
      </c>
      <c r="M921" t="n">
        <v>0</v>
      </c>
      <c r="N921" t="n">
        <v>0</v>
      </c>
      <c r="O921" t="n">
        <v>0</v>
      </c>
      <c r="P921" t="n">
        <v>0</v>
      </c>
      <c r="Q921" t="n">
        <v>0</v>
      </c>
      <c r="R921" s="2" t="inlineStr"/>
    </row>
    <row r="922" ht="15" customHeight="1">
      <c r="A922" t="inlineStr">
        <is>
          <t>A 27443-2023</t>
        </is>
      </c>
      <c r="B922" s="1" t="n">
        <v>45097</v>
      </c>
      <c r="C922" s="1" t="n">
        <v>45760</v>
      </c>
      <c r="D922" t="inlineStr">
        <is>
          <t>KALMAR LÄN</t>
        </is>
      </c>
      <c r="E922" t="inlineStr">
        <is>
          <t>VIMMERBY</t>
        </is>
      </c>
      <c r="F922" t="inlineStr">
        <is>
          <t>Övriga Aktiebolag</t>
        </is>
      </c>
      <c r="G922" t="n">
        <v>2.3</v>
      </c>
      <c r="H922" t="n">
        <v>0</v>
      </c>
      <c r="I922" t="n">
        <v>0</v>
      </c>
      <c r="J922" t="n">
        <v>0</v>
      </c>
      <c r="K922" t="n">
        <v>0</v>
      </c>
      <c r="L922" t="n">
        <v>0</v>
      </c>
      <c r="M922" t="n">
        <v>0</v>
      </c>
      <c r="N922" t="n">
        <v>0</v>
      </c>
      <c r="O922" t="n">
        <v>0</v>
      </c>
      <c r="P922" t="n">
        <v>0</v>
      </c>
      <c r="Q922" t="n">
        <v>0</v>
      </c>
      <c r="R922" s="2" t="inlineStr"/>
    </row>
    <row r="923" ht="15" customHeight="1">
      <c r="A923" t="inlineStr">
        <is>
          <t>A 27705-2023</t>
        </is>
      </c>
      <c r="B923" s="1" t="n">
        <v>45098</v>
      </c>
      <c r="C923" s="1" t="n">
        <v>45760</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28123-2023</t>
        </is>
      </c>
      <c r="B924" s="1" t="n">
        <v>45099</v>
      </c>
      <c r="C924" s="1" t="n">
        <v>45760</v>
      </c>
      <c r="D924" t="inlineStr">
        <is>
          <t>KALMAR LÄN</t>
        </is>
      </c>
      <c r="E924" t="inlineStr">
        <is>
          <t>VIMMERBY</t>
        </is>
      </c>
      <c r="G924" t="n">
        <v>2.5</v>
      </c>
      <c r="H924" t="n">
        <v>0</v>
      </c>
      <c r="I924" t="n">
        <v>0</v>
      </c>
      <c r="J924" t="n">
        <v>0</v>
      </c>
      <c r="K924" t="n">
        <v>0</v>
      </c>
      <c r="L924" t="n">
        <v>0</v>
      </c>
      <c r="M924" t="n">
        <v>0</v>
      </c>
      <c r="N924" t="n">
        <v>0</v>
      </c>
      <c r="O924" t="n">
        <v>0</v>
      </c>
      <c r="P924" t="n">
        <v>0</v>
      </c>
      <c r="Q924" t="n">
        <v>0</v>
      </c>
      <c r="R924" s="2" t="inlineStr"/>
    </row>
    <row r="925" ht="15" customHeight="1">
      <c r="A925" t="inlineStr">
        <is>
          <t>A 28129-2023</t>
        </is>
      </c>
      <c r="B925" s="1" t="n">
        <v>45099</v>
      </c>
      <c r="C925" s="1" t="n">
        <v>45760</v>
      </c>
      <c r="D925" t="inlineStr">
        <is>
          <t>KALMAR LÄN</t>
        </is>
      </c>
      <c r="E925" t="inlineStr">
        <is>
          <t>VIMMERBY</t>
        </is>
      </c>
      <c r="G925" t="n">
        <v>1.1</v>
      </c>
      <c r="H925" t="n">
        <v>0</v>
      </c>
      <c r="I925" t="n">
        <v>0</v>
      </c>
      <c r="J925" t="n">
        <v>0</v>
      </c>
      <c r="K925" t="n">
        <v>0</v>
      </c>
      <c r="L925" t="n">
        <v>0</v>
      </c>
      <c r="M925" t="n">
        <v>0</v>
      </c>
      <c r="N925" t="n">
        <v>0</v>
      </c>
      <c r="O925" t="n">
        <v>0</v>
      </c>
      <c r="P925" t="n">
        <v>0</v>
      </c>
      <c r="Q925" t="n">
        <v>0</v>
      </c>
      <c r="R925" s="2" t="inlineStr"/>
    </row>
    <row r="926" ht="15" customHeight="1">
      <c r="A926" t="inlineStr">
        <is>
          <t>A 28395-2023</t>
        </is>
      </c>
      <c r="B926" s="1" t="n">
        <v>45100</v>
      </c>
      <c r="C926" s="1" t="n">
        <v>45760</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28403-2023</t>
        </is>
      </c>
      <c r="B927" s="1" t="n">
        <v>45100</v>
      </c>
      <c r="C927" s="1" t="n">
        <v>45760</v>
      </c>
      <c r="D927" t="inlineStr">
        <is>
          <t>KALMAR LÄN</t>
        </is>
      </c>
      <c r="E927" t="inlineStr">
        <is>
          <t>VIMMERBY</t>
        </is>
      </c>
      <c r="G927" t="n">
        <v>1.8</v>
      </c>
      <c r="H927" t="n">
        <v>0</v>
      </c>
      <c r="I927" t="n">
        <v>0</v>
      </c>
      <c r="J927" t="n">
        <v>0</v>
      </c>
      <c r="K927" t="n">
        <v>0</v>
      </c>
      <c r="L927" t="n">
        <v>0</v>
      </c>
      <c r="M927" t="n">
        <v>0</v>
      </c>
      <c r="N927" t="n">
        <v>0</v>
      </c>
      <c r="O927" t="n">
        <v>0</v>
      </c>
      <c r="P927" t="n">
        <v>0</v>
      </c>
      <c r="Q927" t="n">
        <v>0</v>
      </c>
      <c r="R927" s="2" t="inlineStr"/>
    </row>
    <row r="928" ht="15" customHeight="1">
      <c r="A928" t="inlineStr">
        <is>
          <t>A 29093-2023</t>
        </is>
      </c>
      <c r="B928" s="1" t="n">
        <v>45105</v>
      </c>
      <c r="C928" s="1" t="n">
        <v>45760</v>
      </c>
      <c r="D928" t="inlineStr">
        <is>
          <t>KALMAR LÄN</t>
        </is>
      </c>
      <c r="E928" t="inlineStr">
        <is>
          <t>VIMMERBY</t>
        </is>
      </c>
      <c r="G928" t="n">
        <v>2.9</v>
      </c>
      <c r="H928" t="n">
        <v>0</v>
      </c>
      <c r="I928" t="n">
        <v>0</v>
      </c>
      <c r="J928" t="n">
        <v>0</v>
      </c>
      <c r="K928" t="n">
        <v>0</v>
      </c>
      <c r="L928" t="n">
        <v>0</v>
      </c>
      <c r="M928" t="n">
        <v>0</v>
      </c>
      <c r="N928" t="n">
        <v>0</v>
      </c>
      <c r="O928" t="n">
        <v>0</v>
      </c>
      <c r="P928" t="n">
        <v>0</v>
      </c>
      <c r="Q928" t="n">
        <v>0</v>
      </c>
      <c r="R928" s="2" t="inlineStr"/>
    </row>
    <row r="929" ht="15" customHeight="1">
      <c r="A929" t="inlineStr">
        <is>
          <t>A 29196-2023</t>
        </is>
      </c>
      <c r="B929" s="1" t="n">
        <v>45105</v>
      </c>
      <c r="C929" s="1" t="n">
        <v>45760</v>
      </c>
      <c r="D929" t="inlineStr">
        <is>
          <t>KALMAR LÄN</t>
        </is>
      </c>
      <c r="E929" t="inlineStr">
        <is>
          <t>VIMMERBY</t>
        </is>
      </c>
      <c r="G929" t="n">
        <v>1.5</v>
      </c>
      <c r="H929" t="n">
        <v>0</v>
      </c>
      <c r="I929" t="n">
        <v>0</v>
      </c>
      <c r="J929" t="n">
        <v>0</v>
      </c>
      <c r="K929" t="n">
        <v>0</v>
      </c>
      <c r="L929" t="n">
        <v>0</v>
      </c>
      <c r="M929" t="n">
        <v>0</v>
      </c>
      <c r="N929" t="n">
        <v>0</v>
      </c>
      <c r="O929" t="n">
        <v>0</v>
      </c>
      <c r="P929" t="n">
        <v>0</v>
      </c>
      <c r="Q929" t="n">
        <v>0</v>
      </c>
      <c r="R929" s="2" t="inlineStr"/>
    </row>
    <row r="930" ht="15" customHeight="1">
      <c r="A930" t="inlineStr">
        <is>
          <t>A 29351-2023</t>
        </is>
      </c>
      <c r="B930" s="1" t="n">
        <v>45106</v>
      </c>
      <c r="C930" s="1" t="n">
        <v>45760</v>
      </c>
      <c r="D930" t="inlineStr">
        <is>
          <t>KALMAR LÄN</t>
        </is>
      </c>
      <c r="E930" t="inlineStr">
        <is>
          <t>VIMMERBY</t>
        </is>
      </c>
      <c r="G930" t="n">
        <v>0.4</v>
      </c>
      <c r="H930" t="n">
        <v>0</v>
      </c>
      <c r="I930" t="n">
        <v>0</v>
      </c>
      <c r="J930" t="n">
        <v>0</v>
      </c>
      <c r="K930" t="n">
        <v>0</v>
      </c>
      <c r="L930" t="n">
        <v>0</v>
      </c>
      <c r="M930" t="n">
        <v>0</v>
      </c>
      <c r="N930" t="n">
        <v>0</v>
      </c>
      <c r="O930" t="n">
        <v>0</v>
      </c>
      <c r="P930" t="n">
        <v>0</v>
      </c>
      <c r="Q930" t="n">
        <v>0</v>
      </c>
      <c r="R930" s="2" t="inlineStr"/>
    </row>
    <row r="931" ht="15" customHeight="1">
      <c r="A931" t="inlineStr">
        <is>
          <t>A 29350-2023</t>
        </is>
      </c>
      <c r="B931" s="1" t="n">
        <v>45106</v>
      </c>
      <c r="C931" s="1" t="n">
        <v>45760</v>
      </c>
      <c r="D931" t="inlineStr">
        <is>
          <t>KALMAR LÄN</t>
        </is>
      </c>
      <c r="E931" t="inlineStr">
        <is>
          <t>VIMMERBY</t>
        </is>
      </c>
      <c r="G931" t="n">
        <v>0.8</v>
      </c>
      <c r="H931" t="n">
        <v>0</v>
      </c>
      <c r="I931" t="n">
        <v>0</v>
      </c>
      <c r="J931" t="n">
        <v>0</v>
      </c>
      <c r="K931" t="n">
        <v>0</v>
      </c>
      <c r="L931" t="n">
        <v>0</v>
      </c>
      <c r="M931" t="n">
        <v>0</v>
      </c>
      <c r="N931" t="n">
        <v>0</v>
      </c>
      <c r="O931" t="n">
        <v>0</v>
      </c>
      <c r="P931" t="n">
        <v>0</v>
      </c>
      <c r="Q931" t="n">
        <v>0</v>
      </c>
      <c r="R931" s="2" t="inlineStr"/>
    </row>
    <row r="932" ht="15" customHeight="1">
      <c r="A932" t="inlineStr">
        <is>
          <t>A 29348-2023</t>
        </is>
      </c>
      <c r="B932" s="1" t="n">
        <v>45106</v>
      </c>
      <c r="C932" s="1" t="n">
        <v>45760</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29349-2023</t>
        </is>
      </c>
      <c r="B933" s="1" t="n">
        <v>45106</v>
      </c>
      <c r="C933" s="1" t="n">
        <v>45760</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29973-2023</t>
        </is>
      </c>
      <c r="B934" s="1" t="n">
        <v>45108</v>
      </c>
      <c r="C934" s="1" t="n">
        <v>45760</v>
      </c>
      <c r="D934" t="inlineStr">
        <is>
          <t>KALMAR LÄN</t>
        </is>
      </c>
      <c r="E934" t="inlineStr">
        <is>
          <t>VIMMERBY</t>
        </is>
      </c>
      <c r="G934" t="n">
        <v>4</v>
      </c>
      <c r="H934" t="n">
        <v>0</v>
      </c>
      <c r="I934" t="n">
        <v>0</v>
      </c>
      <c r="J934" t="n">
        <v>0</v>
      </c>
      <c r="K934" t="n">
        <v>0</v>
      </c>
      <c r="L934" t="n">
        <v>0</v>
      </c>
      <c r="M934" t="n">
        <v>0</v>
      </c>
      <c r="N934" t="n">
        <v>0</v>
      </c>
      <c r="O934" t="n">
        <v>0</v>
      </c>
      <c r="P934" t="n">
        <v>0</v>
      </c>
      <c r="Q934" t="n">
        <v>0</v>
      </c>
      <c r="R934" s="2" t="inlineStr"/>
    </row>
    <row r="935" ht="15" customHeight="1">
      <c r="A935" t="inlineStr">
        <is>
          <t>A 30070-2023</t>
        </is>
      </c>
      <c r="B935" s="1" t="n">
        <v>45110</v>
      </c>
      <c r="C935" s="1" t="n">
        <v>45760</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30063-2023</t>
        </is>
      </c>
      <c r="B936" s="1" t="n">
        <v>45110</v>
      </c>
      <c r="C936" s="1" t="n">
        <v>45760</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30090-2023</t>
        </is>
      </c>
      <c r="B937" s="1" t="n">
        <v>45110</v>
      </c>
      <c r="C937" s="1" t="n">
        <v>45760</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30503-2023</t>
        </is>
      </c>
      <c r="B938" s="1" t="n">
        <v>45111</v>
      </c>
      <c r="C938" s="1" t="n">
        <v>45760</v>
      </c>
      <c r="D938" t="inlineStr">
        <is>
          <t>KALMAR LÄN</t>
        </is>
      </c>
      <c r="E938" t="inlineStr">
        <is>
          <t>VIMMERBY</t>
        </is>
      </c>
      <c r="G938" t="n">
        <v>0.5</v>
      </c>
      <c r="H938" t="n">
        <v>0</v>
      </c>
      <c r="I938" t="n">
        <v>0</v>
      </c>
      <c r="J938" t="n">
        <v>0</v>
      </c>
      <c r="K938" t="n">
        <v>0</v>
      </c>
      <c r="L938" t="n">
        <v>0</v>
      </c>
      <c r="M938" t="n">
        <v>0</v>
      </c>
      <c r="N938" t="n">
        <v>0</v>
      </c>
      <c r="O938" t="n">
        <v>0</v>
      </c>
      <c r="P938" t="n">
        <v>0</v>
      </c>
      <c r="Q938" t="n">
        <v>0</v>
      </c>
      <c r="R938" s="2" t="inlineStr"/>
    </row>
    <row r="939" ht="15" customHeight="1">
      <c r="A939" t="inlineStr">
        <is>
          <t>A 30380-2023</t>
        </is>
      </c>
      <c r="B939" s="1" t="n">
        <v>45111</v>
      </c>
      <c r="C939" s="1" t="n">
        <v>45760</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30400-2023</t>
        </is>
      </c>
      <c r="B940" s="1" t="n">
        <v>45111</v>
      </c>
      <c r="C940" s="1" t="n">
        <v>45760</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30318-2023</t>
        </is>
      </c>
      <c r="B941" s="1" t="n">
        <v>45111</v>
      </c>
      <c r="C941" s="1" t="n">
        <v>45760</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30402-2023</t>
        </is>
      </c>
      <c r="B942" s="1" t="n">
        <v>45111</v>
      </c>
      <c r="C942" s="1" t="n">
        <v>45760</v>
      </c>
      <c r="D942" t="inlineStr">
        <is>
          <t>KALMAR LÄN</t>
        </is>
      </c>
      <c r="E942" t="inlineStr">
        <is>
          <t>VIMMERBY</t>
        </is>
      </c>
      <c r="G942" t="n">
        <v>0.7</v>
      </c>
      <c r="H942" t="n">
        <v>0</v>
      </c>
      <c r="I942" t="n">
        <v>0</v>
      </c>
      <c r="J942" t="n">
        <v>0</v>
      </c>
      <c r="K942" t="n">
        <v>0</v>
      </c>
      <c r="L942" t="n">
        <v>0</v>
      </c>
      <c r="M942" t="n">
        <v>0</v>
      </c>
      <c r="N942" t="n">
        <v>0</v>
      </c>
      <c r="O942" t="n">
        <v>0</v>
      </c>
      <c r="P942" t="n">
        <v>0</v>
      </c>
      <c r="Q942" t="n">
        <v>0</v>
      </c>
      <c r="R942" s="2" t="inlineStr"/>
    </row>
    <row r="943" ht="15" customHeight="1">
      <c r="A943" t="inlineStr">
        <is>
          <t>A 30406-2023</t>
        </is>
      </c>
      <c r="B943" s="1" t="n">
        <v>45111</v>
      </c>
      <c r="C943" s="1" t="n">
        <v>45760</v>
      </c>
      <c r="D943" t="inlineStr">
        <is>
          <t>KALMAR LÄN</t>
        </is>
      </c>
      <c r="E943" t="inlineStr">
        <is>
          <t>VIMMERBY</t>
        </is>
      </c>
      <c r="G943" t="n">
        <v>2.4</v>
      </c>
      <c r="H943" t="n">
        <v>0</v>
      </c>
      <c r="I943" t="n">
        <v>0</v>
      </c>
      <c r="J943" t="n">
        <v>0</v>
      </c>
      <c r="K943" t="n">
        <v>0</v>
      </c>
      <c r="L943" t="n">
        <v>0</v>
      </c>
      <c r="M943" t="n">
        <v>0</v>
      </c>
      <c r="N943" t="n">
        <v>0</v>
      </c>
      <c r="O943" t="n">
        <v>0</v>
      </c>
      <c r="P943" t="n">
        <v>0</v>
      </c>
      <c r="Q943" t="n">
        <v>0</v>
      </c>
      <c r="R943" s="2" t="inlineStr"/>
    </row>
    <row r="944" ht="15" customHeight="1">
      <c r="A944" t="inlineStr">
        <is>
          <t>A 30404-2023</t>
        </is>
      </c>
      <c r="B944" s="1" t="n">
        <v>45111</v>
      </c>
      <c r="C944" s="1" t="n">
        <v>45760</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30408-2023</t>
        </is>
      </c>
      <c r="B945" s="1" t="n">
        <v>45111</v>
      </c>
      <c r="C945" s="1" t="n">
        <v>45760</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30586-2023</t>
        </is>
      </c>
      <c r="B946" s="1" t="n">
        <v>45112</v>
      </c>
      <c r="C946" s="1" t="n">
        <v>45760</v>
      </c>
      <c r="D946" t="inlineStr">
        <is>
          <t>KALMAR LÄN</t>
        </is>
      </c>
      <c r="E946" t="inlineStr">
        <is>
          <t>VIMMERBY</t>
        </is>
      </c>
      <c r="G946" t="n">
        <v>3.6</v>
      </c>
      <c r="H946" t="n">
        <v>0</v>
      </c>
      <c r="I946" t="n">
        <v>0</v>
      </c>
      <c r="J946" t="n">
        <v>0</v>
      </c>
      <c r="K946" t="n">
        <v>0</v>
      </c>
      <c r="L946" t="n">
        <v>0</v>
      </c>
      <c r="M946" t="n">
        <v>0</v>
      </c>
      <c r="N946" t="n">
        <v>0</v>
      </c>
      <c r="O946" t="n">
        <v>0</v>
      </c>
      <c r="P946" t="n">
        <v>0</v>
      </c>
      <c r="Q946" t="n">
        <v>0</v>
      </c>
      <c r="R946" s="2" t="inlineStr"/>
    </row>
    <row r="947" ht="15" customHeight="1">
      <c r="A947" t="inlineStr">
        <is>
          <t>A 30588-2023</t>
        </is>
      </c>
      <c r="B947" s="1" t="n">
        <v>45112</v>
      </c>
      <c r="C947" s="1" t="n">
        <v>45760</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30896-2023</t>
        </is>
      </c>
      <c r="B948" s="1" t="n">
        <v>45113</v>
      </c>
      <c r="C948" s="1" t="n">
        <v>45760</v>
      </c>
      <c r="D948" t="inlineStr">
        <is>
          <t>KALMAR LÄN</t>
        </is>
      </c>
      <c r="E948" t="inlineStr">
        <is>
          <t>VIMMERBY</t>
        </is>
      </c>
      <c r="G948" t="n">
        <v>3.2</v>
      </c>
      <c r="H948" t="n">
        <v>0</v>
      </c>
      <c r="I948" t="n">
        <v>0</v>
      </c>
      <c r="J948" t="n">
        <v>0</v>
      </c>
      <c r="K948" t="n">
        <v>0</v>
      </c>
      <c r="L948" t="n">
        <v>0</v>
      </c>
      <c r="M948" t="n">
        <v>0</v>
      </c>
      <c r="N948" t="n">
        <v>0</v>
      </c>
      <c r="O948" t="n">
        <v>0</v>
      </c>
      <c r="P948" t="n">
        <v>0</v>
      </c>
      <c r="Q948" t="n">
        <v>0</v>
      </c>
      <c r="R948" s="2" t="inlineStr"/>
    </row>
    <row r="949" ht="15" customHeight="1">
      <c r="A949" t="inlineStr">
        <is>
          <t>A 30899-2023</t>
        </is>
      </c>
      <c r="B949" s="1" t="n">
        <v>45113</v>
      </c>
      <c r="C949" s="1" t="n">
        <v>45760</v>
      </c>
      <c r="D949" t="inlineStr">
        <is>
          <t>KALMAR LÄN</t>
        </is>
      </c>
      <c r="E949" t="inlineStr">
        <is>
          <t>VIMMERBY</t>
        </is>
      </c>
      <c r="G949" t="n">
        <v>0.9</v>
      </c>
      <c r="H949" t="n">
        <v>0</v>
      </c>
      <c r="I949" t="n">
        <v>0</v>
      </c>
      <c r="J949" t="n">
        <v>0</v>
      </c>
      <c r="K949" t="n">
        <v>0</v>
      </c>
      <c r="L949" t="n">
        <v>0</v>
      </c>
      <c r="M949" t="n">
        <v>0</v>
      </c>
      <c r="N949" t="n">
        <v>0</v>
      </c>
      <c r="O949" t="n">
        <v>0</v>
      </c>
      <c r="P949" t="n">
        <v>0</v>
      </c>
      <c r="Q949" t="n">
        <v>0</v>
      </c>
      <c r="R949" s="2" t="inlineStr"/>
    </row>
    <row r="950" ht="15" customHeight="1">
      <c r="A950" t="inlineStr">
        <is>
          <t>A 30912-2023</t>
        </is>
      </c>
      <c r="B950" s="1" t="n">
        <v>45113</v>
      </c>
      <c r="C950" s="1" t="n">
        <v>45760</v>
      </c>
      <c r="D950" t="inlineStr">
        <is>
          <t>KALMAR LÄN</t>
        </is>
      </c>
      <c r="E950" t="inlineStr">
        <is>
          <t>VIMMERBY</t>
        </is>
      </c>
      <c r="G950" t="n">
        <v>5</v>
      </c>
      <c r="H950" t="n">
        <v>0</v>
      </c>
      <c r="I950" t="n">
        <v>0</v>
      </c>
      <c r="J950" t="n">
        <v>0</v>
      </c>
      <c r="K950" t="n">
        <v>0</v>
      </c>
      <c r="L950" t="n">
        <v>0</v>
      </c>
      <c r="M950" t="n">
        <v>0</v>
      </c>
      <c r="N950" t="n">
        <v>0</v>
      </c>
      <c r="O950" t="n">
        <v>0</v>
      </c>
      <c r="P950" t="n">
        <v>0</v>
      </c>
      <c r="Q950" t="n">
        <v>0</v>
      </c>
      <c r="R950" s="2" t="inlineStr"/>
    </row>
    <row r="951" ht="15" customHeight="1">
      <c r="A951" t="inlineStr">
        <is>
          <t>A 30920-2023</t>
        </is>
      </c>
      <c r="B951" s="1" t="n">
        <v>45113</v>
      </c>
      <c r="C951" s="1" t="n">
        <v>45760</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30894-2023</t>
        </is>
      </c>
      <c r="B952" s="1" t="n">
        <v>45113</v>
      </c>
      <c r="C952" s="1" t="n">
        <v>45760</v>
      </c>
      <c r="D952" t="inlineStr">
        <is>
          <t>KALMAR LÄN</t>
        </is>
      </c>
      <c r="E952" t="inlineStr">
        <is>
          <t>VIMMERBY</t>
        </is>
      </c>
      <c r="G952" t="n">
        <v>4.9</v>
      </c>
      <c r="H952" t="n">
        <v>0</v>
      </c>
      <c r="I952" t="n">
        <v>0</v>
      </c>
      <c r="J952" t="n">
        <v>0</v>
      </c>
      <c r="K952" t="n">
        <v>0</v>
      </c>
      <c r="L952" t="n">
        <v>0</v>
      </c>
      <c r="M952" t="n">
        <v>0</v>
      </c>
      <c r="N952" t="n">
        <v>0</v>
      </c>
      <c r="O952" t="n">
        <v>0</v>
      </c>
      <c r="P952" t="n">
        <v>0</v>
      </c>
      <c r="Q952" t="n">
        <v>0</v>
      </c>
      <c r="R952" s="2" t="inlineStr"/>
    </row>
    <row r="953" ht="15" customHeight="1">
      <c r="A953" t="inlineStr">
        <is>
          <t>A 30898-2023</t>
        </is>
      </c>
      <c r="B953" s="1" t="n">
        <v>45113</v>
      </c>
      <c r="C953" s="1" t="n">
        <v>45760</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31013-2023</t>
        </is>
      </c>
      <c r="B954" s="1" t="n">
        <v>45113</v>
      </c>
      <c r="C954" s="1" t="n">
        <v>45760</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31017-2023</t>
        </is>
      </c>
      <c r="B955" s="1" t="n">
        <v>45113</v>
      </c>
      <c r="C955" s="1" t="n">
        <v>45760</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31340-2023</t>
        </is>
      </c>
      <c r="B956" s="1" t="n">
        <v>45114</v>
      </c>
      <c r="C956" s="1" t="n">
        <v>45760</v>
      </c>
      <c r="D956" t="inlineStr">
        <is>
          <t>KALMAR LÄN</t>
        </is>
      </c>
      <c r="E956" t="inlineStr">
        <is>
          <t>VIMMERBY</t>
        </is>
      </c>
      <c r="G956" t="n">
        <v>1.8</v>
      </c>
      <c r="H956" t="n">
        <v>0</v>
      </c>
      <c r="I956" t="n">
        <v>0</v>
      </c>
      <c r="J956" t="n">
        <v>0</v>
      </c>
      <c r="K956" t="n">
        <v>0</v>
      </c>
      <c r="L956" t="n">
        <v>0</v>
      </c>
      <c r="M956" t="n">
        <v>0</v>
      </c>
      <c r="N956" t="n">
        <v>0</v>
      </c>
      <c r="O956" t="n">
        <v>0</v>
      </c>
      <c r="P956" t="n">
        <v>0</v>
      </c>
      <c r="Q956" t="n">
        <v>0</v>
      </c>
      <c r="R956" s="2" t="inlineStr"/>
    </row>
    <row r="957" ht="15" customHeight="1">
      <c r="A957" t="inlineStr">
        <is>
          <t>A 31369-2023</t>
        </is>
      </c>
      <c r="B957" s="1" t="n">
        <v>45114</v>
      </c>
      <c r="C957" s="1" t="n">
        <v>45760</v>
      </c>
      <c r="D957" t="inlineStr">
        <is>
          <t>KALMAR LÄN</t>
        </is>
      </c>
      <c r="E957" t="inlineStr">
        <is>
          <t>VIMMERBY</t>
        </is>
      </c>
      <c r="G957" t="n">
        <v>2.3</v>
      </c>
      <c r="H957" t="n">
        <v>0</v>
      </c>
      <c r="I957" t="n">
        <v>0</v>
      </c>
      <c r="J957" t="n">
        <v>0</v>
      </c>
      <c r="K957" t="n">
        <v>0</v>
      </c>
      <c r="L957" t="n">
        <v>0</v>
      </c>
      <c r="M957" t="n">
        <v>0</v>
      </c>
      <c r="N957" t="n">
        <v>0</v>
      </c>
      <c r="O957" t="n">
        <v>0</v>
      </c>
      <c r="P957" t="n">
        <v>0</v>
      </c>
      <c r="Q957" t="n">
        <v>0</v>
      </c>
      <c r="R957" s="2" t="inlineStr"/>
    </row>
    <row r="958" ht="15" customHeight="1">
      <c r="A958" t="inlineStr">
        <is>
          <t>A 31377-2023</t>
        </is>
      </c>
      <c r="B958" s="1" t="n">
        <v>45114</v>
      </c>
      <c r="C958" s="1" t="n">
        <v>45760</v>
      </c>
      <c r="D958" t="inlineStr">
        <is>
          <t>KALMAR LÄN</t>
        </is>
      </c>
      <c r="E958" t="inlineStr">
        <is>
          <t>VIMMERBY</t>
        </is>
      </c>
      <c r="G958" t="n">
        <v>2</v>
      </c>
      <c r="H958" t="n">
        <v>0</v>
      </c>
      <c r="I958" t="n">
        <v>0</v>
      </c>
      <c r="J958" t="n">
        <v>0</v>
      </c>
      <c r="K958" t="n">
        <v>0</v>
      </c>
      <c r="L958" t="n">
        <v>0</v>
      </c>
      <c r="M958" t="n">
        <v>0</v>
      </c>
      <c r="N958" t="n">
        <v>0</v>
      </c>
      <c r="O958" t="n">
        <v>0</v>
      </c>
      <c r="P958" t="n">
        <v>0</v>
      </c>
      <c r="Q958" t="n">
        <v>0</v>
      </c>
      <c r="R958" s="2" t="inlineStr"/>
    </row>
    <row r="959" ht="15" customHeight="1">
      <c r="A959" t="inlineStr">
        <is>
          <t>A 31382-2023</t>
        </is>
      </c>
      <c r="B959" s="1" t="n">
        <v>45114</v>
      </c>
      <c r="C959" s="1" t="n">
        <v>45760</v>
      </c>
      <c r="D959" t="inlineStr">
        <is>
          <t>KALMAR LÄN</t>
        </is>
      </c>
      <c r="E959" t="inlineStr">
        <is>
          <t>VIMMERBY</t>
        </is>
      </c>
      <c r="G959" t="n">
        <v>3.7</v>
      </c>
      <c r="H959" t="n">
        <v>0</v>
      </c>
      <c r="I959" t="n">
        <v>0</v>
      </c>
      <c r="J959" t="n">
        <v>0</v>
      </c>
      <c r="K959" t="n">
        <v>0</v>
      </c>
      <c r="L959" t="n">
        <v>0</v>
      </c>
      <c r="M959" t="n">
        <v>0</v>
      </c>
      <c r="N959" t="n">
        <v>0</v>
      </c>
      <c r="O959" t="n">
        <v>0</v>
      </c>
      <c r="P959" t="n">
        <v>0</v>
      </c>
      <c r="Q959" t="n">
        <v>0</v>
      </c>
      <c r="R959" s="2" t="inlineStr"/>
    </row>
    <row r="960" ht="15" customHeight="1">
      <c r="A960" t="inlineStr">
        <is>
          <t>A 31405-2023</t>
        </is>
      </c>
      <c r="B960" s="1" t="n">
        <v>45114</v>
      </c>
      <c r="C960" s="1" t="n">
        <v>45760</v>
      </c>
      <c r="D960" t="inlineStr">
        <is>
          <t>KALMAR LÄN</t>
        </is>
      </c>
      <c r="E960" t="inlineStr">
        <is>
          <t>VIMMERBY</t>
        </is>
      </c>
      <c r="G960" t="n">
        <v>2.6</v>
      </c>
      <c r="H960" t="n">
        <v>0</v>
      </c>
      <c r="I960" t="n">
        <v>0</v>
      </c>
      <c r="J960" t="n">
        <v>0</v>
      </c>
      <c r="K960" t="n">
        <v>0</v>
      </c>
      <c r="L960" t="n">
        <v>0</v>
      </c>
      <c r="M960" t="n">
        <v>0</v>
      </c>
      <c r="N960" t="n">
        <v>0</v>
      </c>
      <c r="O960" t="n">
        <v>0</v>
      </c>
      <c r="P960" t="n">
        <v>0</v>
      </c>
      <c r="Q960" t="n">
        <v>0</v>
      </c>
      <c r="R960" s="2" t="inlineStr"/>
    </row>
    <row r="961" ht="15" customHeight="1">
      <c r="A961" t="inlineStr">
        <is>
          <t>A 31336-2023</t>
        </is>
      </c>
      <c r="B961" s="1" t="n">
        <v>45114</v>
      </c>
      <c r="C961" s="1" t="n">
        <v>45760</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31355-2023</t>
        </is>
      </c>
      <c r="B962" s="1" t="n">
        <v>45114</v>
      </c>
      <c r="C962" s="1" t="n">
        <v>45760</v>
      </c>
      <c r="D962" t="inlineStr">
        <is>
          <t>KALMAR LÄN</t>
        </is>
      </c>
      <c r="E962" t="inlineStr">
        <is>
          <t>VIMMERBY</t>
        </is>
      </c>
      <c r="G962" t="n">
        <v>1.3</v>
      </c>
      <c r="H962" t="n">
        <v>0</v>
      </c>
      <c r="I962" t="n">
        <v>0</v>
      </c>
      <c r="J962" t="n">
        <v>0</v>
      </c>
      <c r="K962" t="n">
        <v>0</v>
      </c>
      <c r="L962" t="n">
        <v>0</v>
      </c>
      <c r="M962" t="n">
        <v>0</v>
      </c>
      <c r="N962" t="n">
        <v>0</v>
      </c>
      <c r="O962" t="n">
        <v>0</v>
      </c>
      <c r="P962" t="n">
        <v>0</v>
      </c>
      <c r="Q962" t="n">
        <v>0</v>
      </c>
      <c r="R962" s="2" t="inlineStr"/>
    </row>
    <row r="963" ht="15" customHeight="1">
      <c r="A963" t="inlineStr">
        <is>
          <t>A 31390-2023</t>
        </is>
      </c>
      <c r="B963" s="1" t="n">
        <v>45114</v>
      </c>
      <c r="C963" s="1" t="n">
        <v>45760</v>
      </c>
      <c r="D963" t="inlineStr">
        <is>
          <t>KALMAR LÄN</t>
        </is>
      </c>
      <c r="E963" t="inlineStr">
        <is>
          <t>VIMMERBY</t>
        </is>
      </c>
      <c r="G963" t="n">
        <v>3.1</v>
      </c>
      <c r="H963" t="n">
        <v>0</v>
      </c>
      <c r="I963" t="n">
        <v>0</v>
      </c>
      <c r="J963" t="n">
        <v>0</v>
      </c>
      <c r="K963" t="n">
        <v>0</v>
      </c>
      <c r="L963" t="n">
        <v>0</v>
      </c>
      <c r="M963" t="n">
        <v>0</v>
      </c>
      <c r="N963" t="n">
        <v>0</v>
      </c>
      <c r="O963" t="n">
        <v>0</v>
      </c>
      <c r="P963" t="n">
        <v>0</v>
      </c>
      <c r="Q963" t="n">
        <v>0</v>
      </c>
      <c r="R963" s="2" t="inlineStr"/>
    </row>
    <row r="964" ht="15" customHeight="1">
      <c r="A964" t="inlineStr">
        <is>
          <t>A 31408-2023</t>
        </is>
      </c>
      <c r="B964" s="1" t="n">
        <v>45114</v>
      </c>
      <c r="C964" s="1" t="n">
        <v>45760</v>
      </c>
      <c r="D964" t="inlineStr">
        <is>
          <t>KALMAR LÄN</t>
        </is>
      </c>
      <c r="E964" t="inlineStr">
        <is>
          <t>VIMMERBY</t>
        </is>
      </c>
      <c r="G964" t="n">
        <v>4.4</v>
      </c>
      <c r="H964" t="n">
        <v>0</v>
      </c>
      <c r="I964" t="n">
        <v>0</v>
      </c>
      <c r="J964" t="n">
        <v>0</v>
      </c>
      <c r="K964" t="n">
        <v>0</v>
      </c>
      <c r="L964" t="n">
        <v>0</v>
      </c>
      <c r="M964" t="n">
        <v>0</v>
      </c>
      <c r="N964" t="n">
        <v>0</v>
      </c>
      <c r="O964" t="n">
        <v>0</v>
      </c>
      <c r="P964" t="n">
        <v>0</v>
      </c>
      <c r="Q964" t="n">
        <v>0</v>
      </c>
      <c r="R964" s="2" t="inlineStr"/>
    </row>
    <row r="965" ht="15" customHeight="1">
      <c r="A965" t="inlineStr">
        <is>
          <t>A 31682-2023</t>
        </is>
      </c>
      <c r="B965" s="1" t="n">
        <v>45117</v>
      </c>
      <c r="C965" s="1" t="n">
        <v>45760</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32633-2023</t>
        </is>
      </c>
      <c r="B966" s="1" t="n">
        <v>45121</v>
      </c>
      <c r="C966" s="1" t="n">
        <v>45760</v>
      </c>
      <c r="D966" t="inlineStr">
        <is>
          <t>KALMAR LÄN</t>
        </is>
      </c>
      <c r="E966" t="inlineStr">
        <is>
          <t>VIMMERBY</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32651-2023</t>
        </is>
      </c>
      <c r="B967" s="1" t="n">
        <v>45121</v>
      </c>
      <c r="C967" s="1" t="n">
        <v>45760</v>
      </c>
      <c r="D967" t="inlineStr">
        <is>
          <t>KALMAR LÄN</t>
        </is>
      </c>
      <c r="E967" t="inlineStr">
        <is>
          <t>VIMMERBY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32655-2023</t>
        </is>
      </c>
      <c r="B968" s="1" t="n">
        <v>45121</v>
      </c>
      <c r="C968" s="1" t="n">
        <v>45760</v>
      </c>
      <c r="D968" t="inlineStr">
        <is>
          <t>KALMAR LÄN</t>
        </is>
      </c>
      <c r="E968" t="inlineStr">
        <is>
          <t>VIMMERBY</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32669-2023</t>
        </is>
      </c>
      <c r="B969" s="1" t="n">
        <v>45121</v>
      </c>
      <c r="C969" s="1" t="n">
        <v>45760</v>
      </c>
      <c r="D969" t="inlineStr">
        <is>
          <t>KALMAR LÄN</t>
        </is>
      </c>
      <c r="E969" t="inlineStr">
        <is>
          <t>VIMMERBY</t>
        </is>
      </c>
      <c r="G969" t="n">
        <v>1.8</v>
      </c>
      <c r="H969" t="n">
        <v>0</v>
      </c>
      <c r="I969" t="n">
        <v>0</v>
      </c>
      <c r="J969" t="n">
        <v>0</v>
      </c>
      <c r="K969" t="n">
        <v>0</v>
      </c>
      <c r="L969" t="n">
        <v>0</v>
      </c>
      <c r="M969" t="n">
        <v>0</v>
      </c>
      <c r="N969" t="n">
        <v>0</v>
      </c>
      <c r="O969" t="n">
        <v>0</v>
      </c>
      <c r="P969" t="n">
        <v>0</v>
      </c>
      <c r="Q969" t="n">
        <v>0</v>
      </c>
      <c r="R969" s="2" t="inlineStr"/>
    </row>
    <row r="970" ht="15" customHeight="1">
      <c r="A970" t="inlineStr">
        <is>
          <t>A 32614-2023</t>
        </is>
      </c>
      <c r="B970" s="1" t="n">
        <v>45121</v>
      </c>
      <c r="C970" s="1" t="n">
        <v>45760</v>
      </c>
      <c r="D970" t="inlineStr">
        <is>
          <t>KALMAR LÄN</t>
        </is>
      </c>
      <c r="E970" t="inlineStr">
        <is>
          <t>VIMMERBY</t>
        </is>
      </c>
      <c r="G970" t="n">
        <v>0.6</v>
      </c>
      <c r="H970" t="n">
        <v>0</v>
      </c>
      <c r="I970" t="n">
        <v>0</v>
      </c>
      <c r="J970" t="n">
        <v>0</v>
      </c>
      <c r="K970" t="n">
        <v>0</v>
      </c>
      <c r="L970" t="n">
        <v>0</v>
      </c>
      <c r="M970" t="n">
        <v>0</v>
      </c>
      <c r="N970" t="n">
        <v>0</v>
      </c>
      <c r="O970" t="n">
        <v>0</v>
      </c>
      <c r="P970" t="n">
        <v>0</v>
      </c>
      <c r="Q970" t="n">
        <v>0</v>
      </c>
      <c r="R970" s="2" t="inlineStr"/>
    </row>
    <row r="971" ht="15" customHeight="1">
      <c r="A971" t="inlineStr">
        <is>
          <t>A 32642-2023</t>
        </is>
      </c>
      <c r="B971" s="1" t="n">
        <v>45121</v>
      </c>
      <c r="C971" s="1" t="n">
        <v>45760</v>
      </c>
      <c r="D971" t="inlineStr">
        <is>
          <t>KALMAR LÄN</t>
        </is>
      </c>
      <c r="E971" t="inlineStr">
        <is>
          <t>VIMMERBY</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32639-2023</t>
        </is>
      </c>
      <c r="B972" s="1" t="n">
        <v>45121</v>
      </c>
      <c r="C972" s="1" t="n">
        <v>45760</v>
      </c>
      <c r="D972" t="inlineStr">
        <is>
          <t>KALMAR LÄN</t>
        </is>
      </c>
      <c r="E972" t="inlineStr">
        <is>
          <t>VIMMERBY</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32865-2023</t>
        </is>
      </c>
      <c r="B973" s="1" t="n">
        <v>45124</v>
      </c>
      <c r="C973" s="1" t="n">
        <v>45760</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32984-2023</t>
        </is>
      </c>
      <c r="B974" s="1" t="n">
        <v>45125</v>
      </c>
      <c r="C974" s="1" t="n">
        <v>45760</v>
      </c>
      <c r="D974" t="inlineStr">
        <is>
          <t>KALMAR LÄN</t>
        </is>
      </c>
      <c r="E974" t="inlineStr">
        <is>
          <t>VIMMERBY</t>
        </is>
      </c>
      <c r="G974" t="n">
        <v>1.7</v>
      </c>
      <c r="H974" t="n">
        <v>0</v>
      </c>
      <c r="I974" t="n">
        <v>0</v>
      </c>
      <c r="J974" t="n">
        <v>0</v>
      </c>
      <c r="K974" t="n">
        <v>0</v>
      </c>
      <c r="L974" t="n">
        <v>0</v>
      </c>
      <c r="M974" t="n">
        <v>0</v>
      </c>
      <c r="N974" t="n">
        <v>0</v>
      </c>
      <c r="O974" t="n">
        <v>0</v>
      </c>
      <c r="P974" t="n">
        <v>0</v>
      </c>
      <c r="Q974" t="n">
        <v>0</v>
      </c>
      <c r="R974" s="2" t="inlineStr"/>
    </row>
    <row r="975" ht="15" customHeight="1">
      <c r="A975" t="inlineStr">
        <is>
          <t>A 33236-2023</t>
        </is>
      </c>
      <c r="B975" s="1" t="n">
        <v>45127</v>
      </c>
      <c r="C975" s="1" t="n">
        <v>45760</v>
      </c>
      <c r="D975" t="inlineStr">
        <is>
          <t>KALMAR LÄN</t>
        </is>
      </c>
      <c r="E975" t="inlineStr">
        <is>
          <t>VIMMERBY</t>
        </is>
      </c>
      <c r="G975" t="n">
        <v>2.5</v>
      </c>
      <c r="H975" t="n">
        <v>0</v>
      </c>
      <c r="I975" t="n">
        <v>0</v>
      </c>
      <c r="J975" t="n">
        <v>0</v>
      </c>
      <c r="K975" t="n">
        <v>0</v>
      </c>
      <c r="L975" t="n">
        <v>0</v>
      </c>
      <c r="M975" t="n">
        <v>0</v>
      </c>
      <c r="N975" t="n">
        <v>0</v>
      </c>
      <c r="O975" t="n">
        <v>0</v>
      </c>
      <c r="P975" t="n">
        <v>0</v>
      </c>
      <c r="Q975" t="n">
        <v>0</v>
      </c>
      <c r="R975" s="2" t="inlineStr"/>
    </row>
    <row r="976" ht="15" customHeight="1">
      <c r="A976" t="inlineStr">
        <is>
          <t>A 33340-2023</t>
        </is>
      </c>
      <c r="B976" s="1" t="n">
        <v>45128</v>
      </c>
      <c r="C976" s="1" t="n">
        <v>45760</v>
      </c>
      <c r="D976" t="inlineStr">
        <is>
          <t>KALMAR LÄN</t>
        </is>
      </c>
      <c r="E976" t="inlineStr">
        <is>
          <t>VIMMERBY</t>
        </is>
      </c>
      <c r="G976" t="n">
        <v>1.5</v>
      </c>
      <c r="H976" t="n">
        <v>0</v>
      </c>
      <c r="I976" t="n">
        <v>0</v>
      </c>
      <c r="J976" t="n">
        <v>0</v>
      </c>
      <c r="K976" t="n">
        <v>0</v>
      </c>
      <c r="L976" t="n">
        <v>0</v>
      </c>
      <c r="M976" t="n">
        <v>0</v>
      </c>
      <c r="N976" t="n">
        <v>0</v>
      </c>
      <c r="O976" t="n">
        <v>0</v>
      </c>
      <c r="P976" t="n">
        <v>0</v>
      </c>
      <c r="Q976" t="n">
        <v>0</v>
      </c>
      <c r="R976" s="2" t="inlineStr"/>
    </row>
    <row r="977" ht="15" customHeight="1">
      <c r="A977" t="inlineStr">
        <is>
          <t>A 33383-2023</t>
        </is>
      </c>
      <c r="B977" s="1" t="n">
        <v>45128</v>
      </c>
      <c r="C977" s="1" t="n">
        <v>45760</v>
      </c>
      <c r="D977" t="inlineStr">
        <is>
          <t>KALMAR LÄN</t>
        </is>
      </c>
      <c r="E977" t="inlineStr">
        <is>
          <t>VIMMERBY</t>
        </is>
      </c>
      <c r="G977" t="n">
        <v>2.3</v>
      </c>
      <c r="H977" t="n">
        <v>0</v>
      </c>
      <c r="I977" t="n">
        <v>0</v>
      </c>
      <c r="J977" t="n">
        <v>0</v>
      </c>
      <c r="K977" t="n">
        <v>0</v>
      </c>
      <c r="L977" t="n">
        <v>0</v>
      </c>
      <c r="M977" t="n">
        <v>0</v>
      </c>
      <c r="N977" t="n">
        <v>0</v>
      </c>
      <c r="O977" t="n">
        <v>0</v>
      </c>
      <c r="P977" t="n">
        <v>0</v>
      </c>
      <c r="Q977" t="n">
        <v>0</v>
      </c>
      <c r="R977" s="2" t="inlineStr"/>
    </row>
    <row r="978" ht="15" customHeight="1">
      <c r="A978" t="inlineStr">
        <is>
          <t>A 33380-2023</t>
        </is>
      </c>
      <c r="B978" s="1" t="n">
        <v>45128</v>
      </c>
      <c r="C978" s="1" t="n">
        <v>45760</v>
      </c>
      <c r="D978" t="inlineStr">
        <is>
          <t>KALMAR LÄN</t>
        </is>
      </c>
      <c r="E978" t="inlineStr">
        <is>
          <t>VIMMERBY</t>
        </is>
      </c>
      <c r="G978" t="n">
        <v>5.2</v>
      </c>
      <c r="H978" t="n">
        <v>0</v>
      </c>
      <c r="I978" t="n">
        <v>0</v>
      </c>
      <c r="J978" t="n">
        <v>0</v>
      </c>
      <c r="K978" t="n">
        <v>0</v>
      </c>
      <c r="L978" t="n">
        <v>0</v>
      </c>
      <c r="M978" t="n">
        <v>0</v>
      </c>
      <c r="N978" t="n">
        <v>0</v>
      </c>
      <c r="O978" t="n">
        <v>0</v>
      </c>
      <c r="P978" t="n">
        <v>0</v>
      </c>
      <c r="Q978" t="n">
        <v>0</v>
      </c>
      <c r="R978" s="2" t="inlineStr"/>
    </row>
    <row r="979" ht="15" customHeight="1">
      <c r="A979" t="inlineStr">
        <is>
          <t>A 33417-2023</t>
        </is>
      </c>
      <c r="B979" s="1" t="n">
        <v>45128</v>
      </c>
      <c r="C979" s="1" t="n">
        <v>45760</v>
      </c>
      <c r="D979" t="inlineStr">
        <is>
          <t>KALMAR LÄN</t>
        </is>
      </c>
      <c r="E979" t="inlineStr">
        <is>
          <t>VIMMERBY</t>
        </is>
      </c>
      <c r="G979" t="n">
        <v>4.8</v>
      </c>
      <c r="H979" t="n">
        <v>0</v>
      </c>
      <c r="I979" t="n">
        <v>0</v>
      </c>
      <c r="J979" t="n">
        <v>0</v>
      </c>
      <c r="K979" t="n">
        <v>0</v>
      </c>
      <c r="L979" t="n">
        <v>0</v>
      </c>
      <c r="M979" t="n">
        <v>0</v>
      </c>
      <c r="N979" t="n">
        <v>0</v>
      </c>
      <c r="O979" t="n">
        <v>0</v>
      </c>
      <c r="P979" t="n">
        <v>0</v>
      </c>
      <c r="Q979" t="n">
        <v>0</v>
      </c>
      <c r="R979" s="2" t="inlineStr"/>
    </row>
    <row r="980" ht="15" customHeight="1">
      <c r="A980" t="inlineStr">
        <is>
          <t>A 33425-2023</t>
        </is>
      </c>
      <c r="B980" s="1" t="n">
        <v>45129</v>
      </c>
      <c r="C980" s="1" t="n">
        <v>45760</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33424-2023</t>
        </is>
      </c>
      <c r="B981" s="1" t="n">
        <v>45129</v>
      </c>
      <c r="C981" s="1" t="n">
        <v>45760</v>
      </c>
      <c r="D981" t="inlineStr">
        <is>
          <t>KALMAR LÄN</t>
        </is>
      </c>
      <c r="E981" t="inlineStr">
        <is>
          <t>VIMMERBY</t>
        </is>
      </c>
      <c r="G981" t="n">
        <v>2.4</v>
      </c>
      <c r="H981" t="n">
        <v>0</v>
      </c>
      <c r="I981" t="n">
        <v>0</v>
      </c>
      <c r="J981" t="n">
        <v>0</v>
      </c>
      <c r="K981" t="n">
        <v>0</v>
      </c>
      <c r="L981" t="n">
        <v>0</v>
      </c>
      <c r="M981" t="n">
        <v>0</v>
      </c>
      <c r="N981" t="n">
        <v>0</v>
      </c>
      <c r="O981" t="n">
        <v>0</v>
      </c>
      <c r="P981" t="n">
        <v>0</v>
      </c>
      <c r="Q981" t="n">
        <v>0</v>
      </c>
      <c r="R981" s="2" t="inlineStr"/>
    </row>
    <row r="982" ht="15" customHeight="1">
      <c r="A982" t="inlineStr">
        <is>
          <t>A 33649-2023</t>
        </is>
      </c>
      <c r="B982" s="1" t="n">
        <v>45132</v>
      </c>
      <c r="C982" s="1" t="n">
        <v>45760</v>
      </c>
      <c r="D982" t="inlineStr">
        <is>
          <t>KALMAR LÄN</t>
        </is>
      </c>
      <c r="E982" t="inlineStr">
        <is>
          <t>VIMMERBY</t>
        </is>
      </c>
      <c r="G982" t="n">
        <v>4.9</v>
      </c>
      <c r="H982" t="n">
        <v>0</v>
      </c>
      <c r="I982" t="n">
        <v>0</v>
      </c>
      <c r="J982" t="n">
        <v>0</v>
      </c>
      <c r="K982" t="n">
        <v>0</v>
      </c>
      <c r="L982" t="n">
        <v>0</v>
      </c>
      <c r="M982" t="n">
        <v>0</v>
      </c>
      <c r="N982" t="n">
        <v>0</v>
      </c>
      <c r="O982" t="n">
        <v>0</v>
      </c>
      <c r="P982" t="n">
        <v>0</v>
      </c>
      <c r="Q982" t="n">
        <v>0</v>
      </c>
      <c r="R982" s="2" t="inlineStr"/>
    </row>
    <row r="983" ht="15" customHeight="1">
      <c r="A983" t="inlineStr">
        <is>
          <t>A 34205-2023</t>
        </is>
      </c>
      <c r="B983" s="1" t="n">
        <v>45138</v>
      </c>
      <c r="C983" s="1" t="n">
        <v>45760</v>
      </c>
      <c r="D983" t="inlineStr">
        <is>
          <t>KALMAR LÄN</t>
        </is>
      </c>
      <c r="E983" t="inlineStr">
        <is>
          <t>VIMMERBY</t>
        </is>
      </c>
      <c r="G983" t="n">
        <v>0.6</v>
      </c>
      <c r="H983" t="n">
        <v>0</v>
      </c>
      <c r="I983" t="n">
        <v>0</v>
      </c>
      <c r="J983" t="n">
        <v>0</v>
      </c>
      <c r="K983" t="n">
        <v>0</v>
      </c>
      <c r="L983" t="n">
        <v>0</v>
      </c>
      <c r="M983" t="n">
        <v>0</v>
      </c>
      <c r="N983" t="n">
        <v>0</v>
      </c>
      <c r="O983" t="n">
        <v>0</v>
      </c>
      <c r="P983" t="n">
        <v>0</v>
      </c>
      <c r="Q983" t="n">
        <v>0</v>
      </c>
      <c r="R983" s="2" t="inlineStr"/>
    </row>
    <row r="984" ht="15" customHeight="1">
      <c r="A984" t="inlineStr">
        <is>
          <t>A 34300-2023</t>
        </is>
      </c>
      <c r="B984" s="1" t="n">
        <v>45138</v>
      </c>
      <c r="C984" s="1" t="n">
        <v>45760</v>
      </c>
      <c r="D984" t="inlineStr">
        <is>
          <t>KALMAR LÄN</t>
        </is>
      </c>
      <c r="E984" t="inlineStr">
        <is>
          <t>VIMMERBY</t>
        </is>
      </c>
      <c r="G984" t="n">
        <v>0.9</v>
      </c>
      <c r="H984" t="n">
        <v>0</v>
      </c>
      <c r="I984" t="n">
        <v>0</v>
      </c>
      <c r="J984" t="n">
        <v>0</v>
      </c>
      <c r="K984" t="n">
        <v>0</v>
      </c>
      <c r="L984" t="n">
        <v>0</v>
      </c>
      <c r="M984" t="n">
        <v>0</v>
      </c>
      <c r="N984" t="n">
        <v>0</v>
      </c>
      <c r="O984" t="n">
        <v>0</v>
      </c>
      <c r="P984" t="n">
        <v>0</v>
      </c>
      <c r="Q984" t="n">
        <v>0</v>
      </c>
      <c r="R984" s="2" t="inlineStr"/>
    </row>
    <row r="985" ht="15" customHeight="1">
      <c r="A985" t="inlineStr">
        <is>
          <t>A 34956-2023</t>
        </is>
      </c>
      <c r="B985" s="1" t="n">
        <v>45142</v>
      </c>
      <c r="C985" s="1" t="n">
        <v>45760</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35190-2023</t>
        </is>
      </c>
      <c r="B986" s="1" t="n">
        <v>45145</v>
      </c>
      <c r="C986" s="1" t="n">
        <v>45760</v>
      </c>
      <c r="D986" t="inlineStr">
        <is>
          <t>KALMAR LÄN</t>
        </is>
      </c>
      <c r="E986" t="inlineStr">
        <is>
          <t>VIMMERBY</t>
        </is>
      </c>
      <c r="G986" t="n">
        <v>3.5</v>
      </c>
      <c r="H986" t="n">
        <v>0</v>
      </c>
      <c r="I986" t="n">
        <v>0</v>
      </c>
      <c r="J986" t="n">
        <v>0</v>
      </c>
      <c r="K986" t="n">
        <v>0</v>
      </c>
      <c r="L986" t="n">
        <v>0</v>
      </c>
      <c r="M986" t="n">
        <v>0</v>
      </c>
      <c r="N986" t="n">
        <v>0</v>
      </c>
      <c r="O986" t="n">
        <v>0</v>
      </c>
      <c r="P986" t="n">
        <v>0</v>
      </c>
      <c r="Q986" t="n">
        <v>0</v>
      </c>
      <c r="R986" s="2" t="inlineStr"/>
    </row>
    <row r="987" ht="15" customHeight="1">
      <c r="A987" t="inlineStr">
        <is>
          <t>A 35198-2023</t>
        </is>
      </c>
      <c r="B987" s="1" t="n">
        <v>45145</v>
      </c>
      <c r="C987" s="1" t="n">
        <v>45760</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35372-2023</t>
        </is>
      </c>
      <c r="B988" s="1" t="n">
        <v>45146</v>
      </c>
      <c r="C988" s="1" t="n">
        <v>45760</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35670-2023</t>
        </is>
      </c>
      <c r="B989" s="1" t="n">
        <v>45147</v>
      </c>
      <c r="C989" s="1" t="n">
        <v>45760</v>
      </c>
      <c r="D989" t="inlineStr">
        <is>
          <t>KALMAR LÄN</t>
        </is>
      </c>
      <c r="E989" t="inlineStr">
        <is>
          <t>VIMMERBY</t>
        </is>
      </c>
      <c r="G989" t="n">
        <v>6.4</v>
      </c>
      <c r="H989" t="n">
        <v>0</v>
      </c>
      <c r="I989" t="n">
        <v>0</v>
      </c>
      <c r="J989" t="n">
        <v>0</v>
      </c>
      <c r="K989" t="n">
        <v>0</v>
      </c>
      <c r="L989" t="n">
        <v>0</v>
      </c>
      <c r="M989" t="n">
        <v>0</v>
      </c>
      <c r="N989" t="n">
        <v>0</v>
      </c>
      <c r="O989" t="n">
        <v>0</v>
      </c>
      <c r="P989" t="n">
        <v>0</v>
      </c>
      <c r="Q989" t="n">
        <v>0</v>
      </c>
      <c r="R989" s="2" t="inlineStr"/>
    </row>
    <row r="990" ht="15" customHeight="1">
      <c r="A990" t="inlineStr">
        <is>
          <t>A 35678-2023</t>
        </is>
      </c>
      <c r="B990" s="1" t="n">
        <v>45147</v>
      </c>
      <c r="C990" s="1" t="n">
        <v>45760</v>
      </c>
      <c r="D990" t="inlineStr">
        <is>
          <t>KALMAR LÄN</t>
        </is>
      </c>
      <c r="E990" t="inlineStr">
        <is>
          <t>VIMMERBY</t>
        </is>
      </c>
      <c r="G990" t="n">
        <v>0.7</v>
      </c>
      <c r="H990" t="n">
        <v>0</v>
      </c>
      <c r="I990" t="n">
        <v>0</v>
      </c>
      <c r="J990" t="n">
        <v>0</v>
      </c>
      <c r="K990" t="n">
        <v>0</v>
      </c>
      <c r="L990" t="n">
        <v>0</v>
      </c>
      <c r="M990" t="n">
        <v>0</v>
      </c>
      <c r="N990" t="n">
        <v>0</v>
      </c>
      <c r="O990" t="n">
        <v>0</v>
      </c>
      <c r="P990" t="n">
        <v>0</v>
      </c>
      <c r="Q990" t="n">
        <v>0</v>
      </c>
      <c r="R990" s="2" t="inlineStr"/>
    </row>
    <row r="991" ht="15" customHeight="1">
      <c r="A991" t="inlineStr">
        <is>
          <t>A 35710-2023</t>
        </is>
      </c>
      <c r="B991" s="1" t="n">
        <v>45147</v>
      </c>
      <c r="C991" s="1" t="n">
        <v>45760</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35671-2023</t>
        </is>
      </c>
      <c r="B992" s="1" t="n">
        <v>45147</v>
      </c>
      <c r="C992" s="1" t="n">
        <v>45760</v>
      </c>
      <c r="D992" t="inlineStr">
        <is>
          <t>KALMAR LÄN</t>
        </is>
      </c>
      <c r="E992" t="inlineStr">
        <is>
          <t>VIMMERBY</t>
        </is>
      </c>
      <c r="G992" t="n">
        <v>2.3</v>
      </c>
      <c r="H992" t="n">
        <v>0</v>
      </c>
      <c r="I992" t="n">
        <v>0</v>
      </c>
      <c r="J992" t="n">
        <v>0</v>
      </c>
      <c r="K992" t="n">
        <v>0</v>
      </c>
      <c r="L992" t="n">
        <v>0</v>
      </c>
      <c r="M992" t="n">
        <v>0</v>
      </c>
      <c r="N992" t="n">
        <v>0</v>
      </c>
      <c r="O992" t="n">
        <v>0</v>
      </c>
      <c r="P992" t="n">
        <v>0</v>
      </c>
      <c r="Q992" t="n">
        <v>0</v>
      </c>
      <c r="R992" s="2" t="inlineStr"/>
    </row>
    <row r="993" ht="15" customHeight="1">
      <c r="A993" t="inlineStr">
        <is>
          <t>A 35711-2023</t>
        </is>
      </c>
      <c r="B993" s="1" t="n">
        <v>45147</v>
      </c>
      <c r="C993" s="1" t="n">
        <v>45760</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35672-2023</t>
        </is>
      </c>
      <c r="B994" s="1" t="n">
        <v>45147</v>
      </c>
      <c r="C994" s="1" t="n">
        <v>45760</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35713-2023</t>
        </is>
      </c>
      <c r="B995" s="1" t="n">
        <v>45147</v>
      </c>
      <c r="C995" s="1" t="n">
        <v>45760</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35839-2023</t>
        </is>
      </c>
      <c r="B996" s="1" t="n">
        <v>45148</v>
      </c>
      <c r="C996" s="1" t="n">
        <v>45760</v>
      </c>
      <c r="D996" t="inlineStr">
        <is>
          <t>KALMAR LÄN</t>
        </is>
      </c>
      <c r="E996" t="inlineStr">
        <is>
          <t>VIMMERBY</t>
        </is>
      </c>
      <c r="G996" t="n">
        <v>1.5</v>
      </c>
      <c r="H996" t="n">
        <v>0</v>
      </c>
      <c r="I996" t="n">
        <v>0</v>
      </c>
      <c r="J996" t="n">
        <v>0</v>
      </c>
      <c r="K996" t="n">
        <v>0</v>
      </c>
      <c r="L996" t="n">
        <v>0</v>
      </c>
      <c r="M996" t="n">
        <v>0</v>
      </c>
      <c r="N996" t="n">
        <v>0</v>
      </c>
      <c r="O996" t="n">
        <v>0</v>
      </c>
      <c r="P996" t="n">
        <v>0</v>
      </c>
      <c r="Q996" t="n">
        <v>0</v>
      </c>
      <c r="R996" s="2" t="inlineStr"/>
    </row>
    <row r="997" ht="15" customHeight="1">
      <c r="A997" t="inlineStr">
        <is>
          <t>A 35846-2023</t>
        </is>
      </c>
      <c r="B997" s="1" t="n">
        <v>45148</v>
      </c>
      <c r="C997" s="1" t="n">
        <v>45760</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35913-2023</t>
        </is>
      </c>
      <c r="B998" s="1" t="n">
        <v>45148</v>
      </c>
      <c r="C998" s="1" t="n">
        <v>45760</v>
      </c>
      <c r="D998" t="inlineStr">
        <is>
          <t>KALMAR LÄN</t>
        </is>
      </c>
      <c r="E998" t="inlineStr">
        <is>
          <t>VIMMERBY</t>
        </is>
      </c>
      <c r="G998" t="n">
        <v>6.9</v>
      </c>
      <c r="H998" t="n">
        <v>0</v>
      </c>
      <c r="I998" t="n">
        <v>0</v>
      </c>
      <c r="J998" t="n">
        <v>0</v>
      </c>
      <c r="K998" t="n">
        <v>0</v>
      </c>
      <c r="L998" t="n">
        <v>0</v>
      </c>
      <c r="M998" t="n">
        <v>0</v>
      </c>
      <c r="N998" t="n">
        <v>0</v>
      </c>
      <c r="O998" t="n">
        <v>0</v>
      </c>
      <c r="P998" t="n">
        <v>0</v>
      </c>
      <c r="Q998" t="n">
        <v>0</v>
      </c>
      <c r="R998" s="2" t="inlineStr"/>
    </row>
    <row r="999" ht="15" customHeight="1">
      <c r="A999" t="inlineStr">
        <is>
          <t>A 36155-2023</t>
        </is>
      </c>
      <c r="B999" s="1" t="n">
        <v>45149</v>
      </c>
      <c r="C999" s="1" t="n">
        <v>45760</v>
      </c>
      <c r="D999" t="inlineStr">
        <is>
          <t>KALMAR LÄN</t>
        </is>
      </c>
      <c r="E999" t="inlineStr">
        <is>
          <t>VIMMERBY</t>
        </is>
      </c>
      <c r="G999" t="n">
        <v>5</v>
      </c>
      <c r="H999" t="n">
        <v>0</v>
      </c>
      <c r="I999" t="n">
        <v>0</v>
      </c>
      <c r="J999" t="n">
        <v>0</v>
      </c>
      <c r="K999" t="n">
        <v>0</v>
      </c>
      <c r="L999" t="n">
        <v>0</v>
      </c>
      <c r="M999" t="n">
        <v>0</v>
      </c>
      <c r="N999" t="n">
        <v>0</v>
      </c>
      <c r="O999" t="n">
        <v>0</v>
      </c>
      <c r="P999" t="n">
        <v>0</v>
      </c>
      <c r="Q999" t="n">
        <v>0</v>
      </c>
      <c r="R999" s="2" t="inlineStr"/>
    </row>
    <row r="1000" ht="15" customHeight="1">
      <c r="A1000" t="inlineStr">
        <is>
          <t>A 36385-2023</t>
        </is>
      </c>
      <c r="B1000" s="1" t="n">
        <v>45152</v>
      </c>
      <c r="C1000" s="1" t="n">
        <v>45760</v>
      </c>
      <c r="D1000" t="inlineStr">
        <is>
          <t>KALMAR LÄN</t>
        </is>
      </c>
      <c r="E1000" t="inlineStr">
        <is>
          <t>VIMMERBY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36526-2023</t>
        </is>
      </c>
      <c r="B1001" s="1" t="n">
        <v>45153</v>
      </c>
      <c r="C1001" s="1" t="n">
        <v>45760</v>
      </c>
      <c r="D1001" t="inlineStr">
        <is>
          <t>KALMAR LÄN</t>
        </is>
      </c>
      <c r="E1001" t="inlineStr">
        <is>
          <t>VIMMERBY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36843-2023</t>
        </is>
      </c>
      <c r="B1002" s="1" t="n">
        <v>45154</v>
      </c>
      <c r="C1002" s="1" t="n">
        <v>45760</v>
      </c>
      <c r="D1002" t="inlineStr">
        <is>
          <t>KALMAR LÄN</t>
        </is>
      </c>
      <c r="E1002" t="inlineStr">
        <is>
          <t>VIMMERBY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37373-2023</t>
        </is>
      </c>
      <c r="B1003" s="1" t="n">
        <v>45156</v>
      </c>
      <c r="C1003" s="1" t="n">
        <v>45760</v>
      </c>
      <c r="D1003" t="inlineStr">
        <is>
          <t>KALMAR LÄN</t>
        </is>
      </c>
      <c r="E1003" t="inlineStr">
        <is>
          <t>VIMMERBY</t>
        </is>
      </c>
      <c r="F1003" t="inlineStr">
        <is>
          <t>Övriga Aktiebolag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38254-2023</t>
        </is>
      </c>
      <c r="B1004" s="1" t="n">
        <v>45160</v>
      </c>
      <c r="C1004" s="1" t="n">
        <v>45760</v>
      </c>
      <c r="D1004" t="inlineStr">
        <is>
          <t>KALMAR LÄN</t>
        </is>
      </c>
      <c r="E1004" t="inlineStr">
        <is>
          <t>VIMMERBY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38261-2023</t>
        </is>
      </c>
      <c r="B1005" s="1" t="n">
        <v>45160</v>
      </c>
      <c r="C1005" s="1" t="n">
        <v>45760</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38274-2023</t>
        </is>
      </c>
      <c r="B1006" s="1" t="n">
        <v>45161</v>
      </c>
      <c r="C1006" s="1" t="n">
        <v>45760</v>
      </c>
      <c r="D1006" t="inlineStr">
        <is>
          <t>KALMAR LÄN</t>
        </is>
      </c>
      <c r="E1006" t="inlineStr">
        <is>
          <t>VIMMERBY</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38969-2023</t>
        </is>
      </c>
      <c r="B1007" s="1" t="n">
        <v>45163</v>
      </c>
      <c r="C1007" s="1" t="n">
        <v>45760</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38993-2023</t>
        </is>
      </c>
      <c r="B1008" s="1" t="n">
        <v>45163</v>
      </c>
      <c r="C1008" s="1" t="n">
        <v>45760</v>
      </c>
      <c r="D1008" t="inlineStr">
        <is>
          <t>KALMAR LÄN</t>
        </is>
      </c>
      <c r="E1008" t="inlineStr">
        <is>
          <t>VIMMERBY</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38851-2023</t>
        </is>
      </c>
      <c r="B1009" s="1" t="n">
        <v>45163</v>
      </c>
      <c r="C1009" s="1" t="n">
        <v>45760</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38995-2023</t>
        </is>
      </c>
      <c r="B1010" s="1" t="n">
        <v>45163</v>
      </c>
      <c r="C1010" s="1" t="n">
        <v>45760</v>
      </c>
      <c r="D1010" t="inlineStr">
        <is>
          <t>KALMAR LÄN</t>
        </is>
      </c>
      <c r="E1010" t="inlineStr">
        <is>
          <t>VIMMERBY</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38779-2023</t>
        </is>
      </c>
      <c r="B1011" s="1" t="n">
        <v>45163</v>
      </c>
      <c r="C1011" s="1" t="n">
        <v>45760</v>
      </c>
      <c r="D1011" t="inlineStr">
        <is>
          <t>KALMAR LÄN</t>
        </is>
      </c>
      <c r="E1011" t="inlineStr">
        <is>
          <t>VIMMERBY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38757-2023</t>
        </is>
      </c>
      <c r="B1012" s="1" t="n">
        <v>45163</v>
      </c>
      <c r="C1012" s="1" t="n">
        <v>45760</v>
      </c>
      <c r="D1012" t="inlineStr">
        <is>
          <t>KALMAR LÄN</t>
        </is>
      </c>
      <c r="E1012" t="inlineStr">
        <is>
          <t>VIMMERBY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38799-2023</t>
        </is>
      </c>
      <c r="B1013" s="1" t="n">
        <v>45163</v>
      </c>
      <c r="C1013" s="1" t="n">
        <v>45760</v>
      </c>
      <c r="D1013" t="inlineStr">
        <is>
          <t>KALMAR LÄN</t>
        </is>
      </c>
      <c r="E1013" t="inlineStr">
        <is>
          <t>VIMMERBY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38803-2023</t>
        </is>
      </c>
      <c r="B1014" s="1" t="n">
        <v>45163</v>
      </c>
      <c r="C1014" s="1" t="n">
        <v>45760</v>
      </c>
      <c r="D1014" t="inlineStr">
        <is>
          <t>KALMAR LÄN</t>
        </is>
      </c>
      <c r="E1014" t="inlineStr">
        <is>
          <t>VIMMERBY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39129-2023</t>
        </is>
      </c>
      <c r="B1015" s="1" t="n">
        <v>45165</v>
      </c>
      <c r="C1015" s="1" t="n">
        <v>45760</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39401-2023</t>
        </is>
      </c>
      <c r="B1016" s="1" t="n">
        <v>45166</v>
      </c>
      <c r="C1016" s="1" t="n">
        <v>45760</v>
      </c>
      <c r="D1016" t="inlineStr">
        <is>
          <t>KALMAR LÄN</t>
        </is>
      </c>
      <c r="E1016" t="inlineStr">
        <is>
          <t>VIMMERBY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40079-2023</t>
        </is>
      </c>
      <c r="B1017" s="1" t="n">
        <v>45168</v>
      </c>
      <c r="C1017" s="1" t="n">
        <v>45760</v>
      </c>
      <c r="D1017" t="inlineStr">
        <is>
          <t>KALMAR LÄN</t>
        </is>
      </c>
      <c r="E1017" t="inlineStr">
        <is>
          <t>VIMMERBY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39912-2023</t>
        </is>
      </c>
      <c r="B1018" s="1" t="n">
        <v>45168</v>
      </c>
      <c r="C1018" s="1" t="n">
        <v>45760</v>
      </c>
      <c r="D1018" t="inlineStr">
        <is>
          <t>KALMAR LÄN</t>
        </is>
      </c>
      <c r="E1018" t="inlineStr">
        <is>
          <t>VIMMERBY</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40147-2023</t>
        </is>
      </c>
      <c r="B1019" s="1" t="n">
        <v>45169</v>
      </c>
      <c r="C1019" s="1" t="n">
        <v>45760</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40151-2023</t>
        </is>
      </c>
      <c r="B1020" s="1" t="n">
        <v>45169</v>
      </c>
      <c r="C1020" s="1" t="n">
        <v>45760</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40380-2023</t>
        </is>
      </c>
      <c r="B1021" s="1" t="n">
        <v>45169</v>
      </c>
      <c r="C1021" s="1" t="n">
        <v>45760</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40472-2023</t>
        </is>
      </c>
      <c r="B1022" s="1" t="n">
        <v>45170</v>
      </c>
      <c r="C1022" s="1" t="n">
        <v>45760</v>
      </c>
      <c r="D1022" t="inlineStr">
        <is>
          <t>KALMAR LÄN</t>
        </is>
      </c>
      <c r="E1022" t="inlineStr">
        <is>
          <t>VIMMERBY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40477-2023</t>
        </is>
      </c>
      <c r="B1023" s="1" t="n">
        <v>45170</v>
      </c>
      <c r="C1023" s="1" t="n">
        <v>45760</v>
      </c>
      <c r="D1023" t="inlineStr">
        <is>
          <t>KALMAR LÄN</t>
        </is>
      </c>
      <c r="E1023" t="inlineStr">
        <is>
          <t>VIMMERBY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40665-2023</t>
        </is>
      </c>
      <c r="B1024" s="1" t="n">
        <v>45170</v>
      </c>
      <c r="C1024" s="1" t="n">
        <v>45760</v>
      </c>
      <c r="D1024" t="inlineStr">
        <is>
          <t>KALMAR LÄN</t>
        </is>
      </c>
      <c r="E1024" t="inlineStr">
        <is>
          <t>VIMMERBY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40828-2023</t>
        </is>
      </c>
      <c r="B1025" s="1" t="n">
        <v>45172</v>
      </c>
      <c r="C1025" s="1" t="n">
        <v>45760</v>
      </c>
      <c r="D1025" t="inlineStr">
        <is>
          <t>KALMAR LÄN</t>
        </is>
      </c>
      <c r="E1025" t="inlineStr">
        <is>
          <t>VIMMERBY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40823-2023</t>
        </is>
      </c>
      <c r="B1026" s="1" t="n">
        <v>45171</v>
      </c>
      <c r="C1026" s="1" t="n">
        <v>45760</v>
      </c>
      <c r="D1026" t="inlineStr">
        <is>
          <t>KALMAR LÄN</t>
        </is>
      </c>
      <c r="E1026" t="inlineStr">
        <is>
          <t>VIMMERBY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41084-2023</t>
        </is>
      </c>
      <c r="B1027" s="1" t="n">
        <v>45173</v>
      </c>
      <c r="C1027" s="1" t="n">
        <v>45760</v>
      </c>
      <c r="D1027" t="inlineStr">
        <is>
          <t>KALMAR LÄN</t>
        </is>
      </c>
      <c r="E1027" t="inlineStr">
        <is>
          <t>VIMMERBY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41088-2023</t>
        </is>
      </c>
      <c r="B1028" s="1" t="n">
        <v>45173</v>
      </c>
      <c r="C1028" s="1" t="n">
        <v>45760</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41199-2023</t>
        </is>
      </c>
      <c r="B1029" s="1" t="n">
        <v>45174</v>
      </c>
      <c r="C1029" s="1" t="n">
        <v>45760</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41311-2023</t>
        </is>
      </c>
      <c r="B1030" s="1" t="n">
        <v>45174</v>
      </c>
      <c r="C1030" s="1" t="n">
        <v>45760</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41158-2023</t>
        </is>
      </c>
      <c r="B1031" s="1" t="n">
        <v>45174</v>
      </c>
      <c r="C1031" s="1" t="n">
        <v>45760</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41202-2023</t>
        </is>
      </c>
      <c r="B1032" s="1" t="n">
        <v>45174</v>
      </c>
      <c r="C1032" s="1" t="n">
        <v>45760</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41894-2023</t>
        </is>
      </c>
      <c r="B1033" s="1" t="n">
        <v>45176</v>
      </c>
      <c r="C1033" s="1" t="n">
        <v>45760</v>
      </c>
      <c r="D1033" t="inlineStr">
        <is>
          <t>KALMAR LÄN</t>
        </is>
      </c>
      <c r="E1033" t="inlineStr">
        <is>
          <t>VIMMERBY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41896-2023</t>
        </is>
      </c>
      <c r="B1034" s="1" t="n">
        <v>45176</v>
      </c>
      <c r="C1034" s="1" t="n">
        <v>45760</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42241-2023</t>
        </is>
      </c>
      <c r="B1035" s="1" t="n">
        <v>45180</v>
      </c>
      <c r="C1035" s="1" t="n">
        <v>45760</v>
      </c>
      <c r="D1035" t="inlineStr">
        <is>
          <t>KALMAR LÄN</t>
        </is>
      </c>
      <c r="E1035" t="inlineStr">
        <is>
          <t>VIMMERBY</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42689-2023</t>
        </is>
      </c>
      <c r="B1036" s="1" t="n">
        <v>45181</v>
      </c>
      <c r="C1036" s="1" t="n">
        <v>45760</v>
      </c>
      <c r="D1036" t="inlineStr">
        <is>
          <t>KALMAR LÄN</t>
        </is>
      </c>
      <c r="E1036" t="inlineStr">
        <is>
          <t>VIMMERBY</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42644-2023</t>
        </is>
      </c>
      <c r="B1037" s="1" t="n">
        <v>45181</v>
      </c>
      <c r="C1037" s="1" t="n">
        <v>45760</v>
      </c>
      <c r="D1037" t="inlineStr">
        <is>
          <t>KALMAR LÄN</t>
        </is>
      </c>
      <c r="E1037" t="inlineStr">
        <is>
          <t>VIMMERBY</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43068-2023</t>
        </is>
      </c>
      <c r="B1038" s="1" t="n">
        <v>45182</v>
      </c>
      <c r="C1038" s="1" t="n">
        <v>45760</v>
      </c>
      <c r="D1038" t="inlineStr">
        <is>
          <t>KALMAR LÄN</t>
        </is>
      </c>
      <c r="E1038" t="inlineStr">
        <is>
          <t>VIMMERBY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43705-2023</t>
        </is>
      </c>
      <c r="B1039" s="1" t="n">
        <v>45187</v>
      </c>
      <c r="C1039" s="1" t="n">
        <v>45760</v>
      </c>
      <c r="D1039" t="inlineStr">
        <is>
          <t>KALMAR LÄN</t>
        </is>
      </c>
      <c r="E1039" t="inlineStr">
        <is>
          <t>VIMMERBY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43853-2023</t>
        </is>
      </c>
      <c r="B1040" s="1" t="n">
        <v>45187</v>
      </c>
      <c r="C1040" s="1" t="n">
        <v>45760</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43706-2023</t>
        </is>
      </c>
      <c r="B1041" s="1" t="n">
        <v>45187</v>
      </c>
      <c r="C1041" s="1" t="n">
        <v>45760</v>
      </c>
      <c r="D1041" t="inlineStr">
        <is>
          <t>KALMAR LÄN</t>
        </is>
      </c>
      <c r="E1041" t="inlineStr">
        <is>
          <t>VIMMERBY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43774-2023</t>
        </is>
      </c>
      <c r="B1042" s="1" t="n">
        <v>45187</v>
      </c>
      <c r="C1042" s="1" t="n">
        <v>45760</v>
      </c>
      <c r="D1042" t="inlineStr">
        <is>
          <t>KALMAR LÄN</t>
        </is>
      </c>
      <c r="E1042" t="inlineStr">
        <is>
          <t>VIMMERBY</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44660-2023</t>
        </is>
      </c>
      <c r="B1043" s="1" t="n">
        <v>45189</v>
      </c>
      <c r="C1043" s="1" t="n">
        <v>45760</v>
      </c>
      <c r="D1043" t="inlineStr">
        <is>
          <t>KALMAR LÄN</t>
        </is>
      </c>
      <c r="E1043" t="inlineStr">
        <is>
          <t>VIMMERBY</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44423-2023</t>
        </is>
      </c>
      <c r="B1044" s="1" t="n">
        <v>45189</v>
      </c>
      <c r="C1044" s="1" t="n">
        <v>45760</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44833-2023</t>
        </is>
      </c>
      <c r="B1045" s="1" t="n">
        <v>45190</v>
      </c>
      <c r="C1045" s="1" t="n">
        <v>45760</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44962-2023</t>
        </is>
      </c>
      <c r="B1046" s="1" t="n">
        <v>45190</v>
      </c>
      <c r="C1046" s="1" t="n">
        <v>45760</v>
      </c>
      <c r="D1046" t="inlineStr">
        <is>
          <t>KALMAR LÄN</t>
        </is>
      </c>
      <c r="E1046" t="inlineStr">
        <is>
          <t>VIMMERBY</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44887-2023</t>
        </is>
      </c>
      <c r="B1047" s="1" t="n">
        <v>45190</v>
      </c>
      <c r="C1047" s="1" t="n">
        <v>45760</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44884-2023</t>
        </is>
      </c>
      <c r="B1048" s="1" t="n">
        <v>45190</v>
      </c>
      <c r="C1048" s="1" t="n">
        <v>45760</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45838-2023</t>
        </is>
      </c>
      <c r="B1049" s="1" t="n">
        <v>45195</v>
      </c>
      <c r="C1049" s="1" t="n">
        <v>45760</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45846-2023</t>
        </is>
      </c>
      <c r="B1050" s="1" t="n">
        <v>45195</v>
      </c>
      <c r="C1050" s="1" t="n">
        <v>45760</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45731-2023</t>
        </is>
      </c>
      <c r="B1051" s="1" t="n">
        <v>45195</v>
      </c>
      <c r="C1051" s="1" t="n">
        <v>45760</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45808-2023</t>
        </is>
      </c>
      <c r="B1052" s="1" t="n">
        <v>45195</v>
      </c>
      <c r="C1052" s="1" t="n">
        <v>45760</v>
      </c>
      <c r="D1052" t="inlineStr">
        <is>
          <t>KALMAR LÄN</t>
        </is>
      </c>
      <c r="E1052" t="inlineStr">
        <is>
          <t>VIMMERBY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45839-2023</t>
        </is>
      </c>
      <c r="B1053" s="1" t="n">
        <v>45195</v>
      </c>
      <c r="C1053" s="1" t="n">
        <v>45760</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46116-2023</t>
        </is>
      </c>
      <c r="B1054" s="1" t="n">
        <v>45196</v>
      </c>
      <c r="C1054" s="1" t="n">
        <v>45760</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46078-2023</t>
        </is>
      </c>
      <c r="B1055" s="1" t="n">
        <v>45196</v>
      </c>
      <c r="C1055" s="1" t="n">
        <v>45760</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46144-2023</t>
        </is>
      </c>
      <c r="B1056" s="1" t="n">
        <v>45196</v>
      </c>
      <c r="C1056" s="1" t="n">
        <v>45760</v>
      </c>
      <c r="D1056" t="inlineStr">
        <is>
          <t>KALMAR LÄN</t>
        </is>
      </c>
      <c r="E1056" t="inlineStr">
        <is>
          <t>VIMMERBY</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46697-2023</t>
        </is>
      </c>
      <c r="B1057" s="1" t="n">
        <v>45198</v>
      </c>
      <c r="C1057" s="1" t="n">
        <v>45760</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46695-2023</t>
        </is>
      </c>
      <c r="B1058" s="1" t="n">
        <v>45198</v>
      </c>
      <c r="C1058" s="1" t="n">
        <v>45760</v>
      </c>
      <c r="D1058" t="inlineStr">
        <is>
          <t>KALMAR LÄN</t>
        </is>
      </c>
      <c r="E1058" t="inlineStr">
        <is>
          <t>VIMMERBY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46916-2023</t>
        </is>
      </c>
      <c r="B1059" s="1" t="n">
        <v>45201</v>
      </c>
      <c r="C1059" s="1" t="n">
        <v>45760</v>
      </c>
      <c r="D1059" t="inlineStr">
        <is>
          <t>KALMAR LÄN</t>
        </is>
      </c>
      <c r="E1059" t="inlineStr">
        <is>
          <t>VIMMERBY</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46921-2023</t>
        </is>
      </c>
      <c r="B1060" s="1" t="n">
        <v>45201</v>
      </c>
      <c r="C1060" s="1" t="n">
        <v>45760</v>
      </c>
      <c r="D1060" t="inlineStr">
        <is>
          <t>KALMAR LÄN</t>
        </is>
      </c>
      <c r="E1060" t="inlineStr">
        <is>
          <t>VIMMERBY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46941-2023</t>
        </is>
      </c>
      <c r="B1061" s="1" t="n">
        <v>45201</v>
      </c>
      <c r="C1061" s="1" t="n">
        <v>45760</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46979-2023</t>
        </is>
      </c>
      <c r="B1062" s="1" t="n">
        <v>45201</v>
      </c>
      <c r="C1062" s="1" t="n">
        <v>45760</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47084-2023</t>
        </is>
      </c>
      <c r="B1063" s="1" t="n">
        <v>45201</v>
      </c>
      <c r="C1063" s="1" t="n">
        <v>45760</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47247-2023</t>
        </is>
      </c>
      <c r="B1064" s="1" t="n">
        <v>45202</v>
      </c>
      <c r="C1064" s="1" t="n">
        <v>45760</v>
      </c>
      <c r="D1064" t="inlineStr">
        <is>
          <t>KALMAR LÄN</t>
        </is>
      </c>
      <c r="E1064" t="inlineStr">
        <is>
          <t>VIMMERBY</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47256-2023</t>
        </is>
      </c>
      <c r="B1065" s="1" t="n">
        <v>45202</v>
      </c>
      <c r="C1065" s="1" t="n">
        <v>45760</v>
      </c>
      <c r="D1065" t="inlineStr">
        <is>
          <t>KALMAR LÄN</t>
        </is>
      </c>
      <c r="E1065" t="inlineStr">
        <is>
          <t>VIMMERBY</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47263-2023</t>
        </is>
      </c>
      <c r="B1066" s="1" t="n">
        <v>45202</v>
      </c>
      <c r="C1066" s="1" t="n">
        <v>45760</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47524-2023</t>
        </is>
      </c>
      <c r="B1067" s="1" t="n">
        <v>45203</v>
      </c>
      <c r="C1067" s="1" t="n">
        <v>45760</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47515-2023</t>
        </is>
      </c>
      <c r="B1068" s="1" t="n">
        <v>45203</v>
      </c>
      <c r="C1068" s="1" t="n">
        <v>45760</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47517-2023</t>
        </is>
      </c>
      <c r="B1069" s="1" t="n">
        <v>45203</v>
      </c>
      <c r="C1069" s="1" t="n">
        <v>45760</v>
      </c>
      <c r="D1069" t="inlineStr">
        <is>
          <t>KALMAR LÄN</t>
        </is>
      </c>
      <c r="E1069" t="inlineStr">
        <is>
          <t>VIMMERBY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47521-2023</t>
        </is>
      </c>
      <c r="B1070" s="1" t="n">
        <v>45203</v>
      </c>
      <c r="C1070" s="1" t="n">
        <v>45760</v>
      </c>
      <c r="D1070" t="inlineStr">
        <is>
          <t>KALMAR LÄN</t>
        </is>
      </c>
      <c r="E1070" t="inlineStr">
        <is>
          <t>VIMMERBY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48346-2023</t>
        </is>
      </c>
      <c r="B1071" s="1" t="n">
        <v>45205</v>
      </c>
      <c r="C1071" s="1" t="n">
        <v>45760</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49382-2023</t>
        </is>
      </c>
      <c r="B1072" s="1" t="n">
        <v>45208</v>
      </c>
      <c r="C1072" s="1" t="n">
        <v>45760</v>
      </c>
      <c r="D1072" t="inlineStr">
        <is>
          <t>KALMAR LÄN</t>
        </is>
      </c>
      <c r="E1072" t="inlineStr">
        <is>
          <t>VIMMERBY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49261-2023</t>
        </is>
      </c>
      <c r="B1073" s="1" t="n">
        <v>45210</v>
      </c>
      <c r="C1073" s="1" t="n">
        <v>45760</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49254-2023</t>
        </is>
      </c>
      <c r="B1074" s="1" t="n">
        <v>45210</v>
      </c>
      <c r="C1074" s="1" t="n">
        <v>45760</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49246-2023</t>
        </is>
      </c>
      <c r="B1075" s="1" t="n">
        <v>45210</v>
      </c>
      <c r="C1075" s="1" t="n">
        <v>45760</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49408-2023</t>
        </is>
      </c>
      <c r="B1076" s="1" t="n">
        <v>45211</v>
      </c>
      <c r="C1076" s="1" t="n">
        <v>45760</v>
      </c>
      <c r="D1076" t="inlineStr">
        <is>
          <t>KALMAR LÄN</t>
        </is>
      </c>
      <c r="E1076" t="inlineStr">
        <is>
          <t>VIMMERBY</t>
        </is>
      </c>
      <c r="G1076" t="n">
        <v>13.1</v>
      </c>
      <c r="H1076" t="n">
        <v>0</v>
      </c>
      <c r="I1076" t="n">
        <v>0</v>
      </c>
      <c r="J1076" t="n">
        <v>0</v>
      </c>
      <c r="K1076" t="n">
        <v>0</v>
      </c>
      <c r="L1076" t="n">
        <v>0</v>
      </c>
      <c r="M1076" t="n">
        <v>0</v>
      </c>
      <c r="N1076" t="n">
        <v>0</v>
      </c>
      <c r="O1076" t="n">
        <v>0</v>
      </c>
      <c r="P1076" t="n">
        <v>0</v>
      </c>
      <c r="Q1076" t="n">
        <v>0</v>
      </c>
      <c r="R1076" s="2" t="inlineStr"/>
    </row>
    <row r="1077" ht="15" customHeight="1">
      <c r="A1077" t="inlineStr">
        <is>
          <t>A 49458-2023</t>
        </is>
      </c>
      <c r="B1077" s="1" t="n">
        <v>45211</v>
      </c>
      <c r="C1077" s="1" t="n">
        <v>45760</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49461-2023</t>
        </is>
      </c>
      <c r="B1078" s="1" t="n">
        <v>45211</v>
      </c>
      <c r="C1078" s="1" t="n">
        <v>45760</v>
      </c>
      <c r="D1078" t="inlineStr">
        <is>
          <t>KALMAR LÄN</t>
        </is>
      </c>
      <c r="E1078" t="inlineStr">
        <is>
          <t>VIMMERBY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49474-2023</t>
        </is>
      </c>
      <c r="B1079" s="1" t="n">
        <v>45211</v>
      </c>
      <c r="C1079" s="1" t="n">
        <v>45760</v>
      </c>
      <c r="D1079" t="inlineStr">
        <is>
          <t>KALMAR LÄN</t>
        </is>
      </c>
      <c r="E1079" t="inlineStr">
        <is>
          <t>VIMMERBY</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49488-2023</t>
        </is>
      </c>
      <c r="B1080" s="1" t="n">
        <v>45211</v>
      </c>
      <c r="C1080" s="1" t="n">
        <v>45760</v>
      </c>
      <c r="D1080" t="inlineStr">
        <is>
          <t>KALMAR LÄN</t>
        </is>
      </c>
      <c r="E1080" t="inlineStr">
        <is>
          <t>VIMMERBY</t>
        </is>
      </c>
      <c r="F1080" t="inlineStr">
        <is>
          <t>Sveaskog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49756-2023</t>
        </is>
      </c>
      <c r="B1081" s="1" t="n">
        <v>45212</v>
      </c>
      <c r="C1081" s="1" t="n">
        <v>45760</v>
      </c>
      <c r="D1081" t="inlineStr">
        <is>
          <t>KALMAR LÄN</t>
        </is>
      </c>
      <c r="E1081" t="inlineStr">
        <is>
          <t>VIMMERBY</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50087-2023</t>
        </is>
      </c>
      <c r="B1082" s="1" t="n">
        <v>45215</v>
      </c>
      <c r="C1082" s="1" t="n">
        <v>45760</v>
      </c>
      <c r="D1082" t="inlineStr">
        <is>
          <t>KALMAR LÄN</t>
        </is>
      </c>
      <c r="E1082" t="inlineStr">
        <is>
          <t>VIMMERBY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50088-2023</t>
        </is>
      </c>
      <c r="B1083" s="1" t="n">
        <v>45215</v>
      </c>
      <c r="C1083" s="1" t="n">
        <v>45760</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50093-2023</t>
        </is>
      </c>
      <c r="B1084" s="1" t="n">
        <v>45215</v>
      </c>
      <c r="C1084" s="1" t="n">
        <v>45760</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50091-2023</t>
        </is>
      </c>
      <c r="B1085" s="1" t="n">
        <v>45215</v>
      </c>
      <c r="C1085" s="1" t="n">
        <v>45760</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50085-2023</t>
        </is>
      </c>
      <c r="B1086" s="1" t="n">
        <v>45215</v>
      </c>
      <c r="C1086" s="1" t="n">
        <v>45760</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50648-2023</t>
        </is>
      </c>
      <c r="B1087" s="1" t="n">
        <v>45217</v>
      </c>
      <c r="C1087" s="1" t="n">
        <v>45760</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52257-2023</t>
        </is>
      </c>
      <c r="B1088" s="1" t="n">
        <v>45217</v>
      </c>
      <c r="C1088" s="1" t="n">
        <v>45760</v>
      </c>
      <c r="D1088" t="inlineStr">
        <is>
          <t>KALMAR LÄN</t>
        </is>
      </c>
      <c r="E1088" t="inlineStr">
        <is>
          <t>VIMMERBY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50934-2023</t>
        </is>
      </c>
      <c r="B1089" s="1" t="n">
        <v>45218</v>
      </c>
      <c r="C1089" s="1" t="n">
        <v>45760</v>
      </c>
      <c r="D1089" t="inlineStr">
        <is>
          <t>KALMAR LÄN</t>
        </is>
      </c>
      <c r="E1089" t="inlineStr">
        <is>
          <t>VIMMERBY</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51408-2023</t>
        </is>
      </c>
      <c r="B1090" s="1" t="n">
        <v>45219</v>
      </c>
      <c r="C1090" s="1" t="n">
        <v>45760</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51187-2023</t>
        </is>
      </c>
      <c r="B1091" s="1" t="n">
        <v>45219</v>
      </c>
      <c r="C1091" s="1" t="n">
        <v>45760</v>
      </c>
      <c r="D1091" t="inlineStr">
        <is>
          <t>KALMAR LÄN</t>
        </is>
      </c>
      <c r="E1091" t="inlineStr">
        <is>
          <t>VIMMERBY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51775-2023</t>
        </is>
      </c>
      <c r="B1092" s="1" t="n">
        <v>45222</v>
      </c>
      <c r="C1092" s="1" t="n">
        <v>45760</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51552-2023</t>
        </is>
      </c>
      <c r="B1093" s="1" t="n">
        <v>45222</v>
      </c>
      <c r="C1093" s="1" t="n">
        <v>45760</v>
      </c>
      <c r="D1093" t="inlineStr">
        <is>
          <t>KALMAR LÄN</t>
        </is>
      </c>
      <c r="E1093" t="inlineStr">
        <is>
          <t>VIMMERBY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52279-2023</t>
        </is>
      </c>
      <c r="B1094" s="1" t="n">
        <v>45224</v>
      </c>
      <c r="C1094" s="1" t="n">
        <v>45760</v>
      </c>
      <c r="D1094" t="inlineStr">
        <is>
          <t>KALMAR LÄN</t>
        </is>
      </c>
      <c r="E1094" t="inlineStr">
        <is>
          <t>VIMMERBY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52294-2023</t>
        </is>
      </c>
      <c r="B1095" s="1" t="n">
        <v>45224</v>
      </c>
      <c r="C1095" s="1" t="n">
        <v>45760</v>
      </c>
      <c r="D1095" t="inlineStr">
        <is>
          <t>KALMAR LÄN</t>
        </is>
      </c>
      <c r="E1095" t="inlineStr">
        <is>
          <t>VIMMERBY</t>
        </is>
      </c>
      <c r="F1095" t="inlineStr">
        <is>
          <t>Sveaskog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52327-2023</t>
        </is>
      </c>
      <c r="B1096" s="1" t="n">
        <v>45224</v>
      </c>
      <c r="C1096" s="1" t="n">
        <v>45760</v>
      </c>
      <c r="D1096" t="inlineStr">
        <is>
          <t>KALMAR LÄN</t>
        </is>
      </c>
      <c r="E1096" t="inlineStr">
        <is>
          <t>VIMMERBY</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52208-2023</t>
        </is>
      </c>
      <c r="B1097" s="1" t="n">
        <v>45224</v>
      </c>
      <c r="C1097" s="1" t="n">
        <v>45760</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52324-2023</t>
        </is>
      </c>
      <c r="B1098" s="1" t="n">
        <v>45224</v>
      </c>
      <c r="C1098" s="1" t="n">
        <v>45760</v>
      </c>
      <c r="D1098" t="inlineStr">
        <is>
          <t>KALMAR LÄN</t>
        </is>
      </c>
      <c r="E1098" t="inlineStr">
        <is>
          <t>VIMMERBY</t>
        </is>
      </c>
      <c r="F1098" t="inlineStr">
        <is>
          <t>Sveaskog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52411-2023</t>
        </is>
      </c>
      <c r="B1099" s="1" t="n">
        <v>45225</v>
      </c>
      <c r="C1099" s="1" t="n">
        <v>45760</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52588-2023</t>
        </is>
      </c>
      <c r="B1100" s="1" t="n">
        <v>45225</v>
      </c>
      <c r="C1100" s="1" t="n">
        <v>45760</v>
      </c>
      <c r="D1100" t="inlineStr">
        <is>
          <t>KALMAR LÄN</t>
        </is>
      </c>
      <c r="E1100" t="inlineStr">
        <is>
          <t>VIMMERBY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52616-2023</t>
        </is>
      </c>
      <c r="B1101" s="1" t="n">
        <v>45225</v>
      </c>
      <c r="C1101" s="1" t="n">
        <v>45760</v>
      </c>
      <c r="D1101" t="inlineStr">
        <is>
          <t>KALMAR LÄN</t>
        </is>
      </c>
      <c r="E1101" t="inlineStr">
        <is>
          <t>VIMMERBY</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52623-2023</t>
        </is>
      </c>
      <c r="B1102" s="1" t="n">
        <v>45225</v>
      </c>
      <c r="C1102" s="1" t="n">
        <v>45760</v>
      </c>
      <c r="D1102" t="inlineStr">
        <is>
          <t>KALMAR LÄN</t>
        </is>
      </c>
      <c r="E1102" t="inlineStr">
        <is>
          <t>VIMMERBY</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52703-2023</t>
        </is>
      </c>
      <c r="B1103" s="1" t="n">
        <v>45225</v>
      </c>
      <c r="C1103" s="1" t="n">
        <v>45760</v>
      </c>
      <c r="D1103" t="inlineStr">
        <is>
          <t>KALMAR LÄN</t>
        </is>
      </c>
      <c r="E1103" t="inlineStr">
        <is>
          <t>VIMMERBY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53220-2023</t>
        </is>
      </c>
      <c r="B1104" s="1" t="n">
        <v>45229</v>
      </c>
      <c r="C1104" s="1" t="n">
        <v>45760</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54084-2023</t>
        </is>
      </c>
      <c r="B1105" s="1" t="n">
        <v>45232</v>
      </c>
      <c r="C1105" s="1" t="n">
        <v>45760</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54086-2023</t>
        </is>
      </c>
      <c r="B1106" s="1" t="n">
        <v>45232</v>
      </c>
      <c r="C1106" s="1" t="n">
        <v>45760</v>
      </c>
      <c r="D1106" t="inlineStr">
        <is>
          <t>KALMAR LÄN</t>
        </is>
      </c>
      <c r="E1106" t="inlineStr">
        <is>
          <t>VIMMERBY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55716-2023</t>
        </is>
      </c>
      <c r="B1107" s="1" t="n">
        <v>45232</v>
      </c>
      <c r="C1107" s="1" t="n">
        <v>45760</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54785-2023</t>
        </is>
      </c>
      <c r="B1108" s="1" t="n">
        <v>45236</v>
      </c>
      <c r="C1108" s="1" t="n">
        <v>45760</v>
      </c>
      <c r="D1108" t="inlineStr">
        <is>
          <t>KALMAR LÄN</t>
        </is>
      </c>
      <c r="E1108" t="inlineStr">
        <is>
          <t>VIMMERBY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54787-2023</t>
        </is>
      </c>
      <c r="B1109" s="1" t="n">
        <v>45236</v>
      </c>
      <c r="C1109" s="1" t="n">
        <v>45760</v>
      </c>
      <c r="D1109" t="inlineStr">
        <is>
          <t>KALMAR LÄN</t>
        </is>
      </c>
      <c r="E1109" t="inlineStr">
        <is>
          <t>VIMMERBY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55236-2023</t>
        </is>
      </c>
      <c r="B1110" s="1" t="n">
        <v>45237</v>
      </c>
      <c r="C1110" s="1" t="n">
        <v>45760</v>
      </c>
      <c r="D1110" t="inlineStr">
        <is>
          <t>KALMAR LÄN</t>
        </is>
      </c>
      <c r="E1110" t="inlineStr">
        <is>
          <t>VIMMERBY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55245-2023</t>
        </is>
      </c>
      <c r="B1111" s="1" t="n">
        <v>45237</v>
      </c>
      <c r="C1111" s="1" t="n">
        <v>45760</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55279-2023</t>
        </is>
      </c>
      <c r="B1112" s="1" t="n">
        <v>45237</v>
      </c>
      <c r="C1112" s="1" t="n">
        <v>45760</v>
      </c>
      <c r="D1112" t="inlineStr">
        <is>
          <t>KALMAR LÄN</t>
        </is>
      </c>
      <c r="E1112" t="inlineStr">
        <is>
          <t>VIMMERBY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55457-2023</t>
        </is>
      </c>
      <c r="B1113" s="1" t="n">
        <v>45238</v>
      </c>
      <c r="C1113" s="1" t="n">
        <v>45760</v>
      </c>
      <c r="D1113" t="inlineStr">
        <is>
          <t>KALMAR LÄN</t>
        </is>
      </c>
      <c r="E1113" t="inlineStr">
        <is>
          <t>VIMMERBY</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55470-2023</t>
        </is>
      </c>
      <c r="B1114" s="1" t="n">
        <v>45238</v>
      </c>
      <c r="C1114" s="1" t="n">
        <v>45760</v>
      </c>
      <c r="D1114" t="inlineStr">
        <is>
          <t>KALMAR LÄN</t>
        </is>
      </c>
      <c r="E1114" t="inlineStr">
        <is>
          <t>VIMMERBY</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55436-2023</t>
        </is>
      </c>
      <c r="B1115" s="1" t="n">
        <v>45238</v>
      </c>
      <c r="C1115" s="1" t="n">
        <v>45760</v>
      </c>
      <c r="D1115" t="inlineStr">
        <is>
          <t>KALMAR LÄN</t>
        </is>
      </c>
      <c r="E1115" t="inlineStr">
        <is>
          <t>VIMMERBY</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55510-2023</t>
        </is>
      </c>
      <c r="B1116" s="1" t="n">
        <v>45238</v>
      </c>
      <c r="C1116" s="1" t="n">
        <v>45760</v>
      </c>
      <c r="D1116" t="inlineStr">
        <is>
          <t>KALMAR LÄN</t>
        </is>
      </c>
      <c r="E1116" t="inlineStr">
        <is>
          <t>VIMMERBY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55442-2023</t>
        </is>
      </c>
      <c r="B1117" s="1" t="n">
        <v>45238</v>
      </c>
      <c r="C1117" s="1" t="n">
        <v>45760</v>
      </c>
      <c r="D1117" t="inlineStr">
        <is>
          <t>KALMAR LÄN</t>
        </is>
      </c>
      <c r="E1117" t="inlineStr">
        <is>
          <t>VIMMERBY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56657-2023</t>
        </is>
      </c>
      <c r="B1118" s="1" t="n">
        <v>45243</v>
      </c>
      <c r="C1118" s="1" t="n">
        <v>45760</v>
      </c>
      <c r="D1118" t="inlineStr">
        <is>
          <t>KALMAR LÄN</t>
        </is>
      </c>
      <c r="E1118" t="inlineStr">
        <is>
          <t>VIMMERBY</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56659-2023</t>
        </is>
      </c>
      <c r="B1119" s="1" t="n">
        <v>45243</v>
      </c>
      <c r="C1119" s="1" t="n">
        <v>45760</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57036-2023</t>
        </is>
      </c>
      <c r="B1120" s="1" t="n">
        <v>45244</v>
      </c>
      <c r="C1120" s="1" t="n">
        <v>45760</v>
      </c>
      <c r="D1120" t="inlineStr">
        <is>
          <t>KALMAR LÄN</t>
        </is>
      </c>
      <c r="E1120" t="inlineStr">
        <is>
          <t>VIMMERBY</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57040-2023</t>
        </is>
      </c>
      <c r="B1121" s="1" t="n">
        <v>45244</v>
      </c>
      <c r="C1121" s="1" t="n">
        <v>45760</v>
      </c>
      <c r="D1121" t="inlineStr">
        <is>
          <t>KALMAR LÄN</t>
        </is>
      </c>
      <c r="E1121" t="inlineStr">
        <is>
          <t>VIMMERBY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57254-2023</t>
        </is>
      </c>
      <c r="B1122" s="1" t="n">
        <v>45245</v>
      </c>
      <c r="C1122" s="1" t="n">
        <v>45760</v>
      </c>
      <c r="D1122" t="inlineStr">
        <is>
          <t>KALMAR LÄN</t>
        </is>
      </c>
      <c r="E1122" t="inlineStr">
        <is>
          <t>VIMMERBY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57114-2023</t>
        </is>
      </c>
      <c r="B1123" s="1" t="n">
        <v>45245</v>
      </c>
      <c r="C1123" s="1" t="n">
        <v>45760</v>
      </c>
      <c r="D1123" t="inlineStr">
        <is>
          <t>KALMAR LÄN</t>
        </is>
      </c>
      <c r="E1123" t="inlineStr">
        <is>
          <t>VIMMERBY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57264-2023</t>
        </is>
      </c>
      <c r="B1124" s="1" t="n">
        <v>45245</v>
      </c>
      <c r="C1124" s="1" t="n">
        <v>45760</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57311-2023</t>
        </is>
      </c>
      <c r="B1125" s="1" t="n">
        <v>45245</v>
      </c>
      <c r="C1125" s="1" t="n">
        <v>45760</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57256-2023</t>
        </is>
      </c>
      <c r="B1126" s="1" t="n">
        <v>45245</v>
      </c>
      <c r="C1126" s="1" t="n">
        <v>45760</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57269-2023</t>
        </is>
      </c>
      <c r="B1127" s="1" t="n">
        <v>45245</v>
      </c>
      <c r="C1127" s="1" t="n">
        <v>45760</v>
      </c>
      <c r="D1127" t="inlineStr">
        <is>
          <t>KALMAR LÄN</t>
        </is>
      </c>
      <c r="E1127" t="inlineStr">
        <is>
          <t>VIMMERBY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57317-2023</t>
        </is>
      </c>
      <c r="B1128" s="1" t="n">
        <v>45245</v>
      </c>
      <c r="C1128" s="1" t="n">
        <v>45760</v>
      </c>
      <c r="D1128" t="inlineStr">
        <is>
          <t>KALMAR LÄN</t>
        </is>
      </c>
      <c r="E1128" t="inlineStr">
        <is>
          <t>VIMMERBY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57329-2023</t>
        </is>
      </c>
      <c r="B1129" s="1" t="n">
        <v>45245</v>
      </c>
      <c r="C1129" s="1" t="n">
        <v>45760</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58278-2023</t>
        </is>
      </c>
      <c r="B1130" s="1" t="n">
        <v>45250</v>
      </c>
      <c r="C1130" s="1" t="n">
        <v>45760</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59598-2023</t>
        </is>
      </c>
      <c r="B1131" s="1" t="n">
        <v>45254</v>
      </c>
      <c r="C1131" s="1" t="n">
        <v>45760</v>
      </c>
      <c r="D1131" t="inlineStr">
        <is>
          <t>KALMAR LÄN</t>
        </is>
      </c>
      <c r="E1131" t="inlineStr">
        <is>
          <t>VIMMERBY</t>
        </is>
      </c>
      <c r="F1131" t="inlineStr">
        <is>
          <t>Övriga Aktiebolag</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59943-2023</t>
        </is>
      </c>
      <c r="B1132" s="1" t="n">
        <v>45257</v>
      </c>
      <c r="C1132" s="1" t="n">
        <v>45760</v>
      </c>
      <c r="D1132" t="inlineStr">
        <is>
          <t>KALMAR LÄN</t>
        </is>
      </c>
      <c r="E1132" t="inlineStr">
        <is>
          <t>VIMMERBY</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59955-2023</t>
        </is>
      </c>
      <c r="B1133" s="1" t="n">
        <v>45257</v>
      </c>
      <c r="C1133" s="1" t="n">
        <v>45760</v>
      </c>
      <c r="D1133" t="inlineStr">
        <is>
          <t>KALMAR LÄN</t>
        </is>
      </c>
      <c r="E1133" t="inlineStr">
        <is>
          <t>VIMMERBY</t>
        </is>
      </c>
      <c r="G1133" t="n">
        <v>13.8</v>
      </c>
      <c r="H1133" t="n">
        <v>0</v>
      </c>
      <c r="I1133" t="n">
        <v>0</v>
      </c>
      <c r="J1133" t="n">
        <v>0</v>
      </c>
      <c r="K1133" t="n">
        <v>0</v>
      </c>
      <c r="L1133" t="n">
        <v>0</v>
      </c>
      <c r="M1133" t="n">
        <v>0</v>
      </c>
      <c r="N1133" t="n">
        <v>0</v>
      </c>
      <c r="O1133" t="n">
        <v>0</v>
      </c>
      <c r="P1133" t="n">
        <v>0</v>
      </c>
      <c r="Q1133" t="n">
        <v>0</v>
      </c>
      <c r="R1133" s="2" t="inlineStr"/>
    </row>
    <row r="1134" ht="15" customHeight="1">
      <c r="A1134" t="inlineStr">
        <is>
          <t>A 60438-2023</t>
        </is>
      </c>
      <c r="B1134" s="1" t="n">
        <v>45259</v>
      </c>
      <c r="C1134" s="1" t="n">
        <v>45760</v>
      </c>
      <c r="D1134" t="inlineStr">
        <is>
          <t>KALMAR LÄN</t>
        </is>
      </c>
      <c r="E1134" t="inlineStr">
        <is>
          <t>VIMMERBY</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60437-2023</t>
        </is>
      </c>
      <c r="B1135" s="1" t="n">
        <v>45259</v>
      </c>
      <c r="C1135" s="1" t="n">
        <v>45760</v>
      </c>
      <c r="D1135" t="inlineStr">
        <is>
          <t>KALMAR LÄN</t>
        </is>
      </c>
      <c r="E1135" t="inlineStr">
        <is>
          <t>VIMMERBY</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60675-2023</t>
        </is>
      </c>
      <c r="B1136" s="1" t="n">
        <v>45260</v>
      </c>
      <c r="C1136" s="1" t="n">
        <v>45760</v>
      </c>
      <c r="D1136" t="inlineStr">
        <is>
          <t>KALMAR LÄN</t>
        </is>
      </c>
      <c r="E1136" t="inlineStr">
        <is>
          <t>VIMMERBY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60951-2023</t>
        </is>
      </c>
      <c r="B1137" s="1" t="n">
        <v>45261</v>
      </c>
      <c r="C1137" s="1" t="n">
        <v>45760</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61189-2023</t>
        </is>
      </c>
      <c r="B1138" s="1" t="n">
        <v>45264</v>
      </c>
      <c r="C1138" s="1" t="n">
        <v>45760</v>
      </c>
      <c r="D1138" t="inlineStr">
        <is>
          <t>KALMAR LÄN</t>
        </is>
      </c>
      <c r="E1138" t="inlineStr">
        <is>
          <t>VIMMERBY</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61227-2023</t>
        </is>
      </c>
      <c r="B1139" s="1" t="n">
        <v>45264</v>
      </c>
      <c r="C1139" s="1" t="n">
        <v>45760</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61224-2023</t>
        </is>
      </c>
      <c r="B1140" s="1" t="n">
        <v>45264</v>
      </c>
      <c r="C1140" s="1" t="n">
        <v>45760</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61221-2023</t>
        </is>
      </c>
      <c r="B1141" s="1" t="n">
        <v>45264</v>
      </c>
      <c r="C1141" s="1" t="n">
        <v>45760</v>
      </c>
      <c r="D1141" t="inlineStr">
        <is>
          <t>KALMAR LÄN</t>
        </is>
      </c>
      <c r="E1141" t="inlineStr">
        <is>
          <t>VIMMERBY</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61817-2023</t>
        </is>
      </c>
      <c r="B1142" s="1" t="n">
        <v>45266</v>
      </c>
      <c r="C1142" s="1" t="n">
        <v>45760</v>
      </c>
      <c r="D1142" t="inlineStr">
        <is>
          <t>KALMAR LÄN</t>
        </is>
      </c>
      <c r="E1142" t="inlineStr">
        <is>
          <t>VIMMERBY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61825-2023</t>
        </is>
      </c>
      <c r="B1143" s="1" t="n">
        <v>45266</v>
      </c>
      <c r="C1143" s="1" t="n">
        <v>45760</v>
      </c>
      <c r="D1143" t="inlineStr">
        <is>
          <t>KALMAR LÄN</t>
        </is>
      </c>
      <c r="E1143" t="inlineStr">
        <is>
          <t>VIMMERBY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61820-2023</t>
        </is>
      </c>
      <c r="B1144" s="1" t="n">
        <v>45266</v>
      </c>
      <c r="C1144" s="1" t="n">
        <v>45760</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62615-2023</t>
        </is>
      </c>
      <c r="B1145" s="1" t="n">
        <v>45271</v>
      </c>
      <c r="C1145" s="1" t="n">
        <v>45760</v>
      </c>
      <c r="D1145" t="inlineStr">
        <is>
          <t>KALMAR LÄN</t>
        </is>
      </c>
      <c r="E1145" t="inlineStr">
        <is>
          <t>VIMMERBY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62779-2023</t>
        </is>
      </c>
      <c r="B1146" s="1" t="n">
        <v>45271</v>
      </c>
      <c r="C1146" s="1" t="n">
        <v>45760</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62852-2023</t>
        </is>
      </c>
      <c r="B1147" s="1" t="n">
        <v>45272</v>
      </c>
      <c r="C1147" s="1" t="n">
        <v>45760</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62997-2023</t>
        </is>
      </c>
      <c r="B1148" s="1" t="n">
        <v>45272</v>
      </c>
      <c r="C1148" s="1" t="n">
        <v>45760</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63284-2023</t>
        </is>
      </c>
      <c r="B1149" s="1" t="n">
        <v>45273</v>
      </c>
      <c r="C1149" s="1" t="n">
        <v>45760</v>
      </c>
      <c r="D1149" t="inlineStr">
        <is>
          <t>KALMAR LÄN</t>
        </is>
      </c>
      <c r="E1149" t="inlineStr">
        <is>
          <t>VIMMERBY</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63541-2023</t>
        </is>
      </c>
      <c r="B1150" s="1" t="n">
        <v>45275</v>
      </c>
      <c r="C1150" s="1" t="n">
        <v>45760</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63583-2023</t>
        </is>
      </c>
      <c r="B1151" s="1" t="n">
        <v>45275</v>
      </c>
      <c r="C1151" s="1" t="n">
        <v>45760</v>
      </c>
      <c r="D1151" t="inlineStr">
        <is>
          <t>KALMAR LÄN</t>
        </is>
      </c>
      <c r="E1151" t="inlineStr">
        <is>
          <t>VIMMERBY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63969-2023</t>
        </is>
      </c>
      <c r="B1152" s="1" t="n">
        <v>45278</v>
      </c>
      <c r="C1152" s="1" t="n">
        <v>45760</v>
      </c>
      <c r="D1152" t="inlineStr">
        <is>
          <t>KALMAR LÄN</t>
        </is>
      </c>
      <c r="E1152" t="inlineStr">
        <is>
          <t>VIMMERBY</t>
        </is>
      </c>
      <c r="F1152" t="inlineStr">
        <is>
          <t>Kyrkan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63950-2023</t>
        </is>
      </c>
      <c r="B1153" s="1" t="n">
        <v>45278</v>
      </c>
      <c r="C1153" s="1" t="n">
        <v>45760</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64428-2023</t>
        </is>
      </c>
      <c r="B1154" s="1" t="n">
        <v>45280</v>
      </c>
      <c r="C1154" s="1" t="n">
        <v>45760</v>
      </c>
      <c r="D1154" t="inlineStr">
        <is>
          <t>KALMAR LÄN</t>
        </is>
      </c>
      <c r="E1154" t="inlineStr">
        <is>
          <t>VIMMERBY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65237-2023</t>
        </is>
      </c>
      <c r="B1155" s="1" t="n">
        <v>45289</v>
      </c>
      <c r="C1155" s="1" t="n">
        <v>45760</v>
      </c>
      <c r="D1155" t="inlineStr">
        <is>
          <t>KALMAR LÄN</t>
        </is>
      </c>
      <c r="E1155" t="inlineStr">
        <is>
          <t>VIMMERBY</t>
        </is>
      </c>
      <c r="F1155" t="inlineStr">
        <is>
          <t>Kyrkan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65238-2023</t>
        </is>
      </c>
      <c r="B1156" s="1" t="n">
        <v>45289</v>
      </c>
      <c r="C1156" s="1" t="n">
        <v>45760</v>
      </c>
      <c r="D1156" t="inlineStr">
        <is>
          <t>KALMAR LÄN</t>
        </is>
      </c>
      <c r="E1156" t="inlineStr">
        <is>
          <t>VIMMERBY</t>
        </is>
      </c>
      <c r="F1156" t="inlineStr">
        <is>
          <t>Kyrkan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205-2024</t>
        </is>
      </c>
      <c r="B1157" s="1" t="n">
        <v>45294</v>
      </c>
      <c r="C1157" s="1" t="n">
        <v>45760</v>
      </c>
      <c r="D1157" t="inlineStr">
        <is>
          <t>KALMAR LÄN</t>
        </is>
      </c>
      <c r="E1157" t="inlineStr">
        <is>
          <t>VIMMERBY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526-2024</t>
        </is>
      </c>
      <c r="B1158" s="1" t="n">
        <v>45299</v>
      </c>
      <c r="C1158" s="1" t="n">
        <v>45760</v>
      </c>
      <c r="D1158" t="inlineStr">
        <is>
          <t>KALMAR LÄN</t>
        </is>
      </c>
      <c r="E1158" t="inlineStr">
        <is>
          <t>VIMMERBY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627-2024</t>
        </is>
      </c>
      <c r="B1159" s="1" t="n">
        <v>45299</v>
      </c>
      <c r="C1159" s="1" t="n">
        <v>45760</v>
      </c>
      <c r="D1159" t="inlineStr">
        <is>
          <t>KALMAR LÄN</t>
        </is>
      </c>
      <c r="E1159" t="inlineStr">
        <is>
          <t>VIMMERBY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529-2024</t>
        </is>
      </c>
      <c r="B1160" s="1" t="n">
        <v>45299</v>
      </c>
      <c r="C1160" s="1" t="n">
        <v>45760</v>
      </c>
      <c r="D1160" t="inlineStr">
        <is>
          <t>KALMAR LÄN</t>
        </is>
      </c>
      <c r="E1160" t="inlineStr">
        <is>
          <t>VIMMERBY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527-2024</t>
        </is>
      </c>
      <c r="B1161" s="1" t="n">
        <v>45299</v>
      </c>
      <c r="C1161" s="1" t="n">
        <v>45760</v>
      </c>
      <c r="D1161" t="inlineStr">
        <is>
          <t>KALMAR LÄN</t>
        </is>
      </c>
      <c r="E1161" t="inlineStr">
        <is>
          <t>VIMMERBY</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585-2024</t>
        </is>
      </c>
      <c r="B1162" s="1" t="n">
        <v>45299</v>
      </c>
      <c r="C1162" s="1" t="n">
        <v>45760</v>
      </c>
      <c r="D1162" t="inlineStr">
        <is>
          <t>KALMAR LÄN</t>
        </is>
      </c>
      <c r="E1162" t="inlineStr">
        <is>
          <t>VIMMERBY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690-2024</t>
        </is>
      </c>
      <c r="B1163" s="1" t="n">
        <v>45300</v>
      </c>
      <c r="C1163" s="1" t="n">
        <v>45760</v>
      </c>
      <c r="D1163" t="inlineStr">
        <is>
          <t>KALMAR LÄN</t>
        </is>
      </c>
      <c r="E1163" t="inlineStr">
        <is>
          <t>VIMMERBY</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694-2024</t>
        </is>
      </c>
      <c r="B1164" s="1" t="n">
        <v>45300</v>
      </c>
      <c r="C1164" s="1" t="n">
        <v>45760</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1017-2024</t>
        </is>
      </c>
      <c r="B1165" s="1" t="n">
        <v>45301</v>
      </c>
      <c r="C1165" s="1" t="n">
        <v>45760</v>
      </c>
      <c r="D1165" t="inlineStr">
        <is>
          <t>KALMAR LÄN</t>
        </is>
      </c>
      <c r="E1165" t="inlineStr">
        <is>
          <t>VIMMERBY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1021-2024</t>
        </is>
      </c>
      <c r="B1166" s="1" t="n">
        <v>45301</v>
      </c>
      <c r="C1166" s="1" t="n">
        <v>45760</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1015-2024</t>
        </is>
      </c>
      <c r="B1167" s="1" t="n">
        <v>45301</v>
      </c>
      <c r="C1167" s="1" t="n">
        <v>45760</v>
      </c>
      <c r="D1167" t="inlineStr">
        <is>
          <t>KALMAR LÄN</t>
        </is>
      </c>
      <c r="E1167" t="inlineStr">
        <is>
          <t>VIMMERBY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1018-2024</t>
        </is>
      </c>
      <c r="B1168" s="1" t="n">
        <v>45301</v>
      </c>
      <c r="C1168" s="1" t="n">
        <v>45760</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1023-2024</t>
        </is>
      </c>
      <c r="B1169" s="1" t="n">
        <v>45301</v>
      </c>
      <c r="C1169" s="1" t="n">
        <v>45760</v>
      </c>
      <c r="D1169" t="inlineStr">
        <is>
          <t>KALMAR LÄN</t>
        </is>
      </c>
      <c r="E1169" t="inlineStr">
        <is>
          <t>VIMMERBY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1016-2024</t>
        </is>
      </c>
      <c r="B1170" s="1" t="n">
        <v>45301</v>
      </c>
      <c r="C1170" s="1" t="n">
        <v>45760</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1024-2024</t>
        </is>
      </c>
      <c r="B1171" s="1" t="n">
        <v>45301</v>
      </c>
      <c r="C1171" s="1" t="n">
        <v>45760</v>
      </c>
      <c r="D1171" t="inlineStr">
        <is>
          <t>KALMAR LÄN</t>
        </is>
      </c>
      <c r="E1171" t="inlineStr">
        <is>
          <t>VIMMERBY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1225-2024</t>
        </is>
      </c>
      <c r="B1172" s="1" t="n">
        <v>45302</v>
      </c>
      <c r="C1172" s="1" t="n">
        <v>45760</v>
      </c>
      <c r="D1172" t="inlineStr">
        <is>
          <t>KALMAR LÄN</t>
        </is>
      </c>
      <c r="E1172" t="inlineStr">
        <is>
          <t>VIMMERBY</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1417-2024</t>
        </is>
      </c>
      <c r="B1173" s="1" t="n">
        <v>45303</v>
      </c>
      <c r="C1173" s="1" t="n">
        <v>45760</v>
      </c>
      <c r="D1173" t="inlineStr">
        <is>
          <t>KALMAR LÄN</t>
        </is>
      </c>
      <c r="E1173" t="inlineStr">
        <is>
          <t>VIMMERBY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1626-2024</t>
        </is>
      </c>
      <c r="B1174" s="1" t="n">
        <v>45306</v>
      </c>
      <c r="C1174" s="1" t="n">
        <v>45760</v>
      </c>
      <c r="D1174" t="inlineStr">
        <is>
          <t>KALMAR LÄN</t>
        </is>
      </c>
      <c r="E1174" t="inlineStr">
        <is>
          <t>VIMMERBY</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1628-2024</t>
        </is>
      </c>
      <c r="B1175" s="1" t="n">
        <v>45306</v>
      </c>
      <c r="C1175" s="1" t="n">
        <v>45760</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1985-2024</t>
        </is>
      </c>
      <c r="B1176" s="1" t="n">
        <v>45308</v>
      </c>
      <c r="C1176" s="1" t="n">
        <v>45760</v>
      </c>
      <c r="D1176" t="inlineStr">
        <is>
          <t>KALMAR LÄN</t>
        </is>
      </c>
      <c r="E1176" t="inlineStr">
        <is>
          <t>VIMMERBY</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1978-2024</t>
        </is>
      </c>
      <c r="B1177" s="1" t="n">
        <v>45308</v>
      </c>
      <c r="C1177" s="1" t="n">
        <v>45760</v>
      </c>
      <c r="D1177" t="inlineStr">
        <is>
          <t>KALMAR LÄN</t>
        </is>
      </c>
      <c r="E1177" t="inlineStr">
        <is>
          <t>VIMMERBY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1986-2024</t>
        </is>
      </c>
      <c r="B1178" s="1" t="n">
        <v>45308</v>
      </c>
      <c r="C1178" s="1" t="n">
        <v>45760</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1987-2024</t>
        </is>
      </c>
      <c r="B1179" s="1" t="n">
        <v>45308</v>
      </c>
      <c r="C1179" s="1" t="n">
        <v>45760</v>
      </c>
      <c r="D1179" t="inlineStr">
        <is>
          <t>KALMAR LÄN</t>
        </is>
      </c>
      <c r="E1179" t="inlineStr">
        <is>
          <t>VIMMERBY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2157-2024</t>
        </is>
      </c>
      <c r="B1180" s="1" t="n">
        <v>45309</v>
      </c>
      <c r="C1180" s="1" t="n">
        <v>45760</v>
      </c>
      <c r="D1180" t="inlineStr">
        <is>
          <t>KALMAR LÄN</t>
        </is>
      </c>
      <c r="E1180" t="inlineStr">
        <is>
          <t>VIMMERBY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2213-2024</t>
        </is>
      </c>
      <c r="B1181" s="1" t="n">
        <v>45309</v>
      </c>
      <c r="C1181" s="1" t="n">
        <v>45760</v>
      </c>
      <c r="D1181" t="inlineStr">
        <is>
          <t>KALMAR LÄN</t>
        </is>
      </c>
      <c r="E1181" t="inlineStr">
        <is>
          <t>VIMMERBY</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2331-2024</t>
        </is>
      </c>
      <c r="B1182" s="1" t="n">
        <v>45310</v>
      </c>
      <c r="C1182" s="1" t="n">
        <v>45760</v>
      </c>
      <c r="D1182" t="inlineStr">
        <is>
          <t>KALMAR LÄN</t>
        </is>
      </c>
      <c r="E1182" t="inlineStr">
        <is>
          <t>VIMMERBY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2330-2024</t>
        </is>
      </c>
      <c r="B1183" s="1" t="n">
        <v>45310</v>
      </c>
      <c r="C1183" s="1" t="n">
        <v>45760</v>
      </c>
      <c r="D1183" t="inlineStr">
        <is>
          <t>KALMAR LÄN</t>
        </is>
      </c>
      <c r="E1183" t="inlineStr">
        <is>
          <t>VIMMERBY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3031-2024</t>
        </is>
      </c>
      <c r="B1184" s="1" t="n">
        <v>45316</v>
      </c>
      <c r="C1184" s="1" t="n">
        <v>45760</v>
      </c>
      <c r="D1184" t="inlineStr">
        <is>
          <t>KALMAR LÄN</t>
        </is>
      </c>
      <c r="E1184" t="inlineStr">
        <is>
          <t>VIMMERBY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3029-2024</t>
        </is>
      </c>
      <c r="B1185" s="1" t="n">
        <v>45316</v>
      </c>
      <c r="C1185" s="1" t="n">
        <v>45760</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3028-2024</t>
        </is>
      </c>
      <c r="B1186" s="1" t="n">
        <v>45316</v>
      </c>
      <c r="C1186" s="1" t="n">
        <v>45760</v>
      </c>
      <c r="D1186" t="inlineStr">
        <is>
          <t>KALMAR LÄN</t>
        </is>
      </c>
      <c r="E1186" t="inlineStr">
        <is>
          <t>VIMMERBY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3156-2024</t>
        </is>
      </c>
      <c r="B1187" s="1" t="n">
        <v>45316</v>
      </c>
      <c r="C1187" s="1" t="n">
        <v>45760</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3269-2024</t>
        </is>
      </c>
      <c r="B1188" s="1" t="n">
        <v>45317</v>
      </c>
      <c r="C1188" s="1" t="n">
        <v>45760</v>
      </c>
      <c r="D1188" t="inlineStr">
        <is>
          <t>KALMAR LÄN</t>
        </is>
      </c>
      <c r="E1188" t="inlineStr">
        <is>
          <t>VIMMERBY</t>
        </is>
      </c>
      <c r="F1188" t="inlineStr">
        <is>
          <t>Övriga Aktiebolag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3268-2024</t>
        </is>
      </c>
      <c r="B1189" s="1" t="n">
        <v>45317</v>
      </c>
      <c r="C1189" s="1" t="n">
        <v>45760</v>
      </c>
      <c r="D1189" t="inlineStr">
        <is>
          <t>KALMAR LÄN</t>
        </is>
      </c>
      <c r="E1189" t="inlineStr">
        <is>
          <t>VIMMERBY</t>
        </is>
      </c>
      <c r="F1189" t="inlineStr">
        <is>
          <t>Övriga Aktiebolag</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3373-2024</t>
        </is>
      </c>
      <c r="B1190" s="1" t="n">
        <v>45317</v>
      </c>
      <c r="C1190" s="1" t="n">
        <v>45760</v>
      </c>
      <c r="D1190" t="inlineStr">
        <is>
          <t>KALMAR LÄN</t>
        </is>
      </c>
      <c r="E1190" t="inlineStr">
        <is>
          <t>VIMMERBY</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3609-2024</t>
        </is>
      </c>
      <c r="B1191" s="1" t="n">
        <v>45320</v>
      </c>
      <c r="C1191" s="1" t="n">
        <v>45760</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4058-2024</t>
        </is>
      </c>
      <c r="B1192" s="1" t="n">
        <v>45323</v>
      </c>
      <c r="C1192" s="1" t="n">
        <v>45760</v>
      </c>
      <c r="D1192" t="inlineStr">
        <is>
          <t>KALMAR LÄN</t>
        </is>
      </c>
      <c r="E1192" t="inlineStr">
        <is>
          <t>VIMMERBY</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4624-2024</t>
        </is>
      </c>
      <c r="B1193" s="1" t="n">
        <v>45328</v>
      </c>
      <c r="C1193" s="1" t="n">
        <v>45760</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4622-2024</t>
        </is>
      </c>
      <c r="B1194" s="1" t="n">
        <v>45328</v>
      </c>
      <c r="C1194" s="1" t="n">
        <v>45760</v>
      </c>
      <c r="D1194" t="inlineStr">
        <is>
          <t>KALMAR LÄN</t>
        </is>
      </c>
      <c r="E1194" t="inlineStr">
        <is>
          <t>VIMMERBY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4861-2024</t>
        </is>
      </c>
      <c r="B1195" s="1" t="n">
        <v>45329</v>
      </c>
      <c r="C1195" s="1" t="n">
        <v>45760</v>
      </c>
      <c r="D1195" t="inlineStr">
        <is>
          <t>KALMAR LÄN</t>
        </is>
      </c>
      <c r="E1195" t="inlineStr">
        <is>
          <t>VIMMERBY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4867-2024</t>
        </is>
      </c>
      <c r="B1196" s="1" t="n">
        <v>45329</v>
      </c>
      <c r="C1196" s="1" t="n">
        <v>45760</v>
      </c>
      <c r="D1196" t="inlineStr">
        <is>
          <t>KALMAR LÄN</t>
        </is>
      </c>
      <c r="E1196" t="inlineStr">
        <is>
          <t>VIMMERBY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4899-2024</t>
        </is>
      </c>
      <c r="B1197" s="1" t="n">
        <v>45329</v>
      </c>
      <c r="C1197" s="1" t="n">
        <v>45760</v>
      </c>
      <c r="D1197" t="inlineStr">
        <is>
          <t>KALMAR LÄN</t>
        </is>
      </c>
      <c r="E1197" t="inlineStr">
        <is>
          <t>VIMMERBY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5206-2024</t>
        </is>
      </c>
      <c r="B1198" s="1" t="n">
        <v>45330</v>
      </c>
      <c r="C1198" s="1" t="n">
        <v>45760</v>
      </c>
      <c r="D1198" t="inlineStr">
        <is>
          <t>KALMAR LÄN</t>
        </is>
      </c>
      <c r="E1198" t="inlineStr">
        <is>
          <t>VIMMERBY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5146-2024</t>
        </is>
      </c>
      <c r="B1199" s="1" t="n">
        <v>45330</v>
      </c>
      <c r="C1199" s="1" t="n">
        <v>45760</v>
      </c>
      <c r="D1199" t="inlineStr">
        <is>
          <t>KALMAR LÄN</t>
        </is>
      </c>
      <c r="E1199" t="inlineStr">
        <is>
          <t>VIMMERBY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5200-2024</t>
        </is>
      </c>
      <c r="B1200" s="1" t="n">
        <v>45330</v>
      </c>
      <c r="C1200" s="1" t="n">
        <v>45760</v>
      </c>
      <c r="D1200" t="inlineStr">
        <is>
          <t>KALMAR LÄN</t>
        </is>
      </c>
      <c r="E1200" t="inlineStr">
        <is>
          <t>VIMMERBY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5148-2024</t>
        </is>
      </c>
      <c r="B1201" s="1" t="n">
        <v>45330</v>
      </c>
      <c r="C1201" s="1" t="n">
        <v>45760</v>
      </c>
      <c r="D1201" t="inlineStr">
        <is>
          <t>KALMAR LÄN</t>
        </is>
      </c>
      <c r="E1201" t="inlineStr">
        <is>
          <t>VIMMERBY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5703-2024</t>
        </is>
      </c>
      <c r="B1202" s="1" t="n">
        <v>45334</v>
      </c>
      <c r="C1202" s="1" t="n">
        <v>45760</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5701-2024</t>
        </is>
      </c>
      <c r="B1203" s="1" t="n">
        <v>45334</v>
      </c>
      <c r="C1203" s="1" t="n">
        <v>45760</v>
      </c>
      <c r="D1203" t="inlineStr">
        <is>
          <t>KALMAR LÄN</t>
        </is>
      </c>
      <c r="E1203" t="inlineStr">
        <is>
          <t>VIMMERBY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5704-2024</t>
        </is>
      </c>
      <c r="B1204" s="1" t="n">
        <v>45334</v>
      </c>
      <c r="C1204" s="1" t="n">
        <v>45760</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5708-2024</t>
        </is>
      </c>
      <c r="B1205" s="1" t="n">
        <v>45334</v>
      </c>
      <c r="C1205" s="1" t="n">
        <v>45760</v>
      </c>
      <c r="D1205" t="inlineStr">
        <is>
          <t>KALMAR LÄN</t>
        </is>
      </c>
      <c r="E1205" t="inlineStr">
        <is>
          <t>VIMMERBY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6212-2024</t>
        </is>
      </c>
      <c r="B1206" s="1" t="n">
        <v>45337</v>
      </c>
      <c r="C1206" s="1" t="n">
        <v>45760</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6373-2024</t>
        </is>
      </c>
      <c r="B1207" s="1" t="n">
        <v>45338</v>
      </c>
      <c r="C1207" s="1" t="n">
        <v>45760</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6491-2024</t>
        </is>
      </c>
      <c r="B1208" s="1" t="n">
        <v>45339</v>
      </c>
      <c r="C1208" s="1" t="n">
        <v>45760</v>
      </c>
      <c r="D1208" t="inlineStr">
        <is>
          <t>KALMAR LÄN</t>
        </is>
      </c>
      <c r="E1208" t="inlineStr">
        <is>
          <t>VIMMERBY</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6508-2024</t>
        </is>
      </c>
      <c r="B1209" s="1" t="n">
        <v>45340</v>
      </c>
      <c r="C1209" s="1" t="n">
        <v>45760</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7068-2024</t>
        </is>
      </c>
      <c r="B1210" s="1" t="n">
        <v>45343</v>
      </c>
      <c r="C1210" s="1" t="n">
        <v>45760</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7070-2024</t>
        </is>
      </c>
      <c r="B1211" s="1" t="n">
        <v>45343</v>
      </c>
      <c r="C1211" s="1" t="n">
        <v>45760</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7456-2024</t>
        </is>
      </c>
      <c r="B1212" s="1" t="n">
        <v>45345</v>
      </c>
      <c r="C1212" s="1" t="n">
        <v>45760</v>
      </c>
      <c r="D1212" t="inlineStr">
        <is>
          <t>KALMAR LÄN</t>
        </is>
      </c>
      <c r="E1212" t="inlineStr">
        <is>
          <t>VIMMERBY</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7485-2024</t>
        </is>
      </c>
      <c r="B1213" s="1" t="n">
        <v>45346</v>
      </c>
      <c r="C1213" s="1" t="n">
        <v>45760</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7758-2024</t>
        </is>
      </c>
      <c r="B1214" s="1" t="n">
        <v>45349</v>
      </c>
      <c r="C1214" s="1" t="n">
        <v>45760</v>
      </c>
      <c r="D1214" t="inlineStr">
        <is>
          <t>KALMAR LÄN</t>
        </is>
      </c>
      <c r="E1214" t="inlineStr">
        <is>
          <t>VIMMERBY</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7759-2024</t>
        </is>
      </c>
      <c r="B1215" s="1" t="n">
        <v>45349</v>
      </c>
      <c r="C1215" s="1" t="n">
        <v>45760</v>
      </c>
      <c r="D1215" t="inlineStr">
        <is>
          <t>KALMAR LÄN</t>
        </is>
      </c>
      <c r="E1215" t="inlineStr">
        <is>
          <t>VIMMERBY</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7829-2024</t>
        </is>
      </c>
      <c r="B1216" s="1" t="n">
        <v>45349</v>
      </c>
      <c r="C1216" s="1" t="n">
        <v>45760</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7830-2024</t>
        </is>
      </c>
      <c r="B1217" s="1" t="n">
        <v>45349</v>
      </c>
      <c r="C1217" s="1" t="n">
        <v>45760</v>
      </c>
      <c r="D1217" t="inlineStr">
        <is>
          <t>KALMAR LÄN</t>
        </is>
      </c>
      <c r="E1217" t="inlineStr">
        <is>
          <t>VIMMERBY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7944-2024</t>
        </is>
      </c>
      <c r="B1218" s="1" t="n">
        <v>45350</v>
      </c>
      <c r="C1218" s="1" t="n">
        <v>45760</v>
      </c>
      <c r="D1218" t="inlineStr">
        <is>
          <t>KALMAR LÄN</t>
        </is>
      </c>
      <c r="E1218" t="inlineStr">
        <is>
          <t>VIMMERBY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8043-2024</t>
        </is>
      </c>
      <c r="B1219" s="1" t="n">
        <v>45351</v>
      </c>
      <c r="C1219" s="1" t="n">
        <v>45760</v>
      </c>
      <c r="D1219" t="inlineStr">
        <is>
          <t>KALMAR LÄN</t>
        </is>
      </c>
      <c r="E1219" t="inlineStr">
        <is>
          <t>VIMMERBY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8214-2024</t>
        </is>
      </c>
      <c r="B1220" s="1" t="n">
        <v>45351</v>
      </c>
      <c r="C1220" s="1" t="n">
        <v>45760</v>
      </c>
      <c r="D1220" t="inlineStr">
        <is>
          <t>KALMAR LÄN</t>
        </is>
      </c>
      <c r="E1220" t="inlineStr">
        <is>
          <t>VIMMERBY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8167-2024</t>
        </is>
      </c>
      <c r="B1221" s="1" t="n">
        <v>45351</v>
      </c>
      <c r="C1221" s="1" t="n">
        <v>45760</v>
      </c>
      <c r="D1221" t="inlineStr">
        <is>
          <t>KALMAR LÄN</t>
        </is>
      </c>
      <c r="E1221" t="inlineStr">
        <is>
          <t>VIMMERBY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8213-2024</t>
        </is>
      </c>
      <c r="B1222" s="1" t="n">
        <v>45351</v>
      </c>
      <c r="C1222" s="1" t="n">
        <v>45760</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8540-2024</t>
        </is>
      </c>
      <c r="B1223" s="1" t="n">
        <v>45355</v>
      </c>
      <c r="C1223" s="1" t="n">
        <v>45760</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8770-2024</t>
        </is>
      </c>
      <c r="B1224" s="1" t="n">
        <v>45356</v>
      </c>
      <c r="C1224" s="1" t="n">
        <v>45760</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9418-2024</t>
        </is>
      </c>
      <c r="B1225" s="1" t="n">
        <v>45359</v>
      </c>
      <c r="C1225" s="1" t="n">
        <v>45760</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9416-2024</t>
        </is>
      </c>
      <c r="B1226" s="1" t="n">
        <v>45359</v>
      </c>
      <c r="C1226" s="1" t="n">
        <v>45760</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9624-2024</t>
        </is>
      </c>
      <c r="B1227" s="1" t="n">
        <v>45361</v>
      </c>
      <c r="C1227" s="1" t="n">
        <v>45760</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9623-2024</t>
        </is>
      </c>
      <c r="B1228" s="1" t="n">
        <v>45361</v>
      </c>
      <c r="C1228" s="1" t="n">
        <v>45760</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9657-2024</t>
        </is>
      </c>
      <c r="B1229" s="1" t="n">
        <v>45362</v>
      </c>
      <c r="C1229" s="1" t="n">
        <v>45760</v>
      </c>
      <c r="D1229" t="inlineStr">
        <is>
          <t>KALMAR LÄN</t>
        </is>
      </c>
      <c r="E1229" t="inlineStr">
        <is>
          <t>VIMMERBY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10807-2024</t>
        </is>
      </c>
      <c r="B1230" s="1" t="n">
        <v>45369</v>
      </c>
      <c r="C1230" s="1" t="n">
        <v>45760</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10884-2024</t>
        </is>
      </c>
      <c r="B1231" s="1" t="n">
        <v>45370</v>
      </c>
      <c r="C1231" s="1" t="n">
        <v>45760</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10935-2024</t>
        </is>
      </c>
      <c r="B1232" s="1" t="n">
        <v>45370</v>
      </c>
      <c r="C1232" s="1" t="n">
        <v>45760</v>
      </c>
      <c r="D1232" t="inlineStr">
        <is>
          <t>KALMAR LÄN</t>
        </is>
      </c>
      <c r="E1232" t="inlineStr">
        <is>
          <t>VIMMERBY</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11141-2024</t>
        </is>
      </c>
      <c r="B1233" s="1" t="n">
        <v>45371</v>
      </c>
      <c r="C1233" s="1" t="n">
        <v>45760</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11111-2024</t>
        </is>
      </c>
      <c r="B1234" s="1" t="n">
        <v>45371</v>
      </c>
      <c r="C1234" s="1" t="n">
        <v>45760</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11400-2024</t>
        </is>
      </c>
      <c r="B1235" s="1" t="n">
        <v>45372</v>
      </c>
      <c r="C1235" s="1" t="n">
        <v>45760</v>
      </c>
      <c r="D1235" t="inlineStr">
        <is>
          <t>KALMAR LÄN</t>
        </is>
      </c>
      <c r="E1235" t="inlineStr">
        <is>
          <t>VIMMERBY</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11484-2024</t>
        </is>
      </c>
      <c r="B1236" s="1" t="n">
        <v>45372</v>
      </c>
      <c r="C1236" s="1" t="n">
        <v>45760</v>
      </c>
      <c r="D1236" t="inlineStr">
        <is>
          <t>KALMAR LÄN</t>
        </is>
      </c>
      <c r="E1236" t="inlineStr">
        <is>
          <t>VIMMERBY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12136-2024</t>
        </is>
      </c>
      <c r="B1237" s="1" t="n">
        <v>45377</v>
      </c>
      <c r="C1237" s="1" t="n">
        <v>45760</v>
      </c>
      <c r="D1237" t="inlineStr">
        <is>
          <t>KALMAR LÄN</t>
        </is>
      </c>
      <c r="E1237" t="inlineStr">
        <is>
          <t>VIMMERBY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12075-2024</t>
        </is>
      </c>
      <c r="B1238" s="1" t="n">
        <v>45377</v>
      </c>
      <c r="C1238" s="1" t="n">
        <v>45760</v>
      </c>
      <c r="D1238" t="inlineStr">
        <is>
          <t>KALMAR LÄN</t>
        </is>
      </c>
      <c r="E1238" t="inlineStr">
        <is>
          <t>VIMMERBY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12033-2024</t>
        </is>
      </c>
      <c r="B1239" s="1" t="n">
        <v>45377</v>
      </c>
      <c r="C1239" s="1" t="n">
        <v>45760</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12142-2024</t>
        </is>
      </c>
      <c r="B1240" s="1" t="n">
        <v>45377</v>
      </c>
      <c r="C1240" s="1" t="n">
        <v>45760</v>
      </c>
      <c r="D1240" t="inlineStr">
        <is>
          <t>KALMAR LÄN</t>
        </is>
      </c>
      <c r="E1240" t="inlineStr">
        <is>
          <t>VIMMERBY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12215-2024</t>
        </is>
      </c>
      <c r="B1241" s="1" t="n">
        <v>45378</v>
      </c>
      <c r="C1241" s="1" t="n">
        <v>45760</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12480-2024</t>
        </is>
      </c>
      <c r="B1242" s="1" t="n">
        <v>45379</v>
      </c>
      <c r="C1242" s="1" t="n">
        <v>45760</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12819-2024</t>
        </is>
      </c>
      <c r="B1243" s="1" t="n">
        <v>45384</v>
      </c>
      <c r="C1243" s="1" t="n">
        <v>45760</v>
      </c>
      <c r="D1243" t="inlineStr">
        <is>
          <t>KALMAR LÄN</t>
        </is>
      </c>
      <c r="E1243" t="inlineStr">
        <is>
          <t>VIMMERBY</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13123-2024</t>
        </is>
      </c>
      <c r="B1244" s="1" t="n">
        <v>45385</v>
      </c>
      <c r="C1244" s="1" t="n">
        <v>45760</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13809-2024</t>
        </is>
      </c>
      <c r="B1245" s="1" t="n">
        <v>45391</v>
      </c>
      <c r="C1245" s="1" t="n">
        <v>45760</v>
      </c>
      <c r="D1245" t="inlineStr">
        <is>
          <t>KALMAR LÄN</t>
        </is>
      </c>
      <c r="E1245" t="inlineStr">
        <is>
          <t>VIMMERBY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13857-2024</t>
        </is>
      </c>
      <c r="B1246" s="1" t="n">
        <v>45391</v>
      </c>
      <c r="C1246" s="1" t="n">
        <v>45760</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13909-2024</t>
        </is>
      </c>
      <c r="B1247" s="1" t="n">
        <v>45391</v>
      </c>
      <c r="C1247" s="1" t="n">
        <v>45760</v>
      </c>
      <c r="D1247" t="inlineStr">
        <is>
          <t>KALMAR LÄN</t>
        </is>
      </c>
      <c r="E1247" t="inlineStr">
        <is>
          <t>VIMMERBY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13817-2024</t>
        </is>
      </c>
      <c r="B1248" s="1" t="n">
        <v>45391</v>
      </c>
      <c r="C1248" s="1" t="n">
        <v>45760</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13813-2024</t>
        </is>
      </c>
      <c r="B1249" s="1" t="n">
        <v>45391</v>
      </c>
      <c r="C1249" s="1" t="n">
        <v>45760</v>
      </c>
      <c r="D1249" t="inlineStr">
        <is>
          <t>KALMAR LÄN</t>
        </is>
      </c>
      <c r="E1249" t="inlineStr">
        <is>
          <t>VIMMERBY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13908-2024</t>
        </is>
      </c>
      <c r="B1250" s="1" t="n">
        <v>45391</v>
      </c>
      <c r="C1250" s="1" t="n">
        <v>45760</v>
      </c>
      <c r="D1250" t="inlineStr">
        <is>
          <t>KALMAR LÄN</t>
        </is>
      </c>
      <c r="E1250" t="inlineStr">
        <is>
          <t>VIMMERBY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14021-2024</t>
        </is>
      </c>
      <c r="B1251" s="1" t="n">
        <v>45392</v>
      </c>
      <c r="C1251" s="1" t="n">
        <v>45760</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14144-2024</t>
        </is>
      </c>
      <c r="B1252" s="1" t="n">
        <v>45392</v>
      </c>
      <c r="C1252" s="1" t="n">
        <v>45760</v>
      </c>
      <c r="D1252" t="inlineStr">
        <is>
          <t>KALMAR LÄN</t>
        </is>
      </c>
      <c r="E1252" t="inlineStr">
        <is>
          <t>VIMMERBY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14182-2024</t>
        </is>
      </c>
      <c r="B1253" s="1" t="n">
        <v>45393</v>
      </c>
      <c r="C1253" s="1" t="n">
        <v>45760</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14558-2024</t>
        </is>
      </c>
      <c r="B1254" s="1" t="n">
        <v>45394</v>
      </c>
      <c r="C1254" s="1" t="n">
        <v>45760</v>
      </c>
      <c r="D1254" t="inlineStr">
        <is>
          <t>KALMAR LÄN</t>
        </is>
      </c>
      <c r="E1254" t="inlineStr">
        <is>
          <t>VIMMERBY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14548-2024</t>
        </is>
      </c>
      <c r="B1255" s="1" t="n">
        <v>45394</v>
      </c>
      <c r="C1255" s="1" t="n">
        <v>45760</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14557-2024</t>
        </is>
      </c>
      <c r="B1256" s="1" t="n">
        <v>45394</v>
      </c>
      <c r="C1256" s="1" t="n">
        <v>45760</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14451-2024</t>
        </is>
      </c>
      <c r="B1257" s="1" t="n">
        <v>45394</v>
      </c>
      <c r="C1257" s="1" t="n">
        <v>45760</v>
      </c>
      <c r="D1257" t="inlineStr">
        <is>
          <t>KALMAR LÄN</t>
        </is>
      </c>
      <c r="E1257" t="inlineStr">
        <is>
          <t>VIMMERBY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15123-2024</t>
        </is>
      </c>
      <c r="B1258" s="1" t="n">
        <v>45399</v>
      </c>
      <c r="C1258" s="1" t="n">
        <v>45760</v>
      </c>
      <c r="D1258" t="inlineStr">
        <is>
          <t>KALMAR LÄN</t>
        </is>
      </c>
      <c r="E1258" t="inlineStr">
        <is>
          <t>VIMMERBY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15494-2024</t>
        </is>
      </c>
      <c r="B1259" s="1" t="n">
        <v>45401</v>
      </c>
      <c r="C1259" s="1" t="n">
        <v>45760</v>
      </c>
      <c r="D1259" t="inlineStr">
        <is>
          <t>KALMAR LÄN</t>
        </is>
      </c>
      <c r="E1259" t="inlineStr">
        <is>
          <t>VIMMERBY</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15672-2024</t>
        </is>
      </c>
      <c r="B1260" s="1" t="n">
        <v>45404</v>
      </c>
      <c r="C1260" s="1" t="n">
        <v>45760</v>
      </c>
      <c r="D1260" t="inlineStr">
        <is>
          <t>KALMAR LÄN</t>
        </is>
      </c>
      <c r="E1260" t="inlineStr">
        <is>
          <t>VIMMERBY</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16740-2024</t>
        </is>
      </c>
      <c r="B1261" s="1" t="n">
        <v>45411</v>
      </c>
      <c r="C1261" s="1" t="n">
        <v>45760</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16825-2024</t>
        </is>
      </c>
      <c r="B1262" s="1" t="n">
        <v>45411</v>
      </c>
      <c r="C1262" s="1" t="n">
        <v>45760</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17219-2024</t>
        </is>
      </c>
      <c r="B1263" s="1" t="n">
        <v>45414</v>
      </c>
      <c r="C1263" s="1" t="n">
        <v>45760</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17367-2024</t>
        </is>
      </c>
      <c r="B1264" s="1" t="n">
        <v>45414</v>
      </c>
      <c r="C1264" s="1" t="n">
        <v>45760</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17483-2024</t>
        </is>
      </c>
      <c r="B1265" s="1" t="n">
        <v>45415</v>
      </c>
      <c r="C1265" s="1" t="n">
        <v>45760</v>
      </c>
      <c r="D1265" t="inlineStr">
        <is>
          <t>KALMAR LÄN</t>
        </is>
      </c>
      <c r="E1265" t="inlineStr">
        <is>
          <t>VIMMERBY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17511-2024</t>
        </is>
      </c>
      <c r="B1266" s="1" t="n">
        <v>45415</v>
      </c>
      <c r="C1266" s="1" t="n">
        <v>45760</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17482-2024</t>
        </is>
      </c>
      <c r="B1267" s="1" t="n">
        <v>45415</v>
      </c>
      <c r="C1267" s="1" t="n">
        <v>45760</v>
      </c>
      <c r="D1267" t="inlineStr">
        <is>
          <t>KALMAR LÄN</t>
        </is>
      </c>
      <c r="E1267" t="inlineStr">
        <is>
          <t>VIMMERBY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17486-2024</t>
        </is>
      </c>
      <c r="B1268" s="1" t="n">
        <v>45415</v>
      </c>
      <c r="C1268" s="1" t="n">
        <v>45760</v>
      </c>
      <c r="D1268" t="inlineStr">
        <is>
          <t>KALMAR LÄN</t>
        </is>
      </c>
      <c r="E1268" t="inlineStr">
        <is>
          <t>VIMMERBY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18501-2024</t>
        </is>
      </c>
      <c r="B1269" s="1" t="n">
        <v>45425</v>
      </c>
      <c r="C1269" s="1" t="n">
        <v>45760</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18445-2024</t>
        </is>
      </c>
      <c r="B1270" s="1" t="n">
        <v>45425</v>
      </c>
      <c r="C1270" s="1" t="n">
        <v>45760</v>
      </c>
      <c r="D1270" t="inlineStr">
        <is>
          <t>KALMAR LÄN</t>
        </is>
      </c>
      <c r="E1270" t="inlineStr">
        <is>
          <t>VIMMERBY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18662-2024</t>
        </is>
      </c>
      <c r="B1271" s="1" t="n">
        <v>45426</v>
      </c>
      <c r="C1271" s="1" t="n">
        <v>45760</v>
      </c>
      <c r="D1271" t="inlineStr">
        <is>
          <t>KALMAR LÄN</t>
        </is>
      </c>
      <c r="E1271" t="inlineStr">
        <is>
          <t>VIMMERBY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18720-2024</t>
        </is>
      </c>
      <c r="B1272" s="1" t="n">
        <v>45426</v>
      </c>
      <c r="C1272" s="1" t="n">
        <v>45760</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18754-2024</t>
        </is>
      </c>
      <c r="B1273" s="1" t="n">
        <v>45426</v>
      </c>
      <c r="C1273" s="1" t="n">
        <v>45760</v>
      </c>
      <c r="D1273" t="inlineStr">
        <is>
          <t>KALMAR LÄN</t>
        </is>
      </c>
      <c r="E1273" t="inlineStr">
        <is>
          <t>VIMMERBY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18757-2024</t>
        </is>
      </c>
      <c r="B1274" s="1" t="n">
        <v>45426</v>
      </c>
      <c r="C1274" s="1" t="n">
        <v>45760</v>
      </c>
      <c r="D1274" t="inlineStr">
        <is>
          <t>KALMAR LÄN</t>
        </is>
      </c>
      <c r="E1274" t="inlineStr">
        <is>
          <t>VIMMERBY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19599-2024</t>
        </is>
      </c>
      <c r="B1275" s="1" t="n">
        <v>45431</v>
      </c>
      <c r="C1275" s="1" t="n">
        <v>45760</v>
      </c>
      <c r="D1275" t="inlineStr">
        <is>
          <t>KALMAR LÄN</t>
        </is>
      </c>
      <c r="E1275" t="inlineStr">
        <is>
          <t>VIMMERBY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20136-2024</t>
        </is>
      </c>
      <c r="B1276" s="1" t="n">
        <v>45434</v>
      </c>
      <c r="C1276" s="1" t="n">
        <v>45760</v>
      </c>
      <c r="D1276" t="inlineStr">
        <is>
          <t>KALMAR LÄN</t>
        </is>
      </c>
      <c r="E1276" t="inlineStr">
        <is>
          <t>VIMMERBY</t>
        </is>
      </c>
      <c r="F1276" t="inlineStr">
        <is>
          <t>Sveaskog</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20126-2024</t>
        </is>
      </c>
      <c r="B1277" s="1" t="n">
        <v>45434</v>
      </c>
      <c r="C1277" s="1" t="n">
        <v>45760</v>
      </c>
      <c r="D1277" t="inlineStr">
        <is>
          <t>KALMAR LÄN</t>
        </is>
      </c>
      <c r="E1277" t="inlineStr">
        <is>
          <t>VIMMERBY</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20129-2024</t>
        </is>
      </c>
      <c r="B1278" s="1" t="n">
        <v>45434</v>
      </c>
      <c r="C1278" s="1" t="n">
        <v>45760</v>
      </c>
      <c r="D1278" t="inlineStr">
        <is>
          <t>KALMAR LÄN</t>
        </is>
      </c>
      <c r="E1278" t="inlineStr">
        <is>
          <t>VIMMERBY</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20137-2024</t>
        </is>
      </c>
      <c r="B1279" s="1" t="n">
        <v>45434</v>
      </c>
      <c r="C1279" s="1" t="n">
        <v>45760</v>
      </c>
      <c r="D1279" t="inlineStr">
        <is>
          <t>KALMAR LÄN</t>
        </is>
      </c>
      <c r="E1279" t="inlineStr">
        <is>
          <t>VIMMERBY</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20329-2024</t>
        </is>
      </c>
      <c r="B1280" s="1" t="n">
        <v>45435</v>
      </c>
      <c r="C1280" s="1" t="n">
        <v>45760</v>
      </c>
      <c r="D1280" t="inlineStr">
        <is>
          <t>KALMAR LÄN</t>
        </is>
      </c>
      <c r="E1280" t="inlineStr">
        <is>
          <t>VIMMERBY</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20695-2024</t>
        </is>
      </c>
      <c r="B1281" s="1" t="n">
        <v>45436</v>
      </c>
      <c r="C1281" s="1" t="n">
        <v>45760</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21110-2024</t>
        </is>
      </c>
      <c r="B1282" s="1" t="n">
        <v>45440</v>
      </c>
      <c r="C1282" s="1" t="n">
        <v>45760</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21109-2024</t>
        </is>
      </c>
      <c r="B1283" s="1" t="n">
        <v>45440</v>
      </c>
      <c r="C1283" s="1" t="n">
        <v>45760</v>
      </c>
      <c r="D1283" t="inlineStr">
        <is>
          <t>KALMAR LÄN</t>
        </is>
      </c>
      <c r="E1283" t="inlineStr">
        <is>
          <t>VIMMERBY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21896-2024</t>
        </is>
      </c>
      <c r="B1284" s="1" t="n">
        <v>45443</v>
      </c>
      <c r="C1284" s="1" t="n">
        <v>45760</v>
      </c>
      <c r="D1284" t="inlineStr">
        <is>
          <t>KALMAR LÄN</t>
        </is>
      </c>
      <c r="E1284" t="inlineStr">
        <is>
          <t>VIMMERBY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21919-2024</t>
        </is>
      </c>
      <c r="B1285" s="1" t="n">
        <v>45443</v>
      </c>
      <c r="C1285" s="1" t="n">
        <v>45760</v>
      </c>
      <c r="D1285" t="inlineStr">
        <is>
          <t>KALMAR LÄN</t>
        </is>
      </c>
      <c r="E1285" t="inlineStr">
        <is>
          <t>VIMMERBY</t>
        </is>
      </c>
      <c r="F1285" t="inlineStr">
        <is>
          <t>Kyrkan</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22194-2024</t>
        </is>
      </c>
      <c r="B1286" s="1" t="n">
        <v>45446</v>
      </c>
      <c r="C1286" s="1" t="n">
        <v>45760</v>
      </c>
      <c r="D1286" t="inlineStr">
        <is>
          <t>KALMAR LÄN</t>
        </is>
      </c>
      <c r="E1286" t="inlineStr">
        <is>
          <t>VIMMERBY</t>
        </is>
      </c>
      <c r="F1286" t="inlineStr">
        <is>
          <t>Sveaskog</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22198-2024</t>
        </is>
      </c>
      <c r="B1287" s="1" t="n">
        <v>45446</v>
      </c>
      <c r="C1287" s="1" t="n">
        <v>45760</v>
      </c>
      <c r="D1287" t="inlineStr">
        <is>
          <t>KALMAR LÄN</t>
        </is>
      </c>
      <c r="E1287" t="inlineStr">
        <is>
          <t>VIMMERBY</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22197-2024</t>
        </is>
      </c>
      <c r="B1288" s="1" t="n">
        <v>45446</v>
      </c>
      <c r="C1288" s="1" t="n">
        <v>45760</v>
      </c>
      <c r="D1288" t="inlineStr">
        <is>
          <t>KALMAR LÄN</t>
        </is>
      </c>
      <c r="E1288" t="inlineStr">
        <is>
          <t>VIMMERBY</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23088-2024</t>
        </is>
      </c>
      <c r="B1289" s="1" t="n">
        <v>45450</v>
      </c>
      <c r="C1289" s="1" t="n">
        <v>45760</v>
      </c>
      <c r="D1289" t="inlineStr">
        <is>
          <t>KALMAR LÄN</t>
        </is>
      </c>
      <c r="E1289" t="inlineStr">
        <is>
          <t>VIMMERBY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23095-2024</t>
        </is>
      </c>
      <c r="B1290" s="1" t="n">
        <v>45450</v>
      </c>
      <c r="C1290" s="1" t="n">
        <v>45760</v>
      </c>
      <c r="D1290" t="inlineStr">
        <is>
          <t>KALMAR LÄN</t>
        </is>
      </c>
      <c r="E1290" t="inlineStr">
        <is>
          <t>VIMMERBY</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23263-2024</t>
        </is>
      </c>
      <c r="B1291" s="1" t="n">
        <v>45453</v>
      </c>
      <c r="C1291" s="1" t="n">
        <v>45760</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23422-2024</t>
        </is>
      </c>
      <c r="B1292" s="1" t="n">
        <v>45453</v>
      </c>
      <c r="C1292" s="1" t="n">
        <v>45760</v>
      </c>
      <c r="D1292" t="inlineStr">
        <is>
          <t>KALMAR LÄN</t>
        </is>
      </c>
      <c r="E1292" t="inlineStr">
        <is>
          <t>VIMMERBY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23254-2024</t>
        </is>
      </c>
      <c r="B1293" s="1" t="n">
        <v>45453</v>
      </c>
      <c r="C1293" s="1" t="n">
        <v>45760</v>
      </c>
      <c r="D1293" t="inlineStr">
        <is>
          <t>KALMAR LÄN</t>
        </is>
      </c>
      <c r="E1293" t="inlineStr">
        <is>
          <t>VIMMERBY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23252-2024</t>
        </is>
      </c>
      <c r="B1294" s="1" t="n">
        <v>45453</v>
      </c>
      <c r="C1294" s="1" t="n">
        <v>45760</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24096-2024</t>
        </is>
      </c>
      <c r="B1295" s="1" t="n">
        <v>45456</v>
      </c>
      <c r="C1295" s="1" t="n">
        <v>45760</v>
      </c>
      <c r="D1295" t="inlineStr">
        <is>
          <t>KALMAR LÄN</t>
        </is>
      </c>
      <c r="E1295" t="inlineStr">
        <is>
          <t>VIMMERBY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24699-2024</t>
        </is>
      </c>
      <c r="B1296" s="1" t="n">
        <v>45460</v>
      </c>
      <c r="C1296" s="1" t="n">
        <v>45760</v>
      </c>
      <c r="D1296" t="inlineStr">
        <is>
          <t>KALMAR LÄN</t>
        </is>
      </c>
      <c r="E1296" t="inlineStr">
        <is>
          <t>VIMMERBY</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24707-2024</t>
        </is>
      </c>
      <c r="B1297" s="1" t="n">
        <v>45460</v>
      </c>
      <c r="C1297" s="1" t="n">
        <v>45760</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24745-2024</t>
        </is>
      </c>
      <c r="B1298" s="1" t="n">
        <v>45460</v>
      </c>
      <c r="C1298" s="1" t="n">
        <v>45760</v>
      </c>
      <c r="D1298" t="inlineStr">
        <is>
          <t>KALMAR LÄN</t>
        </is>
      </c>
      <c r="E1298" t="inlineStr">
        <is>
          <t>VIMMERBY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24525-2024</t>
        </is>
      </c>
      <c r="B1299" s="1" t="n">
        <v>45460</v>
      </c>
      <c r="C1299" s="1" t="n">
        <v>45760</v>
      </c>
      <c r="D1299" t="inlineStr">
        <is>
          <t>KALMAR LÄN</t>
        </is>
      </c>
      <c r="E1299" t="inlineStr">
        <is>
          <t>VIMMERBY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25304-2024</t>
        </is>
      </c>
      <c r="B1300" s="1" t="n">
        <v>45462</v>
      </c>
      <c r="C1300" s="1" t="n">
        <v>45760</v>
      </c>
      <c r="D1300" t="inlineStr">
        <is>
          <t>KALMAR LÄN</t>
        </is>
      </c>
      <c r="E1300" t="inlineStr">
        <is>
          <t>VIMMERBY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25143-2024</t>
        </is>
      </c>
      <c r="B1301" s="1" t="n">
        <v>45462</v>
      </c>
      <c r="C1301" s="1" t="n">
        <v>45760</v>
      </c>
      <c r="D1301" t="inlineStr">
        <is>
          <t>KALMAR LÄN</t>
        </is>
      </c>
      <c r="E1301" t="inlineStr">
        <is>
          <t>VIMMERBY</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25582-2024</t>
        </is>
      </c>
      <c r="B1302" s="1" t="n">
        <v>45463</v>
      </c>
      <c r="C1302" s="1" t="n">
        <v>45760</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25415-2024</t>
        </is>
      </c>
      <c r="B1303" s="1" t="n">
        <v>45463</v>
      </c>
      <c r="C1303" s="1" t="n">
        <v>45760</v>
      </c>
      <c r="D1303" t="inlineStr">
        <is>
          <t>KALMAR LÄN</t>
        </is>
      </c>
      <c r="E1303" t="inlineStr">
        <is>
          <t>VIMMERBY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25987-2024</t>
        </is>
      </c>
      <c r="B1304" s="1" t="n">
        <v>45467</v>
      </c>
      <c r="C1304" s="1" t="n">
        <v>45760</v>
      </c>
      <c r="D1304" t="inlineStr">
        <is>
          <t>KALMAR LÄN</t>
        </is>
      </c>
      <c r="E1304" t="inlineStr">
        <is>
          <t>VIMMERBY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26445-2024</t>
        </is>
      </c>
      <c r="B1305" s="1" t="n">
        <v>45468</v>
      </c>
      <c r="C1305" s="1" t="n">
        <v>45760</v>
      </c>
      <c r="D1305" t="inlineStr">
        <is>
          <t>KALMAR LÄN</t>
        </is>
      </c>
      <c r="E1305" t="inlineStr">
        <is>
          <t>VIMMERBY</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27048-2024</t>
        </is>
      </c>
      <c r="B1306" s="1" t="n">
        <v>45471</v>
      </c>
      <c r="C1306" s="1" t="n">
        <v>45760</v>
      </c>
      <c r="D1306" t="inlineStr">
        <is>
          <t>KALMAR LÄN</t>
        </is>
      </c>
      <c r="E1306" t="inlineStr">
        <is>
          <t>VIMMERBY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27063-2024</t>
        </is>
      </c>
      <c r="B1307" s="1" t="n">
        <v>45471</v>
      </c>
      <c r="C1307" s="1" t="n">
        <v>45760</v>
      </c>
      <c r="D1307" t="inlineStr">
        <is>
          <t>KALMAR LÄN</t>
        </is>
      </c>
      <c r="E1307" t="inlineStr">
        <is>
          <t>VIMMERBY</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27028-2024</t>
        </is>
      </c>
      <c r="B1308" s="1" t="n">
        <v>45471</v>
      </c>
      <c r="C1308" s="1" t="n">
        <v>45760</v>
      </c>
      <c r="D1308" t="inlineStr">
        <is>
          <t>KALMAR LÄN</t>
        </is>
      </c>
      <c r="E1308" t="inlineStr">
        <is>
          <t>VIMMERBY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27030-2024</t>
        </is>
      </c>
      <c r="B1309" s="1" t="n">
        <v>45471</v>
      </c>
      <c r="C1309" s="1" t="n">
        <v>45760</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27758-2024</t>
        </is>
      </c>
      <c r="B1310" s="1" t="n">
        <v>45475</v>
      </c>
      <c r="C1310" s="1" t="n">
        <v>45760</v>
      </c>
      <c r="D1310" t="inlineStr">
        <is>
          <t>KALMAR LÄN</t>
        </is>
      </c>
      <c r="E1310" t="inlineStr">
        <is>
          <t>VIMMERBY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27761-2024</t>
        </is>
      </c>
      <c r="B1311" s="1" t="n">
        <v>45475</v>
      </c>
      <c r="C1311" s="1" t="n">
        <v>45760</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27759-2024</t>
        </is>
      </c>
      <c r="B1312" s="1" t="n">
        <v>45475</v>
      </c>
      <c r="C1312" s="1" t="n">
        <v>45760</v>
      </c>
      <c r="D1312" t="inlineStr">
        <is>
          <t>KALMAR LÄN</t>
        </is>
      </c>
      <c r="E1312" t="inlineStr">
        <is>
          <t>VIMMERBY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28066-2024</t>
        </is>
      </c>
      <c r="B1313" s="1" t="n">
        <v>45476</v>
      </c>
      <c r="C1313" s="1" t="n">
        <v>45760</v>
      </c>
      <c r="D1313" t="inlineStr">
        <is>
          <t>KALMAR LÄN</t>
        </is>
      </c>
      <c r="E1313" t="inlineStr">
        <is>
          <t>VIMMERBY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27992-2024</t>
        </is>
      </c>
      <c r="B1314" s="1" t="n">
        <v>45476</v>
      </c>
      <c r="C1314" s="1" t="n">
        <v>45760</v>
      </c>
      <c r="D1314" t="inlineStr">
        <is>
          <t>KALMAR LÄN</t>
        </is>
      </c>
      <c r="E1314" t="inlineStr">
        <is>
          <t>VIMMERBY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28177-2024</t>
        </is>
      </c>
      <c r="B1315" s="1" t="n">
        <v>45477</v>
      </c>
      <c r="C1315" s="1" t="n">
        <v>45760</v>
      </c>
      <c r="D1315" t="inlineStr">
        <is>
          <t>KALMAR LÄN</t>
        </is>
      </c>
      <c r="E1315" t="inlineStr">
        <is>
          <t>VIMMERBY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29020-2024</t>
        </is>
      </c>
      <c r="B1316" s="1" t="n">
        <v>45481</v>
      </c>
      <c r="C1316" s="1" t="n">
        <v>45760</v>
      </c>
      <c r="D1316" t="inlineStr">
        <is>
          <t>KALMAR LÄN</t>
        </is>
      </c>
      <c r="E1316" t="inlineStr">
        <is>
          <t>VIMMERBY</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29015-2024</t>
        </is>
      </c>
      <c r="B1317" s="1" t="n">
        <v>45481</v>
      </c>
      <c r="C1317" s="1" t="n">
        <v>45760</v>
      </c>
      <c r="D1317" t="inlineStr">
        <is>
          <t>KALMAR LÄN</t>
        </is>
      </c>
      <c r="E1317" t="inlineStr">
        <is>
          <t>VIMMERBY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29018-2024</t>
        </is>
      </c>
      <c r="B1318" s="1" t="n">
        <v>45481</v>
      </c>
      <c r="C1318" s="1" t="n">
        <v>45760</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29017-2024</t>
        </is>
      </c>
      <c r="B1319" s="1" t="n">
        <v>45481</v>
      </c>
      <c r="C1319" s="1" t="n">
        <v>45760</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29013-2024</t>
        </is>
      </c>
      <c r="B1320" s="1" t="n">
        <v>45481</v>
      </c>
      <c r="C1320" s="1" t="n">
        <v>45760</v>
      </c>
      <c r="D1320" t="inlineStr">
        <is>
          <t>KALMAR LÄN</t>
        </is>
      </c>
      <c r="E1320" t="inlineStr">
        <is>
          <t>VIMMERBY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29166-2024</t>
        </is>
      </c>
      <c r="B1321" s="1" t="n">
        <v>45482</v>
      </c>
      <c r="C1321" s="1" t="n">
        <v>45760</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29183-2024</t>
        </is>
      </c>
      <c r="B1322" s="1" t="n">
        <v>45482</v>
      </c>
      <c r="C1322" s="1" t="n">
        <v>45760</v>
      </c>
      <c r="D1322" t="inlineStr">
        <is>
          <t>KALMAR LÄN</t>
        </is>
      </c>
      <c r="E1322" t="inlineStr">
        <is>
          <t>VIMMERBY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29168-2024</t>
        </is>
      </c>
      <c r="B1323" s="1" t="n">
        <v>45482</v>
      </c>
      <c r="C1323" s="1" t="n">
        <v>45760</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29173-2024</t>
        </is>
      </c>
      <c r="B1324" s="1" t="n">
        <v>45482</v>
      </c>
      <c r="C1324" s="1" t="n">
        <v>45760</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29186-2024</t>
        </is>
      </c>
      <c r="B1325" s="1" t="n">
        <v>45482</v>
      </c>
      <c r="C1325" s="1" t="n">
        <v>45760</v>
      </c>
      <c r="D1325" t="inlineStr">
        <is>
          <t>KALMAR LÄN</t>
        </is>
      </c>
      <c r="E1325" t="inlineStr">
        <is>
          <t>VIMMERBY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29180-2024</t>
        </is>
      </c>
      <c r="B1326" s="1" t="n">
        <v>45482</v>
      </c>
      <c r="C1326" s="1" t="n">
        <v>45760</v>
      </c>
      <c r="D1326" t="inlineStr">
        <is>
          <t>KALMAR LÄN</t>
        </is>
      </c>
      <c r="E1326" t="inlineStr">
        <is>
          <t>VIMMERBY</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29165-2024</t>
        </is>
      </c>
      <c r="B1327" s="1" t="n">
        <v>45482</v>
      </c>
      <c r="C1327" s="1" t="n">
        <v>45760</v>
      </c>
      <c r="D1327" t="inlineStr">
        <is>
          <t>KALMAR LÄN</t>
        </is>
      </c>
      <c r="E1327" t="inlineStr">
        <is>
          <t>VIMMERBY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29440-2024</t>
        </is>
      </c>
      <c r="B1328" s="1" t="n">
        <v>45483</v>
      </c>
      <c r="C1328" s="1" t="n">
        <v>45760</v>
      </c>
      <c r="D1328" t="inlineStr">
        <is>
          <t>KALMAR LÄN</t>
        </is>
      </c>
      <c r="E1328" t="inlineStr">
        <is>
          <t>VIMMERBY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29441-2024</t>
        </is>
      </c>
      <c r="B1329" s="1" t="n">
        <v>45483</v>
      </c>
      <c r="C1329" s="1" t="n">
        <v>45760</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29787-2024</t>
        </is>
      </c>
      <c r="B1330" s="1" t="n">
        <v>45485</v>
      </c>
      <c r="C1330" s="1" t="n">
        <v>45760</v>
      </c>
      <c r="D1330" t="inlineStr">
        <is>
          <t>KALMAR LÄN</t>
        </is>
      </c>
      <c r="E1330" t="inlineStr">
        <is>
          <t>VIMMERBY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29783-2024</t>
        </is>
      </c>
      <c r="B1331" s="1" t="n">
        <v>45485</v>
      </c>
      <c r="C1331" s="1" t="n">
        <v>45760</v>
      </c>
      <c r="D1331" t="inlineStr">
        <is>
          <t>KALMAR LÄN</t>
        </is>
      </c>
      <c r="E1331" t="inlineStr">
        <is>
          <t>VIMMERBY</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29779-2024</t>
        </is>
      </c>
      <c r="B1332" s="1" t="n">
        <v>45485</v>
      </c>
      <c r="C1332" s="1" t="n">
        <v>45760</v>
      </c>
      <c r="D1332" t="inlineStr">
        <is>
          <t>KALMAR LÄN</t>
        </is>
      </c>
      <c r="E1332" t="inlineStr">
        <is>
          <t>VIMMERBY</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29778-2024</t>
        </is>
      </c>
      <c r="B1333" s="1" t="n">
        <v>45485</v>
      </c>
      <c r="C1333" s="1" t="n">
        <v>45760</v>
      </c>
      <c r="D1333" t="inlineStr">
        <is>
          <t>KALMAR LÄN</t>
        </is>
      </c>
      <c r="E1333" t="inlineStr">
        <is>
          <t>VIMMERBY</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29790-2024</t>
        </is>
      </c>
      <c r="B1334" s="1" t="n">
        <v>45485</v>
      </c>
      <c r="C1334" s="1" t="n">
        <v>45760</v>
      </c>
      <c r="D1334" t="inlineStr">
        <is>
          <t>KALMAR LÄN</t>
        </is>
      </c>
      <c r="E1334" t="inlineStr">
        <is>
          <t>VIMMERBY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30120-2024</t>
        </is>
      </c>
      <c r="B1335" s="1" t="n">
        <v>45489</v>
      </c>
      <c r="C1335" s="1" t="n">
        <v>45760</v>
      </c>
      <c r="D1335" t="inlineStr">
        <is>
          <t>KALMAR LÄN</t>
        </is>
      </c>
      <c r="E1335" t="inlineStr">
        <is>
          <t>VIMMERBY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30634-2024</t>
        </is>
      </c>
      <c r="B1336" s="1" t="n">
        <v>45495</v>
      </c>
      <c r="C1336" s="1" t="n">
        <v>45760</v>
      </c>
      <c r="D1336" t="inlineStr">
        <is>
          <t>KALMAR LÄN</t>
        </is>
      </c>
      <c r="E1336" t="inlineStr">
        <is>
          <t>VIMMERBY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30632-2024</t>
        </is>
      </c>
      <c r="B1337" s="1" t="n">
        <v>45495</v>
      </c>
      <c r="C1337" s="1" t="n">
        <v>45760</v>
      </c>
      <c r="D1337" t="inlineStr">
        <is>
          <t>KALMAR LÄN</t>
        </is>
      </c>
      <c r="E1337" t="inlineStr">
        <is>
          <t>VIMMERBY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30633-2024</t>
        </is>
      </c>
      <c r="B1338" s="1" t="n">
        <v>45495</v>
      </c>
      <c r="C1338" s="1" t="n">
        <v>45760</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30861-2024</t>
        </is>
      </c>
      <c r="B1339" s="1" t="n">
        <v>45497</v>
      </c>
      <c r="C1339" s="1" t="n">
        <v>45760</v>
      </c>
      <c r="D1339" t="inlineStr">
        <is>
          <t>KALMAR LÄN</t>
        </is>
      </c>
      <c r="E1339" t="inlineStr">
        <is>
          <t>VIMMERBY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30921-2024</t>
        </is>
      </c>
      <c r="B1340" s="1" t="n">
        <v>45498</v>
      </c>
      <c r="C1340" s="1" t="n">
        <v>45760</v>
      </c>
      <c r="D1340" t="inlineStr">
        <is>
          <t>KALMAR LÄN</t>
        </is>
      </c>
      <c r="E1340" t="inlineStr">
        <is>
          <t>VIMMERBY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30920-2024</t>
        </is>
      </c>
      <c r="B1341" s="1" t="n">
        <v>45498</v>
      </c>
      <c r="C1341" s="1" t="n">
        <v>45760</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31139-2024</t>
        </is>
      </c>
      <c r="B1342" s="1" t="n">
        <v>45502</v>
      </c>
      <c r="C1342" s="1" t="n">
        <v>45760</v>
      </c>
      <c r="D1342" t="inlineStr">
        <is>
          <t>KALMAR LÄN</t>
        </is>
      </c>
      <c r="E1342" t="inlineStr">
        <is>
          <t>VIMMERBY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31136-2024</t>
        </is>
      </c>
      <c r="B1343" s="1" t="n">
        <v>45502</v>
      </c>
      <c r="C1343" s="1" t="n">
        <v>45760</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31209-2024</t>
        </is>
      </c>
      <c r="B1344" s="1" t="n">
        <v>45503</v>
      </c>
      <c r="C1344" s="1" t="n">
        <v>45760</v>
      </c>
      <c r="D1344" t="inlineStr">
        <is>
          <t>KALMAR LÄN</t>
        </is>
      </c>
      <c r="E1344" t="inlineStr">
        <is>
          <t>VIMMERBY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31210-2024</t>
        </is>
      </c>
      <c r="B1345" s="1" t="n">
        <v>45503</v>
      </c>
      <c r="C1345" s="1" t="n">
        <v>45760</v>
      </c>
      <c r="D1345" t="inlineStr">
        <is>
          <t>KALMAR LÄN</t>
        </is>
      </c>
      <c r="E1345" t="inlineStr">
        <is>
          <t>VIMMERBY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31250-2024</t>
        </is>
      </c>
      <c r="B1346" s="1" t="n">
        <v>45503</v>
      </c>
      <c r="C1346" s="1" t="n">
        <v>45760</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31244-2024</t>
        </is>
      </c>
      <c r="B1347" s="1" t="n">
        <v>45503</v>
      </c>
      <c r="C1347" s="1" t="n">
        <v>45760</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31248-2024</t>
        </is>
      </c>
      <c r="B1348" s="1" t="n">
        <v>45503</v>
      </c>
      <c r="C1348" s="1" t="n">
        <v>45760</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31238-2024</t>
        </is>
      </c>
      <c r="B1349" s="1" t="n">
        <v>45503</v>
      </c>
      <c r="C1349" s="1" t="n">
        <v>45760</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32575-2024</t>
        </is>
      </c>
      <c r="B1350" s="1" t="n">
        <v>45513</v>
      </c>
      <c r="C1350" s="1" t="n">
        <v>45760</v>
      </c>
      <c r="D1350" t="inlineStr">
        <is>
          <t>KALMAR LÄN</t>
        </is>
      </c>
      <c r="E1350" t="inlineStr">
        <is>
          <t>VIMMERBY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32628-2024</t>
        </is>
      </c>
      <c r="B1351" s="1" t="n">
        <v>45513</v>
      </c>
      <c r="C1351" s="1" t="n">
        <v>45760</v>
      </c>
      <c r="D1351" t="inlineStr">
        <is>
          <t>KALMAR LÄN</t>
        </is>
      </c>
      <c r="E1351" t="inlineStr">
        <is>
          <t>VIMMERBY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32627-2024</t>
        </is>
      </c>
      <c r="B1352" s="1" t="n">
        <v>45513</v>
      </c>
      <c r="C1352" s="1" t="n">
        <v>45760</v>
      </c>
      <c r="D1352" t="inlineStr">
        <is>
          <t>KALMAR LÄN</t>
        </is>
      </c>
      <c r="E1352" t="inlineStr">
        <is>
          <t>VIMMERBY</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32569-2024</t>
        </is>
      </c>
      <c r="B1353" s="1" t="n">
        <v>45513</v>
      </c>
      <c r="C1353" s="1" t="n">
        <v>45760</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32629-2024</t>
        </is>
      </c>
      <c r="B1354" s="1" t="n">
        <v>45513</v>
      </c>
      <c r="C1354" s="1" t="n">
        <v>45760</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33102-2024</t>
        </is>
      </c>
      <c r="B1355" s="1" t="n">
        <v>45517</v>
      </c>
      <c r="C1355" s="1" t="n">
        <v>45760</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33103-2024</t>
        </is>
      </c>
      <c r="B1356" s="1" t="n">
        <v>45517</v>
      </c>
      <c r="C1356" s="1" t="n">
        <v>45760</v>
      </c>
      <c r="D1356" t="inlineStr">
        <is>
          <t>KALMAR LÄN</t>
        </is>
      </c>
      <c r="E1356" t="inlineStr">
        <is>
          <t>VIMMERBY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32966-2024</t>
        </is>
      </c>
      <c r="B1357" s="1" t="n">
        <v>45517</v>
      </c>
      <c r="C1357" s="1" t="n">
        <v>45760</v>
      </c>
      <c r="D1357" t="inlineStr">
        <is>
          <t>KALMAR LÄN</t>
        </is>
      </c>
      <c r="E1357" t="inlineStr">
        <is>
          <t>VIMMERBY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33161-2024</t>
        </is>
      </c>
      <c r="B1358" s="1" t="n">
        <v>45518</v>
      </c>
      <c r="C1358" s="1" t="n">
        <v>45760</v>
      </c>
      <c r="D1358" t="inlineStr">
        <is>
          <t>KALMAR LÄN</t>
        </is>
      </c>
      <c r="E1358" t="inlineStr">
        <is>
          <t>VIMMERBY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33423-2024</t>
        </is>
      </c>
      <c r="B1359" s="1" t="n">
        <v>45519</v>
      </c>
      <c r="C1359" s="1" t="n">
        <v>45760</v>
      </c>
      <c r="D1359" t="inlineStr">
        <is>
          <t>KALMAR LÄN</t>
        </is>
      </c>
      <c r="E1359" t="inlineStr">
        <is>
          <t>VIMMERBY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33880-2024</t>
        </is>
      </c>
      <c r="B1360" s="1" t="n">
        <v>45522</v>
      </c>
      <c r="C1360" s="1" t="n">
        <v>45760</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34076-2024</t>
        </is>
      </c>
      <c r="B1361" s="1" t="n">
        <v>45523</v>
      </c>
      <c r="C1361" s="1" t="n">
        <v>45760</v>
      </c>
      <c r="D1361" t="inlineStr">
        <is>
          <t>KALMAR LÄN</t>
        </is>
      </c>
      <c r="E1361" t="inlineStr">
        <is>
          <t>VIMMERBY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34386-2024</t>
        </is>
      </c>
      <c r="B1362" s="1" t="n">
        <v>45525</v>
      </c>
      <c r="C1362" s="1" t="n">
        <v>45760</v>
      </c>
      <c r="D1362" t="inlineStr">
        <is>
          <t>KALMAR LÄN</t>
        </is>
      </c>
      <c r="E1362" t="inlineStr">
        <is>
          <t>VIMMERBY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34510-2024</t>
        </is>
      </c>
      <c r="B1363" s="1" t="n">
        <v>45525</v>
      </c>
      <c r="C1363" s="1" t="n">
        <v>45760</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34383-2024</t>
        </is>
      </c>
      <c r="B1364" s="1" t="n">
        <v>45525</v>
      </c>
      <c r="C1364" s="1" t="n">
        <v>45760</v>
      </c>
      <c r="D1364" t="inlineStr">
        <is>
          <t>KALMAR LÄN</t>
        </is>
      </c>
      <c r="E1364" t="inlineStr">
        <is>
          <t>VIMMERBY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34513-2024</t>
        </is>
      </c>
      <c r="B1365" s="1" t="n">
        <v>45525</v>
      </c>
      <c r="C1365" s="1" t="n">
        <v>45760</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34588-2024</t>
        </is>
      </c>
      <c r="B1366" s="1" t="n">
        <v>45526</v>
      </c>
      <c r="C1366" s="1" t="n">
        <v>45760</v>
      </c>
      <c r="D1366" t="inlineStr">
        <is>
          <t>KALMAR LÄN</t>
        </is>
      </c>
      <c r="E1366" t="inlineStr">
        <is>
          <t>VIMMERBY</t>
        </is>
      </c>
      <c r="F1366" t="inlineStr">
        <is>
          <t>Övriga Aktiebolag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34918-2024</t>
        </is>
      </c>
      <c r="B1367" s="1" t="n">
        <v>45527</v>
      </c>
      <c r="C1367" s="1" t="n">
        <v>45760</v>
      </c>
      <c r="D1367" t="inlineStr">
        <is>
          <t>KALMAR LÄN</t>
        </is>
      </c>
      <c r="E1367" t="inlineStr">
        <is>
          <t>VIMMERBY</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35082-2024</t>
        </is>
      </c>
      <c r="B1368" s="1" t="n">
        <v>45527</v>
      </c>
      <c r="C1368" s="1" t="n">
        <v>45760</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35127-2024</t>
        </is>
      </c>
      <c r="B1369" s="1" t="n">
        <v>45530</v>
      </c>
      <c r="C1369" s="1" t="n">
        <v>45760</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35852-2024</t>
        </is>
      </c>
      <c r="B1370" s="1" t="n">
        <v>45532</v>
      </c>
      <c r="C1370" s="1" t="n">
        <v>45760</v>
      </c>
      <c r="D1370" t="inlineStr">
        <is>
          <t>KALMAR LÄN</t>
        </is>
      </c>
      <c r="E1370" t="inlineStr">
        <is>
          <t>VIMMERBY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35895-2024</t>
        </is>
      </c>
      <c r="B1371" s="1" t="n">
        <v>45533</v>
      </c>
      <c r="C1371" s="1" t="n">
        <v>45760</v>
      </c>
      <c r="D1371" t="inlineStr">
        <is>
          <t>KALMAR LÄN</t>
        </is>
      </c>
      <c r="E1371" t="inlineStr">
        <is>
          <t>VIMMERBY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35990-2024</t>
        </is>
      </c>
      <c r="B1372" s="1" t="n">
        <v>45533</v>
      </c>
      <c r="C1372" s="1" t="n">
        <v>45760</v>
      </c>
      <c r="D1372" t="inlineStr">
        <is>
          <t>KALMAR LÄN</t>
        </is>
      </c>
      <c r="E1372" t="inlineStr">
        <is>
          <t>VIMMERBY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35998-2024</t>
        </is>
      </c>
      <c r="B1373" s="1" t="n">
        <v>45533</v>
      </c>
      <c r="C1373" s="1" t="n">
        <v>45760</v>
      </c>
      <c r="D1373" t="inlineStr">
        <is>
          <t>KALMAR LÄN</t>
        </is>
      </c>
      <c r="E1373" t="inlineStr">
        <is>
          <t>VIMMERBY</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36014-2024</t>
        </is>
      </c>
      <c r="B1374" s="1" t="n">
        <v>45533</v>
      </c>
      <c r="C1374" s="1" t="n">
        <v>45760</v>
      </c>
      <c r="D1374" t="inlineStr">
        <is>
          <t>KALMAR LÄN</t>
        </is>
      </c>
      <c r="E1374" t="inlineStr">
        <is>
          <t>VIMMERBY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36030-2024</t>
        </is>
      </c>
      <c r="B1375" s="1" t="n">
        <v>45533</v>
      </c>
      <c r="C1375" s="1" t="n">
        <v>45760</v>
      </c>
      <c r="D1375" t="inlineStr">
        <is>
          <t>KALMAR LÄN</t>
        </is>
      </c>
      <c r="E1375" t="inlineStr">
        <is>
          <t>VIMMERBY</t>
        </is>
      </c>
      <c r="F1375" t="inlineStr">
        <is>
          <t>Kommuner</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36043-2024</t>
        </is>
      </c>
      <c r="B1376" s="1" t="n">
        <v>45533</v>
      </c>
      <c r="C1376" s="1" t="n">
        <v>45760</v>
      </c>
      <c r="D1376" t="inlineStr">
        <is>
          <t>KALMAR LÄN</t>
        </is>
      </c>
      <c r="E1376" t="inlineStr">
        <is>
          <t>VIMMERBY</t>
        </is>
      </c>
      <c r="F1376" t="inlineStr">
        <is>
          <t>Kommuner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36055-2024</t>
        </is>
      </c>
      <c r="B1377" s="1" t="n">
        <v>45533</v>
      </c>
      <c r="C1377" s="1" t="n">
        <v>45760</v>
      </c>
      <c r="D1377" t="inlineStr">
        <is>
          <t>KALMAR LÄN</t>
        </is>
      </c>
      <c r="E1377" t="inlineStr">
        <is>
          <t>VIMMERBY</t>
        </is>
      </c>
      <c r="F1377" t="inlineStr">
        <is>
          <t>Kommuner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36049-2024</t>
        </is>
      </c>
      <c r="B1378" s="1" t="n">
        <v>45533</v>
      </c>
      <c r="C1378" s="1" t="n">
        <v>45760</v>
      </c>
      <c r="D1378" t="inlineStr">
        <is>
          <t>KALMAR LÄN</t>
        </is>
      </c>
      <c r="E1378" t="inlineStr">
        <is>
          <t>VIMMERBY</t>
        </is>
      </c>
      <c r="F1378" t="inlineStr">
        <is>
          <t>Kommuner</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36008-2024</t>
        </is>
      </c>
      <c r="B1379" s="1" t="n">
        <v>45533</v>
      </c>
      <c r="C1379" s="1" t="n">
        <v>45760</v>
      </c>
      <c r="D1379" t="inlineStr">
        <is>
          <t>KALMAR LÄN</t>
        </is>
      </c>
      <c r="E1379" t="inlineStr">
        <is>
          <t>VIMMERBY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36040-2024</t>
        </is>
      </c>
      <c r="B1380" s="1" t="n">
        <v>45533</v>
      </c>
      <c r="C1380" s="1" t="n">
        <v>45760</v>
      </c>
      <c r="D1380" t="inlineStr">
        <is>
          <t>KALMAR LÄN</t>
        </is>
      </c>
      <c r="E1380" t="inlineStr">
        <is>
          <t>VIMMERBY</t>
        </is>
      </c>
      <c r="F1380" t="inlineStr">
        <is>
          <t>Kommuner</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36060-2024</t>
        </is>
      </c>
      <c r="B1381" s="1" t="n">
        <v>45533</v>
      </c>
      <c r="C1381" s="1" t="n">
        <v>45760</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36125-2024</t>
        </is>
      </c>
      <c r="B1382" s="1" t="n">
        <v>45534</v>
      </c>
      <c r="C1382" s="1" t="n">
        <v>45760</v>
      </c>
      <c r="D1382" t="inlineStr">
        <is>
          <t>KALMAR LÄN</t>
        </is>
      </c>
      <c r="E1382" t="inlineStr">
        <is>
          <t>VIMMERBY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36128-2024</t>
        </is>
      </c>
      <c r="B1383" s="1" t="n">
        <v>45534</v>
      </c>
      <c r="C1383" s="1" t="n">
        <v>45760</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37028-2024</t>
        </is>
      </c>
      <c r="B1384" s="1" t="n">
        <v>45539</v>
      </c>
      <c r="C1384" s="1" t="n">
        <v>45760</v>
      </c>
      <c r="D1384" t="inlineStr">
        <is>
          <t>KALMAR LÄN</t>
        </is>
      </c>
      <c r="E1384" t="inlineStr">
        <is>
          <t>VIMMERBY</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37187-2024</t>
        </is>
      </c>
      <c r="B1385" s="1" t="n">
        <v>45539</v>
      </c>
      <c r="C1385" s="1" t="n">
        <v>45760</v>
      </c>
      <c r="D1385" t="inlineStr">
        <is>
          <t>KALMAR LÄN</t>
        </is>
      </c>
      <c r="E1385" t="inlineStr">
        <is>
          <t>VIMMERBY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37192-2024</t>
        </is>
      </c>
      <c r="B1386" s="1" t="n">
        <v>45539</v>
      </c>
      <c r="C1386" s="1" t="n">
        <v>45760</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37323-2024</t>
        </is>
      </c>
      <c r="B1387" s="1" t="n">
        <v>45540</v>
      </c>
      <c r="C1387" s="1" t="n">
        <v>45760</v>
      </c>
      <c r="D1387" t="inlineStr">
        <is>
          <t>KALMAR LÄN</t>
        </is>
      </c>
      <c r="E1387" t="inlineStr">
        <is>
          <t>VIMMERBY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37329-2024</t>
        </is>
      </c>
      <c r="B1388" s="1" t="n">
        <v>45540</v>
      </c>
      <c r="C1388" s="1" t="n">
        <v>45760</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37654-2024</t>
        </is>
      </c>
      <c r="B1389" s="1" t="n">
        <v>45541</v>
      </c>
      <c r="C1389" s="1" t="n">
        <v>45760</v>
      </c>
      <c r="D1389" t="inlineStr">
        <is>
          <t>KALMAR LÄN</t>
        </is>
      </c>
      <c r="E1389" t="inlineStr">
        <is>
          <t>VIMMERBY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37616-2024</t>
        </is>
      </c>
      <c r="B1390" s="1" t="n">
        <v>45541</v>
      </c>
      <c r="C1390" s="1" t="n">
        <v>45760</v>
      </c>
      <c r="D1390" t="inlineStr">
        <is>
          <t>KALMAR LÄN</t>
        </is>
      </c>
      <c r="E1390" t="inlineStr">
        <is>
          <t>VIMMERBY</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38198-2024</t>
        </is>
      </c>
      <c r="B1391" s="1" t="n">
        <v>45545</v>
      </c>
      <c r="C1391" s="1" t="n">
        <v>45760</v>
      </c>
      <c r="D1391" t="inlineStr">
        <is>
          <t>KALMAR LÄN</t>
        </is>
      </c>
      <c r="E1391" t="inlineStr">
        <is>
          <t>VIMMERBY</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39043-2024</t>
        </is>
      </c>
      <c r="B1392" s="1" t="n">
        <v>45548</v>
      </c>
      <c r="C1392" s="1" t="n">
        <v>45760</v>
      </c>
      <c r="D1392" t="inlineStr">
        <is>
          <t>KALMAR LÄN</t>
        </is>
      </c>
      <c r="E1392" t="inlineStr">
        <is>
          <t>VIMMERBY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39053-2024</t>
        </is>
      </c>
      <c r="B1393" s="1" t="n">
        <v>45548</v>
      </c>
      <c r="C1393" s="1" t="n">
        <v>45760</v>
      </c>
      <c r="D1393" t="inlineStr">
        <is>
          <t>KALMAR LÄN</t>
        </is>
      </c>
      <c r="E1393" t="inlineStr">
        <is>
          <t>VIMMERBY</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39247-2024</t>
        </is>
      </c>
      <c r="B1394" s="1" t="n">
        <v>45551</v>
      </c>
      <c r="C1394" s="1" t="n">
        <v>45760</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39584-2024</t>
        </is>
      </c>
      <c r="B1395" s="1" t="n">
        <v>45552</v>
      </c>
      <c r="C1395" s="1" t="n">
        <v>45760</v>
      </c>
      <c r="D1395" t="inlineStr">
        <is>
          <t>KALMAR LÄN</t>
        </is>
      </c>
      <c r="E1395" t="inlineStr">
        <is>
          <t>VIMMERBY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39578-2024</t>
        </is>
      </c>
      <c r="B1396" s="1" t="n">
        <v>45552</v>
      </c>
      <c r="C1396" s="1" t="n">
        <v>45760</v>
      </c>
      <c r="D1396" t="inlineStr">
        <is>
          <t>KALMAR LÄN</t>
        </is>
      </c>
      <c r="E1396" t="inlineStr">
        <is>
          <t>VIMMERBY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39743-2024</t>
        </is>
      </c>
      <c r="B1397" s="1" t="n">
        <v>45552</v>
      </c>
      <c r="C1397" s="1" t="n">
        <v>45760</v>
      </c>
      <c r="D1397" t="inlineStr">
        <is>
          <t>KALMAR LÄN</t>
        </is>
      </c>
      <c r="E1397" t="inlineStr">
        <is>
          <t>VIMMERBY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40255-2024</t>
        </is>
      </c>
      <c r="B1398" s="1" t="n">
        <v>45554</v>
      </c>
      <c r="C1398" s="1" t="n">
        <v>45760</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40260-2024</t>
        </is>
      </c>
      <c r="B1399" s="1" t="n">
        <v>45554</v>
      </c>
      <c r="C1399" s="1" t="n">
        <v>45760</v>
      </c>
      <c r="D1399" t="inlineStr">
        <is>
          <t>KALMAR LÄN</t>
        </is>
      </c>
      <c r="E1399" t="inlineStr">
        <is>
          <t>VIMMERBY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40256-2024</t>
        </is>
      </c>
      <c r="B1400" s="1" t="n">
        <v>45554</v>
      </c>
      <c r="C1400" s="1" t="n">
        <v>45760</v>
      </c>
      <c r="D1400" t="inlineStr">
        <is>
          <t>KALMAR LÄN</t>
        </is>
      </c>
      <c r="E1400" t="inlineStr">
        <is>
          <t>VIMMERBY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40444-2024</t>
        </is>
      </c>
      <c r="B1401" s="1" t="n">
        <v>45555</v>
      </c>
      <c r="C1401" s="1" t="n">
        <v>45760</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40730-2024</t>
        </is>
      </c>
      <c r="B1402" s="1" t="n">
        <v>45558</v>
      </c>
      <c r="C1402" s="1" t="n">
        <v>45760</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40750-2024</t>
        </is>
      </c>
      <c r="B1403" s="1" t="n">
        <v>45558</v>
      </c>
      <c r="C1403" s="1" t="n">
        <v>45760</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40782-2024</t>
        </is>
      </c>
      <c r="B1404" s="1" t="n">
        <v>45558</v>
      </c>
      <c r="C1404" s="1" t="n">
        <v>45760</v>
      </c>
      <c r="D1404" t="inlineStr">
        <is>
          <t>KALMAR LÄN</t>
        </is>
      </c>
      <c r="E1404" t="inlineStr">
        <is>
          <t>VIMMERBY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40756-2024</t>
        </is>
      </c>
      <c r="B1405" s="1" t="n">
        <v>45558</v>
      </c>
      <c r="C1405" s="1" t="n">
        <v>45760</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41066-2024</t>
        </is>
      </c>
      <c r="B1406" s="1" t="n">
        <v>45559</v>
      </c>
      <c r="C1406" s="1" t="n">
        <v>45760</v>
      </c>
      <c r="D1406" t="inlineStr">
        <is>
          <t>KALMAR LÄN</t>
        </is>
      </c>
      <c r="E1406" t="inlineStr">
        <is>
          <t>VIMMERBY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41071-2024</t>
        </is>
      </c>
      <c r="B1407" s="1" t="n">
        <v>45559</v>
      </c>
      <c r="C1407" s="1" t="n">
        <v>45760</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41084-2024</t>
        </is>
      </c>
      <c r="B1408" s="1" t="n">
        <v>45559</v>
      </c>
      <c r="C1408" s="1" t="n">
        <v>45760</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41119-2024</t>
        </is>
      </c>
      <c r="B1409" s="1" t="n">
        <v>45559</v>
      </c>
      <c r="C1409" s="1" t="n">
        <v>45760</v>
      </c>
      <c r="D1409" t="inlineStr">
        <is>
          <t>KALMAR LÄN</t>
        </is>
      </c>
      <c r="E1409" t="inlineStr">
        <is>
          <t>VIMMERBY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42165-2024</t>
        </is>
      </c>
      <c r="B1410" s="1" t="n">
        <v>45562</v>
      </c>
      <c r="C1410" s="1" t="n">
        <v>45760</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42429-2024</t>
        </is>
      </c>
      <c r="B1411" s="1" t="n">
        <v>45565</v>
      </c>
      <c r="C1411" s="1" t="n">
        <v>45760</v>
      </c>
      <c r="D1411" t="inlineStr">
        <is>
          <t>KALMAR LÄN</t>
        </is>
      </c>
      <c r="E1411" t="inlineStr">
        <is>
          <t>VIMMERBY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42464-2024</t>
        </is>
      </c>
      <c r="B1412" s="1" t="n">
        <v>45565</v>
      </c>
      <c r="C1412" s="1" t="n">
        <v>45760</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42737-2024</t>
        </is>
      </c>
      <c r="B1413" s="1" t="n">
        <v>45566</v>
      </c>
      <c r="C1413" s="1" t="n">
        <v>45760</v>
      </c>
      <c r="D1413" t="inlineStr">
        <is>
          <t>KALMAR LÄN</t>
        </is>
      </c>
      <c r="E1413" t="inlineStr">
        <is>
          <t>VIMMERBY</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42693-2024</t>
        </is>
      </c>
      <c r="B1414" s="1" t="n">
        <v>45566</v>
      </c>
      <c r="C1414" s="1" t="n">
        <v>45760</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43122-2024</t>
        </is>
      </c>
      <c r="B1415" s="1" t="n">
        <v>45567</v>
      </c>
      <c r="C1415" s="1" t="n">
        <v>45760</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43119-2024</t>
        </is>
      </c>
      <c r="B1416" s="1" t="n">
        <v>45567</v>
      </c>
      <c r="C1416" s="1" t="n">
        <v>45760</v>
      </c>
      <c r="D1416" t="inlineStr">
        <is>
          <t>KALMAR LÄN</t>
        </is>
      </c>
      <c r="E1416" t="inlineStr">
        <is>
          <t>VIMMERBY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43083-2024</t>
        </is>
      </c>
      <c r="B1417" s="1" t="n">
        <v>45567</v>
      </c>
      <c r="C1417" s="1" t="n">
        <v>45760</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43034-2024</t>
        </is>
      </c>
      <c r="B1418" s="1" t="n">
        <v>45567</v>
      </c>
      <c r="C1418" s="1" t="n">
        <v>45760</v>
      </c>
      <c r="D1418" t="inlineStr">
        <is>
          <t>KALMAR LÄN</t>
        </is>
      </c>
      <c r="E1418" t="inlineStr">
        <is>
          <t>VIMMERBY</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43030-2024</t>
        </is>
      </c>
      <c r="B1419" s="1" t="n">
        <v>45567</v>
      </c>
      <c r="C1419" s="1" t="n">
        <v>45760</v>
      </c>
      <c r="D1419" t="inlineStr">
        <is>
          <t>KALMAR LÄN</t>
        </is>
      </c>
      <c r="E1419" t="inlineStr">
        <is>
          <t>VIMMERBY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43093-2024</t>
        </is>
      </c>
      <c r="B1420" s="1" t="n">
        <v>45567</v>
      </c>
      <c r="C1420" s="1" t="n">
        <v>45760</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43085-2024</t>
        </is>
      </c>
      <c r="B1421" s="1" t="n">
        <v>45567</v>
      </c>
      <c r="C1421" s="1" t="n">
        <v>45760</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43081-2024</t>
        </is>
      </c>
      <c r="B1422" s="1" t="n">
        <v>45567</v>
      </c>
      <c r="C1422" s="1" t="n">
        <v>45760</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43092-2024</t>
        </is>
      </c>
      <c r="B1423" s="1" t="n">
        <v>45567</v>
      </c>
      <c r="C1423" s="1" t="n">
        <v>45760</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43088-2024</t>
        </is>
      </c>
      <c r="B1424" s="1" t="n">
        <v>45567</v>
      </c>
      <c r="C1424" s="1" t="n">
        <v>45760</v>
      </c>
      <c r="D1424" t="inlineStr">
        <is>
          <t>KALMAR LÄN</t>
        </is>
      </c>
      <c r="E1424" t="inlineStr">
        <is>
          <t>VIMMERBY</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43084-2024</t>
        </is>
      </c>
      <c r="B1425" s="1" t="n">
        <v>45567</v>
      </c>
      <c r="C1425" s="1" t="n">
        <v>45760</v>
      </c>
      <c r="D1425" t="inlineStr">
        <is>
          <t>KALMAR LÄN</t>
        </is>
      </c>
      <c r="E1425" t="inlineStr">
        <is>
          <t>VIMMERBY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43242-2024</t>
        </is>
      </c>
      <c r="B1426" s="1" t="n">
        <v>45568</v>
      </c>
      <c r="C1426" s="1" t="n">
        <v>45760</v>
      </c>
      <c r="D1426" t="inlineStr">
        <is>
          <t>KALMAR LÄN</t>
        </is>
      </c>
      <c r="E1426" t="inlineStr">
        <is>
          <t>VIMMERBY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43305-2024</t>
        </is>
      </c>
      <c r="B1427" s="1" t="n">
        <v>45568</v>
      </c>
      <c r="C1427" s="1" t="n">
        <v>45760</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43266-2024</t>
        </is>
      </c>
      <c r="B1428" s="1" t="n">
        <v>45568</v>
      </c>
      <c r="C1428" s="1" t="n">
        <v>45760</v>
      </c>
      <c r="D1428" t="inlineStr">
        <is>
          <t>KALMAR LÄN</t>
        </is>
      </c>
      <c r="E1428" t="inlineStr">
        <is>
          <t>VIMMERBY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43243-2024</t>
        </is>
      </c>
      <c r="B1429" s="1" t="n">
        <v>45568</v>
      </c>
      <c r="C1429" s="1" t="n">
        <v>45760</v>
      </c>
      <c r="D1429" t="inlineStr">
        <is>
          <t>KALMAR LÄN</t>
        </is>
      </c>
      <c r="E1429" t="inlineStr">
        <is>
          <t>VIMMERBY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43601-2024</t>
        </is>
      </c>
      <c r="B1430" s="1" t="n">
        <v>45569</v>
      </c>
      <c r="C1430" s="1" t="n">
        <v>45760</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43609-2024</t>
        </is>
      </c>
      <c r="B1431" s="1" t="n">
        <v>45569</v>
      </c>
      <c r="C1431" s="1" t="n">
        <v>45760</v>
      </c>
      <c r="D1431" t="inlineStr">
        <is>
          <t>KALMAR LÄN</t>
        </is>
      </c>
      <c r="E1431" t="inlineStr">
        <is>
          <t>VIMMERBY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43606-2024</t>
        </is>
      </c>
      <c r="B1432" s="1" t="n">
        <v>45569</v>
      </c>
      <c r="C1432" s="1" t="n">
        <v>45760</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43617-2024</t>
        </is>
      </c>
      <c r="B1433" s="1" t="n">
        <v>45569</v>
      </c>
      <c r="C1433" s="1" t="n">
        <v>45760</v>
      </c>
      <c r="D1433" t="inlineStr">
        <is>
          <t>KALMAR LÄN</t>
        </is>
      </c>
      <c r="E1433" t="inlineStr">
        <is>
          <t>VIMMERBY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43579-2024</t>
        </is>
      </c>
      <c r="B1434" s="1" t="n">
        <v>45569</v>
      </c>
      <c r="C1434" s="1" t="n">
        <v>45760</v>
      </c>
      <c r="D1434" t="inlineStr">
        <is>
          <t>KALMAR LÄN</t>
        </is>
      </c>
      <c r="E1434" t="inlineStr">
        <is>
          <t>VIMMERBY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43575-2024</t>
        </is>
      </c>
      <c r="B1435" s="1" t="n">
        <v>45569</v>
      </c>
      <c r="C1435" s="1" t="n">
        <v>45760</v>
      </c>
      <c r="D1435" t="inlineStr">
        <is>
          <t>KALMAR LÄN</t>
        </is>
      </c>
      <c r="E1435" t="inlineStr">
        <is>
          <t>VIMMERBY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43594-2024</t>
        </is>
      </c>
      <c r="B1436" s="1" t="n">
        <v>45569</v>
      </c>
      <c r="C1436" s="1" t="n">
        <v>45760</v>
      </c>
      <c r="D1436" t="inlineStr">
        <is>
          <t>KALMAR LÄN</t>
        </is>
      </c>
      <c r="E1436" t="inlineStr">
        <is>
          <t>VIMMERBY</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43822-2024</t>
        </is>
      </c>
      <c r="B1437" s="1" t="n">
        <v>45571</v>
      </c>
      <c r="C1437" s="1" t="n">
        <v>45760</v>
      </c>
      <c r="D1437" t="inlineStr">
        <is>
          <t>KALMAR LÄN</t>
        </is>
      </c>
      <c r="E1437" t="inlineStr">
        <is>
          <t>VIMMERBY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43824-2024</t>
        </is>
      </c>
      <c r="B1438" s="1" t="n">
        <v>45571</v>
      </c>
      <c r="C1438" s="1" t="n">
        <v>45760</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43823-2024</t>
        </is>
      </c>
      <c r="B1439" s="1" t="n">
        <v>45571</v>
      </c>
      <c r="C1439" s="1" t="n">
        <v>45760</v>
      </c>
      <c r="D1439" t="inlineStr">
        <is>
          <t>KALMAR LÄN</t>
        </is>
      </c>
      <c r="E1439" t="inlineStr">
        <is>
          <t>VIMMERBY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43962-2024</t>
        </is>
      </c>
      <c r="B1440" s="1" t="n">
        <v>45572</v>
      </c>
      <c r="C1440" s="1" t="n">
        <v>45760</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44504-2024</t>
        </is>
      </c>
      <c r="B1441" s="1" t="n">
        <v>45574</v>
      </c>
      <c r="C1441" s="1" t="n">
        <v>45760</v>
      </c>
      <c r="D1441" t="inlineStr">
        <is>
          <t>KALMAR LÄN</t>
        </is>
      </c>
      <c r="E1441" t="inlineStr">
        <is>
          <t>VIMMERBY</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44464-2024</t>
        </is>
      </c>
      <c r="B1442" s="1" t="n">
        <v>45574</v>
      </c>
      <c r="C1442" s="1" t="n">
        <v>45760</v>
      </c>
      <c r="D1442" t="inlineStr">
        <is>
          <t>KALMAR LÄN</t>
        </is>
      </c>
      <c r="E1442" t="inlineStr">
        <is>
          <t>VIMMERBY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44582-2024</t>
        </is>
      </c>
      <c r="B1443" s="1" t="n">
        <v>45574</v>
      </c>
      <c r="C1443" s="1" t="n">
        <v>45760</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44740-2024</t>
        </is>
      </c>
      <c r="B1444" s="1" t="n">
        <v>45574</v>
      </c>
      <c r="C1444" s="1" t="n">
        <v>45760</v>
      </c>
      <c r="D1444" t="inlineStr">
        <is>
          <t>KALMAR LÄN</t>
        </is>
      </c>
      <c r="E1444" t="inlineStr">
        <is>
          <t>VIMMERBY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44886-2024</t>
        </is>
      </c>
      <c r="B1445" s="1" t="n">
        <v>45575</v>
      </c>
      <c r="C1445" s="1" t="n">
        <v>45760</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45253-2024</t>
        </is>
      </c>
      <c r="B1446" s="1" t="n">
        <v>45576</v>
      </c>
      <c r="C1446" s="1" t="n">
        <v>45760</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46224-2024</t>
        </is>
      </c>
      <c r="B1447" s="1" t="n">
        <v>45581</v>
      </c>
      <c r="C1447" s="1" t="n">
        <v>45760</v>
      </c>
      <c r="D1447" t="inlineStr">
        <is>
          <t>KALMAR LÄN</t>
        </is>
      </c>
      <c r="E1447" t="inlineStr">
        <is>
          <t>VIMMERBY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46225-2024</t>
        </is>
      </c>
      <c r="B1448" s="1" t="n">
        <v>45581</v>
      </c>
      <c r="C1448" s="1" t="n">
        <v>45760</v>
      </c>
      <c r="D1448" t="inlineStr">
        <is>
          <t>KALMAR LÄN</t>
        </is>
      </c>
      <c r="E1448" t="inlineStr">
        <is>
          <t>VIMMERBY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46234-2024</t>
        </is>
      </c>
      <c r="B1449" s="1" t="n">
        <v>45581</v>
      </c>
      <c r="C1449" s="1" t="n">
        <v>45760</v>
      </c>
      <c r="D1449" t="inlineStr">
        <is>
          <t>KALMAR LÄN</t>
        </is>
      </c>
      <c r="E1449" t="inlineStr">
        <is>
          <t>VIMMERBY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46238-2024</t>
        </is>
      </c>
      <c r="B1450" s="1" t="n">
        <v>45581</v>
      </c>
      <c r="C1450" s="1" t="n">
        <v>45760</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46242-2024</t>
        </is>
      </c>
      <c r="B1451" s="1" t="n">
        <v>45581</v>
      </c>
      <c r="C1451" s="1" t="n">
        <v>45760</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46455-2024</t>
        </is>
      </c>
      <c r="B1452" s="1" t="n">
        <v>45582</v>
      </c>
      <c r="C1452" s="1" t="n">
        <v>45760</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46603-2024</t>
        </is>
      </c>
      <c r="B1453" s="1" t="n">
        <v>45582</v>
      </c>
      <c r="C1453" s="1" t="n">
        <v>45760</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46399-2024</t>
        </is>
      </c>
      <c r="B1454" s="1" t="n">
        <v>45582</v>
      </c>
      <c r="C1454" s="1" t="n">
        <v>45760</v>
      </c>
      <c r="D1454" t="inlineStr">
        <is>
          <t>KALMAR LÄN</t>
        </is>
      </c>
      <c r="E1454" t="inlineStr">
        <is>
          <t>VIMMERBY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46600-2024</t>
        </is>
      </c>
      <c r="B1455" s="1" t="n">
        <v>45582</v>
      </c>
      <c r="C1455" s="1" t="n">
        <v>45760</v>
      </c>
      <c r="D1455" t="inlineStr">
        <is>
          <t>KALMAR LÄN</t>
        </is>
      </c>
      <c r="E1455" t="inlineStr">
        <is>
          <t>VIMMERBY</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46457-2024</t>
        </is>
      </c>
      <c r="B1456" s="1" t="n">
        <v>45582</v>
      </c>
      <c r="C1456" s="1" t="n">
        <v>45760</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46649-2024</t>
        </is>
      </c>
      <c r="B1457" s="1" t="n">
        <v>45583</v>
      </c>
      <c r="C1457" s="1" t="n">
        <v>45760</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47421-2024</t>
        </is>
      </c>
      <c r="B1458" s="1" t="n">
        <v>45587</v>
      </c>
      <c r="C1458" s="1" t="n">
        <v>45760</v>
      </c>
      <c r="D1458" t="inlineStr">
        <is>
          <t>KALMAR LÄN</t>
        </is>
      </c>
      <c r="E1458" t="inlineStr">
        <is>
          <t>VIMMERBY</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47415-2024</t>
        </is>
      </c>
      <c r="B1459" s="1" t="n">
        <v>45587</v>
      </c>
      <c r="C1459" s="1" t="n">
        <v>45760</v>
      </c>
      <c r="D1459" t="inlineStr">
        <is>
          <t>KALMAR LÄN</t>
        </is>
      </c>
      <c r="E1459" t="inlineStr">
        <is>
          <t>VIMMERBY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47842-2024</t>
        </is>
      </c>
      <c r="B1460" s="1" t="n">
        <v>45588</v>
      </c>
      <c r="C1460" s="1" t="n">
        <v>45760</v>
      </c>
      <c r="D1460" t="inlineStr">
        <is>
          <t>KALMAR LÄN</t>
        </is>
      </c>
      <c r="E1460" t="inlineStr">
        <is>
          <t>VIMMERBY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47851-2024</t>
        </is>
      </c>
      <c r="B1461" s="1" t="n">
        <v>45588</v>
      </c>
      <c r="C1461" s="1" t="n">
        <v>45760</v>
      </c>
      <c r="D1461" t="inlineStr">
        <is>
          <t>KALMAR LÄN</t>
        </is>
      </c>
      <c r="E1461" t="inlineStr">
        <is>
          <t>VIMMERBY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47855-2024</t>
        </is>
      </c>
      <c r="B1462" s="1" t="n">
        <v>45588</v>
      </c>
      <c r="C1462" s="1" t="n">
        <v>45760</v>
      </c>
      <c r="D1462" t="inlineStr">
        <is>
          <t>KALMAR LÄN</t>
        </is>
      </c>
      <c r="E1462" t="inlineStr">
        <is>
          <t>VIMMERBY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47859-2024</t>
        </is>
      </c>
      <c r="B1463" s="1" t="n">
        <v>45588</v>
      </c>
      <c r="C1463" s="1" t="n">
        <v>45760</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47914-2024</t>
        </is>
      </c>
      <c r="B1464" s="1" t="n">
        <v>45589</v>
      </c>
      <c r="C1464" s="1" t="n">
        <v>45760</v>
      </c>
      <c r="D1464" t="inlineStr">
        <is>
          <t>KALMAR LÄN</t>
        </is>
      </c>
      <c r="E1464" t="inlineStr">
        <is>
          <t>VIMMERBY</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48277-2024</t>
        </is>
      </c>
      <c r="B1465" s="1" t="n">
        <v>45590</v>
      </c>
      <c r="C1465" s="1" t="n">
        <v>45760</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48459-2024</t>
        </is>
      </c>
      <c r="B1466" s="1" t="n">
        <v>45590</v>
      </c>
      <c r="C1466" s="1" t="n">
        <v>45760</v>
      </c>
      <c r="D1466" t="inlineStr">
        <is>
          <t>KALMAR LÄN</t>
        </is>
      </c>
      <c r="E1466" t="inlineStr">
        <is>
          <t>VIMMERBY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48460-2024</t>
        </is>
      </c>
      <c r="B1467" s="1" t="n">
        <v>45590</v>
      </c>
      <c r="C1467" s="1" t="n">
        <v>45760</v>
      </c>
      <c r="D1467" t="inlineStr">
        <is>
          <t>KALMAR LÄN</t>
        </is>
      </c>
      <c r="E1467" t="inlineStr">
        <is>
          <t>VIMMERBY</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48825-2024</t>
        </is>
      </c>
      <c r="B1468" s="1" t="n">
        <v>45593</v>
      </c>
      <c r="C1468" s="1" t="n">
        <v>45760</v>
      </c>
      <c r="D1468" t="inlineStr">
        <is>
          <t>KALMAR LÄN</t>
        </is>
      </c>
      <c r="E1468" t="inlineStr">
        <is>
          <t>VIMMERBY</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49464-2024</t>
        </is>
      </c>
      <c r="B1469" s="1" t="n">
        <v>45596</v>
      </c>
      <c r="C1469" s="1" t="n">
        <v>45760</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49503-2024</t>
        </is>
      </c>
      <c r="B1470" s="1" t="n">
        <v>45596</v>
      </c>
      <c r="C1470" s="1" t="n">
        <v>45760</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50320-2024</t>
        </is>
      </c>
      <c r="B1471" s="1" t="n">
        <v>45600</v>
      </c>
      <c r="C1471" s="1" t="n">
        <v>45760</v>
      </c>
      <c r="D1471" t="inlineStr">
        <is>
          <t>KALMAR LÄN</t>
        </is>
      </c>
      <c r="E1471" t="inlineStr">
        <is>
          <t>VIMMERBY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50460-2024</t>
        </is>
      </c>
      <c r="B1472" s="1" t="n">
        <v>45601</v>
      </c>
      <c r="C1472" s="1" t="n">
        <v>45760</v>
      </c>
      <c r="D1472" t="inlineStr">
        <is>
          <t>KALMAR LÄN</t>
        </is>
      </c>
      <c r="E1472" t="inlineStr">
        <is>
          <t>VIMMERBY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51169-2024</t>
        </is>
      </c>
      <c r="B1473" s="1" t="n">
        <v>45603</v>
      </c>
      <c r="C1473" s="1" t="n">
        <v>45760</v>
      </c>
      <c r="D1473" t="inlineStr">
        <is>
          <t>KALMAR LÄN</t>
        </is>
      </c>
      <c r="E1473" t="inlineStr">
        <is>
          <t>VIMMERBY</t>
        </is>
      </c>
      <c r="F1473" t="inlineStr">
        <is>
          <t>Övriga Aktiebolag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51278-2024</t>
        </is>
      </c>
      <c r="B1474" s="1" t="n">
        <v>45603</v>
      </c>
      <c r="C1474" s="1" t="n">
        <v>45760</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51334-2024</t>
        </is>
      </c>
      <c r="B1475" s="1" t="n">
        <v>45604</v>
      </c>
      <c r="C1475" s="1" t="n">
        <v>45760</v>
      </c>
      <c r="D1475" t="inlineStr">
        <is>
          <t>KALMAR LÄN</t>
        </is>
      </c>
      <c r="E1475" t="inlineStr">
        <is>
          <t>VIMMERBY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51589-2024</t>
        </is>
      </c>
      <c r="B1476" s="1" t="n">
        <v>45604</v>
      </c>
      <c r="C1476" s="1" t="n">
        <v>45760</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51780-2024</t>
        </is>
      </c>
      <c r="B1477" s="1" t="n">
        <v>45607</v>
      </c>
      <c r="C1477" s="1" t="n">
        <v>45760</v>
      </c>
      <c r="D1477" t="inlineStr">
        <is>
          <t>KALMAR LÄN</t>
        </is>
      </c>
      <c r="E1477" t="inlineStr">
        <is>
          <t>VIMMERBY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52011-2024</t>
        </is>
      </c>
      <c r="B1478" s="1" t="n">
        <v>45607</v>
      </c>
      <c r="C1478" s="1" t="n">
        <v>45760</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51881-2024</t>
        </is>
      </c>
      <c r="B1479" s="1" t="n">
        <v>45607</v>
      </c>
      <c r="C1479" s="1" t="n">
        <v>45760</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52841-2024</t>
        </is>
      </c>
      <c r="B1480" s="1" t="n">
        <v>45610</v>
      </c>
      <c r="C1480" s="1" t="n">
        <v>45760</v>
      </c>
      <c r="D1480" t="inlineStr">
        <is>
          <t>KALMAR LÄN</t>
        </is>
      </c>
      <c r="E1480" t="inlineStr">
        <is>
          <t>VIMMERBY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52823-2024</t>
        </is>
      </c>
      <c r="B1481" s="1" t="n">
        <v>45610</v>
      </c>
      <c r="C1481" s="1" t="n">
        <v>45760</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53642-2024</t>
        </is>
      </c>
      <c r="B1482" s="1" t="n">
        <v>45614</v>
      </c>
      <c r="C1482" s="1" t="n">
        <v>45760</v>
      </c>
      <c r="D1482" t="inlineStr">
        <is>
          <t>KALMAR LÄN</t>
        </is>
      </c>
      <c r="E1482" t="inlineStr">
        <is>
          <t>VIMMERBY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53641-2024</t>
        </is>
      </c>
      <c r="B1483" s="1" t="n">
        <v>45614</v>
      </c>
      <c r="C1483" s="1" t="n">
        <v>45760</v>
      </c>
      <c r="D1483" t="inlineStr">
        <is>
          <t>KALMAR LÄN</t>
        </is>
      </c>
      <c r="E1483" t="inlineStr">
        <is>
          <t>VIMMERBY</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53752-2024</t>
        </is>
      </c>
      <c r="B1484" s="1" t="n">
        <v>45615</v>
      </c>
      <c r="C1484" s="1" t="n">
        <v>45760</v>
      </c>
      <c r="D1484" t="inlineStr">
        <is>
          <t>KALMAR LÄN</t>
        </is>
      </c>
      <c r="E1484" t="inlineStr">
        <is>
          <t>VIMMERBY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53991-2024</t>
        </is>
      </c>
      <c r="B1485" s="1" t="n">
        <v>45616</v>
      </c>
      <c r="C1485" s="1" t="n">
        <v>45760</v>
      </c>
      <c r="D1485" t="inlineStr">
        <is>
          <t>KALMAR LÄN</t>
        </is>
      </c>
      <c r="E1485" t="inlineStr">
        <is>
          <t>VIMMERBY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54349-2024</t>
        </is>
      </c>
      <c r="B1486" s="1" t="n">
        <v>45617</v>
      </c>
      <c r="C1486" s="1" t="n">
        <v>45760</v>
      </c>
      <c r="D1486" t="inlineStr">
        <is>
          <t>KALMAR LÄN</t>
        </is>
      </c>
      <c r="E1486" t="inlineStr">
        <is>
          <t>VIMMERBY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54409-2024</t>
        </is>
      </c>
      <c r="B1487" s="1" t="n">
        <v>45617</v>
      </c>
      <c r="C1487" s="1" t="n">
        <v>45760</v>
      </c>
      <c r="D1487" t="inlineStr">
        <is>
          <t>KALMAR LÄN</t>
        </is>
      </c>
      <c r="E1487" t="inlineStr">
        <is>
          <t>VIMMERBY</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54838-2024</t>
        </is>
      </c>
      <c r="B1488" s="1" t="n">
        <v>45618</v>
      </c>
      <c r="C1488" s="1" t="n">
        <v>45760</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55123-2024</t>
        </is>
      </c>
      <c r="B1489" s="1" t="n">
        <v>45621</v>
      </c>
      <c r="C1489" s="1" t="n">
        <v>45760</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54997-2024</t>
        </is>
      </c>
      <c r="B1490" s="1" t="n">
        <v>45621</v>
      </c>
      <c r="C1490" s="1" t="n">
        <v>45760</v>
      </c>
      <c r="D1490" t="inlineStr">
        <is>
          <t>KALMAR LÄN</t>
        </is>
      </c>
      <c r="E1490" t="inlineStr">
        <is>
          <t>VIMMERBY</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55605-2024</t>
        </is>
      </c>
      <c r="B1491" s="1" t="n">
        <v>45622</v>
      </c>
      <c r="C1491" s="1" t="n">
        <v>45760</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55890-2024</t>
        </is>
      </c>
      <c r="B1492" s="1" t="n">
        <v>45623</v>
      </c>
      <c r="C1492" s="1" t="n">
        <v>45760</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55939-2024</t>
        </is>
      </c>
      <c r="B1493" s="1" t="n">
        <v>45623</v>
      </c>
      <c r="C1493" s="1" t="n">
        <v>45760</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56022-2024</t>
        </is>
      </c>
      <c r="B1494" s="1" t="n">
        <v>45624</v>
      </c>
      <c r="C1494" s="1" t="n">
        <v>45760</v>
      </c>
      <c r="D1494" t="inlineStr">
        <is>
          <t>KALMAR LÄN</t>
        </is>
      </c>
      <c r="E1494" t="inlineStr">
        <is>
          <t>VIMMERBY</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56019-2024</t>
        </is>
      </c>
      <c r="B1495" s="1" t="n">
        <v>45623</v>
      </c>
      <c r="C1495" s="1" t="n">
        <v>45760</v>
      </c>
      <c r="D1495" t="inlineStr">
        <is>
          <t>KALMAR LÄN</t>
        </is>
      </c>
      <c r="E1495" t="inlineStr">
        <is>
          <t>VIMMERBY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56020-2024</t>
        </is>
      </c>
      <c r="B1496" s="1" t="n">
        <v>45623</v>
      </c>
      <c r="C1496" s="1" t="n">
        <v>45760</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56021-2024</t>
        </is>
      </c>
      <c r="B1497" s="1" t="n">
        <v>45623</v>
      </c>
      <c r="C1497" s="1" t="n">
        <v>45760</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56213-2024</t>
        </is>
      </c>
      <c r="B1498" s="1" t="n">
        <v>45624</v>
      </c>
      <c r="C1498" s="1" t="n">
        <v>45760</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56722-2024</t>
        </is>
      </c>
      <c r="B1499" s="1" t="n">
        <v>45628</v>
      </c>
      <c r="C1499" s="1" t="n">
        <v>45760</v>
      </c>
      <c r="D1499" t="inlineStr">
        <is>
          <t>KALMAR LÄN</t>
        </is>
      </c>
      <c r="E1499" t="inlineStr">
        <is>
          <t>VIMMERBY</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57024-2024</t>
        </is>
      </c>
      <c r="B1500" s="1" t="n">
        <v>45628</v>
      </c>
      <c r="C1500" s="1" t="n">
        <v>45760</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57122-2024</t>
        </is>
      </c>
      <c r="B1501" s="1" t="n">
        <v>45629</v>
      </c>
      <c r="C1501" s="1" t="n">
        <v>45760</v>
      </c>
      <c r="D1501" t="inlineStr">
        <is>
          <t>KALMAR LÄN</t>
        </is>
      </c>
      <c r="E1501" t="inlineStr">
        <is>
          <t>VIMMERBY</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57227-2024</t>
        </is>
      </c>
      <c r="B1502" s="1" t="n">
        <v>45629</v>
      </c>
      <c r="C1502" s="1" t="n">
        <v>45760</v>
      </c>
      <c r="D1502" t="inlineStr">
        <is>
          <t>KALMAR LÄN</t>
        </is>
      </c>
      <c r="E1502" t="inlineStr">
        <is>
          <t>VIMMERBY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57486-2024</t>
        </is>
      </c>
      <c r="B1503" s="1" t="n">
        <v>45630</v>
      </c>
      <c r="C1503" s="1" t="n">
        <v>45760</v>
      </c>
      <c r="D1503" t="inlineStr">
        <is>
          <t>KALMAR LÄN</t>
        </is>
      </c>
      <c r="E1503" t="inlineStr">
        <is>
          <t>VIMMERBY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57550-2024</t>
        </is>
      </c>
      <c r="B1504" s="1" t="n">
        <v>45630</v>
      </c>
      <c r="C1504" s="1" t="n">
        <v>45760</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57558-2024</t>
        </is>
      </c>
      <c r="B1505" s="1" t="n">
        <v>45630</v>
      </c>
      <c r="C1505" s="1" t="n">
        <v>45760</v>
      </c>
      <c r="D1505" t="inlineStr">
        <is>
          <t>KALMAR LÄN</t>
        </is>
      </c>
      <c r="E1505" t="inlineStr">
        <is>
          <t>VIMMERBY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57578-2024</t>
        </is>
      </c>
      <c r="B1506" s="1" t="n">
        <v>45630</v>
      </c>
      <c r="C1506" s="1" t="n">
        <v>45760</v>
      </c>
      <c r="D1506" t="inlineStr">
        <is>
          <t>KALMAR LÄN</t>
        </is>
      </c>
      <c r="E1506" t="inlineStr">
        <is>
          <t>VIMMERBY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57542-2024</t>
        </is>
      </c>
      <c r="B1507" s="1" t="n">
        <v>45630</v>
      </c>
      <c r="C1507" s="1" t="n">
        <v>45760</v>
      </c>
      <c r="D1507" t="inlineStr">
        <is>
          <t>KALMAR LÄN</t>
        </is>
      </c>
      <c r="E1507" t="inlineStr">
        <is>
          <t>VIMMERBY</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57555-2024</t>
        </is>
      </c>
      <c r="B1508" s="1" t="n">
        <v>45630</v>
      </c>
      <c r="C1508" s="1" t="n">
        <v>45760</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57887-2024</t>
        </is>
      </c>
      <c r="B1509" s="1" t="n">
        <v>45631</v>
      </c>
      <c r="C1509" s="1" t="n">
        <v>45760</v>
      </c>
      <c r="D1509" t="inlineStr">
        <is>
          <t>KALMAR LÄN</t>
        </is>
      </c>
      <c r="E1509" t="inlineStr">
        <is>
          <t>VIMMERBY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58159-2024</t>
        </is>
      </c>
      <c r="B1510" s="1" t="n">
        <v>45632</v>
      </c>
      <c r="C1510" s="1" t="n">
        <v>45760</v>
      </c>
      <c r="D1510" t="inlineStr">
        <is>
          <t>KALMAR LÄN</t>
        </is>
      </c>
      <c r="E1510" t="inlineStr">
        <is>
          <t>VIMMERBY</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58100-2024</t>
        </is>
      </c>
      <c r="B1511" s="1" t="n">
        <v>45632</v>
      </c>
      <c r="C1511" s="1" t="n">
        <v>45760</v>
      </c>
      <c r="D1511" t="inlineStr">
        <is>
          <t>KALMAR LÄN</t>
        </is>
      </c>
      <c r="E1511" t="inlineStr">
        <is>
          <t>VIMMERBY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58104-2024</t>
        </is>
      </c>
      <c r="B1512" s="1" t="n">
        <v>45632</v>
      </c>
      <c r="C1512" s="1" t="n">
        <v>45760</v>
      </c>
      <c r="D1512" t="inlineStr">
        <is>
          <t>KALMAR LÄN</t>
        </is>
      </c>
      <c r="E1512" t="inlineStr">
        <is>
          <t>VIMMERBY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58374-2024</t>
        </is>
      </c>
      <c r="B1513" s="1" t="n">
        <v>45632</v>
      </c>
      <c r="C1513" s="1" t="n">
        <v>45760</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58726-2024</t>
        </is>
      </c>
      <c r="B1514" s="1" t="n">
        <v>45635</v>
      </c>
      <c r="C1514" s="1" t="n">
        <v>45760</v>
      </c>
      <c r="D1514" t="inlineStr">
        <is>
          <t>KALMAR LÄN</t>
        </is>
      </c>
      <c r="E1514" t="inlineStr">
        <is>
          <t>VIMMERBY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58589-2024</t>
        </is>
      </c>
      <c r="B1515" s="1" t="n">
        <v>45635</v>
      </c>
      <c r="C1515" s="1" t="n">
        <v>45760</v>
      </c>
      <c r="D1515" t="inlineStr">
        <is>
          <t>KALMAR LÄN</t>
        </is>
      </c>
      <c r="E1515" t="inlineStr">
        <is>
          <t>VIMMERBY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58577-2024</t>
        </is>
      </c>
      <c r="B1516" s="1" t="n">
        <v>45635</v>
      </c>
      <c r="C1516" s="1" t="n">
        <v>45760</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58724-2024</t>
        </is>
      </c>
      <c r="B1517" s="1" t="n">
        <v>45635</v>
      </c>
      <c r="C1517" s="1" t="n">
        <v>45760</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58728-2024</t>
        </is>
      </c>
      <c r="B1518" s="1" t="n">
        <v>45635</v>
      </c>
      <c r="C1518" s="1" t="n">
        <v>45760</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59302-2024</t>
        </is>
      </c>
      <c r="B1519" s="1" t="n">
        <v>45637</v>
      </c>
      <c r="C1519" s="1" t="n">
        <v>45760</v>
      </c>
      <c r="D1519" t="inlineStr">
        <is>
          <t>KALMAR LÄN</t>
        </is>
      </c>
      <c r="E1519" t="inlineStr">
        <is>
          <t>VIMMERBY</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59300-2024</t>
        </is>
      </c>
      <c r="B1520" s="1" t="n">
        <v>45637</v>
      </c>
      <c r="C1520" s="1" t="n">
        <v>45760</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59341-2024</t>
        </is>
      </c>
      <c r="B1521" s="1" t="n">
        <v>45637</v>
      </c>
      <c r="C1521" s="1" t="n">
        <v>45760</v>
      </c>
      <c r="D1521" t="inlineStr">
        <is>
          <t>KALMAR LÄN</t>
        </is>
      </c>
      <c r="E1521" t="inlineStr">
        <is>
          <t>VIMMERBY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59768-2024</t>
        </is>
      </c>
      <c r="B1522" s="1" t="n">
        <v>45639</v>
      </c>
      <c r="C1522" s="1" t="n">
        <v>45760</v>
      </c>
      <c r="D1522" t="inlineStr">
        <is>
          <t>KALMAR LÄN</t>
        </is>
      </c>
      <c r="E1522" t="inlineStr">
        <is>
          <t>VIMMERBY</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59733-2024</t>
        </is>
      </c>
      <c r="B1523" s="1" t="n">
        <v>45639</v>
      </c>
      <c r="C1523" s="1" t="n">
        <v>45760</v>
      </c>
      <c r="D1523" t="inlineStr">
        <is>
          <t>KALMAR LÄN</t>
        </is>
      </c>
      <c r="E1523" t="inlineStr">
        <is>
          <t>VIMMERBY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60051-2024</t>
        </is>
      </c>
      <c r="B1524" s="1" t="n">
        <v>45642</v>
      </c>
      <c r="C1524" s="1" t="n">
        <v>45760</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60334-2024</t>
        </is>
      </c>
      <c r="B1525" s="1" t="n">
        <v>45643</v>
      </c>
      <c r="C1525" s="1" t="n">
        <v>45760</v>
      </c>
      <c r="D1525" t="inlineStr">
        <is>
          <t>KALMAR LÄN</t>
        </is>
      </c>
      <c r="E1525" t="inlineStr">
        <is>
          <t>VIMMERBY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60430-2024</t>
        </is>
      </c>
      <c r="B1526" s="1" t="n">
        <v>45643</v>
      </c>
      <c r="C1526" s="1" t="n">
        <v>45760</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61355-2024</t>
        </is>
      </c>
      <c r="B1527" s="1" t="n">
        <v>45646</v>
      </c>
      <c r="C1527" s="1" t="n">
        <v>45760</v>
      </c>
      <c r="D1527" t="inlineStr">
        <is>
          <t>KALMAR LÄN</t>
        </is>
      </c>
      <c r="E1527" t="inlineStr">
        <is>
          <t>VIMMERBY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61624-2024</t>
        </is>
      </c>
      <c r="B1528" s="1" t="n">
        <v>45646</v>
      </c>
      <c r="C1528" s="1" t="n">
        <v>45760</v>
      </c>
      <c r="D1528" t="inlineStr">
        <is>
          <t>KALMAR LÄN</t>
        </is>
      </c>
      <c r="E1528" t="inlineStr">
        <is>
          <t>VIMMERBY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61775-2024</t>
        </is>
      </c>
      <c r="B1529" s="1" t="n">
        <v>45649</v>
      </c>
      <c r="C1529" s="1" t="n">
        <v>45760</v>
      </c>
      <c r="D1529" t="inlineStr">
        <is>
          <t>KALMAR LÄN</t>
        </is>
      </c>
      <c r="E1529" t="inlineStr">
        <is>
          <t>VIMMERBY</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61777-2024</t>
        </is>
      </c>
      <c r="B1530" s="1" t="n">
        <v>45649</v>
      </c>
      <c r="C1530" s="1" t="n">
        <v>45760</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61861-2024</t>
        </is>
      </c>
      <c r="B1531" s="1" t="n">
        <v>45650</v>
      </c>
      <c r="C1531" s="1" t="n">
        <v>45760</v>
      </c>
      <c r="D1531" t="inlineStr">
        <is>
          <t>KALMAR LÄN</t>
        </is>
      </c>
      <c r="E1531" t="inlineStr">
        <is>
          <t>VIMMERBY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23-2025</t>
        </is>
      </c>
      <c r="B1532" s="1" t="n">
        <v>45658</v>
      </c>
      <c r="C1532" s="1" t="n">
        <v>45760</v>
      </c>
      <c r="D1532" t="inlineStr">
        <is>
          <t>KALMAR LÄN</t>
        </is>
      </c>
      <c r="E1532" t="inlineStr">
        <is>
          <t>VIMMERBY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20-2025</t>
        </is>
      </c>
      <c r="B1533" s="1" t="n">
        <v>45658</v>
      </c>
      <c r="C1533" s="1" t="n">
        <v>45760</v>
      </c>
      <c r="D1533" t="inlineStr">
        <is>
          <t>KALMAR LÄN</t>
        </is>
      </c>
      <c r="E1533" t="inlineStr">
        <is>
          <t>VIMMERBY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16-2025</t>
        </is>
      </c>
      <c r="B1534" s="1" t="n">
        <v>45658</v>
      </c>
      <c r="C1534" s="1" t="n">
        <v>45760</v>
      </c>
      <c r="D1534" t="inlineStr">
        <is>
          <t>KALMAR LÄN</t>
        </is>
      </c>
      <c r="E1534" t="inlineStr">
        <is>
          <t>VIMMERBY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17-2025</t>
        </is>
      </c>
      <c r="B1535" s="1" t="n">
        <v>45658</v>
      </c>
      <c r="C1535" s="1" t="n">
        <v>45760</v>
      </c>
      <c r="D1535" t="inlineStr">
        <is>
          <t>KALMAR LÄN</t>
        </is>
      </c>
      <c r="E1535" t="inlineStr">
        <is>
          <t>VIMMERBY</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598-2025</t>
        </is>
      </c>
      <c r="B1536" s="1" t="n">
        <v>45660</v>
      </c>
      <c r="C1536" s="1" t="n">
        <v>45760</v>
      </c>
      <c r="D1536" t="inlineStr">
        <is>
          <t>KALMAR LÄN</t>
        </is>
      </c>
      <c r="E1536" t="inlineStr">
        <is>
          <t>VIMMERBY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367-2025</t>
        </is>
      </c>
      <c r="B1537" s="1" t="n">
        <v>45661</v>
      </c>
      <c r="C1537" s="1" t="n">
        <v>45760</v>
      </c>
      <c r="D1537" t="inlineStr">
        <is>
          <t>KALMAR LÄN</t>
        </is>
      </c>
      <c r="E1537" t="inlineStr">
        <is>
          <t>VIMMERBY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365-2025</t>
        </is>
      </c>
      <c r="B1538" s="1" t="n">
        <v>45661</v>
      </c>
      <c r="C1538" s="1" t="n">
        <v>45760</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677-2025</t>
        </is>
      </c>
      <c r="B1539" s="1" t="n">
        <v>45664</v>
      </c>
      <c r="C1539" s="1" t="n">
        <v>45760</v>
      </c>
      <c r="D1539" t="inlineStr">
        <is>
          <t>KALMAR LÄN</t>
        </is>
      </c>
      <c r="E1539" t="inlineStr">
        <is>
          <t>VIMMERBY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665-2025</t>
        </is>
      </c>
      <c r="B1540" s="1" t="n">
        <v>45664</v>
      </c>
      <c r="C1540" s="1" t="n">
        <v>45760</v>
      </c>
      <c r="D1540" t="inlineStr">
        <is>
          <t>KALMAR LÄN</t>
        </is>
      </c>
      <c r="E1540" t="inlineStr">
        <is>
          <t>VIMMERBY</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1146-2025</t>
        </is>
      </c>
      <c r="B1541" s="1" t="n">
        <v>45666</v>
      </c>
      <c r="C1541" s="1" t="n">
        <v>45760</v>
      </c>
      <c r="D1541" t="inlineStr">
        <is>
          <t>KALMAR LÄN</t>
        </is>
      </c>
      <c r="E1541" t="inlineStr">
        <is>
          <t>VIMMERBY</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971-2025</t>
        </is>
      </c>
      <c r="B1542" s="1" t="n">
        <v>45666</v>
      </c>
      <c r="C1542" s="1" t="n">
        <v>45760</v>
      </c>
      <c r="D1542" t="inlineStr">
        <is>
          <t>KALMAR LÄN</t>
        </is>
      </c>
      <c r="E1542" t="inlineStr">
        <is>
          <t>VIMMERBY</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1206-2025</t>
        </is>
      </c>
      <c r="B1543" s="1" t="n">
        <v>45667</v>
      </c>
      <c r="C1543" s="1" t="n">
        <v>45760</v>
      </c>
      <c r="D1543" t="inlineStr">
        <is>
          <t>KALMAR LÄN</t>
        </is>
      </c>
      <c r="E1543" t="inlineStr">
        <is>
          <t>VIMMERBY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1428-2025</t>
        </is>
      </c>
      <c r="B1544" s="1" t="n">
        <v>45668</v>
      </c>
      <c r="C1544" s="1" t="n">
        <v>45760</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1799-2025</t>
        </is>
      </c>
      <c r="B1545" s="1" t="n">
        <v>45671</v>
      </c>
      <c r="C1545" s="1" t="n">
        <v>45760</v>
      </c>
      <c r="D1545" t="inlineStr">
        <is>
          <t>KALMAR LÄN</t>
        </is>
      </c>
      <c r="E1545" t="inlineStr">
        <is>
          <t>VIMMERBY</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2604-2025</t>
        </is>
      </c>
      <c r="B1546" s="1" t="n">
        <v>45674</v>
      </c>
      <c r="C1546" s="1" t="n">
        <v>45760</v>
      </c>
      <c r="D1546" t="inlineStr">
        <is>
          <t>KALMAR LÄN</t>
        </is>
      </c>
      <c r="E1546" t="inlineStr">
        <is>
          <t>VIMMERBY</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2596-2025</t>
        </is>
      </c>
      <c r="B1547" s="1" t="n">
        <v>45674</v>
      </c>
      <c r="C1547" s="1" t="n">
        <v>45760</v>
      </c>
      <c r="D1547" t="inlineStr">
        <is>
          <t>KALMAR LÄN</t>
        </is>
      </c>
      <c r="E1547" t="inlineStr">
        <is>
          <t>VIMMERBY</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2775-2025</t>
        </is>
      </c>
      <c r="B1548" s="1" t="n">
        <v>45677</v>
      </c>
      <c r="C1548" s="1" t="n">
        <v>45760</v>
      </c>
      <c r="D1548" t="inlineStr">
        <is>
          <t>KALMAR LÄN</t>
        </is>
      </c>
      <c r="E1548" t="inlineStr">
        <is>
          <t>VIMMERBY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3045-2025</t>
        </is>
      </c>
      <c r="B1549" s="1" t="n">
        <v>45678</v>
      </c>
      <c r="C1549" s="1" t="n">
        <v>45760</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4060-2025</t>
        </is>
      </c>
      <c r="B1550" s="1" t="n">
        <v>45684</v>
      </c>
      <c r="C1550" s="1" t="n">
        <v>45760</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5156-2025</t>
        </is>
      </c>
      <c r="B1551" s="1" t="n">
        <v>45691</v>
      </c>
      <c r="C1551" s="1" t="n">
        <v>45760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5104-2025</t>
        </is>
      </c>
      <c r="B1552" s="1" t="n">
        <v>45691</v>
      </c>
      <c r="C1552" s="1" t="n">
        <v>45760</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5413-2025</t>
        </is>
      </c>
      <c r="B1553" s="1" t="n">
        <v>45692</v>
      </c>
      <c r="C1553" s="1" t="n">
        <v>45760</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45760</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45760</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6214-2025</t>
        </is>
      </c>
      <c r="B1556" s="1" t="n">
        <v>45698</v>
      </c>
      <c r="C1556" s="1" t="n">
        <v>45760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45760</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6218-2025</t>
        </is>
      </c>
      <c r="B1558" s="1" t="n">
        <v>45698</v>
      </c>
      <c r="C1558" s="1" t="n">
        <v>45760</v>
      </c>
      <c r="D1558" t="inlineStr">
        <is>
          <t>KALMAR LÄN</t>
        </is>
      </c>
      <c r="E1558" t="inlineStr">
        <is>
          <t>VIMMERBY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6216-2025</t>
        </is>
      </c>
      <c r="B1559" s="1" t="n">
        <v>45698</v>
      </c>
      <c r="C1559" s="1" t="n">
        <v>45760</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6220-2025</t>
        </is>
      </c>
      <c r="B1560" s="1" t="n">
        <v>45698</v>
      </c>
      <c r="C1560" s="1" t="n">
        <v>45760</v>
      </c>
      <c r="D1560" t="inlineStr">
        <is>
          <t>KALMAR LÄN</t>
        </is>
      </c>
      <c r="E1560" t="inlineStr">
        <is>
          <t>VIMMERBY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45760</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6483-2025</t>
        </is>
      </c>
      <c r="B1562" s="1" t="n">
        <v>45699</v>
      </c>
      <c r="C1562" s="1" t="n">
        <v>45760</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6405-2025</t>
        </is>
      </c>
      <c r="B1563" s="1" t="n">
        <v>45699</v>
      </c>
      <c r="C1563" s="1" t="n">
        <v>45760</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6408-2025</t>
        </is>
      </c>
      <c r="B1564" s="1" t="n">
        <v>45699</v>
      </c>
      <c r="C1564" s="1" t="n">
        <v>45760</v>
      </c>
      <c r="D1564" t="inlineStr">
        <is>
          <t>KALMAR LÄN</t>
        </is>
      </c>
      <c r="E1564" t="inlineStr">
        <is>
          <t>VIMMERBY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6474-2025</t>
        </is>
      </c>
      <c r="B1565" s="1" t="n">
        <v>45699</v>
      </c>
      <c r="C1565" s="1" t="n">
        <v>45760</v>
      </c>
      <c r="D1565" t="inlineStr">
        <is>
          <t>KALMAR LÄN</t>
        </is>
      </c>
      <c r="E1565" t="inlineStr">
        <is>
          <t>VIMMERBY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6802-2025</t>
        </is>
      </c>
      <c r="B1566" s="1" t="n">
        <v>45700</v>
      </c>
      <c r="C1566" s="1" t="n">
        <v>45760</v>
      </c>
      <c r="D1566" t="inlineStr">
        <is>
          <t>KALMAR LÄN</t>
        </is>
      </c>
      <c r="E1566" t="inlineStr">
        <is>
          <t>VIMMERBY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6807-2025</t>
        </is>
      </c>
      <c r="B1567" s="1" t="n">
        <v>45700</v>
      </c>
      <c r="C1567" s="1" t="n">
        <v>45760</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6750-2025</t>
        </is>
      </c>
      <c r="B1568" s="1" t="n">
        <v>45700</v>
      </c>
      <c r="C1568" s="1" t="n">
        <v>45760</v>
      </c>
      <c r="D1568" t="inlineStr">
        <is>
          <t>KALMAR LÄN</t>
        </is>
      </c>
      <c r="E1568" t="inlineStr">
        <is>
          <t>VIMMERBY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7627-2025</t>
        </is>
      </c>
      <c r="B1569" s="1" t="n">
        <v>45705</v>
      </c>
      <c r="C1569" s="1" t="n">
        <v>45760</v>
      </c>
      <c r="D1569" t="inlineStr">
        <is>
          <t>KALMAR LÄN</t>
        </is>
      </c>
      <c r="E1569" t="inlineStr">
        <is>
          <t>VIMMERBY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7630-2025</t>
        </is>
      </c>
      <c r="B1570" s="1" t="n">
        <v>45705</v>
      </c>
      <c r="C1570" s="1" t="n">
        <v>45760</v>
      </c>
      <c r="D1570" t="inlineStr">
        <is>
          <t>KALMAR LÄN</t>
        </is>
      </c>
      <c r="E1570" t="inlineStr">
        <is>
          <t>VIMMERBY</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8059-2025</t>
        </is>
      </c>
      <c r="B1571" s="1" t="n">
        <v>45707</v>
      </c>
      <c r="C1571" s="1" t="n">
        <v>45760</v>
      </c>
      <c r="D1571" t="inlineStr">
        <is>
          <t>KALMAR LÄN</t>
        </is>
      </c>
      <c r="E1571" t="inlineStr">
        <is>
          <t>VIMMERBY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7932-2025</t>
        </is>
      </c>
      <c r="B1572" s="1" t="n">
        <v>45707</v>
      </c>
      <c r="C1572" s="1" t="n">
        <v>45760</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45760</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45760</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45760</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8574-2025</t>
        </is>
      </c>
      <c r="B1576" s="1" t="n">
        <v>45709</v>
      </c>
      <c r="C1576" s="1" t="n">
        <v>45760</v>
      </c>
      <c r="D1576" t="inlineStr">
        <is>
          <t>KALMAR LÄN</t>
        </is>
      </c>
      <c r="E1576" t="inlineStr">
        <is>
          <t>VIMMERBY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8376-2025</t>
        </is>
      </c>
      <c r="B1577" s="1" t="n">
        <v>45709</v>
      </c>
      <c r="C1577" s="1" t="n">
        <v>45760</v>
      </c>
      <c r="D1577" t="inlineStr">
        <is>
          <t>KALMAR LÄN</t>
        </is>
      </c>
      <c r="E1577" t="inlineStr">
        <is>
          <t>VIMMERBY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45760</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9128-2025</t>
        </is>
      </c>
      <c r="B1579" s="1" t="n">
        <v>45713</v>
      </c>
      <c r="C1579" s="1" t="n">
        <v>45760</v>
      </c>
      <c r="D1579" t="inlineStr">
        <is>
          <t>KALMAR LÄN</t>
        </is>
      </c>
      <c r="E1579" t="inlineStr">
        <is>
          <t>VIMMERBY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9129-2025</t>
        </is>
      </c>
      <c r="B1580" s="1" t="n">
        <v>45713</v>
      </c>
      <c r="C1580" s="1" t="n">
        <v>45760</v>
      </c>
      <c r="D1580" t="inlineStr">
        <is>
          <t>KALMAR LÄN</t>
        </is>
      </c>
      <c r="E1580" t="inlineStr">
        <is>
          <t>VIMMERBY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9456-2025</t>
        </is>
      </c>
      <c r="B1581" s="1" t="n">
        <v>45715</v>
      </c>
      <c r="C1581" s="1" t="n">
        <v>45760</v>
      </c>
      <c r="D1581" t="inlineStr">
        <is>
          <t>KALMAR LÄN</t>
        </is>
      </c>
      <c r="E1581" t="inlineStr">
        <is>
          <t>VIMMERBY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9751-2025</t>
        </is>
      </c>
      <c r="B1582" s="1" t="n">
        <v>45716</v>
      </c>
      <c r="C1582" s="1" t="n">
        <v>45760</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45760</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10209-2025</t>
        </is>
      </c>
      <c r="B1584" s="1" t="n">
        <v>45719</v>
      </c>
      <c r="C1584" s="1" t="n">
        <v>45760</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10208-2025</t>
        </is>
      </c>
      <c r="B1585" s="1" t="n">
        <v>45719</v>
      </c>
      <c r="C1585" s="1" t="n">
        <v>45760</v>
      </c>
      <c r="D1585" t="inlineStr">
        <is>
          <t>KALMAR LÄN</t>
        </is>
      </c>
      <c r="E1585" t="inlineStr">
        <is>
          <t>VIMMERBY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45760</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10303-2025</t>
        </is>
      </c>
      <c r="B1587" s="1" t="n">
        <v>45720</v>
      </c>
      <c r="C1587" s="1" t="n">
        <v>45760</v>
      </c>
      <c r="D1587" t="inlineStr">
        <is>
          <t>KALMAR LÄN</t>
        </is>
      </c>
      <c r="E1587" t="inlineStr">
        <is>
          <t>VIMMERBY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10392-2025</t>
        </is>
      </c>
      <c r="B1588" s="1" t="n">
        <v>45720</v>
      </c>
      <c r="C1588" s="1" t="n">
        <v>45760</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10522-2025</t>
        </is>
      </c>
      <c r="B1589" s="1" t="n">
        <v>45721</v>
      </c>
      <c r="C1589" s="1" t="n">
        <v>45760</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45760</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10680-2025</t>
        </is>
      </c>
      <c r="B1591" s="1" t="n">
        <v>45721</v>
      </c>
      <c r="C1591" s="1" t="n">
        <v>45760</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10549-2025</t>
        </is>
      </c>
      <c r="B1592" s="1" t="n">
        <v>45721</v>
      </c>
      <c r="C1592" s="1" t="n">
        <v>45760</v>
      </c>
      <c r="D1592" t="inlineStr">
        <is>
          <t>KALMAR LÄN</t>
        </is>
      </c>
      <c r="E1592" t="inlineStr">
        <is>
          <t>VIMMERBY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10835-2025</t>
        </is>
      </c>
      <c r="B1593" s="1" t="n">
        <v>45722</v>
      </c>
      <c r="C1593" s="1" t="n">
        <v>45760</v>
      </c>
      <c r="D1593" t="inlineStr">
        <is>
          <t>KALMAR LÄN</t>
        </is>
      </c>
      <c r="E1593" t="inlineStr">
        <is>
          <t>VIMMERBY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10786-2025</t>
        </is>
      </c>
      <c r="B1594" s="1" t="n">
        <v>45722</v>
      </c>
      <c r="C1594" s="1" t="n">
        <v>45760</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45760</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10745-2025</t>
        </is>
      </c>
      <c r="B1596" s="1" t="n">
        <v>45722</v>
      </c>
      <c r="C1596" s="1" t="n">
        <v>45760</v>
      </c>
      <c r="D1596" t="inlineStr">
        <is>
          <t>KALMAR LÄN</t>
        </is>
      </c>
      <c r="E1596" t="inlineStr">
        <is>
          <t>VIMMERBY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10749-2025</t>
        </is>
      </c>
      <c r="B1597" s="1" t="n">
        <v>45722</v>
      </c>
      <c r="C1597" s="1" t="n">
        <v>45760</v>
      </c>
      <c r="D1597" t="inlineStr">
        <is>
          <t>KALMAR LÄN</t>
        </is>
      </c>
      <c r="E1597" t="inlineStr">
        <is>
          <t>VIMMERBY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10750-2025</t>
        </is>
      </c>
      <c r="B1598" s="1" t="n">
        <v>45722</v>
      </c>
      <c r="C1598" s="1" t="n">
        <v>45760</v>
      </c>
      <c r="D1598" t="inlineStr">
        <is>
          <t>KALMAR LÄN</t>
        </is>
      </c>
      <c r="E1598" t="inlineStr">
        <is>
          <t>VIMMERBY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45760</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10747-2025</t>
        </is>
      </c>
      <c r="B1600" s="1" t="n">
        <v>45722</v>
      </c>
      <c r="C1600" s="1" t="n">
        <v>45760</v>
      </c>
      <c r="D1600" t="inlineStr">
        <is>
          <t>KALMAR LÄN</t>
        </is>
      </c>
      <c r="E1600" t="inlineStr">
        <is>
          <t>VIMMERBY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10748-2025</t>
        </is>
      </c>
      <c r="B1601" s="1" t="n">
        <v>45722</v>
      </c>
      <c r="C1601" s="1" t="n">
        <v>45760</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10787-2025</t>
        </is>
      </c>
      <c r="B1602" s="1" t="n">
        <v>45722</v>
      </c>
      <c r="C1602" s="1" t="n">
        <v>45760</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10822-2025</t>
        </is>
      </c>
      <c r="B1603" s="1" t="n">
        <v>45722</v>
      </c>
      <c r="C1603" s="1" t="n">
        <v>45760</v>
      </c>
      <c r="D1603" t="inlineStr">
        <is>
          <t>KALMAR LÄN</t>
        </is>
      </c>
      <c r="E1603" t="inlineStr">
        <is>
          <t>VIMMERBY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10830-2025</t>
        </is>
      </c>
      <c r="B1604" s="1" t="n">
        <v>45722</v>
      </c>
      <c r="C1604" s="1" t="n">
        <v>45760</v>
      </c>
      <c r="D1604" t="inlineStr">
        <is>
          <t>KALMAR LÄN</t>
        </is>
      </c>
      <c r="E1604" t="inlineStr">
        <is>
          <t>VIMMERBY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11303-2025</t>
        </is>
      </c>
      <c r="B1605" s="1" t="n">
        <v>45726</v>
      </c>
      <c r="C1605" s="1" t="n">
        <v>45760</v>
      </c>
      <c r="D1605" t="inlineStr">
        <is>
          <t>KALMAR LÄN</t>
        </is>
      </c>
      <c r="E1605" t="inlineStr">
        <is>
          <t>VIMMERBY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11442-2025</t>
        </is>
      </c>
      <c r="B1606" s="1" t="n">
        <v>45726</v>
      </c>
      <c r="C1606" s="1" t="n">
        <v>45760</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45760</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11911-2025</t>
        </is>
      </c>
      <c r="B1608" s="1" t="n">
        <v>45728</v>
      </c>
      <c r="C1608" s="1" t="n">
        <v>45760</v>
      </c>
      <c r="D1608" t="inlineStr">
        <is>
          <t>KALMAR LÄN</t>
        </is>
      </c>
      <c r="E1608" t="inlineStr">
        <is>
          <t>VIMMERBY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11909-2025</t>
        </is>
      </c>
      <c r="B1609" s="1" t="n">
        <v>45728</v>
      </c>
      <c r="C1609" s="1" t="n">
        <v>45760</v>
      </c>
      <c r="D1609" t="inlineStr">
        <is>
          <t>KALMAR LÄN</t>
        </is>
      </c>
      <c r="E1609" t="inlineStr">
        <is>
          <t>VIMMERBY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11946-2025</t>
        </is>
      </c>
      <c r="B1610" s="1" t="n">
        <v>45728</v>
      </c>
      <c r="C1610" s="1" t="n">
        <v>45760</v>
      </c>
      <c r="D1610" t="inlineStr">
        <is>
          <t>KALMAR LÄN</t>
        </is>
      </c>
      <c r="E1610" t="inlineStr">
        <is>
          <t>VIMMERBY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11906-2025</t>
        </is>
      </c>
      <c r="B1611" s="1" t="n">
        <v>45728</v>
      </c>
      <c r="C1611" s="1" t="n">
        <v>45760</v>
      </c>
      <c r="D1611" t="inlineStr">
        <is>
          <t>KALMAR LÄN</t>
        </is>
      </c>
      <c r="E1611" t="inlineStr">
        <is>
          <t>VIMMERBY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12121-2025</t>
        </is>
      </c>
      <c r="B1612" s="1" t="n">
        <v>45729</v>
      </c>
      <c r="C1612" s="1" t="n">
        <v>45760</v>
      </c>
      <c r="D1612" t="inlineStr">
        <is>
          <t>KALMAR LÄN</t>
        </is>
      </c>
      <c r="E1612" t="inlineStr">
        <is>
          <t>VIMMERBY</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45760</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12588-2025</t>
        </is>
      </c>
      <c r="B1614" s="1" t="n">
        <v>45732</v>
      </c>
      <c r="C1614" s="1" t="n">
        <v>45760</v>
      </c>
      <c r="D1614" t="inlineStr">
        <is>
          <t>KALMAR LÄN</t>
        </is>
      </c>
      <c r="E1614" t="inlineStr">
        <is>
          <t>VIMMERBY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45760</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13076-2025</t>
        </is>
      </c>
      <c r="B1616" s="1" t="n">
        <v>45734</v>
      </c>
      <c r="C1616" s="1" t="n">
        <v>45760</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13307-2025</t>
        </is>
      </c>
      <c r="B1617" s="1" t="n">
        <v>45735</v>
      </c>
      <c r="C1617" s="1" t="n">
        <v>45760</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13290-2025</t>
        </is>
      </c>
      <c r="B1618" s="1" t="n">
        <v>45735</v>
      </c>
      <c r="C1618" s="1" t="n">
        <v>45760</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13532-2025</t>
        </is>
      </c>
      <c r="B1619" s="1" t="n">
        <v>45736</v>
      </c>
      <c r="C1619" s="1" t="n">
        <v>45760</v>
      </c>
      <c r="D1619" t="inlineStr">
        <is>
          <t>KALMAR LÄN</t>
        </is>
      </c>
      <c r="E1619" t="inlineStr">
        <is>
          <t>VIMMERBY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13978-2025</t>
        </is>
      </c>
      <c r="B1620" s="1" t="n">
        <v>45738</v>
      </c>
      <c r="C1620" s="1" t="n">
        <v>45760</v>
      </c>
      <c r="D1620" t="inlineStr">
        <is>
          <t>KALMAR LÄN</t>
        </is>
      </c>
      <c r="E1620" t="inlineStr">
        <is>
          <t>VIMMERBY</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14359-2025</t>
        </is>
      </c>
      <c r="B1621" s="1" t="n">
        <v>45741</v>
      </c>
      <c r="C1621" s="1" t="n">
        <v>45760</v>
      </c>
      <c r="D1621" t="inlineStr">
        <is>
          <t>KALMAR LÄN</t>
        </is>
      </c>
      <c r="E1621" t="inlineStr">
        <is>
          <t>VIMMERBY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14584-2025</t>
        </is>
      </c>
      <c r="B1622" s="1" t="n">
        <v>45742</v>
      </c>
      <c r="C1622" s="1" t="n">
        <v>45760</v>
      </c>
      <c r="D1622" t="inlineStr">
        <is>
          <t>KALMAR LÄN</t>
        </is>
      </c>
      <c r="E1622" t="inlineStr">
        <is>
          <t>VIMMERBY</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14854-2025</t>
        </is>
      </c>
      <c r="B1623" s="1" t="n">
        <v>45743</v>
      </c>
      <c r="C1623" s="1" t="n">
        <v>45760</v>
      </c>
      <c r="D1623" t="inlineStr">
        <is>
          <t>KALMAR LÄN</t>
        </is>
      </c>
      <c r="E1623" t="inlineStr">
        <is>
          <t>VIMMERBY</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14855-2025</t>
        </is>
      </c>
      <c r="B1624" s="1" t="n">
        <v>45743</v>
      </c>
      <c r="C1624" s="1" t="n">
        <v>45760</v>
      </c>
      <c r="D1624" t="inlineStr">
        <is>
          <t>KALMAR LÄN</t>
        </is>
      </c>
      <c r="E1624" t="inlineStr">
        <is>
          <t>VIMMERBY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45760</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15388-2025</t>
        </is>
      </c>
      <c r="B1626" s="1" t="n">
        <v>45747</v>
      </c>
      <c r="C1626" s="1" t="n">
        <v>45760</v>
      </c>
      <c r="D1626" t="inlineStr">
        <is>
          <t>KALMAR LÄN</t>
        </is>
      </c>
      <c r="E1626" t="inlineStr">
        <is>
          <t>VIMMERBY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15391-2025</t>
        </is>
      </c>
      <c r="B1627" s="1" t="n">
        <v>45747</v>
      </c>
      <c r="C1627" s="1" t="n">
        <v>45760</v>
      </c>
      <c r="D1627" t="inlineStr">
        <is>
          <t>KALMAR LÄN</t>
        </is>
      </c>
      <c r="E1627" t="inlineStr">
        <is>
          <t>VIMMERBY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45760</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45760</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45760</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15976-2025</t>
        </is>
      </c>
      <c r="B1631" s="1" t="n">
        <v>45749</v>
      </c>
      <c r="C1631" s="1" t="n">
        <v>45760</v>
      </c>
      <c r="D1631" t="inlineStr">
        <is>
          <t>KALMAR LÄN</t>
        </is>
      </c>
      <c r="E1631" t="inlineStr">
        <is>
          <t>VIMMERBY</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45760</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45760</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16622-2025</t>
        </is>
      </c>
      <c r="B1634" s="1" t="n">
        <v>45754</v>
      </c>
      <c r="C1634" s="1" t="n">
        <v>45760</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17084-2025</t>
        </is>
      </c>
      <c r="B1635" s="1" t="n">
        <v>45755</v>
      </c>
      <c r="C1635" s="1" t="n">
        <v>45760</v>
      </c>
      <c r="D1635" t="inlineStr">
        <is>
          <t>KALMAR LÄN</t>
        </is>
      </c>
      <c r="E1635" t="inlineStr">
        <is>
          <t>VIMMERBY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45760</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16954-2025</t>
        </is>
      </c>
      <c r="B1637" s="1" t="n">
        <v>45755</v>
      </c>
      <c r="C1637" s="1" t="n">
        <v>45760</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c r="A1638" t="inlineStr">
        <is>
          <t>A 17926-2025</t>
        </is>
      </c>
      <c r="B1638" s="1" t="n">
        <v>45759</v>
      </c>
      <c r="C1638" s="1" t="n">
        <v>45760</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2025-04-13T17:08:11Z</dcterms:created>
  <dcterms:modified xmlns:dcterms="http://purl.org/dc/terms/" xmlns:xsi="http://www.w3.org/2001/XMLSchema-instance" xsi:type="dcterms:W3CDTF">2025-04-13T17:08:13Z</dcterms:modified>
</cp:coreProperties>
</file>