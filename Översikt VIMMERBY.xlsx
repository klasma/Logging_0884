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46170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46170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46170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46170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46170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46170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46170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46170</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46170</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46170</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46170</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46170</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46170</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46170</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46170</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46170</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46170</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46170</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2518-2023</t>
        </is>
      </c>
      <c r="B25" s="1" t="n">
        <v>44943</v>
      </c>
      <c r="C25" s="1" t="n">
        <v>46170</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46170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46170</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46170</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46170</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14426-2026</t>
        </is>
      </c>
      <c r="B30" s="1" t="n">
        <v>46100.46956018519</v>
      </c>
      <c r="C30" s="1" t="n">
        <v>46170</v>
      </c>
      <c r="D30" t="inlineStr">
        <is>
          <t>KALMAR LÄN</t>
        </is>
      </c>
      <c r="E30" t="inlineStr">
        <is>
          <t>VIMMERBY</t>
        </is>
      </c>
      <c r="F30" t="inlineStr">
        <is>
          <t>Kyrkan</t>
        </is>
      </c>
      <c r="G30" t="n">
        <v>8.6</v>
      </c>
      <c r="H30" t="n">
        <v>1</v>
      </c>
      <c r="I30" t="n">
        <v>0</v>
      </c>
      <c r="J30" t="n">
        <v>1</v>
      </c>
      <c r="K30" t="n">
        <v>1</v>
      </c>
      <c r="L30" t="n">
        <v>0</v>
      </c>
      <c r="M30" t="n">
        <v>0</v>
      </c>
      <c r="N30" t="n">
        <v>0</v>
      </c>
      <c r="O30" t="n">
        <v>2</v>
      </c>
      <c r="P30" t="n">
        <v>1</v>
      </c>
      <c r="Q30" t="n">
        <v>2</v>
      </c>
      <c r="R30" s="2" t="inlineStr">
        <is>
          <t>Knärot
Tallticka</t>
        </is>
      </c>
      <c r="S30">
        <f>HYPERLINK("https://klasma.github.io/Logging_0884/artfynd/A 14426-2026 artfynd.xlsx", "A 14426-2026")</f>
        <v/>
      </c>
      <c r="T30">
        <f>HYPERLINK("https://klasma.github.io/Logging_0884/kartor/A 14426-2026 karta.png", "A 14426-2026")</f>
        <v/>
      </c>
      <c r="U30">
        <f>HYPERLINK("https://klasma.github.io/Logging_0884/knärot/A 14426-2026 karta knärot.png", "A 14426-2026")</f>
        <v/>
      </c>
      <c r="V30">
        <f>HYPERLINK("https://klasma.github.io/Logging_0884/klagomål/A 14426-2026 FSC-klagomål.docx", "A 14426-2026")</f>
        <v/>
      </c>
      <c r="W30">
        <f>HYPERLINK("https://klasma.github.io/Logging_0884/klagomålsmail/A 14426-2026 FSC-klagomål mail.docx", "A 14426-2026")</f>
        <v/>
      </c>
      <c r="X30">
        <f>HYPERLINK("https://klasma.github.io/Logging_0884/tillsyn/A 14426-2026 tillsynsbegäran.docx", "A 14426-2026")</f>
        <v/>
      </c>
      <c r="Y30">
        <f>HYPERLINK("https://klasma.github.io/Logging_0884/tillsynsmail/A 14426-2026 tillsynsbegäran mail.docx", "A 14426-2026")</f>
        <v/>
      </c>
    </row>
    <row r="31" ht="15" customHeight="1">
      <c r="A31" t="inlineStr">
        <is>
          <t>A 14024-2023</t>
        </is>
      </c>
      <c r="B31" s="1" t="n">
        <v>45008.60878472222</v>
      </c>
      <c r="C31" s="1" t="n">
        <v>46170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46170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46170</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46170</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46170</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46170</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1201-2025</t>
        </is>
      </c>
      <c r="B37" s="1" t="n">
        <v>45667</v>
      </c>
      <c r="C37" s="1" t="n">
        <v>46170</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52301-2023</t>
        </is>
      </c>
      <c r="B38" s="1" t="n">
        <v>45224</v>
      </c>
      <c r="C38" s="1" t="n">
        <v>46170</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53404-2025</t>
        </is>
      </c>
      <c r="B39" s="1" t="n">
        <v>45959.57126157408</v>
      </c>
      <c r="C39" s="1" t="n">
        <v>46170</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53404-2025 artfynd.xlsx", "A 53404-2025")</f>
        <v/>
      </c>
      <c r="T39">
        <f>HYPERLINK("https://klasma.github.io/Logging_0884/kartor/A 53404-2025 karta.png", "A 53404-2025")</f>
        <v/>
      </c>
      <c r="U39">
        <f>HYPERLINK("https://klasma.github.io/Logging_0884/knärot/A 53404-2025 karta knärot.png", "A 53404-2025")</f>
        <v/>
      </c>
      <c r="V39">
        <f>HYPERLINK("https://klasma.github.io/Logging_0884/klagomål/A 53404-2025 FSC-klagomål.docx", "A 53404-2025")</f>
        <v/>
      </c>
      <c r="W39">
        <f>HYPERLINK("https://klasma.github.io/Logging_0884/klagomålsmail/A 53404-2025 FSC-klagomål mail.docx", "A 53404-2025")</f>
        <v/>
      </c>
      <c r="X39">
        <f>HYPERLINK("https://klasma.github.io/Logging_0884/tillsyn/A 53404-2025 tillsynsbegäran.docx", "A 53404-2025")</f>
        <v/>
      </c>
      <c r="Y39">
        <f>HYPERLINK("https://klasma.github.io/Logging_0884/tillsynsmail/A 53404-2025 tillsynsbegäran mail.docx", "A 53404-2025")</f>
        <v/>
      </c>
    </row>
    <row r="40" ht="15" customHeight="1">
      <c r="A40" t="inlineStr">
        <is>
          <t>A 53400-2025</t>
        </is>
      </c>
      <c r="B40" s="1" t="n">
        <v>45959.56684027778</v>
      </c>
      <c r="C40" s="1" t="n">
        <v>46170</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29183-2025</t>
        </is>
      </c>
      <c r="B41" s="1" t="n">
        <v>45821</v>
      </c>
      <c r="C41" s="1" t="n">
        <v>46170</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46170</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46170</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55384-2025</t>
        </is>
      </c>
      <c r="B44" s="1" t="n">
        <v>45971.43178240741</v>
      </c>
      <c r="C44" s="1" t="n">
        <v>46170</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57062-2025</t>
        </is>
      </c>
      <c r="B45" s="1" t="n">
        <v>45979.37598379629</v>
      </c>
      <c r="C45" s="1" t="n">
        <v>46170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46170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32985-2023</t>
        </is>
      </c>
      <c r="B47" s="1" t="n">
        <v>45125</v>
      </c>
      <c r="C47" s="1" t="n">
        <v>46170</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46170</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46170</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46170</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61860-2024</t>
        </is>
      </c>
      <c r="B51" s="1" t="n">
        <v>45649</v>
      </c>
      <c r="C51" s="1" t="n">
        <v>46170</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44515-2024</t>
        </is>
      </c>
      <c r="B52" s="1" t="n">
        <v>45574.42767361111</v>
      </c>
      <c r="C52" s="1" t="n">
        <v>46170</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47205-2021</t>
        </is>
      </c>
      <c r="B53" s="1" t="n">
        <v>44447</v>
      </c>
      <c r="C53" s="1" t="n">
        <v>46170</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46170</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46170</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46170</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46170</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46170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46170</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46170</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46170</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46170</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46170</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46170</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46170</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46170</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46170</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46170</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46170</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46170</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46170</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46170</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46170</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46170</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46170</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27762-2021</t>
        </is>
      </c>
      <c r="B77" s="1" t="n">
        <v>44354</v>
      </c>
      <c r="C77" s="1" t="n">
        <v>46170</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59791-2021</t>
        </is>
      </c>
      <c r="B78" s="1" t="n">
        <v>44494</v>
      </c>
      <c r="C78" s="1" t="n">
        <v>46170</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46170</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46170</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46170</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46170</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46170</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46170</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46170</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46170</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46170</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46170</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46170</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46170</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46170</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46170</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46170</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46170</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46170</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46170</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33690-2022</t>
        </is>
      </c>
      <c r="B101" s="1" t="n">
        <v>44789</v>
      </c>
      <c r="C101" s="1" t="n">
        <v>46170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35198-2021</t>
        </is>
      </c>
      <c r="B102" s="1" t="n">
        <v>44377</v>
      </c>
      <c r="C102" s="1" t="n">
        <v>46170</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34036-2021</t>
        </is>
      </c>
      <c r="B103" s="1" t="n">
        <v>44379</v>
      </c>
      <c r="C103" s="1" t="n">
        <v>46170</v>
      </c>
      <c r="D103" t="inlineStr">
        <is>
          <t>KALMAR LÄN</t>
        </is>
      </c>
      <c r="E103" t="inlineStr">
        <is>
          <t>VIMMERBY</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46170</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11814-2022</t>
        </is>
      </c>
      <c r="B105" s="1" t="n">
        <v>44634.69703703704</v>
      </c>
      <c r="C105" s="1" t="n">
        <v>46170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56385-2021</t>
        </is>
      </c>
      <c r="B106" s="1" t="n">
        <v>44480</v>
      </c>
      <c r="C106" s="1" t="n">
        <v>46170</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31053-2022</t>
        </is>
      </c>
      <c r="B107" s="1" t="n">
        <v>44769.45422453704</v>
      </c>
      <c r="C107" s="1" t="n">
        <v>46170</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8454-2022</t>
        </is>
      </c>
      <c r="B108" s="1" t="n">
        <v>44612.86762731482</v>
      </c>
      <c r="C108" s="1" t="n">
        <v>46170</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65887-2021</t>
        </is>
      </c>
      <c r="B109" s="1" t="n">
        <v>44517</v>
      </c>
      <c r="C109" s="1" t="n">
        <v>46170</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46170</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47208-2021</t>
        </is>
      </c>
      <c r="B111" s="1" t="n">
        <v>44447.34237268518</v>
      </c>
      <c r="C111" s="1" t="n">
        <v>46170</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7917-2022</t>
        </is>
      </c>
      <c r="B112" s="1" t="n">
        <v>44608</v>
      </c>
      <c r="C112" s="1" t="n">
        <v>46170</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56389-2021</t>
        </is>
      </c>
      <c r="B113" s="1" t="n">
        <v>44480</v>
      </c>
      <c r="C113" s="1" t="n">
        <v>46170</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67952-2021</t>
        </is>
      </c>
      <c r="B114" s="1" t="n">
        <v>44525.63913194444</v>
      </c>
      <c r="C114" s="1" t="n">
        <v>46170</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15533-2022</t>
        </is>
      </c>
      <c r="B115" s="1" t="n">
        <v>44662</v>
      </c>
      <c r="C115" s="1" t="n">
        <v>46170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46170</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34040-2021</t>
        </is>
      </c>
      <c r="B117" s="1" t="n">
        <v>44379</v>
      </c>
      <c r="C117" s="1" t="n">
        <v>46170</v>
      </c>
      <c r="D117" t="inlineStr">
        <is>
          <t>KALMAR LÄN</t>
        </is>
      </c>
      <c r="E117" t="inlineStr">
        <is>
          <t>VIMMERBY</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12107-2022</t>
        </is>
      </c>
      <c r="B118" s="1" t="n">
        <v>44636</v>
      </c>
      <c r="C118" s="1" t="n">
        <v>46170</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39225-2022</t>
        </is>
      </c>
      <c r="B119" s="1" t="n">
        <v>44817.57988425926</v>
      </c>
      <c r="C119" s="1" t="n">
        <v>46170</v>
      </c>
      <c r="D119" t="inlineStr">
        <is>
          <t>KALMAR LÄN</t>
        </is>
      </c>
      <c r="E119" t="inlineStr">
        <is>
          <t>VIMMERBY</t>
        </is>
      </c>
      <c r="G119" t="n">
        <v>2.2</v>
      </c>
      <c r="H119" t="n">
        <v>0</v>
      </c>
      <c r="I119" t="n">
        <v>0</v>
      </c>
      <c r="J119" t="n">
        <v>0</v>
      </c>
      <c r="K119" t="n">
        <v>0</v>
      </c>
      <c r="L119" t="n">
        <v>0</v>
      </c>
      <c r="M119" t="n">
        <v>0</v>
      </c>
      <c r="N119" t="n">
        <v>0</v>
      </c>
      <c r="O119" t="n">
        <v>0</v>
      </c>
      <c r="P119" t="n">
        <v>0</v>
      </c>
      <c r="Q119" t="n">
        <v>0</v>
      </c>
      <c r="R119" s="2" t="inlineStr"/>
    </row>
    <row r="120" ht="15" customHeight="1">
      <c r="A120" t="inlineStr">
        <is>
          <t>A 17029-2022</t>
        </is>
      </c>
      <c r="B120" s="1" t="n">
        <v>44676.85248842592</v>
      </c>
      <c r="C120" s="1" t="n">
        <v>46170</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7167-2022</t>
        </is>
      </c>
      <c r="B121" s="1" t="n">
        <v>44604</v>
      </c>
      <c r="C121" s="1" t="n">
        <v>46170</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35001-2021</t>
        </is>
      </c>
      <c r="B122" s="1" t="n">
        <v>44383</v>
      </c>
      <c r="C122" s="1" t="n">
        <v>46170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55674-2021</t>
        </is>
      </c>
      <c r="B123" s="1" t="n">
        <v>44476</v>
      </c>
      <c r="C123" s="1" t="n">
        <v>46170</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46170</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46170</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48377-2021</t>
        </is>
      </c>
      <c r="B126" s="1" t="n">
        <v>44451.8375</v>
      </c>
      <c r="C126" s="1" t="n">
        <v>46170</v>
      </c>
      <c r="D126" t="inlineStr">
        <is>
          <t>KALMAR LÄN</t>
        </is>
      </c>
      <c r="E126" t="inlineStr">
        <is>
          <t>VIMMERBY</t>
        </is>
      </c>
      <c r="G126" t="n">
        <v>0.4</v>
      </c>
      <c r="H126" t="n">
        <v>0</v>
      </c>
      <c r="I126" t="n">
        <v>0</v>
      </c>
      <c r="J126" t="n">
        <v>0</v>
      </c>
      <c r="K126" t="n">
        <v>0</v>
      </c>
      <c r="L126" t="n">
        <v>0</v>
      </c>
      <c r="M126" t="n">
        <v>0</v>
      </c>
      <c r="N126" t="n">
        <v>0</v>
      </c>
      <c r="O126" t="n">
        <v>0</v>
      </c>
      <c r="P126" t="n">
        <v>0</v>
      </c>
      <c r="Q126" t="n">
        <v>0</v>
      </c>
      <c r="R126" s="2" t="inlineStr"/>
    </row>
    <row r="127" ht="15" customHeight="1">
      <c r="A127" t="inlineStr">
        <is>
          <t>A 40472-2022</t>
        </is>
      </c>
      <c r="B127" s="1" t="n">
        <v>44823</v>
      </c>
      <c r="C127" s="1" t="n">
        <v>46170</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35316-2021</t>
        </is>
      </c>
      <c r="B128" s="1" t="n">
        <v>44384</v>
      </c>
      <c r="C128" s="1" t="n">
        <v>46170</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46170</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47708-2022</t>
        </is>
      </c>
      <c r="B130" s="1" t="n">
        <v>44854.59157407407</v>
      </c>
      <c r="C130" s="1" t="n">
        <v>46170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9918-2022</t>
        </is>
      </c>
      <c r="B131" s="1" t="n">
        <v>44620</v>
      </c>
      <c r="C131" s="1" t="n">
        <v>46170</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23825-2022</t>
        </is>
      </c>
      <c r="B132" s="1" t="n">
        <v>44722.48768518519</v>
      </c>
      <c r="C132" s="1" t="n">
        <v>46170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47473-2021</t>
        </is>
      </c>
      <c r="B133" s="1" t="n">
        <v>44447</v>
      </c>
      <c r="C133" s="1" t="n">
        <v>46170</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41056-2022</t>
        </is>
      </c>
      <c r="B134" s="1" t="n">
        <v>44824</v>
      </c>
      <c r="C134" s="1" t="n">
        <v>46170</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31660-2021</t>
        </is>
      </c>
      <c r="B135" s="1" t="n">
        <v>44369</v>
      </c>
      <c r="C135" s="1" t="n">
        <v>46170</v>
      </c>
      <c r="D135" t="inlineStr">
        <is>
          <t>KALMAR LÄN</t>
        </is>
      </c>
      <c r="E135" t="inlineStr">
        <is>
          <t>VIMMERBY</t>
        </is>
      </c>
      <c r="G135" t="n">
        <v>4.2</v>
      </c>
      <c r="H135" t="n">
        <v>0</v>
      </c>
      <c r="I135" t="n">
        <v>0</v>
      </c>
      <c r="J135" t="n">
        <v>0</v>
      </c>
      <c r="K135" t="n">
        <v>0</v>
      </c>
      <c r="L135" t="n">
        <v>0</v>
      </c>
      <c r="M135" t="n">
        <v>0</v>
      </c>
      <c r="N135" t="n">
        <v>0</v>
      </c>
      <c r="O135" t="n">
        <v>0</v>
      </c>
      <c r="P135" t="n">
        <v>0</v>
      </c>
      <c r="Q135" t="n">
        <v>0</v>
      </c>
      <c r="R135" s="2" t="inlineStr"/>
    </row>
    <row r="136" ht="15" customHeight="1">
      <c r="A136" t="inlineStr">
        <is>
          <t>A 27455-2022</t>
        </is>
      </c>
      <c r="B136" s="1" t="n">
        <v>44742</v>
      </c>
      <c r="C136" s="1" t="n">
        <v>46170</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32603-2021</t>
        </is>
      </c>
      <c r="B137" s="1" t="n">
        <v>44375.38789351852</v>
      </c>
      <c r="C137" s="1" t="n">
        <v>46170</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36117-2021</t>
        </is>
      </c>
      <c r="B138" s="1" t="n">
        <v>44386</v>
      </c>
      <c r="C138" s="1" t="n">
        <v>46170</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42521-2021</t>
        </is>
      </c>
      <c r="B139" s="1" t="n">
        <v>44427</v>
      </c>
      <c r="C139" s="1" t="n">
        <v>46170</v>
      </c>
      <c r="D139" t="inlineStr">
        <is>
          <t>KALMAR LÄN</t>
        </is>
      </c>
      <c r="E139" t="inlineStr">
        <is>
          <t>VIMMERBY</t>
        </is>
      </c>
      <c r="G139" t="n">
        <v>5.4</v>
      </c>
      <c r="H139" t="n">
        <v>0</v>
      </c>
      <c r="I139" t="n">
        <v>0</v>
      </c>
      <c r="J139" t="n">
        <v>0</v>
      </c>
      <c r="K139" t="n">
        <v>0</v>
      </c>
      <c r="L139" t="n">
        <v>0</v>
      </c>
      <c r="M139" t="n">
        <v>0</v>
      </c>
      <c r="N139" t="n">
        <v>0</v>
      </c>
      <c r="O139" t="n">
        <v>0</v>
      </c>
      <c r="P139" t="n">
        <v>0</v>
      </c>
      <c r="Q139" t="n">
        <v>0</v>
      </c>
      <c r="R139" s="2" t="inlineStr"/>
    </row>
    <row r="140" ht="15" customHeight="1">
      <c r="A140" t="inlineStr">
        <is>
          <t>A 46964-2022</t>
        </is>
      </c>
      <c r="B140" s="1" t="n">
        <v>44851.95016203704</v>
      </c>
      <c r="C140" s="1" t="n">
        <v>46170</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13180-2022</t>
        </is>
      </c>
      <c r="B141" s="1" t="n">
        <v>44644</v>
      </c>
      <c r="C141" s="1" t="n">
        <v>46170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46170</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46170</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53145-2022</t>
        </is>
      </c>
      <c r="B144" s="1" t="n">
        <v>44876.48346064815</v>
      </c>
      <c r="C144" s="1" t="n">
        <v>46170</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25738-2022</t>
        </is>
      </c>
      <c r="B145" s="1" t="n">
        <v>44733.43092592592</v>
      </c>
      <c r="C145" s="1" t="n">
        <v>46170</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46170</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40971-2021</t>
        </is>
      </c>
      <c r="B147" s="1" t="n">
        <v>44421</v>
      </c>
      <c r="C147" s="1" t="n">
        <v>46170</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8453-2022</t>
        </is>
      </c>
      <c r="B148" s="1" t="n">
        <v>44612.86554398148</v>
      </c>
      <c r="C148" s="1" t="n">
        <v>46170</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54065-2021</t>
        </is>
      </c>
      <c r="B149" s="1" t="n">
        <v>44470.44232638889</v>
      </c>
      <c r="C149" s="1" t="n">
        <v>46170</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52433-2021</t>
        </is>
      </c>
      <c r="B150" s="1" t="n">
        <v>44466.34726851852</v>
      </c>
      <c r="C150" s="1" t="n">
        <v>46170</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50621-2022</t>
        </is>
      </c>
      <c r="B151" s="1" t="n">
        <v>44866.81100694444</v>
      </c>
      <c r="C151" s="1" t="n">
        <v>46170</v>
      </c>
      <c r="D151" t="inlineStr">
        <is>
          <t>KALMAR LÄN</t>
        </is>
      </c>
      <c r="E151" t="inlineStr">
        <is>
          <t>VIMMERBY</t>
        </is>
      </c>
      <c r="F151" t="inlineStr">
        <is>
          <t>Övriga Aktiebolag</t>
        </is>
      </c>
      <c r="G151" t="n">
        <v>5.1</v>
      </c>
      <c r="H151" t="n">
        <v>0</v>
      </c>
      <c r="I151" t="n">
        <v>0</v>
      </c>
      <c r="J151" t="n">
        <v>0</v>
      </c>
      <c r="K151" t="n">
        <v>0</v>
      </c>
      <c r="L151" t="n">
        <v>0</v>
      </c>
      <c r="M151" t="n">
        <v>0</v>
      </c>
      <c r="N151" t="n">
        <v>0</v>
      </c>
      <c r="O151" t="n">
        <v>0</v>
      </c>
      <c r="P151" t="n">
        <v>0</v>
      </c>
      <c r="Q151" t="n">
        <v>0</v>
      </c>
      <c r="R151" s="2" t="inlineStr"/>
    </row>
    <row r="152" ht="15" customHeight="1">
      <c r="A152" t="inlineStr">
        <is>
          <t>A 31824-2022</t>
        </is>
      </c>
      <c r="B152" s="1" t="n">
        <v>44776</v>
      </c>
      <c r="C152" s="1" t="n">
        <v>46170</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39042-2022</t>
        </is>
      </c>
      <c r="B153" s="1" t="n">
        <v>44817</v>
      </c>
      <c r="C153" s="1" t="n">
        <v>46170</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7804-2022</t>
        </is>
      </c>
      <c r="B154" s="1" t="n">
        <v>44608.50458333334</v>
      </c>
      <c r="C154" s="1" t="n">
        <v>46170</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4076-2022</t>
        </is>
      </c>
      <c r="B155" s="1" t="n">
        <v>44588.37998842593</v>
      </c>
      <c r="C155" s="1" t="n">
        <v>46170</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4122-2022</t>
        </is>
      </c>
      <c r="B156" s="1" t="n">
        <v>44588</v>
      </c>
      <c r="C156" s="1" t="n">
        <v>46170</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46170</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58374-2024</t>
        </is>
      </c>
      <c r="B158" s="1" t="n">
        <v>45632.72635416667</v>
      </c>
      <c r="C158" s="1" t="n">
        <v>46170</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30402-2023</t>
        </is>
      </c>
      <c r="B159" s="1" t="n">
        <v>45111.48395833333</v>
      </c>
      <c r="C159" s="1" t="n">
        <v>46170</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11609-2023</t>
        </is>
      </c>
      <c r="B160" s="1" t="n">
        <v>44994.40635416667</v>
      </c>
      <c r="C160" s="1" t="n">
        <v>46170</v>
      </c>
      <c r="D160" t="inlineStr">
        <is>
          <t>KALMAR LÄN</t>
        </is>
      </c>
      <c r="E160" t="inlineStr">
        <is>
          <t>VIMMERBY</t>
        </is>
      </c>
      <c r="G160" t="n">
        <v>4.9</v>
      </c>
      <c r="H160" t="n">
        <v>0</v>
      </c>
      <c r="I160" t="n">
        <v>0</v>
      </c>
      <c r="J160" t="n">
        <v>0</v>
      </c>
      <c r="K160" t="n">
        <v>0</v>
      </c>
      <c r="L160" t="n">
        <v>0</v>
      </c>
      <c r="M160" t="n">
        <v>0</v>
      </c>
      <c r="N160" t="n">
        <v>0</v>
      </c>
      <c r="O160" t="n">
        <v>0</v>
      </c>
      <c r="P160" t="n">
        <v>0</v>
      </c>
      <c r="Q160" t="n">
        <v>0</v>
      </c>
      <c r="R160" s="2" t="inlineStr"/>
    </row>
    <row r="161" ht="15" customHeight="1">
      <c r="A161" t="inlineStr">
        <is>
          <t>A 7643-2022</t>
        </is>
      </c>
      <c r="B161" s="1" t="n">
        <v>44607</v>
      </c>
      <c r="C161" s="1" t="n">
        <v>46170</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56213-2024</t>
        </is>
      </c>
      <c r="B162" s="1" t="n">
        <v>45624.60141203704</v>
      </c>
      <c r="C162" s="1" t="n">
        <v>46170</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45617.47570601852</v>
      </c>
      <c r="C163" s="1" t="n">
        <v>46170</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11027-2023</t>
        </is>
      </c>
      <c r="B164" s="1" t="n">
        <v>44991.89657407408</v>
      </c>
      <c r="C164" s="1" t="n">
        <v>46170</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16825-2024</t>
        </is>
      </c>
      <c r="B165" s="1" t="n">
        <v>45411.47335648148</v>
      </c>
      <c r="C165" s="1" t="n">
        <v>46170</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31382-2023</t>
        </is>
      </c>
      <c r="B166" s="1" t="n">
        <v>45114.55136574074</v>
      </c>
      <c r="C166" s="1" t="n">
        <v>46170</v>
      </c>
      <c r="D166" t="inlineStr">
        <is>
          <t>KALMAR LÄN</t>
        </is>
      </c>
      <c r="E166" t="inlineStr">
        <is>
          <t>VIMMERBY</t>
        </is>
      </c>
      <c r="G166" t="n">
        <v>3.7</v>
      </c>
      <c r="H166" t="n">
        <v>0</v>
      </c>
      <c r="I166" t="n">
        <v>0</v>
      </c>
      <c r="J166" t="n">
        <v>0</v>
      </c>
      <c r="K166" t="n">
        <v>0</v>
      </c>
      <c r="L166" t="n">
        <v>0</v>
      </c>
      <c r="M166" t="n">
        <v>0</v>
      </c>
      <c r="N166" t="n">
        <v>0</v>
      </c>
      <c r="O166" t="n">
        <v>0</v>
      </c>
      <c r="P166" t="n">
        <v>0</v>
      </c>
      <c r="Q166" t="n">
        <v>0</v>
      </c>
      <c r="R166" s="2" t="inlineStr"/>
    </row>
    <row r="167" ht="15" customHeight="1">
      <c r="A167" t="inlineStr">
        <is>
          <t>A 58962-2022</t>
        </is>
      </c>
      <c r="B167" s="1" t="n">
        <v>44903</v>
      </c>
      <c r="C167" s="1" t="n">
        <v>46170</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53483-2022</t>
        </is>
      </c>
      <c r="B168" s="1" t="n">
        <v>44879.55940972222</v>
      </c>
      <c r="C168" s="1" t="n">
        <v>46170</v>
      </c>
      <c r="D168" t="inlineStr">
        <is>
          <t>KALMAR LÄN</t>
        </is>
      </c>
      <c r="E168" t="inlineStr">
        <is>
          <t>VIMMERBY</t>
        </is>
      </c>
      <c r="G168" t="n">
        <v>1.4</v>
      </c>
      <c r="H168" t="n">
        <v>0</v>
      </c>
      <c r="I168" t="n">
        <v>0</v>
      </c>
      <c r="J168" t="n">
        <v>0</v>
      </c>
      <c r="K168" t="n">
        <v>0</v>
      </c>
      <c r="L168" t="n">
        <v>0</v>
      </c>
      <c r="M168" t="n">
        <v>0</v>
      </c>
      <c r="N168" t="n">
        <v>0</v>
      </c>
      <c r="O168" t="n">
        <v>0</v>
      </c>
      <c r="P168" t="n">
        <v>0</v>
      </c>
      <c r="Q168" t="n">
        <v>0</v>
      </c>
      <c r="R168" s="2" t="inlineStr"/>
    </row>
    <row r="169" ht="15" customHeight="1">
      <c r="A169" t="inlineStr">
        <is>
          <t>A 18899-2025</t>
        </is>
      </c>
      <c r="B169" s="1" t="n">
        <v>45764.44931712963</v>
      </c>
      <c r="C169" s="1" t="n">
        <v>46170</v>
      </c>
      <c r="D169" t="inlineStr">
        <is>
          <t>KALMAR LÄN</t>
        </is>
      </c>
      <c r="E169" t="inlineStr">
        <is>
          <t>VIMMERBY</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20054-2023</t>
        </is>
      </c>
      <c r="B170" s="1" t="n">
        <v>45054.6750462963</v>
      </c>
      <c r="C170" s="1" t="n">
        <v>46170</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10837-2023</t>
        </is>
      </c>
      <c r="B171" s="1" t="n">
        <v>44991.30547453704</v>
      </c>
      <c r="C171" s="1" t="n">
        <v>46170</v>
      </c>
      <c r="D171" t="inlineStr">
        <is>
          <t>KALMAR LÄN</t>
        </is>
      </c>
      <c r="E171" t="inlineStr">
        <is>
          <t>VIMMERBY</t>
        </is>
      </c>
      <c r="G171" t="n">
        <v>7.3</v>
      </c>
      <c r="H171" t="n">
        <v>0</v>
      </c>
      <c r="I171" t="n">
        <v>0</v>
      </c>
      <c r="J171" t="n">
        <v>0</v>
      </c>
      <c r="K171" t="n">
        <v>0</v>
      </c>
      <c r="L171" t="n">
        <v>0</v>
      </c>
      <c r="M171" t="n">
        <v>0</v>
      </c>
      <c r="N171" t="n">
        <v>0</v>
      </c>
      <c r="O171" t="n">
        <v>0</v>
      </c>
      <c r="P171" t="n">
        <v>0</v>
      </c>
      <c r="Q171" t="n">
        <v>0</v>
      </c>
      <c r="R171" s="2" t="inlineStr"/>
    </row>
    <row r="172" ht="15" customHeight="1">
      <c r="A172" t="inlineStr">
        <is>
          <t>A 10838-2023</t>
        </is>
      </c>
      <c r="B172" s="1" t="n">
        <v>44991</v>
      </c>
      <c r="C172" s="1" t="n">
        <v>46170</v>
      </c>
      <c r="D172" t="inlineStr">
        <is>
          <t>KALMAR LÄN</t>
        </is>
      </c>
      <c r="E172" t="inlineStr">
        <is>
          <t>VIMMERBY</t>
        </is>
      </c>
      <c r="G172" t="n">
        <v>5.1</v>
      </c>
      <c r="H172" t="n">
        <v>0</v>
      </c>
      <c r="I172" t="n">
        <v>0</v>
      </c>
      <c r="J172" t="n">
        <v>0</v>
      </c>
      <c r="K172" t="n">
        <v>0</v>
      </c>
      <c r="L172" t="n">
        <v>0</v>
      </c>
      <c r="M172" t="n">
        <v>0</v>
      </c>
      <c r="N172" t="n">
        <v>0</v>
      </c>
      <c r="O172" t="n">
        <v>0</v>
      </c>
      <c r="P172" t="n">
        <v>0</v>
      </c>
      <c r="Q172" t="n">
        <v>0</v>
      </c>
      <c r="R172" s="2" t="inlineStr"/>
    </row>
    <row r="173" ht="15" customHeight="1">
      <c r="A173" t="inlineStr">
        <is>
          <t>A 13290-2025</t>
        </is>
      </c>
      <c r="B173" s="1" t="n">
        <v>45735.56751157407</v>
      </c>
      <c r="C173" s="1" t="n">
        <v>46170</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19162-2023</t>
        </is>
      </c>
      <c r="B174" s="1" t="n">
        <v>45048.59699074074</v>
      </c>
      <c r="C174" s="1" t="n">
        <v>46170</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9475-2023</t>
        </is>
      </c>
      <c r="B175" s="1" t="n">
        <v>44981.58834490741</v>
      </c>
      <c r="C175" s="1" t="n">
        <v>46170</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11946-2025</t>
        </is>
      </c>
      <c r="B176" s="1" t="n">
        <v>45728.54832175926</v>
      </c>
      <c r="C176" s="1" t="n">
        <v>46170</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19537-2022</t>
        </is>
      </c>
      <c r="B177" s="1" t="n">
        <v>44693.62822916666</v>
      </c>
      <c r="C177" s="1" t="n">
        <v>46170</v>
      </c>
      <c r="D177" t="inlineStr">
        <is>
          <t>KALMAR LÄN</t>
        </is>
      </c>
      <c r="E177" t="inlineStr">
        <is>
          <t>VIMMERBY</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16983-2023</t>
        </is>
      </c>
      <c r="B178" s="1" t="n">
        <v>45033.76043981482</v>
      </c>
      <c r="C178" s="1" t="n">
        <v>46170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46144-2023</t>
        </is>
      </c>
      <c r="B179" s="1" t="n">
        <v>45196.57247685185</v>
      </c>
      <c r="C179" s="1" t="n">
        <v>46170</v>
      </c>
      <c r="D179" t="inlineStr">
        <is>
          <t>KALMAR LÄN</t>
        </is>
      </c>
      <c r="E179" t="inlineStr">
        <is>
          <t>VIMMERBY</t>
        </is>
      </c>
      <c r="G179" t="n">
        <v>6.5</v>
      </c>
      <c r="H179" t="n">
        <v>0</v>
      </c>
      <c r="I179" t="n">
        <v>0</v>
      </c>
      <c r="J179" t="n">
        <v>0</v>
      </c>
      <c r="K179" t="n">
        <v>0</v>
      </c>
      <c r="L179" t="n">
        <v>0</v>
      </c>
      <c r="M179" t="n">
        <v>0</v>
      </c>
      <c r="N179" t="n">
        <v>0</v>
      </c>
      <c r="O179" t="n">
        <v>0</v>
      </c>
      <c r="P179" t="n">
        <v>0</v>
      </c>
      <c r="Q179" t="n">
        <v>0</v>
      </c>
      <c r="R179" s="2" t="inlineStr"/>
    </row>
    <row r="180" ht="15" customHeight="1">
      <c r="A180" t="inlineStr">
        <is>
          <t>A 60951-2023</t>
        </is>
      </c>
      <c r="B180" s="1" t="n">
        <v>45261.44914351852</v>
      </c>
      <c r="C180" s="1" t="n">
        <v>46170</v>
      </c>
      <c r="D180" t="inlineStr">
        <is>
          <t>KALMAR LÄN</t>
        </is>
      </c>
      <c r="E180" t="inlineStr">
        <is>
          <t>VIMMERBY</t>
        </is>
      </c>
      <c r="G180" t="n">
        <v>4.3</v>
      </c>
      <c r="H180" t="n">
        <v>0</v>
      </c>
      <c r="I180" t="n">
        <v>0</v>
      </c>
      <c r="J180" t="n">
        <v>0</v>
      </c>
      <c r="K180" t="n">
        <v>0</v>
      </c>
      <c r="L180" t="n">
        <v>0</v>
      </c>
      <c r="M180" t="n">
        <v>0</v>
      </c>
      <c r="N180" t="n">
        <v>0</v>
      </c>
      <c r="O180" t="n">
        <v>0</v>
      </c>
      <c r="P180" t="n">
        <v>0</v>
      </c>
      <c r="Q180" t="n">
        <v>0</v>
      </c>
      <c r="R180" s="2" t="inlineStr"/>
    </row>
    <row r="181" ht="15" customHeight="1">
      <c r="A181" t="inlineStr">
        <is>
          <t>A 60292-2022</t>
        </is>
      </c>
      <c r="B181" s="1" t="n">
        <v>44910.54231481482</v>
      </c>
      <c r="C181" s="1" t="n">
        <v>46170</v>
      </c>
      <c r="D181" t="inlineStr">
        <is>
          <t>KALMAR LÄN</t>
        </is>
      </c>
      <c r="E181" t="inlineStr">
        <is>
          <t>VIMMERBY</t>
        </is>
      </c>
      <c r="G181" t="n">
        <v>4.4</v>
      </c>
      <c r="H181" t="n">
        <v>0</v>
      </c>
      <c r="I181" t="n">
        <v>0</v>
      </c>
      <c r="J181" t="n">
        <v>0</v>
      </c>
      <c r="K181" t="n">
        <v>0</v>
      </c>
      <c r="L181" t="n">
        <v>0</v>
      </c>
      <c r="M181" t="n">
        <v>0</v>
      </c>
      <c r="N181" t="n">
        <v>0</v>
      </c>
      <c r="O181" t="n">
        <v>0</v>
      </c>
      <c r="P181" t="n">
        <v>0</v>
      </c>
      <c r="Q181" t="n">
        <v>0</v>
      </c>
      <c r="R181" s="2" t="inlineStr"/>
    </row>
    <row r="182" ht="15" customHeight="1">
      <c r="A182" t="inlineStr">
        <is>
          <t>A 7485-2024</t>
        </is>
      </c>
      <c r="B182" s="1" t="n">
        <v>45346.67184027778</v>
      </c>
      <c r="C182" s="1" t="n">
        <v>46170</v>
      </c>
      <c r="D182" t="inlineStr">
        <is>
          <t>KALMAR LÄN</t>
        </is>
      </c>
      <c r="E182" t="inlineStr">
        <is>
          <t>VIMMERBY</t>
        </is>
      </c>
      <c r="G182" t="n">
        <v>1.9</v>
      </c>
      <c r="H182" t="n">
        <v>0</v>
      </c>
      <c r="I182" t="n">
        <v>0</v>
      </c>
      <c r="J182" t="n">
        <v>0</v>
      </c>
      <c r="K182" t="n">
        <v>0</v>
      </c>
      <c r="L182" t="n">
        <v>0</v>
      </c>
      <c r="M182" t="n">
        <v>0</v>
      </c>
      <c r="N182" t="n">
        <v>0</v>
      </c>
      <c r="O182" t="n">
        <v>0</v>
      </c>
      <c r="P182" t="n">
        <v>0</v>
      </c>
      <c r="Q182" t="n">
        <v>0</v>
      </c>
      <c r="R182" s="2" t="inlineStr"/>
    </row>
    <row r="183" ht="15" customHeight="1">
      <c r="A183" t="inlineStr">
        <is>
          <t>A 12590-2025</t>
        </is>
      </c>
      <c r="B183" s="1" t="n">
        <v>45732.79925925926</v>
      </c>
      <c r="C183" s="1" t="n">
        <v>46170</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35710-2023</t>
        </is>
      </c>
      <c r="B184" s="1" t="n">
        <v>45147.67096064815</v>
      </c>
      <c r="C184" s="1" t="n">
        <v>46170</v>
      </c>
      <c r="D184" t="inlineStr">
        <is>
          <t>KALMAR LÄN</t>
        </is>
      </c>
      <c r="E184" t="inlineStr">
        <is>
          <t>VIMMERBY</t>
        </is>
      </c>
      <c r="G184" t="n">
        <v>3.1</v>
      </c>
      <c r="H184" t="n">
        <v>0</v>
      </c>
      <c r="I184" t="n">
        <v>0</v>
      </c>
      <c r="J184" t="n">
        <v>0</v>
      </c>
      <c r="K184" t="n">
        <v>0</v>
      </c>
      <c r="L184" t="n">
        <v>0</v>
      </c>
      <c r="M184" t="n">
        <v>0</v>
      </c>
      <c r="N184" t="n">
        <v>0</v>
      </c>
      <c r="O184" t="n">
        <v>0</v>
      </c>
      <c r="P184" t="n">
        <v>0</v>
      </c>
      <c r="Q184" t="n">
        <v>0</v>
      </c>
      <c r="R184" s="2" t="inlineStr"/>
    </row>
    <row r="185" ht="15" customHeight="1">
      <c r="A185" t="inlineStr">
        <is>
          <t>A 52823-2024</t>
        </is>
      </c>
      <c r="B185" s="1" t="n">
        <v>45610.59094907407</v>
      </c>
      <c r="C185" s="1" t="n">
        <v>46170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11147-2023</t>
        </is>
      </c>
      <c r="B186" s="1" t="n">
        <v>44992</v>
      </c>
      <c r="C186" s="1" t="n">
        <v>46170</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19833-2023</t>
        </is>
      </c>
      <c r="B187" s="1" t="n">
        <v>45052</v>
      </c>
      <c r="C187" s="1" t="n">
        <v>46170</v>
      </c>
      <c r="D187" t="inlineStr">
        <is>
          <t>KALMAR LÄN</t>
        </is>
      </c>
      <c r="E187" t="inlineStr">
        <is>
          <t>VIMMERBY</t>
        </is>
      </c>
      <c r="G187" t="n">
        <v>6.7</v>
      </c>
      <c r="H187" t="n">
        <v>0</v>
      </c>
      <c r="I187" t="n">
        <v>0</v>
      </c>
      <c r="J187" t="n">
        <v>0</v>
      </c>
      <c r="K187" t="n">
        <v>0</v>
      </c>
      <c r="L187" t="n">
        <v>0</v>
      </c>
      <c r="M187" t="n">
        <v>0</v>
      </c>
      <c r="N187" t="n">
        <v>0</v>
      </c>
      <c r="O187" t="n">
        <v>0</v>
      </c>
      <c r="P187" t="n">
        <v>0</v>
      </c>
      <c r="Q187" t="n">
        <v>0</v>
      </c>
      <c r="R187" s="2" t="inlineStr"/>
    </row>
    <row r="188" ht="15" customHeight="1">
      <c r="A188" t="inlineStr">
        <is>
          <t>A 22399-2025</t>
        </is>
      </c>
      <c r="B188" s="1" t="n">
        <v>45786.52996527778</v>
      </c>
      <c r="C188" s="1" t="n">
        <v>46170</v>
      </c>
      <c r="D188" t="inlineStr">
        <is>
          <t>KALMAR LÄN</t>
        </is>
      </c>
      <c r="E188" t="inlineStr">
        <is>
          <t>VIMMERBY</t>
        </is>
      </c>
      <c r="G188" t="n">
        <v>2.1</v>
      </c>
      <c r="H188" t="n">
        <v>0</v>
      </c>
      <c r="I188" t="n">
        <v>0</v>
      </c>
      <c r="J188" t="n">
        <v>0</v>
      </c>
      <c r="K188" t="n">
        <v>0</v>
      </c>
      <c r="L188" t="n">
        <v>0</v>
      </c>
      <c r="M188" t="n">
        <v>0</v>
      </c>
      <c r="N188" t="n">
        <v>0</v>
      </c>
      <c r="O188" t="n">
        <v>0</v>
      </c>
      <c r="P188" t="n">
        <v>0</v>
      </c>
      <c r="Q188" t="n">
        <v>0</v>
      </c>
      <c r="R188" s="2" t="inlineStr"/>
    </row>
    <row r="189" ht="15" customHeight="1">
      <c r="A189" t="inlineStr">
        <is>
          <t>A 22397-2025</t>
        </is>
      </c>
      <c r="B189" s="1" t="n">
        <v>45786.52878472222</v>
      </c>
      <c r="C189" s="1" t="n">
        <v>46170</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25582-2024</t>
        </is>
      </c>
      <c r="B190" s="1" t="n">
        <v>45463</v>
      </c>
      <c r="C190" s="1" t="n">
        <v>46170</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14548-2024</t>
        </is>
      </c>
      <c r="B191" s="1" t="n">
        <v>45394.66887731481</v>
      </c>
      <c r="C191" s="1" t="n">
        <v>46170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585-2024</t>
        </is>
      </c>
      <c r="B192" s="1" t="n">
        <v>45299.62576388889</v>
      </c>
      <c r="C192" s="1" t="n">
        <v>46170</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56020-2024</t>
        </is>
      </c>
      <c r="B193" s="1" t="n">
        <v>45623.9525462963</v>
      </c>
      <c r="C193" s="1" t="n">
        <v>46170</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23252-2024</t>
        </is>
      </c>
      <c r="B194" s="1" t="n">
        <v>45453.36067129629</v>
      </c>
      <c r="C194" s="1" t="n">
        <v>46170</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57578-2024</t>
        </is>
      </c>
      <c r="B195" s="1" t="n">
        <v>45630.47564814815</v>
      </c>
      <c r="C195" s="1" t="n">
        <v>46170</v>
      </c>
      <c r="D195" t="inlineStr">
        <is>
          <t>KALMAR LÄN</t>
        </is>
      </c>
      <c r="E195" t="inlineStr">
        <is>
          <t>VIMMERBY</t>
        </is>
      </c>
      <c r="G195" t="n">
        <v>2.6</v>
      </c>
      <c r="H195" t="n">
        <v>0</v>
      </c>
      <c r="I195" t="n">
        <v>0</v>
      </c>
      <c r="J195" t="n">
        <v>0</v>
      </c>
      <c r="K195" t="n">
        <v>0</v>
      </c>
      <c r="L195" t="n">
        <v>0</v>
      </c>
      <c r="M195" t="n">
        <v>0</v>
      </c>
      <c r="N195" t="n">
        <v>0</v>
      </c>
      <c r="O195" t="n">
        <v>0</v>
      </c>
      <c r="P195" t="n">
        <v>0</v>
      </c>
      <c r="Q195" t="n">
        <v>0</v>
      </c>
      <c r="R195" s="2" t="inlineStr"/>
    </row>
    <row r="196" ht="15" customHeight="1">
      <c r="A196" t="inlineStr">
        <is>
          <t>A 15550-2023</t>
        </is>
      </c>
      <c r="B196" s="1" t="n">
        <v>45020</v>
      </c>
      <c r="C196" s="1" t="n">
        <v>46170</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51062-2025</t>
        </is>
      </c>
      <c r="B197" s="1" t="n">
        <v>45947.44685185186</v>
      </c>
      <c r="C197" s="1" t="n">
        <v>46170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11219-2023</t>
        </is>
      </c>
      <c r="B198" s="1" t="n">
        <v>44992.62498842592</v>
      </c>
      <c r="C198" s="1" t="n">
        <v>46170</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47855-2024</t>
        </is>
      </c>
      <c r="B199" s="1" t="n">
        <v>45588.66457175926</v>
      </c>
      <c r="C199" s="1" t="n">
        <v>46170</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6307-2025</t>
        </is>
      </c>
      <c r="B200" s="1" t="n">
        <v>45698.69016203703</v>
      </c>
      <c r="C200" s="1" t="n">
        <v>46170</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38604-2025</t>
        </is>
      </c>
      <c r="B201" s="1" t="n">
        <v>45884.50613425926</v>
      </c>
      <c r="C201" s="1" t="n">
        <v>46170</v>
      </c>
      <c r="D201" t="inlineStr">
        <is>
          <t>KALMAR LÄN</t>
        </is>
      </c>
      <c r="E201" t="inlineStr">
        <is>
          <t>VIMMERBY</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11442-2025</t>
        </is>
      </c>
      <c r="B202" s="1" t="n">
        <v>45726.62721064815</v>
      </c>
      <c r="C202" s="1" t="n">
        <v>46170</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172-2022</t>
        </is>
      </c>
      <c r="B203" s="1" t="n">
        <v>44564.62598379629</v>
      </c>
      <c r="C203" s="1" t="n">
        <v>46170</v>
      </c>
      <c r="D203" t="inlineStr">
        <is>
          <t>KALMAR LÄN</t>
        </is>
      </c>
      <c r="E203" t="inlineStr">
        <is>
          <t>VIMMERBY</t>
        </is>
      </c>
      <c r="G203" t="n">
        <v>2.1</v>
      </c>
      <c r="H203" t="n">
        <v>0</v>
      </c>
      <c r="I203" t="n">
        <v>0</v>
      </c>
      <c r="J203" t="n">
        <v>0</v>
      </c>
      <c r="K203" t="n">
        <v>0</v>
      </c>
      <c r="L203" t="n">
        <v>0</v>
      </c>
      <c r="M203" t="n">
        <v>0</v>
      </c>
      <c r="N203" t="n">
        <v>0</v>
      </c>
      <c r="O203" t="n">
        <v>0</v>
      </c>
      <c r="P203" t="n">
        <v>0</v>
      </c>
      <c r="Q203" t="n">
        <v>0</v>
      </c>
      <c r="R203" s="2" t="inlineStr"/>
    </row>
    <row r="204" ht="15" customHeight="1">
      <c r="A204" t="inlineStr">
        <is>
          <t>A 39584-2024</t>
        </is>
      </c>
      <c r="B204" s="1" t="n">
        <v>45552.36759259259</v>
      </c>
      <c r="C204" s="1" t="n">
        <v>46170</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51881-2024</t>
        </is>
      </c>
      <c r="B205" s="1" t="n">
        <v>45607.56773148148</v>
      </c>
      <c r="C205" s="1" t="n">
        <v>46170</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2596-2025</t>
        </is>
      </c>
      <c r="B206" s="1" t="n">
        <v>45674.71810185185</v>
      </c>
      <c r="C206" s="1" t="n">
        <v>46170</v>
      </c>
      <c r="D206" t="inlineStr">
        <is>
          <t>KALMAR LÄN</t>
        </is>
      </c>
      <c r="E206" t="inlineStr">
        <is>
          <t>VIMMERBY</t>
        </is>
      </c>
      <c r="G206" t="n">
        <v>9</v>
      </c>
      <c r="H206" t="n">
        <v>0</v>
      </c>
      <c r="I206" t="n">
        <v>0</v>
      </c>
      <c r="J206" t="n">
        <v>0</v>
      </c>
      <c r="K206" t="n">
        <v>0</v>
      </c>
      <c r="L206" t="n">
        <v>0</v>
      </c>
      <c r="M206" t="n">
        <v>0</v>
      </c>
      <c r="N206" t="n">
        <v>0</v>
      </c>
      <c r="O206" t="n">
        <v>0</v>
      </c>
      <c r="P206" t="n">
        <v>0</v>
      </c>
      <c r="Q206" t="n">
        <v>0</v>
      </c>
      <c r="R206" s="2" t="inlineStr"/>
    </row>
    <row r="207" ht="15" customHeight="1">
      <c r="A207" t="inlineStr">
        <is>
          <t>A 16734-2023</t>
        </is>
      </c>
      <c r="B207" s="1" t="n">
        <v>45030.71012731481</v>
      </c>
      <c r="C207" s="1" t="n">
        <v>46170</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20129-2024</t>
        </is>
      </c>
      <c r="B208" s="1" t="n">
        <v>45434.55831018519</v>
      </c>
      <c r="C208" s="1" t="n">
        <v>46170</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20137-2024</t>
        </is>
      </c>
      <c r="B209" s="1" t="n">
        <v>45434.56398148148</v>
      </c>
      <c r="C209" s="1" t="n">
        <v>46170</v>
      </c>
      <c r="D209" t="inlineStr">
        <is>
          <t>KALMAR LÄN</t>
        </is>
      </c>
      <c r="E209" t="inlineStr">
        <is>
          <t>VIMMERBY</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7456-2024</t>
        </is>
      </c>
      <c r="B210" s="1" t="n">
        <v>45345.83557870371</v>
      </c>
      <c r="C210" s="1" t="n">
        <v>46170</v>
      </c>
      <c r="D210" t="inlineStr">
        <is>
          <t>KALMAR LÄN</t>
        </is>
      </c>
      <c r="E210" t="inlineStr">
        <is>
          <t>VIMMERBY</t>
        </is>
      </c>
      <c r="G210" t="n">
        <v>4.1</v>
      </c>
      <c r="H210" t="n">
        <v>0</v>
      </c>
      <c r="I210" t="n">
        <v>0</v>
      </c>
      <c r="J210" t="n">
        <v>0</v>
      </c>
      <c r="K210" t="n">
        <v>0</v>
      </c>
      <c r="L210" t="n">
        <v>0</v>
      </c>
      <c r="M210" t="n">
        <v>0</v>
      </c>
      <c r="N210" t="n">
        <v>0</v>
      </c>
      <c r="O210" t="n">
        <v>0</v>
      </c>
      <c r="P210" t="n">
        <v>0</v>
      </c>
      <c r="Q210" t="n">
        <v>0</v>
      </c>
      <c r="R210" s="2" t="inlineStr"/>
    </row>
    <row r="211" ht="15" customHeight="1">
      <c r="A211" t="inlineStr">
        <is>
          <t>A 52324-2023</t>
        </is>
      </c>
      <c r="B211" s="1" t="n">
        <v>45224.64659722222</v>
      </c>
      <c r="C211" s="1" t="n">
        <v>46170</v>
      </c>
      <c r="D211" t="inlineStr">
        <is>
          <t>KALMAR LÄN</t>
        </is>
      </c>
      <c r="E211" t="inlineStr">
        <is>
          <t>VIMMERBY</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17988-2025</t>
        </is>
      </c>
      <c r="B212" s="1" t="n">
        <v>45761.39600694444</v>
      </c>
      <c r="C212" s="1" t="n">
        <v>46170</v>
      </c>
      <c r="D212" t="inlineStr">
        <is>
          <t>KALMAR LÄN</t>
        </is>
      </c>
      <c r="E212" t="inlineStr">
        <is>
          <t>VIMMERBY</t>
        </is>
      </c>
      <c r="G212" t="n">
        <v>2.8</v>
      </c>
      <c r="H212" t="n">
        <v>0</v>
      </c>
      <c r="I212" t="n">
        <v>0</v>
      </c>
      <c r="J212" t="n">
        <v>0</v>
      </c>
      <c r="K212" t="n">
        <v>0</v>
      </c>
      <c r="L212" t="n">
        <v>0</v>
      </c>
      <c r="M212" t="n">
        <v>0</v>
      </c>
      <c r="N212" t="n">
        <v>0</v>
      </c>
      <c r="O212" t="n">
        <v>0</v>
      </c>
      <c r="P212" t="n">
        <v>0</v>
      </c>
      <c r="Q212" t="n">
        <v>0</v>
      </c>
      <c r="R212" s="2" t="inlineStr"/>
    </row>
    <row r="213" ht="15" customHeight="1">
      <c r="A213" t="inlineStr">
        <is>
          <t>A 23341-2022</t>
        </is>
      </c>
      <c r="B213" s="1" t="n">
        <v>44720.53898148148</v>
      </c>
      <c r="C213" s="1" t="n">
        <v>46170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23394-2025</t>
        </is>
      </c>
      <c r="B214" s="1" t="n">
        <v>45791.89865740741</v>
      </c>
      <c r="C214" s="1" t="n">
        <v>46170</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37028-2024</t>
        </is>
      </c>
      <c r="B215" s="1" t="n">
        <v>45539.38744212963</v>
      </c>
      <c r="C215" s="1" t="n">
        <v>46170</v>
      </c>
      <c r="D215" t="inlineStr">
        <is>
          <t>KALMAR LÄN</t>
        </is>
      </c>
      <c r="E215" t="inlineStr">
        <is>
          <t>VIMMERBY</t>
        </is>
      </c>
      <c r="G215" t="n">
        <v>5.2</v>
      </c>
      <c r="H215" t="n">
        <v>0</v>
      </c>
      <c r="I215" t="n">
        <v>0</v>
      </c>
      <c r="J215" t="n">
        <v>0</v>
      </c>
      <c r="K215" t="n">
        <v>0</v>
      </c>
      <c r="L215" t="n">
        <v>0</v>
      </c>
      <c r="M215" t="n">
        <v>0</v>
      </c>
      <c r="N215" t="n">
        <v>0</v>
      </c>
      <c r="O215" t="n">
        <v>0</v>
      </c>
      <c r="P215" t="n">
        <v>0</v>
      </c>
      <c r="Q215" t="n">
        <v>0</v>
      </c>
      <c r="R215" s="2" t="inlineStr"/>
    </row>
    <row r="216" ht="15" customHeight="1">
      <c r="A216" t="inlineStr">
        <is>
          <t>A 29726-2025</t>
        </is>
      </c>
      <c r="B216" s="1" t="n">
        <v>45825.57805555555</v>
      </c>
      <c r="C216" s="1" t="n">
        <v>46170</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6668-2023</t>
        </is>
      </c>
      <c r="B217" s="1" t="n">
        <v>44966</v>
      </c>
      <c r="C217" s="1" t="n">
        <v>46170</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29168-2024</t>
        </is>
      </c>
      <c r="B218" s="1" t="n">
        <v>45482.49870370371</v>
      </c>
      <c r="C218" s="1" t="n">
        <v>46170</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51990-2025</t>
        </is>
      </c>
      <c r="B219" s="1" t="n">
        <v>45952.58061342593</v>
      </c>
      <c r="C219" s="1" t="n">
        <v>46170</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55236-2023</t>
        </is>
      </c>
      <c r="B220" s="1" t="n">
        <v>45237.63225694445</v>
      </c>
      <c r="C220" s="1" t="n">
        <v>46170</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55245-2023</t>
        </is>
      </c>
      <c r="B221" s="1" t="n">
        <v>45237.64408564815</v>
      </c>
      <c r="C221" s="1" t="n">
        <v>46170</v>
      </c>
      <c r="D221" t="inlineStr">
        <is>
          <t>KALMAR LÄN</t>
        </is>
      </c>
      <c r="E221" t="inlineStr">
        <is>
          <t>VIMMERBY</t>
        </is>
      </c>
      <c r="G221" t="n">
        <v>1.3</v>
      </c>
      <c r="H221" t="n">
        <v>0</v>
      </c>
      <c r="I221" t="n">
        <v>0</v>
      </c>
      <c r="J221" t="n">
        <v>0</v>
      </c>
      <c r="K221" t="n">
        <v>0</v>
      </c>
      <c r="L221" t="n">
        <v>0</v>
      </c>
      <c r="M221" t="n">
        <v>0</v>
      </c>
      <c r="N221" t="n">
        <v>0</v>
      </c>
      <c r="O221" t="n">
        <v>0</v>
      </c>
      <c r="P221" t="n">
        <v>0</v>
      </c>
      <c r="Q221" t="n">
        <v>0</v>
      </c>
      <c r="R221" s="2" t="inlineStr"/>
    </row>
    <row r="222" ht="15" customHeight="1">
      <c r="A222" t="inlineStr">
        <is>
          <t>A 36055-2024</t>
        </is>
      </c>
      <c r="B222" s="1" t="n">
        <v>45533.63056712963</v>
      </c>
      <c r="C222" s="1" t="n">
        <v>46170</v>
      </c>
      <c r="D222" t="inlineStr">
        <is>
          <t>KALMAR LÄN</t>
        </is>
      </c>
      <c r="E222" t="inlineStr">
        <is>
          <t>VIMMERBY</t>
        </is>
      </c>
      <c r="F222" t="inlineStr">
        <is>
          <t>Kommuner</t>
        </is>
      </c>
      <c r="G222" t="n">
        <v>1.9</v>
      </c>
      <c r="H222" t="n">
        <v>0</v>
      </c>
      <c r="I222" t="n">
        <v>0</v>
      </c>
      <c r="J222" t="n">
        <v>0</v>
      </c>
      <c r="K222" t="n">
        <v>0</v>
      </c>
      <c r="L222" t="n">
        <v>0</v>
      </c>
      <c r="M222" t="n">
        <v>0</v>
      </c>
      <c r="N222" t="n">
        <v>0</v>
      </c>
      <c r="O222" t="n">
        <v>0</v>
      </c>
      <c r="P222" t="n">
        <v>0</v>
      </c>
      <c r="Q222" t="n">
        <v>0</v>
      </c>
      <c r="R222" s="2" t="inlineStr"/>
    </row>
    <row r="223" ht="15" customHeight="1">
      <c r="A223" t="inlineStr">
        <is>
          <t>A 23984-2025</t>
        </is>
      </c>
      <c r="B223" s="1" t="n">
        <v>45796</v>
      </c>
      <c r="C223" s="1" t="n">
        <v>46170</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39801-2025</t>
        </is>
      </c>
      <c r="B224" s="1" t="n">
        <v>45891.50216435185</v>
      </c>
      <c r="C224" s="1" t="n">
        <v>46170</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39807-2025</t>
        </is>
      </c>
      <c r="B225" s="1" t="n">
        <v>45891.50986111111</v>
      </c>
      <c r="C225" s="1" t="n">
        <v>46170</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39736-2025</t>
        </is>
      </c>
      <c r="B226" s="1" t="n">
        <v>45891</v>
      </c>
      <c r="C226" s="1" t="n">
        <v>46170</v>
      </c>
      <c r="D226" t="inlineStr">
        <is>
          <t>KALMAR LÄN</t>
        </is>
      </c>
      <c r="E226" t="inlineStr">
        <is>
          <t>VIMMERBY</t>
        </is>
      </c>
      <c r="G226" t="n">
        <v>12.8</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46170</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845-2023</t>
        </is>
      </c>
      <c r="B228" s="1" t="n">
        <v>44931</v>
      </c>
      <c r="C228" s="1" t="n">
        <v>46170</v>
      </c>
      <c r="D228" t="inlineStr">
        <is>
          <t>KALMAR LÄN</t>
        </is>
      </c>
      <c r="E228" t="inlineStr">
        <is>
          <t>VIMMERBY</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39803-2025</t>
        </is>
      </c>
      <c r="B229" s="1" t="n">
        <v>45891.50525462963</v>
      </c>
      <c r="C229" s="1" t="n">
        <v>46170</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39889-2025</t>
        </is>
      </c>
      <c r="B230" s="1" t="n">
        <v>45891</v>
      </c>
      <c r="C230" s="1" t="n">
        <v>46170</v>
      </c>
      <c r="D230" t="inlineStr">
        <is>
          <t>KALMAR LÄN</t>
        </is>
      </c>
      <c r="E230" t="inlineStr">
        <is>
          <t>VIMMERBY</t>
        </is>
      </c>
      <c r="G230" t="n">
        <v>4.5</v>
      </c>
      <c r="H230" t="n">
        <v>0</v>
      </c>
      <c r="I230" t="n">
        <v>0</v>
      </c>
      <c r="J230" t="n">
        <v>0</v>
      </c>
      <c r="K230" t="n">
        <v>0</v>
      </c>
      <c r="L230" t="n">
        <v>0</v>
      </c>
      <c r="M230" t="n">
        <v>0</v>
      </c>
      <c r="N230" t="n">
        <v>0</v>
      </c>
      <c r="O230" t="n">
        <v>0</v>
      </c>
      <c r="P230" t="n">
        <v>0</v>
      </c>
      <c r="Q230" t="n">
        <v>0</v>
      </c>
      <c r="R230" s="2" t="inlineStr"/>
    </row>
    <row r="231" ht="15" customHeight="1">
      <c r="A231" t="inlineStr">
        <is>
          <t>A 35082-2024</t>
        </is>
      </c>
      <c r="B231" s="1" t="n">
        <v>45527.68784722222</v>
      </c>
      <c r="C231" s="1" t="n">
        <v>46170</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51278-2024</t>
        </is>
      </c>
      <c r="B232" s="1" t="n">
        <v>45603.74959490741</v>
      </c>
      <c r="C232" s="1" t="n">
        <v>46170</v>
      </c>
      <c r="D232" t="inlineStr">
        <is>
          <t>KALMAR LÄN</t>
        </is>
      </c>
      <c r="E232" t="inlineStr">
        <is>
          <t>VIMMERBY</t>
        </is>
      </c>
      <c r="G232" t="n">
        <v>3.4</v>
      </c>
      <c r="H232" t="n">
        <v>0</v>
      </c>
      <c r="I232" t="n">
        <v>0</v>
      </c>
      <c r="J232" t="n">
        <v>0</v>
      </c>
      <c r="K232" t="n">
        <v>0</v>
      </c>
      <c r="L232" t="n">
        <v>0</v>
      </c>
      <c r="M232" t="n">
        <v>0</v>
      </c>
      <c r="N232" t="n">
        <v>0</v>
      </c>
      <c r="O232" t="n">
        <v>0</v>
      </c>
      <c r="P232" t="n">
        <v>0</v>
      </c>
      <c r="Q232" t="n">
        <v>0</v>
      </c>
      <c r="R232" s="2" t="inlineStr"/>
    </row>
    <row r="233" ht="15" customHeight="1">
      <c r="A233" t="inlineStr">
        <is>
          <t>A 9456-2025</t>
        </is>
      </c>
      <c r="B233" s="1" t="n">
        <v>45715.44159722222</v>
      </c>
      <c r="C233" s="1" t="n">
        <v>46170</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11111-2023</t>
        </is>
      </c>
      <c r="B234" s="1" t="n">
        <v>44992.4255787037</v>
      </c>
      <c r="C234" s="1" t="n">
        <v>46170</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6321-2023</t>
        </is>
      </c>
      <c r="B235" s="1" t="n">
        <v>44965.4815162037</v>
      </c>
      <c r="C235" s="1" t="n">
        <v>46170</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4624-2024</t>
        </is>
      </c>
      <c r="B236" s="1" t="n">
        <v>45328.38755787037</v>
      </c>
      <c r="C236" s="1" t="n">
        <v>46170</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40925-2025</t>
        </is>
      </c>
      <c r="B237" s="1" t="n">
        <v>45897.64208333333</v>
      </c>
      <c r="C237" s="1" t="n">
        <v>46170</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40730-2024</t>
        </is>
      </c>
      <c r="B238" s="1" t="n">
        <v>45558.44914351852</v>
      </c>
      <c r="C238" s="1" t="n">
        <v>46170</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44582-2024</t>
        </is>
      </c>
      <c r="B239" s="1" t="n">
        <v>45574.49298611111</v>
      </c>
      <c r="C239" s="1" t="n">
        <v>46170</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40921-2025</t>
        </is>
      </c>
      <c r="B240" s="1" t="n">
        <v>45897.63520833333</v>
      </c>
      <c r="C240" s="1" t="n">
        <v>46170</v>
      </c>
      <c r="D240" t="inlineStr">
        <is>
          <t>KALMAR LÄN</t>
        </is>
      </c>
      <c r="E240" t="inlineStr">
        <is>
          <t>VIMMERBY</t>
        </is>
      </c>
      <c r="G240" t="n">
        <v>4.2</v>
      </c>
      <c r="H240" t="n">
        <v>0</v>
      </c>
      <c r="I240" t="n">
        <v>0</v>
      </c>
      <c r="J240" t="n">
        <v>0</v>
      </c>
      <c r="K240" t="n">
        <v>0</v>
      </c>
      <c r="L240" t="n">
        <v>0</v>
      </c>
      <c r="M240" t="n">
        <v>0</v>
      </c>
      <c r="N240" t="n">
        <v>0</v>
      </c>
      <c r="O240" t="n">
        <v>0</v>
      </c>
      <c r="P240" t="n">
        <v>0</v>
      </c>
      <c r="Q240" t="n">
        <v>0</v>
      </c>
      <c r="R240" s="2" t="inlineStr"/>
    </row>
    <row r="241" ht="15" customHeight="1">
      <c r="A241" t="inlineStr">
        <is>
          <t>A 2157-2024</t>
        </is>
      </c>
      <c r="B241" s="1" t="n">
        <v>45309.59487268519</v>
      </c>
      <c r="C241" s="1" t="n">
        <v>46170</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51993-2025</t>
        </is>
      </c>
      <c r="B242" s="1" t="n">
        <v>45952.58194444444</v>
      </c>
      <c r="C242" s="1" t="n">
        <v>46170</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49461-2022</t>
        </is>
      </c>
      <c r="B243" s="1" t="n">
        <v>44861</v>
      </c>
      <c r="C243" s="1" t="n">
        <v>46170</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15494-2024</t>
        </is>
      </c>
      <c r="B244" s="1" t="n">
        <v>45401.53033564815</v>
      </c>
      <c r="C244" s="1" t="n">
        <v>46170</v>
      </c>
      <c r="D244" t="inlineStr">
        <is>
          <t>KALMAR LÄN</t>
        </is>
      </c>
      <c r="E244" t="inlineStr">
        <is>
          <t>VIMMERBY</t>
        </is>
      </c>
      <c r="G244" t="n">
        <v>3.2</v>
      </c>
      <c r="H244" t="n">
        <v>0</v>
      </c>
      <c r="I244" t="n">
        <v>0</v>
      </c>
      <c r="J244" t="n">
        <v>0</v>
      </c>
      <c r="K244" t="n">
        <v>0</v>
      </c>
      <c r="L244" t="n">
        <v>0</v>
      </c>
      <c r="M244" t="n">
        <v>0</v>
      </c>
      <c r="N244" t="n">
        <v>0</v>
      </c>
      <c r="O244" t="n">
        <v>0</v>
      </c>
      <c r="P244" t="n">
        <v>0</v>
      </c>
      <c r="Q244" t="n">
        <v>0</v>
      </c>
      <c r="R244" s="2" t="inlineStr"/>
    </row>
    <row r="245" ht="15" customHeight="1">
      <c r="A245" t="inlineStr">
        <is>
          <t>A 694-2024</t>
        </is>
      </c>
      <c r="B245" s="1" t="n">
        <v>45300.3794212963</v>
      </c>
      <c r="C245" s="1" t="n">
        <v>46170</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59598-2023</t>
        </is>
      </c>
      <c r="B246" s="1" t="n">
        <v>45254.62489583333</v>
      </c>
      <c r="C246" s="1" t="n">
        <v>46170</v>
      </c>
      <c r="D246" t="inlineStr">
        <is>
          <t>KALMAR LÄN</t>
        </is>
      </c>
      <c r="E246" t="inlineStr">
        <is>
          <t>VIMMERBY</t>
        </is>
      </c>
      <c r="F246" t="inlineStr">
        <is>
          <t>Övriga Aktiebolag</t>
        </is>
      </c>
      <c r="G246" t="n">
        <v>4</v>
      </c>
      <c r="H246" t="n">
        <v>0</v>
      </c>
      <c r="I246" t="n">
        <v>0</v>
      </c>
      <c r="J246" t="n">
        <v>0</v>
      </c>
      <c r="K246" t="n">
        <v>0</v>
      </c>
      <c r="L246" t="n">
        <v>0</v>
      </c>
      <c r="M246" t="n">
        <v>0</v>
      </c>
      <c r="N246" t="n">
        <v>0</v>
      </c>
      <c r="O246" t="n">
        <v>0</v>
      </c>
      <c r="P246" t="n">
        <v>0</v>
      </c>
      <c r="Q246" t="n">
        <v>0</v>
      </c>
      <c r="R246" s="2" t="inlineStr"/>
    </row>
    <row r="247" ht="15" customHeight="1">
      <c r="A247" t="inlineStr">
        <is>
          <t>A 7944-2024</t>
        </is>
      </c>
      <c r="B247" s="1" t="n">
        <v>45350.53306712963</v>
      </c>
      <c r="C247" s="1" t="n">
        <v>46170</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41224-2025</t>
        </is>
      </c>
      <c r="B248" s="1" t="n">
        <v>45898.58861111111</v>
      </c>
      <c r="C248" s="1" t="n">
        <v>46170</v>
      </c>
      <c r="D248" t="inlineStr">
        <is>
          <t>KALMAR LÄN</t>
        </is>
      </c>
      <c r="E248" t="inlineStr">
        <is>
          <t>VIMMERBY</t>
        </is>
      </c>
      <c r="G248" t="n">
        <v>4.4</v>
      </c>
      <c r="H248" t="n">
        <v>0</v>
      </c>
      <c r="I248" t="n">
        <v>0</v>
      </c>
      <c r="J248" t="n">
        <v>0</v>
      </c>
      <c r="K248" t="n">
        <v>0</v>
      </c>
      <c r="L248" t="n">
        <v>0</v>
      </c>
      <c r="M248" t="n">
        <v>0</v>
      </c>
      <c r="N248" t="n">
        <v>0</v>
      </c>
      <c r="O248" t="n">
        <v>0</v>
      </c>
      <c r="P248" t="n">
        <v>0</v>
      </c>
      <c r="Q248" t="n">
        <v>0</v>
      </c>
      <c r="R248" s="2" t="inlineStr"/>
    </row>
    <row r="249" ht="15" customHeight="1">
      <c r="A249" t="inlineStr">
        <is>
          <t>A 21496-2023</t>
        </is>
      </c>
      <c r="B249" s="1" t="n">
        <v>45063.49936342592</v>
      </c>
      <c r="C249" s="1" t="n">
        <v>46170</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41591-2025</t>
        </is>
      </c>
      <c r="B250" s="1" t="n">
        <v>45901.6327662037</v>
      </c>
      <c r="C250" s="1" t="n">
        <v>46170</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40971-2025</t>
        </is>
      </c>
      <c r="B251" s="1" t="n">
        <v>45897.88836805556</v>
      </c>
      <c r="C251" s="1" t="n">
        <v>46170</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41589-2025</t>
        </is>
      </c>
      <c r="B252" s="1" t="n">
        <v>45901.63219907408</v>
      </c>
      <c r="C252" s="1" t="n">
        <v>46170</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40970-2025</t>
        </is>
      </c>
      <c r="B253" s="1" t="n">
        <v>45897.88706018519</v>
      </c>
      <c r="C253" s="1" t="n">
        <v>46170</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40973-2025</t>
        </is>
      </c>
      <c r="B254" s="1" t="n">
        <v>45897.89737268518</v>
      </c>
      <c r="C254" s="1" t="n">
        <v>46170</v>
      </c>
      <c r="D254" t="inlineStr">
        <is>
          <t>KALMAR LÄN</t>
        </is>
      </c>
      <c r="E254" t="inlineStr">
        <is>
          <t>VIMMERBY</t>
        </is>
      </c>
      <c r="G254" t="n">
        <v>1.8</v>
      </c>
      <c r="H254" t="n">
        <v>0</v>
      </c>
      <c r="I254" t="n">
        <v>0</v>
      </c>
      <c r="J254" t="n">
        <v>0</v>
      </c>
      <c r="K254" t="n">
        <v>0</v>
      </c>
      <c r="L254" t="n">
        <v>0</v>
      </c>
      <c r="M254" t="n">
        <v>0</v>
      </c>
      <c r="N254" t="n">
        <v>0</v>
      </c>
      <c r="O254" t="n">
        <v>0</v>
      </c>
      <c r="P254" t="n">
        <v>0</v>
      </c>
      <c r="Q254" t="n">
        <v>0</v>
      </c>
      <c r="R254" s="2" t="inlineStr"/>
    </row>
    <row r="255" ht="15" customHeight="1">
      <c r="A255" t="inlineStr">
        <is>
          <t>A 58724-2024</t>
        </is>
      </c>
      <c r="B255" s="1" t="n">
        <v>45635.66409722222</v>
      </c>
      <c r="C255" s="1" t="n">
        <v>46170</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46170</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26039-2025</t>
        </is>
      </c>
      <c r="B257" s="1" t="n">
        <v>45804.6953587963</v>
      </c>
      <c r="C257" s="1" t="n">
        <v>46170</v>
      </c>
      <c r="D257" t="inlineStr">
        <is>
          <t>KALMAR LÄN</t>
        </is>
      </c>
      <c r="E257" t="inlineStr">
        <is>
          <t>VIMMERBY</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34090-2025</t>
        </is>
      </c>
      <c r="B258" s="1" t="n">
        <v>45845</v>
      </c>
      <c r="C258" s="1" t="n">
        <v>46170</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26046-2025</t>
        </is>
      </c>
      <c r="B259" s="1" t="n">
        <v>45804.708125</v>
      </c>
      <c r="C259" s="1" t="n">
        <v>46170</v>
      </c>
      <c r="D259" t="inlineStr">
        <is>
          <t>KALMAR LÄN</t>
        </is>
      </c>
      <c r="E259" t="inlineStr">
        <is>
          <t>VIMMERBY</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29783-2024</t>
        </is>
      </c>
      <c r="B260" s="1" t="n">
        <v>45485.45778935185</v>
      </c>
      <c r="C260" s="1" t="n">
        <v>46170</v>
      </c>
      <c r="D260" t="inlineStr">
        <is>
          <t>KALMAR LÄN</t>
        </is>
      </c>
      <c r="E260" t="inlineStr">
        <is>
          <t>VIMMERBY</t>
        </is>
      </c>
      <c r="G260" t="n">
        <v>3.1</v>
      </c>
      <c r="H260" t="n">
        <v>0</v>
      </c>
      <c r="I260" t="n">
        <v>0</v>
      </c>
      <c r="J260" t="n">
        <v>0</v>
      </c>
      <c r="K260" t="n">
        <v>0</v>
      </c>
      <c r="L260" t="n">
        <v>0</v>
      </c>
      <c r="M260" t="n">
        <v>0</v>
      </c>
      <c r="N260" t="n">
        <v>0</v>
      </c>
      <c r="O260" t="n">
        <v>0</v>
      </c>
      <c r="P260" t="n">
        <v>0</v>
      </c>
      <c r="Q260" t="n">
        <v>0</v>
      </c>
      <c r="R260" s="2" t="inlineStr"/>
    </row>
    <row r="261" ht="15" customHeight="1">
      <c r="A261" t="inlineStr">
        <is>
          <t>A 26124-2025</t>
        </is>
      </c>
      <c r="B261" s="1" t="n">
        <v>45805.39247685186</v>
      </c>
      <c r="C261" s="1" t="n">
        <v>46170</v>
      </c>
      <c r="D261" t="inlineStr">
        <is>
          <t>KALMAR LÄN</t>
        </is>
      </c>
      <c r="E261" t="inlineStr">
        <is>
          <t>VIMMERBY</t>
        </is>
      </c>
      <c r="G261" t="n">
        <v>6.6</v>
      </c>
      <c r="H261" t="n">
        <v>0</v>
      </c>
      <c r="I261" t="n">
        <v>0</v>
      </c>
      <c r="J261" t="n">
        <v>0</v>
      </c>
      <c r="K261" t="n">
        <v>0</v>
      </c>
      <c r="L261" t="n">
        <v>0</v>
      </c>
      <c r="M261" t="n">
        <v>0</v>
      </c>
      <c r="N261" t="n">
        <v>0</v>
      </c>
      <c r="O261" t="n">
        <v>0</v>
      </c>
      <c r="P261" t="n">
        <v>0</v>
      </c>
      <c r="Q261" t="n">
        <v>0</v>
      </c>
      <c r="R261" s="2" t="inlineStr"/>
    </row>
    <row r="262" ht="15" customHeight="1">
      <c r="A262" t="inlineStr">
        <is>
          <t>A 26207-2025</t>
        </is>
      </c>
      <c r="B262" s="1" t="n">
        <v>45805.52983796296</v>
      </c>
      <c r="C262" s="1" t="n">
        <v>46170</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46170</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26254-2025</t>
        </is>
      </c>
      <c r="B264" s="1" t="n">
        <v>45805</v>
      </c>
      <c r="C264" s="1" t="n">
        <v>46170</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35198-2023</t>
        </is>
      </c>
      <c r="B265" s="1" t="n">
        <v>45145</v>
      </c>
      <c r="C265" s="1" t="n">
        <v>46170</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41735-2025</t>
        </is>
      </c>
      <c r="B266" s="1" t="n">
        <v>45902.47164351852</v>
      </c>
      <c r="C266" s="1" t="n">
        <v>46170</v>
      </c>
      <c r="D266" t="inlineStr">
        <is>
          <t>KALMAR LÄN</t>
        </is>
      </c>
      <c r="E266" t="inlineStr">
        <is>
          <t>VIMMERBY</t>
        </is>
      </c>
      <c r="G266" t="n">
        <v>3</v>
      </c>
      <c r="H266" t="n">
        <v>0</v>
      </c>
      <c r="I266" t="n">
        <v>0</v>
      </c>
      <c r="J266" t="n">
        <v>0</v>
      </c>
      <c r="K266" t="n">
        <v>0</v>
      </c>
      <c r="L266" t="n">
        <v>0</v>
      </c>
      <c r="M266" t="n">
        <v>0</v>
      </c>
      <c r="N266" t="n">
        <v>0</v>
      </c>
      <c r="O266" t="n">
        <v>0</v>
      </c>
      <c r="P266" t="n">
        <v>0</v>
      </c>
      <c r="Q266" t="n">
        <v>0</v>
      </c>
      <c r="R266" s="2" t="inlineStr"/>
    </row>
    <row r="267" ht="15" customHeight="1">
      <c r="A267" t="inlineStr">
        <is>
          <t>A 52465-2025</t>
        </is>
      </c>
      <c r="B267" s="1" t="n">
        <v>45954.44543981482</v>
      </c>
      <c r="C267" s="1" t="n">
        <v>46170</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43853-2023</t>
        </is>
      </c>
      <c r="B268" s="1" t="n">
        <v>45187.60813657408</v>
      </c>
      <c r="C268" s="1" t="n">
        <v>46170</v>
      </c>
      <c r="D268" t="inlineStr">
        <is>
          <t>KALMAR LÄN</t>
        </is>
      </c>
      <c r="E268" t="inlineStr">
        <is>
          <t>VIMMERBY</t>
        </is>
      </c>
      <c r="G268" t="n">
        <v>1.4</v>
      </c>
      <c r="H268" t="n">
        <v>0</v>
      </c>
      <c r="I268" t="n">
        <v>0</v>
      </c>
      <c r="J268" t="n">
        <v>0</v>
      </c>
      <c r="K268" t="n">
        <v>0</v>
      </c>
      <c r="L268" t="n">
        <v>0</v>
      </c>
      <c r="M268" t="n">
        <v>0</v>
      </c>
      <c r="N268" t="n">
        <v>0</v>
      </c>
      <c r="O268" t="n">
        <v>0</v>
      </c>
      <c r="P268" t="n">
        <v>0</v>
      </c>
      <c r="Q268" t="n">
        <v>0</v>
      </c>
      <c r="R268" s="2" t="inlineStr"/>
    </row>
    <row r="269" ht="15" customHeight="1">
      <c r="A269" t="inlineStr">
        <is>
          <t>A 9511-2023</t>
        </is>
      </c>
      <c r="B269" s="1" t="n">
        <v>44981.64725694444</v>
      </c>
      <c r="C269" s="1" t="n">
        <v>46170</v>
      </c>
      <c r="D269" t="inlineStr">
        <is>
          <t>KALMAR LÄN</t>
        </is>
      </c>
      <c r="E269" t="inlineStr">
        <is>
          <t>VIMMERBY</t>
        </is>
      </c>
      <c r="G269" t="n">
        <v>3.5</v>
      </c>
      <c r="H269" t="n">
        <v>0</v>
      </c>
      <c r="I269" t="n">
        <v>0</v>
      </c>
      <c r="J269" t="n">
        <v>0</v>
      </c>
      <c r="K269" t="n">
        <v>0</v>
      </c>
      <c r="L269" t="n">
        <v>0</v>
      </c>
      <c r="M269" t="n">
        <v>0</v>
      </c>
      <c r="N269" t="n">
        <v>0</v>
      </c>
      <c r="O269" t="n">
        <v>0</v>
      </c>
      <c r="P269" t="n">
        <v>0</v>
      </c>
      <c r="Q269" t="n">
        <v>0</v>
      </c>
      <c r="R269" s="2" t="inlineStr"/>
    </row>
    <row r="270" ht="15" customHeight="1">
      <c r="A270" t="inlineStr">
        <is>
          <t>A 38757-2023</t>
        </is>
      </c>
      <c r="B270" s="1" t="n">
        <v>45163.41376157408</v>
      </c>
      <c r="C270" s="1" t="n">
        <v>46170</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52451-2025</t>
        </is>
      </c>
      <c r="B271" s="1" t="n">
        <v>45954.42326388889</v>
      </c>
      <c r="C271" s="1" t="n">
        <v>46170</v>
      </c>
      <c r="D271" t="inlineStr">
        <is>
          <t>KALMAR LÄN</t>
        </is>
      </c>
      <c r="E271" t="inlineStr">
        <is>
          <t>VIMMERBY</t>
        </is>
      </c>
      <c r="G271" t="n">
        <v>2.8</v>
      </c>
      <c r="H271" t="n">
        <v>0</v>
      </c>
      <c r="I271" t="n">
        <v>0</v>
      </c>
      <c r="J271" t="n">
        <v>0</v>
      </c>
      <c r="K271" t="n">
        <v>0</v>
      </c>
      <c r="L271" t="n">
        <v>0</v>
      </c>
      <c r="M271" t="n">
        <v>0</v>
      </c>
      <c r="N271" t="n">
        <v>0</v>
      </c>
      <c r="O271" t="n">
        <v>0</v>
      </c>
      <c r="P271" t="n">
        <v>0</v>
      </c>
      <c r="Q271" t="n">
        <v>0</v>
      </c>
      <c r="R271" s="2" t="inlineStr"/>
    </row>
    <row r="272" ht="15" customHeight="1">
      <c r="A272" t="inlineStr">
        <is>
          <t>A 52516-2025</t>
        </is>
      </c>
      <c r="B272" s="1" t="n">
        <v>45954.51412037037</v>
      </c>
      <c r="C272" s="1" t="n">
        <v>46170</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52466-2025</t>
        </is>
      </c>
      <c r="B273" s="1" t="n">
        <v>45954.44707175926</v>
      </c>
      <c r="C273" s="1" t="n">
        <v>46170</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52473-2025</t>
        </is>
      </c>
      <c r="B274" s="1" t="n">
        <v>45954.45947916667</v>
      </c>
      <c r="C274" s="1" t="n">
        <v>46170</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52480-2025</t>
        </is>
      </c>
      <c r="B275" s="1" t="n">
        <v>45954.47172453703</v>
      </c>
      <c r="C275" s="1" t="n">
        <v>46170</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52475-2025</t>
        </is>
      </c>
      <c r="B276" s="1" t="n">
        <v>45954.468125</v>
      </c>
      <c r="C276" s="1" t="n">
        <v>46170</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29973-2023</t>
        </is>
      </c>
      <c r="B277" s="1" t="n">
        <v>45108.703125</v>
      </c>
      <c r="C277" s="1" t="n">
        <v>46170</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64143-2021</t>
        </is>
      </c>
      <c r="B278" s="1" t="n">
        <v>44510.52157407408</v>
      </c>
      <c r="C278" s="1" t="n">
        <v>46170</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53396-2025</t>
        </is>
      </c>
      <c r="B279" s="1" t="n">
        <v>45959.55577546296</v>
      </c>
      <c r="C279" s="1" t="n">
        <v>46170</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53416-2025</t>
        </is>
      </c>
      <c r="B280" s="1" t="n">
        <v>45959.58387731481</v>
      </c>
      <c r="C280" s="1" t="n">
        <v>46170</v>
      </c>
      <c r="D280" t="inlineStr">
        <is>
          <t>KALMAR LÄN</t>
        </is>
      </c>
      <c r="E280" t="inlineStr">
        <is>
          <t>VIMMERBY</t>
        </is>
      </c>
      <c r="G280" t="n">
        <v>4.4</v>
      </c>
      <c r="H280" t="n">
        <v>0</v>
      </c>
      <c r="I280" t="n">
        <v>0</v>
      </c>
      <c r="J280" t="n">
        <v>0</v>
      </c>
      <c r="K280" t="n">
        <v>0</v>
      </c>
      <c r="L280" t="n">
        <v>0</v>
      </c>
      <c r="M280" t="n">
        <v>0</v>
      </c>
      <c r="N280" t="n">
        <v>0</v>
      </c>
      <c r="O280" t="n">
        <v>0</v>
      </c>
      <c r="P280" t="n">
        <v>0</v>
      </c>
      <c r="Q280" t="n">
        <v>0</v>
      </c>
      <c r="R280" s="2" t="inlineStr"/>
    </row>
    <row r="281" ht="15" customHeight="1">
      <c r="A281" t="inlineStr">
        <is>
          <t>A 53398-2025</t>
        </is>
      </c>
      <c r="B281" s="1" t="n">
        <v>45959.56247685185</v>
      </c>
      <c r="C281" s="1" t="n">
        <v>46170</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73938-2021</t>
        </is>
      </c>
      <c r="B282" s="1" t="n">
        <v>44553</v>
      </c>
      <c r="C282" s="1" t="n">
        <v>46170</v>
      </c>
      <c r="D282" t="inlineStr">
        <is>
          <t>KALMAR LÄN</t>
        </is>
      </c>
      <c r="E282" t="inlineStr">
        <is>
          <t>VIMMERBY</t>
        </is>
      </c>
      <c r="G282" t="n">
        <v>3.2</v>
      </c>
      <c r="H282" t="n">
        <v>0</v>
      </c>
      <c r="I282" t="n">
        <v>0</v>
      </c>
      <c r="J282" t="n">
        <v>0</v>
      </c>
      <c r="K282" t="n">
        <v>0</v>
      </c>
      <c r="L282" t="n">
        <v>0</v>
      </c>
      <c r="M282" t="n">
        <v>0</v>
      </c>
      <c r="N282" t="n">
        <v>0</v>
      </c>
      <c r="O282" t="n">
        <v>0</v>
      </c>
      <c r="P282" t="n">
        <v>0</v>
      </c>
      <c r="Q282" t="n">
        <v>0</v>
      </c>
      <c r="R282" s="2" t="inlineStr"/>
    </row>
    <row r="283" ht="15" customHeight="1">
      <c r="A283" t="inlineStr">
        <is>
          <t>A 42828-2025</t>
        </is>
      </c>
      <c r="B283" s="1" t="n">
        <v>45908.57716435185</v>
      </c>
      <c r="C283" s="1" t="n">
        <v>46170</v>
      </c>
      <c r="D283" t="inlineStr">
        <is>
          <t>KALMAR LÄN</t>
        </is>
      </c>
      <c r="E283" t="inlineStr">
        <is>
          <t>VIMMERBY</t>
        </is>
      </c>
      <c r="G283" t="n">
        <v>5.2</v>
      </c>
      <c r="H283" t="n">
        <v>0</v>
      </c>
      <c r="I283" t="n">
        <v>0</v>
      </c>
      <c r="J283" t="n">
        <v>0</v>
      </c>
      <c r="K283" t="n">
        <v>0</v>
      </c>
      <c r="L283" t="n">
        <v>0</v>
      </c>
      <c r="M283" t="n">
        <v>0</v>
      </c>
      <c r="N283" t="n">
        <v>0</v>
      </c>
      <c r="O283" t="n">
        <v>0</v>
      </c>
      <c r="P283" t="n">
        <v>0</v>
      </c>
      <c r="Q283" t="n">
        <v>0</v>
      </c>
      <c r="R283" s="2" t="inlineStr"/>
    </row>
    <row r="284" ht="15" customHeight="1">
      <c r="A284" t="inlineStr">
        <is>
          <t>A 53397-2025</t>
        </is>
      </c>
      <c r="B284" s="1" t="n">
        <v>45959.55918981481</v>
      </c>
      <c r="C284" s="1" t="n">
        <v>46170</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53220-2025</t>
        </is>
      </c>
      <c r="B285" s="1" t="n">
        <v>45958.60146990741</v>
      </c>
      <c r="C285" s="1" t="n">
        <v>46170</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42794-2025</t>
        </is>
      </c>
      <c r="B286" s="1" t="n">
        <v>45908</v>
      </c>
      <c r="C286" s="1" t="n">
        <v>46170</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42820-2025</t>
        </is>
      </c>
      <c r="B287" s="1" t="n">
        <v>45908</v>
      </c>
      <c r="C287" s="1" t="n">
        <v>46170</v>
      </c>
      <c r="D287" t="inlineStr">
        <is>
          <t>KALMAR LÄN</t>
        </is>
      </c>
      <c r="E287" t="inlineStr">
        <is>
          <t>VIMMERBY</t>
        </is>
      </c>
      <c r="G287" t="n">
        <v>1.2</v>
      </c>
      <c r="H287" t="n">
        <v>0</v>
      </c>
      <c r="I287" t="n">
        <v>0</v>
      </c>
      <c r="J287" t="n">
        <v>0</v>
      </c>
      <c r="K287" t="n">
        <v>0</v>
      </c>
      <c r="L287" t="n">
        <v>0</v>
      </c>
      <c r="M287" t="n">
        <v>0</v>
      </c>
      <c r="N287" t="n">
        <v>0</v>
      </c>
      <c r="O287" t="n">
        <v>0</v>
      </c>
      <c r="P287" t="n">
        <v>0</v>
      </c>
      <c r="Q287" t="n">
        <v>0</v>
      </c>
      <c r="R287" s="2" t="inlineStr"/>
    </row>
    <row r="288" ht="15" customHeight="1">
      <c r="A288" t="inlineStr">
        <is>
          <t>A 53393-2025</t>
        </is>
      </c>
      <c r="B288" s="1" t="n">
        <v>45959.55284722222</v>
      </c>
      <c r="C288" s="1" t="n">
        <v>46170</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53413-2025</t>
        </is>
      </c>
      <c r="B289" s="1" t="n">
        <v>45959.5787037037</v>
      </c>
      <c r="C289" s="1" t="n">
        <v>46170</v>
      </c>
      <c r="D289" t="inlineStr">
        <is>
          <t>KALMAR LÄN</t>
        </is>
      </c>
      <c r="E289" t="inlineStr">
        <is>
          <t>VIMMERBY</t>
        </is>
      </c>
      <c r="G289" t="n">
        <v>4.3</v>
      </c>
      <c r="H289" t="n">
        <v>0</v>
      </c>
      <c r="I289" t="n">
        <v>0</v>
      </c>
      <c r="J289" t="n">
        <v>0</v>
      </c>
      <c r="K289" t="n">
        <v>0</v>
      </c>
      <c r="L289" t="n">
        <v>0</v>
      </c>
      <c r="M289" t="n">
        <v>0</v>
      </c>
      <c r="N289" t="n">
        <v>0</v>
      </c>
      <c r="O289" t="n">
        <v>0</v>
      </c>
      <c r="P289" t="n">
        <v>0</v>
      </c>
      <c r="Q289" t="n">
        <v>0</v>
      </c>
      <c r="R289" s="2" t="inlineStr"/>
    </row>
    <row r="290" ht="15" customHeight="1">
      <c r="A290" t="inlineStr">
        <is>
          <t>A 53903-2025</t>
        </is>
      </c>
      <c r="B290" s="1" t="n">
        <v>45961.43738425926</v>
      </c>
      <c r="C290" s="1" t="n">
        <v>46170</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40076-2021</t>
        </is>
      </c>
      <c r="B291" s="1" t="n">
        <v>44418</v>
      </c>
      <c r="C291" s="1" t="n">
        <v>46170</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53920-2025</t>
        </is>
      </c>
      <c r="B292" s="1" t="n">
        <v>45961.44951388889</v>
      </c>
      <c r="C292" s="1" t="n">
        <v>46170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53927-2025</t>
        </is>
      </c>
      <c r="B293" s="1" t="n">
        <v>45961.46740740741</v>
      </c>
      <c r="C293" s="1" t="n">
        <v>46170</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53789-2025</t>
        </is>
      </c>
      <c r="B294" s="1" t="n">
        <v>45960</v>
      </c>
      <c r="C294" s="1" t="n">
        <v>46170</v>
      </c>
      <c r="D294" t="inlineStr">
        <is>
          <t>KALMAR LÄN</t>
        </is>
      </c>
      <c r="E294" t="inlineStr">
        <is>
          <t>VIMMERBY</t>
        </is>
      </c>
      <c r="F294" t="inlineStr">
        <is>
          <t>Övriga statliga verk och myndigheter</t>
        </is>
      </c>
      <c r="G294" t="n">
        <v>1.6</v>
      </c>
      <c r="H294" t="n">
        <v>0</v>
      </c>
      <c r="I294" t="n">
        <v>0</v>
      </c>
      <c r="J294" t="n">
        <v>0</v>
      </c>
      <c r="K294" t="n">
        <v>0</v>
      </c>
      <c r="L294" t="n">
        <v>0</v>
      </c>
      <c r="M294" t="n">
        <v>0</v>
      </c>
      <c r="N294" t="n">
        <v>0</v>
      </c>
      <c r="O294" t="n">
        <v>0</v>
      </c>
      <c r="P294" t="n">
        <v>0</v>
      </c>
      <c r="Q294" t="n">
        <v>0</v>
      </c>
      <c r="R294" s="2" t="inlineStr"/>
    </row>
    <row r="295" ht="15" customHeight="1">
      <c r="A295" t="inlineStr">
        <is>
          <t>A 53923-2025</t>
        </is>
      </c>
      <c r="B295" s="1" t="n">
        <v>45961.4569212963</v>
      </c>
      <c r="C295" s="1" t="n">
        <v>46170</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50648-2023</t>
        </is>
      </c>
      <c r="B296" s="1" t="n">
        <v>45217.47834490741</v>
      </c>
      <c r="C296" s="1" t="n">
        <v>46170</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529-2022</t>
        </is>
      </c>
      <c r="B297" s="1" t="n">
        <v>44566</v>
      </c>
      <c r="C297" s="1" t="n">
        <v>46170</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58318-2021</t>
        </is>
      </c>
      <c r="B298" s="1" t="n">
        <v>44488.35878472222</v>
      </c>
      <c r="C298" s="1" t="n">
        <v>46170</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89-2023</t>
        </is>
      </c>
      <c r="B299" s="1" t="n">
        <v>44918</v>
      </c>
      <c r="C299" s="1" t="n">
        <v>46170</v>
      </c>
      <c r="D299" t="inlineStr">
        <is>
          <t>KALMAR LÄN</t>
        </is>
      </c>
      <c r="E299" t="inlineStr">
        <is>
          <t>VIMMERBY</t>
        </is>
      </c>
      <c r="G299" t="n">
        <v>16.1</v>
      </c>
      <c r="H299" t="n">
        <v>0</v>
      </c>
      <c r="I299" t="n">
        <v>0</v>
      </c>
      <c r="J299" t="n">
        <v>0</v>
      </c>
      <c r="K299" t="n">
        <v>0</v>
      </c>
      <c r="L299" t="n">
        <v>0</v>
      </c>
      <c r="M299" t="n">
        <v>0</v>
      </c>
      <c r="N299" t="n">
        <v>0</v>
      </c>
      <c r="O299" t="n">
        <v>0</v>
      </c>
      <c r="P299" t="n">
        <v>0</v>
      </c>
      <c r="Q299" t="n">
        <v>0</v>
      </c>
      <c r="R299" s="2" t="inlineStr"/>
    </row>
    <row r="300" ht="15" customHeight="1">
      <c r="A300" t="inlineStr">
        <is>
          <t>A 53933-2025</t>
        </is>
      </c>
      <c r="B300" s="1" t="n">
        <v>45961.47650462963</v>
      </c>
      <c r="C300" s="1" t="n">
        <v>46170</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34060-2025</t>
        </is>
      </c>
      <c r="B301" s="1" t="n">
        <v>45845.42015046296</v>
      </c>
      <c r="C301" s="1" t="n">
        <v>46170</v>
      </c>
      <c r="D301" t="inlineStr">
        <is>
          <t>KALMAR LÄN</t>
        </is>
      </c>
      <c r="E301" t="inlineStr">
        <is>
          <t>VIMMERBY</t>
        </is>
      </c>
      <c r="G301" t="n">
        <v>5.7</v>
      </c>
      <c r="H301" t="n">
        <v>0</v>
      </c>
      <c r="I301" t="n">
        <v>0</v>
      </c>
      <c r="J301" t="n">
        <v>0</v>
      </c>
      <c r="K301" t="n">
        <v>0</v>
      </c>
      <c r="L301" t="n">
        <v>0</v>
      </c>
      <c r="M301" t="n">
        <v>0</v>
      </c>
      <c r="N301" t="n">
        <v>0</v>
      </c>
      <c r="O301" t="n">
        <v>0</v>
      </c>
      <c r="P301" t="n">
        <v>0</v>
      </c>
      <c r="Q301" t="n">
        <v>0</v>
      </c>
      <c r="R301" s="2" t="inlineStr"/>
    </row>
    <row r="302" ht="15" customHeight="1">
      <c r="A302" t="inlineStr">
        <is>
          <t>A 53788-2025</t>
        </is>
      </c>
      <c r="B302" s="1" t="n">
        <v>45960</v>
      </c>
      <c r="C302" s="1" t="n">
        <v>46170</v>
      </c>
      <c r="D302" t="inlineStr">
        <is>
          <t>KALMAR LÄN</t>
        </is>
      </c>
      <c r="E302" t="inlineStr">
        <is>
          <t>VIMMERBY</t>
        </is>
      </c>
      <c r="F302" t="inlineStr">
        <is>
          <t>Övriga statliga verk och myndigheter</t>
        </is>
      </c>
      <c r="G302" t="n">
        <v>6.3</v>
      </c>
      <c r="H302" t="n">
        <v>0</v>
      </c>
      <c r="I302" t="n">
        <v>0</v>
      </c>
      <c r="J302" t="n">
        <v>0</v>
      </c>
      <c r="K302" t="n">
        <v>0</v>
      </c>
      <c r="L302" t="n">
        <v>0</v>
      </c>
      <c r="M302" t="n">
        <v>0</v>
      </c>
      <c r="N302" t="n">
        <v>0</v>
      </c>
      <c r="O302" t="n">
        <v>0</v>
      </c>
      <c r="P302" t="n">
        <v>0</v>
      </c>
      <c r="Q302" t="n">
        <v>0</v>
      </c>
      <c r="R302" s="2" t="inlineStr"/>
    </row>
    <row r="303" ht="15" customHeight="1">
      <c r="A303" t="inlineStr">
        <is>
          <t>A 23088-2024</t>
        </is>
      </c>
      <c r="B303" s="1" t="n">
        <v>45450.51092592593</v>
      </c>
      <c r="C303" s="1" t="n">
        <v>46170</v>
      </c>
      <c r="D303" t="inlineStr">
        <is>
          <t>KALMAR LÄN</t>
        </is>
      </c>
      <c r="E303" t="inlineStr">
        <is>
          <t>VIMMERBY</t>
        </is>
      </c>
      <c r="G303" t="n">
        <v>1.9</v>
      </c>
      <c r="H303" t="n">
        <v>0</v>
      </c>
      <c r="I303" t="n">
        <v>0</v>
      </c>
      <c r="J303" t="n">
        <v>0</v>
      </c>
      <c r="K303" t="n">
        <v>0</v>
      </c>
      <c r="L303" t="n">
        <v>0</v>
      </c>
      <c r="M303" t="n">
        <v>0</v>
      </c>
      <c r="N303" t="n">
        <v>0</v>
      </c>
      <c r="O303" t="n">
        <v>0</v>
      </c>
      <c r="P303" t="n">
        <v>0</v>
      </c>
      <c r="Q303" t="n">
        <v>0</v>
      </c>
      <c r="R303" s="2" t="inlineStr"/>
    </row>
    <row r="304" ht="15" customHeight="1">
      <c r="A304" t="inlineStr">
        <is>
          <t>A 43465-2025</t>
        </is>
      </c>
      <c r="B304" s="1" t="n">
        <v>45911.47138888889</v>
      </c>
      <c r="C304" s="1" t="n">
        <v>46170</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54236-2025</t>
        </is>
      </c>
      <c r="B305" s="1" t="n">
        <v>45964.62671296296</v>
      </c>
      <c r="C305" s="1" t="n">
        <v>46170</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43617-2025</t>
        </is>
      </c>
      <c r="B306" s="1" t="n">
        <v>45911.67798611111</v>
      </c>
      <c r="C306" s="1" t="n">
        <v>46170</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38851-2023</t>
        </is>
      </c>
      <c r="B307" s="1" t="n">
        <v>45163</v>
      </c>
      <c r="C307" s="1" t="n">
        <v>46170</v>
      </c>
      <c r="D307" t="inlineStr">
        <is>
          <t>KALMAR LÄN</t>
        </is>
      </c>
      <c r="E307" t="inlineStr">
        <is>
          <t>VIMMERBY</t>
        </is>
      </c>
      <c r="G307" t="n">
        <v>4.3</v>
      </c>
      <c r="H307" t="n">
        <v>0</v>
      </c>
      <c r="I307" t="n">
        <v>0</v>
      </c>
      <c r="J307" t="n">
        <v>0</v>
      </c>
      <c r="K307" t="n">
        <v>0</v>
      </c>
      <c r="L307" t="n">
        <v>0</v>
      </c>
      <c r="M307" t="n">
        <v>0</v>
      </c>
      <c r="N307" t="n">
        <v>0</v>
      </c>
      <c r="O307" t="n">
        <v>0</v>
      </c>
      <c r="P307" t="n">
        <v>0</v>
      </c>
      <c r="Q307" t="n">
        <v>0</v>
      </c>
      <c r="R307" s="2" t="inlineStr"/>
    </row>
    <row r="308" ht="15" customHeight="1">
      <c r="A308" t="inlineStr">
        <is>
          <t>A 10759-2023</t>
        </is>
      </c>
      <c r="B308" s="1" t="n">
        <v>44988</v>
      </c>
      <c r="C308" s="1" t="n">
        <v>46170</v>
      </c>
      <c r="D308" t="inlineStr">
        <is>
          <t>KALMAR LÄN</t>
        </is>
      </c>
      <c r="E308" t="inlineStr">
        <is>
          <t>VIMMERBY</t>
        </is>
      </c>
      <c r="G308" t="n">
        <v>0.4</v>
      </c>
      <c r="H308" t="n">
        <v>0</v>
      </c>
      <c r="I308" t="n">
        <v>0</v>
      </c>
      <c r="J308" t="n">
        <v>0</v>
      </c>
      <c r="K308" t="n">
        <v>0</v>
      </c>
      <c r="L308" t="n">
        <v>0</v>
      </c>
      <c r="M308" t="n">
        <v>0</v>
      </c>
      <c r="N308" t="n">
        <v>0</v>
      </c>
      <c r="O308" t="n">
        <v>0</v>
      </c>
      <c r="P308" t="n">
        <v>0</v>
      </c>
      <c r="Q308" t="n">
        <v>0</v>
      </c>
      <c r="R308" s="2" t="inlineStr"/>
    </row>
    <row r="309" ht="15" customHeight="1">
      <c r="A309" t="inlineStr">
        <is>
          <t>A 63583-2023</t>
        </is>
      </c>
      <c r="B309" s="1" t="n">
        <v>45275.41833333333</v>
      </c>
      <c r="C309" s="1" t="n">
        <v>46170</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40079-2023</t>
        </is>
      </c>
      <c r="B310" s="1" t="n">
        <v>45168.89298611111</v>
      </c>
      <c r="C310" s="1" t="n">
        <v>46170</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43774-2023</t>
        </is>
      </c>
      <c r="B311" s="1" t="n">
        <v>45187</v>
      </c>
      <c r="C311" s="1" t="n">
        <v>46170</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29616-2022</t>
        </is>
      </c>
      <c r="B312" s="1" t="n">
        <v>44754</v>
      </c>
      <c r="C312" s="1" t="n">
        <v>46170</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28286-2025</t>
        </is>
      </c>
      <c r="B313" s="1" t="n">
        <v>45818.58993055556</v>
      </c>
      <c r="C313" s="1" t="n">
        <v>46170</v>
      </c>
      <c r="D313" t="inlineStr">
        <is>
          <t>KALMAR LÄN</t>
        </is>
      </c>
      <c r="E313" t="inlineStr">
        <is>
          <t>VIMMERBY</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44095-2025</t>
        </is>
      </c>
      <c r="B314" s="1" t="n">
        <v>45915.56430555556</v>
      </c>
      <c r="C314" s="1" t="n">
        <v>46170</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28282-2025</t>
        </is>
      </c>
      <c r="B315" s="1" t="n">
        <v>45818.58769675926</v>
      </c>
      <c r="C315" s="1" t="n">
        <v>46170</v>
      </c>
      <c r="D315" t="inlineStr">
        <is>
          <t>KALMAR LÄN</t>
        </is>
      </c>
      <c r="E315" t="inlineStr">
        <is>
          <t>VIMMERBY</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28294-2025</t>
        </is>
      </c>
      <c r="B316" s="1" t="n">
        <v>45818.595625</v>
      </c>
      <c r="C316" s="1" t="n">
        <v>46170</v>
      </c>
      <c r="D316" t="inlineStr">
        <is>
          <t>KALMAR LÄN</t>
        </is>
      </c>
      <c r="E316" t="inlineStr">
        <is>
          <t>VIMMERBY</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39578-2024</t>
        </is>
      </c>
      <c r="B317" s="1" t="n">
        <v>45552.36484953704</v>
      </c>
      <c r="C317" s="1" t="n">
        <v>46170</v>
      </c>
      <c r="D317" t="inlineStr">
        <is>
          <t>KALMAR LÄN</t>
        </is>
      </c>
      <c r="E317" t="inlineStr">
        <is>
          <t>VIMMERBY</t>
        </is>
      </c>
      <c r="G317" t="n">
        <v>1.5</v>
      </c>
      <c r="H317" t="n">
        <v>0</v>
      </c>
      <c r="I317" t="n">
        <v>0</v>
      </c>
      <c r="J317" t="n">
        <v>0</v>
      </c>
      <c r="K317" t="n">
        <v>0</v>
      </c>
      <c r="L317" t="n">
        <v>0</v>
      </c>
      <c r="M317" t="n">
        <v>0</v>
      </c>
      <c r="N317" t="n">
        <v>0</v>
      </c>
      <c r="O317" t="n">
        <v>0</v>
      </c>
      <c r="P317" t="n">
        <v>0</v>
      </c>
      <c r="Q317" t="n">
        <v>0</v>
      </c>
      <c r="R317" s="2" t="inlineStr"/>
    </row>
    <row r="318" ht="15" customHeight="1">
      <c r="A318" t="inlineStr">
        <is>
          <t>A 28290-2025</t>
        </is>
      </c>
      <c r="B318" s="1" t="n">
        <v>45818.59261574074</v>
      </c>
      <c r="C318" s="1" t="n">
        <v>46170</v>
      </c>
      <c r="D318" t="inlineStr">
        <is>
          <t>KALMAR LÄN</t>
        </is>
      </c>
      <c r="E318" t="inlineStr">
        <is>
          <t>VIMMERBY</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24707-2024</t>
        </is>
      </c>
      <c r="B319" s="1" t="n">
        <v>45460.62172453704</v>
      </c>
      <c r="C319" s="1" t="n">
        <v>46170</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28280-2025</t>
        </is>
      </c>
      <c r="B320" s="1" t="n">
        <v>45818.5862037037</v>
      </c>
      <c r="C320" s="1" t="n">
        <v>46170</v>
      </c>
      <c r="D320" t="inlineStr">
        <is>
          <t>KALMAR LÄN</t>
        </is>
      </c>
      <c r="E320" t="inlineStr">
        <is>
          <t>VIMMERBY</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44091-2025</t>
        </is>
      </c>
      <c r="B321" s="1" t="n">
        <v>45915.55950231481</v>
      </c>
      <c r="C321" s="1" t="n">
        <v>46170</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28620-2025</t>
        </is>
      </c>
      <c r="B322" s="1" t="n">
        <v>45819.61060185185</v>
      </c>
      <c r="C322" s="1" t="n">
        <v>46170</v>
      </c>
      <c r="D322" t="inlineStr">
        <is>
          <t>KALMAR LÄN</t>
        </is>
      </c>
      <c r="E322" t="inlineStr">
        <is>
          <t>VIMMERBY</t>
        </is>
      </c>
      <c r="G322" t="n">
        <v>5.6</v>
      </c>
      <c r="H322" t="n">
        <v>0</v>
      </c>
      <c r="I322" t="n">
        <v>0</v>
      </c>
      <c r="J322" t="n">
        <v>0</v>
      </c>
      <c r="K322" t="n">
        <v>0</v>
      </c>
      <c r="L322" t="n">
        <v>0</v>
      </c>
      <c r="M322" t="n">
        <v>0</v>
      </c>
      <c r="N322" t="n">
        <v>0</v>
      </c>
      <c r="O322" t="n">
        <v>0</v>
      </c>
      <c r="P322" t="n">
        <v>0</v>
      </c>
      <c r="Q322" t="n">
        <v>0</v>
      </c>
      <c r="R322" s="2" t="inlineStr"/>
    </row>
    <row r="323" ht="15" customHeight="1">
      <c r="A323" t="inlineStr">
        <is>
          <t>A 31056-2022</t>
        </is>
      </c>
      <c r="B323" s="1" t="n">
        <v>44769.45805555556</v>
      </c>
      <c r="C323" s="1" t="n">
        <v>46170</v>
      </c>
      <c r="D323" t="inlineStr">
        <is>
          <t>KALMAR LÄN</t>
        </is>
      </c>
      <c r="E323" t="inlineStr">
        <is>
          <t>VIMMERBY</t>
        </is>
      </c>
      <c r="G323" t="n">
        <v>2</v>
      </c>
      <c r="H323" t="n">
        <v>0</v>
      </c>
      <c r="I323" t="n">
        <v>0</v>
      </c>
      <c r="J323" t="n">
        <v>0</v>
      </c>
      <c r="K323" t="n">
        <v>0</v>
      </c>
      <c r="L323" t="n">
        <v>0</v>
      </c>
      <c r="M323" t="n">
        <v>0</v>
      </c>
      <c r="N323" t="n">
        <v>0</v>
      </c>
      <c r="O323" t="n">
        <v>0</v>
      </c>
      <c r="P323" t="n">
        <v>0</v>
      </c>
      <c r="Q323" t="n">
        <v>0</v>
      </c>
      <c r="R323" s="2" t="inlineStr"/>
    </row>
    <row r="324" ht="15" customHeight="1">
      <c r="A324" t="inlineStr">
        <is>
          <t>A 33383-2023</t>
        </is>
      </c>
      <c r="B324" s="1" t="n">
        <v>45128.58414351852</v>
      </c>
      <c r="C324" s="1" t="n">
        <v>46170</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40828-2023</t>
        </is>
      </c>
      <c r="B325" s="1" t="n">
        <v>45171.96248842592</v>
      </c>
      <c r="C325" s="1" t="n">
        <v>46170</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54234-2025</t>
        </is>
      </c>
      <c r="B326" s="1" t="n">
        <v>45964.62486111111</v>
      </c>
      <c r="C326" s="1" t="n">
        <v>46170</v>
      </c>
      <c r="D326" t="inlineStr">
        <is>
          <t>KALMAR LÄN</t>
        </is>
      </c>
      <c r="E326" t="inlineStr">
        <is>
          <t>VIMMERBY</t>
        </is>
      </c>
      <c r="G326" t="n">
        <v>4.1</v>
      </c>
      <c r="H326" t="n">
        <v>0</v>
      </c>
      <c r="I326" t="n">
        <v>0</v>
      </c>
      <c r="J326" t="n">
        <v>0</v>
      </c>
      <c r="K326" t="n">
        <v>0</v>
      </c>
      <c r="L326" t="n">
        <v>0</v>
      </c>
      <c r="M326" t="n">
        <v>0</v>
      </c>
      <c r="N326" t="n">
        <v>0</v>
      </c>
      <c r="O326" t="n">
        <v>0</v>
      </c>
      <c r="P326" t="n">
        <v>0</v>
      </c>
      <c r="Q326" t="n">
        <v>0</v>
      </c>
      <c r="R326" s="2" t="inlineStr"/>
    </row>
    <row r="327" ht="15" customHeight="1">
      <c r="A327" t="inlineStr">
        <is>
          <t>A 28712-2025</t>
        </is>
      </c>
      <c r="B327" s="1" t="n">
        <v>45820.33708333333</v>
      </c>
      <c r="C327" s="1" t="n">
        <v>46170</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28714-2025</t>
        </is>
      </c>
      <c r="B328" s="1" t="n">
        <v>45820.34128472222</v>
      </c>
      <c r="C328" s="1" t="n">
        <v>46170</v>
      </c>
      <c r="D328" t="inlineStr">
        <is>
          <t>KALMAR LÄN</t>
        </is>
      </c>
      <c r="E328" t="inlineStr">
        <is>
          <t>VIMMERBY</t>
        </is>
      </c>
      <c r="G328" t="n">
        <v>1.8</v>
      </c>
      <c r="H328" t="n">
        <v>0</v>
      </c>
      <c r="I328" t="n">
        <v>0</v>
      </c>
      <c r="J328" t="n">
        <v>0</v>
      </c>
      <c r="K328" t="n">
        <v>0</v>
      </c>
      <c r="L328" t="n">
        <v>0</v>
      </c>
      <c r="M328" t="n">
        <v>0</v>
      </c>
      <c r="N328" t="n">
        <v>0</v>
      </c>
      <c r="O328" t="n">
        <v>0</v>
      </c>
      <c r="P328" t="n">
        <v>0</v>
      </c>
      <c r="Q328" t="n">
        <v>0</v>
      </c>
      <c r="R328" s="2" t="inlineStr"/>
    </row>
    <row r="329" ht="15" customHeight="1">
      <c r="A329" t="inlineStr">
        <is>
          <t>A 61861-2024</t>
        </is>
      </c>
      <c r="B329" s="1" t="n">
        <v>45650.37370370371</v>
      </c>
      <c r="C329" s="1" t="n">
        <v>46170</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44517-2025</t>
        </is>
      </c>
      <c r="B330" s="1" t="n">
        <v>45916.7103587963</v>
      </c>
      <c r="C330" s="1" t="n">
        <v>46170</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44742-2025</t>
        </is>
      </c>
      <c r="B331" s="1" t="n">
        <v>45917.67054398148</v>
      </c>
      <c r="C331" s="1" t="n">
        <v>46170</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28713-2025</t>
        </is>
      </c>
      <c r="B332" s="1" t="n">
        <v>45820.33930555556</v>
      </c>
      <c r="C332" s="1" t="n">
        <v>46170</v>
      </c>
      <c r="D332" t="inlineStr">
        <is>
          <t>KALMAR LÄN</t>
        </is>
      </c>
      <c r="E332" t="inlineStr">
        <is>
          <t>VIMMERBY</t>
        </is>
      </c>
      <c r="G332" t="n">
        <v>2.3</v>
      </c>
      <c r="H332" t="n">
        <v>0</v>
      </c>
      <c r="I332" t="n">
        <v>0</v>
      </c>
      <c r="J332" t="n">
        <v>0</v>
      </c>
      <c r="K332" t="n">
        <v>0</v>
      </c>
      <c r="L332" t="n">
        <v>0</v>
      </c>
      <c r="M332" t="n">
        <v>0</v>
      </c>
      <c r="N332" t="n">
        <v>0</v>
      </c>
      <c r="O332" t="n">
        <v>0</v>
      </c>
      <c r="P332" t="n">
        <v>0</v>
      </c>
      <c r="Q332" t="n">
        <v>0</v>
      </c>
      <c r="R332" s="2" t="inlineStr"/>
    </row>
    <row r="333" ht="15" customHeight="1">
      <c r="A333" t="inlineStr">
        <is>
          <t>A 44329-2025</t>
        </is>
      </c>
      <c r="B333" s="1" t="n">
        <v>45916.41019675926</v>
      </c>
      <c r="C333" s="1" t="n">
        <v>46170</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41896-2025</t>
        </is>
      </c>
      <c r="B334" s="1" t="n">
        <v>45903.38800925926</v>
      </c>
      <c r="C334" s="1" t="n">
        <v>46170</v>
      </c>
      <c r="D334" t="inlineStr">
        <is>
          <t>KALMAR LÄN</t>
        </is>
      </c>
      <c r="E334" t="inlineStr">
        <is>
          <t>VIMMERBY</t>
        </is>
      </c>
      <c r="G334" t="n">
        <v>2.9</v>
      </c>
      <c r="H334" t="n">
        <v>0</v>
      </c>
      <c r="I334" t="n">
        <v>0</v>
      </c>
      <c r="J334" t="n">
        <v>0</v>
      </c>
      <c r="K334" t="n">
        <v>0</v>
      </c>
      <c r="L334" t="n">
        <v>0</v>
      </c>
      <c r="M334" t="n">
        <v>0</v>
      </c>
      <c r="N334" t="n">
        <v>0</v>
      </c>
      <c r="O334" t="n">
        <v>0</v>
      </c>
      <c r="P334" t="n">
        <v>0</v>
      </c>
      <c r="Q334" t="n">
        <v>0</v>
      </c>
      <c r="R334" s="2" t="inlineStr"/>
    </row>
    <row r="335" ht="15" customHeight="1">
      <c r="A335" t="inlineStr">
        <is>
          <t>A 8650-2022</t>
        </is>
      </c>
      <c r="B335" s="1" t="n">
        <v>44613</v>
      </c>
      <c r="C335" s="1" t="n">
        <v>46170</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33340-2023</t>
        </is>
      </c>
      <c r="B336" s="1" t="n">
        <v>45128.37305555555</v>
      </c>
      <c r="C336" s="1" t="n">
        <v>46170</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44423-2023</t>
        </is>
      </c>
      <c r="B337" s="1" t="n">
        <v>45189</v>
      </c>
      <c r="C337" s="1" t="n">
        <v>46170</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37323-2024</t>
        </is>
      </c>
      <c r="B338" s="1" t="n">
        <v>45540.50098379629</v>
      </c>
      <c r="C338" s="1" t="n">
        <v>46170</v>
      </c>
      <c r="D338" t="inlineStr">
        <is>
          <t>KALMAR LÄN</t>
        </is>
      </c>
      <c r="E338" t="inlineStr">
        <is>
          <t>VIMMERBY</t>
        </is>
      </c>
      <c r="G338" t="n">
        <v>1.2</v>
      </c>
      <c r="H338" t="n">
        <v>0</v>
      </c>
      <c r="I338" t="n">
        <v>0</v>
      </c>
      <c r="J338" t="n">
        <v>0</v>
      </c>
      <c r="K338" t="n">
        <v>0</v>
      </c>
      <c r="L338" t="n">
        <v>0</v>
      </c>
      <c r="M338" t="n">
        <v>0</v>
      </c>
      <c r="N338" t="n">
        <v>0</v>
      </c>
      <c r="O338" t="n">
        <v>0</v>
      </c>
      <c r="P338" t="n">
        <v>0</v>
      </c>
      <c r="Q338" t="n">
        <v>0</v>
      </c>
      <c r="R338" s="2" t="inlineStr"/>
    </row>
    <row r="339" ht="15" customHeight="1">
      <c r="A339" t="inlineStr">
        <is>
          <t>A 29737-2025</t>
        </is>
      </c>
      <c r="B339" s="1" t="n">
        <v>45825.58672453704</v>
      </c>
      <c r="C339" s="1" t="n">
        <v>46170</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45825.5796875</v>
      </c>
      <c r="C340" s="1" t="n">
        <v>46170</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45114-2025</t>
        </is>
      </c>
      <c r="B341" s="1" t="n">
        <v>45919.42387731482</v>
      </c>
      <c r="C341" s="1" t="n">
        <v>46170</v>
      </c>
      <c r="D341" t="inlineStr">
        <is>
          <t>KALMAR LÄN</t>
        </is>
      </c>
      <c r="E341" t="inlineStr">
        <is>
          <t>VIMMERBY</t>
        </is>
      </c>
      <c r="G341" t="n">
        <v>2.7</v>
      </c>
      <c r="H341" t="n">
        <v>0</v>
      </c>
      <c r="I341" t="n">
        <v>0</v>
      </c>
      <c r="J341" t="n">
        <v>0</v>
      </c>
      <c r="K341" t="n">
        <v>0</v>
      </c>
      <c r="L341" t="n">
        <v>0</v>
      </c>
      <c r="M341" t="n">
        <v>0</v>
      </c>
      <c r="N341" t="n">
        <v>0</v>
      </c>
      <c r="O341" t="n">
        <v>0</v>
      </c>
      <c r="P341" t="n">
        <v>0</v>
      </c>
      <c r="Q341" t="n">
        <v>0</v>
      </c>
      <c r="R341" s="2" t="inlineStr"/>
    </row>
    <row r="342" ht="15" customHeight="1">
      <c r="A342" t="inlineStr">
        <is>
          <t>A 18501-2024</t>
        </is>
      </c>
      <c r="B342" s="1" t="n">
        <v>45425.57538194444</v>
      </c>
      <c r="C342" s="1" t="n">
        <v>46170</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30293-2025</t>
        </is>
      </c>
      <c r="B343" s="1" t="n">
        <v>45827</v>
      </c>
      <c r="C343" s="1" t="n">
        <v>46170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30290-2025</t>
        </is>
      </c>
      <c r="B344" s="1" t="n">
        <v>45827</v>
      </c>
      <c r="C344" s="1" t="n">
        <v>46170</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45319-2025</t>
        </is>
      </c>
      <c r="B345" s="1" t="n">
        <v>45921.95611111111</v>
      </c>
      <c r="C345" s="1" t="n">
        <v>46170</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54737-2025</t>
        </is>
      </c>
      <c r="B346" s="1" t="n">
        <v>45966.56826388889</v>
      </c>
      <c r="C346" s="1" t="n">
        <v>46170</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27758-2024</t>
        </is>
      </c>
      <c r="B347" s="1" t="n">
        <v>45475.48303240741</v>
      </c>
      <c r="C347" s="1" t="n">
        <v>46170</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13307-2025</t>
        </is>
      </c>
      <c r="B348" s="1" t="n">
        <v>45735.58024305556</v>
      </c>
      <c r="C348" s="1" t="n">
        <v>46170</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45320-2025</t>
        </is>
      </c>
      <c r="B349" s="1" t="n">
        <v>45921.96395833333</v>
      </c>
      <c r="C349" s="1" t="n">
        <v>46170</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55716-2023</t>
        </is>
      </c>
      <c r="B350" s="1" t="n">
        <v>45232</v>
      </c>
      <c r="C350" s="1" t="n">
        <v>46170</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30850-2025</t>
        </is>
      </c>
      <c r="B351" s="1" t="n">
        <v>45831</v>
      </c>
      <c r="C351" s="1" t="n">
        <v>46170</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46118-2025</t>
        </is>
      </c>
      <c r="B352" s="1" t="n">
        <v>45924.57697916667</v>
      </c>
      <c r="C352" s="1" t="n">
        <v>46170</v>
      </c>
      <c r="D352" t="inlineStr">
        <is>
          <t>KALMAR LÄN</t>
        </is>
      </c>
      <c r="E352" t="inlineStr">
        <is>
          <t>VIMMERBY</t>
        </is>
      </c>
      <c r="G352" t="n">
        <v>2.9</v>
      </c>
      <c r="H352" t="n">
        <v>0</v>
      </c>
      <c r="I352" t="n">
        <v>0</v>
      </c>
      <c r="J352" t="n">
        <v>0</v>
      </c>
      <c r="K352" t="n">
        <v>0</v>
      </c>
      <c r="L352" t="n">
        <v>0</v>
      </c>
      <c r="M352" t="n">
        <v>0</v>
      </c>
      <c r="N352" t="n">
        <v>0</v>
      </c>
      <c r="O352" t="n">
        <v>0</v>
      </c>
      <c r="P352" t="n">
        <v>0</v>
      </c>
      <c r="Q352" t="n">
        <v>0</v>
      </c>
      <c r="R352" s="2" t="inlineStr"/>
    </row>
    <row r="353" ht="15" customHeight="1">
      <c r="A353" t="inlineStr">
        <is>
          <t>A 46365-2025</t>
        </is>
      </c>
      <c r="B353" s="1" t="n">
        <v>45925.50075231482</v>
      </c>
      <c r="C353" s="1" t="n">
        <v>46170</v>
      </c>
      <c r="D353" t="inlineStr">
        <is>
          <t>KALMAR LÄN</t>
        </is>
      </c>
      <c r="E353" t="inlineStr">
        <is>
          <t>VIMMERBY</t>
        </is>
      </c>
      <c r="G353" t="n">
        <v>5.6</v>
      </c>
      <c r="H353" t="n">
        <v>0</v>
      </c>
      <c r="I353" t="n">
        <v>0</v>
      </c>
      <c r="J353" t="n">
        <v>0</v>
      </c>
      <c r="K353" t="n">
        <v>0</v>
      </c>
      <c r="L353" t="n">
        <v>0</v>
      </c>
      <c r="M353" t="n">
        <v>0</v>
      </c>
      <c r="N353" t="n">
        <v>0</v>
      </c>
      <c r="O353" t="n">
        <v>0</v>
      </c>
      <c r="P353" t="n">
        <v>0</v>
      </c>
      <c r="Q353" t="n">
        <v>0</v>
      </c>
      <c r="R353" s="2" t="inlineStr"/>
    </row>
    <row r="354" ht="15" customHeight="1">
      <c r="A354" t="inlineStr">
        <is>
          <t>A 54813-2025</t>
        </is>
      </c>
      <c r="B354" s="1" t="n">
        <v>45966.64881944445</v>
      </c>
      <c r="C354" s="1" t="n">
        <v>46170</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18329-2023</t>
        </is>
      </c>
      <c r="B355" s="1" t="n">
        <v>45041.63380787037</v>
      </c>
      <c r="C355" s="1" t="n">
        <v>46170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46361-2025</t>
        </is>
      </c>
      <c r="B356" s="1" t="n">
        <v>45925.49670138889</v>
      </c>
      <c r="C356" s="1" t="n">
        <v>46170</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31552-2025</t>
        </is>
      </c>
      <c r="B357" s="1" t="n">
        <v>45833.64563657407</v>
      </c>
      <c r="C357" s="1" t="n">
        <v>46170</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31555-2025</t>
        </is>
      </c>
      <c r="B358" s="1" t="n">
        <v>45833.64814814815</v>
      </c>
      <c r="C358" s="1" t="n">
        <v>46170</v>
      </c>
      <c r="D358" t="inlineStr">
        <is>
          <t>KALMAR LÄN</t>
        </is>
      </c>
      <c r="E358" t="inlineStr">
        <is>
          <t>VIMMERBY</t>
        </is>
      </c>
      <c r="G358" t="n">
        <v>1.8</v>
      </c>
      <c r="H358" t="n">
        <v>0</v>
      </c>
      <c r="I358" t="n">
        <v>0</v>
      </c>
      <c r="J358" t="n">
        <v>0</v>
      </c>
      <c r="K358" t="n">
        <v>0</v>
      </c>
      <c r="L358" t="n">
        <v>0</v>
      </c>
      <c r="M358" t="n">
        <v>0</v>
      </c>
      <c r="N358" t="n">
        <v>0</v>
      </c>
      <c r="O358" t="n">
        <v>0</v>
      </c>
      <c r="P358" t="n">
        <v>0</v>
      </c>
      <c r="Q358" t="n">
        <v>0</v>
      </c>
      <c r="R358" s="2" t="inlineStr"/>
    </row>
    <row r="359" ht="15" customHeight="1">
      <c r="A359" t="inlineStr">
        <is>
          <t>A 13015-2023</t>
        </is>
      </c>
      <c r="B359" s="1" t="n">
        <v>45002</v>
      </c>
      <c r="C359" s="1" t="n">
        <v>46170</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30971-2025</t>
        </is>
      </c>
      <c r="B360" s="1" t="n">
        <v>45832.46146990741</v>
      </c>
      <c r="C360" s="1" t="n">
        <v>46170</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31551-2025</t>
        </is>
      </c>
      <c r="B361" s="1" t="n">
        <v>45833.64237268519</v>
      </c>
      <c r="C361" s="1" t="n">
        <v>46170</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46887-2025</t>
        </is>
      </c>
      <c r="B362" s="1" t="n">
        <v>45929.3672337963</v>
      </c>
      <c r="C362" s="1" t="n">
        <v>46170</v>
      </c>
      <c r="D362" t="inlineStr">
        <is>
          <t>KALMAR LÄN</t>
        </is>
      </c>
      <c r="E362" t="inlineStr">
        <is>
          <t>VIMMERBY</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45856-2025</t>
        </is>
      </c>
      <c r="B363" s="1" t="n">
        <v>45923</v>
      </c>
      <c r="C363" s="1" t="n">
        <v>46170</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30882-2025</t>
        </is>
      </c>
      <c r="B364" s="1" t="n">
        <v>45832.34540509259</v>
      </c>
      <c r="C364" s="1" t="n">
        <v>46170</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29186-2024</t>
        </is>
      </c>
      <c r="B365" s="1" t="n">
        <v>45482.54844907407</v>
      </c>
      <c r="C365" s="1" t="n">
        <v>46170</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50993-2022</t>
        </is>
      </c>
      <c r="B366" s="1" t="n">
        <v>44867</v>
      </c>
      <c r="C366" s="1" t="n">
        <v>46170</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55602-2025</t>
        </is>
      </c>
      <c r="B367" s="1" t="n">
        <v>45971</v>
      </c>
      <c r="C367" s="1" t="n">
        <v>46170</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45854-2025</t>
        </is>
      </c>
      <c r="B368" s="1" t="n">
        <v>45923</v>
      </c>
      <c r="C368" s="1" t="n">
        <v>46170</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45855-2025</t>
        </is>
      </c>
      <c r="B369" s="1" t="n">
        <v>45923</v>
      </c>
      <c r="C369" s="1" t="n">
        <v>46170</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54787-2023</t>
        </is>
      </c>
      <c r="B370" s="1" t="n">
        <v>45236</v>
      </c>
      <c r="C370" s="1" t="n">
        <v>46170</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32614-2023</t>
        </is>
      </c>
      <c r="B371" s="1" t="n">
        <v>45121</v>
      </c>
      <c r="C371" s="1" t="n">
        <v>46170</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31872-2025</t>
        </is>
      </c>
      <c r="B372" s="1" t="n">
        <v>45834.65040509259</v>
      </c>
      <c r="C372" s="1" t="n">
        <v>46170</v>
      </c>
      <c r="D372" t="inlineStr">
        <is>
          <t>KALMAR LÄN</t>
        </is>
      </c>
      <c r="E372" t="inlineStr">
        <is>
          <t>VIMMERBY</t>
        </is>
      </c>
      <c r="F372" t="inlineStr">
        <is>
          <t>Sveaskog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6850-2023</t>
        </is>
      </c>
      <c r="B373" s="1" t="n">
        <v>44967.44255787037</v>
      </c>
      <c r="C373" s="1" t="n">
        <v>46170</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8559-2025</t>
        </is>
      </c>
      <c r="B374" s="1" t="n">
        <v>45709.62280092593</v>
      </c>
      <c r="C374" s="1" t="n">
        <v>46170</v>
      </c>
      <c r="D374" t="inlineStr">
        <is>
          <t>KALMAR LÄN</t>
        </is>
      </c>
      <c r="E374" t="inlineStr">
        <is>
          <t>VIMMERBY</t>
        </is>
      </c>
      <c r="G374" t="n">
        <v>8.9</v>
      </c>
      <c r="H374" t="n">
        <v>0</v>
      </c>
      <c r="I374" t="n">
        <v>0</v>
      </c>
      <c r="J374" t="n">
        <v>0</v>
      </c>
      <c r="K374" t="n">
        <v>0</v>
      </c>
      <c r="L374" t="n">
        <v>0</v>
      </c>
      <c r="M374" t="n">
        <v>0</v>
      </c>
      <c r="N374" t="n">
        <v>0</v>
      </c>
      <c r="O374" t="n">
        <v>0</v>
      </c>
      <c r="P374" t="n">
        <v>0</v>
      </c>
      <c r="Q374" t="n">
        <v>0</v>
      </c>
      <c r="R374" s="2" t="inlineStr"/>
    </row>
    <row r="375" ht="15" customHeight="1">
      <c r="A375" t="inlineStr">
        <is>
          <t>A 58750-2022</t>
        </is>
      </c>
      <c r="B375" s="1" t="n">
        <v>44903.33363425926</v>
      </c>
      <c r="C375" s="1" t="n">
        <v>46170</v>
      </c>
      <c r="D375" t="inlineStr">
        <is>
          <t>KALMAR LÄN</t>
        </is>
      </c>
      <c r="E375" t="inlineStr">
        <is>
          <t>VIMMERBY</t>
        </is>
      </c>
      <c r="G375" t="n">
        <v>3.3</v>
      </c>
      <c r="H375" t="n">
        <v>0</v>
      </c>
      <c r="I375" t="n">
        <v>0</v>
      </c>
      <c r="J375" t="n">
        <v>0</v>
      </c>
      <c r="K375" t="n">
        <v>0</v>
      </c>
      <c r="L375" t="n">
        <v>0</v>
      </c>
      <c r="M375" t="n">
        <v>0</v>
      </c>
      <c r="N375" t="n">
        <v>0</v>
      </c>
      <c r="O375" t="n">
        <v>0</v>
      </c>
      <c r="P375" t="n">
        <v>0</v>
      </c>
      <c r="Q375" t="n">
        <v>0</v>
      </c>
      <c r="R375" s="2" t="inlineStr"/>
    </row>
    <row r="376" ht="15" customHeight="1">
      <c r="A376" t="inlineStr">
        <is>
          <t>A 32064-2025</t>
        </is>
      </c>
      <c r="B376" s="1" t="n">
        <v>45835.44709490741</v>
      </c>
      <c r="C376" s="1" t="n">
        <v>46170</v>
      </c>
      <c r="D376" t="inlineStr">
        <is>
          <t>KALMAR LÄN</t>
        </is>
      </c>
      <c r="E376" t="inlineStr">
        <is>
          <t>VIMMERBY</t>
        </is>
      </c>
      <c r="G376" t="n">
        <v>2.6</v>
      </c>
      <c r="H376" t="n">
        <v>0</v>
      </c>
      <c r="I376" t="n">
        <v>0</v>
      </c>
      <c r="J376" t="n">
        <v>0</v>
      </c>
      <c r="K376" t="n">
        <v>0</v>
      </c>
      <c r="L376" t="n">
        <v>0</v>
      </c>
      <c r="M376" t="n">
        <v>0</v>
      </c>
      <c r="N376" t="n">
        <v>0</v>
      </c>
      <c r="O376" t="n">
        <v>0</v>
      </c>
      <c r="P376" t="n">
        <v>0</v>
      </c>
      <c r="Q376" t="n">
        <v>0</v>
      </c>
      <c r="R376" s="2" t="inlineStr"/>
    </row>
    <row r="377" ht="15" customHeight="1">
      <c r="A377" t="inlineStr">
        <is>
          <t>A 41158-2023</t>
        </is>
      </c>
      <c r="B377" s="1" t="n">
        <v>45174.31395833333</v>
      </c>
      <c r="C377" s="1" t="n">
        <v>46170</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32109-2025</t>
        </is>
      </c>
      <c r="B378" s="1" t="n">
        <v>45835.48267361111</v>
      </c>
      <c r="C378" s="1" t="n">
        <v>46170</v>
      </c>
      <c r="D378" t="inlineStr">
        <is>
          <t>KALMAR LÄN</t>
        </is>
      </c>
      <c r="E378" t="inlineStr">
        <is>
          <t>VIMMERBY</t>
        </is>
      </c>
      <c r="G378" t="n">
        <v>2.5</v>
      </c>
      <c r="H378" t="n">
        <v>0</v>
      </c>
      <c r="I378" t="n">
        <v>0</v>
      </c>
      <c r="J378" t="n">
        <v>0</v>
      </c>
      <c r="K378" t="n">
        <v>0</v>
      </c>
      <c r="L378" t="n">
        <v>0</v>
      </c>
      <c r="M378" t="n">
        <v>0</v>
      </c>
      <c r="N378" t="n">
        <v>0</v>
      </c>
      <c r="O378" t="n">
        <v>0</v>
      </c>
      <c r="P378" t="n">
        <v>0</v>
      </c>
      <c r="Q378" t="n">
        <v>0</v>
      </c>
      <c r="R378" s="2" t="inlineStr"/>
    </row>
    <row r="379" ht="15" customHeight="1">
      <c r="A379" t="inlineStr">
        <is>
          <t>A 32113-2025</t>
        </is>
      </c>
      <c r="B379" s="1" t="n">
        <v>45835.48445601852</v>
      </c>
      <c r="C379" s="1" t="n">
        <v>46170</v>
      </c>
      <c r="D379" t="inlineStr">
        <is>
          <t>KALMAR LÄN</t>
        </is>
      </c>
      <c r="E379" t="inlineStr">
        <is>
          <t>VIMMERBY</t>
        </is>
      </c>
      <c r="G379" t="n">
        <v>3.5</v>
      </c>
      <c r="H379" t="n">
        <v>0</v>
      </c>
      <c r="I379" t="n">
        <v>0</v>
      </c>
      <c r="J379" t="n">
        <v>0</v>
      </c>
      <c r="K379" t="n">
        <v>0</v>
      </c>
      <c r="L379" t="n">
        <v>0</v>
      </c>
      <c r="M379" t="n">
        <v>0</v>
      </c>
      <c r="N379" t="n">
        <v>0</v>
      </c>
      <c r="O379" t="n">
        <v>0</v>
      </c>
      <c r="P379" t="n">
        <v>0</v>
      </c>
      <c r="Q379" t="n">
        <v>0</v>
      </c>
      <c r="R379" s="2" t="inlineStr"/>
    </row>
    <row r="380" ht="15" customHeight="1">
      <c r="A380" t="inlineStr">
        <is>
          <t>A 32116-2025</t>
        </is>
      </c>
      <c r="B380" s="1" t="n">
        <v>45835.48862268519</v>
      </c>
      <c r="C380" s="1" t="n">
        <v>46170</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2510-2023</t>
        </is>
      </c>
      <c r="B381" s="1" t="n">
        <v>44943.57309027778</v>
      </c>
      <c r="C381" s="1" t="n">
        <v>46170</v>
      </c>
      <c r="D381" t="inlineStr">
        <is>
          <t>KALMAR LÄN</t>
        </is>
      </c>
      <c r="E381" t="inlineStr">
        <is>
          <t>VIMMERBY</t>
        </is>
      </c>
      <c r="G381" t="n">
        <v>8.6</v>
      </c>
      <c r="H381" t="n">
        <v>0</v>
      </c>
      <c r="I381" t="n">
        <v>0</v>
      </c>
      <c r="J381" t="n">
        <v>0</v>
      </c>
      <c r="K381" t="n">
        <v>0</v>
      </c>
      <c r="L381" t="n">
        <v>0</v>
      </c>
      <c r="M381" t="n">
        <v>0</v>
      </c>
      <c r="N381" t="n">
        <v>0</v>
      </c>
      <c r="O381" t="n">
        <v>0</v>
      </c>
      <c r="P381" t="n">
        <v>0</v>
      </c>
      <c r="Q381" t="n">
        <v>0</v>
      </c>
      <c r="R381" s="2" t="inlineStr"/>
    </row>
    <row r="382" ht="15" customHeight="1">
      <c r="A382" t="inlineStr">
        <is>
          <t>A 31870-2025</t>
        </is>
      </c>
      <c r="B382" s="1" t="n">
        <v>45834.64667824074</v>
      </c>
      <c r="C382" s="1" t="n">
        <v>46170</v>
      </c>
      <c r="D382" t="inlineStr">
        <is>
          <t>KALMAR LÄN</t>
        </is>
      </c>
      <c r="E382" t="inlineStr">
        <is>
          <t>VIMMERBY</t>
        </is>
      </c>
      <c r="F382" t="inlineStr">
        <is>
          <t>Sveaskog</t>
        </is>
      </c>
      <c r="G382" t="n">
        <v>3.5</v>
      </c>
      <c r="H382" t="n">
        <v>0</v>
      </c>
      <c r="I382" t="n">
        <v>0</v>
      </c>
      <c r="J382" t="n">
        <v>0</v>
      </c>
      <c r="K382" t="n">
        <v>0</v>
      </c>
      <c r="L382" t="n">
        <v>0</v>
      </c>
      <c r="M382" t="n">
        <v>0</v>
      </c>
      <c r="N382" t="n">
        <v>0</v>
      </c>
      <c r="O382" t="n">
        <v>0</v>
      </c>
      <c r="P382" t="n">
        <v>0</v>
      </c>
      <c r="Q382" t="n">
        <v>0</v>
      </c>
      <c r="R382" s="2" t="inlineStr"/>
    </row>
    <row r="383" ht="15" customHeight="1">
      <c r="A383" t="inlineStr">
        <is>
          <t>A 32065-2025</t>
        </is>
      </c>
      <c r="B383" s="1" t="n">
        <v>45835.44732638889</v>
      </c>
      <c r="C383" s="1" t="n">
        <v>46170</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47227-2025</t>
        </is>
      </c>
      <c r="B384" s="1" t="n">
        <v>45930.39769675926</v>
      </c>
      <c r="C384" s="1" t="n">
        <v>46170</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55603-2025</t>
        </is>
      </c>
      <c r="B385" s="1" t="n">
        <v>45971</v>
      </c>
      <c r="C385" s="1" t="n">
        <v>46170</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55605-2025</t>
        </is>
      </c>
      <c r="B386" s="1" t="n">
        <v>45971</v>
      </c>
      <c r="C386" s="1" t="n">
        <v>46170</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31987-2025</t>
        </is>
      </c>
      <c r="B387" s="1" t="n">
        <v>45835.36229166666</v>
      </c>
      <c r="C387" s="1" t="n">
        <v>46170</v>
      </c>
      <c r="D387" t="inlineStr">
        <is>
          <t>KALMAR LÄN</t>
        </is>
      </c>
      <c r="E387" t="inlineStr">
        <is>
          <t>VIMMERBY</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32077-2025</t>
        </is>
      </c>
      <c r="B388" s="1" t="n">
        <v>45835.45099537037</v>
      </c>
      <c r="C388" s="1" t="n">
        <v>46170</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32120-2025</t>
        </is>
      </c>
      <c r="B389" s="1" t="n">
        <v>45835.4924537037</v>
      </c>
      <c r="C389" s="1" t="n">
        <v>46170</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31876-2025</t>
        </is>
      </c>
      <c r="B390" s="1" t="n">
        <v>45834.65197916667</v>
      </c>
      <c r="C390" s="1" t="n">
        <v>46170</v>
      </c>
      <c r="D390" t="inlineStr">
        <is>
          <t>KALMAR LÄN</t>
        </is>
      </c>
      <c r="E390" t="inlineStr">
        <is>
          <t>VIMMERBY</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3269-2024</t>
        </is>
      </c>
      <c r="B391" s="1" t="n">
        <v>45317.40372685185</v>
      </c>
      <c r="C391" s="1" t="n">
        <v>46170</v>
      </c>
      <c r="D391" t="inlineStr">
        <is>
          <t>KALMAR LÄN</t>
        </is>
      </c>
      <c r="E391" t="inlineStr">
        <is>
          <t>VIMMERBY</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48120-2022</t>
        </is>
      </c>
      <c r="B392" s="1" t="n">
        <v>44857.65989583333</v>
      </c>
      <c r="C392" s="1" t="n">
        <v>46170</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6368-2023</t>
        </is>
      </c>
      <c r="B393" s="1" t="n">
        <v>44965</v>
      </c>
      <c r="C393" s="1" t="n">
        <v>46170</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9416-2024</t>
        </is>
      </c>
      <c r="B394" s="1" t="n">
        <v>45359.44837962963</v>
      </c>
      <c r="C394" s="1" t="n">
        <v>46170</v>
      </c>
      <c r="D394" t="inlineStr">
        <is>
          <t>KALMAR LÄN</t>
        </is>
      </c>
      <c r="E394" t="inlineStr">
        <is>
          <t>VIMMERBY</t>
        </is>
      </c>
      <c r="G394" t="n">
        <v>3.2</v>
      </c>
      <c r="H394" t="n">
        <v>0</v>
      </c>
      <c r="I394" t="n">
        <v>0</v>
      </c>
      <c r="J394" t="n">
        <v>0</v>
      </c>
      <c r="K394" t="n">
        <v>0</v>
      </c>
      <c r="L394" t="n">
        <v>0</v>
      </c>
      <c r="M394" t="n">
        <v>0</v>
      </c>
      <c r="N394" t="n">
        <v>0</v>
      </c>
      <c r="O394" t="n">
        <v>0</v>
      </c>
      <c r="P394" t="n">
        <v>0</v>
      </c>
      <c r="Q394" t="n">
        <v>0</v>
      </c>
      <c r="R394" s="2" t="inlineStr"/>
    </row>
    <row r="395" ht="15" customHeight="1">
      <c r="A395" t="inlineStr">
        <is>
          <t>A 55385-2025</t>
        </is>
      </c>
      <c r="B395" s="1" t="n">
        <v>45971.43350694444</v>
      </c>
      <c r="C395" s="1" t="n">
        <v>46170</v>
      </c>
      <c r="D395" t="inlineStr">
        <is>
          <t>KALMAR LÄN</t>
        </is>
      </c>
      <c r="E395" t="inlineStr">
        <is>
          <t>VIMMERBY</t>
        </is>
      </c>
      <c r="G395" t="n">
        <v>5</v>
      </c>
      <c r="H395" t="n">
        <v>0</v>
      </c>
      <c r="I395" t="n">
        <v>0</v>
      </c>
      <c r="J395" t="n">
        <v>0</v>
      </c>
      <c r="K395" t="n">
        <v>0</v>
      </c>
      <c r="L395" t="n">
        <v>0</v>
      </c>
      <c r="M395" t="n">
        <v>0</v>
      </c>
      <c r="N395" t="n">
        <v>0</v>
      </c>
      <c r="O395" t="n">
        <v>0</v>
      </c>
      <c r="P395" t="n">
        <v>0</v>
      </c>
      <c r="Q395" t="n">
        <v>0</v>
      </c>
      <c r="R395" s="2" t="inlineStr"/>
    </row>
    <row r="396" ht="15" customHeight="1">
      <c r="A396" t="inlineStr">
        <is>
          <t>A 2797-2023</t>
        </is>
      </c>
      <c r="B396" s="1" t="n">
        <v>44944.71386574074</v>
      </c>
      <c r="C396" s="1" t="n">
        <v>46170</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2799-2023</t>
        </is>
      </c>
      <c r="B397" s="1" t="n">
        <v>44944.72100694444</v>
      </c>
      <c r="C397" s="1" t="n">
        <v>46170</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48299-2025</t>
        </is>
      </c>
      <c r="B398" s="1" t="n">
        <v>45933.60982638889</v>
      </c>
      <c r="C398" s="1" t="n">
        <v>46170</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25987-2024</t>
        </is>
      </c>
      <c r="B399" s="1" t="n">
        <v>45467.74417824074</v>
      </c>
      <c r="C399" s="1" t="n">
        <v>46170</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22194-2024</t>
        </is>
      </c>
      <c r="B400" s="1" t="n">
        <v>45446.36482638889</v>
      </c>
      <c r="C400" s="1" t="n">
        <v>46170</v>
      </c>
      <c r="D400" t="inlineStr">
        <is>
          <t>KALMAR LÄN</t>
        </is>
      </c>
      <c r="E400" t="inlineStr">
        <is>
          <t>VIMMERBY</t>
        </is>
      </c>
      <c r="F400" t="inlineStr">
        <is>
          <t>Sveaskog</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46170</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32380-2025</t>
        </is>
      </c>
      <c r="B402" s="1" t="n">
        <v>45837.77701388889</v>
      </c>
      <c r="C402" s="1" t="n">
        <v>46170</v>
      </c>
      <c r="D402" t="inlineStr">
        <is>
          <t>KALMAR LÄN</t>
        </is>
      </c>
      <c r="E402" t="inlineStr">
        <is>
          <t>VIMMERBY</t>
        </is>
      </c>
      <c r="G402" t="n">
        <v>3.1</v>
      </c>
      <c r="H402" t="n">
        <v>0</v>
      </c>
      <c r="I402" t="n">
        <v>0</v>
      </c>
      <c r="J402" t="n">
        <v>0</v>
      </c>
      <c r="K402" t="n">
        <v>0</v>
      </c>
      <c r="L402" t="n">
        <v>0</v>
      </c>
      <c r="M402" t="n">
        <v>0</v>
      </c>
      <c r="N402" t="n">
        <v>0</v>
      </c>
      <c r="O402" t="n">
        <v>0</v>
      </c>
      <c r="P402" t="n">
        <v>0</v>
      </c>
      <c r="Q402" t="n">
        <v>0</v>
      </c>
      <c r="R402" s="2" t="inlineStr"/>
    </row>
    <row r="403" ht="15" customHeight="1">
      <c r="A403" t="inlineStr">
        <is>
          <t>A 12630-2023</t>
        </is>
      </c>
      <c r="B403" s="1" t="n">
        <v>45000.47998842593</v>
      </c>
      <c r="C403" s="1" t="n">
        <v>46170</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33186-2025</t>
        </is>
      </c>
      <c r="B404" s="1" t="n">
        <v>45840.59474537037</v>
      </c>
      <c r="C404" s="1" t="n">
        <v>46170</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33695-2025</t>
        </is>
      </c>
      <c r="B405" s="1" t="n">
        <v>45841.70569444444</v>
      </c>
      <c r="C405" s="1" t="n">
        <v>46170</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33698-2025</t>
        </is>
      </c>
      <c r="B406" s="1" t="n">
        <v>45841.70868055556</v>
      </c>
      <c r="C406" s="1" t="n">
        <v>46170</v>
      </c>
      <c r="D406" t="inlineStr">
        <is>
          <t>KALMAR LÄN</t>
        </is>
      </c>
      <c r="E406" t="inlineStr">
        <is>
          <t>VIMMERBY</t>
        </is>
      </c>
      <c r="G406" t="n">
        <v>3.7</v>
      </c>
      <c r="H406" t="n">
        <v>0</v>
      </c>
      <c r="I406" t="n">
        <v>0</v>
      </c>
      <c r="J406" t="n">
        <v>0</v>
      </c>
      <c r="K406" t="n">
        <v>0</v>
      </c>
      <c r="L406" t="n">
        <v>0</v>
      </c>
      <c r="M406" t="n">
        <v>0</v>
      </c>
      <c r="N406" t="n">
        <v>0</v>
      </c>
      <c r="O406" t="n">
        <v>0</v>
      </c>
      <c r="P406" t="n">
        <v>0</v>
      </c>
      <c r="Q406" t="n">
        <v>0</v>
      </c>
      <c r="R406" s="2" t="inlineStr"/>
    </row>
    <row r="407" ht="15" customHeight="1">
      <c r="A407" t="inlineStr">
        <is>
          <t>A 21109-2024</t>
        </is>
      </c>
      <c r="B407" s="1" t="n">
        <v>45440.28329861111</v>
      </c>
      <c r="C407" s="1" t="n">
        <v>46170</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30634-2024</t>
        </is>
      </c>
      <c r="B408" s="1" t="n">
        <v>45495</v>
      </c>
      <c r="C408" s="1" t="n">
        <v>46170</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40260-2024</t>
        </is>
      </c>
      <c r="B409" s="1" t="n">
        <v>45554.63225694445</v>
      </c>
      <c r="C409" s="1" t="n">
        <v>46170</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47955-2025</t>
        </is>
      </c>
      <c r="B410" s="1" t="n">
        <v>45932.58896990741</v>
      </c>
      <c r="C410" s="1" t="n">
        <v>46170</v>
      </c>
      <c r="D410" t="inlineStr">
        <is>
          <t>KALMAR LÄN</t>
        </is>
      </c>
      <c r="E410" t="inlineStr">
        <is>
          <t>VIMMERBY</t>
        </is>
      </c>
      <c r="G410" t="n">
        <v>3.4</v>
      </c>
      <c r="H410" t="n">
        <v>0</v>
      </c>
      <c r="I410" t="n">
        <v>0</v>
      </c>
      <c r="J410" t="n">
        <v>0</v>
      </c>
      <c r="K410" t="n">
        <v>0</v>
      </c>
      <c r="L410" t="n">
        <v>0</v>
      </c>
      <c r="M410" t="n">
        <v>0</v>
      </c>
      <c r="N410" t="n">
        <v>0</v>
      </c>
      <c r="O410" t="n">
        <v>0</v>
      </c>
      <c r="P410" t="n">
        <v>0</v>
      </c>
      <c r="Q410" t="n">
        <v>0</v>
      </c>
      <c r="R410" s="2" t="inlineStr"/>
    </row>
    <row r="411" ht="15" customHeight="1">
      <c r="A411" t="inlineStr">
        <is>
          <t>A 30977-2025</t>
        </is>
      </c>
      <c r="B411" s="1" t="n">
        <v>45832.46649305556</v>
      </c>
      <c r="C411" s="1" t="n">
        <v>46170</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46170</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33696-2025</t>
        </is>
      </c>
      <c r="B413" s="1" t="n">
        <v>45841.7072337963</v>
      </c>
      <c r="C413" s="1" t="n">
        <v>46170</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48712-2025</t>
        </is>
      </c>
      <c r="B414" s="1" t="n">
        <v>45936.63373842592</v>
      </c>
      <c r="C414" s="1" t="n">
        <v>46170</v>
      </c>
      <c r="D414" t="inlineStr">
        <is>
          <t>KALMAR LÄN</t>
        </is>
      </c>
      <c r="E414" t="inlineStr">
        <is>
          <t>VIMMERBY</t>
        </is>
      </c>
      <c r="G414" t="n">
        <v>3</v>
      </c>
      <c r="H414" t="n">
        <v>0</v>
      </c>
      <c r="I414" t="n">
        <v>0</v>
      </c>
      <c r="J414" t="n">
        <v>0</v>
      </c>
      <c r="K414" t="n">
        <v>0</v>
      </c>
      <c r="L414" t="n">
        <v>0</v>
      </c>
      <c r="M414" t="n">
        <v>0</v>
      </c>
      <c r="N414" t="n">
        <v>0</v>
      </c>
      <c r="O414" t="n">
        <v>0</v>
      </c>
      <c r="P414" t="n">
        <v>0</v>
      </c>
      <c r="Q414" t="n">
        <v>0</v>
      </c>
      <c r="R414" s="2" t="inlineStr"/>
    </row>
    <row r="415" ht="15" customHeight="1">
      <c r="A415" t="inlineStr">
        <is>
          <t>A 59943-2023</t>
        </is>
      </c>
      <c r="B415" s="1" t="n">
        <v>45257.67958333333</v>
      </c>
      <c r="C415" s="1" t="n">
        <v>46170</v>
      </c>
      <c r="D415" t="inlineStr">
        <is>
          <t>KALMAR LÄN</t>
        </is>
      </c>
      <c r="E415" t="inlineStr">
        <is>
          <t>VIMMERBY</t>
        </is>
      </c>
      <c r="G415" t="n">
        <v>6.4</v>
      </c>
      <c r="H415" t="n">
        <v>0</v>
      </c>
      <c r="I415" t="n">
        <v>0</v>
      </c>
      <c r="J415" t="n">
        <v>0</v>
      </c>
      <c r="K415" t="n">
        <v>0</v>
      </c>
      <c r="L415" t="n">
        <v>0</v>
      </c>
      <c r="M415" t="n">
        <v>0</v>
      </c>
      <c r="N415" t="n">
        <v>0</v>
      </c>
      <c r="O415" t="n">
        <v>0</v>
      </c>
      <c r="P415" t="n">
        <v>0</v>
      </c>
      <c r="Q415" t="n">
        <v>0</v>
      </c>
      <c r="R415" s="2" t="inlineStr"/>
    </row>
    <row r="416" ht="15" customHeight="1">
      <c r="A416" t="inlineStr">
        <is>
          <t>A 48408-2025</t>
        </is>
      </c>
      <c r="B416" s="1" t="n">
        <v>45934.40527777778</v>
      </c>
      <c r="C416" s="1" t="n">
        <v>46170</v>
      </c>
      <c r="D416" t="inlineStr">
        <is>
          <t>KALMAR LÄN</t>
        </is>
      </c>
      <c r="E416" t="inlineStr">
        <is>
          <t>VIMMERBY</t>
        </is>
      </c>
      <c r="G416" t="n">
        <v>2.4</v>
      </c>
      <c r="H416" t="n">
        <v>0</v>
      </c>
      <c r="I416" t="n">
        <v>0</v>
      </c>
      <c r="J416" t="n">
        <v>0</v>
      </c>
      <c r="K416" t="n">
        <v>0</v>
      </c>
      <c r="L416" t="n">
        <v>0</v>
      </c>
      <c r="M416" t="n">
        <v>0</v>
      </c>
      <c r="N416" t="n">
        <v>0</v>
      </c>
      <c r="O416" t="n">
        <v>0</v>
      </c>
      <c r="P416" t="n">
        <v>0</v>
      </c>
      <c r="Q416" t="n">
        <v>0</v>
      </c>
      <c r="R416" s="2" t="inlineStr"/>
    </row>
    <row r="417" ht="15" customHeight="1">
      <c r="A417" t="inlineStr">
        <is>
          <t>A 5527-2022</t>
        </is>
      </c>
      <c r="B417" s="1" t="n">
        <v>44595.583125</v>
      </c>
      <c r="C417" s="1" t="n">
        <v>46170</v>
      </c>
      <c r="D417" t="inlineStr">
        <is>
          <t>KALMAR LÄN</t>
        </is>
      </c>
      <c r="E417" t="inlineStr">
        <is>
          <t>VIMMERBY</t>
        </is>
      </c>
      <c r="G417" t="n">
        <v>3.6</v>
      </c>
      <c r="H417" t="n">
        <v>0</v>
      </c>
      <c r="I417" t="n">
        <v>0</v>
      </c>
      <c r="J417" t="n">
        <v>0</v>
      </c>
      <c r="K417" t="n">
        <v>0</v>
      </c>
      <c r="L417" t="n">
        <v>0</v>
      </c>
      <c r="M417" t="n">
        <v>0</v>
      </c>
      <c r="N417" t="n">
        <v>0</v>
      </c>
      <c r="O417" t="n">
        <v>0</v>
      </c>
      <c r="P417" t="n">
        <v>0</v>
      </c>
      <c r="Q417" t="n">
        <v>0</v>
      </c>
      <c r="R417" s="2" t="inlineStr"/>
    </row>
    <row r="418" ht="15" customHeight="1">
      <c r="A418" t="inlineStr">
        <is>
          <t>A 48409-2025</t>
        </is>
      </c>
      <c r="B418" s="1" t="n">
        <v>45934.41387731482</v>
      </c>
      <c r="C418" s="1" t="n">
        <v>46170</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48600-2025</t>
        </is>
      </c>
      <c r="B419" s="1" t="n">
        <v>45935</v>
      </c>
      <c r="C419" s="1" t="n">
        <v>46170</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12325-2023</t>
        </is>
      </c>
      <c r="B420" s="1" t="n">
        <v>44999.35858796296</v>
      </c>
      <c r="C420" s="1" t="n">
        <v>46170</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26956-2025</t>
        </is>
      </c>
      <c r="B421" s="1" t="n">
        <v>45811.45460648148</v>
      </c>
      <c r="C421" s="1" t="n">
        <v>46170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1016-2024</t>
        </is>
      </c>
      <c r="B422" s="1" t="n">
        <v>45301</v>
      </c>
      <c r="C422" s="1" t="n">
        <v>46170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34071-2025</t>
        </is>
      </c>
      <c r="B423" s="1" t="n">
        <v>45845.43803240741</v>
      </c>
      <c r="C423" s="1" t="n">
        <v>46170</v>
      </c>
      <c r="D423" t="inlineStr">
        <is>
          <t>KALMAR LÄN</t>
        </is>
      </c>
      <c r="E423" t="inlineStr">
        <is>
          <t>VIMMERBY</t>
        </is>
      </c>
      <c r="G423" t="n">
        <v>6.8</v>
      </c>
      <c r="H423" t="n">
        <v>0</v>
      </c>
      <c r="I423" t="n">
        <v>0</v>
      </c>
      <c r="J423" t="n">
        <v>0</v>
      </c>
      <c r="K423" t="n">
        <v>0</v>
      </c>
      <c r="L423" t="n">
        <v>0</v>
      </c>
      <c r="M423" t="n">
        <v>0</v>
      </c>
      <c r="N423" t="n">
        <v>0</v>
      </c>
      <c r="O423" t="n">
        <v>0</v>
      </c>
      <c r="P423" t="n">
        <v>0</v>
      </c>
      <c r="Q423" t="n">
        <v>0</v>
      </c>
      <c r="R423" s="2" t="inlineStr"/>
    </row>
    <row r="424" ht="15" customHeight="1">
      <c r="A424" t="inlineStr">
        <is>
          <t>A 34106-2025</t>
        </is>
      </c>
      <c r="B424" s="1" t="n">
        <v>45845.49414351852</v>
      </c>
      <c r="C424" s="1" t="n">
        <v>46170</v>
      </c>
      <c r="D424" t="inlineStr">
        <is>
          <t>KALMAR LÄN</t>
        </is>
      </c>
      <c r="E424" t="inlineStr">
        <is>
          <t>VIMMERBY</t>
        </is>
      </c>
      <c r="G424" t="n">
        <v>6</v>
      </c>
      <c r="H424" t="n">
        <v>0</v>
      </c>
      <c r="I424" t="n">
        <v>0</v>
      </c>
      <c r="J424" t="n">
        <v>0</v>
      </c>
      <c r="K424" t="n">
        <v>0</v>
      </c>
      <c r="L424" t="n">
        <v>0</v>
      </c>
      <c r="M424" t="n">
        <v>0</v>
      </c>
      <c r="N424" t="n">
        <v>0</v>
      </c>
      <c r="O424" t="n">
        <v>0</v>
      </c>
      <c r="P424" t="n">
        <v>0</v>
      </c>
      <c r="Q424" t="n">
        <v>0</v>
      </c>
      <c r="R424" s="2" t="inlineStr"/>
    </row>
    <row r="425" ht="15" customHeight="1">
      <c r="A425" t="inlineStr">
        <is>
          <t>A 28702-2025</t>
        </is>
      </c>
      <c r="B425" s="1" t="n">
        <v>45820.03976851852</v>
      </c>
      <c r="C425" s="1" t="n">
        <v>46170</v>
      </c>
      <c r="D425" t="inlineStr">
        <is>
          <t>KALMAR LÄN</t>
        </is>
      </c>
      <c r="E425" t="inlineStr">
        <is>
          <t>VIMMERBY</t>
        </is>
      </c>
      <c r="G425" t="n">
        <v>2.1</v>
      </c>
      <c r="H425" t="n">
        <v>0</v>
      </c>
      <c r="I425" t="n">
        <v>0</v>
      </c>
      <c r="J425" t="n">
        <v>0</v>
      </c>
      <c r="K425" t="n">
        <v>0</v>
      </c>
      <c r="L425" t="n">
        <v>0</v>
      </c>
      <c r="M425" t="n">
        <v>0</v>
      </c>
      <c r="N425" t="n">
        <v>0</v>
      </c>
      <c r="O425" t="n">
        <v>0</v>
      </c>
      <c r="P425" t="n">
        <v>0</v>
      </c>
      <c r="Q425" t="n">
        <v>0</v>
      </c>
      <c r="R425" s="2" t="inlineStr"/>
    </row>
    <row r="426" ht="15" customHeight="1">
      <c r="A426" t="inlineStr">
        <is>
          <t>A 33681-2022</t>
        </is>
      </c>
      <c r="B426" s="1" t="n">
        <v>44789</v>
      </c>
      <c r="C426" s="1" t="n">
        <v>46170</v>
      </c>
      <c r="D426" t="inlineStr">
        <is>
          <t>KALMAR LÄN</t>
        </is>
      </c>
      <c r="E426" t="inlineStr">
        <is>
          <t>VIMMERBY</t>
        </is>
      </c>
      <c r="G426" t="n">
        <v>3.2</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46170</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34628-2025</t>
        </is>
      </c>
      <c r="B428" s="1" t="n">
        <v>45847.91280092593</v>
      </c>
      <c r="C428" s="1" t="n">
        <v>46170</v>
      </c>
      <c r="D428" t="inlineStr">
        <is>
          <t>KALMAR LÄN</t>
        </is>
      </c>
      <c r="E428" t="inlineStr">
        <is>
          <t>VIMMERBY</t>
        </is>
      </c>
      <c r="G428" t="n">
        <v>4.2</v>
      </c>
      <c r="H428" t="n">
        <v>0</v>
      </c>
      <c r="I428" t="n">
        <v>0</v>
      </c>
      <c r="J428" t="n">
        <v>0</v>
      </c>
      <c r="K428" t="n">
        <v>0</v>
      </c>
      <c r="L428" t="n">
        <v>0</v>
      </c>
      <c r="M428" t="n">
        <v>0</v>
      </c>
      <c r="N428" t="n">
        <v>0</v>
      </c>
      <c r="O428" t="n">
        <v>0</v>
      </c>
      <c r="P428" t="n">
        <v>0</v>
      </c>
      <c r="Q428" t="n">
        <v>0</v>
      </c>
      <c r="R428" s="2" t="inlineStr"/>
    </row>
    <row r="429" ht="15" customHeight="1">
      <c r="A429" t="inlineStr">
        <is>
          <t>A 51187-2023</t>
        </is>
      </c>
      <c r="B429" s="1" t="n">
        <v>45219.40528935185</v>
      </c>
      <c r="C429" s="1" t="n">
        <v>46170</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15715-2022</t>
        </is>
      </c>
      <c r="B430" s="1" t="n">
        <v>44663</v>
      </c>
      <c r="C430" s="1" t="n">
        <v>46170</v>
      </c>
      <c r="D430" t="inlineStr">
        <is>
          <t>KALMAR LÄN</t>
        </is>
      </c>
      <c r="E430" t="inlineStr">
        <is>
          <t>VIMMERBY</t>
        </is>
      </c>
      <c r="G430" t="n">
        <v>2.3</v>
      </c>
      <c r="H430" t="n">
        <v>0</v>
      </c>
      <c r="I430" t="n">
        <v>0</v>
      </c>
      <c r="J430" t="n">
        <v>0</v>
      </c>
      <c r="K430" t="n">
        <v>0</v>
      </c>
      <c r="L430" t="n">
        <v>0</v>
      </c>
      <c r="M430" t="n">
        <v>0</v>
      </c>
      <c r="N430" t="n">
        <v>0</v>
      </c>
      <c r="O430" t="n">
        <v>0</v>
      </c>
      <c r="P430" t="n">
        <v>0</v>
      </c>
      <c r="Q430" t="n">
        <v>0</v>
      </c>
      <c r="R430" s="2" t="inlineStr"/>
    </row>
    <row r="431" ht="15" customHeight="1">
      <c r="A431" t="inlineStr">
        <is>
          <t>A 43093-2024</t>
        </is>
      </c>
      <c r="B431" s="1" t="n">
        <v>45567</v>
      </c>
      <c r="C431" s="1" t="n">
        <v>46170</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56022-2024</t>
        </is>
      </c>
      <c r="B432" s="1" t="n">
        <v>45623.95947916667</v>
      </c>
      <c r="C432" s="1" t="n">
        <v>46170</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18330-2023</t>
        </is>
      </c>
      <c r="B433" s="1" t="n">
        <v>45041</v>
      </c>
      <c r="C433" s="1" t="n">
        <v>46170</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20126-2024</t>
        </is>
      </c>
      <c r="B434" s="1" t="n">
        <v>45434.55471064815</v>
      </c>
      <c r="C434" s="1" t="n">
        <v>46170</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20136-2024</t>
        </is>
      </c>
      <c r="B435" s="1" t="n">
        <v>45434.56291666667</v>
      </c>
      <c r="C435" s="1" t="n">
        <v>46170</v>
      </c>
      <c r="D435" t="inlineStr">
        <is>
          <t>KALMAR LÄN</t>
        </is>
      </c>
      <c r="E435" t="inlineStr">
        <is>
          <t>VIMMERBY</t>
        </is>
      </c>
      <c r="F435" t="inlineStr">
        <is>
          <t>Sveaskog</t>
        </is>
      </c>
      <c r="G435" t="n">
        <v>8.4</v>
      </c>
      <c r="H435" t="n">
        <v>0</v>
      </c>
      <c r="I435" t="n">
        <v>0</v>
      </c>
      <c r="J435" t="n">
        <v>0</v>
      </c>
      <c r="K435" t="n">
        <v>0</v>
      </c>
      <c r="L435" t="n">
        <v>0</v>
      </c>
      <c r="M435" t="n">
        <v>0</v>
      </c>
      <c r="N435" t="n">
        <v>0</v>
      </c>
      <c r="O435" t="n">
        <v>0</v>
      </c>
      <c r="P435" t="n">
        <v>0</v>
      </c>
      <c r="Q435" t="n">
        <v>0</v>
      </c>
      <c r="R435" s="2" t="inlineStr"/>
    </row>
    <row r="436" ht="15" customHeight="1">
      <c r="A436" t="inlineStr">
        <is>
          <t>A 49871-2025</t>
        </is>
      </c>
      <c r="B436" s="1" t="n">
        <v>45940.54104166666</v>
      </c>
      <c r="C436" s="1" t="n">
        <v>46170</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46921-2023</t>
        </is>
      </c>
      <c r="B437" s="1" t="n">
        <v>45201.39996527778</v>
      </c>
      <c r="C437" s="1" t="n">
        <v>46170</v>
      </c>
      <c r="D437" t="inlineStr">
        <is>
          <t>KALMAR LÄN</t>
        </is>
      </c>
      <c r="E437" t="inlineStr">
        <is>
          <t>VIMMERBY</t>
        </is>
      </c>
      <c r="G437" t="n">
        <v>2.6</v>
      </c>
      <c r="H437" t="n">
        <v>0</v>
      </c>
      <c r="I437" t="n">
        <v>0</v>
      </c>
      <c r="J437" t="n">
        <v>0</v>
      </c>
      <c r="K437" t="n">
        <v>0</v>
      </c>
      <c r="L437" t="n">
        <v>0</v>
      </c>
      <c r="M437" t="n">
        <v>0</v>
      </c>
      <c r="N437" t="n">
        <v>0</v>
      </c>
      <c r="O437" t="n">
        <v>0</v>
      </c>
      <c r="P437" t="n">
        <v>0</v>
      </c>
      <c r="Q437" t="n">
        <v>0</v>
      </c>
      <c r="R437" s="2" t="inlineStr"/>
    </row>
    <row r="438" ht="15" customHeight="1">
      <c r="A438" t="inlineStr">
        <is>
          <t>A 35270-2025</t>
        </is>
      </c>
      <c r="B438" s="1" t="n">
        <v>45853.87112268519</v>
      </c>
      <c r="C438" s="1" t="n">
        <v>46170</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35271-2025</t>
        </is>
      </c>
      <c r="B439" s="1" t="n">
        <v>45853.87599537037</v>
      </c>
      <c r="C439" s="1" t="n">
        <v>46170</v>
      </c>
      <c r="D439" t="inlineStr">
        <is>
          <t>KALMAR LÄN</t>
        </is>
      </c>
      <c r="E439" t="inlineStr">
        <is>
          <t>VIMMERBY</t>
        </is>
      </c>
      <c r="G439" t="n">
        <v>0.4</v>
      </c>
      <c r="H439" t="n">
        <v>0</v>
      </c>
      <c r="I439" t="n">
        <v>0</v>
      </c>
      <c r="J439" t="n">
        <v>0</v>
      </c>
      <c r="K439" t="n">
        <v>0</v>
      </c>
      <c r="L439" t="n">
        <v>0</v>
      </c>
      <c r="M439" t="n">
        <v>0</v>
      </c>
      <c r="N439" t="n">
        <v>0</v>
      </c>
      <c r="O439" t="n">
        <v>0</v>
      </c>
      <c r="P439" t="n">
        <v>0</v>
      </c>
      <c r="Q439" t="n">
        <v>0</v>
      </c>
      <c r="R439" s="2" t="inlineStr"/>
    </row>
    <row r="440" ht="15" customHeight="1">
      <c r="A440" t="inlineStr">
        <is>
          <t>A 35272-2025</t>
        </is>
      </c>
      <c r="B440" s="1" t="n">
        <v>45853.88070601852</v>
      </c>
      <c r="C440" s="1" t="n">
        <v>46170</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25236-2023</t>
        </is>
      </c>
      <c r="B441" s="1" t="n">
        <v>45086.63334490741</v>
      </c>
      <c r="C441" s="1" t="n">
        <v>46170</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16953-2025</t>
        </is>
      </c>
      <c r="B442" s="1" t="n">
        <v>45755.44333333334</v>
      </c>
      <c r="C442" s="1" t="n">
        <v>46170</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50544-2025</t>
        </is>
      </c>
      <c r="B443" s="1" t="n">
        <v>45945.50736111111</v>
      </c>
      <c r="C443" s="1" t="n">
        <v>46170</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35596-2025</t>
        </is>
      </c>
      <c r="B444" s="1" t="n">
        <v>45858.60641203704</v>
      </c>
      <c r="C444" s="1" t="n">
        <v>46170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35597-2025</t>
        </is>
      </c>
      <c r="B445" s="1" t="n">
        <v>45858.66019675926</v>
      </c>
      <c r="C445" s="1" t="n">
        <v>46170</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50324-2025</t>
        </is>
      </c>
      <c r="B446" s="1" t="n">
        <v>45944.45962962963</v>
      </c>
      <c r="C446" s="1" t="n">
        <v>46170</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6082-2022</t>
        </is>
      </c>
      <c r="B447" s="1" t="n">
        <v>44599</v>
      </c>
      <c r="C447" s="1" t="n">
        <v>46170</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2801-2023</t>
        </is>
      </c>
      <c r="B448" s="1" t="n">
        <v>44944.73487268519</v>
      </c>
      <c r="C448" s="1" t="n">
        <v>46170</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5146-2024</t>
        </is>
      </c>
      <c r="B449" s="1" t="n">
        <v>45330</v>
      </c>
      <c r="C449" s="1" t="n">
        <v>46170</v>
      </c>
      <c r="D449" t="inlineStr">
        <is>
          <t>KALMAR LÄN</t>
        </is>
      </c>
      <c r="E449" t="inlineStr">
        <is>
          <t>VIMMERBY</t>
        </is>
      </c>
      <c r="G449" t="n">
        <v>5.3</v>
      </c>
      <c r="H449" t="n">
        <v>0</v>
      </c>
      <c r="I449" t="n">
        <v>0</v>
      </c>
      <c r="J449" t="n">
        <v>0</v>
      </c>
      <c r="K449" t="n">
        <v>0</v>
      </c>
      <c r="L449" t="n">
        <v>0</v>
      </c>
      <c r="M449" t="n">
        <v>0</v>
      </c>
      <c r="N449" t="n">
        <v>0</v>
      </c>
      <c r="O449" t="n">
        <v>0</v>
      </c>
      <c r="P449" t="n">
        <v>0</v>
      </c>
      <c r="Q449" t="n">
        <v>0</v>
      </c>
      <c r="R449" s="2" t="inlineStr"/>
    </row>
    <row r="450" ht="15" customHeight="1">
      <c r="A450" t="inlineStr">
        <is>
          <t>A 5148-2024</t>
        </is>
      </c>
      <c r="B450" s="1" t="n">
        <v>45330</v>
      </c>
      <c r="C450" s="1" t="n">
        <v>46170</v>
      </c>
      <c r="D450" t="inlineStr">
        <is>
          <t>KALMAR LÄN</t>
        </is>
      </c>
      <c r="E450" t="inlineStr">
        <is>
          <t>VIMMERBY</t>
        </is>
      </c>
      <c r="G450" t="n">
        <v>5.6</v>
      </c>
      <c r="H450" t="n">
        <v>0</v>
      </c>
      <c r="I450" t="n">
        <v>0</v>
      </c>
      <c r="J450" t="n">
        <v>0</v>
      </c>
      <c r="K450" t="n">
        <v>0</v>
      </c>
      <c r="L450" t="n">
        <v>0</v>
      </c>
      <c r="M450" t="n">
        <v>0</v>
      </c>
      <c r="N450" t="n">
        <v>0</v>
      </c>
      <c r="O450" t="n">
        <v>0</v>
      </c>
      <c r="P450" t="n">
        <v>0</v>
      </c>
      <c r="Q450" t="n">
        <v>0</v>
      </c>
      <c r="R450" s="2" t="inlineStr"/>
    </row>
    <row r="451" ht="15" customHeight="1">
      <c r="A451" t="inlineStr">
        <is>
          <t>A 36226-2025</t>
        </is>
      </c>
      <c r="B451" s="1" t="n">
        <v>45867.51630787037</v>
      </c>
      <c r="C451" s="1" t="n">
        <v>46170</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36273-2025</t>
        </is>
      </c>
      <c r="B452" s="1" t="n">
        <v>45867.63094907408</v>
      </c>
      <c r="C452" s="1" t="n">
        <v>46170</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46170</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58278-2023</t>
        </is>
      </c>
      <c r="B454" s="1" t="n">
        <v>45250.5278587963</v>
      </c>
      <c r="C454" s="1" t="n">
        <v>46170</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36246-2025</t>
        </is>
      </c>
      <c r="B455" s="1" t="n">
        <v>45867.56320601852</v>
      </c>
      <c r="C455" s="1" t="n">
        <v>46170</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36297-2025</t>
        </is>
      </c>
      <c r="B456" s="1" t="n">
        <v>45867.68625</v>
      </c>
      <c r="C456" s="1" t="n">
        <v>46170</v>
      </c>
      <c r="D456" t="inlineStr">
        <is>
          <t>KALMAR LÄN</t>
        </is>
      </c>
      <c r="E456" t="inlineStr">
        <is>
          <t>VIMMERBY</t>
        </is>
      </c>
      <c r="G456" t="n">
        <v>4.9</v>
      </c>
      <c r="H456" t="n">
        <v>0</v>
      </c>
      <c r="I456" t="n">
        <v>0</v>
      </c>
      <c r="J456" t="n">
        <v>0</v>
      </c>
      <c r="K456" t="n">
        <v>0</v>
      </c>
      <c r="L456" t="n">
        <v>0</v>
      </c>
      <c r="M456" t="n">
        <v>0</v>
      </c>
      <c r="N456" t="n">
        <v>0</v>
      </c>
      <c r="O456" t="n">
        <v>0</v>
      </c>
      <c r="P456" t="n">
        <v>0</v>
      </c>
      <c r="Q456" t="n">
        <v>0</v>
      </c>
      <c r="R456" s="2" t="inlineStr"/>
    </row>
    <row r="457" ht="15" customHeight="1">
      <c r="A457" t="inlineStr">
        <is>
          <t>A 22266-2023</t>
        </is>
      </c>
      <c r="B457" s="1" t="n">
        <v>45070</v>
      </c>
      <c r="C457" s="1" t="n">
        <v>46170</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52588-2023</t>
        </is>
      </c>
      <c r="B458" s="1" t="n">
        <v>45225.60192129629</v>
      </c>
      <c r="C458" s="1" t="n">
        <v>46170</v>
      </c>
      <c r="D458" t="inlineStr">
        <is>
          <t>KALMAR LÄN</t>
        </is>
      </c>
      <c r="E458" t="inlineStr">
        <is>
          <t>VIMMERBY</t>
        </is>
      </c>
      <c r="G458" t="n">
        <v>2.9</v>
      </c>
      <c r="H458" t="n">
        <v>0</v>
      </c>
      <c r="I458" t="n">
        <v>0</v>
      </c>
      <c r="J458" t="n">
        <v>0</v>
      </c>
      <c r="K458" t="n">
        <v>0</v>
      </c>
      <c r="L458" t="n">
        <v>0</v>
      </c>
      <c r="M458" t="n">
        <v>0</v>
      </c>
      <c r="N458" t="n">
        <v>0</v>
      </c>
      <c r="O458" t="n">
        <v>0</v>
      </c>
      <c r="P458" t="n">
        <v>0</v>
      </c>
      <c r="Q458" t="n">
        <v>0</v>
      </c>
      <c r="R458" s="2" t="inlineStr"/>
    </row>
    <row r="459" ht="15" customHeight="1">
      <c r="A459" t="inlineStr">
        <is>
          <t>A 36221-2025</t>
        </is>
      </c>
      <c r="B459" s="1" t="n">
        <v>45867.50792824074</v>
      </c>
      <c r="C459" s="1" t="n">
        <v>46170</v>
      </c>
      <c r="D459" t="inlineStr">
        <is>
          <t>KALMAR LÄN</t>
        </is>
      </c>
      <c r="E459" t="inlineStr">
        <is>
          <t>VIMMERBY</t>
        </is>
      </c>
      <c r="G459" t="n">
        <v>2.5</v>
      </c>
      <c r="H459" t="n">
        <v>0</v>
      </c>
      <c r="I459" t="n">
        <v>0</v>
      </c>
      <c r="J459" t="n">
        <v>0</v>
      </c>
      <c r="K459" t="n">
        <v>0</v>
      </c>
      <c r="L459" t="n">
        <v>0</v>
      </c>
      <c r="M459" t="n">
        <v>0</v>
      </c>
      <c r="N459" t="n">
        <v>0</v>
      </c>
      <c r="O459" t="n">
        <v>0</v>
      </c>
      <c r="P459" t="n">
        <v>0</v>
      </c>
      <c r="Q459" t="n">
        <v>0</v>
      </c>
      <c r="R459" s="2" t="inlineStr"/>
    </row>
    <row r="460" ht="15" customHeight="1">
      <c r="A460" t="inlineStr">
        <is>
          <t>A 19502-2025</t>
        </is>
      </c>
      <c r="B460" s="1" t="n">
        <v>45769</v>
      </c>
      <c r="C460" s="1" t="n">
        <v>46170</v>
      </c>
      <c r="D460" t="inlineStr">
        <is>
          <t>KALMAR LÄN</t>
        </is>
      </c>
      <c r="E460" t="inlineStr">
        <is>
          <t>VIMMERBY</t>
        </is>
      </c>
      <c r="G460" t="n">
        <v>1.9</v>
      </c>
      <c r="H460" t="n">
        <v>0</v>
      </c>
      <c r="I460" t="n">
        <v>0</v>
      </c>
      <c r="J460" t="n">
        <v>0</v>
      </c>
      <c r="K460" t="n">
        <v>0</v>
      </c>
      <c r="L460" t="n">
        <v>0</v>
      </c>
      <c r="M460" t="n">
        <v>0</v>
      </c>
      <c r="N460" t="n">
        <v>0</v>
      </c>
      <c r="O460" t="n">
        <v>0</v>
      </c>
      <c r="P460" t="n">
        <v>0</v>
      </c>
      <c r="Q460" t="n">
        <v>0</v>
      </c>
      <c r="R460" s="2" t="inlineStr"/>
    </row>
    <row r="461" ht="15" customHeight="1">
      <c r="A461" t="inlineStr">
        <is>
          <t>A 36299-2025</t>
        </is>
      </c>
      <c r="B461" s="1" t="n">
        <v>45867.69346064814</v>
      </c>
      <c r="C461" s="1" t="n">
        <v>46170</v>
      </c>
      <c r="D461" t="inlineStr">
        <is>
          <t>KALMAR LÄN</t>
        </is>
      </c>
      <c r="E461" t="inlineStr">
        <is>
          <t>VIMMERBY</t>
        </is>
      </c>
      <c r="G461" t="n">
        <v>7.6</v>
      </c>
      <c r="H461" t="n">
        <v>0</v>
      </c>
      <c r="I461" t="n">
        <v>0</v>
      </c>
      <c r="J461" t="n">
        <v>0</v>
      </c>
      <c r="K461" t="n">
        <v>0</v>
      </c>
      <c r="L461" t="n">
        <v>0</v>
      </c>
      <c r="M461" t="n">
        <v>0</v>
      </c>
      <c r="N461" t="n">
        <v>0</v>
      </c>
      <c r="O461" t="n">
        <v>0</v>
      </c>
      <c r="P461" t="n">
        <v>0</v>
      </c>
      <c r="Q461" t="n">
        <v>0</v>
      </c>
      <c r="R461" s="2" t="inlineStr"/>
    </row>
    <row r="462" ht="15" customHeight="1">
      <c r="A462" t="inlineStr">
        <is>
          <t>A 6802-2025</t>
        </is>
      </c>
      <c r="B462" s="1" t="n">
        <v>45700.68289351852</v>
      </c>
      <c r="C462" s="1" t="n">
        <v>46170</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71793-2021</t>
        </is>
      </c>
      <c r="B463" s="1" t="n">
        <v>44539</v>
      </c>
      <c r="C463" s="1" t="n">
        <v>46170</v>
      </c>
      <c r="D463" t="inlineStr">
        <is>
          <t>KALMAR LÄN</t>
        </is>
      </c>
      <c r="E463" t="inlineStr">
        <is>
          <t>VIMMERBY</t>
        </is>
      </c>
      <c r="G463" t="n">
        <v>2.7</v>
      </c>
      <c r="H463" t="n">
        <v>0</v>
      </c>
      <c r="I463" t="n">
        <v>0</v>
      </c>
      <c r="J463" t="n">
        <v>0</v>
      </c>
      <c r="K463" t="n">
        <v>0</v>
      </c>
      <c r="L463" t="n">
        <v>0</v>
      </c>
      <c r="M463" t="n">
        <v>0</v>
      </c>
      <c r="N463" t="n">
        <v>0</v>
      </c>
      <c r="O463" t="n">
        <v>0</v>
      </c>
      <c r="P463" t="n">
        <v>0</v>
      </c>
      <c r="Q463" t="n">
        <v>0</v>
      </c>
      <c r="R463" s="2" t="inlineStr"/>
    </row>
    <row r="464" ht="15" customHeight="1">
      <c r="A464" t="inlineStr">
        <is>
          <t>A 36538-2025</t>
        </is>
      </c>
      <c r="B464" s="1" t="n">
        <v>45869.62276620371</v>
      </c>
      <c r="C464" s="1" t="n">
        <v>46170</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527-2024</t>
        </is>
      </c>
      <c r="B465" s="1" t="n">
        <v>45299.47513888889</v>
      </c>
      <c r="C465" s="1" t="n">
        <v>46170</v>
      </c>
      <c r="D465" t="inlineStr">
        <is>
          <t>KALMAR LÄN</t>
        </is>
      </c>
      <c r="E465" t="inlineStr">
        <is>
          <t>VIMMERBY</t>
        </is>
      </c>
      <c r="G465" t="n">
        <v>2.2</v>
      </c>
      <c r="H465" t="n">
        <v>0</v>
      </c>
      <c r="I465" t="n">
        <v>0</v>
      </c>
      <c r="J465" t="n">
        <v>0</v>
      </c>
      <c r="K465" t="n">
        <v>0</v>
      </c>
      <c r="L465" t="n">
        <v>0</v>
      </c>
      <c r="M465" t="n">
        <v>0</v>
      </c>
      <c r="N465" t="n">
        <v>0</v>
      </c>
      <c r="O465" t="n">
        <v>0</v>
      </c>
      <c r="P465" t="n">
        <v>0</v>
      </c>
      <c r="Q465" t="n">
        <v>0</v>
      </c>
      <c r="R465" s="2" t="inlineStr"/>
    </row>
    <row r="466" ht="15" customHeight="1">
      <c r="A466" t="inlineStr">
        <is>
          <t>A 60230-2022</t>
        </is>
      </c>
      <c r="B466" s="1" t="n">
        <v>44910</v>
      </c>
      <c r="C466" s="1" t="n">
        <v>46170</v>
      </c>
      <c r="D466" t="inlineStr">
        <is>
          <t>KALMAR LÄN</t>
        </is>
      </c>
      <c r="E466" t="inlineStr">
        <is>
          <t>VIMMERBY</t>
        </is>
      </c>
      <c r="G466" t="n">
        <v>11.3</v>
      </c>
      <c r="H466" t="n">
        <v>0</v>
      </c>
      <c r="I466" t="n">
        <v>0</v>
      </c>
      <c r="J466" t="n">
        <v>0</v>
      </c>
      <c r="K466" t="n">
        <v>0</v>
      </c>
      <c r="L466" t="n">
        <v>0</v>
      </c>
      <c r="M466" t="n">
        <v>0</v>
      </c>
      <c r="N466" t="n">
        <v>0</v>
      </c>
      <c r="O466" t="n">
        <v>0</v>
      </c>
      <c r="P466" t="n">
        <v>0</v>
      </c>
      <c r="Q466" t="n">
        <v>0</v>
      </c>
      <c r="R466" s="2" t="inlineStr"/>
    </row>
    <row r="467" ht="15" customHeight="1">
      <c r="A467" t="inlineStr">
        <is>
          <t>A 36598-2025</t>
        </is>
      </c>
      <c r="B467" s="1" t="n">
        <v>45870.51708333333</v>
      </c>
      <c r="C467" s="1" t="n">
        <v>46170</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36602-2025</t>
        </is>
      </c>
      <c r="B468" s="1" t="n">
        <v>45870.52111111111</v>
      </c>
      <c r="C468" s="1" t="n">
        <v>46170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5925-2022</t>
        </is>
      </c>
      <c r="B469" s="1" t="n">
        <v>44598.7384837963</v>
      </c>
      <c r="C469" s="1" t="n">
        <v>46170</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46522-2022</t>
        </is>
      </c>
      <c r="B470" s="1" t="n">
        <v>44848.59133101852</v>
      </c>
      <c r="C470" s="1" t="n">
        <v>46170</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36603-2025</t>
        </is>
      </c>
      <c r="B471" s="1" t="n">
        <v>45870.52142361111</v>
      </c>
      <c r="C471" s="1" t="n">
        <v>46170</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41066-2024</t>
        </is>
      </c>
      <c r="B472" s="1" t="n">
        <v>45559.38876157408</v>
      </c>
      <c r="C472" s="1" t="n">
        <v>46170</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36600-2025</t>
        </is>
      </c>
      <c r="B473" s="1" t="n">
        <v>45870.51958333333</v>
      </c>
      <c r="C473" s="1" t="n">
        <v>46170</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36601-2025</t>
        </is>
      </c>
      <c r="B474" s="1" t="n">
        <v>45870.52005787037</v>
      </c>
      <c r="C474" s="1" t="n">
        <v>46170</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52279-2023</t>
        </is>
      </c>
      <c r="B475" s="1" t="n">
        <v>45224</v>
      </c>
      <c r="C475" s="1" t="n">
        <v>46170</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17486-2024</t>
        </is>
      </c>
      <c r="B476" s="1" t="n">
        <v>45415.48979166667</v>
      </c>
      <c r="C476" s="1" t="n">
        <v>46170</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37088-2025</t>
        </is>
      </c>
      <c r="B477" s="1" t="n">
        <v>45875.45716435185</v>
      </c>
      <c r="C477" s="1" t="n">
        <v>46170</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37102-2025</t>
        </is>
      </c>
      <c r="B478" s="1" t="n">
        <v>45875.47454861111</v>
      </c>
      <c r="C478" s="1" t="n">
        <v>46170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71631-2021</t>
        </is>
      </c>
      <c r="B479" s="1" t="n">
        <v>44542.90072916666</v>
      </c>
      <c r="C479" s="1" t="n">
        <v>46170</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37079-2025</t>
        </is>
      </c>
      <c r="B480" s="1" t="n">
        <v>45875.42716435185</v>
      </c>
      <c r="C480" s="1" t="n">
        <v>46170</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36934-2025</t>
        </is>
      </c>
      <c r="B481" s="1" t="n">
        <v>45874.57109953704</v>
      </c>
      <c r="C481" s="1" t="n">
        <v>46170</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16015-2025</t>
        </is>
      </c>
      <c r="B482" s="1" t="n">
        <v>45749.60487268519</v>
      </c>
      <c r="C482" s="1" t="n">
        <v>46170</v>
      </c>
      <c r="D482" t="inlineStr">
        <is>
          <t>KALMAR LÄN</t>
        </is>
      </c>
      <c r="E482" t="inlineStr">
        <is>
          <t>VIMMERBY</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9694-2023</t>
        </is>
      </c>
      <c r="B483" s="1" t="n">
        <v>44984.45895833334</v>
      </c>
      <c r="C483" s="1" t="n">
        <v>46170</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22198-2024</t>
        </is>
      </c>
      <c r="B484" s="1" t="n">
        <v>45446.36865740741</v>
      </c>
      <c r="C484" s="1" t="n">
        <v>46170</v>
      </c>
      <c r="D484" t="inlineStr">
        <is>
          <t>KALMAR LÄN</t>
        </is>
      </c>
      <c r="E484" t="inlineStr">
        <is>
          <t>VIMMERBY</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57311-2023</t>
        </is>
      </c>
      <c r="B485" s="1" t="n">
        <v>45245.63574074074</v>
      </c>
      <c r="C485" s="1" t="n">
        <v>46170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12588-2025</t>
        </is>
      </c>
      <c r="B486" s="1" t="n">
        <v>45732.76936342593</v>
      </c>
      <c r="C486" s="1" t="n">
        <v>46170</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7932-2025</t>
        </is>
      </c>
      <c r="B487" s="1" t="n">
        <v>45707.3793287037</v>
      </c>
      <c r="C487" s="1" t="n">
        <v>46170</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46170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37668-2025</t>
        </is>
      </c>
      <c r="B489" s="1" t="n">
        <v>45880.51550925926</v>
      </c>
      <c r="C489" s="1" t="n">
        <v>46170</v>
      </c>
      <c r="D489" t="inlineStr">
        <is>
          <t>KALMAR LÄN</t>
        </is>
      </c>
      <c r="E489" t="inlineStr">
        <is>
          <t>VIMMERBY</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2121-2022</t>
        </is>
      </c>
      <c r="B490" s="1" t="n">
        <v>44578.32717592592</v>
      </c>
      <c r="C490" s="1" t="n">
        <v>46170</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46170</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37939-2025</t>
        </is>
      </c>
      <c r="B492" s="1" t="n">
        <v>45881.59877314815</v>
      </c>
      <c r="C492" s="1" t="n">
        <v>46170</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46170</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37866-2025</t>
        </is>
      </c>
      <c r="B494" s="1" t="n">
        <v>45881</v>
      </c>
      <c r="C494" s="1" t="n">
        <v>46170</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57728-2025</t>
        </is>
      </c>
      <c r="B495" s="1" t="n">
        <v>45981</v>
      </c>
      <c r="C495" s="1" t="n">
        <v>46170</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32633-2023</t>
        </is>
      </c>
      <c r="B496" s="1" t="n">
        <v>45121.58699074074</v>
      </c>
      <c r="C496" s="1" t="n">
        <v>46170</v>
      </c>
      <c r="D496" t="inlineStr">
        <is>
          <t>KALMAR LÄN</t>
        </is>
      </c>
      <c r="E496" t="inlineStr">
        <is>
          <t>VIMMERBY</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49461-2023</t>
        </is>
      </c>
      <c r="B497" s="1" t="n">
        <v>45211.52642361111</v>
      </c>
      <c r="C497" s="1" t="n">
        <v>46170</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23095-2023</t>
        </is>
      </c>
      <c r="B498" s="1" t="n">
        <v>45075.43059027778</v>
      </c>
      <c r="C498" s="1" t="n">
        <v>46170</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11429-2022</t>
        </is>
      </c>
      <c r="B499" s="1" t="n">
        <v>44630</v>
      </c>
      <c r="C499" s="1" t="n">
        <v>46170</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38964-2025</t>
        </is>
      </c>
      <c r="B500" s="1" t="n">
        <v>45887.68759259259</v>
      </c>
      <c r="C500" s="1" t="n">
        <v>46170</v>
      </c>
      <c r="D500" t="inlineStr">
        <is>
          <t>KALMAR LÄN</t>
        </is>
      </c>
      <c r="E500" t="inlineStr">
        <is>
          <t>VIMMERBY</t>
        </is>
      </c>
      <c r="G500" t="n">
        <v>7.5</v>
      </c>
      <c r="H500" t="n">
        <v>0</v>
      </c>
      <c r="I500" t="n">
        <v>0</v>
      </c>
      <c r="J500" t="n">
        <v>0</v>
      </c>
      <c r="K500" t="n">
        <v>0</v>
      </c>
      <c r="L500" t="n">
        <v>0</v>
      </c>
      <c r="M500" t="n">
        <v>0</v>
      </c>
      <c r="N500" t="n">
        <v>0</v>
      </c>
      <c r="O500" t="n">
        <v>0</v>
      </c>
      <c r="P500" t="n">
        <v>0</v>
      </c>
      <c r="Q500" t="n">
        <v>0</v>
      </c>
      <c r="R500" s="2" t="inlineStr"/>
    </row>
    <row r="501" ht="15" customHeight="1">
      <c r="A501" t="inlineStr">
        <is>
          <t>A 58503-2025</t>
        </is>
      </c>
      <c r="B501" s="1" t="n">
        <v>45985.69509259259</v>
      </c>
      <c r="C501" s="1" t="n">
        <v>46170</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11141-2024</t>
        </is>
      </c>
      <c r="B502" s="1" t="n">
        <v>45371.45865740741</v>
      </c>
      <c r="C502" s="1" t="n">
        <v>46170</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28395-2023</t>
        </is>
      </c>
      <c r="B503" s="1" t="n">
        <v>45100.4062962963</v>
      </c>
      <c r="C503" s="1" t="n">
        <v>46170</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58498-2025</t>
        </is>
      </c>
      <c r="B504" s="1" t="n">
        <v>45985.68671296296</v>
      </c>
      <c r="C504" s="1" t="n">
        <v>46170</v>
      </c>
      <c r="D504" t="inlineStr">
        <is>
          <t>KALMAR LÄN</t>
        </is>
      </c>
      <c r="E504" t="inlineStr">
        <is>
          <t>VIMMERBY</t>
        </is>
      </c>
      <c r="G504" t="n">
        <v>2.1</v>
      </c>
      <c r="H504" t="n">
        <v>0</v>
      </c>
      <c r="I504" t="n">
        <v>0</v>
      </c>
      <c r="J504" t="n">
        <v>0</v>
      </c>
      <c r="K504" t="n">
        <v>0</v>
      </c>
      <c r="L504" t="n">
        <v>0</v>
      </c>
      <c r="M504" t="n">
        <v>0</v>
      </c>
      <c r="N504" t="n">
        <v>0</v>
      </c>
      <c r="O504" t="n">
        <v>0</v>
      </c>
      <c r="P504" t="n">
        <v>0</v>
      </c>
      <c r="Q504" t="n">
        <v>0</v>
      </c>
      <c r="R504" s="2" t="inlineStr"/>
    </row>
    <row r="505" ht="15" customHeight="1">
      <c r="A505" t="inlineStr">
        <is>
          <t>A 58501-2025</t>
        </is>
      </c>
      <c r="B505" s="1" t="n">
        <v>45985.69153935185</v>
      </c>
      <c r="C505" s="1" t="n">
        <v>46170</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58514-2025</t>
        </is>
      </c>
      <c r="B506" s="1" t="n">
        <v>45985.70513888889</v>
      </c>
      <c r="C506" s="1" t="n">
        <v>46170</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34597-2022</t>
        </is>
      </c>
      <c r="B507" s="1" t="n">
        <v>44795</v>
      </c>
      <c r="C507" s="1" t="n">
        <v>46170</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58442-2025</t>
        </is>
      </c>
      <c r="B508" s="1" t="n">
        <v>45985.61635416667</v>
      </c>
      <c r="C508" s="1" t="n">
        <v>46170</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58435-2025</t>
        </is>
      </c>
      <c r="B509" s="1" t="n">
        <v>45985.61501157407</v>
      </c>
      <c r="C509" s="1" t="n">
        <v>46170</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58446-2025</t>
        </is>
      </c>
      <c r="B510" s="1" t="n">
        <v>45985.62168981481</v>
      </c>
      <c r="C510" s="1" t="n">
        <v>46170</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64428-2023</t>
        </is>
      </c>
      <c r="B511" s="1" t="n">
        <v>45280.66769675926</v>
      </c>
      <c r="C511" s="1" t="n">
        <v>46170</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30588-2023</t>
        </is>
      </c>
      <c r="B512" s="1" t="n">
        <v>45112.33599537037</v>
      </c>
      <c r="C512" s="1" t="n">
        <v>46170</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30503-2023</t>
        </is>
      </c>
      <c r="B513" s="1" t="n">
        <v>45111</v>
      </c>
      <c r="C513" s="1" t="n">
        <v>46170</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58500-2025</t>
        </is>
      </c>
      <c r="B514" s="1" t="n">
        <v>45985.69008101852</v>
      </c>
      <c r="C514" s="1" t="n">
        <v>46170</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58841-2025</t>
        </is>
      </c>
      <c r="B515" s="1" t="n">
        <v>45987.36275462963</v>
      </c>
      <c r="C515" s="1" t="n">
        <v>46170</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47263-2023</t>
        </is>
      </c>
      <c r="B516" s="1" t="n">
        <v>45202.4209837963</v>
      </c>
      <c r="C516" s="1" t="n">
        <v>46170</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58100-2024</t>
        </is>
      </c>
      <c r="B517" s="1" t="n">
        <v>45632.36706018518</v>
      </c>
      <c r="C517" s="1" t="n">
        <v>46170</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58159-2024</t>
        </is>
      </c>
      <c r="B518" s="1" t="n">
        <v>45632.44886574074</v>
      </c>
      <c r="C518" s="1" t="n">
        <v>46170</v>
      </c>
      <c r="D518" t="inlineStr">
        <is>
          <t>KALMAR LÄN</t>
        </is>
      </c>
      <c r="E518" t="inlineStr">
        <is>
          <t>VIMMERBY</t>
        </is>
      </c>
      <c r="G518" t="n">
        <v>7.5</v>
      </c>
      <c r="H518" t="n">
        <v>0</v>
      </c>
      <c r="I518" t="n">
        <v>0</v>
      </c>
      <c r="J518" t="n">
        <v>0</v>
      </c>
      <c r="K518" t="n">
        <v>0</v>
      </c>
      <c r="L518" t="n">
        <v>0</v>
      </c>
      <c r="M518" t="n">
        <v>0</v>
      </c>
      <c r="N518" t="n">
        <v>0</v>
      </c>
      <c r="O518" t="n">
        <v>0</v>
      </c>
      <c r="P518" t="n">
        <v>0</v>
      </c>
      <c r="Q518" t="n">
        <v>0</v>
      </c>
      <c r="R518" s="2" t="inlineStr"/>
    </row>
    <row r="519" ht="15" customHeight="1">
      <c r="A519" t="inlineStr">
        <is>
          <t>A 58858-2025</t>
        </is>
      </c>
      <c r="B519" s="1" t="n">
        <v>45987.4243287037</v>
      </c>
      <c r="C519" s="1" t="n">
        <v>46170</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46170</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46170</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46170</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59039-2025</t>
        </is>
      </c>
      <c r="B523" s="1" t="n">
        <v>45988.36790509259</v>
      </c>
      <c r="C523" s="1" t="n">
        <v>46170</v>
      </c>
      <c r="D523" t="inlineStr">
        <is>
          <t>KALMAR LÄN</t>
        </is>
      </c>
      <c r="E523" t="inlineStr">
        <is>
          <t>VIMMERBY</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59034-2025</t>
        </is>
      </c>
      <c r="B524" s="1" t="n">
        <v>45988.36243055556</v>
      </c>
      <c r="C524" s="1" t="n">
        <v>46170</v>
      </c>
      <c r="D524" t="inlineStr">
        <is>
          <t>KALMAR LÄN</t>
        </is>
      </c>
      <c r="E524" t="inlineStr">
        <is>
          <t>VIMMERBY</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50860-2022</t>
        </is>
      </c>
      <c r="B525" s="1" t="n">
        <v>44867</v>
      </c>
      <c r="C525" s="1" t="n">
        <v>46170</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25370-2022</t>
        </is>
      </c>
      <c r="B526" s="1" t="n">
        <v>44732.3659837963</v>
      </c>
      <c r="C526" s="1" t="n">
        <v>46170</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59037-2025</t>
        </is>
      </c>
      <c r="B527" s="1" t="n">
        <v>45988.36508101852</v>
      </c>
      <c r="C527" s="1" t="n">
        <v>46170</v>
      </c>
      <c r="D527" t="inlineStr">
        <is>
          <t>KALMAR LÄN</t>
        </is>
      </c>
      <c r="E527" t="inlineStr">
        <is>
          <t>VIMMERBY</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58577-2024</t>
        </is>
      </c>
      <c r="B528" s="1" t="n">
        <v>45635.4874537037</v>
      </c>
      <c r="C528" s="1" t="n">
        <v>46170</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59068-2025</t>
        </is>
      </c>
      <c r="B529" s="1" t="n">
        <v>45988.41725694444</v>
      </c>
      <c r="C529" s="1" t="n">
        <v>46170</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29440-2024</t>
        </is>
      </c>
      <c r="B530" s="1" t="n">
        <v>45483.82479166667</v>
      </c>
      <c r="C530" s="1" t="n">
        <v>46170</v>
      </c>
      <c r="D530" t="inlineStr">
        <is>
          <t>KALMAR LÄN</t>
        </is>
      </c>
      <c r="E530" t="inlineStr">
        <is>
          <t>VIMMERBY</t>
        </is>
      </c>
      <c r="G530" t="n">
        <v>4.5</v>
      </c>
      <c r="H530" t="n">
        <v>0</v>
      </c>
      <c r="I530" t="n">
        <v>0</v>
      </c>
      <c r="J530" t="n">
        <v>0</v>
      </c>
      <c r="K530" t="n">
        <v>0</v>
      </c>
      <c r="L530" t="n">
        <v>0</v>
      </c>
      <c r="M530" t="n">
        <v>0</v>
      </c>
      <c r="N530" t="n">
        <v>0</v>
      </c>
      <c r="O530" t="n">
        <v>0</v>
      </c>
      <c r="P530" t="n">
        <v>0</v>
      </c>
      <c r="Q530" t="n">
        <v>0</v>
      </c>
      <c r="R530" s="2" t="inlineStr"/>
    </row>
    <row r="531" ht="15" customHeight="1">
      <c r="A531" t="inlineStr">
        <is>
          <t>A 59579-2025</t>
        </is>
      </c>
      <c r="B531" s="1" t="n">
        <v>45992.30569444445</v>
      </c>
      <c r="C531" s="1" t="n">
        <v>46170</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9129-2025</t>
        </is>
      </c>
      <c r="B532" s="1" t="n">
        <v>45713.92412037037</v>
      </c>
      <c r="C532" s="1" t="n">
        <v>46170</v>
      </c>
      <c r="D532" t="inlineStr">
        <is>
          <t>KALMAR LÄN</t>
        </is>
      </c>
      <c r="E532" t="inlineStr">
        <is>
          <t>VIMMERBY</t>
        </is>
      </c>
      <c r="G532" t="n">
        <v>2.8</v>
      </c>
      <c r="H532" t="n">
        <v>0</v>
      </c>
      <c r="I532" t="n">
        <v>0</v>
      </c>
      <c r="J532" t="n">
        <v>0</v>
      </c>
      <c r="K532" t="n">
        <v>0</v>
      </c>
      <c r="L532" t="n">
        <v>0</v>
      </c>
      <c r="M532" t="n">
        <v>0</v>
      </c>
      <c r="N532" t="n">
        <v>0</v>
      </c>
      <c r="O532" t="n">
        <v>0</v>
      </c>
      <c r="P532" t="n">
        <v>0</v>
      </c>
      <c r="Q532" t="n">
        <v>0</v>
      </c>
      <c r="R532" s="2" t="inlineStr"/>
    </row>
    <row r="533" ht="15" customHeight="1">
      <c r="A533" t="inlineStr">
        <is>
          <t>A 22197-2024</t>
        </is>
      </c>
      <c r="B533" s="1" t="n">
        <v>45446.36774305555</v>
      </c>
      <c r="C533" s="1" t="n">
        <v>46170</v>
      </c>
      <c r="D533" t="inlineStr">
        <is>
          <t>KALMAR LÄN</t>
        </is>
      </c>
      <c r="E533" t="inlineStr">
        <is>
          <t>VIMMERBY</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53752-2024</t>
        </is>
      </c>
      <c r="B534" s="1" t="n">
        <v>45615.48927083334</v>
      </c>
      <c r="C534" s="1" t="n">
        <v>46170</v>
      </c>
      <c r="D534" t="inlineStr">
        <is>
          <t>KALMAR LÄN</t>
        </is>
      </c>
      <c r="E534" t="inlineStr">
        <is>
          <t>VIMMERBY</t>
        </is>
      </c>
      <c r="G534" t="n">
        <v>2.4</v>
      </c>
      <c r="H534" t="n">
        <v>0</v>
      </c>
      <c r="I534" t="n">
        <v>0</v>
      </c>
      <c r="J534" t="n">
        <v>0</v>
      </c>
      <c r="K534" t="n">
        <v>0</v>
      </c>
      <c r="L534" t="n">
        <v>0</v>
      </c>
      <c r="M534" t="n">
        <v>0</v>
      </c>
      <c r="N534" t="n">
        <v>0</v>
      </c>
      <c r="O534" t="n">
        <v>0</v>
      </c>
      <c r="P534" t="n">
        <v>0</v>
      </c>
      <c r="Q534" t="n">
        <v>0</v>
      </c>
      <c r="R534" s="2" t="inlineStr"/>
    </row>
    <row r="535" ht="15" customHeight="1">
      <c r="A535" t="inlineStr">
        <is>
          <t>A 12121-2025</t>
        </is>
      </c>
      <c r="B535" s="1" t="n">
        <v>45729.36868055556</v>
      </c>
      <c r="C535" s="1" t="n">
        <v>46170</v>
      </c>
      <c r="D535" t="inlineStr">
        <is>
          <t>KALMAR LÄN</t>
        </is>
      </c>
      <c r="E535" t="inlineStr">
        <is>
          <t>VIMMERBY</t>
        </is>
      </c>
      <c r="G535" t="n">
        <v>4.3</v>
      </c>
      <c r="H535" t="n">
        <v>0</v>
      </c>
      <c r="I535" t="n">
        <v>0</v>
      </c>
      <c r="J535" t="n">
        <v>0</v>
      </c>
      <c r="K535" t="n">
        <v>0</v>
      </c>
      <c r="L535" t="n">
        <v>0</v>
      </c>
      <c r="M535" t="n">
        <v>0</v>
      </c>
      <c r="N535" t="n">
        <v>0</v>
      </c>
      <c r="O535" t="n">
        <v>0</v>
      </c>
      <c r="P535" t="n">
        <v>0</v>
      </c>
      <c r="Q535" t="n">
        <v>0</v>
      </c>
      <c r="R535" s="2" t="inlineStr"/>
    </row>
    <row r="536" ht="15" customHeight="1">
      <c r="A536" t="inlineStr">
        <is>
          <t>A 60180-2025</t>
        </is>
      </c>
      <c r="B536" s="1" t="n">
        <v>45994.46428240741</v>
      </c>
      <c r="C536" s="1" t="n">
        <v>46170</v>
      </c>
      <c r="D536" t="inlineStr">
        <is>
          <t>KALMAR LÄN</t>
        </is>
      </c>
      <c r="E536" t="inlineStr">
        <is>
          <t>VIMMERBY</t>
        </is>
      </c>
      <c r="G536" t="n">
        <v>6.8</v>
      </c>
      <c r="H536" t="n">
        <v>0</v>
      </c>
      <c r="I536" t="n">
        <v>0</v>
      </c>
      <c r="J536" t="n">
        <v>0</v>
      </c>
      <c r="K536" t="n">
        <v>0</v>
      </c>
      <c r="L536" t="n">
        <v>0</v>
      </c>
      <c r="M536" t="n">
        <v>0</v>
      </c>
      <c r="N536" t="n">
        <v>0</v>
      </c>
      <c r="O536" t="n">
        <v>0</v>
      </c>
      <c r="P536" t="n">
        <v>0</v>
      </c>
      <c r="Q536" t="n">
        <v>0</v>
      </c>
      <c r="R536" s="2" t="inlineStr"/>
    </row>
    <row r="537" ht="15" customHeight="1">
      <c r="A537" t="inlineStr">
        <is>
          <t>A 60297-2025</t>
        </is>
      </c>
      <c r="B537" s="1" t="n">
        <v>45994</v>
      </c>
      <c r="C537" s="1" t="n">
        <v>46170</v>
      </c>
      <c r="D537" t="inlineStr">
        <is>
          <t>KALMAR LÄN</t>
        </is>
      </c>
      <c r="E537" t="inlineStr">
        <is>
          <t>VIMMERBY</t>
        </is>
      </c>
      <c r="G537" t="n">
        <v>4.2</v>
      </c>
      <c r="H537" t="n">
        <v>0</v>
      </c>
      <c r="I537" t="n">
        <v>0</v>
      </c>
      <c r="J537" t="n">
        <v>0</v>
      </c>
      <c r="K537" t="n">
        <v>0</v>
      </c>
      <c r="L537" t="n">
        <v>0</v>
      </c>
      <c r="M537" t="n">
        <v>0</v>
      </c>
      <c r="N537" t="n">
        <v>0</v>
      </c>
      <c r="O537" t="n">
        <v>0</v>
      </c>
      <c r="P537" t="n">
        <v>0</v>
      </c>
      <c r="Q537" t="n">
        <v>0</v>
      </c>
      <c r="R537" s="2" t="inlineStr"/>
    </row>
    <row r="538" ht="15" customHeight="1">
      <c r="A538" t="inlineStr">
        <is>
          <t>A 9710-2023</t>
        </is>
      </c>
      <c r="B538" s="1" t="n">
        <v>44984</v>
      </c>
      <c r="C538" s="1" t="n">
        <v>46170</v>
      </c>
      <c r="D538" t="inlineStr">
        <is>
          <t>KALMAR LÄN</t>
        </is>
      </c>
      <c r="E538" t="inlineStr">
        <is>
          <t>VIMMERBY</t>
        </is>
      </c>
      <c r="G538" t="n">
        <v>3.7</v>
      </c>
      <c r="H538" t="n">
        <v>0</v>
      </c>
      <c r="I538" t="n">
        <v>0</v>
      </c>
      <c r="J538" t="n">
        <v>0</v>
      </c>
      <c r="K538" t="n">
        <v>0</v>
      </c>
      <c r="L538" t="n">
        <v>0</v>
      </c>
      <c r="M538" t="n">
        <v>0</v>
      </c>
      <c r="N538" t="n">
        <v>0</v>
      </c>
      <c r="O538" t="n">
        <v>0</v>
      </c>
      <c r="P538" t="n">
        <v>0</v>
      </c>
      <c r="Q538" t="n">
        <v>0</v>
      </c>
      <c r="R538" s="2" t="inlineStr"/>
    </row>
    <row r="539" ht="15" customHeight="1">
      <c r="A539" t="inlineStr">
        <is>
          <t>A 9720-2023</t>
        </is>
      </c>
      <c r="B539" s="1" t="n">
        <v>44984</v>
      </c>
      <c r="C539" s="1" t="n">
        <v>46170</v>
      </c>
      <c r="D539" t="inlineStr">
        <is>
          <t>KALMAR LÄN</t>
        </is>
      </c>
      <c r="E539" t="inlineStr">
        <is>
          <t>VIMMERBY</t>
        </is>
      </c>
      <c r="G539" t="n">
        <v>4.4</v>
      </c>
      <c r="H539" t="n">
        <v>0</v>
      </c>
      <c r="I539" t="n">
        <v>0</v>
      </c>
      <c r="J539" t="n">
        <v>0</v>
      </c>
      <c r="K539" t="n">
        <v>0</v>
      </c>
      <c r="L539" t="n">
        <v>0</v>
      </c>
      <c r="M539" t="n">
        <v>0</v>
      </c>
      <c r="N539" t="n">
        <v>0</v>
      </c>
      <c r="O539" t="n">
        <v>0</v>
      </c>
      <c r="P539" t="n">
        <v>0</v>
      </c>
      <c r="Q539" t="n">
        <v>0</v>
      </c>
      <c r="R539" s="2" t="inlineStr"/>
    </row>
    <row r="540" ht="15" customHeight="1">
      <c r="A540" t="inlineStr">
        <is>
          <t>A 15493-2023</t>
        </is>
      </c>
      <c r="B540" s="1" t="n">
        <v>45018</v>
      </c>
      <c r="C540" s="1" t="n">
        <v>46170</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29093-2023</t>
        </is>
      </c>
      <c r="B541" s="1" t="n">
        <v>45105</v>
      </c>
      <c r="C541" s="1" t="n">
        <v>46170</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33352-2022</t>
        </is>
      </c>
      <c r="B542" s="1" t="n">
        <v>44788</v>
      </c>
      <c r="C542" s="1" t="n">
        <v>46170</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22264-2023</t>
        </is>
      </c>
      <c r="B543" s="1" t="n">
        <v>45070.3665625</v>
      </c>
      <c r="C543" s="1" t="n">
        <v>46170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16676-2023</t>
        </is>
      </c>
      <c r="B544" s="1" t="n">
        <v>45028</v>
      </c>
      <c r="C544" s="1" t="n">
        <v>46170</v>
      </c>
      <c r="D544" t="inlineStr">
        <is>
          <t>KALMAR LÄN</t>
        </is>
      </c>
      <c r="E544" t="inlineStr">
        <is>
          <t>VIMMERBY</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6220-2025</t>
        </is>
      </c>
      <c r="B545" s="1" t="n">
        <v>45698.53725694444</v>
      </c>
      <c r="C545" s="1" t="n">
        <v>46170</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24096-2024</t>
        </is>
      </c>
      <c r="B546" s="1" t="n">
        <v>45456.59289351852</v>
      </c>
      <c r="C546" s="1" t="n">
        <v>46170</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29013-2024</t>
        </is>
      </c>
      <c r="B547" s="1" t="n">
        <v>45481.55984953704</v>
      </c>
      <c r="C547" s="1" t="n">
        <v>46170</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6066-2023</t>
        </is>
      </c>
      <c r="B548" s="1" t="n">
        <v>44964.50894675926</v>
      </c>
      <c r="C548" s="1" t="n">
        <v>46170</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59955-2023</t>
        </is>
      </c>
      <c r="B549" s="1" t="n">
        <v>45257.70313657408</v>
      </c>
      <c r="C549" s="1" t="n">
        <v>46170</v>
      </c>
      <c r="D549" t="inlineStr">
        <is>
          <t>KALMAR LÄN</t>
        </is>
      </c>
      <c r="E549" t="inlineStr">
        <is>
          <t>VIMMERBY</t>
        </is>
      </c>
      <c r="G549" t="n">
        <v>13.8</v>
      </c>
      <c r="H549" t="n">
        <v>0</v>
      </c>
      <c r="I549" t="n">
        <v>0</v>
      </c>
      <c r="J549" t="n">
        <v>0</v>
      </c>
      <c r="K549" t="n">
        <v>0</v>
      </c>
      <c r="L549" t="n">
        <v>0</v>
      </c>
      <c r="M549" t="n">
        <v>0</v>
      </c>
      <c r="N549" t="n">
        <v>0</v>
      </c>
      <c r="O549" t="n">
        <v>0</v>
      </c>
      <c r="P549" t="n">
        <v>0</v>
      </c>
      <c r="Q549" t="n">
        <v>0</v>
      </c>
      <c r="R549" s="2" t="inlineStr"/>
    </row>
    <row r="550" ht="15" customHeight="1">
      <c r="A550" t="inlineStr">
        <is>
          <t>A 36040-2024</t>
        </is>
      </c>
      <c r="B550" s="1" t="n">
        <v>45533.60232638889</v>
      </c>
      <c r="C550" s="1" t="n">
        <v>46170</v>
      </c>
      <c r="D550" t="inlineStr">
        <is>
          <t>KALMAR LÄN</t>
        </is>
      </c>
      <c r="E550" t="inlineStr">
        <is>
          <t>VIMMERBY</t>
        </is>
      </c>
      <c r="F550" t="inlineStr">
        <is>
          <t>Kommuner</t>
        </is>
      </c>
      <c r="G550" t="n">
        <v>3.6</v>
      </c>
      <c r="H550" t="n">
        <v>0</v>
      </c>
      <c r="I550" t="n">
        <v>0</v>
      </c>
      <c r="J550" t="n">
        <v>0</v>
      </c>
      <c r="K550" t="n">
        <v>0</v>
      </c>
      <c r="L550" t="n">
        <v>0</v>
      </c>
      <c r="M550" t="n">
        <v>0</v>
      </c>
      <c r="N550" t="n">
        <v>0</v>
      </c>
      <c r="O550" t="n">
        <v>0</v>
      </c>
      <c r="P550" t="n">
        <v>0</v>
      </c>
      <c r="Q550" t="n">
        <v>0</v>
      </c>
      <c r="R550" s="2" t="inlineStr"/>
    </row>
    <row r="551" ht="15" customHeight="1">
      <c r="A551" t="inlineStr">
        <is>
          <t>A 36043-2024</t>
        </is>
      </c>
      <c r="B551" s="1" t="n">
        <v>45533.60770833334</v>
      </c>
      <c r="C551" s="1" t="n">
        <v>46170</v>
      </c>
      <c r="D551" t="inlineStr">
        <is>
          <t>KALMAR LÄN</t>
        </is>
      </c>
      <c r="E551" t="inlineStr">
        <is>
          <t>VIMMERBY</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12890-2023</t>
        </is>
      </c>
      <c r="B552" s="1" t="n">
        <v>45001.59209490741</v>
      </c>
      <c r="C552" s="1" t="n">
        <v>46170</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43594-2024</t>
        </is>
      </c>
      <c r="B553" s="1" t="n">
        <v>45569.44295138889</v>
      </c>
      <c r="C553" s="1" t="n">
        <v>46170</v>
      </c>
      <c r="D553" t="inlineStr">
        <is>
          <t>KALMAR LÄN</t>
        </is>
      </c>
      <c r="E553" t="inlineStr">
        <is>
          <t>VIMMERBY</t>
        </is>
      </c>
      <c r="G553" t="n">
        <v>3.9</v>
      </c>
      <c r="H553" t="n">
        <v>0</v>
      </c>
      <c r="I553" t="n">
        <v>0</v>
      </c>
      <c r="J553" t="n">
        <v>0</v>
      </c>
      <c r="K553" t="n">
        <v>0</v>
      </c>
      <c r="L553" t="n">
        <v>0</v>
      </c>
      <c r="M553" t="n">
        <v>0</v>
      </c>
      <c r="N553" t="n">
        <v>0</v>
      </c>
      <c r="O553" t="n">
        <v>0</v>
      </c>
      <c r="P553" t="n">
        <v>0</v>
      </c>
      <c r="Q553" t="n">
        <v>0</v>
      </c>
      <c r="R553" s="2" t="inlineStr"/>
    </row>
    <row r="554" ht="15" customHeight="1">
      <c r="A554" t="inlineStr">
        <is>
          <t>A 61725-2025</t>
        </is>
      </c>
      <c r="B554" s="1" t="n">
        <v>46002.58680555555</v>
      </c>
      <c r="C554" s="1" t="n">
        <v>46170</v>
      </c>
      <c r="D554" t="inlineStr">
        <is>
          <t>KALMAR LÄN</t>
        </is>
      </c>
      <c r="E554" t="inlineStr">
        <is>
          <t>VIMMERBY</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53482-2022</t>
        </is>
      </c>
      <c r="B555" s="1" t="n">
        <v>44879</v>
      </c>
      <c r="C555" s="1" t="n">
        <v>46170</v>
      </c>
      <c r="D555" t="inlineStr">
        <is>
          <t>KALMAR LÄN</t>
        </is>
      </c>
      <c r="E555" t="inlineStr">
        <is>
          <t>VIMMERBY</t>
        </is>
      </c>
      <c r="G555" t="n">
        <v>10.1</v>
      </c>
      <c r="H555" t="n">
        <v>0</v>
      </c>
      <c r="I555" t="n">
        <v>0</v>
      </c>
      <c r="J555" t="n">
        <v>0</v>
      </c>
      <c r="K555" t="n">
        <v>0</v>
      </c>
      <c r="L555" t="n">
        <v>0</v>
      </c>
      <c r="M555" t="n">
        <v>0</v>
      </c>
      <c r="N555" t="n">
        <v>0</v>
      </c>
      <c r="O555" t="n">
        <v>0</v>
      </c>
      <c r="P555" t="n">
        <v>0</v>
      </c>
      <c r="Q555" t="n">
        <v>0</v>
      </c>
      <c r="R555" s="2" t="inlineStr"/>
    </row>
    <row r="556" ht="15" customHeight="1">
      <c r="A556" t="inlineStr">
        <is>
          <t>A 61790-2025</t>
        </is>
      </c>
      <c r="B556" s="1" t="n">
        <v>46002.68768518518</v>
      </c>
      <c r="C556" s="1" t="n">
        <v>46170</v>
      </c>
      <c r="D556" t="inlineStr">
        <is>
          <t>KALMAR LÄN</t>
        </is>
      </c>
      <c r="E556" t="inlineStr">
        <is>
          <t>VIMMERBY</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27761-2024</t>
        </is>
      </c>
      <c r="B557" s="1" t="n">
        <v>45475.49018518518</v>
      </c>
      <c r="C557" s="1" t="n">
        <v>46170</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64203-2021</t>
        </is>
      </c>
      <c r="B558" s="1" t="n">
        <v>44510.60921296296</v>
      </c>
      <c r="C558" s="1" t="n">
        <v>46170</v>
      </c>
      <c r="D558" t="inlineStr">
        <is>
          <t>KALMAR LÄN</t>
        </is>
      </c>
      <c r="E558" t="inlineStr">
        <is>
          <t>VIMMERBY</t>
        </is>
      </c>
      <c r="F558" t="inlineStr">
        <is>
          <t>Övriga Aktiebolag</t>
        </is>
      </c>
      <c r="G558" t="n">
        <v>5.4</v>
      </c>
      <c r="H558" t="n">
        <v>0</v>
      </c>
      <c r="I558" t="n">
        <v>0</v>
      </c>
      <c r="J558" t="n">
        <v>0</v>
      </c>
      <c r="K558" t="n">
        <v>0</v>
      </c>
      <c r="L558" t="n">
        <v>0</v>
      </c>
      <c r="M558" t="n">
        <v>0</v>
      </c>
      <c r="N558" t="n">
        <v>0</v>
      </c>
      <c r="O558" t="n">
        <v>0</v>
      </c>
      <c r="P558" t="n">
        <v>0</v>
      </c>
      <c r="Q558" t="n">
        <v>0</v>
      </c>
      <c r="R558" s="2" t="inlineStr"/>
    </row>
    <row r="559" ht="15" customHeight="1">
      <c r="A559" t="inlineStr">
        <is>
          <t>A 5720-2023</t>
        </is>
      </c>
      <c r="B559" s="1" t="n">
        <v>44961</v>
      </c>
      <c r="C559" s="1" t="n">
        <v>46170</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9643-2023</t>
        </is>
      </c>
      <c r="B560" s="1" t="n">
        <v>44984</v>
      </c>
      <c r="C560" s="1" t="n">
        <v>46170</v>
      </c>
      <c r="D560" t="inlineStr">
        <is>
          <t>KALMAR LÄN</t>
        </is>
      </c>
      <c r="E560" t="inlineStr">
        <is>
          <t>VIMMERBY</t>
        </is>
      </c>
      <c r="G560" t="n">
        <v>2</v>
      </c>
      <c r="H560" t="n">
        <v>0</v>
      </c>
      <c r="I560" t="n">
        <v>0</v>
      </c>
      <c r="J560" t="n">
        <v>0</v>
      </c>
      <c r="K560" t="n">
        <v>0</v>
      </c>
      <c r="L560" t="n">
        <v>0</v>
      </c>
      <c r="M560" t="n">
        <v>0</v>
      </c>
      <c r="N560" t="n">
        <v>0</v>
      </c>
      <c r="O560" t="n">
        <v>0</v>
      </c>
      <c r="P560" t="n">
        <v>0</v>
      </c>
      <c r="Q560" t="n">
        <v>0</v>
      </c>
      <c r="R560" s="2" t="inlineStr"/>
    </row>
    <row r="561" ht="15" customHeight="1">
      <c r="A561" t="inlineStr">
        <is>
          <t>A 61726-2025</t>
        </is>
      </c>
      <c r="B561" s="1" t="n">
        <v>46002.58822916666</v>
      </c>
      <c r="C561" s="1" t="n">
        <v>46170</v>
      </c>
      <c r="D561" t="inlineStr">
        <is>
          <t>KALMAR LÄN</t>
        </is>
      </c>
      <c r="E561" t="inlineStr">
        <is>
          <t>VIMMERBY</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25728-2023</t>
        </is>
      </c>
      <c r="B562" s="1" t="n">
        <v>45090.38012731481</v>
      </c>
      <c r="C562" s="1" t="n">
        <v>46170</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41311-2023</t>
        </is>
      </c>
      <c r="B563" s="1" t="n">
        <v>45174</v>
      </c>
      <c r="C563" s="1" t="n">
        <v>46170</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46170</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61355-2024</t>
        </is>
      </c>
      <c r="B565" s="1" t="n">
        <v>45646.38200231481</v>
      </c>
      <c r="C565" s="1" t="n">
        <v>46170</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36802-2021</t>
        </is>
      </c>
      <c r="B566" s="1" t="n">
        <v>44392</v>
      </c>
      <c r="C566" s="1" t="n">
        <v>46170</v>
      </c>
      <c r="D566" t="inlineStr">
        <is>
          <t>KALMAR LÄN</t>
        </is>
      </c>
      <c r="E566" t="inlineStr">
        <is>
          <t>VIMMERBY</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38198-2024</t>
        </is>
      </c>
      <c r="B567" s="1" t="n">
        <v>45545.49508101852</v>
      </c>
      <c r="C567" s="1" t="n">
        <v>46170</v>
      </c>
      <c r="D567" t="inlineStr">
        <is>
          <t>KALMAR LÄN</t>
        </is>
      </c>
      <c r="E567" t="inlineStr">
        <is>
          <t>VIMMERBY</t>
        </is>
      </c>
      <c r="G567" t="n">
        <v>7.9</v>
      </c>
      <c r="H567" t="n">
        <v>0</v>
      </c>
      <c r="I567" t="n">
        <v>0</v>
      </c>
      <c r="J567" t="n">
        <v>0</v>
      </c>
      <c r="K567" t="n">
        <v>0</v>
      </c>
      <c r="L567" t="n">
        <v>0</v>
      </c>
      <c r="M567" t="n">
        <v>0</v>
      </c>
      <c r="N567" t="n">
        <v>0</v>
      </c>
      <c r="O567" t="n">
        <v>0</v>
      </c>
      <c r="P567" t="n">
        <v>0</v>
      </c>
      <c r="Q567" t="n">
        <v>0</v>
      </c>
      <c r="R567" s="2" t="inlineStr"/>
    </row>
    <row r="568" ht="15" customHeight="1">
      <c r="A568" t="inlineStr">
        <is>
          <t>A 9623-2024</t>
        </is>
      </c>
      <c r="B568" s="1" t="n">
        <v>45361.87975694444</v>
      </c>
      <c r="C568" s="1" t="n">
        <v>46170</v>
      </c>
      <c r="D568" t="inlineStr">
        <is>
          <t>KALMAR LÄN</t>
        </is>
      </c>
      <c r="E568" t="inlineStr">
        <is>
          <t>VIMMERBY</t>
        </is>
      </c>
      <c r="G568" t="n">
        <v>1.6</v>
      </c>
      <c r="H568" t="n">
        <v>0</v>
      </c>
      <c r="I568" t="n">
        <v>0</v>
      </c>
      <c r="J568" t="n">
        <v>0</v>
      </c>
      <c r="K568" t="n">
        <v>0</v>
      </c>
      <c r="L568" t="n">
        <v>0</v>
      </c>
      <c r="M568" t="n">
        <v>0</v>
      </c>
      <c r="N568" t="n">
        <v>0</v>
      </c>
      <c r="O568" t="n">
        <v>0</v>
      </c>
      <c r="P568" t="n">
        <v>0</v>
      </c>
      <c r="Q568" t="n">
        <v>0</v>
      </c>
      <c r="R568" s="2" t="inlineStr"/>
    </row>
    <row r="569" ht="15" customHeight="1">
      <c r="A569" t="inlineStr">
        <is>
          <t>A 58967-2022</t>
        </is>
      </c>
      <c r="B569" s="1" t="n">
        <v>44896</v>
      </c>
      <c r="C569" s="1" t="n">
        <v>46170</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6399-2025</t>
        </is>
      </c>
      <c r="B570" s="1" t="n">
        <v>45699.44291666667</v>
      </c>
      <c r="C570" s="1" t="n">
        <v>46170</v>
      </c>
      <c r="D570" t="inlineStr">
        <is>
          <t>KALMAR LÄN</t>
        </is>
      </c>
      <c r="E570" t="inlineStr">
        <is>
          <t>VIMMERBY</t>
        </is>
      </c>
      <c r="G570" t="n">
        <v>3.1</v>
      </c>
      <c r="H570" t="n">
        <v>0</v>
      </c>
      <c r="I570" t="n">
        <v>0</v>
      </c>
      <c r="J570" t="n">
        <v>0</v>
      </c>
      <c r="K570" t="n">
        <v>0</v>
      </c>
      <c r="L570" t="n">
        <v>0</v>
      </c>
      <c r="M570" t="n">
        <v>0</v>
      </c>
      <c r="N570" t="n">
        <v>0</v>
      </c>
      <c r="O570" t="n">
        <v>0</v>
      </c>
      <c r="P570" t="n">
        <v>0</v>
      </c>
      <c r="Q570" t="n">
        <v>0</v>
      </c>
      <c r="R570" s="2" t="inlineStr"/>
    </row>
    <row r="571" ht="15" customHeight="1">
      <c r="A571" t="inlineStr">
        <is>
          <t>A 31355-2023</t>
        </is>
      </c>
      <c r="B571" s="1" t="n">
        <v>45114.49505787037</v>
      </c>
      <c r="C571" s="1" t="n">
        <v>46170</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30400-2023</t>
        </is>
      </c>
      <c r="B572" s="1" t="n">
        <v>45111.48225694444</v>
      </c>
      <c r="C572" s="1" t="n">
        <v>46170</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30404-2023</t>
        </is>
      </c>
      <c r="B573" s="1" t="n">
        <v>45111.48636574074</v>
      </c>
      <c r="C573" s="1" t="n">
        <v>46170</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63711-2025</t>
        </is>
      </c>
      <c r="B574" s="1" t="n">
        <v>46014.62724537037</v>
      </c>
      <c r="C574" s="1" t="n">
        <v>46170</v>
      </c>
      <c r="D574" t="inlineStr">
        <is>
          <t>KALMAR LÄN</t>
        </is>
      </c>
      <c r="E574" t="inlineStr">
        <is>
          <t>VIMMERBY</t>
        </is>
      </c>
      <c r="G574" t="n">
        <v>2.1</v>
      </c>
      <c r="H574" t="n">
        <v>0</v>
      </c>
      <c r="I574" t="n">
        <v>0</v>
      </c>
      <c r="J574" t="n">
        <v>0</v>
      </c>
      <c r="K574" t="n">
        <v>0</v>
      </c>
      <c r="L574" t="n">
        <v>0</v>
      </c>
      <c r="M574" t="n">
        <v>0</v>
      </c>
      <c r="N574" t="n">
        <v>0</v>
      </c>
      <c r="O574" t="n">
        <v>0</v>
      </c>
      <c r="P574" t="n">
        <v>0</v>
      </c>
      <c r="Q574" t="n">
        <v>0</v>
      </c>
      <c r="R574" s="2" t="inlineStr"/>
    </row>
    <row r="575" ht="15" customHeight="1">
      <c r="A575" t="inlineStr">
        <is>
          <t>A 27705-2023</t>
        </is>
      </c>
      <c r="B575" s="1" t="n">
        <v>45098.30535879629</v>
      </c>
      <c r="C575" s="1" t="n">
        <v>46170</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61937-2025</t>
        </is>
      </c>
      <c r="B576" s="1" t="n">
        <v>46003</v>
      </c>
      <c r="C576" s="1" t="n">
        <v>46170</v>
      </c>
      <c r="D576" t="inlineStr">
        <is>
          <t>KALMAR LÄN</t>
        </is>
      </c>
      <c r="E576" t="inlineStr">
        <is>
          <t>VIMMERBY</t>
        </is>
      </c>
      <c r="G576" t="n">
        <v>3.4</v>
      </c>
      <c r="H576" t="n">
        <v>0</v>
      </c>
      <c r="I576" t="n">
        <v>0</v>
      </c>
      <c r="J576" t="n">
        <v>0</v>
      </c>
      <c r="K576" t="n">
        <v>0</v>
      </c>
      <c r="L576" t="n">
        <v>0</v>
      </c>
      <c r="M576" t="n">
        <v>0</v>
      </c>
      <c r="N576" t="n">
        <v>0</v>
      </c>
      <c r="O576" t="n">
        <v>0</v>
      </c>
      <c r="P576" t="n">
        <v>0</v>
      </c>
      <c r="Q576" t="n">
        <v>0</v>
      </c>
      <c r="R576" s="2" t="inlineStr"/>
    </row>
    <row r="577" ht="15" customHeight="1">
      <c r="A577" t="inlineStr">
        <is>
          <t>A 36843-2023</t>
        </is>
      </c>
      <c r="B577" s="1" t="n">
        <v>45154.49831018518</v>
      </c>
      <c r="C577" s="1" t="n">
        <v>46170</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63762-2025</t>
        </is>
      </c>
      <c r="B578" s="1" t="n">
        <v>46018.67197916667</v>
      </c>
      <c r="C578" s="1" t="n">
        <v>46170</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63758-2025</t>
        </is>
      </c>
      <c r="B579" s="1" t="n">
        <v>46018.46483796297</v>
      </c>
      <c r="C579" s="1" t="n">
        <v>46170</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63845-2025</t>
        </is>
      </c>
      <c r="B580" s="1" t="n">
        <v>46020.43715277778</v>
      </c>
      <c r="C580" s="1" t="n">
        <v>46170</v>
      </c>
      <c r="D580" t="inlineStr">
        <is>
          <t>KALMAR LÄN</t>
        </is>
      </c>
      <c r="E580" t="inlineStr">
        <is>
          <t>VIMMERBY</t>
        </is>
      </c>
      <c r="G580" t="n">
        <v>3.8</v>
      </c>
      <c r="H580" t="n">
        <v>0</v>
      </c>
      <c r="I580" t="n">
        <v>0</v>
      </c>
      <c r="J580" t="n">
        <v>0</v>
      </c>
      <c r="K580" t="n">
        <v>0</v>
      </c>
      <c r="L580" t="n">
        <v>0</v>
      </c>
      <c r="M580" t="n">
        <v>0</v>
      </c>
      <c r="N580" t="n">
        <v>0</v>
      </c>
      <c r="O580" t="n">
        <v>0</v>
      </c>
      <c r="P580" t="n">
        <v>0</v>
      </c>
      <c r="Q580" t="n">
        <v>0</v>
      </c>
      <c r="R580" s="2" t="inlineStr"/>
    </row>
    <row r="581" ht="15" customHeight="1">
      <c r="A581" t="inlineStr">
        <is>
          <t>A 63848-2025</t>
        </is>
      </c>
      <c r="B581" s="1" t="n">
        <v>46020.44902777778</v>
      </c>
      <c r="C581" s="1" t="n">
        <v>46170</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10785-2025</t>
        </is>
      </c>
      <c r="B582" s="1" t="n">
        <v>45722.48634259259</v>
      </c>
      <c r="C582" s="1" t="n">
        <v>46170</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29017-2024</t>
        </is>
      </c>
      <c r="B583" s="1" t="n">
        <v>45481.56722222222</v>
      </c>
      <c r="C583" s="1" t="n">
        <v>46170</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63839-2025</t>
        </is>
      </c>
      <c r="B584" s="1" t="n">
        <v>46020.41998842593</v>
      </c>
      <c r="C584" s="1" t="n">
        <v>46170</v>
      </c>
      <c r="D584" t="inlineStr">
        <is>
          <t>KALMAR LÄN</t>
        </is>
      </c>
      <c r="E584" t="inlineStr">
        <is>
          <t>VIMMERBY</t>
        </is>
      </c>
      <c r="G584" t="n">
        <v>2.9</v>
      </c>
      <c r="H584" t="n">
        <v>0</v>
      </c>
      <c r="I584" t="n">
        <v>0</v>
      </c>
      <c r="J584" t="n">
        <v>0</v>
      </c>
      <c r="K584" t="n">
        <v>0</v>
      </c>
      <c r="L584" t="n">
        <v>0</v>
      </c>
      <c r="M584" t="n">
        <v>0</v>
      </c>
      <c r="N584" t="n">
        <v>0</v>
      </c>
      <c r="O584" t="n">
        <v>0</v>
      </c>
      <c r="P584" t="n">
        <v>0</v>
      </c>
      <c r="Q584" t="n">
        <v>0</v>
      </c>
      <c r="R584" s="2" t="inlineStr"/>
    </row>
    <row r="585" ht="15" customHeight="1">
      <c r="A585" t="inlineStr">
        <is>
          <t>A 23263-2024</t>
        </is>
      </c>
      <c r="B585" s="1" t="n">
        <v>45453.36854166666</v>
      </c>
      <c r="C585" s="1" t="n">
        <v>46170</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11074-2023</t>
        </is>
      </c>
      <c r="B586" s="1" t="n">
        <v>44992.34151620371</v>
      </c>
      <c r="C586" s="1" t="n">
        <v>46170</v>
      </c>
      <c r="D586" t="inlineStr">
        <is>
          <t>KALMAR LÄN</t>
        </is>
      </c>
      <c r="E586" t="inlineStr">
        <is>
          <t>VIMMERBY</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61939-2021</t>
        </is>
      </c>
      <c r="B587" s="1" t="n">
        <v>44502</v>
      </c>
      <c r="C587" s="1" t="n">
        <v>46170</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12215-2024</t>
        </is>
      </c>
      <c r="B588" s="1" t="n">
        <v>45378.32185185186</v>
      </c>
      <c r="C588" s="1" t="n">
        <v>46170</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11303-2025</t>
        </is>
      </c>
      <c r="B589" s="1" t="n">
        <v>45726.44471064815</v>
      </c>
      <c r="C589" s="1" t="n">
        <v>46170</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12033-2024</t>
        </is>
      </c>
      <c r="B590" s="1" t="n">
        <v>45377.40043981482</v>
      </c>
      <c r="C590" s="1" t="n">
        <v>46170</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51408-2023</t>
        </is>
      </c>
      <c r="B591" s="1" t="n">
        <v>45219.69356481481</v>
      </c>
      <c r="C591" s="1" t="n">
        <v>46170</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49488-2023</t>
        </is>
      </c>
      <c r="B592" s="1" t="n">
        <v>45211.55472222222</v>
      </c>
      <c r="C592" s="1" t="n">
        <v>46170</v>
      </c>
      <c r="D592" t="inlineStr">
        <is>
          <t>KALMAR LÄN</t>
        </is>
      </c>
      <c r="E592" t="inlineStr">
        <is>
          <t>VIMMERBY</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46029.47912037037</v>
      </c>
      <c r="C593" s="1" t="n">
        <v>46170</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8410-2023</t>
        </is>
      </c>
      <c r="B594" s="1" t="n">
        <v>44977</v>
      </c>
      <c r="C594" s="1" t="n">
        <v>46170</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30920-2024</t>
        </is>
      </c>
      <c r="B595" s="1" t="n">
        <v>45498.673125</v>
      </c>
      <c r="C595" s="1" t="n">
        <v>46170</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409-2026</t>
        </is>
      </c>
      <c r="B596" s="1" t="n">
        <v>46028.69432870371</v>
      </c>
      <c r="C596" s="1" t="n">
        <v>46170</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406-2026</t>
        </is>
      </c>
      <c r="B597" s="1" t="n">
        <v>46028.68663194445</v>
      </c>
      <c r="C597" s="1" t="n">
        <v>46170</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40929-2022</t>
        </is>
      </c>
      <c r="B598" s="1" t="n">
        <v>44825.4336574074</v>
      </c>
      <c r="C598" s="1" t="n">
        <v>46170</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50091-2023</t>
        </is>
      </c>
      <c r="B599" s="1" t="n">
        <v>45215.60199074074</v>
      </c>
      <c r="C599" s="1" t="n">
        <v>46170</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36008-2024</t>
        </is>
      </c>
      <c r="B600" s="1" t="n">
        <v>45533.55362268518</v>
      </c>
      <c r="C600" s="1" t="n">
        <v>46170</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16622-2025</t>
        </is>
      </c>
      <c r="B601" s="1" t="n">
        <v>45754.33641203704</v>
      </c>
      <c r="C601" s="1" t="n">
        <v>46170</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17511-2024</t>
        </is>
      </c>
      <c r="B602" s="1" t="n">
        <v>45415.57682870371</v>
      </c>
      <c r="C602" s="1" t="n">
        <v>46170</v>
      </c>
      <c r="D602" t="inlineStr">
        <is>
          <t>KALMAR LÄN</t>
        </is>
      </c>
      <c r="E602" t="inlineStr">
        <is>
          <t>VIMMERBY</t>
        </is>
      </c>
      <c r="G602" t="n">
        <v>5.3</v>
      </c>
      <c r="H602" t="n">
        <v>0</v>
      </c>
      <c r="I602" t="n">
        <v>0</v>
      </c>
      <c r="J602" t="n">
        <v>0</v>
      </c>
      <c r="K602" t="n">
        <v>0</v>
      </c>
      <c r="L602" t="n">
        <v>0</v>
      </c>
      <c r="M602" t="n">
        <v>0</v>
      </c>
      <c r="N602" t="n">
        <v>0</v>
      </c>
      <c r="O602" t="n">
        <v>0</v>
      </c>
      <c r="P602" t="n">
        <v>0</v>
      </c>
      <c r="Q602" t="n">
        <v>0</v>
      </c>
      <c r="R602" s="2" t="inlineStr"/>
    </row>
    <row r="603" ht="15" customHeight="1">
      <c r="A603" t="inlineStr">
        <is>
          <t>A 43705-2023</t>
        </is>
      </c>
      <c r="B603" s="1" t="n">
        <v>45187.42854166667</v>
      </c>
      <c r="C603" s="1" t="n">
        <v>46170</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842-2026</t>
        </is>
      </c>
      <c r="B604" s="1" t="n">
        <v>46030.380625</v>
      </c>
      <c r="C604" s="1" t="n">
        <v>46170</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55300-2021</t>
        </is>
      </c>
      <c r="B605" s="1" t="n">
        <v>44475</v>
      </c>
      <c r="C605" s="1" t="n">
        <v>46170</v>
      </c>
      <c r="D605" t="inlineStr">
        <is>
          <t>KALMAR LÄN</t>
        </is>
      </c>
      <c r="E605" t="inlineStr">
        <is>
          <t>VIMMERBY</t>
        </is>
      </c>
      <c r="G605" t="n">
        <v>3.4</v>
      </c>
      <c r="H605" t="n">
        <v>0</v>
      </c>
      <c r="I605" t="n">
        <v>0</v>
      </c>
      <c r="J605" t="n">
        <v>0</v>
      </c>
      <c r="K605" t="n">
        <v>0</v>
      </c>
      <c r="L605" t="n">
        <v>0</v>
      </c>
      <c r="M605" t="n">
        <v>0</v>
      </c>
      <c r="N605" t="n">
        <v>0</v>
      </c>
      <c r="O605" t="n">
        <v>0</v>
      </c>
      <c r="P605" t="n">
        <v>0</v>
      </c>
      <c r="Q605" t="n">
        <v>0</v>
      </c>
      <c r="R605" s="2" t="inlineStr"/>
    </row>
    <row r="606" ht="15" customHeight="1">
      <c r="A606" t="inlineStr">
        <is>
          <t>A 1069-2026</t>
        </is>
      </c>
      <c r="B606" s="1" t="n">
        <v>46030</v>
      </c>
      <c r="C606" s="1" t="n">
        <v>46170</v>
      </c>
      <c r="D606" t="inlineStr">
        <is>
          <t>KALMAR LÄN</t>
        </is>
      </c>
      <c r="E606" t="inlineStr">
        <is>
          <t>VIMMERBY</t>
        </is>
      </c>
      <c r="G606" t="n">
        <v>3.3</v>
      </c>
      <c r="H606" t="n">
        <v>0</v>
      </c>
      <c r="I606" t="n">
        <v>0</v>
      </c>
      <c r="J606" t="n">
        <v>0</v>
      </c>
      <c r="K606" t="n">
        <v>0</v>
      </c>
      <c r="L606" t="n">
        <v>0</v>
      </c>
      <c r="M606" t="n">
        <v>0</v>
      </c>
      <c r="N606" t="n">
        <v>0</v>
      </c>
      <c r="O606" t="n">
        <v>0</v>
      </c>
      <c r="P606" t="n">
        <v>0</v>
      </c>
      <c r="Q606" t="n">
        <v>0</v>
      </c>
      <c r="R606" s="2" t="inlineStr"/>
    </row>
    <row r="607" ht="15" customHeight="1">
      <c r="A607" t="inlineStr">
        <is>
          <t>A 44179-2022</t>
        </is>
      </c>
      <c r="B607" s="1" t="n">
        <v>44839.4528125</v>
      </c>
      <c r="C607" s="1" t="n">
        <v>46170</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1734-2026</t>
        </is>
      </c>
      <c r="B608" s="1" t="n">
        <v>46034</v>
      </c>
      <c r="C608" s="1" t="n">
        <v>46170</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1743-2026</t>
        </is>
      </c>
      <c r="B609" s="1" t="n">
        <v>46034</v>
      </c>
      <c r="C609" s="1" t="n">
        <v>46170</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52755-2022</t>
        </is>
      </c>
      <c r="B610" s="1" t="n">
        <v>44875.27736111111</v>
      </c>
      <c r="C610" s="1" t="n">
        <v>46170</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35998-2024</t>
        </is>
      </c>
      <c r="B611" s="1" t="n">
        <v>45533.54429398148</v>
      </c>
      <c r="C611" s="1" t="n">
        <v>46170</v>
      </c>
      <c r="D611" t="inlineStr">
        <is>
          <t>KALMAR LÄN</t>
        </is>
      </c>
      <c r="E611" t="inlineStr">
        <is>
          <t>VIMMERBY</t>
        </is>
      </c>
      <c r="G611" t="n">
        <v>8.6</v>
      </c>
      <c r="H611" t="n">
        <v>0</v>
      </c>
      <c r="I611" t="n">
        <v>0</v>
      </c>
      <c r="J611" t="n">
        <v>0</v>
      </c>
      <c r="K611" t="n">
        <v>0</v>
      </c>
      <c r="L611" t="n">
        <v>0</v>
      </c>
      <c r="M611" t="n">
        <v>0</v>
      </c>
      <c r="N611" t="n">
        <v>0</v>
      </c>
      <c r="O611" t="n">
        <v>0</v>
      </c>
      <c r="P611" t="n">
        <v>0</v>
      </c>
      <c r="Q611" t="n">
        <v>0</v>
      </c>
      <c r="R611" s="2" t="inlineStr"/>
    </row>
    <row r="612" ht="15" customHeight="1">
      <c r="A612" t="inlineStr">
        <is>
          <t>A 7797-2023</t>
        </is>
      </c>
      <c r="B612" s="1" t="n">
        <v>44973.43075231482</v>
      </c>
      <c r="C612" s="1" t="n">
        <v>46170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29351-2023</t>
        </is>
      </c>
      <c r="B613" s="1" t="n">
        <v>45106.2610300926</v>
      </c>
      <c r="C613" s="1" t="n">
        <v>46170</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7630-2025</t>
        </is>
      </c>
      <c r="B614" s="1" t="n">
        <v>45705.74418981482</v>
      </c>
      <c r="C614" s="1" t="n">
        <v>46170</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1024-2024</t>
        </is>
      </c>
      <c r="B615" s="1" t="n">
        <v>45301.68237268519</v>
      </c>
      <c r="C615" s="1" t="n">
        <v>46170</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1748-2026</t>
        </is>
      </c>
      <c r="B616" s="1" t="n">
        <v>46034.65589120371</v>
      </c>
      <c r="C616" s="1" t="n">
        <v>46170</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1862-2026</t>
        </is>
      </c>
      <c r="B617" s="1" t="n">
        <v>46035.44689814815</v>
      </c>
      <c r="C617" s="1" t="n">
        <v>46170</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10787-2025</t>
        </is>
      </c>
      <c r="B618" s="1" t="n">
        <v>45722.48915509259</v>
      </c>
      <c r="C618" s="1" t="n">
        <v>46170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2518-2026</t>
        </is>
      </c>
      <c r="B619" s="1" t="n">
        <v>46037.42511574074</v>
      </c>
      <c r="C619" s="1" t="n">
        <v>46170</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29350-2023</t>
        </is>
      </c>
      <c r="B620" s="1" t="n">
        <v>45106</v>
      </c>
      <c r="C620" s="1" t="n">
        <v>46170</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14855-2025</t>
        </is>
      </c>
      <c r="B621" s="1" t="n">
        <v>45743.41148148148</v>
      </c>
      <c r="C621" s="1" t="n">
        <v>46170</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43601-2024</t>
        </is>
      </c>
      <c r="B622" s="1" t="n">
        <v>45569.44684027778</v>
      </c>
      <c r="C622" s="1" t="n">
        <v>46170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35913-2023</t>
        </is>
      </c>
      <c r="B623" s="1" t="n">
        <v>45148</v>
      </c>
      <c r="C623" s="1" t="n">
        <v>46170</v>
      </c>
      <c r="D623" t="inlineStr">
        <is>
          <t>KALMAR LÄN</t>
        </is>
      </c>
      <c r="E623" t="inlineStr">
        <is>
          <t>VIMMERBY</t>
        </is>
      </c>
      <c r="G623" t="n">
        <v>6.9</v>
      </c>
      <c r="H623" t="n">
        <v>0</v>
      </c>
      <c r="I623" t="n">
        <v>0</v>
      </c>
      <c r="J623" t="n">
        <v>0</v>
      </c>
      <c r="K623" t="n">
        <v>0</v>
      </c>
      <c r="L623" t="n">
        <v>0</v>
      </c>
      <c r="M623" t="n">
        <v>0</v>
      </c>
      <c r="N623" t="n">
        <v>0</v>
      </c>
      <c r="O623" t="n">
        <v>0</v>
      </c>
      <c r="P623" t="n">
        <v>0</v>
      </c>
      <c r="Q623" t="n">
        <v>0</v>
      </c>
      <c r="R623" s="2" t="inlineStr"/>
    </row>
    <row r="624" ht="15" customHeight="1">
      <c r="A624" t="inlineStr">
        <is>
          <t>A 2514-2026</t>
        </is>
      </c>
      <c r="B624" s="1" t="n">
        <v>46037.42219907408</v>
      </c>
      <c r="C624" s="1" t="n">
        <v>46170</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9624-2024</t>
        </is>
      </c>
      <c r="B625" s="1" t="n">
        <v>45361.90282407407</v>
      </c>
      <c r="C625" s="1" t="n">
        <v>46170</v>
      </c>
      <c r="D625" t="inlineStr">
        <is>
          <t>KALMAR LÄN</t>
        </is>
      </c>
      <c r="E625" t="inlineStr">
        <is>
          <t>VIMMERBY</t>
        </is>
      </c>
      <c r="G625" t="n">
        <v>3.8</v>
      </c>
      <c r="H625" t="n">
        <v>0</v>
      </c>
      <c r="I625" t="n">
        <v>0</v>
      </c>
      <c r="J625" t="n">
        <v>0</v>
      </c>
      <c r="K625" t="n">
        <v>0</v>
      </c>
      <c r="L625" t="n">
        <v>0</v>
      </c>
      <c r="M625" t="n">
        <v>0</v>
      </c>
      <c r="N625" t="n">
        <v>0</v>
      </c>
      <c r="O625" t="n">
        <v>0</v>
      </c>
      <c r="P625" t="n">
        <v>0</v>
      </c>
      <c r="Q625" t="n">
        <v>0</v>
      </c>
      <c r="R625" s="2" t="inlineStr"/>
    </row>
    <row r="626" ht="15" customHeight="1">
      <c r="A626" t="inlineStr">
        <is>
          <t>A 3938-2023</t>
        </is>
      </c>
      <c r="B626" s="1" t="n">
        <v>44952.35775462963</v>
      </c>
      <c r="C626" s="1" t="n">
        <v>46170</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39053-2024</t>
        </is>
      </c>
      <c r="B627" s="1" t="n">
        <v>45548</v>
      </c>
      <c r="C627" s="1" t="n">
        <v>46170</v>
      </c>
      <c r="D627" t="inlineStr">
        <is>
          <t>KALMAR LÄN</t>
        </is>
      </c>
      <c r="E627" t="inlineStr">
        <is>
          <t>VIMMERBY</t>
        </is>
      </c>
      <c r="G627" t="n">
        <v>5</v>
      </c>
      <c r="H627" t="n">
        <v>0</v>
      </c>
      <c r="I627" t="n">
        <v>0</v>
      </c>
      <c r="J627" t="n">
        <v>0</v>
      </c>
      <c r="K627" t="n">
        <v>0</v>
      </c>
      <c r="L627" t="n">
        <v>0</v>
      </c>
      <c r="M627" t="n">
        <v>0</v>
      </c>
      <c r="N627" t="n">
        <v>0</v>
      </c>
      <c r="O627" t="n">
        <v>0</v>
      </c>
      <c r="P627" t="n">
        <v>0</v>
      </c>
      <c r="Q627" t="n">
        <v>0</v>
      </c>
      <c r="R627" s="2" t="inlineStr"/>
    </row>
    <row r="628" ht="15" customHeight="1">
      <c r="A628" t="inlineStr">
        <is>
          <t>A 14451-2024</t>
        </is>
      </c>
      <c r="B628" s="1" t="n">
        <v>45394.50028935185</v>
      </c>
      <c r="C628" s="1" t="n">
        <v>46170</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2523-2026</t>
        </is>
      </c>
      <c r="B629" s="1" t="n">
        <v>46037.42825231481</v>
      </c>
      <c r="C629" s="1" t="n">
        <v>46170</v>
      </c>
      <c r="D629" t="inlineStr">
        <is>
          <t>KALMAR LÄN</t>
        </is>
      </c>
      <c r="E629" t="inlineStr">
        <is>
          <t>VIMMERBY</t>
        </is>
      </c>
      <c r="G629" t="n">
        <v>1.1</v>
      </c>
      <c r="H629" t="n">
        <v>0</v>
      </c>
      <c r="I629" t="n">
        <v>0</v>
      </c>
      <c r="J629" t="n">
        <v>0</v>
      </c>
      <c r="K629" t="n">
        <v>0</v>
      </c>
      <c r="L629" t="n">
        <v>0</v>
      </c>
      <c r="M629" t="n">
        <v>0</v>
      </c>
      <c r="N629" t="n">
        <v>0</v>
      </c>
      <c r="O629" t="n">
        <v>0</v>
      </c>
      <c r="P629" t="n">
        <v>0</v>
      </c>
      <c r="Q629" t="n">
        <v>0</v>
      </c>
      <c r="R629" s="2" t="inlineStr"/>
    </row>
    <row r="630" ht="15" customHeight="1">
      <c r="A630" t="inlineStr">
        <is>
          <t>A 34205-2023</t>
        </is>
      </c>
      <c r="B630" s="1" t="n">
        <v>45138</v>
      </c>
      <c r="C630" s="1" t="n">
        <v>46170</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3266-2026</t>
        </is>
      </c>
      <c r="B631" s="1" t="n">
        <v>46041</v>
      </c>
      <c r="C631" s="1" t="n">
        <v>46170</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3292-2026</t>
        </is>
      </c>
      <c r="B632" s="1" t="n">
        <v>46041</v>
      </c>
      <c r="C632" s="1" t="n">
        <v>46170</v>
      </c>
      <c r="D632" t="inlineStr">
        <is>
          <t>KALMAR LÄN</t>
        </is>
      </c>
      <c r="E632" t="inlineStr">
        <is>
          <t>VIMMERBY</t>
        </is>
      </c>
      <c r="G632" t="n">
        <v>3.9</v>
      </c>
      <c r="H632" t="n">
        <v>0</v>
      </c>
      <c r="I632" t="n">
        <v>0</v>
      </c>
      <c r="J632" t="n">
        <v>0</v>
      </c>
      <c r="K632" t="n">
        <v>0</v>
      </c>
      <c r="L632" t="n">
        <v>0</v>
      </c>
      <c r="M632" t="n">
        <v>0</v>
      </c>
      <c r="N632" t="n">
        <v>0</v>
      </c>
      <c r="O632" t="n">
        <v>0</v>
      </c>
      <c r="P632" t="n">
        <v>0</v>
      </c>
      <c r="Q632" t="n">
        <v>0</v>
      </c>
      <c r="R632" s="2" t="inlineStr"/>
    </row>
    <row r="633" ht="15" customHeight="1">
      <c r="A633" t="inlineStr">
        <is>
          <t>A 3268-2024</t>
        </is>
      </c>
      <c r="B633" s="1" t="n">
        <v>45317</v>
      </c>
      <c r="C633" s="1" t="n">
        <v>46170</v>
      </c>
      <c r="D633" t="inlineStr">
        <is>
          <t>KALMAR LÄN</t>
        </is>
      </c>
      <c r="E633" t="inlineStr">
        <is>
          <t>VIMMERBY</t>
        </is>
      </c>
      <c r="F633" t="inlineStr">
        <is>
          <t>Övriga Aktiebolag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12819-2024</t>
        </is>
      </c>
      <c r="B634" s="1" t="n">
        <v>45384.66917824074</v>
      </c>
      <c r="C634" s="1" t="n">
        <v>46170</v>
      </c>
      <c r="D634" t="inlineStr">
        <is>
          <t>KALMAR LÄN</t>
        </is>
      </c>
      <c r="E634" t="inlineStr">
        <is>
          <t>VIMMERBY</t>
        </is>
      </c>
      <c r="G634" t="n">
        <v>5.1</v>
      </c>
      <c r="H634" t="n">
        <v>0</v>
      </c>
      <c r="I634" t="n">
        <v>0</v>
      </c>
      <c r="J634" t="n">
        <v>0</v>
      </c>
      <c r="K634" t="n">
        <v>0</v>
      </c>
      <c r="L634" t="n">
        <v>0</v>
      </c>
      <c r="M634" t="n">
        <v>0</v>
      </c>
      <c r="N634" t="n">
        <v>0</v>
      </c>
      <c r="O634" t="n">
        <v>0</v>
      </c>
      <c r="P634" t="n">
        <v>0</v>
      </c>
      <c r="Q634" t="n">
        <v>0</v>
      </c>
      <c r="R634" s="2" t="inlineStr"/>
    </row>
    <row r="635" ht="15" customHeight="1">
      <c r="A635" t="inlineStr">
        <is>
          <t>A 3868-2026</t>
        </is>
      </c>
      <c r="B635" s="1" t="n">
        <v>46043.6360300926</v>
      </c>
      <c r="C635" s="1" t="n">
        <v>46170</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3869-2026</t>
        </is>
      </c>
      <c r="B636" s="1" t="n">
        <v>46043.63940972222</v>
      </c>
      <c r="C636" s="1" t="n">
        <v>46170</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6214-2025</t>
        </is>
      </c>
      <c r="B637" s="1" t="n">
        <v>45698.51711805556</v>
      </c>
      <c r="C637" s="1" t="n">
        <v>46170</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32569-2024</t>
        </is>
      </c>
      <c r="B638" s="1" t="n">
        <v>45513.55840277778</v>
      </c>
      <c r="C638" s="1" t="n">
        <v>46170</v>
      </c>
      <c r="D638" t="inlineStr">
        <is>
          <t>KALMAR LÄN</t>
        </is>
      </c>
      <c r="E638" t="inlineStr">
        <is>
          <t>VIMMERBY</t>
        </is>
      </c>
      <c r="G638" t="n">
        <v>3.7</v>
      </c>
      <c r="H638" t="n">
        <v>0</v>
      </c>
      <c r="I638" t="n">
        <v>0</v>
      </c>
      <c r="J638" t="n">
        <v>0</v>
      </c>
      <c r="K638" t="n">
        <v>0</v>
      </c>
      <c r="L638" t="n">
        <v>0</v>
      </c>
      <c r="M638" t="n">
        <v>0</v>
      </c>
      <c r="N638" t="n">
        <v>0</v>
      </c>
      <c r="O638" t="n">
        <v>0</v>
      </c>
      <c r="P638" t="n">
        <v>0</v>
      </c>
      <c r="Q638" t="n">
        <v>0</v>
      </c>
      <c r="R638" s="2" t="inlineStr"/>
    </row>
    <row r="639" ht="15" customHeight="1">
      <c r="A639" t="inlineStr">
        <is>
          <t>A 32575-2024</t>
        </is>
      </c>
      <c r="B639" s="1" t="n">
        <v>45513.56527777778</v>
      </c>
      <c r="C639" s="1" t="n">
        <v>46170</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59300-2024</t>
        </is>
      </c>
      <c r="B640" s="1" t="n">
        <v>45637.66542824074</v>
      </c>
      <c r="C640" s="1" t="n">
        <v>46170</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3965-2026</t>
        </is>
      </c>
      <c r="B641" s="1" t="n">
        <v>46044.34563657407</v>
      </c>
      <c r="C641" s="1" t="n">
        <v>46170</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59768-2024</t>
        </is>
      </c>
      <c r="B642" s="1" t="n">
        <v>45639.56185185185</v>
      </c>
      <c r="C642" s="1" t="n">
        <v>46170</v>
      </c>
      <c r="D642" t="inlineStr">
        <is>
          <t>KALMAR LÄN</t>
        </is>
      </c>
      <c r="E642" t="inlineStr">
        <is>
          <t>VIMMERBY</t>
        </is>
      </c>
      <c r="G642" t="n">
        <v>5.9</v>
      </c>
      <c r="H642" t="n">
        <v>0</v>
      </c>
      <c r="I642" t="n">
        <v>0</v>
      </c>
      <c r="J642" t="n">
        <v>0</v>
      </c>
      <c r="K642" t="n">
        <v>0</v>
      </c>
      <c r="L642" t="n">
        <v>0</v>
      </c>
      <c r="M642" t="n">
        <v>0</v>
      </c>
      <c r="N642" t="n">
        <v>0</v>
      </c>
      <c r="O642" t="n">
        <v>0</v>
      </c>
      <c r="P642" t="n">
        <v>0</v>
      </c>
      <c r="Q642" t="n">
        <v>0</v>
      </c>
      <c r="R642" s="2" t="inlineStr"/>
    </row>
    <row r="643" ht="15" customHeight="1">
      <c r="A643" t="inlineStr">
        <is>
          <t>A 36526-2023</t>
        </is>
      </c>
      <c r="B643" s="1" t="n">
        <v>45153.32778935185</v>
      </c>
      <c r="C643" s="1" t="n">
        <v>46170</v>
      </c>
      <c r="D643" t="inlineStr">
        <is>
          <t>KALMAR LÄN</t>
        </is>
      </c>
      <c r="E643" t="inlineStr">
        <is>
          <t>VIMMERBY</t>
        </is>
      </c>
      <c r="G643" t="n">
        <v>2.7</v>
      </c>
      <c r="H643" t="n">
        <v>0</v>
      </c>
      <c r="I643" t="n">
        <v>0</v>
      </c>
      <c r="J643" t="n">
        <v>0</v>
      </c>
      <c r="K643" t="n">
        <v>0</v>
      </c>
      <c r="L643" t="n">
        <v>0</v>
      </c>
      <c r="M643" t="n">
        <v>0</v>
      </c>
      <c r="N643" t="n">
        <v>0</v>
      </c>
      <c r="O643" t="n">
        <v>0</v>
      </c>
      <c r="P643" t="n">
        <v>0</v>
      </c>
      <c r="Q643" t="n">
        <v>0</v>
      </c>
      <c r="R643" s="2" t="inlineStr"/>
    </row>
    <row r="644" ht="15" customHeight="1">
      <c r="A644" t="inlineStr">
        <is>
          <t>A 58728-2024</t>
        </is>
      </c>
      <c r="B644" s="1" t="n">
        <v>45635.66695601852</v>
      </c>
      <c r="C644" s="1" t="n">
        <v>46170</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49474-2023</t>
        </is>
      </c>
      <c r="B645" s="1" t="n">
        <v>45211.541875</v>
      </c>
      <c r="C645" s="1" t="n">
        <v>46170</v>
      </c>
      <c r="D645" t="inlineStr">
        <is>
          <t>KALMAR LÄN</t>
        </is>
      </c>
      <c r="E645" t="inlineStr">
        <is>
          <t>VIMMERBY</t>
        </is>
      </c>
      <c r="G645" t="n">
        <v>3.6</v>
      </c>
      <c r="H645" t="n">
        <v>0</v>
      </c>
      <c r="I645" t="n">
        <v>0</v>
      </c>
      <c r="J645" t="n">
        <v>0</v>
      </c>
      <c r="K645" t="n">
        <v>0</v>
      </c>
      <c r="L645" t="n">
        <v>0</v>
      </c>
      <c r="M645" t="n">
        <v>0</v>
      </c>
      <c r="N645" t="n">
        <v>0</v>
      </c>
      <c r="O645" t="n">
        <v>0</v>
      </c>
      <c r="P645" t="n">
        <v>0</v>
      </c>
      <c r="Q645" t="n">
        <v>0</v>
      </c>
      <c r="R645" s="2" t="inlineStr"/>
    </row>
    <row r="646" ht="15" customHeight="1">
      <c r="A646" t="inlineStr">
        <is>
          <t>A 57682-2022</t>
        </is>
      </c>
      <c r="B646" s="1" t="n">
        <v>44890</v>
      </c>
      <c r="C646" s="1" t="n">
        <v>46170</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63950-2023</t>
        </is>
      </c>
      <c r="B647" s="1" t="n">
        <v>45278</v>
      </c>
      <c r="C647" s="1" t="n">
        <v>46170</v>
      </c>
      <c r="D647" t="inlineStr">
        <is>
          <t>KALMAR LÄN</t>
        </is>
      </c>
      <c r="E647" t="inlineStr">
        <is>
          <t>VIMMERBY</t>
        </is>
      </c>
      <c r="F647" t="inlineStr">
        <is>
          <t>Kyrkan</t>
        </is>
      </c>
      <c r="G647" t="n">
        <v>2.7</v>
      </c>
      <c r="H647" t="n">
        <v>0</v>
      </c>
      <c r="I647" t="n">
        <v>0</v>
      </c>
      <c r="J647" t="n">
        <v>0</v>
      </c>
      <c r="K647" t="n">
        <v>0</v>
      </c>
      <c r="L647" t="n">
        <v>0</v>
      </c>
      <c r="M647" t="n">
        <v>0</v>
      </c>
      <c r="N647" t="n">
        <v>0</v>
      </c>
      <c r="O647" t="n">
        <v>0</v>
      </c>
      <c r="P647" t="n">
        <v>0</v>
      </c>
      <c r="Q647" t="n">
        <v>0</v>
      </c>
      <c r="R647" s="2" t="inlineStr"/>
    </row>
    <row r="648" ht="15" customHeight="1">
      <c r="A648" t="inlineStr">
        <is>
          <t>A 16516-2023</t>
        </is>
      </c>
      <c r="B648" s="1" t="n">
        <v>45029</v>
      </c>
      <c r="C648" s="1" t="n">
        <v>46170</v>
      </c>
      <c r="D648" t="inlineStr">
        <is>
          <t>KALMAR LÄN</t>
        </is>
      </c>
      <c r="E648" t="inlineStr">
        <is>
          <t>VIMMERBY</t>
        </is>
      </c>
      <c r="G648" t="n">
        <v>4.3</v>
      </c>
      <c r="H648" t="n">
        <v>0</v>
      </c>
      <c r="I648" t="n">
        <v>0</v>
      </c>
      <c r="J648" t="n">
        <v>0</v>
      </c>
      <c r="K648" t="n">
        <v>0</v>
      </c>
      <c r="L648" t="n">
        <v>0</v>
      </c>
      <c r="M648" t="n">
        <v>0</v>
      </c>
      <c r="N648" t="n">
        <v>0</v>
      </c>
      <c r="O648" t="n">
        <v>0</v>
      </c>
      <c r="P648" t="n">
        <v>0</v>
      </c>
      <c r="Q648" t="n">
        <v>0</v>
      </c>
      <c r="R648" s="2" t="inlineStr"/>
    </row>
    <row r="649" ht="15" customHeight="1">
      <c r="A649" t="inlineStr">
        <is>
          <t>A 47842-2024</t>
        </is>
      </c>
      <c r="B649" s="1" t="n">
        <v>45588.65545138889</v>
      </c>
      <c r="C649" s="1" t="n">
        <v>46170</v>
      </c>
      <c r="D649" t="inlineStr">
        <is>
          <t>KALMAR LÄN</t>
        </is>
      </c>
      <c r="E649" t="inlineStr">
        <is>
          <t>VIMMERBY</t>
        </is>
      </c>
      <c r="G649" t="n">
        <v>2.4</v>
      </c>
      <c r="H649" t="n">
        <v>0</v>
      </c>
      <c r="I649" t="n">
        <v>0</v>
      </c>
      <c r="J649" t="n">
        <v>0</v>
      </c>
      <c r="K649" t="n">
        <v>0</v>
      </c>
      <c r="L649" t="n">
        <v>0</v>
      </c>
      <c r="M649" t="n">
        <v>0</v>
      </c>
      <c r="N649" t="n">
        <v>0</v>
      </c>
      <c r="O649" t="n">
        <v>0</v>
      </c>
      <c r="P649" t="n">
        <v>0</v>
      </c>
      <c r="Q649" t="n">
        <v>0</v>
      </c>
      <c r="R649" s="2" t="inlineStr"/>
    </row>
    <row r="650" ht="15" customHeight="1">
      <c r="A650" t="inlineStr">
        <is>
          <t>A 6408-2025</t>
        </is>
      </c>
      <c r="B650" s="1" t="n">
        <v>45699.45671296296</v>
      </c>
      <c r="C650" s="1" t="n">
        <v>46170</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25109-2023</t>
        </is>
      </c>
      <c r="B651" s="1" t="n">
        <v>45086</v>
      </c>
      <c r="C651" s="1" t="n">
        <v>46170</v>
      </c>
      <c r="D651" t="inlineStr">
        <is>
          <t>KALMAR LÄN</t>
        </is>
      </c>
      <c r="E651" t="inlineStr">
        <is>
          <t>VIMMERBY</t>
        </is>
      </c>
      <c r="G651" t="n">
        <v>1.5</v>
      </c>
      <c r="H651" t="n">
        <v>0</v>
      </c>
      <c r="I651" t="n">
        <v>0</v>
      </c>
      <c r="J651" t="n">
        <v>0</v>
      </c>
      <c r="K651" t="n">
        <v>0</v>
      </c>
      <c r="L651" t="n">
        <v>0</v>
      </c>
      <c r="M651" t="n">
        <v>0</v>
      </c>
      <c r="N651" t="n">
        <v>0</v>
      </c>
      <c r="O651" t="n">
        <v>0</v>
      </c>
      <c r="P651" t="n">
        <v>0</v>
      </c>
      <c r="Q651" t="n">
        <v>0</v>
      </c>
      <c r="R651" s="2" t="inlineStr"/>
    </row>
    <row r="652" ht="15" customHeight="1">
      <c r="A652" t="inlineStr">
        <is>
          <t>A 33380-2023</t>
        </is>
      </c>
      <c r="B652" s="1" t="n">
        <v>45128</v>
      </c>
      <c r="C652" s="1" t="n">
        <v>46170</v>
      </c>
      <c r="D652" t="inlineStr">
        <is>
          <t>KALMAR LÄN</t>
        </is>
      </c>
      <c r="E652" t="inlineStr">
        <is>
          <t>VIMMERBY</t>
        </is>
      </c>
      <c r="G652" t="n">
        <v>5.2</v>
      </c>
      <c r="H652" t="n">
        <v>0</v>
      </c>
      <c r="I652" t="n">
        <v>0</v>
      </c>
      <c r="J652" t="n">
        <v>0</v>
      </c>
      <c r="K652" t="n">
        <v>0</v>
      </c>
      <c r="L652" t="n">
        <v>0</v>
      </c>
      <c r="M652" t="n">
        <v>0</v>
      </c>
      <c r="N652" t="n">
        <v>0</v>
      </c>
      <c r="O652" t="n">
        <v>0</v>
      </c>
      <c r="P652" t="n">
        <v>0</v>
      </c>
      <c r="Q652" t="n">
        <v>0</v>
      </c>
      <c r="R652" s="2" t="inlineStr"/>
    </row>
    <row r="653" ht="15" customHeight="1">
      <c r="A653" t="inlineStr">
        <is>
          <t>A 32639-2023</t>
        </is>
      </c>
      <c r="B653" s="1" t="n">
        <v>45121.5965162037</v>
      </c>
      <c r="C653" s="1" t="n">
        <v>46170</v>
      </c>
      <c r="D653" t="inlineStr">
        <is>
          <t>KALMAR LÄN</t>
        </is>
      </c>
      <c r="E653" t="inlineStr">
        <is>
          <t>VIMMERBY</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32642-2023</t>
        </is>
      </c>
      <c r="B654" s="1" t="n">
        <v>45121.59954861111</v>
      </c>
      <c r="C654" s="1" t="n">
        <v>46170</v>
      </c>
      <c r="D654" t="inlineStr">
        <is>
          <t>KALMAR LÄN</t>
        </is>
      </c>
      <c r="E654" t="inlineStr">
        <is>
          <t>VIMMERBY</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32651-2023</t>
        </is>
      </c>
      <c r="B655" s="1" t="n">
        <v>45121.6096875</v>
      </c>
      <c r="C655" s="1" t="n">
        <v>46170</v>
      </c>
      <c r="D655" t="inlineStr">
        <is>
          <t>KALMAR LÄN</t>
        </is>
      </c>
      <c r="E655" t="inlineStr">
        <is>
          <t>VIMMERBY</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11928-2022</t>
        </is>
      </c>
      <c r="B656" s="1" t="n">
        <v>44635</v>
      </c>
      <c r="C656" s="1" t="n">
        <v>46170</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7068-2024</t>
        </is>
      </c>
      <c r="B657" s="1" t="n">
        <v>45343.68038194445</v>
      </c>
      <c r="C657" s="1" t="n">
        <v>46170</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46234-2024</t>
        </is>
      </c>
      <c r="B658" s="1" t="n">
        <v>45581.57958333333</v>
      </c>
      <c r="C658" s="1" t="n">
        <v>46170</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37187-2024</t>
        </is>
      </c>
      <c r="B659" s="1" t="n">
        <v>45539.65212962963</v>
      </c>
      <c r="C659" s="1" t="n">
        <v>46170</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1021-2024</t>
        </is>
      </c>
      <c r="B660" s="1" t="n">
        <v>45301.67736111111</v>
      </c>
      <c r="C660" s="1" t="n">
        <v>46170</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72701-2021</t>
        </is>
      </c>
      <c r="B661" s="1" t="n">
        <v>44546</v>
      </c>
      <c r="C661" s="1" t="n">
        <v>46170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19111-2025</t>
        </is>
      </c>
      <c r="B662" s="1" t="n">
        <v>45768.65611111111</v>
      </c>
      <c r="C662" s="1" t="n">
        <v>46170</v>
      </c>
      <c r="D662" t="inlineStr">
        <is>
          <t>KALMAR LÄN</t>
        </is>
      </c>
      <c r="E662" t="inlineStr">
        <is>
          <t>VIMMERBY</t>
        </is>
      </c>
      <c r="G662" t="n">
        <v>6.2</v>
      </c>
      <c r="H662" t="n">
        <v>0</v>
      </c>
      <c r="I662" t="n">
        <v>0</v>
      </c>
      <c r="J662" t="n">
        <v>0</v>
      </c>
      <c r="K662" t="n">
        <v>0</v>
      </c>
      <c r="L662" t="n">
        <v>0</v>
      </c>
      <c r="M662" t="n">
        <v>0</v>
      </c>
      <c r="N662" t="n">
        <v>0</v>
      </c>
      <c r="O662" t="n">
        <v>0</v>
      </c>
      <c r="P662" t="n">
        <v>0</v>
      </c>
      <c r="Q662" t="n">
        <v>0</v>
      </c>
      <c r="R662" s="2" t="inlineStr"/>
    </row>
    <row r="663" ht="15" customHeight="1">
      <c r="A663" t="inlineStr">
        <is>
          <t>A 33374-2021</t>
        </is>
      </c>
      <c r="B663" s="1" t="n">
        <v>44377</v>
      </c>
      <c r="C663" s="1" t="n">
        <v>46170</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10807-2024</t>
        </is>
      </c>
      <c r="B664" s="1" t="n">
        <v>45369.62780092593</v>
      </c>
      <c r="C664" s="1" t="n">
        <v>46170</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33359-2021</t>
        </is>
      </c>
      <c r="B665" s="1" t="n">
        <v>44377.49684027778</v>
      </c>
      <c r="C665" s="1" t="n">
        <v>46170</v>
      </c>
      <c r="D665" t="inlineStr">
        <is>
          <t>KALMAR LÄN</t>
        </is>
      </c>
      <c r="E665" t="inlineStr">
        <is>
          <t>VIMMERBY</t>
        </is>
      </c>
      <c r="F665" t="inlineStr">
        <is>
          <t>Kommuner</t>
        </is>
      </c>
      <c r="G665" t="n">
        <v>8</v>
      </c>
      <c r="H665" t="n">
        <v>0</v>
      </c>
      <c r="I665" t="n">
        <v>0</v>
      </c>
      <c r="J665" t="n">
        <v>0</v>
      </c>
      <c r="K665" t="n">
        <v>0</v>
      </c>
      <c r="L665" t="n">
        <v>0</v>
      </c>
      <c r="M665" t="n">
        <v>0</v>
      </c>
      <c r="N665" t="n">
        <v>0</v>
      </c>
      <c r="O665" t="n">
        <v>0</v>
      </c>
      <c r="P665" t="n">
        <v>0</v>
      </c>
      <c r="Q665" t="n">
        <v>0</v>
      </c>
      <c r="R665" s="2" t="inlineStr"/>
    </row>
    <row r="666" ht="15" customHeight="1">
      <c r="A666" t="inlineStr">
        <is>
          <t>A 34588-2024</t>
        </is>
      </c>
      <c r="B666" s="1" t="n">
        <v>45526.3865625</v>
      </c>
      <c r="C666" s="1" t="n">
        <v>46170</v>
      </c>
      <c r="D666" t="inlineStr">
        <is>
          <t>KALMAR LÄN</t>
        </is>
      </c>
      <c r="E666" t="inlineStr">
        <is>
          <t>VIMMERBY</t>
        </is>
      </c>
      <c r="F666" t="inlineStr">
        <is>
          <t>Övriga Aktiebolag</t>
        </is>
      </c>
      <c r="G666" t="n">
        <v>3.3</v>
      </c>
      <c r="H666" t="n">
        <v>0</v>
      </c>
      <c r="I666" t="n">
        <v>0</v>
      </c>
      <c r="J666" t="n">
        <v>0</v>
      </c>
      <c r="K666" t="n">
        <v>0</v>
      </c>
      <c r="L666" t="n">
        <v>0</v>
      </c>
      <c r="M666" t="n">
        <v>0</v>
      </c>
      <c r="N666" t="n">
        <v>0</v>
      </c>
      <c r="O666" t="n">
        <v>0</v>
      </c>
      <c r="P666" t="n">
        <v>0</v>
      </c>
      <c r="Q666" t="n">
        <v>0</v>
      </c>
      <c r="R666" s="2" t="inlineStr"/>
    </row>
    <row r="667" ht="15" customHeight="1">
      <c r="A667" t="inlineStr">
        <is>
          <t>A 17084-2025</t>
        </is>
      </c>
      <c r="B667" s="1" t="n">
        <v>45755.64450231481</v>
      </c>
      <c r="C667" s="1" t="n">
        <v>46170</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33161-2024</t>
        </is>
      </c>
      <c r="B668" s="1" t="n">
        <v>45518.40657407408</v>
      </c>
      <c r="C668" s="1" t="n">
        <v>46170</v>
      </c>
      <c r="D668" t="inlineStr">
        <is>
          <t>KALMAR LÄN</t>
        </is>
      </c>
      <c r="E668" t="inlineStr">
        <is>
          <t>VIMMERBY</t>
        </is>
      </c>
      <c r="G668" t="n">
        <v>4.7</v>
      </c>
      <c r="H668" t="n">
        <v>0</v>
      </c>
      <c r="I668" t="n">
        <v>0</v>
      </c>
      <c r="J668" t="n">
        <v>0</v>
      </c>
      <c r="K668" t="n">
        <v>0</v>
      </c>
      <c r="L668" t="n">
        <v>0</v>
      </c>
      <c r="M668" t="n">
        <v>0</v>
      </c>
      <c r="N668" t="n">
        <v>0</v>
      </c>
      <c r="O668" t="n">
        <v>0</v>
      </c>
      <c r="P668" t="n">
        <v>0</v>
      </c>
      <c r="Q668" t="n">
        <v>0</v>
      </c>
      <c r="R668" s="2" t="inlineStr"/>
    </row>
    <row r="669" ht="15" customHeight="1">
      <c r="A669" t="inlineStr">
        <is>
          <t>A 6817-2026</t>
        </is>
      </c>
      <c r="B669" s="1" t="n">
        <v>46057.38412037037</v>
      </c>
      <c r="C669" s="1" t="n">
        <v>46170</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14359-2025</t>
        </is>
      </c>
      <c r="B670" s="1" t="n">
        <v>45741.37270833334</v>
      </c>
      <c r="C670" s="1" t="n">
        <v>46170</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46170</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46170</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46170</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46170</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46399-2024</t>
        </is>
      </c>
      <c r="B675" s="1" t="n">
        <v>45582.41200231481</v>
      </c>
      <c r="C675" s="1" t="n">
        <v>46170</v>
      </c>
      <c r="D675" t="inlineStr">
        <is>
          <t>KALMAR LÄN</t>
        </is>
      </c>
      <c r="E675" t="inlineStr">
        <is>
          <t>VIMMERBY</t>
        </is>
      </c>
      <c r="G675" t="n">
        <v>4.6</v>
      </c>
      <c r="H675" t="n">
        <v>0</v>
      </c>
      <c r="I675" t="n">
        <v>0</v>
      </c>
      <c r="J675" t="n">
        <v>0</v>
      </c>
      <c r="K675" t="n">
        <v>0</v>
      </c>
      <c r="L675" t="n">
        <v>0</v>
      </c>
      <c r="M675" t="n">
        <v>0</v>
      </c>
      <c r="N675" t="n">
        <v>0</v>
      </c>
      <c r="O675" t="n">
        <v>0</v>
      </c>
      <c r="P675" t="n">
        <v>0</v>
      </c>
      <c r="Q675" t="n">
        <v>0</v>
      </c>
      <c r="R675" s="2" t="inlineStr"/>
    </row>
    <row r="676" ht="15" customHeight="1">
      <c r="A676" t="inlineStr">
        <is>
          <t>A 13532-2025</t>
        </is>
      </c>
      <c r="B676" s="1" t="n">
        <v>45736.50743055555</v>
      </c>
      <c r="C676" s="1" t="n">
        <v>46170</v>
      </c>
      <c r="D676" t="inlineStr">
        <is>
          <t>KALMAR LÄN</t>
        </is>
      </c>
      <c r="E676" t="inlineStr">
        <is>
          <t>VIMMERBY</t>
        </is>
      </c>
      <c r="G676" t="n">
        <v>3.6</v>
      </c>
      <c r="H676" t="n">
        <v>0</v>
      </c>
      <c r="I676" t="n">
        <v>0</v>
      </c>
      <c r="J676" t="n">
        <v>0</v>
      </c>
      <c r="K676" t="n">
        <v>0</v>
      </c>
      <c r="L676" t="n">
        <v>0</v>
      </c>
      <c r="M676" t="n">
        <v>0</v>
      </c>
      <c r="N676" t="n">
        <v>0</v>
      </c>
      <c r="O676" t="n">
        <v>0</v>
      </c>
      <c r="P676" t="n">
        <v>0</v>
      </c>
      <c r="Q676" t="n">
        <v>0</v>
      </c>
      <c r="R676" s="2" t="inlineStr"/>
    </row>
    <row r="677" ht="15" customHeight="1">
      <c r="A677" t="inlineStr">
        <is>
          <t>A 43038-2022</t>
        </is>
      </c>
      <c r="B677" s="1" t="n">
        <v>44833.60123842592</v>
      </c>
      <c r="C677" s="1" t="n">
        <v>46170</v>
      </c>
      <c r="D677" t="inlineStr">
        <is>
          <t>KALMAR LÄN</t>
        </is>
      </c>
      <c r="E677" t="inlineStr">
        <is>
          <t>VIMMERBY</t>
        </is>
      </c>
      <c r="G677" t="n">
        <v>4.2</v>
      </c>
      <c r="H677" t="n">
        <v>0</v>
      </c>
      <c r="I677" t="n">
        <v>0</v>
      </c>
      <c r="J677" t="n">
        <v>0</v>
      </c>
      <c r="K677" t="n">
        <v>0</v>
      </c>
      <c r="L677" t="n">
        <v>0</v>
      </c>
      <c r="M677" t="n">
        <v>0</v>
      </c>
      <c r="N677" t="n">
        <v>0</v>
      </c>
      <c r="O677" t="n">
        <v>0</v>
      </c>
      <c r="P677" t="n">
        <v>0</v>
      </c>
      <c r="Q677" t="n">
        <v>0</v>
      </c>
      <c r="R677" s="2" t="inlineStr"/>
    </row>
    <row r="678" ht="15" customHeight="1">
      <c r="A678" t="inlineStr">
        <is>
          <t>A 57799-2022</t>
        </is>
      </c>
      <c r="B678" s="1" t="n">
        <v>44897</v>
      </c>
      <c r="C678" s="1" t="n">
        <v>46170</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30921-2024</t>
        </is>
      </c>
      <c r="B679" s="1" t="n">
        <v>45498</v>
      </c>
      <c r="C679" s="1" t="n">
        <v>46170</v>
      </c>
      <c r="D679" t="inlineStr">
        <is>
          <t>KALMAR LÄN</t>
        </is>
      </c>
      <c r="E679" t="inlineStr">
        <is>
          <t>VIMMERBY</t>
        </is>
      </c>
      <c r="G679" t="n">
        <v>1.6</v>
      </c>
      <c r="H679" t="n">
        <v>0</v>
      </c>
      <c r="I679" t="n">
        <v>0</v>
      </c>
      <c r="J679" t="n">
        <v>0</v>
      </c>
      <c r="K679" t="n">
        <v>0</v>
      </c>
      <c r="L679" t="n">
        <v>0</v>
      </c>
      <c r="M679" t="n">
        <v>0</v>
      </c>
      <c r="N679" t="n">
        <v>0</v>
      </c>
      <c r="O679" t="n">
        <v>0</v>
      </c>
      <c r="P679" t="n">
        <v>0</v>
      </c>
      <c r="Q679" t="n">
        <v>0</v>
      </c>
      <c r="R679" s="2" t="inlineStr"/>
    </row>
    <row r="680" ht="15" customHeight="1">
      <c r="A680" t="inlineStr">
        <is>
          <t>A 8595-2026</t>
        </is>
      </c>
      <c r="B680" s="1" t="n">
        <v>46065.7372337963</v>
      </c>
      <c r="C680" s="1" t="n">
        <v>46170</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14137-2023</t>
        </is>
      </c>
      <c r="B681" s="1" t="n">
        <v>45009.4671875</v>
      </c>
      <c r="C681" s="1" t="n">
        <v>46170</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11152-2023</t>
        </is>
      </c>
      <c r="B682" s="1" t="n">
        <v>44992</v>
      </c>
      <c r="C682" s="1" t="n">
        <v>46170</v>
      </c>
      <c r="D682" t="inlineStr">
        <is>
          <t>KALMAR LÄN</t>
        </is>
      </c>
      <c r="E682" t="inlineStr">
        <is>
          <t>VIMMERBY</t>
        </is>
      </c>
      <c r="G682" t="n">
        <v>10.6</v>
      </c>
      <c r="H682" t="n">
        <v>0</v>
      </c>
      <c r="I682" t="n">
        <v>0</v>
      </c>
      <c r="J682" t="n">
        <v>0</v>
      </c>
      <c r="K682" t="n">
        <v>0</v>
      </c>
      <c r="L682" t="n">
        <v>0</v>
      </c>
      <c r="M682" t="n">
        <v>0</v>
      </c>
      <c r="N682" t="n">
        <v>0</v>
      </c>
      <c r="O682" t="n">
        <v>0</v>
      </c>
      <c r="P682" t="n">
        <v>0</v>
      </c>
      <c r="Q682" t="n">
        <v>0</v>
      </c>
      <c r="R682" s="2" t="inlineStr"/>
    </row>
    <row r="683" ht="15" customHeight="1">
      <c r="A683" t="inlineStr">
        <is>
          <t>A 8696-2026</t>
        </is>
      </c>
      <c r="B683" s="1" t="n">
        <v>46066.45273148148</v>
      </c>
      <c r="C683" s="1" t="n">
        <v>46170</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12499-2023</t>
        </is>
      </c>
      <c r="B684" s="1" t="n">
        <v>44999.86172453704</v>
      </c>
      <c r="C684" s="1" t="n">
        <v>46170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12500-2023</t>
        </is>
      </c>
      <c r="B685" s="1" t="n">
        <v>44999.8625</v>
      </c>
      <c r="C685" s="1" t="n">
        <v>46170</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35846-2023</t>
        </is>
      </c>
      <c r="B686" s="1" t="n">
        <v>45148</v>
      </c>
      <c r="C686" s="1" t="n">
        <v>46170</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49039-2021</t>
        </is>
      </c>
      <c r="B687" s="1" t="n">
        <v>44453.56578703703</v>
      </c>
      <c r="C687" s="1" t="n">
        <v>46170</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46224-2024</t>
        </is>
      </c>
      <c r="B688" s="1" t="n">
        <v>45581.57016203704</v>
      </c>
      <c r="C688" s="1" t="n">
        <v>46170</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46238-2024</t>
        </is>
      </c>
      <c r="B689" s="1" t="n">
        <v>45581.58418981481</v>
      </c>
      <c r="C689" s="1" t="n">
        <v>46170</v>
      </c>
      <c r="D689" t="inlineStr">
        <is>
          <t>KALMAR LÄN</t>
        </is>
      </c>
      <c r="E689" t="inlineStr">
        <is>
          <t>VIMMERBY</t>
        </is>
      </c>
      <c r="G689" t="n">
        <v>2.1</v>
      </c>
      <c r="H689" t="n">
        <v>0</v>
      </c>
      <c r="I689" t="n">
        <v>0</v>
      </c>
      <c r="J689" t="n">
        <v>0</v>
      </c>
      <c r="K689" t="n">
        <v>0</v>
      </c>
      <c r="L689" t="n">
        <v>0</v>
      </c>
      <c r="M689" t="n">
        <v>0</v>
      </c>
      <c r="N689" t="n">
        <v>0</v>
      </c>
      <c r="O689" t="n">
        <v>0</v>
      </c>
      <c r="P689" t="n">
        <v>0</v>
      </c>
      <c r="Q689" t="n">
        <v>0</v>
      </c>
      <c r="R689" s="2" t="inlineStr"/>
    </row>
    <row r="690" ht="15" customHeight="1">
      <c r="A690" t="inlineStr">
        <is>
          <t>A 30633-2024</t>
        </is>
      </c>
      <c r="B690" s="1" t="n">
        <v>45495</v>
      </c>
      <c r="C690" s="1" t="n">
        <v>46170</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54838-2024</t>
        </is>
      </c>
      <c r="B691" s="1" t="n">
        <v>45618.56787037037</v>
      </c>
      <c r="C691" s="1" t="n">
        <v>46170</v>
      </c>
      <c r="D691" t="inlineStr">
        <is>
          <t>KALMAR LÄN</t>
        </is>
      </c>
      <c r="E691" t="inlineStr">
        <is>
          <t>VIMMERBY</t>
        </is>
      </c>
      <c r="G691" t="n">
        <v>3.3</v>
      </c>
      <c r="H691" t="n">
        <v>0</v>
      </c>
      <c r="I691" t="n">
        <v>0</v>
      </c>
      <c r="J691" t="n">
        <v>0</v>
      </c>
      <c r="K691" t="n">
        <v>0</v>
      </c>
      <c r="L691" t="n">
        <v>0</v>
      </c>
      <c r="M691" t="n">
        <v>0</v>
      </c>
      <c r="N691" t="n">
        <v>0</v>
      </c>
      <c r="O691" t="n">
        <v>0</v>
      </c>
      <c r="P691" t="n">
        <v>0</v>
      </c>
      <c r="Q691" t="n">
        <v>0</v>
      </c>
      <c r="R691" s="2" t="inlineStr"/>
    </row>
    <row r="692" ht="15" customHeight="1">
      <c r="A692" t="inlineStr">
        <is>
          <t>A 6405-2025</t>
        </is>
      </c>
      <c r="B692" s="1" t="n">
        <v>45699.45392361111</v>
      </c>
      <c r="C692" s="1" t="n">
        <v>46170</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60437-2023</t>
        </is>
      </c>
      <c r="B693" s="1" t="n">
        <v>45259.51916666667</v>
      </c>
      <c r="C693" s="1" t="n">
        <v>46170</v>
      </c>
      <c r="D693" t="inlineStr">
        <is>
          <t>KALMAR LÄN</t>
        </is>
      </c>
      <c r="E693" t="inlineStr">
        <is>
          <t>VIMMERBY</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60438-2023</t>
        </is>
      </c>
      <c r="B694" s="1" t="n">
        <v>45259.52020833334</v>
      </c>
      <c r="C694" s="1" t="n">
        <v>46170</v>
      </c>
      <c r="D694" t="inlineStr">
        <is>
          <t>KALMAR LÄN</t>
        </is>
      </c>
      <c r="E694" t="inlineStr">
        <is>
          <t>VIMMERBY</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42165-2024</t>
        </is>
      </c>
      <c r="B695" s="1" t="n">
        <v>45562.46342592593</v>
      </c>
      <c r="C695" s="1" t="n">
        <v>46170</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25244-2023</t>
        </is>
      </c>
      <c r="B696" s="1" t="n">
        <v>45086</v>
      </c>
      <c r="C696" s="1" t="n">
        <v>46170</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66022-2021</t>
        </is>
      </c>
      <c r="B697" s="1" t="n">
        <v>44517</v>
      </c>
      <c r="C697" s="1" t="n">
        <v>46170</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35895-2024</t>
        </is>
      </c>
      <c r="B698" s="1" t="n">
        <v>45533.38870370371</v>
      </c>
      <c r="C698" s="1" t="n">
        <v>46170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11073-2023</t>
        </is>
      </c>
      <c r="B699" s="1" t="n">
        <v>44992</v>
      </c>
      <c r="C699" s="1" t="n">
        <v>46170</v>
      </c>
      <c r="D699" t="inlineStr">
        <is>
          <t>KALMAR LÄN</t>
        </is>
      </c>
      <c r="E699" t="inlineStr">
        <is>
          <t>VIMMERBY</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17-2025</t>
        </is>
      </c>
      <c r="B700" s="1" t="n">
        <v>45658.78774305555</v>
      </c>
      <c r="C700" s="1" t="n">
        <v>46170</v>
      </c>
      <c r="D700" t="inlineStr">
        <is>
          <t>KALMAR LÄN</t>
        </is>
      </c>
      <c r="E700" t="inlineStr">
        <is>
          <t>VIMMERBY</t>
        </is>
      </c>
      <c r="G700" t="n">
        <v>4.4</v>
      </c>
      <c r="H700" t="n">
        <v>0</v>
      </c>
      <c r="I700" t="n">
        <v>0</v>
      </c>
      <c r="J700" t="n">
        <v>0</v>
      </c>
      <c r="K700" t="n">
        <v>0</v>
      </c>
      <c r="L700" t="n">
        <v>0</v>
      </c>
      <c r="M700" t="n">
        <v>0</v>
      </c>
      <c r="N700" t="n">
        <v>0</v>
      </c>
      <c r="O700" t="n">
        <v>0</v>
      </c>
      <c r="P700" t="n">
        <v>0</v>
      </c>
      <c r="Q700" t="n">
        <v>0</v>
      </c>
      <c r="R700" s="2" t="inlineStr"/>
    </row>
    <row r="701" ht="15" customHeight="1">
      <c r="A701" t="inlineStr">
        <is>
          <t>A 32655-2023</t>
        </is>
      </c>
      <c r="B701" s="1" t="n">
        <v>45121.61318287037</v>
      </c>
      <c r="C701" s="1" t="n">
        <v>46170</v>
      </c>
      <c r="D701" t="inlineStr">
        <is>
          <t>KALMAR LÄN</t>
        </is>
      </c>
      <c r="E701" t="inlineStr">
        <is>
          <t>VIMMERBY</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63541-2023</t>
        </is>
      </c>
      <c r="B702" s="1" t="n">
        <v>45275.32266203704</v>
      </c>
      <c r="C702" s="1" t="n">
        <v>46170</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28034-2022</t>
        </is>
      </c>
      <c r="B703" s="1" t="n">
        <v>44746.38834490741</v>
      </c>
      <c r="C703" s="1" t="n">
        <v>46170</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46170</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24283-2023</t>
        </is>
      </c>
      <c r="B705" s="1" t="n">
        <v>45079.87827546296</v>
      </c>
      <c r="C705" s="1" t="n">
        <v>46170</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10965-2026</t>
        </is>
      </c>
      <c r="B706" s="1" t="n">
        <v>46079.43295138889</v>
      </c>
      <c r="C706" s="1" t="n">
        <v>46170</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11273-2026</t>
        </is>
      </c>
      <c r="B707" s="1" t="n">
        <v>46080.57634259259</v>
      </c>
      <c r="C707" s="1" t="n">
        <v>46170</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2462-2022</t>
        </is>
      </c>
      <c r="B708" s="1" t="n">
        <v>44579.62225694444</v>
      </c>
      <c r="C708" s="1" t="n">
        <v>46170</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60228-2021</t>
        </is>
      </c>
      <c r="B709" s="1" t="n">
        <v>44495</v>
      </c>
      <c r="C709" s="1" t="n">
        <v>46170</v>
      </c>
      <c r="D709" t="inlineStr">
        <is>
          <t>KALMAR LÄN</t>
        </is>
      </c>
      <c r="E709" t="inlineStr">
        <is>
          <t>VIMMERBY</t>
        </is>
      </c>
      <c r="G709" t="n">
        <v>4.1</v>
      </c>
      <c r="H709" t="n">
        <v>0</v>
      </c>
      <c r="I709" t="n">
        <v>0</v>
      </c>
      <c r="J709" t="n">
        <v>0</v>
      </c>
      <c r="K709" t="n">
        <v>0</v>
      </c>
      <c r="L709" t="n">
        <v>0</v>
      </c>
      <c r="M709" t="n">
        <v>0</v>
      </c>
      <c r="N709" t="n">
        <v>0</v>
      </c>
      <c r="O709" t="n">
        <v>0</v>
      </c>
      <c r="P709" t="n">
        <v>0</v>
      </c>
      <c r="Q709" t="n">
        <v>0</v>
      </c>
      <c r="R709" s="2" t="inlineStr"/>
    </row>
    <row r="710" ht="15" customHeight="1">
      <c r="A710" t="inlineStr">
        <is>
          <t>A 25979-2023</t>
        </is>
      </c>
      <c r="B710" s="1" t="n">
        <v>45090.89653935185</v>
      </c>
      <c r="C710" s="1" t="n">
        <v>46170</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25980-2023</t>
        </is>
      </c>
      <c r="B711" s="1" t="n">
        <v>45090.89880787037</v>
      </c>
      <c r="C711" s="1" t="n">
        <v>46170</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12510-2022</t>
        </is>
      </c>
      <c r="B712" s="1" t="n">
        <v>44638.55256944444</v>
      </c>
      <c r="C712" s="1" t="n">
        <v>46170</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6358-2022</t>
        </is>
      </c>
      <c r="B713" s="1" t="n">
        <v>44600</v>
      </c>
      <c r="C713" s="1" t="n">
        <v>46170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11415-2026</t>
        </is>
      </c>
      <c r="B714" s="1" t="n">
        <v>46083</v>
      </c>
      <c r="C714" s="1" t="n">
        <v>46170</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11407-2026</t>
        </is>
      </c>
      <c r="B715" s="1" t="n">
        <v>46083</v>
      </c>
      <c r="C715" s="1" t="n">
        <v>46170</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48373-2021</t>
        </is>
      </c>
      <c r="B716" s="1" t="n">
        <v>44451</v>
      </c>
      <c r="C716" s="1" t="n">
        <v>46170</v>
      </c>
      <c r="D716" t="inlineStr">
        <is>
          <t>KALMAR LÄN</t>
        </is>
      </c>
      <c r="E716" t="inlineStr">
        <is>
          <t>VIMMERBY</t>
        </is>
      </c>
      <c r="G716" t="n">
        <v>2.2</v>
      </c>
      <c r="H716" t="n">
        <v>0</v>
      </c>
      <c r="I716" t="n">
        <v>0</v>
      </c>
      <c r="J716" t="n">
        <v>0</v>
      </c>
      <c r="K716" t="n">
        <v>0</v>
      </c>
      <c r="L716" t="n">
        <v>0</v>
      </c>
      <c r="M716" t="n">
        <v>0</v>
      </c>
      <c r="N716" t="n">
        <v>0</v>
      </c>
      <c r="O716" t="n">
        <v>0</v>
      </c>
      <c r="P716" t="n">
        <v>0</v>
      </c>
      <c r="Q716" t="n">
        <v>0</v>
      </c>
      <c r="R716" s="2" t="inlineStr"/>
    </row>
    <row r="717" ht="15" customHeight="1">
      <c r="A717" t="inlineStr">
        <is>
          <t>A 11798-2026</t>
        </is>
      </c>
      <c r="B717" s="1" t="n">
        <v>46085.34020833333</v>
      </c>
      <c r="C717" s="1" t="n">
        <v>46170</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57256-2023</t>
        </is>
      </c>
      <c r="B718" s="1" t="n">
        <v>45245.5735300926</v>
      </c>
      <c r="C718" s="1" t="n">
        <v>46170</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17482-2024</t>
        </is>
      </c>
      <c r="B719" s="1" t="n">
        <v>45415.47848379629</v>
      </c>
      <c r="C719" s="1" t="n">
        <v>46170</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55123-2024</t>
        </is>
      </c>
      <c r="B720" s="1" t="n">
        <v>45621.46103009259</v>
      </c>
      <c r="C720" s="1" t="n">
        <v>46170</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18633-2026</t>
        </is>
      </c>
      <c r="B721" s="1" t="n">
        <v>46128.26289351852</v>
      </c>
      <c r="C721" s="1" t="n">
        <v>46170</v>
      </c>
      <c r="D721" t="inlineStr">
        <is>
          <t>KALMAR LÄN</t>
        </is>
      </c>
      <c r="E721" t="inlineStr">
        <is>
          <t>VIMMERBY</t>
        </is>
      </c>
      <c r="G721" t="n">
        <v>2</v>
      </c>
      <c r="H721" t="n">
        <v>0</v>
      </c>
      <c r="I721" t="n">
        <v>0</v>
      </c>
      <c r="J721" t="n">
        <v>0</v>
      </c>
      <c r="K721" t="n">
        <v>0</v>
      </c>
      <c r="L721" t="n">
        <v>0</v>
      </c>
      <c r="M721" t="n">
        <v>0</v>
      </c>
      <c r="N721" t="n">
        <v>0</v>
      </c>
      <c r="O721" t="n">
        <v>0</v>
      </c>
      <c r="P721" t="n">
        <v>0</v>
      </c>
      <c r="Q721" t="n">
        <v>0</v>
      </c>
      <c r="R721" s="2" t="inlineStr"/>
    </row>
    <row r="722" ht="15" customHeight="1">
      <c r="A722" t="inlineStr">
        <is>
          <t>A 49313-2022</t>
        </is>
      </c>
      <c r="B722" s="1" t="n">
        <v>44861.52505787037</v>
      </c>
      <c r="C722" s="1" t="n">
        <v>46170</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1987-2024</t>
        </is>
      </c>
      <c r="B723" s="1" t="n">
        <v>45308.61152777778</v>
      </c>
      <c r="C723" s="1" t="n">
        <v>46170</v>
      </c>
      <c r="D723" t="inlineStr">
        <is>
          <t>KALMAR LÄN</t>
        </is>
      </c>
      <c r="E723" t="inlineStr">
        <is>
          <t>VIMMERBY</t>
        </is>
      </c>
      <c r="G723" t="n">
        <v>3</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46170</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46170</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46170</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46170</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46170</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40095-2022</t>
        </is>
      </c>
      <c r="B729" s="1" t="n">
        <v>44820</v>
      </c>
      <c r="C729" s="1" t="n">
        <v>46170</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50085-2023</t>
        </is>
      </c>
      <c r="B730" s="1" t="n">
        <v>45215.5959375</v>
      </c>
      <c r="C730" s="1" t="n">
        <v>46170</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50087-2023</t>
        </is>
      </c>
      <c r="B731" s="1" t="n">
        <v>45215.59743055556</v>
      </c>
      <c r="C731" s="1" t="n">
        <v>46170</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8167-2024</t>
        </is>
      </c>
      <c r="B732" s="1" t="n">
        <v>45351.6062962963</v>
      </c>
      <c r="C732" s="1" t="n">
        <v>46170</v>
      </c>
      <c r="D732" t="inlineStr">
        <is>
          <t>KALMAR LÄN</t>
        </is>
      </c>
      <c r="E732" t="inlineStr">
        <is>
          <t>VIMMERBY</t>
        </is>
      </c>
      <c r="G732" t="n">
        <v>3.8</v>
      </c>
      <c r="H732" t="n">
        <v>0</v>
      </c>
      <c r="I732" t="n">
        <v>0</v>
      </c>
      <c r="J732" t="n">
        <v>0</v>
      </c>
      <c r="K732" t="n">
        <v>0</v>
      </c>
      <c r="L732" t="n">
        <v>0</v>
      </c>
      <c r="M732" t="n">
        <v>0</v>
      </c>
      <c r="N732" t="n">
        <v>0</v>
      </c>
      <c r="O732" t="n">
        <v>0</v>
      </c>
      <c r="P732" t="n">
        <v>0</v>
      </c>
      <c r="Q732" t="n">
        <v>0</v>
      </c>
      <c r="R732" s="2" t="inlineStr"/>
    </row>
    <row r="733" ht="15" customHeight="1">
      <c r="A733" t="inlineStr">
        <is>
          <t>A 2604-2025</t>
        </is>
      </c>
      <c r="B733" s="1" t="n">
        <v>45674.74094907408</v>
      </c>
      <c r="C733" s="1" t="n">
        <v>46170</v>
      </c>
      <c r="D733" t="inlineStr">
        <is>
          <t>KALMAR LÄN</t>
        </is>
      </c>
      <c r="E733" t="inlineStr">
        <is>
          <t>VIMMERBY</t>
        </is>
      </c>
      <c r="G733" t="n">
        <v>7.6</v>
      </c>
      <c r="H733" t="n">
        <v>0</v>
      </c>
      <c r="I733" t="n">
        <v>0</v>
      </c>
      <c r="J733" t="n">
        <v>0</v>
      </c>
      <c r="K733" t="n">
        <v>0</v>
      </c>
      <c r="L733" t="n">
        <v>0</v>
      </c>
      <c r="M733" t="n">
        <v>0</v>
      </c>
      <c r="N733" t="n">
        <v>0</v>
      </c>
      <c r="O733" t="n">
        <v>0</v>
      </c>
      <c r="P733" t="n">
        <v>0</v>
      </c>
      <c r="Q733" t="n">
        <v>0</v>
      </c>
      <c r="R733" s="2" t="inlineStr"/>
    </row>
    <row r="734" ht="15" customHeight="1">
      <c r="A734" t="inlineStr">
        <is>
          <t>A 37192-2024</t>
        </is>
      </c>
      <c r="B734" s="1" t="n">
        <v>45539.66027777778</v>
      </c>
      <c r="C734" s="1" t="n">
        <v>46170</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12730-2026</t>
        </is>
      </c>
      <c r="B735" s="1" t="n">
        <v>46091</v>
      </c>
      <c r="C735" s="1" t="n">
        <v>46170</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46170</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12820-2026</t>
        </is>
      </c>
      <c r="B737" s="1" t="n">
        <v>46092.40909722223</v>
      </c>
      <c r="C737" s="1" t="n">
        <v>46170</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12821-2026</t>
        </is>
      </c>
      <c r="B738" s="1" t="n">
        <v>46092.41256944444</v>
      </c>
      <c r="C738" s="1" t="n">
        <v>46170</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12825-2026</t>
        </is>
      </c>
      <c r="B739" s="1" t="n">
        <v>46092.41561342592</v>
      </c>
      <c r="C739" s="1" t="n">
        <v>46170</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29180-2024</t>
        </is>
      </c>
      <c r="B740" s="1" t="n">
        <v>45482.54108796296</v>
      </c>
      <c r="C740" s="1" t="n">
        <v>46170</v>
      </c>
      <c r="D740" t="inlineStr">
        <is>
          <t>KALMAR LÄN</t>
        </is>
      </c>
      <c r="E740" t="inlineStr">
        <is>
          <t>VIMMERBY</t>
        </is>
      </c>
      <c r="G740" t="n">
        <v>3.8</v>
      </c>
      <c r="H740" t="n">
        <v>0</v>
      </c>
      <c r="I740" t="n">
        <v>0</v>
      </c>
      <c r="J740" t="n">
        <v>0</v>
      </c>
      <c r="K740" t="n">
        <v>0</v>
      </c>
      <c r="L740" t="n">
        <v>0</v>
      </c>
      <c r="M740" t="n">
        <v>0</v>
      </c>
      <c r="N740" t="n">
        <v>0</v>
      </c>
      <c r="O740" t="n">
        <v>0</v>
      </c>
      <c r="P740" t="n">
        <v>0</v>
      </c>
      <c r="Q740" t="n">
        <v>0</v>
      </c>
      <c r="R740" s="2" t="inlineStr"/>
    </row>
    <row r="741" ht="15" customHeight="1">
      <c r="A741" t="inlineStr">
        <is>
          <t>A 45846-2023</t>
        </is>
      </c>
      <c r="B741" s="1" t="n">
        <v>45195.58452546296</v>
      </c>
      <c r="C741" s="1" t="n">
        <v>46170</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16020-2023</t>
        </is>
      </c>
      <c r="B742" s="1" t="n">
        <v>45026.82216435186</v>
      </c>
      <c r="C742" s="1" t="n">
        <v>46170</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20017-2026</t>
        </is>
      </c>
      <c r="B743" s="1" t="n">
        <v>46136.49986111111</v>
      </c>
      <c r="C743" s="1" t="n">
        <v>46170</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61820-2023</t>
        </is>
      </c>
      <c r="B744" s="1" t="n">
        <v>45266.32614583334</v>
      </c>
      <c r="C744" s="1" t="n">
        <v>46170</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45560-2021</t>
        </is>
      </c>
      <c r="B745" s="1" t="n">
        <v>44440</v>
      </c>
      <c r="C745" s="1" t="n">
        <v>46170</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40256-2024</t>
        </is>
      </c>
      <c r="B746" s="1" t="n">
        <v>45554.62944444444</v>
      </c>
      <c r="C746" s="1" t="n">
        <v>46170</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20018-2026</t>
        </is>
      </c>
      <c r="B747" s="1" t="n">
        <v>46136.50282407407</v>
      </c>
      <c r="C747" s="1" t="n">
        <v>46170</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58104-2024</t>
        </is>
      </c>
      <c r="B748" s="1" t="n">
        <v>45632.37459490741</v>
      </c>
      <c r="C748" s="1" t="n">
        <v>46170</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36259-2022</t>
        </is>
      </c>
      <c r="B749" s="1" t="n">
        <v>44803.59118055556</v>
      </c>
      <c r="C749" s="1" t="n">
        <v>46170</v>
      </c>
      <c r="D749" t="inlineStr">
        <is>
          <t>KALMAR LÄN</t>
        </is>
      </c>
      <c r="E749" t="inlineStr">
        <is>
          <t>VIMMERBY</t>
        </is>
      </c>
      <c r="G749" t="n">
        <v>3.9</v>
      </c>
      <c r="H749" t="n">
        <v>0</v>
      </c>
      <c r="I749" t="n">
        <v>0</v>
      </c>
      <c r="J749" t="n">
        <v>0</v>
      </c>
      <c r="K749" t="n">
        <v>0</v>
      </c>
      <c r="L749" t="n">
        <v>0</v>
      </c>
      <c r="M749" t="n">
        <v>0</v>
      </c>
      <c r="N749" t="n">
        <v>0</v>
      </c>
      <c r="O749" t="n">
        <v>0</v>
      </c>
      <c r="P749" t="n">
        <v>0</v>
      </c>
      <c r="Q749" t="n">
        <v>0</v>
      </c>
      <c r="R749" s="2" t="inlineStr"/>
    </row>
    <row r="750" ht="15" customHeight="1">
      <c r="A750" t="inlineStr">
        <is>
          <t>A 43034-2024</t>
        </is>
      </c>
      <c r="B750" s="1" t="n">
        <v>45567.42011574074</v>
      </c>
      <c r="C750" s="1" t="n">
        <v>46170</v>
      </c>
      <c r="D750" t="inlineStr">
        <is>
          <t>KALMAR LÄN</t>
        </is>
      </c>
      <c r="E750" t="inlineStr">
        <is>
          <t>VIMMERBY</t>
        </is>
      </c>
      <c r="G750" t="n">
        <v>1.8</v>
      </c>
      <c r="H750" t="n">
        <v>0</v>
      </c>
      <c r="I750" t="n">
        <v>0</v>
      </c>
      <c r="J750" t="n">
        <v>0</v>
      </c>
      <c r="K750" t="n">
        <v>0</v>
      </c>
      <c r="L750" t="n">
        <v>0</v>
      </c>
      <c r="M750" t="n">
        <v>0</v>
      </c>
      <c r="N750" t="n">
        <v>0</v>
      </c>
      <c r="O750" t="n">
        <v>0</v>
      </c>
      <c r="P750" t="n">
        <v>0</v>
      </c>
      <c r="Q750" t="n">
        <v>0</v>
      </c>
      <c r="R750" s="2" t="inlineStr"/>
    </row>
    <row r="751" ht="15" customHeight="1">
      <c r="A751" t="inlineStr">
        <is>
          <t>A 3902-2022</t>
        </is>
      </c>
      <c r="B751" s="1" t="n">
        <v>44587.48847222222</v>
      </c>
      <c r="C751" s="1" t="n">
        <v>46170</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13667-2026</t>
        </is>
      </c>
      <c r="B752" s="1" t="n">
        <v>46097</v>
      </c>
      <c r="C752" s="1" t="n">
        <v>46170</v>
      </c>
      <c r="D752" t="inlineStr">
        <is>
          <t>KALMAR LÄN</t>
        </is>
      </c>
      <c r="E752" t="inlineStr">
        <is>
          <t>VIMMERBY</t>
        </is>
      </c>
      <c r="G752" t="n">
        <v>6.8</v>
      </c>
      <c r="H752" t="n">
        <v>0</v>
      </c>
      <c r="I752" t="n">
        <v>0</v>
      </c>
      <c r="J752" t="n">
        <v>0</v>
      </c>
      <c r="K752" t="n">
        <v>0</v>
      </c>
      <c r="L752" t="n">
        <v>0</v>
      </c>
      <c r="M752" t="n">
        <v>0</v>
      </c>
      <c r="N752" t="n">
        <v>0</v>
      </c>
      <c r="O752" t="n">
        <v>0</v>
      </c>
      <c r="P752" t="n">
        <v>0</v>
      </c>
      <c r="Q752" t="n">
        <v>0</v>
      </c>
      <c r="R752" s="2" t="inlineStr"/>
    </row>
    <row r="753" ht="15" customHeight="1">
      <c r="A753" t="inlineStr">
        <is>
          <t>A 30070-2023</t>
        </is>
      </c>
      <c r="B753" s="1" t="n">
        <v>45110.4275</v>
      </c>
      <c r="C753" s="1" t="n">
        <v>46170</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13793-2026</t>
        </is>
      </c>
      <c r="B754" s="1" t="n">
        <v>46097.79199074074</v>
      </c>
      <c r="C754" s="1" t="n">
        <v>46170</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31209-2024</t>
        </is>
      </c>
      <c r="B755" s="1" t="n">
        <v>45503.5658912037</v>
      </c>
      <c r="C755" s="1" t="n">
        <v>46170</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4527-2023</t>
        </is>
      </c>
      <c r="B756" s="1" t="n">
        <v>44956</v>
      </c>
      <c r="C756" s="1" t="n">
        <v>46170</v>
      </c>
      <c r="D756" t="inlineStr">
        <is>
          <t>KALMAR LÄN</t>
        </is>
      </c>
      <c r="E756" t="inlineStr">
        <is>
          <t>VIMMERBY</t>
        </is>
      </c>
      <c r="F756" t="inlineStr">
        <is>
          <t>Kommuner</t>
        </is>
      </c>
      <c r="G756" t="n">
        <v>8.5</v>
      </c>
      <c r="H756" t="n">
        <v>0</v>
      </c>
      <c r="I756" t="n">
        <v>0</v>
      </c>
      <c r="J756" t="n">
        <v>0</v>
      </c>
      <c r="K756" t="n">
        <v>0</v>
      </c>
      <c r="L756" t="n">
        <v>0</v>
      </c>
      <c r="M756" t="n">
        <v>0</v>
      </c>
      <c r="N756" t="n">
        <v>0</v>
      </c>
      <c r="O756" t="n">
        <v>0</v>
      </c>
      <c r="P756" t="n">
        <v>0</v>
      </c>
      <c r="Q756" t="n">
        <v>0</v>
      </c>
      <c r="R756" s="2" t="inlineStr"/>
    </row>
    <row r="757" ht="15" customHeight="1">
      <c r="A757" t="inlineStr">
        <is>
          <t>A 5864-2022</t>
        </is>
      </c>
      <c r="B757" s="1" t="n">
        <v>44596</v>
      </c>
      <c r="C757" s="1" t="n">
        <v>46170</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13714-2026</t>
        </is>
      </c>
      <c r="B758" s="1" t="n">
        <v>46097.58472222222</v>
      </c>
      <c r="C758" s="1" t="n">
        <v>46170</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30912-2023</t>
        </is>
      </c>
      <c r="B759" s="1" t="n">
        <v>45113.41633101852</v>
      </c>
      <c r="C759" s="1" t="n">
        <v>46170</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14318-2026</t>
        </is>
      </c>
      <c r="B760" s="1" t="n">
        <v>46099.87961805556</v>
      </c>
      <c r="C760" s="1" t="n">
        <v>46170</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1146-2025</t>
        </is>
      </c>
      <c r="B761" s="1" t="n">
        <v>45666</v>
      </c>
      <c r="C761" s="1" t="n">
        <v>46170</v>
      </c>
      <c r="D761" t="inlineStr">
        <is>
          <t>KALMAR LÄN</t>
        </is>
      </c>
      <c r="E761" t="inlineStr">
        <is>
          <t>VIMMERBY</t>
        </is>
      </c>
      <c r="G761" t="n">
        <v>4</v>
      </c>
      <c r="H761" t="n">
        <v>0</v>
      </c>
      <c r="I761" t="n">
        <v>0</v>
      </c>
      <c r="J761" t="n">
        <v>0</v>
      </c>
      <c r="K761" t="n">
        <v>0</v>
      </c>
      <c r="L761" t="n">
        <v>0</v>
      </c>
      <c r="M761" t="n">
        <v>0</v>
      </c>
      <c r="N761" t="n">
        <v>0</v>
      </c>
      <c r="O761" t="n">
        <v>0</v>
      </c>
      <c r="P761" t="n">
        <v>0</v>
      </c>
      <c r="Q761" t="n">
        <v>0</v>
      </c>
      <c r="R761" s="2" t="inlineStr"/>
    </row>
    <row r="762" ht="15" customHeight="1">
      <c r="A762" t="inlineStr">
        <is>
          <t>A 14279-2026</t>
        </is>
      </c>
      <c r="B762" s="1" t="n">
        <v>46099.66826388889</v>
      </c>
      <c r="C762" s="1" t="n">
        <v>46170</v>
      </c>
      <c r="D762" t="inlineStr">
        <is>
          <t>KALMAR LÄN</t>
        </is>
      </c>
      <c r="E762" t="inlineStr">
        <is>
          <t>VIMMERBY</t>
        </is>
      </c>
      <c r="G762" t="n">
        <v>2.8</v>
      </c>
      <c r="H762" t="n">
        <v>0</v>
      </c>
      <c r="I762" t="n">
        <v>0</v>
      </c>
      <c r="J762" t="n">
        <v>0</v>
      </c>
      <c r="K762" t="n">
        <v>0</v>
      </c>
      <c r="L762" t="n">
        <v>0</v>
      </c>
      <c r="M762" t="n">
        <v>0</v>
      </c>
      <c r="N762" t="n">
        <v>0</v>
      </c>
      <c r="O762" t="n">
        <v>0</v>
      </c>
      <c r="P762" t="n">
        <v>0</v>
      </c>
      <c r="Q762" t="n">
        <v>0</v>
      </c>
      <c r="R762" s="2" t="inlineStr"/>
    </row>
    <row r="763" ht="15" customHeight="1">
      <c r="A763" t="inlineStr">
        <is>
          <t>A 62023-2022</t>
        </is>
      </c>
      <c r="B763" s="1" t="n">
        <v>44918.50106481482</v>
      </c>
      <c r="C763" s="1" t="n">
        <v>46170</v>
      </c>
      <c r="D763" t="inlineStr">
        <is>
          <t>KALMAR LÄN</t>
        </is>
      </c>
      <c r="E763" t="inlineStr">
        <is>
          <t>VIMMERBY</t>
        </is>
      </c>
      <c r="G763" t="n">
        <v>0.3</v>
      </c>
      <c r="H763" t="n">
        <v>0</v>
      </c>
      <c r="I763" t="n">
        <v>0</v>
      </c>
      <c r="J763" t="n">
        <v>0</v>
      </c>
      <c r="K763" t="n">
        <v>0</v>
      </c>
      <c r="L763" t="n">
        <v>0</v>
      </c>
      <c r="M763" t="n">
        <v>0</v>
      </c>
      <c r="N763" t="n">
        <v>0</v>
      </c>
      <c r="O763" t="n">
        <v>0</v>
      </c>
      <c r="P763" t="n">
        <v>0</v>
      </c>
      <c r="Q763" t="n">
        <v>0</v>
      </c>
      <c r="R763" s="2" t="inlineStr"/>
    </row>
    <row r="764" ht="15" customHeight="1">
      <c r="A764" t="inlineStr">
        <is>
          <t>A 14320-2026</t>
        </is>
      </c>
      <c r="B764" s="1" t="n">
        <v>46099.88449074074</v>
      </c>
      <c r="C764" s="1" t="n">
        <v>46170</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46170</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46170</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14277-2026</t>
        </is>
      </c>
      <c r="B767" s="1" t="n">
        <v>46099.66305555555</v>
      </c>
      <c r="C767" s="1" t="n">
        <v>46170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12075-2024</t>
        </is>
      </c>
      <c r="B768" s="1" t="n">
        <v>45377</v>
      </c>
      <c r="C768" s="1" t="n">
        <v>46170</v>
      </c>
      <c r="D768" t="inlineStr">
        <is>
          <t>KALMAR LÄN</t>
        </is>
      </c>
      <c r="E768" t="inlineStr">
        <is>
          <t>VIMMERBY</t>
        </is>
      </c>
      <c r="G768" t="n">
        <v>3.7</v>
      </c>
      <c r="H768" t="n">
        <v>0</v>
      </c>
      <c r="I768" t="n">
        <v>0</v>
      </c>
      <c r="J768" t="n">
        <v>0</v>
      </c>
      <c r="K768" t="n">
        <v>0</v>
      </c>
      <c r="L768" t="n">
        <v>0</v>
      </c>
      <c r="M768" t="n">
        <v>0</v>
      </c>
      <c r="N768" t="n">
        <v>0</v>
      </c>
      <c r="O768" t="n">
        <v>0</v>
      </c>
      <c r="P768" t="n">
        <v>0</v>
      </c>
      <c r="Q768" t="n">
        <v>0</v>
      </c>
      <c r="R768" s="2" t="inlineStr"/>
    </row>
    <row r="769" ht="15" customHeight="1">
      <c r="A769" t="inlineStr">
        <is>
          <t>A 29348-2023</t>
        </is>
      </c>
      <c r="B769" s="1" t="n">
        <v>45106.25025462963</v>
      </c>
      <c r="C769" s="1" t="n">
        <v>46170</v>
      </c>
      <c r="D769" t="inlineStr">
        <is>
          <t>KALMAR LÄN</t>
        </is>
      </c>
      <c r="E769" t="inlineStr">
        <is>
          <t>VIMMERBY</t>
        </is>
      </c>
      <c r="G769" t="n">
        <v>2.4</v>
      </c>
      <c r="H769" t="n">
        <v>0</v>
      </c>
      <c r="I769" t="n">
        <v>0</v>
      </c>
      <c r="J769" t="n">
        <v>0</v>
      </c>
      <c r="K769" t="n">
        <v>0</v>
      </c>
      <c r="L769" t="n">
        <v>0</v>
      </c>
      <c r="M769" t="n">
        <v>0</v>
      </c>
      <c r="N769" t="n">
        <v>0</v>
      </c>
      <c r="O769" t="n">
        <v>0</v>
      </c>
      <c r="P769" t="n">
        <v>0</v>
      </c>
      <c r="Q769" t="n">
        <v>0</v>
      </c>
      <c r="R769" s="2" t="inlineStr"/>
    </row>
    <row r="770" ht="15" customHeight="1">
      <c r="A770" t="inlineStr">
        <is>
          <t>A 31340-2023</t>
        </is>
      </c>
      <c r="B770" s="1" t="n">
        <v>45114.47895833333</v>
      </c>
      <c r="C770" s="1" t="n">
        <v>46170</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14793-2026</t>
        </is>
      </c>
      <c r="B771" s="1" t="n">
        <v>46101.92108796296</v>
      </c>
      <c r="C771" s="1" t="n">
        <v>46170</v>
      </c>
      <c r="D771" t="inlineStr">
        <is>
          <t>KALMAR LÄN</t>
        </is>
      </c>
      <c r="E771" t="inlineStr">
        <is>
          <t>VIMMERBY</t>
        </is>
      </c>
      <c r="G771" t="n">
        <v>5.7</v>
      </c>
      <c r="H771" t="n">
        <v>0</v>
      </c>
      <c r="I771" t="n">
        <v>0</v>
      </c>
      <c r="J771" t="n">
        <v>0</v>
      </c>
      <c r="K771" t="n">
        <v>0</v>
      </c>
      <c r="L771" t="n">
        <v>0</v>
      </c>
      <c r="M771" t="n">
        <v>0</v>
      </c>
      <c r="N771" t="n">
        <v>0</v>
      </c>
      <c r="O771" t="n">
        <v>0</v>
      </c>
      <c r="P771" t="n">
        <v>0</v>
      </c>
      <c r="Q771" t="n">
        <v>0</v>
      </c>
      <c r="R771" s="2" t="inlineStr"/>
    </row>
    <row r="772" ht="15" customHeight="1">
      <c r="A772" t="inlineStr">
        <is>
          <t>A 14792-2026</t>
        </is>
      </c>
      <c r="B772" s="1" t="n">
        <v>46101.91993055555</v>
      </c>
      <c r="C772" s="1" t="n">
        <v>46170</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7758-2024</t>
        </is>
      </c>
      <c r="B773" s="1" t="n">
        <v>45349.54434027777</v>
      </c>
      <c r="C773" s="1" t="n">
        <v>46170</v>
      </c>
      <c r="D773" t="inlineStr">
        <is>
          <t>KALMAR LÄN</t>
        </is>
      </c>
      <c r="E773" t="inlineStr">
        <is>
          <t>VIMMERBY</t>
        </is>
      </c>
      <c r="G773" t="n">
        <v>3.5</v>
      </c>
      <c r="H773" t="n">
        <v>0</v>
      </c>
      <c r="I773" t="n">
        <v>0</v>
      </c>
      <c r="J773" t="n">
        <v>0</v>
      </c>
      <c r="K773" t="n">
        <v>0</v>
      </c>
      <c r="L773" t="n">
        <v>0</v>
      </c>
      <c r="M773" t="n">
        <v>0</v>
      </c>
      <c r="N773" t="n">
        <v>0</v>
      </c>
      <c r="O773" t="n">
        <v>0</v>
      </c>
      <c r="P773" t="n">
        <v>0</v>
      </c>
      <c r="Q773" t="n">
        <v>0</v>
      </c>
      <c r="R773" s="2" t="inlineStr"/>
    </row>
    <row r="774" ht="15" customHeight="1">
      <c r="A774" t="inlineStr">
        <is>
          <t>A 5701-2024</t>
        </is>
      </c>
      <c r="B774" s="1" t="n">
        <v>45334.78826388889</v>
      </c>
      <c r="C774" s="1" t="n">
        <v>46170</v>
      </c>
      <c r="D774" t="inlineStr">
        <is>
          <t>KALMAR LÄN</t>
        </is>
      </c>
      <c r="E774" t="inlineStr">
        <is>
          <t>VIMMERBY</t>
        </is>
      </c>
      <c r="G774" t="n">
        <v>2.3</v>
      </c>
      <c r="H774" t="n">
        <v>0</v>
      </c>
      <c r="I774" t="n">
        <v>0</v>
      </c>
      <c r="J774" t="n">
        <v>0</v>
      </c>
      <c r="K774" t="n">
        <v>0</v>
      </c>
      <c r="L774" t="n">
        <v>0</v>
      </c>
      <c r="M774" t="n">
        <v>0</v>
      </c>
      <c r="N774" t="n">
        <v>0</v>
      </c>
      <c r="O774" t="n">
        <v>0</v>
      </c>
      <c r="P774" t="n">
        <v>0</v>
      </c>
      <c r="Q774" t="n">
        <v>0</v>
      </c>
      <c r="R774" s="2" t="inlineStr"/>
    </row>
    <row r="775" ht="15" customHeight="1">
      <c r="A775" t="inlineStr">
        <is>
          <t>A 31405-2023</t>
        </is>
      </c>
      <c r="B775" s="1" t="n">
        <v>45114.58148148148</v>
      </c>
      <c r="C775" s="1" t="n">
        <v>46170</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6355-2022</t>
        </is>
      </c>
      <c r="B776" s="1" t="n">
        <v>44600</v>
      </c>
      <c r="C776" s="1" t="n">
        <v>46170</v>
      </c>
      <c r="D776" t="inlineStr">
        <is>
          <t>KALMAR LÄN</t>
        </is>
      </c>
      <c r="E776" t="inlineStr">
        <is>
          <t>VIMMERBY</t>
        </is>
      </c>
      <c r="G776" t="n">
        <v>4.9</v>
      </c>
      <c r="H776" t="n">
        <v>0</v>
      </c>
      <c r="I776" t="n">
        <v>0</v>
      </c>
      <c r="J776" t="n">
        <v>0</v>
      </c>
      <c r="K776" t="n">
        <v>0</v>
      </c>
      <c r="L776" t="n">
        <v>0</v>
      </c>
      <c r="M776" t="n">
        <v>0</v>
      </c>
      <c r="N776" t="n">
        <v>0</v>
      </c>
      <c r="O776" t="n">
        <v>0</v>
      </c>
      <c r="P776" t="n">
        <v>0</v>
      </c>
      <c r="Q776" t="n">
        <v>0</v>
      </c>
      <c r="R776" s="2" t="inlineStr"/>
    </row>
    <row r="777" ht="15" customHeight="1">
      <c r="A777" t="inlineStr">
        <is>
          <t>A 46225-2024</t>
        </is>
      </c>
      <c r="B777" s="1" t="n">
        <v>45581.57333333333</v>
      </c>
      <c r="C777" s="1" t="n">
        <v>46170</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15054-2026</t>
        </is>
      </c>
      <c r="B778" s="1" t="n">
        <v>46104.6815162037</v>
      </c>
      <c r="C778" s="1" t="n">
        <v>46170</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9418-2024</t>
        </is>
      </c>
      <c r="B779" s="1" t="n">
        <v>45359.45038194444</v>
      </c>
      <c r="C779" s="1" t="n">
        <v>46170</v>
      </c>
      <c r="D779" t="inlineStr">
        <is>
          <t>KALMAR LÄN</t>
        </is>
      </c>
      <c r="E779" t="inlineStr">
        <is>
          <t>VIMMERBY</t>
        </is>
      </c>
      <c r="G779" t="n">
        <v>1.9</v>
      </c>
      <c r="H779" t="n">
        <v>0</v>
      </c>
      <c r="I779" t="n">
        <v>0</v>
      </c>
      <c r="J779" t="n">
        <v>0</v>
      </c>
      <c r="K779" t="n">
        <v>0</v>
      </c>
      <c r="L779" t="n">
        <v>0</v>
      </c>
      <c r="M779" t="n">
        <v>0</v>
      </c>
      <c r="N779" t="n">
        <v>0</v>
      </c>
      <c r="O779" t="n">
        <v>0</v>
      </c>
      <c r="P779" t="n">
        <v>0</v>
      </c>
      <c r="Q779" t="n">
        <v>0</v>
      </c>
      <c r="R779" s="2" t="inlineStr"/>
    </row>
    <row r="780" ht="15" customHeight="1">
      <c r="A780" t="inlineStr">
        <is>
          <t>A 57091-2022</t>
        </is>
      </c>
      <c r="B780" s="1" t="n">
        <v>44895.46524305556</v>
      </c>
      <c r="C780" s="1" t="n">
        <v>46170</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3816-2022</t>
        </is>
      </c>
      <c r="B781" s="1" t="n">
        <v>44587</v>
      </c>
      <c r="C781" s="1" t="n">
        <v>46170</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43606-2024</t>
        </is>
      </c>
      <c r="B782" s="1" t="n">
        <v>45569.45017361111</v>
      </c>
      <c r="C782" s="1" t="n">
        <v>46170</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43617-2024</t>
        </is>
      </c>
      <c r="B783" s="1" t="n">
        <v>45569.47494212963</v>
      </c>
      <c r="C783" s="1" t="n">
        <v>46170</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47859-2024</t>
        </is>
      </c>
      <c r="B784" s="1" t="n">
        <v>45588.67070601852</v>
      </c>
      <c r="C784" s="1" t="n">
        <v>46170</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8540-2024</t>
        </is>
      </c>
      <c r="B785" s="1" t="n">
        <v>45355.54138888889</v>
      </c>
      <c r="C785" s="1" t="n">
        <v>46170</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3331-2023</t>
        </is>
      </c>
      <c r="B786" s="1" t="n">
        <v>44949</v>
      </c>
      <c r="C786" s="1" t="n">
        <v>46170</v>
      </c>
      <c r="D786" t="inlineStr">
        <is>
          <t>KALMAR LÄN</t>
        </is>
      </c>
      <c r="E786" t="inlineStr">
        <is>
          <t>VIMMERBY</t>
        </is>
      </c>
      <c r="G786" t="n">
        <v>6.2</v>
      </c>
      <c r="H786" t="n">
        <v>0</v>
      </c>
      <c r="I786" t="n">
        <v>0</v>
      </c>
      <c r="J786" t="n">
        <v>0</v>
      </c>
      <c r="K786" t="n">
        <v>0</v>
      </c>
      <c r="L786" t="n">
        <v>0</v>
      </c>
      <c r="M786" t="n">
        <v>0</v>
      </c>
      <c r="N786" t="n">
        <v>0</v>
      </c>
      <c r="O786" t="n">
        <v>0</v>
      </c>
      <c r="P786" t="n">
        <v>0</v>
      </c>
      <c r="Q786" t="n">
        <v>0</v>
      </c>
      <c r="R786" s="2" t="inlineStr"/>
    </row>
    <row r="787" ht="15" customHeight="1">
      <c r="A787" t="inlineStr">
        <is>
          <t>A 15205-2026</t>
        </is>
      </c>
      <c r="B787" s="1" t="n">
        <v>46105.48628472222</v>
      </c>
      <c r="C787" s="1" t="n">
        <v>46170</v>
      </c>
      <c r="D787" t="inlineStr">
        <is>
          <t>KALMAR LÄN</t>
        </is>
      </c>
      <c r="E787" t="inlineStr">
        <is>
          <t>VIMMERBY</t>
        </is>
      </c>
      <c r="G787" t="n">
        <v>2.1</v>
      </c>
      <c r="H787" t="n">
        <v>0</v>
      </c>
      <c r="I787" t="n">
        <v>0</v>
      </c>
      <c r="J787" t="n">
        <v>0</v>
      </c>
      <c r="K787" t="n">
        <v>0</v>
      </c>
      <c r="L787" t="n">
        <v>0</v>
      </c>
      <c r="M787" t="n">
        <v>0</v>
      </c>
      <c r="N787" t="n">
        <v>0</v>
      </c>
      <c r="O787" t="n">
        <v>0</v>
      </c>
      <c r="P787" t="n">
        <v>0</v>
      </c>
      <c r="Q787" t="n">
        <v>0</v>
      </c>
      <c r="R787" s="2" t="inlineStr"/>
    </row>
    <row r="788" ht="15" customHeight="1">
      <c r="A788" t="inlineStr">
        <is>
          <t>A 598-2025</t>
        </is>
      </c>
      <c r="B788" s="1" t="n">
        <v>45660</v>
      </c>
      <c r="C788" s="1" t="n">
        <v>46170</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25799-2023</t>
        </is>
      </c>
      <c r="B789" s="1" t="n">
        <v>45090</v>
      </c>
      <c r="C789" s="1" t="n">
        <v>46170</v>
      </c>
      <c r="D789" t="inlineStr">
        <is>
          <t>KALMAR LÄN</t>
        </is>
      </c>
      <c r="E789" t="inlineStr">
        <is>
          <t>VIMMERBY</t>
        </is>
      </c>
      <c r="G789" t="n">
        <v>7.7</v>
      </c>
      <c r="H789" t="n">
        <v>0</v>
      </c>
      <c r="I789" t="n">
        <v>0</v>
      </c>
      <c r="J789" t="n">
        <v>0</v>
      </c>
      <c r="K789" t="n">
        <v>0</v>
      </c>
      <c r="L789" t="n">
        <v>0</v>
      </c>
      <c r="M789" t="n">
        <v>0</v>
      </c>
      <c r="N789" t="n">
        <v>0</v>
      </c>
      <c r="O789" t="n">
        <v>0</v>
      </c>
      <c r="P789" t="n">
        <v>0</v>
      </c>
      <c r="Q789" t="n">
        <v>0</v>
      </c>
      <c r="R789" s="2" t="inlineStr"/>
    </row>
    <row r="790" ht="15" customHeight="1">
      <c r="A790" t="inlineStr">
        <is>
          <t>A 53083-2021</t>
        </is>
      </c>
      <c r="B790" s="1" t="n">
        <v>44467.83386574074</v>
      </c>
      <c r="C790" s="1" t="n">
        <v>46170</v>
      </c>
      <c r="D790" t="inlineStr">
        <is>
          <t>KALMAR LÄN</t>
        </is>
      </c>
      <c r="E790" t="inlineStr">
        <is>
          <t>VIMMERBY</t>
        </is>
      </c>
      <c r="G790" t="n">
        <v>6.8</v>
      </c>
      <c r="H790" t="n">
        <v>0</v>
      </c>
      <c r="I790" t="n">
        <v>0</v>
      </c>
      <c r="J790" t="n">
        <v>0</v>
      </c>
      <c r="K790" t="n">
        <v>0</v>
      </c>
      <c r="L790" t="n">
        <v>0</v>
      </c>
      <c r="M790" t="n">
        <v>0</v>
      </c>
      <c r="N790" t="n">
        <v>0</v>
      </c>
      <c r="O790" t="n">
        <v>0</v>
      </c>
      <c r="P790" t="n">
        <v>0</v>
      </c>
      <c r="Q790" t="n">
        <v>0</v>
      </c>
      <c r="R790" s="2" t="inlineStr"/>
    </row>
    <row r="791" ht="15" customHeight="1">
      <c r="A791" t="inlineStr">
        <is>
          <t>A 33838-2022</t>
        </is>
      </c>
      <c r="B791" s="1" t="n">
        <v>44790.49040509259</v>
      </c>
      <c r="C791" s="1" t="n">
        <v>46170</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32835-2022</t>
        </is>
      </c>
      <c r="B792" s="1" t="n">
        <v>44784.42528935185</v>
      </c>
      <c r="C792" s="1" t="n">
        <v>46170</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21882-2026</t>
        </is>
      </c>
      <c r="B793" s="1" t="n">
        <v>46150.59287037037</v>
      </c>
      <c r="C793" s="1" t="n">
        <v>46170</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1081-2023</t>
        </is>
      </c>
      <c r="B794" s="1" t="n">
        <v>44935</v>
      </c>
      <c r="C794" s="1" t="n">
        <v>46170</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47063-2022</t>
        </is>
      </c>
      <c r="B795" s="1" t="n">
        <v>44852</v>
      </c>
      <c r="C795" s="1" t="n">
        <v>46170</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28403-2023</t>
        </is>
      </c>
      <c r="B796" s="1" t="n">
        <v>45100.85270833333</v>
      </c>
      <c r="C796" s="1" t="n">
        <v>46170</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33103-2024</t>
        </is>
      </c>
      <c r="B797" s="1" t="n">
        <v>45517.8162037037</v>
      </c>
      <c r="C797" s="1" t="n">
        <v>46170</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2260-2022</t>
        </is>
      </c>
      <c r="B798" s="1" t="n">
        <v>44578.62943287037</v>
      </c>
      <c r="C798" s="1" t="n">
        <v>46170</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11661-2023</t>
        </is>
      </c>
      <c r="B799" s="1" t="n">
        <v>44994.46908564815</v>
      </c>
      <c r="C799" s="1" t="n">
        <v>46170</v>
      </c>
      <c r="D799" t="inlineStr">
        <is>
          <t>KALMAR LÄN</t>
        </is>
      </c>
      <c r="E799" t="inlineStr">
        <is>
          <t>VIMMERBY</t>
        </is>
      </c>
      <c r="G799" t="n">
        <v>2.7</v>
      </c>
      <c r="H799" t="n">
        <v>0</v>
      </c>
      <c r="I799" t="n">
        <v>0</v>
      </c>
      <c r="J799" t="n">
        <v>0</v>
      </c>
      <c r="K799" t="n">
        <v>0</v>
      </c>
      <c r="L799" t="n">
        <v>0</v>
      </c>
      <c r="M799" t="n">
        <v>0</v>
      </c>
      <c r="N799" t="n">
        <v>0</v>
      </c>
      <c r="O799" t="n">
        <v>0</v>
      </c>
      <c r="P799" t="n">
        <v>0</v>
      </c>
      <c r="Q799" t="n">
        <v>0</v>
      </c>
      <c r="R799" s="2" t="inlineStr"/>
    </row>
    <row r="800" ht="15" customHeight="1">
      <c r="A800" t="inlineStr">
        <is>
          <t>A 58046-2022</t>
        </is>
      </c>
      <c r="B800" s="1" t="n">
        <v>44900.57393518519</v>
      </c>
      <c r="C800" s="1" t="n">
        <v>46170</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45528-2021</t>
        </is>
      </c>
      <c r="B801" s="1" t="n">
        <v>44440.60415509259</v>
      </c>
      <c r="C801" s="1" t="n">
        <v>46170</v>
      </c>
      <c r="D801" t="inlineStr">
        <is>
          <t>KALMAR LÄN</t>
        </is>
      </c>
      <c r="E801" t="inlineStr">
        <is>
          <t>VIMMERBY</t>
        </is>
      </c>
      <c r="G801" t="n">
        <v>2.2</v>
      </c>
      <c r="H801" t="n">
        <v>0</v>
      </c>
      <c r="I801" t="n">
        <v>0</v>
      </c>
      <c r="J801" t="n">
        <v>0</v>
      </c>
      <c r="K801" t="n">
        <v>0</v>
      </c>
      <c r="L801" t="n">
        <v>0</v>
      </c>
      <c r="M801" t="n">
        <v>0</v>
      </c>
      <c r="N801" t="n">
        <v>0</v>
      </c>
      <c r="O801" t="n">
        <v>0</v>
      </c>
      <c r="P801" t="n">
        <v>0</v>
      </c>
      <c r="Q801" t="n">
        <v>0</v>
      </c>
      <c r="R801" s="2" t="inlineStr"/>
    </row>
    <row r="802" ht="15" customHeight="1">
      <c r="A802" t="inlineStr">
        <is>
          <t>A 46979-2023</t>
        </is>
      </c>
      <c r="B802" s="1" t="n">
        <v>45201</v>
      </c>
      <c r="C802" s="1" t="n">
        <v>46170</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6574-2023</t>
        </is>
      </c>
      <c r="B803" s="1" t="n">
        <v>44966</v>
      </c>
      <c r="C803" s="1" t="n">
        <v>46170</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16183-2026</t>
        </is>
      </c>
      <c r="B804" s="1" t="n">
        <v>46111</v>
      </c>
      <c r="C804" s="1" t="n">
        <v>46170</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16648-2026</t>
        </is>
      </c>
      <c r="B805" s="1" t="n">
        <v>46112.64032407408</v>
      </c>
      <c r="C805" s="1" t="n">
        <v>46170</v>
      </c>
      <c r="D805" t="inlineStr">
        <is>
          <t>KALMAR LÄN</t>
        </is>
      </c>
      <c r="E805" t="inlineStr">
        <is>
          <t>VIMMERBY</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16656-2026</t>
        </is>
      </c>
      <c r="B806" s="1" t="n">
        <v>46112.65111111111</v>
      </c>
      <c r="C806" s="1" t="n">
        <v>46170</v>
      </c>
      <c r="D806" t="inlineStr">
        <is>
          <t>KALMAR LÄN</t>
        </is>
      </c>
      <c r="E806" t="inlineStr">
        <is>
          <t>VIMMERBY</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4058-2024</t>
        </is>
      </c>
      <c r="B807" s="1" t="n">
        <v>45323.53744212963</v>
      </c>
      <c r="C807" s="1" t="n">
        <v>46170</v>
      </c>
      <c r="D807" t="inlineStr">
        <is>
          <t>KALMAR LÄN</t>
        </is>
      </c>
      <c r="E807" t="inlineStr">
        <is>
          <t>VIMMERBY</t>
        </is>
      </c>
      <c r="G807" t="n">
        <v>6.5</v>
      </c>
      <c r="H807" t="n">
        <v>0</v>
      </c>
      <c r="I807" t="n">
        <v>0</v>
      </c>
      <c r="J807" t="n">
        <v>0</v>
      </c>
      <c r="K807" t="n">
        <v>0</v>
      </c>
      <c r="L807" t="n">
        <v>0</v>
      </c>
      <c r="M807" t="n">
        <v>0</v>
      </c>
      <c r="N807" t="n">
        <v>0</v>
      </c>
      <c r="O807" t="n">
        <v>0</v>
      </c>
      <c r="P807" t="n">
        <v>0</v>
      </c>
      <c r="Q807" t="n">
        <v>0</v>
      </c>
      <c r="R807" s="2" t="inlineStr"/>
    </row>
    <row r="808" ht="15" customHeight="1">
      <c r="A808" t="inlineStr">
        <is>
          <t>A 16617-2026</t>
        </is>
      </c>
      <c r="B808" s="1" t="n">
        <v>46112.60607638889</v>
      </c>
      <c r="C808" s="1" t="n">
        <v>46170</v>
      </c>
      <c r="D808" t="inlineStr">
        <is>
          <t>KALMAR LÄN</t>
        </is>
      </c>
      <c r="E808" t="inlineStr">
        <is>
          <t>VIMMERBY</t>
        </is>
      </c>
      <c r="F808" t="inlineStr">
        <is>
          <t>Kommuner</t>
        </is>
      </c>
      <c r="G808" t="n">
        <v>0.6</v>
      </c>
      <c r="H808" t="n">
        <v>0</v>
      </c>
      <c r="I808" t="n">
        <v>0</v>
      </c>
      <c r="J808" t="n">
        <v>0</v>
      </c>
      <c r="K808" t="n">
        <v>0</v>
      </c>
      <c r="L808" t="n">
        <v>0</v>
      </c>
      <c r="M808" t="n">
        <v>0</v>
      </c>
      <c r="N808" t="n">
        <v>0</v>
      </c>
      <c r="O808" t="n">
        <v>0</v>
      </c>
      <c r="P808" t="n">
        <v>0</v>
      </c>
      <c r="Q808" t="n">
        <v>0</v>
      </c>
      <c r="R808" s="2" t="inlineStr"/>
    </row>
    <row r="809" ht="15" customHeight="1">
      <c r="A809" t="inlineStr">
        <is>
          <t>A 1978-2024</t>
        </is>
      </c>
      <c r="B809" s="1" t="n">
        <v>45308.59001157407</v>
      </c>
      <c r="C809" s="1" t="n">
        <v>46170</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16672-2026</t>
        </is>
      </c>
      <c r="B810" s="1" t="n">
        <v>46112.67336805556</v>
      </c>
      <c r="C810" s="1" t="n">
        <v>46170</v>
      </c>
      <c r="D810" t="inlineStr">
        <is>
          <t>KALMAR LÄN</t>
        </is>
      </c>
      <c r="E810" t="inlineStr">
        <is>
          <t>VIMMERBY</t>
        </is>
      </c>
      <c r="F810" t="inlineStr">
        <is>
          <t>Kommuner</t>
        </is>
      </c>
      <c r="G810" t="n">
        <v>1.4</v>
      </c>
      <c r="H810" t="n">
        <v>0</v>
      </c>
      <c r="I810" t="n">
        <v>0</v>
      </c>
      <c r="J810" t="n">
        <v>0</v>
      </c>
      <c r="K810" t="n">
        <v>0</v>
      </c>
      <c r="L810" t="n">
        <v>0</v>
      </c>
      <c r="M810" t="n">
        <v>0</v>
      </c>
      <c r="N810" t="n">
        <v>0</v>
      </c>
      <c r="O810" t="n">
        <v>0</v>
      </c>
      <c r="P810" t="n">
        <v>0</v>
      </c>
      <c r="Q810" t="n">
        <v>0</v>
      </c>
      <c r="R810" s="2" t="inlineStr"/>
    </row>
    <row r="811" ht="15" customHeight="1">
      <c r="A811" t="inlineStr">
        <is>
          <t>A 30318-2023</t>
        </is>
      </c>
      <c r="B811" s="1" t="n">
        <v>45111.30824074074</v>
      </c>
      <c r="C811" s="1" t="n">
        <v>46170</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25234-2023</t>
        </is>
      </c>
      <c r="B812" s="1" t="n">
        <v>45086.63194444445</v>
      </c>
      <c r="C812" s="1" t="n">
        <v>46170</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46078-2023</t>
        </is>
      </c>
      <c r="B813" s="1" t="n">
        <v>45196</v>
      </c>
      <c r="C813" s="1" t="n">
        <v>46170</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16653-2026</t>
        </is>
      </c>
      <c r="B814" s="1" t="n">
        <v>46112.64597222222</v>
      </c>
      <c r="C814" s="1" t="n">
        <v>46170</v>
      </c>
      <c r="D814" t="inlineStr">
        <is>
          <t>KALMAR LÄN</t>
        </is>
      </c>
      <c r="E814" t="inlineStr">
        <is>
          <t>VIMMERBY</t>
        </is>
      </c>
      <c r="F814" t="inlineStr">
        <is>
          <t>Kommuner</t>
        </is>
      </c>
      <c r="G814" t="n">
        <v>4.4</v>
      </c>
      <c r="H814" t="n">
        <v>0</v>
      </c>
      <c r="I814" t="n">
        <v>0</v>
      </c>
      <c r="J814" t="n">
        <v>0</v>
      </c>
      <c r="K814" t="n">
        <v>0</v>
      </c>
      <c r="L814" t="n">
        <v>0</v>
      </c>
      <c r="M814" t="n">
        <v>0</v>
      </c>
      <c r="N814" t="n">
        <v>0</v>
      </c>
      <c r="O814" t="n">
        <v>0</v>
      </c>
      <c r="P814" t="n">
        <v>0</v>
      </c>
      <c r="Q814" t="n">
        <v>0</v>
      </c>
      <c r="R814" s="2" t="inlineStr"/>
    </row>
    <row r="815" ht="15" customHeight="1">
      <c r="A815" t="inlineStr">
        <is>
          <t>A 16675-2026</t>
        </is>
      </c>
      <c r="B815" s="1" t="n">
        <v>46112.68202546296</v>
      </c>
      <c r="C815" s="1" t="n">
        <v>46170</v>
      </c>
      <c r="D815" t="inlineStr">
        <is>
          <t>KALMAR LÄN</t>
        </is>
      </c>
      <c r="E815" t="inlineStr">
        <is>
          <t>VIMMERBY</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16632-2026</t>
        </is>
      </c>
      <c r="B816" s="1" t="n">
        <v>46112.62212962963</v>
      </c>
      <c r="C816" s="1" t="n">
        <v>46170</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16678-2026</t>
        </is>
      </c>
      <c r="B817" s="1" t="n">
        <v>46112.69435185185</v>
      </c>
      <c r="C817" s="1" t="n">
        <v>46170</v>
      </c>
      <c r="D817" t="inlineStr">
        <is>
          <t>KALMAR LÄN</t>
        </is>
      </c>
      <c r="E817" t="inlineStr">
        <is>
          <t>VIMMERBY</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3609-2024</t>
        </is>
      </c>
      <c r="B818" s="1" t="n">
        <v>45320.89128472222</v>
      </c>
      <c r="C818" s="1" t="n">
        <v>46170</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16799-2026</t>
        </is>
      </c>
      <c r="B819" s="1" t="n">
        <v>46113.47913194444</v>
      </c>
      <c r="C819" s="1" t="n">
        <v>46170</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46170</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46170</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46170</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46170</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46170</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16823-2026</t>
        </is>
      </c>
      <c r="B825" s="1" t="n">
        <v>46113.51649305555</v>
      </c>
      <c r="C825" s="1" t="n">
        <v>46170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46170</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16870-2026</t>
        </is>
      </c>
      <c r="B827" s="1" t="n">
        <v>46113.5822800926</v>
      </c>
      <c r="C827" s="1" t="n">
        <v>46170</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16801-2026</t>
        </is>
      </c>
      <c r="B828" s="1" t="n">
        <v>46113.48400462963</v>
      </c>
      <c r="C828" s="1" t="n">
        <v>46170</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11111-2024</t>
        </is>
      </c>
      <c r="B829" s="1" t="n">
        <v>45371.36359953704</v>
      </c>
      <c r="C829" s="1" t="n">
        <v>46170</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16795-2026</t>
        </is>
      </c>
      <c r="B830" s="1" t="n">
        <v>46113.47216435185</v>
      </c>
      <c r="C830" s="1" t="n">
        <v>46170</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1687-2023</t>
        </is>
      </c>
      <c r="B831" s="1" t="n">
        <v>44938</v>
      </c>
      <c r="C831" s="1" t="n">
        <v>46170</v>
      </c>
      <c r="D831" t="inlineStr">
        <is>
          <t>KALMAR LÄN</t>
        </is>
      </c>
      <c r="E831" t="inlineStr">
        <is>
          <t>VIMMERBY</t>
        </is>
      </c>
      <c r="F831" t="inlineStr">
        <is>
          <t>Kommuner</t>
        </is>
      </c>
      <c r="G831" t="n">
        <v>2.5</v>
      </c>
      <c r="H831" t="n">
        <v>0</v>
      </c>
      <c r="I831" t="n">
        <v>0</v>
      </c>
      <c r="J831" t="n">
        <v>0</v>
      </c>
      <c r="K831" t="n">
        <v>0</v>
      </c>
      <c r="L831" t="n">
        <v>0</v>
      </c>
      <c r="M831" t="n">
        <v>0</v>
      </c>
      <c r="N831" t="n">
        <v>0</v>
      </c>
      <c r="O831" t="n">
        <v>0</v>
      </c>
      <c r="P831" t="n">
        <v>0</v>
      </c>
      <c r="Q831" t="n">
        <v>0</v>
      </c>
      <c r="R831" s="2" t="inlineStr"/>
    </row>
    <row r="832" ht="15" customHeight="1">
      <c r="A832" t="inlineStr">
        <is>
          <t>A 3494-2023</t>
        </is>
      </c>
      <c r="B832" s="1" t="n">
        <v>44949</v>
      </c>
      <c r="C832" s="1" t="n">
        <v>46170</v>
      </c>
      <c r="D832" t="inlineStr">
        <is>
          <t>KALMAR LÄN</t>
        </is>
      </c>
      <c r="E832" t="inlineStr">
        <is>
          <t>VIMMERBY</t>
        </is>
      </c>
      <c r="F832" t="inlineStr">
        <is>
          <t>Kyrkan</t>
        </is>
      </c>
      <c r="G832" t="n">
        <v>0.8</v>
      </c>
      <c r="H832" t="n">
        <v>0</v>
      </c>
      <c r="I832" t="n">
        <v>0</v>
      </c>
      <c r="J832" t="n">
        <v>0</v>
      </c>
      <c r="K832" t="n">
        <v>0</v>
      </c>
      <c r="L832" t="n">
        <v>0</v>
      </c>
      <c r="M832" t="n">
        <v>0</v>
      </c>
      <c r="N832" t="n">
        <v>0</v>
      </c>
      <c r="O832" t="n">
        <v>0</v>
      </c>
      <c r="P832" t="n">
        <v>0</v>
      </c>
      <c r="Q832" t="n">
        <v>0</v>
      </c>
      <c r="R832" s="2" t="inlineStr"/>
    </row>
    <row r="833" ht="15" customHeight="1">
      <c r="A833" t="inlineStr">
        <is>
          <t>A 15449-2023</t>
        </is>
      </c>
      <c r="B833" s="1" t="n">
        <v>45020</v>
      </c>
      <c r="C833" s="1" t="n">
        <v>46170</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43242-2024</t>
        </is>
      </c>
      <c r="B834" s="1" t="n">
        <v>45568.30189814815</v>
      </c>
      <c r="C834" s="1" t="n">
        <v>46170</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56853-2022</t>
        </is>
      </c>
      <c r="B835" s="1" t="n">
        <v>44894.49538194444</v>
      </c>
      <c r="C835" s="1" t="n">
        <v>46170</v>
      </c>
      <c r="D835" t="inlineStr">
        <is>
          <t>KALMAR LÄN</t>
        </is>
      </c>
      <c r="E835" t="inlineStr">
        <is>
          <t>VIMMERBY</t>
        </is>
      </c>
      <c r="G835" t="n">
        <v>4.3</v>
      </c>
      <c r="H835" t="n">
        <v>0</v>
      </c>
      <c r="I835" t="n">
        <v>0</v>
      </c>
      <c r="J835" t="n">
        <v>0</v>
      </c>
      <c r="K835" t="n">
        <v>0</v>
      </c>
      <c r="L835" t="n">
        <v>0</v>
      </c>
      <c r="M835" t="n">
        <v>0</v>
      </c>
      <c r="N835" t="n">
        <v>0</v>
      </c>
      <c r="O835" t="n">
        <v>0</v>
      </c>
      <c r="P835" t="n">
        <v>0</v>
      </c>
      <c r="Q835" t="n">
        <v>0</v>
      </c>
      <c r="R835" s="2" t="inlineStr"/>
    </row>
    <row r="836" ht="15" customHeight="1">
      <c r="A836" t="inlineStr">
        <is>
          <t>A 33815-2022</t>
        </is>
      </c>
      <c r="B836" s="1" t="n">
        <v>44790.45876157407</v>
      </c>
      <c r="C836" s="1" t="n">
        <v>46170</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33842-2022</t>
        </is>
      </c>
      <c r="B837" s="1" t="n">
        <v>44790.49523148148</v>
      </c>
      <c r="C837" s="1" t="n">
        <v>46170</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49408-2023</t>
        </is>
      </c>
      <c r="B838" s="1" t="n">
        <v>45211.43555555555</v>
      </c>
      <c r="C838" s="1" t="n">
        <v>46170</v>
      </c>
      <c r="D838" t="inlineStr">
        <is>
          <t>KALMAR LÄN</t>
        </is>
      </c>
      <c r="E838" t="inlineStr">
        <is>
          <t>VIMMERBY</t>
        </is>
      </c>
      <c r="G838" t="n">
        <v>13.1</v>
      </c>
      <c r="H838" t="n">
        <v>0</v>
      </c>
      <c r="I838" t="n">
        <v>0</v>
      </c>
      <c r="J838" t="n">
        <v>0</v>
      </c>
      <c r="K838" t="n">
        <v>0</v>
      </c>
      <c r="L838" t="n">
        <v>0</v>
      </c>
      <c r="M838" t="n">
        <v>0</v>
      </c>
      <c r="N838" t="n">
        <v>0</v>
      </c>
      <c r="O838" t="n">
        <v>0</v>
      </c>
      <c r="P838" t="n">
        <v>0</v>
      </c>
      <c r="Q838" t="n">
        <v>0</v>
      </c>
      <c r="R838" s="2" t="inlineStr"/>
    </row>
    <row r="839" ht="15" customHeight="1">
      <c r="A839" t="inlineStr">
        <is>
          <t>A 56536-2022</t>
        </is>
      </c>
      <c r="B839" s="1" t="n">
        <v>44893</v>
      </c>
      <c r="C839" s="1" t="n">
        <v>46170</v>
      </c>
      <c r="D839" t="inlineStr">
        <is>
          <t>KALMAR LÄN</t>
        </is>
      </c>
      <c r="E839" t="inlineStr">
        <is>
          <t>VIMMERBY</t>
        </is>
      </c>
      <c r="G839" t="n">
        <v>3.2</v>
      </c>
      <c r="H839" t="n">
        <v>0</v>
      </c>
      <c r="I839" t="n">
        <v>0</v>
      </c>
      <c r="J839" t="n">
        <v>0</v>
      </c>
      <c r="K839" t="n">
        <v>0</v>
      </c>
      <c r="L839" t="n">
        <v>0</v>
      </c>
      <c r="M839" t="n">
        <v>0</v>
      </c>
      <c r="N839" t="n">
        <v>0</v>
      </c>
      <c r="O839" t="n">
        <v>0</v>
      </c>
      <c r="P839" t="n">
        <v>0</v>
      </c>
      <c r="Q839" t="n">
        <v>0</v>
      </c>
      <c r="R839" s="2" t="inlineStr"/>
    </row>
    <row r="840" ht="15" customHeight="1">
      <c r="A840" t="inlineStr">
        <is>
          <t>A 41199-2023</t>
        </is>
      </c>
      <c r="B840" s="1" t="n">
        <v>45174.40454861111</v>
      </c>
      <c r="C840" s="1" t="n">
        <v>46170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8945-2025</t>
        </is>
      </c>
      <c r="B841" s="1" t="n">
        <v>45713.45311342592</v>
      </c>
      <c r="C841" s="1" t="n">
        <v>46170</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17713-2026</t>
        </is>
      </c>
      <c r="B842" s="1" t="n">
        <v>46121.72810185186</v>
      </c>
      <c r="C842" s="1" t="n">
        <v>46170</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11619-2023</t>
        </is>
      </c>
      <c r="B843" s="1" t="n">
        <v>44994.42113425926</v>
      </c>
      <c r="C843" s="1" t="n">
        <v>46170</v>
      </c>
      <c r="D843" t="inlineStr">
        <is>
          <t>KALMAR LÄN</t>
        </is>
      </c>
      <c r="E843" t="inlineStr">
        <is>
          <t>VIMMERBY</t>
        </is>
      </c>
      <c r="G843" t="n">
        <v>2.5</v>
      </c>
      <c r="H843" t="n">
        <v>0</v>
      </c>
      <c r="I843" t="n">
        <v>0</v>
      </c>
      <c r="J843" t="n">
        <v>0</v>
      </c>
      <c r="K843" t="n">
        <v>0</v>
      </c>
      <c r="L843" t="n">
        <v>0</v>
      </c>
      <c r="M843" t="n">
        <v>0</v>
      </c>
      <c r="N843" t="n">
        <v>0</v>
      </c>
      <c r="O843" t="n">
        <v>0</v>
      </c>
      <c r="P843" t="n">
        <v>0</v>
      </c>
      <c r="Q843" t="n">
        <v>0</v>
      </c>
      <c r="R843" s="2" t="inlineStr"/>
    </row>
    <row r="844" ht="15" customHeight="1">
      <c r="A844" t="inlineStr">
        <is>
          <t>A 41896-2023</t>
        </is>
      </c>
      <c r="B844" s="1" t="n">
        <v>45176.72427083334</v>
      </c>
      <c r="C844" s="1" t="n">
        <v>46170</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17926-2025</t>
        </is>
      </c>
      <c r="B845" s="1" t="n">
        <v>45759.38987268518</v>
      </c>
      <c r="C845" s="1" t="n">
        <v>46170</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21028-2023</t>
        </is>
      </c>
      <c r="B846" s="1" t="n">
        <v>45061</v>
      </c>
      <c r="C846" s="1" t="n">
        <v>46170</v>
      </c>
      <c r="D846" t="inlineStr">
        <is>
          <t>KALMAR LÄN</t>
        </is>
      </c>
      <c r="E846" t="inlineStr">
        <is>
          <t>VIMMERBY</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27122-2023</t>
        </is>
      </c>
      <c r="B847" s="1" t="n">
        <v>45096.45247685185</v>
      </c>
      <c r="C847" s="1" t="n">
        <v>46170</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13813-2024</t>
        </is>
      </c>
      <c r="B848" s="1" t="n">
        <v>45391.41310185185</v>
      </c>
      <c r="C848" s="1" t="n">
        <v>46170</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38969-2023</t>
        </is>
      </c>
      <c r="B849" s="1" t="n">
        <v>45163.63621527778</v>
      </c>
      <c r="C849" s="1" t="n">
        <v>46170</v>
      </c>
      <c r="D849" t="inlineStr">
        <is>
          <t>KALMAR LÄN</t>
        </is>
      </c>
      <c r="E849" t="inlineStr">
        <is>
          <t>VIMMERBY</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26937-2023</t>
        </is>
      </c>
      <c r="B850" s="1" t="n">
        <v>45093.62777777778</v>
      </c>
      <c r="C850" s="1" t="n">
        <v>46170</v>
      </c>
      <c r="D850" t="inlineStr">
        <is>
          <t>KALMAR LÄN</t>
        </is>
      </c>
      <c r="E850" t="inlineStr">
        <is>
          <t>VIMMERBY</t>
        </is>
      </c>
      <c r="F850" t="inlineStr">
        <is>
          <t>Sveaskog</t>
        </is>
      </c>
      <c r="G850" t="n">
        <v>14.5</v>
      </c>
      <c r="H850" t="n">
        <v>0</v>
      </c>
      <c r="I850" t="n">
        <v>0</v>
      </c>
      <c r="J850" t="n">
        <v>0</v>
      </c>
      <c r="K850" t="n">
        <v>0</v>
      </c>
      <c r="L850" t="n">
        <v>0</v>
      </c>
      <c r="M850" t="n">
        <v>0</v>
      </c>
      <c r="N850" t="n">
        <v>0</v>
      </c>
      <c r="O850" t="n">
        <v>0</v>
      </c>
      <c r="P850" t="n">
        <v>0</v>
      </c>
      <c r="Q850" t="n">
        <v>0</v>
      </c>
      <c r="R850" s="2" t="inlineStr"/>
    </row>
    <row r="851" ht="15" customHeight="1">
      <c r="A851" t="inlineStr">
        <is>
          <t>A 57486-2024</t>
        </is>
      </c>
      <c r="B851" s="1" t="n">
        <v>45630.35827546296</v>
      </c>
      <c r="C851" s="1" t="n">
        <v>46170</v>
      </c>
      <c r="D851" t="inlineStr">
        <is>
          <t>KALMAR LÄN</t>
        </is>
      </c>
      <c r="E851" t="inlineStr">
        <is>
          <t>VIMMERBY</t>
        </is>
      </c>
      <c r="G851" t="n">
        <v>0.4</v>
      </c>
      <c r="H851" t="n">
        <v>0</v>
      </c>
      <c r="I851" t="n">
        <v>0</v>
      </c>
      <c r="J851" t="n">
        <v>0</v>
      </c>
      <c r="K851" t="n">
        <v>0</v>
      </c>
      <c r="L851" t="n">
        <v>0</v>
      </c>
      <c r="M851" t="n">
        <v>0</v>
      </c>
      <c r="N851" t="n">
        <v>0</v>
      </c>
      <c r="O851" t="n">
        <v>0</v>
      </c>
      <c r="P851" t="n">
        <v>0</v>
      </c>
      <c r="Q851" t="n">
        <v>0</v>
      </c>
      <c r="R851" s="2" t="inlineStr"/>
    </row>
    <row r="852" ht="15" customHeight="1">
      <c r="A852" t="inlineStr">
        <is>
          <t>A 43186-2021</t>
        </is>
      </c>
      <c r="B852" s="1" t="n">
        <v>44431.84840277778</v>
      </c>
      <c r="C852" s="1" t="n">
        <v>46170</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1799-2025</t>
        </is>
      </c>
      <c r="B853" s="1" t="n">
        <v>45671.46746527778</v>
      </c>
      <c r="C853" s="1" t="n">
        <v>46170</v>
      </c>
      <c r="D853" t="inlineStr">
        <is>
          <t>KALMAR LÄN</t>
        </is>
      </c>
      <c r="E853" t="inlineStr">
        <is>
          <t>VIMMERBY</t>
        </is>
      </c>
      <c r="G853" t="n">
        <v>3.3</v>
      </c>
      <c r="H853" t="n">
        <v>0</v>
      </c>
      <c r="I853" t="n">
        <v>0</v>
      </c>
      <c r="J853" t="n">
        <v>0</v>
      </c>
      <c r="K853" t="n">
        <v>0</v>
      </c>
      <c r="L853" t="n">
        <v>0</v>
      </c>
      <c r="M853" t="n">
        <v>0</v>
      </c>
      <c r="N853" t="n">
        <v>0</v>
      </c>
      <c r="O853" t="n">
        <v>0</v>
      </c>
      <c r="P853" t="n">
        <v>0</v>
      </c>
      <c r="Q853" t="n">
        <v>0</v>
      </c>
      <c r="R853" s="2" t="inlineStr"/>
    </row>
    <row r="854" ht="15" customHeight="1">
      <c r="A854" t="inlineStr">
        <is>
          <t>A 30063-2023</t>
        </is>
      </c>
      <c r="B854" s="1" t="n">
        <v>45110.4184375</v>
      </c>
      <c r="C854" s="1" t="n">
        <v>46170</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43068-2023</t>
        </is>
      </c>
      <c r="B855" s="1" t="n">
        <v>45182.78834490741</v>
      </c>
      <c r="C855" s="1" t="n">
        <v>46170</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18122-2026</t>
        </is>
      </c>
      <c r="B856" s="1" t="n">
        <v>46125.58524305555</v>
      </c>
      <c r="C856" s="1" t="n">
        <v>46170</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18020-2025</t>
        </is>
      </c>
      <c r="B857" s="1" t="n">
        <v>45761.4437962963</v>
      </c>
      <c r="C857" s="1" t="n">
        <v>46170</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33424-2023</t>
        </is>
      </c>
      <c r="B858" s="1" t="n">
        <v>45128.9325</v>
      </c>
      <c r="C858" s="1" t="n">
        <v>46170</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33425-2023</t>
        </is>
      </c>
      <c r="B859" s="1" t="n">
        <v>45128.93540509259</v>
      </c>
      <c r="C859" s="1" t="n">
        <v>46170</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12327-2023</t>
        </is>
      </c>
      <c r="B860" s="1" t="n">
        <v>44999.36081018519</v>
      </c>
      <c r="C860" s="1" t="n">
        <v>46170</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43092-2024</t>
        </is>
      </c>
      <c r="B861" s="1" t="n">
        <v>45567</v>
      </c>
      <c r="C861" s="1" t="n">
        <v>46170</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52435-2021</t>
        </is>
      </c>
      <c r="B862" s="1" t="n">
        <v>44466.34962962963</v>
      </c>
      <c r="C862" s="1" t="n">
        <v>46170</v>
      </c>
      <c r="D862" t="inlineStr">
        <is>
          <t>KALMAR LÄN</t>
        </is>
      </c>
      <c r="E862" t="inlineStr">
        <is>
          <t>VIMMERBY</t>
        </is>
      </c>
      <c r="G862" t="n">
        <v>2.8</v>
      </c>
      <c r="H862" t="n">
        <v>0</v>
      </c>
      <c r="I862" t="n">
        <v>0</v>
      </c>
      <c r="J862" t="n">
        <v>0</v>
      </c>
      <c r="K862" t="n">
        <v>0</v>
      </c>
      <c r="L862" t="n">
        <v>0</v>
      </c>
      <c r="M862" t="n">
        <v>0</v>
      </c>
      <c r="N862" t="n">
        <v>0</v>
      </c>
      <c r="O862" t="n">
        <v>0</v>
      </c>
      <c r="P862" t="n">
        <v>0</v>
      </c>
      <c r="Q862" t="n">
        <v>0</v>
      </c>
      <c r="R862" s="2" t="inlineStr"/>
    </row>
    <row r="863" ht="15" customHeight="1">
      <c r="A863" t="inlineStr">
        <is>
          <t>A 35127-2024</t>
        </is>
      </c>
      <c r="B863" s="1" t="n">
        <v>45530.33202546297</v>
      </c>
      <c r="C863" s="1" t="n">
        <v>46170</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60215-2022</t>
        </is>
      </c>
      <c r="B864" s="1" t="n">
        <v>44910.41346064815</v>
      </c>
      <c r="C864" s="1" t="n">
        <v>46170</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29441-2024</t>
        </is>
      </c>
      <c r="B865" s="1" t="n">
        <v>45483.82834490741</v>
      </c>
      <c r="C865" s="1" t="n">
        <v>46170</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6216-2025</t>
        </is>
      </c>
      <c r="B866" s="1" t="n">
        <v>45698.52806712963</v>
      </c>
      <c r="C866" s="1" t="n">
        <v>46170</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62779-2023</t>
        </is>
      </c>
      <c r="B867" s="1" t="n">
        <v>45271.66576388889</v>
      </c>
      <c r="C867" s="1" t="n">
        <v>46170</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52294-2023</t>
        </is>
      </c>
      <c r="B868" s="1" t="n">
        <v>45224.60075231481</v>
      </c>
      <c r="C868" s="1" t="n">
        <v>46170</v>
      </c>
      <c r="D868" t="inlineStr">
        <is>
          <t>KALMAR LÄN</t>
        </is>
      </c>
      <c r="E868" t="inlineStr">
        <is>
          <t>VIMMERBY</t>
        </is>
      </c>
      <c r="F868" t="inlineStr">
        <is>
          <t>Sveaskog</t>
        </is>
      </c>
      <c r="G868" t="n">
        <v>2.5</v>
      </c>
      <c r="H868" t="n">
        <v>0</v>
      </c>
      <c r="I868" t="n">
        <v>0</v>
      </c>
      <c r="J868" t="n">
        <v>0</v>
      </c>
      <c r="K868" t="n">
        <v>0</v>
      </c>
      <c r="L868" t="n">
        <v>0</v>
      </c>
      <c r="M868" t="n">
        <v>0</v>
      </c>
      <c r="N868" t="n">
        <v>0</v>
      </c>
      <c r="O868" t="n">
        <v>0</v>
      </c>
      <c r="P868" t="n">
        <v>0</v>
      </c>
      <c r="Q868" t="n">
        <v>0</v>
      </c>
      <c r="R868" s="2" t="inlineStr"/>
    </row>
    <row r="869" ht="15" customHeight="1">
      <c r="A869" t="inlineStr">
        <is>
          <t>A 31013-2023</t>
        </is>
      </c>
      <c r="B869" s="1" t="n">
        <v>45113.56574074074</v>
      </c>
      <c r="C869" s="1" t="n">
        <v>46170</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72067-2021</t>
        </is>
      </c>
      <c r="B870" s="1" t="n">
        <v>44540</v>
      </c>
      <c r="C870" s="1" t="n">
        <v>46170</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61538-2022</t>
        </is>
      </c>
      <c r="B871" s="1" t="n">
        <v>44916.55414351852</v>
      </c>
      <c r="C871" s="1" t="n">
        <v>46170</v>
      </c>
      <c r="D871" t="inlineStr">
        <is>
          <t>KALMAR LÄN</t>
        </is>
      </c>
      <c r="E871" t="inlineStr">
        <is>
          <t>VIMMERBY</t>
        </is>
      </c>
      <c r="G871" t="n">
        <v>1.5</v>
      </c>
      <c r="H871" t="n">
        <v>0</v>
      </c>
      <c r="I871" t="n">
        <v>0</v>
      </c>
      <c r="J871" t="n">
        <v>0</v>
      </c>
      <c r="K871" t="n">
        <v>0</v>
      </c>
      <c r="L871" t="n">
        <v>0</v>
      </c>
      <c r="M871" t="n">
        <v>0</v>
      </c>
      <c r="N871" t="n">
        <v>0</v>
      </c>
      <c r="O871" t="n">
        <v>0</v>
      </c>
      <c r="P871" t="n">
        <v>0</v>
      </c>
      <c r="Q871" t="n">
        <v>0</v>
      </c>
      <c r="R871" s="2" t="inlineStr"/>
    </row>
    <row r="872" ht="15" customHeight="1">
      <c r="A872" t="inlineStr">
        <is>
          <t>A 36155-2023</t>
        </is>
      </c>
      <c r="B872" s="1" t="n">
        <v>45149.60917824074</v>
      </c>
      <c r="C872" s="1" t="n">
        <v>46170</v>
      </c>
      <c r="D872" t="inlineStr">
        <is>
          <t>KALMAR LÄN</t>
        </is>
      </c>
      <c r="E872" t="inlineStr">
        <is>
          <t>VIMMERBY</t>
        </is>
      </c>
      <c r="G872" t="n">
        <v>5</v>
      </c>
      <c r="H872" t="n">
        <v>0</v>
      </c>
      <c r="I872" t="n">
        <v>0</v>
      </c>
      <c r="J872" t="n">
        <v>0</v>
      </c>
      <c r="K872" t="n">
        <v>0</v>
      </c>
      <c r="L872" t="n">
        <v>0</v>
      </c>
      <c r="M872" t="n">
        <v>0</v>
      </c>
      <c r="N872" t="n">
        <v>0</v>
      </c>
      <c r="O872" t="n">
        <v>0</v>
      </c>
      <c r="P872" t="n">
        <v>0</v>
      </c>
      <c r="Q872" t="n">
        <v>0</v>
      </c>
      <c r="R872" s="2" t="inlineStr"/>
    </row>
    <row r="873" ht="15" customHeight="1">
      <c r="A873" t="inlineStr">
        <is>
          <t>A 29173-2024</t>
        </is>
      </c>
      <c r="B873" s="1" t="n">
        <v>45482.52887731481</v>
      </c>
      <c r="C873" s="1" t="n">
        <v>46170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53542-2022</t>
        </is>
      </c>
      <c r="B874" s="1" t="n">
        <v>44879.62173611111</v>
      </c>
      <c r="C874" s="1" t="n">
        <v>46170</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6807-2025</t>
        </is>
      </c>
      <c r="B875" s="1" t="n">
        <v>45700.68672453704</v>
      </c>
      <c r="C875" s="1" t="n">
        <v>46170</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7047-2022</t>
        </is>
      </c>
      <c r="B876" s="1" t="n">
        <v>44603</v>
      </c>
      <c r="C876" s="1" t="n">
        <v>46170</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35711-2023</t>
        </is>
      </c>
      <c r="B877" s="1" t="n">
        <v>45147.67172453704</v>
      </c>
      <c r="C877" s="1" t="n">
        <v>46170</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5382-2023</t>
        </is>
      </c>
      <c r="B878" s="1" t="n">
        <v>44959.66407407408</v>
      </c>
      <c r="C878" s="1" t="n">
        <v>46170</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40823-2023</t>
        </is>
      </c>
      <c r="B879" s="1" t="n">
        <v>45171.77335648148</v>
      </c>
      <c r="C879" s="1" t="n">
        <v>46170</v>
      </c>
      <c r="D879" t="inlineStr">
        <is>
          <t>KALMAR LÄN</t>
        </is>
      </c>
      <c r="E879" t="inlineStr">
        <is>
          <t>VIMMERBY</t>
        </is>
      </c>
      <c r="G879" t="n">
        <v>2.7</v>
      </c>
      <c r="H879" t="n">
        <v>0</v>
      </c>
      <c r="I879" t="n">
        <v>0</v>
      </c>
      <c r="J879" t="n">
        <v>0</v>
      </c>
      <c r="K879" t="n">
        <v>0</v>
      </c>
      <c r="L879" t="n">
        <v>0</v>
      </c>
      <c r="M879" t="n">
        <v>0</v>
      </c>
      <c r="N879" t="n">
        <v>0</v>
      </c>
      <c r="O879" t="n">
        <v>0</v>
      </c>
      <c r="P879" t="n">
        <v>0</v>
      </c>
      <c r="Q879" t="n">
        <v>0</v>
      </c>
      <c r="R879" s="2" t="inlineStr"/>
    </row>
    <row r="880" ht="15" customHeight="1">
      <c r="A880" t="inlineStr">
        <is>
          <t>A 6218-2025</t>
        </is>
      </c>
      <c r="B880" s="1" t="n">
        <v>45698.53336805556</v>
      </c>
      <c r="C880" s="1" t="n">
        <v>46170</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30920-2023</t>
        </is>
      </c>
      <c r="B881" s="1" t="n">
        <v>45113.43921296296</v>
      </c>
      <c r="C881" s="1" t="n">
        <v>46170</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6857-2023</t>
        </is>
      </c>
      <c r="B882" s="1" t="n">
        <v>44967.45122685185</v>
      </c>
      <c r="C882" s="1" t="n">
        <v>46170</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row r="883" ht="15" customHeight="1">
      <c r="A883" t="inlineStr">
        <is>
          <t>A 5792-2023</t>
        </is>
      </c>
      <c r="B883" s="1" t="n">
        <v>44963.44769675926</v>
      </c>
      <c r="C883" s="1" t="n">
        <v>46170</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10303-2025</t>
        </is>
      </c>
      <c r="B884" s="1" t="n">
        <v>45720.44217592593</v>
      </c>
      <c r="C884" s="1" t="n">
        <v>46170</v>
      </c>
      <c r="D884" t="inlineStr">
        <is>
          <t>KALMAR LÄN</t>
        </is>
      </c>
      <c r="E884" t="inlineStr">
        <is>
          <t>VIMMERBY</t>
        </is>
      </c>
      <c r="G884" t="n">
        <v>0.9</v>
      </c>
      <c r="H884" t="n">
        <v>0</v>
      </c>
      <c r="I884" t="n">
        <v>0</v>
      </c>
      <c r="J884" t="n">
        <v>0</v>
      </c>
      <c r="K884" t="n">
        <v>0</v>
      </c>
      <c r="L884" t="n">
        <v>0</v>
      </c>
      <c r="M884" t="n">
        <v>0</v>
      </c>
      <c r="N884" t="n">
        <v>0</v>
      </c>
      <c r="O884" t="n">
        <v>0</v>
      </c>
      <c r="P884" t="n">
        <v>0</v>
      </c>
      <c r="Q884" t="n">
        <v>0</v>
      </c>
      <c r="R884" s="2" t="inlineStr"/>
    </row>
    <row r="885" ht="15" customHeight="1">
      <c r="A885" t="inlineStr">
        <is>
          <t>A 60110-2022</t>
        </is>
      </c>
      <c r="B885" s="1" t="n">
        <v>44909</v>
      </c>
      <c r="C885" s="1" t="n">
        <v>46170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15394-2025</t>
        </is>
      </c>
      <c r="B886" s="1" t="n">
        <v>45747.43196759259</v>
      </c>
      <c r="C886" s="1" t="n">
        <v>46170</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15388-2025</t>
        </is>
      </c>
      <c r="B887" s="1" t="n">
        <v>45747.42633101852</v>
      </c>
      <c r="C887" s="1" t="n">
        <v>46170</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15391-2025</t>
        </is>
      </c>
      <c r="B888" s="1" t="n">
        <v>45747.42958333333</v>
      </c>
      <c r="C888" s="1" t="n">
        <v>46170</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6474-2025</t>
        </is>
      </c>
      <c r="B889" s="1" t="n">
        <v>45699.60055555555</v>
      </c>
      <c r="C889" s="1" t="n">
        <v>46170</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32919-2022</t>
        </is>
      </c>
      <c r="B890" s="1" t="n">
        <v>44784.62724537037</v>
      </c>
      <c r="C890" s="1" t="n">
        <v>46170</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56659-2023</t>
        </is>
      </c>
      <c r="B891" s="1" t="n">
        <v>45243.84869212963</v>
      </c>
      <c r="C891" s="1" t="n">
        <v>46170</v>
      </c>
      <c r="D891" t="inlineStr">
        <is>
          <t>KALMAR LÄN</t>
        </is>
      </c>
      <c r="E891" t="inlineStr">
        <is>
          <t>VIMMERBY</t>
        </is>
      </c>
      <c r="G891" t="n">
        <v>0.6</v>
      </c>
      <c r="H891" t="n">
        <v>0</v>
      </c>
      <c r="I891" t="n">
        <v>0</v>
      </c>
      <c r="J891" t="n">
        <v>0</v>
      </c>
      <c r="K891" t="n">
        <v>0</v>
      </c>
      <c r="L891" t="n">
        <v>0</v>
      </c>
      <c r="M891" t="n">
        <v>0</v>
      </c>
      <c r="N891" t="n">
        <v>0</v>
      </c>
      <c r="O891" t="n">
        <v>0</v>
      </c>
      <c r="P891" t="n">
        <v>0</v>
      </c>
      <c r="Q891" t="n">
        <v>0</v>
      </c>
      <c r="R891" s="2" t="inlineStr"/>
    </row>
    <row r="892" ht="15" customHeight="1">
      <c r="A892" t="inlineStr">
        <is>
          <t>A 13015-2022</t>
        </is>
      </c>
      <c r="B892" s="1" t="n">
        <v>44643</v>
      </c>
      <c r="C892" s="1" t="n">
        <v>46170</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17968-2025</t>
        </is>
      </c>
      <c r="B893" s="1" t="n">
        <v>45761.35990740741</v>
      </c>
      <c r="C893" s="1" t="n">
        <v>46170</v>
      </c>
      <c r="D893" t="inlineStr">
        <is>
          <t>KALMAR LÄN</t>
        </is>
      </c>
      <c r="E893" t="inlineStr">
        <is>
          <t>VIMMERBY</t>
        </is>
      </c>
      <c r="G893" t="n">
        <v>3.3</v>
      </c>
      <c r="H893" t="n">
        <v>0</v>
      </c>
      <c r="I893" t="n">
        <v>0</v>
      </c>
      <c r="J893" t="n">
        <v>0</v>
      </c>
      <c r="K893" t="n">
        <v>0</v>
      </c>
      <c r="L893" t="n">
        <v>0</v>
      </c>
      <c r="M893" t="n">
        <v>0</v>
      </c>
      <c r="N893" t="n">
        <v>0</v>
      </c>
      <c r="O893" t="n">
        <v>0</v>
      </c>
      <c r="P893" t="n">
        <v>0</v>
      </c>
      <c r="Q893" t="n">
        <v>0</v>
      </c>
      <c r="R893" s="2" t="inlineStr"/>
    </row>
    <row r="894" ht="15" customHeight="1">
      <c r="A894" t="inlineStr">
        <is>
          <t>A 6028-2023</t>
        </is>
      </c>
      <c r="B894" s="1" t="n">
        <v>44964.44356481481</v>
      </c>
      <c r="C894" s="1" t="n">
        <v>46170</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55436-2023</t>
        </is>
      </c>
      <c r="B895" s="1" t="n">
        <v>45238.4328587963</v>
      </c>
      <c r="C895" s="1" t="n">
        <v>46170</v>
      </c>
      <c r="D895" t="inlineStr">
        <is>
          <t>KALMAR LÄN</t>
        </is>
      </c>
      <c r="E895" t="inlineStr">
        <is>
          <t>VIMMERBY</t>
        </is>
      </c>
      <c r="G895" t="n">
        <v>5.6</v>
      </c>
      <c r="H895" t="n">
        <v>0</v>
      </c>
      <c r="I895" t="n">
        <v>0</v>
      </c>
      <c r="J895" t="n">
        <v>0</v>
      </c>
      <c r="K895" t="n">
        <v>0</v>
      </c>
      <c r="L895" t="n">
        <v>0</v>
      </c>
      <c r="M895" t="n">
        <v>0</v>
      </c>
      <c r="N895" t="n">
        <v>0</v>
      </c>
      <c r="O895" t="n">
        <v>0</v>
      </c>
      <c r="P895" t="n">
        <v>0</v>
      </c>
      <c r="Q895" t="n">
        <v>0</v>
      </c>
      <c r="R895" s="2" t="inlineStr"/>
    </row>
    <row r="896" ht="15" customHeight="1">
      <c r="A896" t="inlineStr">
        <is>
          <t>A 56582-2022</t>
        </is>
      </c>
      <c r="B896" s="1" t="n">
        <v>44893</v>
      </c>
      <c r="C896" s="1" t="n">
        <v>46170</v>
      </c>
      <c r="D896" t="inlineStr">
        <is>
          <t>KALMAR LÄN</t>
        </is>
      </c>
      <c r="E896" t="inlineStr">
        <is>
          <t>VIMMERBY</t>
        </is>
      </c>
      <c r="G896" t="n">
        <v>2.2</v>
      </c>
      <c r="H896" t="n">
        <v>0</v>
      </c>
      <c r="I896" t="n">
        <v>0</v>
      </c>
      <c r="J896" t="n">
        <v>0</v>
      </c>
      <c r="K896" t="n">
        <v>0</v>
      </c>
      <c r="L896" t="n">
        <v>0</v>
      </c>
      <c r="M896" t="n">
        <v>0</v>
      </c>
      <c r="N896" t="n">
        <v>0</v>
      </c>
      <c r="O896" t="n">
        <v>0</v>
      </c>
      <c r="P896" t="n">
        <v>0</v>
      </c>
      <c r="Q896" t="n">
        <v>0</v>
      </c>
      <c r="R896" s="2" t="inlineStr"/>
    </row>
    <row r="897" ht="15" customHeight="1">
      <c r="A897" t="inlineStr">
        <is>
          <t>A 20-2025</t>
        </is>
      </c>
      <c r="B897" s="1" t="n">
        <v>45658.80232638889</v>
      </c>
      <c r="C897" s="1" t="n">
        <v>46170</v>
      </c>
      <c r="D897" t="inlineStr">
        <is>
          <t>KALMAR LÄN</t>
        </is>
      </c>
      <c r="E897" t="inlineStr">
        <is>
          <t>VIMMERBY</t>
        </is>
      </c>
      <c r="G897" t="n">
        <v>1.3</v>
      </c>
      <c r="H897" t="n">
        <v>0</v>
      </c>
      <c r="I897" t="n">
        <v>0</v>
      </c>
      <c r="J897" t="n">
        <v>0</v>
      </c>
      <c r="K897" t="n">
        <v>0</v>
      </c>
      <c r="L897" t="n">
        <v>0</v>
      </c>
      <c r="M897" t="n">
        <v>0</v>
      </c>
      <c r="N897" t="n">
        <v>0</v>
      </c>
      <c r="O897" t="n">
        <v>0</v>
      </c>
      <c r="P897" t="n">
        <v>0</v>
      </c>
      <c r="Q897" t="n">
        <v>0</v>
      </c>
      <c r="R897" s="2" t="inlineStr"/>
    </row>
    <row r="898" ht="15" customHeight="1">
      <c r="A898" t="inlineStr">
        <is>
          <t>A 23-2025</t>
        </is>
      </c>
      <c r="B898" s="1" t="n">
        <v>45658.80827546296</v>
      </c>
      <c r="C898" s="1" t="n">
        <v>46170</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43962-2024</t>
        </is>
      </c>
      <c r="B899" s="1" t="n">
        <v>45572.48293981481</v>
      </c>
      <c r="C899" s="1" t="n">
        <v>46170</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35713-2023</t>
        </is>
      </c>
      <c r="B900" s="1" t="n">
        <v>45147</v>
      </c>
      <c r="C900" s="1" t="n">
        <v>46170</v>
      </c>
      <c r="D900" t="inlineStr">
        <is>
          <t>KALMAR LÄN</t>
        </is>
      </c>
      <c r="E900" t="inlineStr">
        <is>
          <t>VIMMERBY</t>
        </is>
      </c>
      <c r="G900" t="n">
        <v>1.6</v>
      </c>
      <c r="H900" t="n">
        <v>0</v>
      </c>
      <c r="I900" t="n">
        <v>0</v>
      </c>
      <c r="J900" t="n">
        <v>0</v>
      </c>
      <c r="K900" t="n">
        <v>0</v>
      </c>
      <c r="L900" t="n">
        <v>0</v>
      </c>
      <c r="M900" t="n">
        <v>0</v>
      </c>
      <c r="N900" t="n">
        <v>0</v>
      </c>
      <c r="O900" t="n">
        <v>0</v>
      </c>
      <c r="P900" t="n">
        <v>0</v>
      </c>
      <c r="Q900" t="n">
        <v>0</v>
      </c>
      <c r="R900" s="2" t="inlineStr"/>
    </row>
    <row r="901" ht="15" customHeight="1">
      <c r="A901" t="inlineStr">
        <is>
          <t>A 40147-2023</t>
        </is>
      </c>
      <c r="B901" s="1" t="n">
        <v>45169</v>
      </c>
      <c r="C901" s="1" t="n">
        <v>46170</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50995-2022</t>
        </is>
      </c>
      <c r="B902" s="1" t="n">
        <v>44867</v>
      </c>
      <c r="C902" s="1" t="n">
        <v>46170</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row>
    <row r="903" ht="15" customHeight="1">
      <c r="A903" t="inlineStr">
        <is>
          <t>A 27993-2022</t>
        </is>
      </c>
      <c r="B903" s="1" t="n">
        <v>44745.84396990741</v>
      </c>
      <c r="C903" s="1" t="n">
        <v>46170</v>
      </c>
      <c r="D903" t="inlineStr">
        <is>
          <t>KALMAR LÄN</t>
        </is>
      </c>
      <c r="E903" t="inlineStr">
        <is>
          <t>VIMMERBY</t>
        </is>
      </c>
      <c r="G903" t="n">
        <v>2.8</v>
      </c>
      <c r="H903" t="n">
        <v>0</v>
      </c>
      <c r="I903" t="n">
        <v>0</v>
      </c>
      <c r="J903" t="n">
        <v>0</v>
      </c>
      <c r="K903" t="n">
        <v>0</v>
      </c>
      <c r="L903" t="n">
        <v>0</v>
      </c>
      <c r="M903" t="n">
        <v>0</v>
      </c>
      <c r="N903" t="n">
        <v>0</v>
      </c>
      <c r="O903" t="n">
        <v>0</v>
      </c>
      <c r="P903" t="n">
        <v>0</v>
      </c>
      <c r="Q903" t="n">
        <v>0</v>
      </c>
      <c r="R903" s="2" t="inlineStr"/>
    </row>
    <row r="904" ht="15" customHeight="1">
      <c r="A904" t="inlineStr">
        <is>
          <t>A 57555-2024</t>
        </is>
      </c>
      <c r="B904" s="1" t="n">
        <v>45630.45069444444</v>
      </c>
      <c r="C904" s="1" t="n">
        <v>46170</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36014-2024</t>
        </is>
      </c>
      <c r="B905" s="1" t="n">
        <v>45533.56108796296</v>
      </c>
      <c r="C905" s="1" t="n">
        <v>46170</v>
      </c>
      <c r="D905" t="inlineStr">
        <is>
          <t>KALMAR LÄN</t>
        </is>
      </c>
      <c r="E905" t="inlineStr">
        <is>
          <t>VIMMERBY</t>
        </is>
      </c>
      <c r="G905" t="n">
        <v>2.3</v>
      </c>
      <c r="H905" t="n">
        <v>0</v>
      </c>
      <c r="I905" t="n">
        <v>0</v>
      </c>
      <c r="J905" t="n">
        <v>0</v>
      </c>
      <c r="K905" t="n">
        <v>0</v>
      </c>
      <c r="L905" t="n">
        <v>0</v>
      </c>
      <c r="M905" t="n">
        <v>0</v>
      </c>
      <c r="N905" t="n">
        <v>0</v>
      </c>
      <c r="O905" t="n">
        <v>0</v>
      </c>
      <c r="P905" t="n">
        <v>0</v>
      </c>
      <c r="Q905" t="n">
        <v>0</v>
      </c>
      <c r="R905" s="2" t="inlineStr"/>
    </row>
    <row r="906" ht="15" customHeight="1">
      <c r="A906" t="inlineStr">
        <is>
          <t>A 36030-2024</t>
        </is>
      </c>
      <c r="B906" s="1" t="n">
        <v>45533.58302083334</v>
      </c>
      <c r="C906" s="1" t="n">
        <v>46170</v>
      </c>
      <c r="D906" t="inlineStr">
        <is>
          <t>KALMAR LÄN</t>
        </is>
      </c>
      <c r="E906" t="inlineStr">
        <is>
          <t>VIMMERBY</t>
        </is>
      </c>
      <c r="F906" t="inlineStr">
        <is>
          <t>Kommuner</t>
        </is>
      </c>
      <c r="G906" t="n">
        <v>4</v>
      </c>
      <c r="H906" t="n">
        <v>0</v>
      </c>
      <c r="I906" t="n">
        <v>0</v>
      </c>
      <c r="J906" t="n">
        <v>0</v>
      </c>
      <c r="K906" t="n">
        <v>0</v>
      </c>
      <c r="L906" t="n">
        <v>0</v>
      </c>
      <c r="M906" t="n">
        <v>0</v>
      </c>
      <c r="N906" t="n">
        <v>0</v>
      </c>
      <c r="O906" t="n">
        <v>0</v>
      </c>
      <c r="P906" t="n">
        <v>0</v>
      </c>
      <c r="Q906" t="n">
        <v>0</v>
      </c>
      <c r="R906" s="2" t="inlineStr"/>
    </row>
    <row r="907" ht="15" customHeight="1">
      <c r="A907" t="inlineStr">
        <is>
          <t>A 32865-2023</t>
        </is>
      </c>
      <c r="B907" s="1" t="n">
        <v>45124</v>
      </c>
      <c r="C907" s="1" t="n">
        <v>46170</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42918-2021</t>
        </is>
      </c>
      <c r="B908" s="1" t="n">
        <v>44431</v>
      </c>
      <c r="C908" s="1" t="n">
        <v>46170</v>
      </c>
      <c r="D908" t="inlineStr">
        <is>
          <t>KALMAR LÄN</t>
        </is>
      </c>
      <c r="E908" t="inlineStr">
        <is>
          <t>VIMMERBY</t>
        </is>
      </c>
      <c r="G908" t="n">
        <v>1.6</v>
      </c>
      <c r="H908" t="n">
        <v>0</v>
      </c>
      <c r="I908" t="n">
        <v>0</v>
      </c>
      <c r="J908" t="n">
        <v>0</v>
      </c>
      <c r="K908" t="n">
        <v>0</v>
      </c>
      <c r="L908" t="n">
        <v>0</v>
      </c>
      <c r="M908" t="n">
        <v>0</v>
      </c>
      <c r="N908" t="n">
        <v>0</v>
      </c>
      <c r="O908" t="n">
        <v>0</v>
      </c>
      <c r="P908" t="n">
        <v>0</v>
      </c>
      <c r="Q908" t="n">
        <v>0</v>
      </c>
      <c r="R908" s="2" t="inlineStr"/>
    </row>
    <row r="909" ht="15" customHeight="1">
      <c r="A909" t="inlineStr">
        <is>
          <t>A 22643-2023</t>
        </is>
      </c>
      <c r="B909" s="1" t="n">
        <v>45071</v>
      </c>
      <c r="C909" s="1" t="n">
        <v>46170</v>
      </c>
      <c r="D909" t="inlineStr">
        <is>
          <t>KALMAR LÄN</t>
        </is>
      </c>
      <c r="E909" t="inlineStr">
        <is>
          <t>VIMMERBY</t>
        </is>
      </c>
      <c r="G909" t="n">
        <v>3.9</v>
      </c>
      <c r="H909" t="n">
        <v>0</v>
      </c>
      <c r="I909" t="n">
        <v>0</v>
      </c>
      <c r="J909" t="n">
        <v>0</v>
      </c>
      <c r="K909" t="n">
        <v>0</v>
      </c>
      <c r="L909" t="n">
        <v>0</v>
      </c>
      <c r="M909" t="n">
        <v>0</v>
      </c>
      <c r="N909" t="n">
        <v>0</v>
      </c>
      <c r="O909" t="n">
        <v>0</v>
      </c>
      <c r="P909" t="n">
        <v>0</v>
      </c>
      <c r="Q909" t="n">
        <v>0</v>
      </c>
      <c r="R909" s="2" t="inlineStr"/>
    </row>
    <row r="910" ht="15" customHeight="1">
      <c r="A910" t="inlineStr">
        <is>
          <t>A 18669-2025</t>
        </is>
      </c>
      <c r="B910" s="1" t="n">
        <v>45763.59436342592</v>
      </c>
      <c r="C910" s="1" t="n">
        <v>46170</v>
      </c>
      <c r="D910" t="inlineStr">
        <is>
          <t>KALMAR LÄN</t>
        </is>
      </c>
      <c r="E910" t="inlineStr">
        <is>
          <t>VIMMERBY</t>
        </is>
      </c>
      <c r="G910" t="n">
        <v>2.7</v>
      </c>
      <c r="H910" t="n">
        <v>0</v>
      </c>
      <c r="I910" t="n">
        <v>0</v>
      </c>
      <c r="J910" t="n">
        <v>0</v>
      </c>
      <c r="K910" t="n">
        <v>0</v>
      </c>
      <c r="L910" t="n">
        <v>0</v>
      </c>
      <c r="M910" t="n">
        <v>0</v>
      </c>
      <c r="N910" t="n">
        <v>0</v>
      </c>
      <c r="O910" t="n">
        <v>0</v>
      </c>
      <c r="P910" t="n">
        <v>0</v>
      </c>
      <c r="Q910" t="n">
        <v>0</v>
      </c>
      <c r="R910" s="2" t="inlineStr"/>
    </row>
    <row r="911" ht="15" customHeight="1">
      <c r="A911" t="inlineStr">
        <is>
          <t>A 38780-2021</t>
        </is>
      </c>
      <c r="B911" s="1" t="n">
        <v>44410</v>
      </c>
      <c r="C911" s="1" t="n">
        <v>46170</v>
      </c>
      <c r="D911" t="inlineStr">
        <is>
          <t>KALMAR LÄN</t>
        </is>
      </c>
      <c r="E911" t="inlineStr">
        <is>
          <t>VIMMERBY</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29020-2024</t>
        </is>
      </c>
      <c r="B912" s="1" t="n">
        <v>45481.58048611111</v>
      </c>
      <c r="C912" s="1" t="n">
        <v>46170</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46170</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c r="A914" t="inlineStr">
        <is>
          <t>A 13817-2024</t>
        </is>
      </c>
      <c r="B914" s="1" t="n">
        <v>45391.41976851852</v>
      </c>
      <c r="C914" s="1" t="n">
        <v>46170</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2026-05-28T10:51:00Z</dcterms:created>
  <dcterms:modified xmlns:dcterms="http://purl.org/dc/terms/" xmlns:xsi="http://www.w3.org/2001/XMLSchema-instance" xsi:type="dcterms:W3CDTF">2026-05-28T10:51:01Z</dcterms:modified>
</cp:coreProperties>
</file>