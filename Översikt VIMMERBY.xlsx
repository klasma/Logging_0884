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45665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45665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45665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45665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45665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45665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45665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45665</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45665</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45665</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45665</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45665</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45665</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45665</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45665</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45665</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45665</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45665</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45665</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45665</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45665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45665</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45665</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45665</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45665</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45665</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45665</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45665</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45665</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45665</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45665</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45665</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45665</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45665</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45665</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45665</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45665</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45665</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45665</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45665</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45665</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45665</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45665</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45665</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35462-2020</t>
        </is>
      </c>
      <c r="B46" s="1" t="n">
        <v>44042</v>
      </c>
      <c r="C46" s="1" t="n">
        <v>45665</v>
      </c>
      <c r="D46" t="inlineStr">
        <is>
          <t>KALMAR LÄN</t>
        </is>
      </c>
      <c r="E46" t="inlineStr">
        <is>
          <t>VIMMERBY</t>
        </is>
      </c>
      <c r="G46" t="n">
        <v>4.3</v>
      </c>
      <c r="H46" t="n">
        <v>1</v>
      </c>
      <c r="I46" t="n">
        <v>0</v>
      </c>
      <c r="J46" t="n">
        <v>0</v>
      </c>
      <c r="K46" t="n">
        <v>0</v>
      </c>
      <c r="L46" t="n">
        <v>0</v>
      </c>
      <c r="M46" t="n">
        <v>0</v>
      </c>
      <c r="N46" t="n">
        <v>0</v>
      </c>
      <c r="O46" t="n">
        <v>0</v>
      </c>
      <c r="P46" t="n">
        <v>0</v>
      </c>
      <c r="Q46" t="n">
        <v>1</v>
      </c>
      <c r="R46" s="2" t="inlineStr">
        <is>
          <t>Lopplummer</t>
        </is>
      </c>
      <c r="S46">
        <f>HYPERLINK("https://klasma.github.io/Logging_0884/artfynd/A 35462-2020 artfynd.xlsx", "A 35462-2020")</f>
        <v/>
      </c>
      <c r="T46">
        <f>HYPERLINK("https://klasma.github.io/Logging_0884/kartor/A 35462-2020 karta.png", "A 35462-2020")</f>
        <v/>
      </c>
      <c r="V46">
        <f>HYPERLINK("https://klasma.github.io/Logging_0884/klagomål/A 35462-2020 FSC-klagomål.docx", "A 35462-2020")</f>
        <v/>
      </c>
      <c r="W46">
        <f>HYPERLINK("https://klasma.github.io/Logging_0884/klagomålsmail/A 35462-2020 FSC-klagomål mail.docx", "A 35462-2020")</f>
        <v/>
      </c>
      <c r="X46">
        <f>HYPERLINK("https://klasma.github.io/Logging_0884/tillsyn/A 35462-2020 tillsynsbegäran.docx", "A 35462-2020")</f>
        <v/>
      </c>
      <c r="Y46">
        <f>HYPERLINK("https://klasma.github.io/Logging_0884/tillsynsmail/A 35462-2020 tillsynsbegäran mail.docx", "A 35462-2020")</f>
        <v/>
      </c>
    </row>
    <row r="47" ht="15" customHeight="1">
      <c r="A47" t="inlineStr">
        <is>
          <t>A 42097-2020</t>
        </is>
      </c>
      <c r="B47" s="1" t="n">
        <v>44075</v>
      </c>
      <c r="C47" s="1" t="n">
        <v>45665</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45665</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45665</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45665</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45665</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6841-2021</t>
        </is>
      </c>
      <c r="B52" s="1" t="n">
        <v>44236</v>
      </c>
      <c r="C52" s="1" t="n">
        <v>45665</v>
      </c>
      <c r="D52" t="inlineStr">
        <is>
          <t>KALMAR LÄN</t>
        </is>
      </c>
      <c r="E52" t="inlineStr">
        <is>
          <t>VIMMERBY</t>
        </is>
      </c>
      <c r="G52" t="n">
        <v>25</v>
      </c>
      <c r="H52" t="n">
        <v>0</v>
      </c>
      <c r="I52" t="n">
        <v>0</v>
      </c>
      <c r="J52" t="n">
        <v>1</v>
      </c>
      <c r="K52" t="n">
        <v>0</v>
      </c>
      <c r="L52" t="n">
        <v>0</v>
      </c>
      <c r="M52" t="n">
        <v>0</v>
      </c>
      <c r="N52" t="n">
        <v>0</v>
      </c>
      <c r="O52" t="n">
        <v>1</v>
      </c>
      <c r="P52" t="n">
        <v>0</v>
      </c>
      <c r="Q52" t="n">
        <v>1</v>
      </c>
      <c r="R52" s="2" t="inlineStr">
        <is>
          <t>Bredbrämad bastardsvärmare</t>
        </is>
      </c>
      <c r="S52">
        <f>HYPERLINK("https://klasma.github.io/Logging_0884/artfynd/A 6841-2021 artfynd.xlsx", "A 6841-2021")</f>
        <v/>
      </c>
      <c r="T52">
        <f>HYPERLINK("https://klasma.github.io/Logging_0884/kartor/A 6841-2021 karta.png", "A 6841-2021")</f>
        <v/>
      </c>
      <c r="V52">
        <f>HYPERLINK("https://klasma.github.io/Logging_0884/klagomål/A 6841-2021 FSC-klagomål.docx", "A 6841-2021")</f>
        <v/>
      </c>
      <c r="W52">
        <f>HYPERLINK("https://klasma.github.io/Logging_0884/klagomålsmail/A 6841-2021 FSC-klagomål mail.docx", "A 6841-2021")</f>
        <v/>
      </c>
      <c r="X52">
        <f>HYPERLINK("https://klasma.github.io/Logging_0884/tillsyn/A 6841-2021 tillsynsbegäran.docx", "A 6841-2021")</f>
        <v/>
      </c>
      <c r="Y52">
        <f>HYPERLINK("https://klasma.github.io/Logging_0884/tillsynsmail/A 6841-2021 tillsynsbegäran mail.docx", "A 6841-2021")</f>
        <v/>
      </c>
    </row>
    <row r="53" ht="15" customHeight="1">
      <c r="A53" t="inlineStr">
        <is>
          <t>A 32396-2021</t>
        </is>
      </c>
      <c r="B53" s="1" t="n">
        <v>44371</v>
      </c>
      <c r="C53" s="1" t="n">
        <v>45665</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45665</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45665</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45665</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45665</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45665</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45665</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45665</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45665</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45665</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45665</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40083-2023</t>
        </is>
      </c>
      <c r="B64" s="1" t="n">
        <v>45168</v>
      </c>
      <c r="C64" s="1" t="n">
        <v>45665</v>
      </c>
      <c r="D64" t="inlineStr">
        <is>
          <t>KALMAR LÄN</t>
        </is>
      </c>
      <c r="E64" t="inlineStr">
        <is>
          <t>VIMMERBY</t>
        </is>
      </c>
      <c r="G64" t="n">
        <v>2.2</v>
      </c>
      <c r="H64" t="n">
        <v>1</v>
      </c>
      <c r="I64" t="n">
        <v>0</v>
      </c>
      <c r="J64" t="n">
        <v>0</v>
      </c>
      <c r="K64" t="n">
        <v>0</v>
      </c>
      <c r="L64" t="n">
        <v>0</v>
      </c>
      <c r="M64" t="n">
        <v>0</v>
      </c>
      <c r="N64" t="n">
        <v>0</v>
      </c>
      <c r="O64" t="n">
        <v>0</v>
      </c>
      <c r="P64" t="n">
        <v>0</v>
      </c>
      <c r="Q64" t="n">
        <v>1</v>
      </c>
      <c r="R64" s="2" t="inlineStr">
        <is>
          <t>Revlummer</t>
        </is>
      </c>
      <c r="S64">
        <f>HYPERLINK("https://klasma.github.io/Logging_0884/artfynd/A 40083-2023 artfynd.xlsx", "A 40083-2023")</f>
        <v/>
      </c>
      <c r="T64">
        <f>HYPERLINK("https://klasma.github.io/Logging_0884/kartor/A 40083-2023 karta.png", "A 40083-2023")</f>
        <v/>
      </c>
      <c r="V64">
        <f>HYPERLINK("https://klasma.github.io/Logging_0884/klagomål/A 40083-2023 FSC-klagomål.docx", "A 40083-2023")</f>
        <v/>
      </c>
      <c r="W64">
        <f>HYPERLINK("https://klasma.github.io/Logging_0884/klagomålsmail/A 40083-2023 FSC-klagomål mail.docx", "A 40083-2023")</f>
        <v/>
      </c>
      <c r="X64">
        <f>HYPERLINK("https://klasma.github.io/Logging_0884/tillsyn/A 40083-2023 tillsynsbegäran.docx", "A 40083-2023")</f>
        <v/>
      </c>
      <c r="Y64">
        <f>HYPERLINK("https://klasma.github.io/Logging_0884/tillsynsmail/A 40083-2023 tillsynsbegäran mail.docx", "A 40083-2023")</f>
        <v/>
      </c>
    </row>
    <row r="65" ht="15" customHeight="1">
      <c r="A65" t="inlineStr">
        <is>
          <t>A 40084-2023</t>
        </is>
      </c>
      <c r="B65" s="1" t="n">
        <v>45168</v>
      </c>
      <c r="C65" s="1" t="n">
        <v>45665</v>
      </c>
      <c r="D65" t="inlineStr">
        <is>
          <t>KALMAR LÄN</t>
        </is>
      </c>
      <c r="E65" t="inlineStr">
        <is>
          <t>VIMMERBY</t>
        </is>
      </c>
      <c r="G65" t="n">
        <v>1.3</v>
      </c>
      <c r="H65" t="n">
        <v>1</v>
      </c>
      <c r="I65" t="n">
        <v>0</v>
      </c>
      <c r="J65" t="n">
        <v>1</v>
      </c>
      <c r="K65" t="n">
        <v>0</v>
      </c>
      <c r="L65" t="n">
        <v>0</v>
      </c>
      <c r="M65" t="n">
        <v>0</v>
      </c>
      <c r="N65" t="n">
        <v>0</v>
      </c>
      <c r="O65" t="n">
        <v>1</v>
      </c>
      <c r="P65" t="n">
        <v>0</v>
      </c>
      <c r="Q65" t="n">
        <v>1</v>
      </c>
      <c r="R65" s="2" t="inlineStr">
        <is>
          <t>Entita</t>
        </is>
      </c>
      <c r="S65">
        <f>HYPERLINK("https://klasma.github.io/Logging_0884/artfynd/A 40084-2023 artfynd.xlsx", "A 40084-2023")</f>
        <v/>
      </c>
      <c r="T65">
        <f>HYPERLINK("https://klasma.github.io/Logging_0884/kartor/A 40084-2023 karta.png", "A 40084-2023")</f>
        <v/>
      </c>
      <c r="V65">
        <f>HYPERLINK("https://klasma.github.io/Logging_0884/klagomål/A 40084-2023 FSC-klagomål.docx", "A 40084-2023")</f>
        <v/>
      </c>
      <c r="W65">
        <f>HYPERLINK("https://klasma.github.io/Logging_0884/klagomålsmail/A 40084-2023 FSC-klagomål mail.docx", "A 40084-2023")</f>
        <v/>
      </c>
      <c r="X65">
        <f>HYPERLINK("https://klasma.github.io/Logging_0884/tillsyn/A 40084-2023 tillsynsbegäran.docx", "A 40084-2023")</f>
        <v/>
      </c>
      <c r="Y65">
        <f>HYPERLINK("https://klasma.github.io/Logging_0884/tillsynsmail/A 40084-2023 tillsynsbegäran mail.docx", "A 40084-2023")</f>
        <v/>
      </c>
      <c r="Z65">
        <f>HYPERLINK("https://klasma.github.io/Logging_0884/fåglar/A 40084-2023 prioriterade fågelarter.docx", "A 40084-2023")</f>
        <v/>
      </c>
    </row>
    <row r="66" ht="15" customHeight="1">
      <c r="A66" t="inlineStr">
        <is>
          <t>A 44633-2023</t>
        </is>
      </c>
      <c r="B66" s="1" t="n">
        <v>45189</v>
      </c>
      <c r="C66" s="1" t="n">
        <v>45665</v>
      </c>
      <c r="D66" t="inlineStr">
        <is>
          <t>KALMAR LÄN</t>
        </is>
      </c>
      <c r="E66" t="inlineStr">
        <is>
          <t>VIMMERBY</t>
        </is>
      </c>
      <c r="G66" t="n">
        <v>2.4</v>
      </c>
      <c r="H66" t="n">
        <v>0</v>
      </c>
      <c r="I66" t="n">
        <v>1</v>
      </c>
      <c r="J66" t="n">
        <v>0</v>
      </c>
      <c r="K66" t="n">
        <v>0</v>
      </c>
      <c r="L66" t="n">
        <v>0</v>
      </c>
      <c r="M66" t="n">
        <v>0</v>
      </c>
      <c r="N66" t="n">
        <v>0</v>
      </c>
      <c r="O66" t="n">
        <v>0</v>
      </c>
      <c r="P66" t="n">
        <v>0</v>
      </c>
      <c r="Q66" t="n">
        <v>1</v>
      </c>
      <c r="R66" s="2" t="inlineStr">
        <is>
          <t>Sårläka</t>
        </is>
      </c>
      <c r="S66">
        <f>HYPERLINK("https://klasma.github.io/Logging_0884/artfynd/A 44633-2023 artfynd.xlsx", "A 44633-2023")</f>
        <v/>
      </c>
      <c r="T66">
        <f>HYPERLINK("https://klasma.github.io/Logging_0884/kartor/A 44633-2023 karta.png", "A 44633-2023")</f>
        <v/>
      </c>
      <c r="V66">
        <f>HYPERLINK("https://klasma.github.io/Logging_0884/klagomål/A 44633-2023 FSC-klagomål.docx", "A 44633-2023")</f>
        <v/>
      </c>
      <c r="W66">
        <f>HYPERLINK("https://klasma.github.io/Logging_0884/klagomålsmail/A 44633-2023 FSC-klagomål mail.docx", "A 44633-2023")</f>
        <v/>
      </c>
      <c r="X66">
        <f>HYPERLINK("https://klasma.github.io/Logging_0884/tillsyn/A 44633-2023 tillsynsbegäran.docx", "A 44633-2023")</f>
        <v/>
      </c>
      <c r="Y66">
        <f>HYPERLINK("https://klasma.github.io/Logging_0884/tillsynsmail/A 44633-2023 tillsynsbegäran mail.docx", "A 44633-2023")</f>
        <v/>
      </c>
    </row>
    <row r="67" ht="15" customHeight="1">
      <c r="A67" t="inlineStr">
        <is>
          <t>A 52301-2023</t>
        </is>
      </c>
      <c r="B67" s="1" t="n">
        <v>45224</v>
      </c>
      <c r="C67" s="1" t="n">
        <v>45665</v>
      </c>
      <c r="D67" t="inlineStr">
        <is>
          <t>KALMAR LÄN</t>
        </is>
      </c>
      <c r="E67" t="inlineStr">
        <is>
          <t>VIMMERBY</t>
        </is>
      </c>
      <c r="G67" t="n">
        <v>5.3</v>
      </c>
      <c r="H67" t="n">
        <v>0</v>
      </c>
      <c r="I67" t="n">
        <v>0</v>
      </c>
      <c r="J67" t="n">
        <v>0</v>
      </c>
      <c r="K67" t="n">
        <v>0</v>
      </c>
      <c r="L67" t="n">
        <v>1</v>
      </c>
      <c r="M67" t="n">
        <v>0</v>
      </c>
      <c r="N67" t="n">
        <v>0</v>
      </c>
      <c r="O67" t="n">
        <v>1</v>
      </c>
      <c r="P67" t="n">
        <v>1</v>
      </c>
      <c r="Q67" t="n">
        <v>1</v>
      </c>
      <c r="R67" s="2" t="inlineStr">
        <is>
          <t>Ask</t>
        </is>
      </c>
      <c r="S67">
        <f>HYPERLINK("https://klasma.github.io/Logging_0884/artfynd/A 52301-2023 artfynd.xlsx", "A 52301-2023")</f>
        <v/>
      </c>
      <c r="T67">
        <f>HYPERLINK("https://klasma.github.io/Logging_0884/kartor/A 52301-2023 karta.png", "A 52301-2023")</f>
        <v/>
      </c>
      <c r="V67">
        <f>HYPERLINK("https://klasma.github.io/Logging_0884/klagomål/A 52301-2023 FSC-klagomål.docx", "A 52301-2023")</f>
        <v/>
      </c>
      <c r="W67">
        <f>HYPERLINK("https://klasma.github.io/Logging_0884/klagomålsmail/A 52301-2023 FSC-klagomål mail.docx", "A 52301-2023")</f>
        <v/>
      </c>
      <c r="X67">
        <f>HYPERLINK("https://klasma.github.io/Logging_0884/tillsyn/A 52301-2023 tillsynsbegäran.docx", "A 52301-2023")</f>
        <v/>
      </c>
      <c r="Y67">
        <f>HYPERLINK("https://klasma.github.io/Logging_0884/tillsynsmail/A 52301-2023 tillsynsbegäran mail.docx", "A 52301-2023")</f>
        <v/>
      </c>
    </row>
    <row r="68" ht="15" customHeight="1">
      <c r="A68" t="inlineStr">
        <is>
          <t>A 57038-2023</t>
        </is>
      </c>
      <c r="B68" s="1" t="n">
        <v>45244</v>
      </c>
      <c r="C68" s="1" t="n">
        <v>45665</v>
      </c>
      <c r="D68" t="inlineStr">
        <is>
          <t>KALMAR LÄN</t>
        </is>
      </c>
      <c r="E68" t="inlineStr">
        <is>
          <t>VIMMERBY</t>
        </is>
      </c>
      <c r="G68" t="n">
        <v>4.6</v>
      </c>
      <c r="H68" t="n">
        <v>1</v>
      </c>
      <c r="I68" t="n">
        <v>0</v>
      </c>
      <c r="J68" t="n">
        <v>1</v>
      </c>
      <c r="K68" t="n">
        <v>0</v>
      </c>
      <c r="L68" t="n">
        <v>0</v>
      </c>
      <c r="M68" t="n">
        <v>0</v>
      </c>
      <c r="N68" t="n">
        <v>0</v>
      </c>
      <c r="O68" t="n">
        <v>1</v>
      </c>
      <c r="P68" t="n">
        <v>0</v>
      </c>
      <c r="Q68" t="n">
        <v>1</v>
      </c>
      <c r="R68" s="2" t="inlineStr">
        <is>
          <t>Talltita</t>
        </is>
      </c>
      <c r="S68">
        <f>HYPERLINK("https://klasma.github.io/Logging_0884/artfynd/A 57038-2023 artfynd.xlsx", "A 57038-2023")</f>
        <v/>
      </c>
      <c r="T68">
        <f>HYPERLINK("https://klasma.github.io/Logging_0884/kartor/A 57038-2023 karta.png", "A 57038-2023")</f>
        <v/>
      </c>
      <c r="V68">
        <f>HYPERLINK("https://klasma.github.io/Logging_0884/klagomål/A 57038-2023 FSC-klagomål.docx", "A 57038-2023")</f>
        <v/>
      </c>
      <c r="W68">
        <f>HYPERLINK("https://klasma.github.io/Logging_0884/klagomålsmail/A 57038-2023 FSC-klagomål mail.docx", "A 57038-2023")</f>
        <v/>
      </c>
      <c r="X68">
        <f>HYPERLINK("https://klasma.github.io/Logging_0884/tillsyn/A 57038-2023 tillsynsbegäran.docx", "A 57038-2023")</f>
        <v/>
      </c>
      <c r="Y68">
        <f>HYPERLINK("https://klasma.github.io/Logging_0884/tillsynsmail/A 57038-2023 tillsynsbegäran mail.docx", "A 57038-2023")</f>
        <v/>
      </c>
      <c r="Z68">
        <f>HYPERLINK("https://klasma.github.io/Logging_0884/fåglar/A 57038-2023 prioriterade fågelarter.docx", "A 57038-2023")</f>
        <v/>
      </c>
    </row>
    <row r="69" ht="15" customHeight="1">
      <c r="A69" t="inlineStr">
        <is>
          <t>A 4359-2024</t>
        </is>
      </c>
      <c r="B69" s="1" t="n">
        <v>45325</v>
      </c>
      <c r="C69" s="1" t="n">
        <v>45665</v>
      </c>
      <c r="D69" t="inlineStr">
        <is>
          <t>KALMAR LÄN</t>
        </is>
      </c>
      <c r="E69" t="inlineStr">
        <is>
          <t>VIMMERBY</t>
        </is>
      </c>
      <c r="G69" t="n">
        <v>3.6</v>
      </c>
      <c r="H69" t="n">
        <v>0</v>
      </c>
      <c r="I69" t="n">
        <v>0</v>
      </c>
      <c r="J69" t="n">
        <v>1</v>
      </c>
      <c r="K69" t="n">
        <v>0</v>
      </c>
      <c r="L69" t="n">
        <v>0</v>
      </c>
      <c r="M69" t="n">
        <v>0</v>
      </c>
      <c r="N69" t="n">
        <v>0</v>
      </c>
      <c r="O69" t="n">
        <v>1</v>
      </c>
      <c r="P69" t="n">
        <v>0</v>
      </c>
      <c r="Q69" t="n">
        <v>1</v>
      </c>
      <c r="R69" s="2" t="inlineStr">
        <is>
          <t>Kandelabersvamp</t>
        </is>
      </c>
      <c r="S69">
        <f>HYPERLINK("https://klasma.github.io/Logging_0884/artfynd/A 4359-2024 artfynd.xlsx", "A 4359-2024")</f>
        <v/>
      </c>
      <c r="T69">
        <f>HYPERLINK("https://klasma.github.io/Logging_0884/kartor/A 4359-2024 karta.png", "A 4359-2024")</f>
        <v/>
      </c>
      <c r="V69">
        <f>HYPERLINK("https://klasma.github.io/Logging_0884/klagomål/A 4359-2024 FSC-klagomål.docx", "A 4359-2024")</f>
        <v/>
      </c>
      <c r="W69">
        <f>HYPERLINK("https://klasma.github.io/Logging_0884/klagomålsmail/A 4359-2024 FSC-klagomål mail.docx", "A 4359-2024")</f>
        <v/>
      </c>
      <c r="X69">
        <f>HYPERLINK("https://klasma.github.io/Logging_0884/tillsyn/A 4359-2024 tillsynsbegäran.docx", "A 4359-2024")</f>
        <v/>
      </c>
      <c r="Y69">
        <f>HYPERLINK("https://klasma.github.io/Logging_0884/tillsynsmail/A 4359-2024 tillsynsbegäran mail.docx", "A 4359-2024")</f>
        <v/>
      </c>
    </row>
    <row r="70" ht="15" customHeight="1">
      <c r="A70" t="inlineStr">
        <is>
          <t>A 10016-2024</t>
        </is>
      </c>
      <c r="B70" s="1" t="n">
        <v>45363</v>
      </c>
      <c r="C70" s="1" t="n">
        <v>45665</v>
      </c>
      <c r="D70" t="inlineStr">
        <is>
          <t>KALMAR LÄN</t>
        </is>
      </c>
      <c r="E70" t="inlineStr">
        <is>
          <t>VIMMERBY</t>
        </is>
      </c>
      <c r="G70" t="n">
        <v>1.5</v>
      </c>
      <c r="H70" t="n">
        <v>1</v>
      </c>
      <c r="I70" t="n">
        <v>0</v>
      </c>
      <c r="J70" t="n">
        <v>1</v>
      </c>
      <c r="K70" t="n">
        <v>0</v>
      </c>
      <c r="L70" t="n">
        <v>0</v>
      </c>
      <c r="M70" t="n">
        <v>0</v>
      </c>
      <c r="N70" t="n">
        <v>0</v>
      </c>
      <c r="O70" t="n">
        <v>1</v>
      </c>
      <c r="P70" t="n">
        <v>0</v>
      </c>
      <c r="Q70" t="n">
        <v>1</v>
      </c>
      <c r="R70" s="2" t="inlineStr">
        <is>
          <t>Röd skogslilja</t>
        </is>
      </c>
      <c r="S70">
        <f>HYPERLINK("https://klasma.github.io/Logging_0884/artfynd/A 10016-2024 artfynd.xlsx", "A 10016-2024")</f>
        <v/>
      </c>
      <c r="T70">
        <f>HYPERLINK("https://klasma.github.io/Logging_0884/kartor/A 10016-2024 karta.png", "A 10016-2024")</f>
        <v/>
      </c>
      <c r="V70">
        <f>HYPERLINK("https://klasma.github.io/Logging_0884/klagomål/A 10016-2024 FSC-klagomål.docx", "A 10016-2024")</f>
        <v/>
      </c>
      <c r="W70">
        <f>HYPERLINK("https://klasma.github.io/Logging_0884/klagomålsmail/A 10016-2024 FSC-klagomål mail.docx", "A 10016-2024")</f>
        <v/>
      </c>
      <c r="X70">
        <f>HYPERLINK("https://klasma.github.io/Logging_0884/tillsyn/A 10016-2024 tillsynsbegäran.docx", "A 10016-2024")</f>
        <v/>
      </c>
      <c r="Y70">
        <f>HYPERLINK("https://klasma.github.io/Logging_0884/tillsynsmail/A 10016-2024 tillsynsbegäran mail.docx", "A 10016-2024")</f>
        <v/>
      </c>
    </row>
    <row r="71" ht="15" customHeight="1">
      <c r="A71" t="inlineStr">
        <is>
          <t>A 15122-2024</t>
        </is>
      </c>
      <c r="B71" s="1" t="n">
        <v>45399</v>
      </c>
      <c r="C71" s="1" t="n">
        <v>45665</v>
      </c>
      <c r="D71" t="inlineStr">
        <is>
          <t>KALMAR LÄN</t>
        </is>
      </c>
      <c r="E71" t="inlineStr">
        <is>
          <t>VIMMERBY</t>
        </is>
      </c>
      <c r="G71" t="n">
        <v>1.7</v>
      </c>
      <c r="H71" t="n">
        <v>0</v>
      </c>
      <c r="I71" t="n">
        <v>0</v>
      </c>
      <c r="J71" t="n">
        <v>0</v>
      </c>
      <c r="K71" t="n">
        <v>1</v>
      </c>
      <c r="L71" t="n">
        <v>0</v>
      </c>
      <c r="M71" t="n">
        <v>0</v>
      </c>
      <c r="N71" t="n">
        <v>0</v>
      </c>
      <c r="O71" t="n">
        <v>1</v>
      </c>
      <c r="P71" t="n">
        <v>1</v>
      </c>
      <c r="Q71" t="n">
        <v>1</v>
      </c>
      <c r="R71" s="2" t="inlineStr">
        <is>
          <t>Sågfibbla</t>
        </is>
      </c>
      <c r="S71">
        <f>HYPERLINK("https://klasma.github.io/Logging_0884/artfynd/A 15122-2024 artfynd.xlsx", "A 15122-2024")</f>
        <v/>
      </c>
      <c r="T71">
        <f>HYPERLINK("https://klasma.github.io/Logging_0884/kartor/A 15122-2024 karta.png", "A 15122-2024")</f>
        <v/>
      </c>
      <c r="V71">
        <f>HYPERLINK("https://klasma.github.io/Logging_0884/klagomål/A 15122-2024 FSC-klagomål.docx", "A 15122-2024")</f>
        <v/>
      </c>
      <c r="W71">
        <f>HYPERLINK("https://klasma.github.io/Logging_0884/klagomålsmail/A 15122-2024 FSC-klagomål mail.docx", "A 15122-2024")</f>
        <v/>
      </c>
      <c r="X71">
        <f>HYPERLINK("https://klasma.github.io/Logging_0884/tillsyn/A 15122-2024 tillsynsbegäran.docx", "A 15122-2024")</f>
        <v/>
      </c>
      <c r="Y71">
        <f>HYPERLINK("https://klasma.github.io/Logging_0884/tillsynsmail/A 15122-2024 tillsynsbegäran mail.docx", "A 15122-2024")</f>
        <v/>
      </c>
    </row>
    <row r="72" ht="15" customHeight="1">
      <c r="A72" t="inlineStr">
        <is>
          <t>A 15627-2024</t>
        </is>
      </c>
      <c r="B72" s="1" t="n">
        <v>45402</v>
      </c>
      <c r="C72" s="1" t="n">
        <v>45665</v>
      </c>
      <c r="D72" t="inlineStr">
        <is>
          <t>KALMAR LÄN</t>
        </is>
      </c>
      <c r="E72" t="inlineStr">
        <is>
          <t>VIMMERBY</t>
        </is>
      </c>
      <c r="G72" t="n">
        <v>3.2</v>
      </c>
      <c r="H72" t="n">
        <v>1</v>
      </c>
      <c r="I72" t="n">
        <v>1</v>
      </c>
      <c r="J72" t="n">
        <v>0</v>
      </c>
      <c r="K72" t="n">
        <v>0</v>
      </c>
      <c r="L72" t="n">
        <v>0</v>
      </c>
      <c r="M72" t="n">
        <v>0</v>
      </c>
      <c r="N72" t="n">
        <v>0</v>
      </c>
      <c r="O72" t="n">
        <v>0</v>
      </c>
      <c r="P72" t="n">
        <v>0</v>
      </c>
      <c r="Q72" t="n">
        <v>1</v>
      </c>
      <c r="R72" s="2" t="inlineStr">
        <is>
          <t>Plattlummer</t>
        </is>
      </c>
      <c r="S72">
        <f>HYPERLINK("https://klasma.github.io/Logging_0884/artfynd/A 15627-2024 artfynd.xlsx", "A 15627-2024")</f>
        <v/>
      </c>
      <c r="T72">
        <f>HYPERLINK("https://klasma.github.io/Logging_0884/kartor/A 15627-2024 karta.png", "A 15627-2024")</f>
        <v/>
      </c>
      <c r="V72">
        <f>HYPERLINK("https://klasma.github.io/Logging_0884/klagomål/A 15627-2024 FSC-klagomål.docx", "A 15627-2024")</f>
        <v/>
      </c>
      <c r="W72">
        <f>HYPERLINK("https://klasma.github.io/Logging_0884/klagomålsmail/A 15627-2024 FSC-klagomål mail.docx", "A 15627-2024")</f>
        <v/>
      </c>
      <c r="X72">
        <f>HYPERLINK("https://klasma.github.io/Logging_0884/tillsyn/A 15627-2024 tillsynsbegäran.docx", "A 15627-2024")</f>
        <v/>
      </c>
      <c r="Y72">
        <f>HYPERLINK("https://klasma.github.io/Logging_0884/tillsynsmail/A 15627-2024 tillsynsbegäran mail.docx", "A 15627-2024")</f>
        <v/>
      </c>
    </row>
    <row r="73" ht="15" customHeight="1">
      <c r="A73" t="inlineStr">
        <is>
          <t>A 37199-2024</t>
        </is>
      </c>
      <c r="B73" s="1" t="n">
        <v>45539</v>
      </c>
      <c r="C73" s="1" t="n">
        <v>45665</v>
      </c>
      <c r="D73" t="inlineStr">
        <is>
          <t>KALMAR LÄN</t>
        </is>
      </c>
      <c r="E73" t="inlineStr">
        <is>
          <t>VIMMERBY</t>
        </is>
      </c>
      <c r="G73" t="n">
        <v>0.6</v>
      </c>
      <c r="H73" t="n">
        <v>1</v>
      </c>
      <c r="I73" t="n">
        <v>1</v>
      </c>
      <c r="J73" t="n">
        <v>0</v>
      </c>
      <c r="K73" t="n">
        <v>0</v>
      </c>
      <c r="L73" t="n">
        <v>0</v>
      </c>
      <c r="M73" t="n">
        <v>0</v>
      </c>
      <c r="N73" t="n">
        <v>0</v>
      </c>
      <c r="O73" t="n">
        <v>0</v>
      </c>
      <c r="P73" t="n">
        <v>0</v>
      </c>
      <c r="Q73" t="n">
        <v>1</v>
      </c>
      <c r="R73" s="2" t="inlineStr">
        <is>
          <t>Purpurknipprot</t>
        </is>
      </c>
      <c r="S73">
        <f>HYPERLINK("https://klasma.github.io/Logging_0884/artfynd/A 37199-2024 artfynd.xlsx", "A 37199-2024")</f>
        <v/>
      </c>
      <c r="T73">
        <f>HYPERLINK("https://klasma.github.io/Logging_0884/kartor/A 37199-2024 karta.png", "A 37199-2024")</f>
        <v/>
      </c>
      <c r="V73">
        <f>HYPERLINK("https://klasma.github.io/Logging_0884/klagomål/A 37199-2024 FSC-klagomål.docx", "A 37199-2024")</f>
        <v/>
      </c>
      <c r="W73">
        <f>HYPERLINK("https://klasma.github.io/Logging_0884/klagomålsmail/A 37199-2024 FSC-klagomål mail.docx", "A 37199-2024")</f>
        <v/>
      </c>
      <c r="X73">
        <f>HYPERLINK("https://klasma.github.io/Logging_0884/tillsyn/A 37199-2024 tillsynsbegäran.docx", "A 37199-2024")</f>
        <v/>
      </c>
      <c r="Y73">
        <f>HYPERLINK("https://klasma.github.io/Logging_0884/tillsynsmail/A 37199-2024 tillsynsbegäran mail.docx", "A 37199-2024")</f>
        <v/>
      </c>
    </row>
    <row r="74" ht="15" customHeight="1">
      <c r="A74" t="inlineStr">
        <is>
          <t>A 38208-2024</t>
        </is>
      </c>
      <c r="B74" s="1" t="n">
        <v>45545</v>
      </c>
      <c r="C74" s="1" t="n">
        <v>45665</v>
      </c>
      <c r="D74" t="inlineStr">
        <is>
          <t>KALMAR LÄN</t>
        </is>
      </c>
      <c r="E74" t="inlineStr">
        <is>
          <t>VIMMERBY</t>
        </is>
      </c>
      <c r="G74" t="n">
        <v>5.2</v>
      </c>
      <c r="H74" t="n">
        <v>0</v>
      </c>
      <c r="I74" t="n">
        <v>0</v>
      </c>
      <c r="J74" t="n">
        <v>1</v>
      </c>
      <c r="K74" t="n">
        <v>0</v>
      </c>
      <c r="L74" t="n">
        <v>0</v>
      </c>
      <c r="M74" t="n">
        <v>0</v>
      </c>
      <c r="N74" t="n">
        <v>0</v>
      </c>
      <c r="O74" t="n">
        <v>1</v>
      </c>
      <c r="P74" t="n">
        <v>0</v>
      </c>
      <c r="Q74" t="n">
        <v>1</v>
      </c>
      <c r="R74" s="2" t="inlineStr">
        <is>
          <t>Solvända</t>
        </is>
      </c>
      <c r="S74">
        <f>HYPERLINK("https://klasma.github.io/Logging_0884/artfynd/A 38208-2024 artfynd.xlsx", "A 38208-2024")</f>
        <v/>
      </c>
      <c r="T74">
        <f>HYPERLINK("https://klasma.github.io/Logging_0884/kartor/A 38208-2024 karta.png", "A 38208-2024")</f>
        <v/>
      </c>
      <c r="V74">
        <f>HYPERLINK("https://klasma.github.io/Logging_0884/klagomål/A 38208-2024 FSC-klagomål.docx", "A 38208-2024")</f>
        <v/>
      </c>
      <c r="W74">
        <f>HYPERLINK("https://klasma.github.io/Logging_0884/klagomålsmail/A 38208-2024 FSC-klagomål mail.docx", "A 38208-2024")</f>
        <v/>
      </c>
      <c r="X74">
        <f>HYPERLINK("https://klasma.github.io/Logging_0884/tillsyn/A 38208-2024 tillsynsbegäran.docx", "A 38208-2024")</f>
        <v/>
      </c>
      <c r="Y74">
        <f>HYPERLINK("https://klasma.github.io/Logging_0884/tillsynsmail/A 38208-2024 tillsynsbegäran mail.docx", "A 38208-2024")</f>
        <v/>
      </c>
    </row>
    <row r="75" ht="15" customHeight="1">
      <c r="A75" t="inlineStr">
        <is>
          <t>A 44684-2024</t>
        </is>
      </c>
      <c r="B75" s="1" t="n">
        <v>45574</v>
      </c>
      <c r="C75" s="1" t="n">
        <v>45665</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44515-2024</t>
        </is>
      </c>
      <c r="B76" s="1" t="n">
        <v>45574</v>
      </c>
      <c r="C76" s="1" t="n">
        <v>45665</v>
      </c>
      <c r="D76" t="inlineStr">
        <is>
          <t>KALMAR LÄN</t>
        </is>
      </c>
      <c r="E76" t="inlineStr">
        <is>
          <t>VIMMERBY</t>
        </is>
      </c>
      <c r="G76" t="n">
        <v>1.4</v>
      </c>
      <c r="H76" t="n">
        <v>1</v>
      </c>
      <c r="I76" t="n">
        <v>0</v>
      </c>
      <c r="J76" t="n">
        <v>0</v>
      </c>
      <c r="K76" t="n">
        <v>1</v>
      </c>
      <c r="L76" t="n">
        <v>0</v>
      </c>
      <c r="M76" t="n">
        <v>0</v>
      </c>
      <c r="N76" t="n">
        <v>0</v>
      </c>
      <c r="O76" t="n">
        <v>1</v>
      </c>
      <c r="P76" t="n">
        <v>1</v>
      </c>
      <c r="Q76" t="n">
        <v>1</v>
      </c>
      <c r="R76" s="2" t="inlineStr">
        <is>
          <t>Knärot</t>
        </is>
      </c>
      <c r="S76">
        <f>HYPERLINK("https://klasma.github.io/Logging_0884/artfynd/A 44515-2024 artfynd.xlsx", "A 44515-2024")</f>
        <v/>
      </c>
      <c r="T76">
        <f>HYPERLINK("https://klasma.github.io/Logging_0884/kartor/A 44515-2024 karta.png", "A 44515-2024")</f>
        <v/>
      </c>
      <c r="U76">
        <f>HYPERLINK("https://klasma.github.io/Logging_0884/knärot/A 44515-2024 karta knärot.png", "A 44515-2024")</f>
        <v/>
      </c>
      <c r="V76">
        <f>HYPERLINK("https://klasma.github.io/Logging_0884/klagomål/A 44515-2024 FSC-klagomål.docx", "A 44515-2024")</f>
        <v/>
      </c>
      <c r="W76">
        <f>HYPERLINK("https://klasma.github.io/Logging_0884/klagomålsmail/A 44515-2024 FSC-klagomål mail.docx", "A 44515-2024")</f>
        <v/>
      </c>
      <c r="X76">
        <f>HYPERLINK("https://klasma.github.io/Logging_0884/tillsyn/A 44515-2024 tillsynsbegäran.docx", "A 44515-2024")</f>
        <v/>
      </c>
      <c r="Y76">
        <f>HYPERLINK("https://klasma.github.io/Logging_0884/tillsynsmail/A 44515-2024 tillsynsbegäran mail.docx", "A 44515-2024")</f>
        <v/>
      </c>
    </row>
    <row r="77" ht="15" customHeight="1">
      <c r="A77" t="inlineStr">
        <is>
          <t>A 44723-2024</t>
        </is>
      </c>
      <c r="B77" s="1" t="n">
        <v>45574</v>
      </c>
      <c r="C77" s="1" t="n">
        <v>45665</v>
      </c>
      <c r="D77" t="inlineStr">
        <is>
          <t>KALMAR LÄN</t>
        </is>
      </c>
      <c r="E77" t="inlineStr">
        <is>
          <t>VIMMERBY</t>
        </is>
      </c>
      <c r="G77" t="n">
        <v>6.9</v>
      </c>
      <c r="H77" t="n">
        <v>0</v>
      </c>
      <c r="I77" t="n">
        <v>1</v>
      </c>
      <c r="J77" t="n">
        <v>0</v>
      </c>
      <c r="K77" t="n">
        <v>0</v>
      </c>
      <c r="L77" t="n">
        <v>0</v>
      </c>
      <c r="M77" t="n">
        <v>0</v>
      </c>
      <c r="N77" t="n">
        <v>0</v>
      </c>
      <c r="O77" t="n">
        <v>0</v>
      </c>
      <c r="P77" t="n">
        <v>0</v>
      </c>
      <c r="Q77" t="n">
        <v>1</v>
      </c>
      <c r="R77" s="2" t="inlineStr">
        <is>
          <t>Dropptaggsvamp</t>
        </is>
      </c>
      <c r="S77">
        <f>HYPERLINK("https://klasma.github.io/Logging_0884/artfynd/A 44723-2024 artfynd.xlsx", "A 44723-2024")</f>
        <v/>
      </c>
      <c r="T77">
        <f>HYPERLINK("https://klasma.github.io/Logging_0884/kartor/A 44723-2024 karta.png", "A 44723-2024")</f>
        <v/>
      </c>
      <c r="V77">
        <f>HYPERLINK("https://klasma.github.io/Logging_0884/klagomål/A 44723-2024 FSC-klagomål.docx", "A 44723-2024")</f>
        <v/>
      </c>
      <c r="W77">
        <f>HYPERLINK("https://klasma.github.io/Logging_0884/klagomålsmail/A 44723-2024 FSC-klagomål mail.docx", "A 44723-2024")</f>
        <v/>
      </c>
      <c r="X77">
        <f>HYPERLINK("https://klasma.github.io/Logging_0884/tillsyn/A 44723-2024 tillsynsbegäran.docx", "A 44723-2024")</f>
        <v/>
      </c>
      <c r="Y77">
        <f>HYPERLINK("https://klasma.github.io/Logging_0884/tillsynsmail/A 44723-2024 tillsynsbegäran mail.docx", "A 44723-2024")</f>
        <v/>
      </c>
    </row>
    <row r="78" ht="15" customHeight="1">
      <c r="A78" t="inlineStr">
        <is>
          <t>A 59343-2024</t>
        </is>
      </c>
      <c r="B78" s="1" t="n">
        <v>45637</v>
      </c>
      <c r="C78" s="1" t="n">
        <v>45665</v>
      </c>
      <c r="D78" t="inlineStr">
        <is>
          <t>KALMAR LÄN</t>
        </is>
      </c>
      <c r="E78" t="inlineStr">
        <is>
          <t>VIMMERBY</t>
        </is>
      </c>
      <c r="G78" t="n">
        <v>3.5</v>
      </c>
      <c r="H78" t="n">
        <v>0</v>
      </c>
      <c r="I78" t="n">
        <v>1</v>
      </c>
      <c r="J78" t="n">
        <v>0</v>
      </c>
      <c r="K78" t="n">
        <v>0</v>
      </c>
      <c r="L78" t="n">
        <v>0</v>
      </c>
      <c r="M78" t="n">
        <v>0</v>
      </c>
      <c r="N78" t="n">
        <v>0</v>
      </c>
      <c r="O78" t="n">
        <v>0</v>
      </c>
      <c r="P78" t="n">
        <v>0</v>
      </c>
      <c r="Q78" t="n">
        <v>1</v>
      </c>
      <c r="R78" s="2" t="inlineStr">
        <is>
          <t>Vårärt</t>
        </is>
      </c>
      <c r="S78">
        <f>HYPERLINK("https://klasma.github.io/Logging_0884/artfynd/A 59343-2024 artfynd.xlsx", "A 59343-2024")</f>
        <v/>
      </c>
      <c r="T78">
        <f>HYPERLINK("https://klasma.github.io/Logging_0884/kartor/A 59343-2024 karta.png", "A 59343-2024")</f>
        <v/>
      </c>
      <c r="V78">
        <f>HYPERLINK("https://klasma.github.io/Logging_0884/klagomål/A 59343-2024 FSC-klagomål.docx", "A 59343-2024")</f>
        <v/>
      </c>
      <c r="W78">
        <f>HYPERLINK("https://klasma.github.io/Logging_0884/klagomålsmail/A 59343-2024 FSC-klagomål mail.docx", "A 59343-2024")</f>
        <v/>
      </c>
      <c r="X78">
        <f>HYPERLINK("https://klasma.github.io/Logging_0884/tillsyn/A 59343-2024 tillsynsbegäran.docx", "A 59343-2024")</f>
        <v/>
      </c>
      <c r="Y78">
        <f>HYPERLINK("https://klasma.github.io/Logging_0884/tillsynsmail/A 59343-2024 tillsynsbegäran mail.docx", "A 59343-2024")</f>
        <v/>
      </c>
    </row>
    <row r="79" ht="15" customHeight="1">
      <c r="A79" t="inlineStr">
        <is>
          <t>A 61860-2024</t>
        </is>
      </c>
      <c r="B79" s="1" t="n">
        <v>45649</v>
      </c>
      <c r="C79" s="1" t="n">
        <v>45665</v>
      </c>
      <c r="D79" t="inlineStr">
        <is>
          <t>KALMAR LÄN</t>
        </is>
      </c>
      <c r="E79" t="inlineStr">
        <is>
          <t>VIMMERBY</t>
        </is>
      </c>
      <c r="G79" t="n">
        <v>4.4</v>
      </c>
      <c r="H79" t="n">
        <v>1</v>
      </c>
      <c r="I79" t="n">
        <v>0</v>
      </c>
      <c r="J79" t="n">
        <v>0</v>
      </c>
      <c r="K79" t="n">
        <v>1</v>
      </c>
      <c r="L79" t="n">
        <v>0</v>
      </c>
      <c r="M79" t="n">
        <v>0</v>
      </c>
      <c r="N79" t="n">
        <v>0</v>
      </c>
      <c r="O79" t="n">
        <v>1</v>
      </c>
      <c r="P79" t="n">
        <v>1</v>
      </c>
      <c r="Q79" t="n">
        <v>1</v>
      </c>
      <c r="R79" s="2" t="inlineStr">
        <is>
          <t>Knärot</t>
        </is>
      </c>
      <c r="S79">
        <f>HYPERLINK("https://klasma.github.io/Logging_0884/artfynd/A 61860-2024 artfynd.xlsx", "A 61860-2024")</f>
        <v/>
      </c>
      <c r="T79">
        <f>HYPERLINK("https://klasma.github.io/Logging_0884/kartor/A 61860-2024 karta.png", "A 61860-2024")</f>
        <v/>
      </c>
      <c r="U79">
        <f>HYPERLINK("https://klasma.github.io/Logging_0884/knärot/A 61860-2024 karta knärot.png", "A 61860-2024")</f>
        <v/>
      </c>
      <c r="V79">
        <f>HYPERLINK("https://klasma.github.io/Logging_0884/klagomål/A 61860-2024 FSC-klagomål.docx", "A 61860-2024")</f>
        <v/>
      </c>
      <c r="W79">
        <f>HYPERLINK("https://klasma.github.io/Logging_0884/klagomålsmail/A 61860-2024 FSC-klagomål mail.docx", "A 61860-2024")</f>
        <v/>
      </c>
      <c r="X79">
        <f>HYPERLINK("https://klasma.github.io/Logging_0884/tillsyn/A 61860-2024 tillsynsbegäran.docx", "A 61860-2024")</f>
        <v/>
      </c>
      <c r="Y79">
        <f>HYPERLINK("https://klasma.github.io/Logging_0884/tillsynsmail/A 61860-2024 tillsynsbegäran mail.docx", "A 61860-2024")</f>
        <v/>
      </c>
    </row>
    <row r="80" ht="15" customHeight="1">
      <c r="A80" t="inlineStr">
        <is>
          <t>A 667-2025</t>
        </is>
      </c>
      <c r="B80" s="1" t="n">
        <v>45664</v>
      </c>
      <c r="C80" s="1" t="n">
        <v>45665</v>
      </c>
      <c r="D80" t="inlineStr">
        <is>
          <t>KALMAR LÄN</t>
        </is>
      </c>
      <c r="E80" t="inlineStr">
        <is>
          <t>VIMMERBY</t>
        </is>
      </c>
      <c r="G80" t="n">
        <v>4.4</v>
      </c>
      <c r="H80" t="n">
        <v>0</v>
      </c>
      <c r="I80" t="n">
        <v>0</v>
      </c>
      <c r="J80" t="n">
        <v>1</v>
      </c>
      <c r="K80" t="n">
        <v>0</v>
      </c>
      <c r="L80" t="n">
        <v>0</v>
      </c>
      <c r="M80" t="n">
        <v>0</v>
      </c>
      <c r="N80" t="n">
        <v>0</v>
      </c>
      <c r="O80" t="n">
        <v>1</v>
      </c>
      <c r="P80" t="n">
        <v>0</v>
      </c>
      <c r="Q80" t="n">
        <v>1</v>
      </c>
      <c r="R80" s="2" t="inlineStr">
        <is>
          <t>Tallticka</t>
        </is>
      </c>
      <c r="S80">
        <f>HYPERLINK("https://klasma.github.io/Logging_0884/artfynd/A 667-2025 artfynd.xlsx", "A 667-2025")</f>
        <v/>
      </c>
      <c r="T80">
        <f>HYPERLINK("https://klasma.github.io/Logging_0884/kartor/A 667-2025 karta.png", "A 667-2025")</f>
        <v/>
      </c>
      <c r="V80">
        <f>HYPERLINK("https://klasma.github.io/Logging_0884/klagomål/A 667-2025 FSC-klagomål.docx", "A 667-2025")</f>
        <v/>
      </c>
      <c r="W80">
        <f>HYPERLINK("https://klasma.github.io/Logging_0884/klagomålsmail/A 667-2025 FSC-klagomål mail.docx", "A 667-2025")</f>
        <v/>
      </c>
      <c r="X80">
        <f>HYPERLINK("https://klasma.github.io/Logging_0884/tillsyn/A 667-2025 tillsynsbegäran.docx", "A 667-2025")</f>
        <v/>
      </c>
      <c r="Y80">
        <f>HYPERLINK("https://klasma.github.io/Logging_0884/tillsynsmail/A 667-2025 tillsynsbegäran mail.docx", "A 667-2025")</f>
        <v/>
      </c>
    </row>
    <row r="81" ht="15" customHeight="1">
      <c r="A81" t="inlineStr">
        <is>
          <t>A 18658-2019</t>
        </is>
      </c>
      <c r="B81" s="1" t="n">
        <v>43559</v>
      </c>
      <c r="C81" s="1" t="n">
        <v>45665</v>
      </c>
      <c r="D81" t="inlineStr">
        <is>
          <t>KALMAR LÄN</t>
        </is>
      </c>
      <c r="E81" t="inlineStr">
        <is>
          <t>VIMMERBY</t>
        </is>
      </c>
      <c r="G81" t="n">
        <v>2.5</v>
      </c>
      <c r="H81" t="n">
        <v>0</v>
      </c>
      <c r="I81" t="n">
        <v>0</v>
      </c>
      <c r="J81" t="n">
        <v>0</v>
      </c>
      <c r="K81" t="n">
        <v>0</v>
      </c>
      <c r="L81" t="n">
        <v>0</v>
      </c>
      <c r="M81" t="n">
        <v>0</v>
      </c>
      <c r="N81" t="n">
        <v>0</v>
      </c>
      <c r="O81" t="n">
        <v>0</v>
      </c>
      <c r="P81" t="n">
        <v>0</v>
      </c>
      <c r="Q81" t="n">
        <v>0</v>
      </c>
      <c r="R81" s="2" t="inlineStr"/>
    </row>
    <row r="82" ht="15" customHeight="1">
      <c r="A82" t="inlineStr">
        <is>
          <t>A 18656-2019</t>
        </is>
      </c>
      <c r="B82" s="1" t="n">
        <v>43559</v>
      </c>
      <c r="C82" s="1" t="n">
        <v>45665</v>
      </c>
      <c r="D82" t="inlineStr">
        <is>
          <t>KALMAR LÄN</t>
        </is>
      </c>
      <c r="E82" t="inlineStr">
        <is>
          <t>VIMMERBY</t>
        </is>
      </c>
      <c r="G82" t="n">
        <v>2.1</v>
      </c>
      <c r="H82" t="n">
        <v>0</v>
      </c>
      <c r="I82" t="n">
        <v>0</v>
      </c>
      <c r="J82" t="n">
        <v>0</v>
      </c>
      <c r="K82" t="n">
        <v>0</v>
      </c>
      <c r="L82" t="n">
        <v>0</v>
      </c>
      <c r="M82" t="n">
        <v>0</v>
      </c>
      <c r="N82" t="n">
        <v>0</v>
      </c>
      <c r="O82" t="n">
        <v>0</v>
      </c>
      <c r="P82" t="n">
        <v>0</v>
      </c>
      <c r="Q82" t="n">
        <v>0</v>
      </c>
      <c r="R82" s="2" t="inlineStr"/>
    </row>
    <row r="83" ht="15" customHeight="1">
      <c r="A83" t="inlineStr">
        <is>
          <t>A 18755-2019</t>
        </is>
      </c>
      <c r="B83" s="1" t="n">
        <v>43560</v>
      </c>
      <c r="C83" s="1" t="n">
        <v>45665</v>
      </c>
      <c r="D83" t="inlineStr">
        <is>
          <t>KALMAR LÄN</t>
        </is>
      </c>
      <c r="E83" t="inlineStr">
        <is>
          <t>VIMMERBY</t>
        </is>
      </c>
      <c r="G83" t="n">
        <v>1.6</v>
      </c>
      <c r="H83" t="n">
        <v>0</v>
      </c>
      <c r="I83" t="n">
        <v>0</v>
      </c>
      <c r="J83" t="n">
        <v>0</v>
      </c>
      <c r="K83" t="n">
        <v>0</v>
      </c>
      <c r="L83" t="n">
        <v>0</v>
      </c>
      <c r="M83" t="n">
        <v>0</v>
      </c>
      <c r="N83" t="n">
        <v>0</v>
      </c>
      <c r="O83" t="n">
        <v>0</v>
      </c>
      <c r="P83" t="n">
        <v>0</v>
      </c>
      <c r="Q83" t="n">
        <v>0</v>
      </c>
      <c r="R83" s="2" t="inlineStr"/>
    </row>
    <row r="84" ht="15" customHeight="1">
      <c r="A84" t="inlineStr">
        <is>
          <t>A 19057-2019</t>
        </is>
      </c>
      <c r="B84" s="1" t="n">
        <v>43563</v>
      </c>
      <c r="C84" s="1" t="n">
        <v>45665</v>
      </c>
      <c r="D84" t="inlineStr">
        <is>
          <t>KALMAR LÄN</t>
        </is>
      </c>
      <c r="E84" t="inlineStr">
        <is>
          <t>VIMMERBY</t>
        </is>
      </c>
      <c r="G84" t="n">
        <v>10.1</v>
      </c>
      <c r="H84" t="n">
        <v>0</v>
      </c>
      <c r="I84" t="n">
        <v>0</v>
      </c>
      <c r="J84" t="n">
        <v>0</v>
      </c>
      <c r="K84" t="n">
        <v>0</v>
      </c>
      <c r="L84" t="n">
        <v>0</v>
      </c>
      <c r="M84" t="n">
        <v>0</v>
      </c>
      <c r="N84" t="n">
        <v>0</v>
      </c>
      <c r="O84" t="n">
        <v>0</v>
      </c>
      <c r="P84" t="n">
        <v>0</v>
      </c>
      <c r="Q84" t="n">
        <v>0</v>
      </c>
      <c r="R84" s="2" t="inlineStr"/>
    </row>
    <row r="85" ht="15" customHeight="1">
      <c r="A85" t="inlineStr">
        <is>
          <t>A 19056-2019</t>
        </is>
      </c>
      <c r="B85" s="1" t="n">
        <v>43563</v>
      </c>
      <c r="C85" s="1" t="n">
        <v>45665</v>
      </c>
      <c r="D85" t="inlineStr">
        <is>
          <t>KALMAR LÄN</t>
        </is>
      </c>
      <c r="E85" t="inlineStr">
        <is>
          <t>VIMMERBY</t>
        </is>
      </c>
      <c r="G85" t="n">
        <v>3.2</v>
      </c>
      <c r="H85" t="n">
        <v>0</v>
      </c>
      <c r="I85" t="n">
        <v>0</v>
      </c>
      <c r="J85" t="n">
        <v>0</v>
      </c>
      <c r="K85" t="n">
        <v>0</v>
      </c>
      <c r="L85" t="n">
        <v>0</v>
      </c>
      <c r="M85" t="n">
        <v>0</v>
      </c>
      <c r="N85" t="n">
        <v>0</v>
      </c>
      <c r="O85" t="n">
        <v>0</v>
      </c>
      <c r="P85" t="n">
        <v>0</v>
      </c>
      <c r="Q85" t="n">
        <v>0</v>
      </c>
      <c r="R85" s="2" t="inlineStr"/>
    </row>
    <row r="86" ht="15" customHeight="1">
      <c r="A86" t="inlineStr">
        <is>
          <t>A 19054-2019</t>
        </is>
      </c>
      <c r="B86" s="1" t="n">
        <v>43563</v>
      </c>
      <c r="C86" s="1" t="n">
        <v>45665</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19616-2019</t>
        </is>
      </c>
      <c r="B87" s="1" t="n">
        <v>43566</v>
      </c>
      <c r="C87" s="1" t="n">
        <v>45665</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19632-2019</t>
        </is>
      </c>
      <c r="B88" s="1" t="n">
        <v>43566</v>
      </c>
      <c r="C88" s="1" t="n">
        <v>45665</v>
      </c>
      <c r="D88" t="inlineStr">
        <is>
          <t>KALMAR LÄN</t>
        </is>
      </c>
      <c r="E88" t="inlineStr">
        <is>
          <t>VIMMERBY</t>
        </is>
      </c>
      <c r="G88" t="n">
        <v>4.1</v>
      </c>
      <c r="H88" t="n">
        <v>0</v>
      </c>
      <c r="I88" t="n">
        <v>0</v>
      </c>
      <c r="J88" t="n">
        <v>0</v>
      </c>
      <c r="K88" t="n">
        <v>0</v>
      </c>
      <c r="L88" t="n">
        <v>0</v>
      </c>
      <c r="M88" t="n">
        <v>0</v>
      </c>
      <c r="N88" t="n">
        <v>0</v>
      </c>
      <c r="O88" t="n">
        <v>0</v>
      </c>
      <c r="P88" t="n">
        <v>0</v>
      </c>
      <c r="Q88" t="n">
        <v>0</v>
      </c>
      <c r="R88" s="2" t="inlineStr"/>
    </row>
    <row r="89" ht="15" customHeight="1">
      <c r="A89" t="inlineStr">
        <is>
          <t>A 19899-2019</t>
        </is>
      </c>
      <c r="B89" s="1" t="n">
        <v>43567</v>
      </c>
      <c r="C89" s="1" t="n">
        <v>45665</v>
      </c>
      <c r="D89" t="inlineStr">
        <is>
          <t>KALMAR LÄN</t>
        </is>
      </c>
      <c r="E89" t="inlineStr">
        <is>
          <t>VIMMERBY</t>
        </is>
      </c>
      <c r="F89" t="inlineStr">
        <is>
          <t>Övriga Aktiebolag</t>
        </is>
      </c>
      <c r="G89" t="n">
        <v>2.6</v>
      </c>
      <c r="H89" t="n">
        <v>0</v>
      </c>
      <c r="I89" t="n">
        <v>0</v>
      </c>
      <c r="J89" t="n">
        <v>0</v>
      </c>
      <c r="K89" t="n">
        <v>0</v>
      </c>
      <c r="L89" t="n">
        <v>0</v>
      </c>
      <c r="M89" t="n">
        <v>0</v>
      </c>
      <c r="N89" t="n">
        <v>0</v>
      </c>
      <c r="O89" t="n">
        <v>0</v>
      </c>
      <c r="P89" t="n">
        <v>0</v>
      </c>
      <c r="Q89" t="n">
        <v>0</v>
      </c>
      <c r="R89" s="2" t="inlineStr"/>
    </row>
    <row r="90" ht="15" customHeight="1">
      <c r="A90" t="inlineStr">
        <is>
          <t>A 20035-2019</t>
        </is>
      </c>
      <c r="B90" s="1" t="n">
        <v>43570</v>
      </c>
      <c r="C90" s="1" t="n">
        <v>45665</v>
      </c>
      <c r="D90" t="inlineStr">
        <is>
          <t>KALMAR LÄN</t>
        </is>
      </c>
      <c r="E90" t="inlineStr">
        <is>
          <t>VIMMERBY</t>
        </is>
      </c>
      <c r="G90" t="n">
        <v>1.5</v>
      </c>
      <c r="H90" t="n">
        <v>0</v>
      </c>
      <c r="I90" t="n">
        <v>0</v>
      </c>
      <c r="J90" t="n">
        <v>0</v>
      </c>
      <c r="K90" t="n">
        <v>0</v>
      </c>
      <c r="L90" t="n">
        <v>0</v>
      </c>
      <c r="M90" t="n">
        <v>0</v>
      </c>
      <c r="N90" t="n">
        <v>0</v>
      </c>
      <c r="O90" t="n">
        <v>0</v>
      </c>
      <c r="P90" t="n">
        <v>0</v>
      </c>
      <c r="Q90" t="n">
        <v>0</v>
      </c>
      <c r="R90" s="2" t="inlineStr"/>
    </row>
    <row r="91" ht="15" customHeight="1">
      <c r="A91" t="inlineStr">
        <is>
          <t>A 19983-2019</t>
        </is>
      </c>
      <c r="B91" s="1" t="n">
        <v>43570</v>
      </c>
      <c r="C91" s="1" t="n">
        <v>45665</v>
      </c>
      <c r="D91" t="inlineStr">
        <is>
          <t>KALMAR LÄN</t>
        </is>
      </c>
      <c r="E91" t="inlineStr">
        <is>
          <t>VIMMERBY</t>
        </is>
      </c>
      <c r="G91" t="n">
        <v>0.8</v>
      </c>
      <c r="H91" t="n">
        <v>0</v>
      </c>
      <c r="I91" t="n">
        <v>0</v>
      </c>
      <c r="J91" t="n">
        <v>0</v>
      </c>
      <c r="K91" t="n">
        <v>0</v>
      </c>
      <c r="L91" t="n">
        <v>0</v>
      </c>
      <c r="M91" t="n">
        <v>0</v>
      </c>
      <c r="N91" t="n">
        <v>0</v>
      </c>
      <c r="O91" t="n">
        <v>0</v>
      </c>
      <c r="P91" t="n">
        <v>0</v>
      </c>
      <c r="Q91" t="n">
        <v>0</v>
      </c>
      <c r="R91" s="2" t="inlineStr"/>
    </row>
    <row r="92" ht="15" customHeight="1">
      <c r="A92" t="inlineStr">
        <is>
          <t>A 20080-2019</t>
        </is>
      </c>
      <c r="B92" s="1" t="n">
        <v>43570</v>
      </c>
      <c r="C92" s="1" t="n">
        <v>45665</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20069-2019</t>
        </is>
      </c>
      <c r="B93" s="1" t="n">
        <v>43570</v>
      </c>
      <c r="C93" s="1" t="n">
        <v>45665</v>
      </c>
      <c r="D93" t="inlineStr">
        <is>
          <t>KALMAR LÄN</t>
        </is>
      </c>
      <c r="E93" t="inlineStr">
        <is>
          <t>VIMMERBY</t>
        </is>
      </c>
      <c r="G93" t="n">
        <v>4.9</v>
      </c>
      <c r="H93" t="n">
        <v>0</v>
      </c>
      <c r="I93" t="n">
        <v>0</v>
      </c>
      <c r="J93" t="n">
        <v>0</v>
      </c>
      <c r="K93" t="n">
        <v>0</v>
      </c>
      <c r="L93" t="n">
        <v>0</v>
      </c>
      <c r="M93" t="n">
        <v>0</v>
      </c>
      <c r="N93" t="n">
        <v>0</v>
      </c>
      <c r="O93" t="n">
        <v>0</v>
      </c>
      <c r="P93" t="n">
        <v>0</v>
      </c>
      <c r="Q93" t="n">
        <v>0</v>
      </c>
      <c r="R93" s="2" t="inlineStr"/>
    </row>
    <row r="94" ht="15" customHeight="1">
      <c r="A94" t="inlineStr">
        <is>
          <t>A 20314-2019</t>
        </is>
      </c>
      <c r="B94" s="1" t="n">
        <v>43571</v>
      </c>
      <c r="C94" s="1" t="n">
        <v>45665</v>
      </c>
      <c r="D94" t="inlineStr">
        <is>
          <t>KALMAR LÄN</t>
        </is>
      </c>
      <c r="E94" t="inlineStr">
        <is>
          <t>VIMMERBY</t>
        </is>
      </c>
      <c r="G94" t="n">
        <v>2.2</v>
      </c>
      <c r="H94" t="n">
        <v>0</v>
      </c>
      <c r="I94" t="n">
        <v>0</v>
      </c>
      <c r="J94" t="n">
        <v>0</v>
      </c>
      <c r="K94" t="n">
        <v>0</v>
      </c>
      <c r="L94" t="n">
        <v>0</v>
      </c>
      <c r="M94" t="n">
        <v>0</v>
      </c>
      <c r="N94" t="n">
        <v>0</v>
      </c>
      <c r="O94" t="n">
        <v>0</v>
      </c>
      <c r="P94" t="n">
        <v>0</v>
      </c>
      <c r="Q94" t="n">
        <v>0</v>
      </c>
      <c r="R94" s="2" t="inlineStr"/>
    </row>
    <row r="95" ht="15" customHeight="1">
      <c r="A95" t="inlineStr">
        <is>
          <t>A 20312-2019</t>
        </is>
      </c>
      <c r="B95" s="1" t="n">
        <v>43571</v>
      </c>
      <c r="C95" s="1" t="n">
        <v>45665</v>
      </c>
      <c r="D95" t="inlineStr">
        <is>
          <t>KALMAR LÄN</t>
        </is>
      </c>
      <c r="E95" t="inlineStr">
        <is>
          <t>VIMMERBY</t>
        </is>
      </c>
      <c r="G95" t="n">
        <v>4.2</v>
      </c>
      <c r="H95" t="n">
        <v>0</v>
      </c>
      <c r="I95" t="n">
        <v>0</v>
      </c>
      <c r="J95" t="n">
        <v>0</v>
      </c>
      <c r="K95" t="n">
        <v>0</v>
      </c>
      <c r="L95" t="n">
        <v>0</v>
      </c>
      <c r="M95" t="n">
        <v>0</v>
      </c>
      <c r="N95" t="n">
        <v>0</v>
      </c>
      <c r="O95" t="n">
        <v>0</v>
      </c>
      <c r="P95" t="n">
        <v>0</v>
      </c>
      <c r="Q95" t="n">
        <v>0</v>
      </c>
      <c r="R95" s="2" t="inlineStr"/>
    </row>
    <row r="96" ht="15" customHeight="1">
      <c r="A96" t="inlineStr">
        <is>
          <t>A 20565-2019</t>
        </is>
      </c>
      <c r="B96" s="1" t="n">
        <v>43572</v>
      </c>
      <c r="C96" s="1" t="n">
        <v>45665</v>
      </c>
      <c r="D96" t="inlineStr">
        <is>
          <t>KALMAR LÄN</t>
        </is>
      </c>
      <c r="E96" t="inlineStr">
        <is>
          <t>VIMMERBY</t>
        </is>
      </c>
      <c r="G96" t="n">
        <v>5.5</v>
      </c>
      <c r="H96" t="n">
        <v>0</v>
      </c>
      <c r="I96" t="n">
        <v>0</v>
      </c>
      <c r="J96" t="n">
        <v>0</v>
      </c>
      <c r="K96" t="n">
        <v>0</v>
      </c>
      <c r="L96" t="n">
        <v>0</v>
      </c>
      <c r="M96" t="n">
        <v>0</v>
      </c>
      <c r="N96" t="n">
        <v>0</v>
      </c>
      <c r="O96" t="n">
        <v>0</v>
      </c>
      <c r="P96" t="n">
        <v>0</v>
      </c>
      <c r="Q96" t="n">
        <v>0</v>
      </c>
      <c r="R96" s="2" t="inlineStr"/>
    </row>
    <row r="97" ht="15" customHeight="1">
      <c r="A97" t="inlineStr">
        <is>
          <t>A 20856-2019</t>
        </is>
      </c>
      <c r="B97" s="1" t="n">
        <v>43578</v>
      </c>
      <c r="C97" s="1" t="n">
        <v>45665</v>
      </c>
      <c r="D97" t="inlineStr">
        <is>
          <t>KALMAR LÄN</t>
        </is>
      </c>
      <c r="E97" t="inlineStr">
        <is>
          <t>VIMMERBY</t>
        </is>
      </c>
      <c r="G97" t="n">
        <v>0.8</v>
      </c>
      <c r="H97" t="n">
        <v>0</v>
      </c>
      <c r="I97" t="n">
        <v>0</v>
      </c>
      <c r="J97" t="n">
        <v>0</v>
      </c>
      <c r="K97" t="n">
        <v>0</v>
      </c>
      <c r="L97" t="n">
        <v>0</v>
      </c>
      <c r="M97" t="n">
        <v>0</v>
      </c>
      <c r="N97" t="n">
        <v>0</v>
      </c>
      <c r="O97" t="n">
        <v>0</v>
      </c>
      <c r="P97" t="n">
        <v>0</v>
      </c>
      <c r="Q97" t="n">
        <v>0</v>
      </c>
      <c r="R97" s="2" t="inlineStr"/>
    </row>
    <row r="98" ht="15" customHeight="1">
      <c r="A98" t="inlineStr">
        <is>
          <t>A 21557-2019</t>
        </is>
      </c>
      <c r="B98" s="1" t="n">
        <v>43580</v>
      </c>
      <c r="C98" s="1" t="n">
        <v>45665</v>
      </c>
      <c r="D98" t="inlineStr">
        <is>
          <t>KALMAR LÄN</t>
        </is>
      </c>
      <c r="E98" t="inlineStr">
        <is>
          <t>VIMMERBY</t>
        </is>
      </c>
      <c r="G98" t="n">
        <v>13.8</v>
      </c>
      <c r="H98" t="n">
        <v>0</v>
      </c>
      <c r="I98" t="n">
        <v>0</v>
      </c>
      <c r="J98" t="n">
        <v>0</v>
      </c>
      <c r="K98" t="n">
        <v>0</v>
      </c>
      <c r="L98" t="n">
        <v>0</v>
      </c>
      <c r="M98" t="n">
        <v>0</v>
      </c>
      <c r="N98" t="n">
        <v>0</v>
      </c>
      <c r="O98" t="n">
        <v>0</v>
      </c>
      <c r="P98" t="n">
        <v>0</v>
      </c>
      <c r="Q98" t="n">
        <v>0</v>
      </c>
      <c r="R98" s="2" t="inlineStr"/>
    </row>
    <row r="99" ht="15" customHeight="1">
      <c r="A99" t="inlineStr">
        <is>
          <t>A 21500-2019</t>
        </is>
      </c>
      <c r="B99" s="1" t="n">
        <v>43580</v>
      </c>
      <c r="C99" s="1" t="n">
        <v>45665</v>
      </c>
      <c r="D99" t="inlineStr">
        <is>
          <t>KALMAR LÄN</t>
        </is>
      </c>
      <c r="E99" t="inlineStr">
        <is>
          <t>VIMMERBY</t>
        </is>
      </c>
      <c r="G99" t="n">
        <v>0.7</v>
      </c>
      <c r="H99" t="n">
        <v>0</v>
      </c>
      <c r="I99" t="n">
        <v>0</v>
      </c>
      <c r="J99" t="n">
        <v>0</v>
      </c>
      <c r="K99" t="n">
        <v>0</v>
      </c>
      <c r="L99" t="n">
        <v>0</v>
      </c>
      <c r="M99" t="n">
        <v>0</v>
      </c>
      <c r="N99" t="n">
        <v>0</v>
      </c>
      <c r="O99" t="n">
        <v>0</v>
      </c>
      <c r="P99" t="n">
        <v>0</v>
      </c>
      <c r="Q99" t="n">
        <v>0</v>
      </c>
      <c r="R99" s="2" t="inlineStr"/>
    </row>
    <row r="100" ht="15" customHeight="1">
      <c r="A100" t="inlineStr">
        <is>
          <t>A 21688-2019</t>
        </is>
      </c>
      <c r="B100" s="1" t="n">
        <v>43581</v>
      </c>
      <c r="C100" s="1" t="n">
        <v>45665</v>
      </c>
      <c r="D100" t="inlineStr">
        <is>
          <t>KALMAR LÄN</t>
        </is>
      </c>
      <c r="E100" t="inlineStr">
        <is>
          <t>VIMMERBY</t>
        </is>
      </c>
      <c r="G100" t="n">
        <v>1.2</v>
      </c>
      <c r="H100" t="n">
        <v>0</v>
      </c>
      <c r="I100" t="n">
        <v>0</v>
      </c>
      <c r="J100" t="n">
        <v>0</v>
      </c>
      <c r="K100" t="n">
        <v>0</v>
      </c>
      <c r="L100" t="n">
        <v>0</v>
      </c>
      <c r="M100" t="n">
        <v>0</v>
      </c>
      <c r="N100" t="n">
        <v>0</v>
      </c>
      <c r="O100" t="n">
        <v>0</v>
      </c>
      <c r="P100" t="n">
        <v>0</v>
      </c>
      <c r="Q100" t="n">
        <v>0</v>
      </c>
      <c r="R100" s="2" t="inlineStr"/>
    </row>
    <row r="101" ht="15" customHeight="1">
      <c r="A101" t="inlineStr">
        <is>
          <t>A 22372-2019</t>
        </is>
      </c>
      <c r="B101" s="1" t="n">
        <v>43587</v>
      </c>
      <c r="C101" s="1" t="n">
        <v>45665</v>
      </c>
      <c r="D101" t="inlineStr">
        <is>
          <t>KALMAR LÄN</t>
        </is>
      </c>
      <c r="E101" t="inlineStr">
        <is>
          <t>VIMMERBY</t>
        </is>
      </c>
      <c r="G101" t="n">
        <v>0.3</v>
      </c>
      <c r="H101" t="n">
        <v>0</v>
      </c>
      <c r="I101" t="n">
        <v>0</v>
      </c>
      <c r="J101" t="n">
        <v>0</v>
      </c>
      <c r="K101" t="n">
        <v>0</v>
      </c>
      <c r="L101" t="n">
        <v>0</v>
      </c>
      <c r="M101" t="n">
        <v>0</v>
      </c>
      <c r="N101" t="n">
        <v>0</v>
      </c>
      <c r="O101" t="n">
        <v>0</v>
      </c>
      <c r="P101" t="n">
        <v>0</v>
      </c>
      <c r="Q101" t="n">
        <v>0</v>
      </c>
      <c r="R101" s="2" t="inlineStr"/>
    </row>
    <row r="102" ht="15" customHeight="1">
      <c r="A102" t="inlineStr">
        <is>
          <t>A 22659-2019</t>
        </is>
      </c>
      <c r="B102" s="1" t="n">
        <v>43588</v>
      </c>
      <c r="C102" s="1" t="n">
        <v>45665</v>
      </c>
      <c r="D102" t="inlineStr">
        <is>
          <t>KALMAR LÄN</t>
        </is>
      </c>
      <c r="E102" t="inlineStr">
        <is>
          <t>VIMMERBY</t>
        </is>
      </c>
      <c r="G102" t="n">
        <v>3.5</v>
      </c>
      <c r="H102" t="n">
        <v>0</v>
      </c>
      <c r="I102" t="n">
        <v>0</v>
      </c>
      <c r="J102" t="n">
        <v>0</v>
      </c>
      <c r="K102" t="n">
        <v>0</v>
      </c>
      <c r="L102" t="n">
        <v>0</v>
      </c>
      <c r="M102" t="n">
        <v>0</v>
      </c>
      <c r="N102" t="n">
        <v>0</v>
      </c>
      <c r="O102" t="n">
        <v>0</v>
      </c>
      <c r="P102" t="n">
        <v>0</v>
      </c>
      <c r="Q102" t="n">
        <v>0</v>
      </c>
      <c r="R102" s="2" t="inlineStr"/>
    </row>
    <row r="103" ht="15" customHeight="1">
      <c r="A103" t="inlineStr">
        <is>
          <t>A 23498-2019</t>
        </is>
      </c>
      <c r="B103" s="1" t="n">
        <v>43593</v>
      </c>
      <c r="C103" s="1" t="n">
        <v>45665</v>
      </c>
      <c r="D103" t="inlineStr">
        <is>
          <t>KALMAR LÄN</t>
        </is>
      </c>
      <c r="E103" t="inlineStr">
        <is>
          <t>VIMMERBY</t>
        </is>
      </c>
      <c r="G103" t="n">
        <v>1.9</v>
      </c>
      <c r="H103" t="n">
        <v>0</v>
      </c>
      <c r="I103" t="n">
        <v>0</v>
      </c>
      <c r="J103" t="n">
        <v>0</v>
      </c>
      <c r="K103" t="n">
        <v>0</v>
      </c>
      <c r="L103" t="n">
        <v>0</v>
      </c>
      <c r="M103" t="n">
        <v>0</v>
      </c>
      <c r="N103" t="n">
        <v>0</v>
      </c>
      <c r="O103" t="n">
        <v>0</v>
      </c>
      <c r="P103" t="n">
        <v>0</v>
      </c>
      <c r="Q103" t="n">
        <v>0</v>
      </c>
      <c r="R103" s="2" t="inlineStr"/>
    </row>
    <row r="104" ht="15" customHeight="1">
      <c r="A104" t="inlineStr">
        <is>
          <t>A 24254-2019</t>
        </is>
      </c>
      <c r="B104" s="1" t="n">
        <v>43599</v>
      </c>
      <c r="C104" s="1" t="n">
        <v>45665</v>
      </c>
      <c r="D104" t="inlineStr">
        <is>
          <t>KALMAR LÄN</t>
        </is>
      </c>
      <c r="E104" t="inlineStr">
        <is>
          <t>VIMMERBY</t>
        </is>
      </c>
      <c r="G104" t="n">
        <v>1.7</v>
      </c>
      <c r="H104" t="n">
        <v>0</v>
      </c>
      <c r="I104" t="n">
        <v>0</v>
      </c>
      <c r="J104" t="n">
        <v>0</v>
      </c>
      <c r="K104" t="n">
        <v>0</v>
      </c>
      <c r="L104" t="n">
        <v>0</v>
      </c>
      <c r="M104" t="n">
        <v>0</v>
      </c>
      <c r="N104" t="n">
        <v>0</v>
      </c>
      <c r="O104" t="n">
        <v>0</v>
      </c>
      <c r="P104" t="n">
        <v>0</v>
      </c>
      <c r="Q104" t="n">
        <v>0</v>
      </c>
      <c r="R104" s="2" t="inlineStr"/>
    </row>
    <row r="105" ht="15" customHeight="1">
      <c r="A105" t="inlineStr">
        <is>
          <t>A 24937-2019</t>
        </is>
      </c>
      <c r="B105" s="1" t="n">
        <v>43602</v>
      </c>
      <c r="C105" s="1" t="n">
        <v>45665</v>
      </c>
      <c r="D105" t="inlineStr">
        <is>
          <t>KALMAR LÄN</t>
        </is>
      </c>
      <c r="E105" t="inlineStr">
        <is>
          <t>VIMMERBY</t>
        </is>
      </c>
      <c r="G105" t="n">
        <v>0.9</v>
      </c>
      <c r="H105" t="n">
        <v>0</v>
      </c>
      <c r="I105" t="n">
        <v>0</v>
      </c>
      <c r="J105" t="n">
        <v>0</v>
      </c>
      <c r="K105" t="n">
        <v>0</v>
      </c>
      <c r="L105" t="n">
        <v>0</v>
      </c>
      <c r="M105" t="n">
        <v>0</v>
      </c>
      <c r="N105" t="n">
        <v>0</v>
      </c>
      <c r="O105" t="n">
        <v>0</v>
      </c>
      <c r="P105" t="n">
        <v>0</v>
      </c>
      <c r="Q105" t="n">
        <v>0</v>
      </c>
      <c r="R105" s="2" t="inlineStr"/>
    </row>
    <row r="106" ht="15" customHeight="1">
      <c r="A106" t="inlineStr">
        <is>
          <t>A 26073-2019</t>
        </is>
      </c>
      <c r="B106" s="1" t="n">
        <v>43609</v>
      </c>
      <c r="C106" s="1" t="n">
        <v>45665</v>
      </c>
      <c r="D106" t="inlineStr">
        <is>
          <t>KALMAR LÄN</t>
        </is>
      </c>
      <c r="E106" t="inlineStr">
        <is>
          <t>VIMMERBY</t>
        </is>
      </c>
      <c r="G106" t="n">
        <v>0.4</v>
      </c>
      <c r="H106" t="n">
        <v>0</v>
      </c>
      <c r="I106" t="n">
        <v>0</v>
      </c>
      <c r="J106" t="n">
        <v>0</v>
      </c>
      <c r="K106" t="n">
        <v>0</v>
      </c>
      <c r="L106" t="n">
        <v>0</v>
      </c>
      <c r="M106" t="n">
        <v>0</v>
      </c>
      <c r="N106" t="n">
        <v>0</v>
      </c>
      <c r="O106" t="n">
        <v>0</v>
      </c>
      <c r="P106" t="n">
        <v>0</v>
      </c>
      <c r="Q106" t="n">
        <v>0</v>
      </c>
      <c r="R106" s="2" t="inlineStr"/>
    </row>
    <row r="107" ht="15" customHeight="1">
      <c r="A107" t="inlineStr">
        <is>
          <t>A 26660-2019</t>
        </is>
      </c>
      <c r="B107" s="1" t="n">
        <v>43613</v>
      </c>
      <c r="C107" s="1" t="n">
        <v>45665</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28013-2019</t>
        </is>
      </c>
      <c r="B108" s="1" t="n">
        <v>43621</v>
      </c>
      <c r="C108" s="1" t="n">
        <v>45665</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28348-2019</t>
        </is>
      </c>
      <c r="B109" s="1" t="n">
        <v>43624</v>
      </c>
      <c r="C109" s="1" t="n">
        <v>45665</v>
      </c>
      <c r="D109" t="inlineStr">
        <is>
          <t>KALMAR LÄN</t>
        </is>
      </c>
      <c r="E109" t="inlineStr">
        <is>
          <t>VIMMERBY</t>
        </is>
      </c>
      <c r="G109" t="n">
        <v>1</v>
      </c>
      <c r="H109" t="n">
        <v>0</v>
      </c>
      <c r="I109" t="n">
        <v>0</v>
      </c>
      <c r="J109" t="n">
        <v>0</v>
      </c>
      <c r="K109" t="n">
        <v>0</v>
      </c>
      <c r="L109" t="n">
        <v>0</v>
      </c>
      <c r="M109" t="n">
        <v>0</v>
      </c>
      <c r="N109" t="n">
        <v>0</v>
      </c>
      <c r="O109" t="n">
        <v>0</v>
      </c>
      <c r="P109" t="n">
        <v>0</v>
      </c>
      <c r="Q109" t="n">
        <v>0</v>
      </c>
      <c r="R109" s="2" t="inlineStr"/>
    </row>
    <row r="110" ht="15" customHeight="1">
      <c r="A110" t="inlineStr">
        <is>
          <t>A 28414-2019</t>
        </is>
      </c>
      <c r="B110" s="1" t="n">
        <v>43626</v>
      </c>
      <c r="C110" s="1" t="n">
        <v>45665</v>
      </c>
      <c r="D110" t="inlineStr">
        <is>
          <t>KALMAR LÄN</t>
        </is>
      </c>
      <c r="E110" t="inlineStr">
        <is>
          <t>VIMMERBY</t>
        </is>
      </c>
      <c r="G110" t="n">
        <v>1.4</v>
      </c>
      <c r="H110" t="n">
        <v>0</v>
      </c>
      <c r="I110" t="n">
        <v>0</v>
      </c>
      <c r="J110" t="n">
        <v>0</v>
      </c>
      <c r="K110" t="n">
        <v>0</v>
      </c>
      <c r="L110" t="n">
        <v>0</v>
      </c>
      <c r="M110" t="n">
        <v>0</v>
      </c>
      <c r="N110" t="n">
        <v>0</v>
      </c>
      <c r="O110" t="n">
        <v>0</v>
      </c>
      <c r="P110" t="n">
        <v>0</v>
      </c>
      <c r="Q110" t="n">
        <v>0</v>
      </c>
      <c r="R110" s="2" t="inlineStr"/>
    </row>
    <row r="111" ht="15" customHeight="1">
      <c r="A111" t="inlineStr">
        <is>
          <t>A 29004-2019</t>
        </is>
      </c>
      <c r="B111" s="1" t="n">
        <v>43628</v>
      </c>
      <c r="C111" s="1" t="n">
        <v>45665</v>
      </c>
      <c r="D111" t="inlineStr">
        <is>
          <t>KALMAR LÄN</t>
        </is>
      </c>
      <c r="E111" t="inlineStr">
        <is>
          <t>VIMMERBY</t>
        </is>
      </c>
      <c r="G111" t="n">
        <v>1.1</v>
      </c>
      <c r="H111" t="n">
        <v>0</v>
      </c>
      <c r="I111" t="n">
        <v>0</v>
      </c>
      <c r="J111" t="n">
        <v>0</v>
      </c>
      <c r="K111" t="n">
        <v>0</v>
      </c>
      <c r="L111" t="n">
        <v>0</v>
      </c>
      <c r="M111" t="n">
        <v>0</v>
      </c>
      <c r="N111" t="n">
        <v>0</v>
      </c>
      <c r="O111" t="n">
        <v>0</v>
      </c>
      <c r="P111" t="n">
        <v>0</v>
      </c>
      <c r="Q111" t="n">
        <v>0</v>
      </c>
      <c r="R111" s="2" t="inlineStr"/>
    </row>
    <row r="112" ht="15" customHeight="1">
      <c r="A112" t="inlineStr">
        <is>
          <t>A 29228-2019</t>
        </is>
      </c>
      <c r="B112" s="1" t="n">
        <v>43629</v>
      </c>
      <c r="C112" s="1" t="n">
        <v>45665</v>
      </c>
      <c r="D112" t="inlineStr">
        <is>
          <t>KALMAR LÄN</t>
        </is>
      </c>
      <c r="E112" t="inlineStr">
        <is>
          <t>VIMMERBY</t>
        </is>
      </c>
      <c r="G112" t="n">
        <v>3.5</v>
      </c>
      <c r="H112" t="n">
        <v>0</v>
      </c>
      <c r="I112" t="n">
        <v>0</v>
      </c>
      <c r="J112" t="n">
        <v>0</v>
      </c>
      <c r="K112" t="n">
        <v>0</v>
      </c>
      <c r="L112" t="n">
        <v>0</v>
      </c>
      <c r="M112" t="n">
        <v>0</v>
      </c>
      <c r="N112" t="n">
        <v>0</v>
      </c>
      <c r="O112" t="n">
        <v>0</v>
      </c>
      <c r="P112" t="n">
        <v>0</v>
      </c>
      <c r="Q112" t="n">
        <v>0</v>
      </c>
      <c r="R112" s="2" t="inlineStr"/>
    </row>
    <row r="113" ht="15" customHeight="1">
      <c r="A113" t="inlineStr">
        <is>
          <t>A 29408-2019</t>
        </is>
      </c>
      <c r="B113" s="1" t="n">
        <v>43629</v>
      </c>
      <c r="C113" s="1" t="n">
        <v>45665</v>
      </c>
      <c r="D113" t="inlineStr">
        <is>
          <t>KALMAR LÄN</t>
        </is>
      </c>
      <c r="E113" t="inlineStr">
        <is>
          <t>VIMMERBY</t>
        </is>
      </c>
      <c r="G113" t="n">
        <v>10.2</v>
      </c>
      <c r="H113" t="n">
        <v>0</v>
      </c>
      <c r="I113" t="n">
        <v>0</v>
      </c>
      <c r="J113" t="n">
        <v>0</v>
      </c>
      <c r="K113" t="n">
        <v>0</v>
      </c>
      <c r="L113" t="n">
        <v>0</v>
      </c>
      <c r="M113" t="n">
        <v>0</v>
      </c>
      <c r="N113" t="n">
        <v>0</v>
      </c>
      <c r="O113" t="n">
        <v>0</v>
      </c>
      <c r="P113" t="n">
        <v>0</v>
      </c>
      <c r="Q113" t="n">
        <v>0</v>
      </c>
      <c r="R113" s="2" t="inlineStr"/>
    </row>
    <row r="114" ht="15" customHeight="1">
      <c r="A114" t="inlineStr">
        <is>
          <t>A 29693-2019</t>
        </is>
      </c>
      <c r="B114" s="1" t="n">
        <v>43630</v>
      </c>
      <c r="C114" s="1" t="n">
        <v>45665</v>
      </c>
      <c r="D114" t="inlineStr">
        <is>
          <t>KALMAR LÄN</t>
        </is>
      </c>
      <c r="E114" t="inlineStr">
        <is>
          <t>VIMMERBY</t>
        </is>
      </c>
      <c r="G114" t="n">
        <v>2.1</v>
      </c>
      <c r="H114" t="n">
        <v>0</v>
      </c>
      <c r="I114" t="n">
        <v>0</v>
      </c>
      <c r="J114" t="n">
        <v>0</v>
      </c>
      <c r="K114" t="n">
        <v>0</v>
      </c>
      <c r="L114" t="n">
        <v>0</v>
      </c>
      <c r="M114" t="n">
        <v>0</v>
      </c>
      <c r="N114" t="n">
        <v>0</v>
      </c>
      <c r="O114" t="n">
        <v>0</v>
      </c>
      <c r="P114" t="n">
        <v>0</v>
      </c>
      <c r="Q114" t="n">
        <v>0</v>
      </c>
      <c r="R114" s="2" t="inlineStr"/>
    </row>
    <row r="115" ht="15" customHeight="1">
      <c r="A115" t="inlineStr">
        <is>
          <t>A 29675-2019</t>
        </is>
      </c>
      <c r="B115" s="1" t="n">
        <v>43630</v>
      </c>
      <c r="C115" s="1" t="n">
        <v>45665</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29775-2019</t>
        </is>
      </c>
      <c r="B116" s="1" t="n">
        <v>43632</v>
      </c>
      <c r="C116" s="1" t="n">
        <v>45665</v>
      </c>
      <c r="D116" t="inlineStr">
        <is>
          <t>KALMAR LÄN</t>
        </is>
      </c>
      <c r="E116" t="inlineStr">
        <is>
          <t>VIMMERBY</t>
        </is>
      </c>
      <c r="G116" t="n">
        <v>2</v>
      </c>
      <c r="H116" t="n">
        <v>0</v>
      </c>
      <c r="I116" t="n">
        <v>0</v>
      </c>
      <c r="J116" t="n">
        <v>0</v>
      </c>
      <c r="K116" t="n">
        <v>0</v>
      </c>
      <c r="L116" t="n">
        <v>0</v>
      </c>
      <c r="M116" t="n">
        <v>0</v>
      </c>
      <c r="N116" t="n">
        <v>0</v>
      </c>
      <c r="O116" t="n">
        <v>0</v>
      </c>
      <c r="P116" t="n">
        <v>0</v>
      </c>
      <c r="Q116" t="n">
        <v>0</v>
      </c>
      <c r="R116" s="2" t="inlineStr"/>
    </row>
    <row r="117" ht="15" customHeight="1">
      <c r="A117" t="inlineStr">
        <is>
          <t>A 29773-2019</t>
        </is>
      </c>
      <c r="B117" s="1" t="n">
        <v>43632</v>
      </c>
      <c r="C117" s="1" t="n">
        <v>45665</v>
      </c>
      <c r="D117" t="inlineStr">
        <is>
          <t>KALMAR LÄN</t>
        </is>
      </c>
      <c r="E117" t="inlineStr">
        <is>
          <t>VIMMERBY</t>
        </is>
      </c>
      <c r="G117" t="n">
        <v>0.7</v>
      </c>
      <c r="H117" t="n">
        <v>0</v>
      </c>
      <c r="I117" t="n">
        <v>0</v>
      </c>
      <c r="J117" t="n">
        <v>0</v>
      </c>
      <c r="K117" t="n">
        <v>0</v>
      </c>
      <c r="L117" t="n">
        <v>0</v>
      </c>
      <c r="M117" t="n">
        <v>0</v>
      </c>
      <c r="N117" t="n">
        <v>0</v>
      </c>
      <c r="O117" t="n">
        <v>0</v>
      </c>
      <c r="P117" t="n">
        <v>0</v>
      </c>
      <c r="Q117" t="n">
        <v>0</v>
      </c>
      <c r="R117" s="2" t="inlineStr"/>
    </row>
    <row r="118" ht="15" customHeight="1">
      <c r="A118" t="inlineStr">
        <is>
          <t>A 31027-2019</t>
        </is>
      </c>
      <c r="B118" s="1" t="n">
        <v>43636</v>
      </c>
      <c r="C118" s="1" t="n">
        <v>45665</v>
      </c>
      <c r="D118" t="inlineStr">
        <is>
          <t>KALMAR LÄN</t>
        </is>
      </c>
      <c r="E118" t="inlineStr">
        <is>
          <t>VIMMERBY</t>
        </is>
      </c>
      <c r="F118" t="inlineStr">
        <is>
          <t>Övriga statliga verk och myndigheter</t>
        </is>
      </c>
      <c r="G118" t="n">
        <v>0.5</v>
      </c>
      <c r="H118" t="n">
        <v>0</v>
      </c>
      <c r="I118" t="n">
        <v>0</v>
      </c>
      <c r="J118" t="n">
        <v>0</v>
      </c>
      <c r="K118" t="n">
        <v>0</v>
      </c>
      <c r="L118" t="n">
        <v>0</v>
      </c>
      <c r="M118" t="n">
        <v>0</v>
      </c>
      <c r="N118" t="n">
        <v>0</v>
      </c>
      <c r="O118" t="n">
        <v>0</v>
      </c>
      <c r="P118" t="n">
        <v>0</v>
      </c>
      <c r="Q118" t="n">
        <v>0</v>
      </c>
      <c r="R118" s="2" t="inlineStr"/>
    </row>
    <row r="119" ht="15" customHeight="1">
      <c r="A119" t="inlineStr">
        <is>
          <t>A 30994-2019</t>
        </is>
      </c>
      <c r="B119" s="1" t="n">
        <v>43640</v>
      </c>
      <c r="C119" s="1" t="n">
        <v>45665</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31859-2019</t>
        </is>
      </c>
      <c r="B120" s="1" t="n">
        <v>43642</v>
      </c>
      <c r="C120" s="1" t="n">
        <v>45665</v>
      </c>
      <c r="D120" t="inlineStr">
        <is>
          <t>KALMAR LÄN</t>
        </is>
      </c>
      <c r="E120" t="inlineStr">
        <is>
          <t>VIMMERBY</t>
        </is>
      </c>
      <c r="G120" t="n">
        <v>2.1</v>
      </c>
      <c r="H120" t="n">
        <v>0</v>
      </c>
      <c r="I120" t="n">
        <v>0</v>
      </c>
      <c r="J120" t="n">
        <v>0</v>
      </c>
      <c r="K120" t="n">
        <v>0</v>
      </c>
      <c r="L120" t="n">
        <v>0</v>
      </c>
      <c r="M120" t="n">
        <v>0</v>
      </c>
      <c r="N120" t="n">
        <v>0</v>
      </c>
      <c r="O120" t="n">
        <v>0</v>
      </c>
      <c r="P120" t="n">
        <v>0</v>
      </c>
      <c r="Q120" t="n">
        <v>0</v>
      </c>
      <c r="R120" s="2" t="inlineStr"/>
    </row>
    <row r="121" ht="15" customHeight="1">
      <c r="A121" t="inlineStr">
        <is>
          <t>A 32911-2019</t>
        </is>
      </c>
      <c r="B121" s="1" t="n">
        <v>43648</v>
      </c>
      <c r="C121" s="1" t="n">
        <v>45665</v>
      </c>
      <c r="D121" t="inlineStr">
        <is>
          <t>KALMAR LÄN</t>
        </is>
      </c>
      <c r="E121" t="inlineStr">
        <is>
          <t>VIMMERBY</t>
        </is>
      </c>
      <c r="G121" t="n">
        <v>5</v>
      </c>
      <c r="H121" t="n">
        <v>0</v>
      </c>
      <c r="I121" t="n">
        <v>0</v>
      </c>
      <c r="J121" t="n">
        <v>0</v>
      </c>
      <c r="K121" t="n">
        <v>0</v>
      </c>
      <c r="L121" t="n">
        <v>0</v>
      </c>
      <c r="M121" t="n">
        <v>0</v>
      </c>
      <c r="N121" t="n">
        <v>0</v>
      </c>
      <c r="O121" t="n">
        <v>0</v>
      </c>
      <c r="P121" t="n">
        <v>0</v>
      </c>
      <c r="Q121" t="n">
        <v>0</v>
      </c>
      <c r="R121" s="2" t="inlineStr"/>
    </row>
    <row r="122" ht="15" customHeight="1">
      <c r="A122" t="inlineStr">
        <is>
          <t>A 32924-2019</t>
        </is>
      </c>
      <c r="B122" s="1" t="n">
        <v>43648</v>
      </c>
      <c r="C122" s="1" t="n">
        <v>45665</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32918-2019</t>
        </is>
      </c>
      <c r="B123" s="1" t="n">
        <v>43648</v>
      </c>
      <c r="C123" s="1" t="n">
        <v>45665</v>
      </c>
      <c r="D123" t="inlineStr">
        <is>
          <t>KALMAR LÄN</t>
        </is>
      </c>
      <c r="E123" t="inlineStr">
        <is>
          <t>VIMMERBY</t>
        </is>
      </c>
      <c r="G123" t="n">
        <v>4.1</v>
      </c>
      <c r="H123" t="n">
        <v>0</v>
      </c>
      <c r="I123" t="n">
        <v>0</v>
      </c>
      <c r="J123" t="n">
        <v>0</v>
      </c>
      <c r="K123" t="n">
        <v>0</v>
      </c>
      <c r="L123" t="n">
        <v>0</v>
      </c>
      <c r="M123" t="n">
        <v>0</v>
      </c>
      <c r="N123" t="n">
        <v>0</v>
      </c>
      <c r="O123" t="n">
        <v>0</v>
      </c>
      <c r="P123" t="n">
        <v>0</v>
      </c>
      <c r="Q123" t="n">
        <v>0</v>
      </c>
      <c r="R123" s="2" t="inlineStr"/>
    </row>
    <row r="124" ht="15" customHeight="1">
      <c r="A124" t="inlineStr">
        <is>
          <t>A 32910-2019</t>
        </is>
      </c>
      <c r="B124" s="1" t="n">
        <v>43648</v>
      </c>
      <c r="C124" s="1" t="n">
        <v>45665</v>
      </c>
      <c r="D124" t="inlineStr">
        <is>
          <t>KALMAR LÄN</t>
        </is>
      </c>
      <c r="E124" t="inlineStr">
        <is>
          <t>VIMMERBY</t>
        </is>
      </c>
      <c r="G124" t="n">
        <v>6</v>
      </c>
      <c r="H124" t="n">
        <v>0</v>
      </c>
      <c r="I124" t="n">
        <v>0</v>
      </c>
      <c r="J124" t="n">
        <v>0</v>
      </c>
      <c r="K124" t="n">
        <v>0</v>
      </c>
      <c r="L124" t="n">
        <v>0</v>
      </c>
      <c r="M124" t="n">
        <v>0</v>
      </c>
      <c r="N124" t="n">
        <v>0</v>
      </c>
      <c r="O124" t="n">
        <v>0</v>
      </c>
      <c r="P124" t="n">
        <v>0</v>
      </c>
      <c r="Q124" t="n">
        <v>0</v>
      </c>
      <c r="R124" s="2" t="inlineStr"/>
    </row>
    <row r="125" ht="15" customHeight="1">
      <c r="A125" t="inlineStr">
        <is>
          <t>A 34765-2019</t>
        </is>
      </c>
      <c r="B125" s="1" t="n">
        <v>43649</v>
      </c>
      <c r="C125" s="1" t="n">
        <v>45665</v>
      </c>
      <c r="D125" t="inlineStr">
        <is>
          <t>KALMAR LÄN</t>
        </is>
      </c>
      <c r="E125" t="inlineStr">
        <is>
          <t>VIMMERBY</t>
        </is>
      </c>
      <c r="G125" t="n">
        <v>6.9</v>
      </c>
      <c r="H125" t="n">
        <v>0</v>
      </c>
      <c r="I125" t="n">
        <v>0</v>
      </c>
      <c r="J125" t="n">
        <v>0</v>
      </c>
      <c r="K125" t="n">
        <v>0</v>
      </c>
      <c r="L125" t="n">
        <v>0</v>
      </c>
      <c r="M125" t="n">
        <v>0</v>
      </c>
      <c r="N125" t="n">
        <v>0</v>
      </c>
      <c r="O125" t="n">
        <v>0</v>
      </c>
      <c r="P125" t="n">
        <v>0</v>
      </c>
      <c r="Q125" t="n">
        <v>0</v>
      </c>
      <c r="R125" s="2" t="inlineStr"/>
    </row>
    <row r="126" ht="15" customHeight="1">
      <c r="A126" t="inlineStr">
        <is>
          <t>A 33411-2019</t>
        </is>
      </c>
      <c r="B126" s="1" t="n">
        <v>43650</v>
      </c>
      <c r="C126" s="1" t="n">
        <v>45665</v>
      </c>
      <c r="D126" t="inlineStr">
        <is>
          <t>KALMAR LÄN</t>
        </is>
      </c>
      <c r="E126" t="inlineStr">
        <is>
          <t>VIMMERBY</t>
        </is>
      </c>
      <c r="G126" t="n">
        <v>1.6</v>
      </c>
      <c r="H126" t="n">
        <v>0</v>
      </c>
      <c r="I126" t="n">
        <v>0</v>
      </c>
      <c r="J126" t="n">
        <v>0</v>
      </c>
      <c r="K126" t="n">
        <v>0</v>
      </c>
      <c r="L126" t="n">
        <v>0</v>
      </c>
      <c r="M126" t="n">
        <v>0</v>
      </c>
      <c r="N126" t="n">
        <v>0</v>
      </c>
      <c r="O126" t="n">
        <v>0</v>
      </c>
      <c r="P126" t="n">
        <v>0</v>
      </c>
      <c r="Q126" t="n">
        <v>0</v>
      </c>
      <c r="R126" s="2" t="inlineStr"/>
    </row>
    <row r="127" ht="15" customHeight="1">
      <c r="A127" t="inlineStr">
        <is>
          <t>A 33410-2019</t>
        </is>
      </c>
      <c r="B127" s="1" t="n">
        <v>43650</v>
      </c>
      <c r="C127" s="1" t="n">
        <v>45665</v>
      </c>
      <c r="D127" t="inlineStr">
        <is>
          <t>KALMAR LÄN</t>
        </is>
      </c>
      <c r="E127" t="inlineStr">
        <is>
          <t>VIMMERBY</t>
        </is>
      </c>
      <c r="G127" t="n">
        <v>4.4</v>
      </c>
      <c r="H127" t="n">
        <v>0</v>
      </c>
      <c r="I127" t="n">
        <v>0</v>
      </c>
      <c r="J127" t="n">
        <v>0</v>
      </c>
      <c r="K127" t="n">
        <v>0</v>
      </c>
      <c r="L127" t="n">
        <v>0</v>
      </c>
      <c r="M127" t="n">
        <v>0</v>
      </c>
      <c r="N127" t="n">
        <v>0</v>
      </c>
      <c r="O127" t="n">
        <v>0</v>
      </c>
      <c r="P127" t="n">
        <v>0</v>
      </c>
      <c r="Q127" t="n">
        <v>0</v>
      </c>
      <c r="R127" s="2" t="inlineStr"/>
    </row>
    <row r="128" ht="15" customHeight="1">
      <c r="A128" t="inlineStr">
        <is>
          <t>A 35259-2019</t>
        </is>
      </c>
      <c r="B128" s="1" t="n">
        <v>43651</v>
      </c>
      <c r="C128" s="1" t="n">
        <v>45665</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33869-2019</t>
        </is>
      </c>
      <c r="B129" s="1" t="n">
        <v>43652</v>
      </c>
      <c r="C129" s="1" t="n">
        <v>45665</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34241-2019</t>
        </is>
      </c>
      <c r="B130" s="1" t="n">
        <v>43655</v>
      </c>
      <c r="C130" s="1" t="n">
        <v>45665</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34244-2019</t>
        </is>
      </c>
      <c r="B131" s="1" t="n">
        <v>43655</v>
      </c>
      <c r="C131" s="1" t="n">
        <v>45665</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34273-2019</t>
        </is>
      </c>
      <c r="B132" s="1" t="n">
        <v>43655</v>
      </c>
      <c r="C132" s="1" t="n">
        <v>45665</v>
      </c>
      <c r="D132" t="inlineStr">
        <is>
          <t>KALMAR LÄN</t>
        </is>
      </c>
      <c r="E132" t="inlineStr">
        <is>
          <t>VIMMERBY</t>
        </is>
      </c>
      <c r="G132" t="n">
        <v>3.1</v>
      </c>
      <c r="H132" t="n">
        <v>0</v>
      </c>
      <c r="I132" t="n">
        <v>0</v>
      </c>
      <c r="J132" t="n">
        <v>0</v>
      </c>
      <c r="K132" t="n">
        <v>0</v>
      </c>
      <c r="L132" t="n">
        <v>0</v>
      </c>
      <c r="M132" t="n">
        <v>0</v>
      </c>
      <c r="N132" t="n">
        <v>0</v>
      </c>
      <c r="O132" t="n">
        <v>0</v>
      </c>
      <c r="P132" t="n">
        <v>0</v>
      </c>
      <c r="Q132" t="n">
        <v>0</v>
      </c>
      <c r="R132" s="2" t="inlineStr"/>
    </row>
    <row r="133" ht="15" customHeight="1">
      <c r="A133" t="inlineStr">
        <is>
          <t>A 35701-2019</t>
        </is>
      </c>
      <c r="B133" s="1" t="n">
        <v>43655</v>
      </c>
      <c r="C133" s="1" t="n">
        <v>45665</v>
      </c>
      <c r="D133" t="inlineStr">
        <is>
          <t>KALMAR LÄN</t>
        </is>
      </c>
      <c r="E133" t="inlineStr">
        <is>
          <t>VIMMERBY</t>
        </is>
      </c>
      <c r="G133" t="n">
        <v>1.3</v>
      </c>
      <c r="H133" t="n">
        <v>0</v>
      </c>
      <c r="I133" t="n">
        <v>0</v>
      </c>
      <c r="J133" t="n">
        <v>0</v>
      </c>
      <c r="K133" t="n">
        <v>0</v>
      </c>
      <c r="L133" t="n">
        <v>0</v>
      </c>
      <c r="M133" t="n">
        <v>0</v>
      </c>
      <c r="N133" t="n">
        <v>0</v>
      </c>
      <c r="O133" t="n">
        <v>0</v>
      </c>
      <c r="P133" t="n">
        <v>0</v>
      </c>
      <c r="Q133" t="n">
        <v>0</v>
      </c>
      <c r="R133" s="2" t="inlineStr"/>
    </row>
    <row r="134" ht="15" customHeight="1">
      <c r="A134" t="inlineStr">
        <is>
          <t>A 34672-2019</t>
        </is>
      </c>
      <c r="B134" s="1" t="n">
        <v>43657</v>
      </c>
      <c r="C134" s="1" t="n">
        <v>45665</v>
      </c>
      <c r="D134" t="inlineStr">
        <is>
          <t>KALMAR LÄN</t>
        </is>
      </c>
      <c r="E134" t="inlineStr">
        <is>
          <t>VIMMERBY</t>
        </is>
      </c>
      <c r="G134" t="n">
        <v>1.8</v>
      </c>
      <c r="H134" t="n">
        <v>0</v>
      </c>
      <c r="I134" t="n">
        <v>0</v>
      </c>
      <c r="J134" t="n">
        <v>0</v>
      </c>
      <c r="K134" t="n">
        <v>0</v>
      </c>
      <c r="L134" t="n">
        <v>0</v>
      </c>
      <c r="M134" t="n">
        <v>0</v>
      </c>
      <c r="N134" t="n">
        <v>0</v>
      </c>
      <c r="O134" t="n">
        <v>0</v>
      </c>
      <c r="P134" t="n">
        <v>0</v>
      </c>
      <c r="Q134" t="n">
        <v>0</v>
      </c>
      <c r="R134" s="2" t="inlineStr"/>
    </row>
    <row r="135" ht="15" customHeight="1">
      <c r="A135" t="inlineStr">
        <is>
          <t>A 35780-2019</t>
        </is>
      </c>
      <c r="B135" s="1" t="n">
        <v>43665</v>
      </c>
      <c r="C135" s="1" t="n">
        <v>45665</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35834-2019</t>
        </is>
      </c>
      <c r="B136" s="1" t="n">
        <v>43665</v>
      </c>
      <c r="C136" s="1" t="n">
        <v>45665</v>
      </c>
      <c r="D136" t="inlineStr">
        <is>
          <t>KALMAR LÄN</t>
        </is>
      </c>
      <c r="E136" t="inlineStr">
        <is>
          <t>VIMMERBY</t>
        </is>
      </c>
      <c r="G136" t="n">
        <v>0.2</v>
      </c>
      <c r="H136" t="n">
        <v>0</v>
      </c>
      <c r="I136" t="n">
        <v>0</v>
      </c>
      <c r="J136" t="n">
        <v>0</v>
      </c>
      <c r="K136" t="n">
        <v>0</v>
      </c>
      <c r="L136" t="n">
        <v>0</v>
      </c>
      <c r="M136" t="n">
        <v>0</v>
      </c>
      <c r="N136" t="n">
        <v>0</v>
      </c>
      <c r="O136" t="n">
        <v>0</v>
      </c>
      <c r="P136" t="n">
        <v>0</v>
      </c>
      <c r="Q136" t="n">
        <v>0</v>
      </c>
      <c r="R136" s="2" t="inlineStr"/>
    </row>
    <row r="137" ht="15" customHeight="1">
      <c r="A137" t="inlineStr">
        <is>
          <t>A 35829-2019</t>
        </is>
      </c>
      <c r="B137" s="1" t="n">
        <v>43665</v>
      </c>
      <c r="C137" s="1" t="n">
        <v>45665</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35919-2019</t>
        </is>
      </c>
      <c r="B138" s="1" t="n">
        <v>43665</v>
      </c>
      <c r="C138" s="1" t="n">
        <v>45665</v>
      </c>
      <c r="D138" t="inlineStr">
        <is>
          <t>KALMAR LÄN</t>
        </is>
      </c>
      <c r="E138" t="inlineStr">
        <is>
          <t>VIMMERBY</t>
        </is>
      </c>
      <c r="G138" t="n">
        <v>7.1</v>
      </c>
      <c r="H138" t="n">
        <v>0</v>
      </c>
      <c r="I138" t="n">
        <v>0</v>
      </c>
      <c r="J138" t="n">
        <v>0</v>
      </c>
      <c r="K138" t="n">
        <v>0</v>
      </c>
      <c r="L138" t="n">
        <v>0</v>
      </c>
      <c r="M138" t="n">
        <v>0</v>
      </c>
      <c r="N138" t="n">
        <v>0</v>
      </c>
      <c r="O138" t="n">
        <v>0</v>
      </c>
      <c r="P138" t="n">
        <v>0</v>
      </c>
      <c r="Q138" t="n">
        <v>0</v>
      </c>
      <c r="R138" s="2" t="inlineStr"/>
    </row>
    <row r="139" ht="15" customHeight="1">
      <c r="A139" t="inlineStr">
        <is>
          <t>A 36027-2019</t>
        </is>
      </c>
      <c r="B139" s="1" t="n">
        <v>43668</v>
      </c>
      <c r="C139" s="1" t="n">
        <v>45665</v>
      </c>
      <c r="D139" t="inlineStr">
        <is>
          <t>KALMAR LÄN</t>
        </is>
      </c>
      <c r="E139" t="inlineStr">
        <is>
          <t>VIMMERBY</t>
        </is>
      </c>
      <c r="G139" t="n">
        <v>0.8</v>
      </c>
      <c r="H139" t="n">
        <v>0</v>
      </c>
      <c r="I139" t="n">
        <v>0</v>
      </c>
      <c r="J139" t="n">
        <v>0</v>
      </c>
      <c r="K139" t="n">
        <v>0</v>
      </c>
      <c r="L139" t="n">
        <v>0</v>
      </c>
      <c r="M139" t="n">
        <v>0</v>
      </c>
      <c r="N139" t="n">
        <v>0</v>
      </c>
      <c r="O139" t="n">
        <v>0</v>
      </c>
      <c r="P139" t="n">
        <v>0</v>
      </c>
      <c r="Q139" t="n">
        <v>0</v>
      </c>
      <c r="R139" s="2" t="inlineStr"/>
    </row>
    <row r="140" ht="15" customHeight="1">
      <c r="A140" t="inlineStr">
        <is>
          <t>A 36024-2019</t>
        </is>
      </c>
      <c r="B140" s="1" t="n">
        <v>43668</v>
      </c>
      <c r="C140" s="1" t="n">
        <v>45665</v>
      </c>
      <c r="D140" t="inlineStr">
        <is>
          <t>KALMAR LÄN</t>
        </is>
      </c>
      <c r="E140" t="inlineStr">
        <is>
          <t>VIMMERBY</t>
        </is>
      </c>
      <c r="G140" t="n">
        <v>1</v>
      </c>
      <c r="H140" t="n">
        <v>0</v>
      </c>
      <c r="I140" t="n">
        <v>0</v>
      </c>
      <c r="J140" t="n">
        <v>0</v>
      </c>
      <c r="K140" t="n">
        <v>0</v>
      </c>
      <c r="L140" t="n">
        <v>0</v>
      </c>
      <c r="M140" t="n">
        <v>0</v>
      </c>
      <c r="N140" t="n">
        <v>0</v>
      </c>
      <c r="O140" t="n">
        <v>0</v>
      </c>
      <c r="P140" t="n">
        <v>0</v>
      </c>
      <c r="Q140" t="n">
        <v>0</v>
      </c>
      <c r="R140" s="2" t="inlineStr"/>
    </row>
    <row r="141" ht="15" customHeight="1">
      <c r="A141" t="inlineStr">
        <is>
          <t>A 36716-2019</t>
        </is>
      </c>
      <c r="B141" s="1" t="n">
        <v>43669</v>
      </c>
      <c r="C141" s="1" t="n">
        <v>45665</v>
      </c>
      <c r="D141" t="inlineStr">
        <is>
          <t>KALMAR LÄN</t>
        </is>
      </c>
      <c r="E141" t="inlineStr">
        <is>
          <t>VIMMERBY</t>
        </is>
      </c>
      <c r="G141" t="n">
        <v>3.6</v>
      </c>
      <c r="H141" t="n">
        <v>0</v>
      </c>
      <c r="I141" t="n">
        <v>0</v>
      </c>
      <c r="J141" t="n">
        <v>0</v>
      </c>
      <c r="K141" t="n">
        <v>0</v>
      </c>
      <c r="L141" t="n">
        <v>0</v>
      </c>
      <c r="M141" t="n">
        <v>0</v>
      </c>
      <c r="N141" t="n">
        <v>0</v>
      </c>
      <c r="O141" t="n">
        <v>0</v>
      </c>
      <c r="P141" t="n">
        <v>0</v>
      </c>
      <c r="Q141" t="n">
        <v>0</v>
      </c>
      <c r="R141" s="2" t="inlineStr"/>
    </row>
    <row r="142" ht="15" customHeight="1">
      <c r="A142" t="inlineStr">
        <is>
          <t>A 36454-2019</t>
        </is>
      </c>
      <c r="B142" s="1" t="n">
        <v>43670</v>
      </c>
      <c r="C142" s="1" t="n">
        <v>45665</v>
      </c>
      <c r="D142" t="inlineStr">
        <is>
          <t>KALMAR LÄN</t>
        </is>
      </c>
      <c r="E142" t="inlineStr">
        <is>
          <t>VIMMERBY</t>
        </is>
      </c>
      <c r="G142" t="n">
        <v>2.1</v>
      </c>
      <c r="H142" t="n">
        <v>0</v>
      </c>
      <c r="I142" t="n">
        <v>0</v>
      </c>
      <c r="J142" t="n">
        <v>0</v>
      </c>
      <c r="K142" t="n">
        <v>0</v>
      </c>
      <c r="L142" t="n">
        <v>0</v>
      </c>
      <c r="M142" t="n">
        <v>0</v>
      </c>
      <c r="N142" t="n">
        <v>0</v>
      </c>
      <c r="O142" t="n">
        <v>0</v>
      </c>
      <c r="P142" t="n">
        <v>0</v>
      </c>
      <c r="Q142" t="n">
        <v>0</v>
      </c>
      <c r="R142" s="2" t="inlineStr"/>
    </row>
    <row r="143" ht="15" customHeight="1">
      <c r="A143" t="inlineStr">
        <is>
          <t>A 37031-2019</t>
        </is>
      </c>
      <c r="B143" s="1" t="n">
        <v>43672</v>
      </c>
      <c r="C143" s="1" t="n">
        <v>45665</v>
      </c>
      <c r="D143" t="inlineStr">
        <is>
          <t>KALMAR LÄN</t>
        </is>
      </c>
      <c r="E143" t="inlineStr">
        <is>
          <t>VIMMERBY</t>
        </is>
      </c>
      <c r="G143" t="n">
        <v>16.8</v>
      </c>
      <c r="H143" t="n">
        <v>0</v>
      </c>
      <c r="I143" t="n">
        <v>0</v>
      </c>
      <c r="J143" t="n">
        <v>0</v>
      </c>
      <c r="K143" t="n">
        <v>0</v>
      </c>
      <c r="L143" t="n">
        <v>0</v>
      </c>
      <c r="M143" t="n">
        <v>0</v>
      </c>
      <c r="N143" t="n">
        <v>0</v>
      </c>
      <c r="O143" t="n">
        <v>0</v>
      </c>
      <c r="P143" t="n">
        <v>0</v>
      </c>
      <c r="Q143" t="n">
        <v>0</v>
      </c>
      <c r="R143" s="2" t="inlineStr"/>
    </row>
    <row r="144" ht="15" customHeight="1">
      <c r="A144" t="inlineStr">
        <is>
          <t>A 36830-2019</t>
        </is>
      </c>
      <c r="B144" s="1" t="n">
        <v>43674</v>
      </c>
      <c r="C144" s="1" t="n">
        <v>45665</v>
      </c>
      <c r="D144" t="inlineStr">
        <is>
          <t>KALMAR LÄN</t>
        </is>
      </c>
      <c r="E144" t="inlineStr">
        <is>
          <t>VIMMERBY</t>
        </is>
      </c>
      <c r="G144" t="n">
        <v>7.2</v>
      </c>
      <c r="H144" t="n">
        <v>0</v>
      </c>
      <c r="I144" t="n">
        <v>0</v>
      </c>
      <c r="J144" t="n">
        <v>0</v>
      </c>
      <c r="K144" t="n">
        <v>0</v>
      </c>
      <c r="L144" t="n">
        <v>0</v>
      </c>
      <c r="M144" t="n">
        <v>0</v>
      </c>
      <c r="N144" t="n">
        <v>0</v>
      </c>
      <c r="O144" t="n">
        <v>0</v>
      </c>
      <c r="P144" t="n">
        <v>0</v>
      </c>
      <c r="Q144" t="n">
        <v>0</v>
      </c>
      <c r="R144" s="2" t="inlineStr"/>
    </row>
    <row r="145" ht="15" customHeight="1">
      <c r="A145" t="inlineStr">
        <is>
          <t>A 36936-2019</t>
        </is>
      </c>
      <c r="B145" s="1" t="n">
        <v>43675</v>
      </c>
      <c r="C145" s="1" t="n">
        <v>45665</v>
      </c>
      <c r="D145" t="inlineStr">
        <is>
          <t>KALMAR LÄN</t>
        </is>
      </c>
      <c r="E145" t="inlineStr">
        <is>
          <t>VIMMERBY</t>
        </is>
      </c>
      <c r="G145" t="n">
        <v>3.5</v>
      </c>
      <c r="H145" t="n">
        <v>0</v>
      </c>
      <c r="I145" t="n">
        <v>0</v>
      </c>
      <c r="J145" t="n">
        <v>0</v>
      </c>
      <c r="K145" t="n">
        <v>0</v>
      </c>
      <c r="L145" t="n">
        <v>0</v>
      </c>
      <c r="M145" t="n">
        <v>0</v>
      </c>
      <c r="N145" t="n">
        <v>0</v>
      </c>
      <c r="O145" t="n">
        <v>0</v>
      </c>
      <c r="P145" t="n">
        <v>0</v>
      </c>
      <c r="Q145" t="n">
        <v>0</v>
      </c>
      <c r="R145" s="2" t="inlineStr"/>
    </row>
    <row r="146" ht="15" customHeight="1">
      <c r="A146" t="inlineStr">
        <is>
          <t>A 37063-2019</t>
        </is>
      </c>
      <c r="B146" s="1" t="n">
        <v>43676</v>
      </c>
      <c r="C146" s="1" t="n">
        <v>45665</v>
      </c>
      <c r="D146" t="inlineStr">
        <is>
          <t>KALMAR LÄN</t>
        </is>
      </c>
      <c r="E146" t="inlineStr">
        <is>
          <t>VIMMERBY</t>
        </is>
      </c>
      <c r="G146" t="n">
        <v>2</v>
      </c>
      <c r="H146" t="n">
        <v>0</v>
      </c>
      <c r="I146" t="n">
        <v>0</v>
      </c>
      <c r="J146" t="n">
        <v>0</v>
      </c>
      <c r="K146" t="n">
        <v>0</v>
      </c>
      <c r="L146" t="n">
        <v>0</v>
      </c>
      <c r="M146" t="n">
        <v>0</v>
      </c>
      <c r="N146" t="n">
        <v>0</v>
      </c>
      <c r="O146" t="n">
        <v>0</v>
      </c>
      <c r="P146" t="n">
        <v>0</v>
      </c>
      <c r="Q146" t="n">
        <v>0</v>
      </c>
      <c r="R146" s="2" t="inlineStr"/>
    </row>
    <row r="147" ht="15" customHeight="1">
      <c r="A147" t="inlineStr">
        <is>
          <t>A 37209-2019</t>
        </is>
      </c>
      <c r="B147" s="1" t="n">
        <v>43677</v>
      </c>
      <c r="C147" s="1" t="n">
        <v>45665</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37412-2019</t>
        </is>
      </c>
      <c r="B148" s="1" t="n">
        <v>43678</v>
      </c>
      <c r="C148" s="1" t="n">
        <v>45665</v>
      </c>
      <c r="D148" t="inlineStr">
        <is>
          <t>KALMAR LÄN</t>
        </is>
      </c>
      <c r="E148" t="inlineStr">
        <is>
          <t>VIMMERBY</t>
        </is>
      </c>
      <c r="G148" t="n">
        <v>1.7</v>
      </c>
      <c r="H148" t="n">
        <v>0</v>
      </c>
      <c r="I148" t="n">
        <v>0</v>
      </c>
      <c r="J148" t="n">
        <v>0</v>
      </c>
      <c r="K148" t="n">
        <v>0</v>
      </c>
      <c r="L148" t="n">
        <v>0</v>
      </c>
      <c r="M148" t="n">
        <v>0</v>
      </c>
      <c r="N148" t="n">
        <v>0</v>
      </c>
      <c r="O148" t="n">
        <v>0</v>
      </c>
      <c r="P148" t="n">
        <v>0</v>
      </c>
      <c r="Q148" t="n">
        <v>0</v>
      </c>
      <c r="R148" s="2" t="inlineStr"/>
    </row>
    <row r="149" ht="15" customHeight="1">
      <c r="A149" t="inlineStr">
        <is>
          <t>A 38602-2019</t>
        </is>
      </c>
      <c r="B149" s="1" t="n">
        <v>43684</v>
      </c>
      <c r="C149" s="1" t="n">
        <v>45665</v>
      </c>
      <c r="D149" t="inlineStr">
        <is>
          <t>KALMAR LÄN</t>
        </is>
      </c>
      <c r="E149" t="inlineStr">
        <is>
          <t>VIMMERBY</t>
        </is>
      </c>
      <c r="G149" t="n">
        <v>2.7</v>
      </c>
      <c r="H149" t="n">
        <v>0</v>
      </c>
      <c r="I149" t="n">
        <v>0</v>
      </c>
      <c r="J149" t="n">
        <v>0</v>
      </c>
      <c r="K149" t="n">
        <v>0</v>
      </c>
      <c r="L149" t="n">
        <v>0</v>
      </c>
      <c r="M149" t="n">
        <v>0</v>
      </c>
      <c r="N149" t="n">
        <v>0</v>
      </c>
      <c r="O149" t="n">
        <v>0</v>
      </c>
      <c r="P149" t="n">
        <v>0</v>
      </c>
      <c r="Q149" t="n">
        <v>0</v>
      </c>
      <c r="R149" s="2" t="inlineStr"/>
    </row>
    <row r="150" ht="15" customHeight="1">
      <c r="A150" t="inlineStr">
        <is>
          <t>A 38866-2019</t>
        </is>
      </c>
      <c r="B150" s="1" t="n">
        <v>43685</v>
      </c>
      <c r="C150" s="1" t="n">
        <v>45665</v>
      </c>
      <c r="D150" t="inlineStr">
        <is>
          <t>KALMAR LÄN</t>
        </is>
      </c>
      <c r="E150" t="inlineStr">
        <is>
          <t>VIMMERBY</t>
        </is>
      </c>
      <c r="G150" t="n">
        <v>1.2</v>
      </c>
      <c r="H150" t="n">
        <v>0</v>
      </c>
      <c r="I150" t="n">
        <v>0</v>
      </c>
      <c r="J150" t="n">
        <v>0</v>
      </c>
      <c r="K150" t="n">
        <v>0</v>
      </c>
      <c r="L150" t="n">
        <v>0</v>
      </c>
      <c r="M150" t="n">
        <v>0</v>
      </c>
      <c r="N150" t="n">
        <v>0</v>
      </c>
      <c r="O150" t="n">
        <v>0</v>
      </c>
      <c r="P150" t="n">
        <v>0</v>
      </c>
      <c r="Q150" t="n">
        <v>0</v>
      </c>
      <c r="R150" s="2" t="inlineStr"/>
    </row>
    <row r="151" ht="15" customHeight="1">
      <c r="A151" t="inlineStr">
        <is>
          <t>A 38789-2019</t>
        </is>
      </c>
      <c r="B151" s="1" t="n">
        <v>43687</v>
      </c>
      <c r="C151" s="1" t="n">
        <v>45665</v>
      </c>
      <c r="D151" t="inlineStr">
        <is>
          <t>KALMAR LÄN</t>
        </is>
      </c>
      <c r="E151" t="inlineStr">
        <is>
          <t>VIMMERBY</t>
        </is>
      </c>
      <c r="G151" t="n">
        <v>0.3</v>
      </c>
      <c r="H151" t="n">
        <v>0</v>
      </c>
      <c r="I151" t="n">
        <v>0</v>
      </c>
      <c r="J151" t="n">
        <v>0</v>
      </c>
      <c r="K151" t="n">
        <v>0</v>
      </c>
      <c r="L151" t="n">
        <v>0</v>
      </c>
      <c r="M151" t="n">
        <v>0</v>
      </c>
      <c r="N151" t="n">
        <v>0</v>
      </c>
      <c r="O151" t="n">
        <v>0</v>
      </c>
      <c r="P151" t="n">
        <v>0</v>
      </c>
      <c r="Q151" t="n">
        <v>0</v>
      </c>
      <c r="R151" s="2" t="inlineStr"/>
    </row>
    <row r="152" ht="15" customHeight="1">
      <c r="A152" t="inlineStr">
        <is>
          <t>A 38835-2019</t>
        </is>
      </c>
      <c r="B152" s="1" t="n">
        <v>43689</v>
      </c>
      <c r="C152" s="1" t="n">
        <v>45665</v>
      </c>
      <c r="D152" t="inlineStr">
        <is>
          <t>KALMAR LÄN</t>
        </is>
      </c>
      <c r="E152" t="inlineStr">
        <is>
          <t>VIMMERBY</t>
        </is>
      </c>
      <c r="G152" t="n">
        <v>3.8</v>
      </c>
      <c r="H152" t="n">
        <v>0</v>
      </c>
      <c r="I152" t="n">
        <v>0</v>
      </c>
      <c r="J152" t="n">
        <v>0</v>
      </c>
      <c r="K152" t="n">
        <v>0</v>
      </c>
      <c r="L152" t="n">
        <v>0</v>
      </c>
      <c r="M152" t="n">
        <v>0</v>
      </c>
      <c r="N152" t="n">
        <v>0</v>
      </c>
      <c r="O152" t="n">
        <v>0</v>
      </c>
      <c r="P152" t="n">
        <v>0</v>
      </c>
      <c r="Q152" t="n">
        <v>0</v>
      </c>
      <c r="R152" s="2" t="inlineStr"/>
    </row>
    <row r="153" ht="15" customHeight="1">
      <c r="A153" t="inlineStr">
        <is>
          <t>A 38823-2019</t>
        </is>
      </c>
      <c r="B153" s="1" t="n">
        <v>43689</v>
      </c>
      <c r="C153" s="1" t="n">
        <v>45665</v>
      </c>
      <c r="D153" t="inlineStr">
        <is>
          <t>KALMAR LÄN</t>
        </is>
      </c>
      <c r="E153" t="inlineStr">
        <is>
          <t>VIMMERBY</t>
        </is>
      </c>
      <c r="G153" t="n">
        <v>0.7</v>
      </c>
      <c r="H153" t="n">
        <v>0</v>
      </c>
      <c r="I153" t="n">
        <v>0</v>
      </c>
      <c r="J153" t="n">
        <v>0</v>
      </c>
      <c r="K153" t="n">
        <v>0</v>
      </c>
      <c r="L153" t="n">
        <v>0</v>
      </c>
      <c r="M153" t="n">
        <v>0</v>
      </c>
      <c r="N153" t="n">
        <v>0</v>
      </c>
      <c r="O153" t="n">
        <v>0</v>
      </c>
      <c r="P153" t="n">
        <v>0</v>
      </c>
      <c r="Q153" t="n">
        <v>0</v>
      </c>
      <c r="R153" s="2" t="inlineStr"/>
    </row>
    <row r="154" ht="15" customHeight="1">
      <c r="A154" t="inlineStr">
        <is>
          <t>A 38837-2019</t>
        </is>
      </c>
      <c r="B154" s="1" t="n">
        <v>43689</v>
      </c>
      <c r="C154" s="1" t="n">
        <v>45665</v>
      </c>
      <c r="D154" t="inlineStr">
        <is>
          <t>KALMAR LÄN</t>
        </is>
      </c>
      <c r="E154" t="inlineStr">
        <is>
          <t>VIMMERBY</t>
        </is>
      </c>
      <c r="G154" t="n">
        <v>2</v>
      </c>
      <c r="H154" t="n">
        <v>0</v>
      </c>
      <c r="I154" t="n">
        <v>0</v>
      </c>
      <c r="J154" t="n">
        <v>0</v>
      </c>
      <c r="K154" t="n">
        <v>0</v>
      </c>
      <c r="L154" t="n">
        <v>0</v>
      </c>
      <c r="M154" t="n">
        <v>0</v>
      </c>
      <c r="N154" t="n">
        <v>0</v>
      </c>
      <c r="O154" t="n">
        <v>0</v>
      </c>
      <c r="P154" t="n">
        <v>0</v>
      </c>
      <c r="Q154" t="n">
        <v>0</v>
      </c>
      <c r="R154" s="2" t="inlineStr"/>
    </row>
    <row r="155" ht="15" customHeight="1">
      <c r="A155" t="inlineStr">
        <is>
          <t>A 38831-2019</t>
        </is>
      </c>
      <c r="B155" s="1" t="n">
        <v>43689</v>
      </c>
      <c r="C155" s="1" t="n">
        <v>45665</v>
      </c>
      <c r="D155" t="inlineStr">
        <is>
          <t>KALMAR LÄN</t>
        </is>
      </c>
      <c r="E155" t="inlineStr">
        <is>
          <t>VIMMERBY</t>
        </is>
      </c>
      <c r="G155" t="n">
        <v>3</v>
      </c>
      <c r="H155" t="n">
        <v>0</v>
      </c>
      <c r="I155" t="n">
        <v>0</v>
      </c>
      <c r="J155" t="n">
        <v>0</v>
      </c>
      <c r="K155" t="n">
        <v>0</v>
      </c>
      <c r="L155" t="n">
        <v>0</v>
      </c>
      <c r="M155" t="n">
        <v>0</v>
      </c>
      <c r="N155" t="n">
        <v>0</v>
      </c>
      <c r="O155" t="n">
        <v>0</v>
      </c>
      <c r="P155" t="n">
        <v>0</v>
      </c>
      <c r="Q155" t="n">
        <v>0</v>
      </c>
      <c r="R155" s="2" t="inlineStr"/>
    </row>
    <row r="156" ht="15" customHeight="1">
      <c r="A156" t="inlineStr">
        <is>
          <t>A 39442-2019</t>
        </is>
      </c>
      <c r="B156" s="1" t="n">
        <v>43691</v>
      </c>
      <c r="C156" s="1" t="n">
        <v>45665</v>
      </c>
      <c r="D156" t="inlineStr">
        <is>
          <t>KALMAR LÄN</t>
        </is>
      </c>
      <c r="E156" t="inlineStr">
        <is>
          <t>VIMMERBY</t>
        </is>
      </c>
      <c r="G156" t="n">
        <v>1</v>
      </c>
      <c r="H156" t="n">
        <v>0</v>
      </c>
      <c r="I156" t="n">
        <v>0</v>
      </c>
      <c r="J156" t="n">
        <v>0</v>
      </c>
      <c r="K156" t="n">
        <v>0</v>
      </c>
      <c r="L156" t="n">
        <v>0</v>
      </c>
      <c r="M156" t="n">
        <v>0</v>
      </c>
      <c r="N156" t="n">
        <v>0</v>
      </c>
      <c r="O156" t="n">
        <v>0</v>
      </c>
      <c r="P156" t="n">
        <v>0</v>
      </c>
      <c r="Q156" t="n">
        <v>0</v>
      </c>
      <c r="R156" s="2" t="inlineStr"/>
    </row>
    <row r="157" ht="15" customHeight="1">
      <c r="A157" t="inlineStr">
        <is>
          <t>A 39575-2019</t>
        </is>
      </c>
      <c r="B157" s="1" t="n">
        <v>43691</v>
      </c>
      <c r="C157" s="1" t="n">
        <v>45665</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39568-2019</t>
        </is>
      </c>
      <c r="B158" s="1" t="n">
        <v>43691</v>
      </c>
      <c r="C158" s="1" t="n">
        <v>45665</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39564-2019</t>
        </is>
      </c>
      <c r="B159" s="1" t="n">
        <v>43691</v>
      </c>
      <c r="C159" s="1" t="n">
        <v>45665</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39577-2019</t>
        </is>
      </c>
      <c r="B160" s="1" t="n">
        <v>43691</v>
      </c>
      <c r="C160" s="1" t="n">
        <v>45665</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39856-2019</t>
        </is>
      </c>
      <c r="B161" s="1" t="n">
        <v>43692</v>
      </c>
      <c r="C161" s="1" t="n">
        <v>45665</v>
      </c>
      <c r="D161" t="inlineStr">
        <is>
          <t>KALMAR LÄN</t>
        </is>
      </c>
      <c r="E161" t="inlineStr">
        <is>
          <t>VIMMERBY</t>
        </is>
      </c>
      <c r="G161" t="n">
        <v>1.9</v>
      </c>
      <c r="H161" t="n">
        <v>0</v>
      </c>
      <c r="I161" t="n">
        <v>0</v>
      </c>
      <c r="J161" t="n">
        <v>0</v>
      </c>
      <c r="K161" t="n">
        <v>0</v>
      </c>
      <c r="L161" t="n">
        <v>0</v>
      </c>
      <c r="M161" t="n">
        <v>0</v>
      </c>
      <c r="N161" t="n">
        <v>0</v>
      </c>
      <c r="O161" t="n">
        <v>0</v>
      </c>
      <c r="P161" t="n">
        <v>0</v>
      </c>
      <c r="Q161" t="n">
        <v>0</v>
      </c>
      <c r="R161" s="2" t="inlineStr"/>
    </row>
    <row r="162" ht="15" customHeight="1">
      <c r="A162" t="inlineStr">
        <is>
          <t>A 39901-2019</t>
        </is>
      </c>
      <c r="B162" s="1" t="n">
        <v>43692</v>
      </c>
      <c r="C162" s="1" t="n">
        <v>45665</v>
      </c>
      <c r="D162" t="inlineStr">
        <is>
          <t>KALMAR LÄN</t>
        </is>
      </c>
      <c r="E162" t="inlineStr">
        <is>
          <t>VIMMERBY</t>
        </is>
      </c>
      <c r="G162" t="n">
        <v>1.5</v>
      </c>
      <c r="H162" t="n">
        <v>0</v>
      </c>
      <c r="I162" t="n">
        <v>0</v>
      </c>
      <c r="J162" t="n">
        <v>0</v>
      </c>
      <c r="K162" t="n">
        <v>0</v>
      </c>
      <c r="L162" t="n">
        <v>0</v>
      </c>
      <c r="M162" t="n">
        <v>0</v>
      </c>
      <c r="N162" t="n">
        <v>0</v>
      </c>
      <c r="O162" t="n">
        <v>0</v>
      </c>
      <c r="P162" t="n">
        <v>0</v>
      </c>
      <c r="Q162" t="n">
        <v>0</v>
      </c>
      <c r="R162" s="2" t="inlineStr"/>
    </row>
    <row r="163" ht="15" customHeight="1">
      <c r="A163" t="inlineStr">
        <is>
          <t>A 39962-2019</t>
        </is>
      </c>
      <c r="B163" s="1" t="n">
        <v>43692</v>
      </c>
      <c r="C163" s="1" t="n">
        <v>45665</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39899-2019</t>
        </is>
      </c>
      <c r="B164" s="1" t="n">
        <v>43692</v>
      </c>
      <c r="C164" s="1" t="n">
        <v>45665</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39894-2019</t>
        </is>
      </c>
      <c r="B165" s="1" t="n">
        <v>43692</v>
      </c>
      <c r="C165" s="1" t="n">
        <v>45665</v>
      </c>
      <c r="D165" t="inlineStr">
        <is>
          <t>KALMAR LÄN</t>
        </is>
      </c>
      <c r="E165" t="inlineStr">
        <is>
          <t>VIMMERBY</t>
        </is>
      </c>
      <c r="G165" t="n">
        <v>3.3</v>
      </c>
      <c r="H165" t="n">
        <v>0</v>
      </c>
      <c r="I165" t="n">
        <v>0</v>
      </c>
      <c r="J165" t="n">
        <v>0</v>
      </c>
      <c r="K165" t="n">
        <v>0</v>
      </c>
      <c r="L165" t="n">
        <v>0</v>
      </c>
      <c r="M165" t="n">
        <v>0</v>
      </c>
      <c r="N165" t="n">
        <v>0</v>
      </c>
      <c r="O165" t="n">
        <v>0</v>
      </c>
      <c r="P165" t="n">
        <v>0</v>
      </c>
      <c r="Q165" t="n">
        <v>0</v>
      </c>
      <c r="R165" s="2" t="inlineStr"/>
    </row>
    <row r="166" ht="15" customHeight="1">
      <c r="A166" t="inlineStr">
        <is>
          <t>A 39920-2019</t>
        </is>
      </c>
      <c r="B166" s="1" t="n">
        <v>43692</v>
      </c>
      <c r="C166" s="1" t="n">
        <v>45665</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39897-2019</t>
        </is>
      </c>
      <c r="B167" s="1" t="n">
        <v>43692</v>
      </c>
      <c r="C167" s="1" t="n">
        <v>45665</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40140-2019</t>
        </is>
      </c>
      <c r="B168" s="1" t="n">
        <v>43693</v>
      </c>
      <c r="C168" s="1" t="n">
        <v>45665</v>
      </c>
      <c r="D168" t="inlineStr">
        <is>
          <t>KALMAR LÄN</t>
        </is>
      </c>
      <c r="E168" t="inlineStr">
        <is>
          <t>VIMMERBY</t>
        </is>
      </c>
      <c r="F168" t="inlineStr">
        <is>
          <t>Kommuner</t>
        </is>
      </c>
      <c r="G168" t="n">
        <v>1.3</v>
      </c>
      <c r="H168" t="n">
        <v>0</v>
      </c>
      <c r="I168" t="n">
        <v>0</v>
      </c>
      <c r="J168" t="n">
        <v>0</v>
      </c>
      <c r="K168" t="n">
        <v>0</v>
      </c>
      <c r="L168" t="n">
        <v>0</v>
      </c>
      <c r="M168" t="n">
        <v>0</v>
      </c>
      <c r="N168" t="n">
        <v>0</v>
      </c>
      <c r="O168" t="n">
        <v>0</v>
      </c>
      <c r="P168" t="n">
        <v>0</v>
      </c>
      <c r="Q168" t="n">
        <v>0</v>
      </c>
      <c r="R168" s="2" t="inlineStr"/>
    </row>
    <row r="169" ht="15" customHeight="1">
      <c r="A169" t="inlineStr">
        <is>
          <t>A 40691-2019</t>
        </is>
      </c>
      <c r="B169" s="1" t="n">
        <v>43696</v>
      </c>
      <c r="C169" s="1" t="n">
        <v>45665</v>
      </c>
      <c r="D169" t="inlineStr">
        <is>
          <t>KALMAR LÄN</t>
        </is>
      </c>
      <c r="E169" t="inlineStr">
        <is>
          <t>VIMMERBY</t>
        </is>
      </c>
      <c r="G169" t="n">
        <v>10.9</v>
      </c>
      <c r="H169" t="n">
        <v>0</v>
      </c>
      <c r="I169" t="n">
        <v>0</v>
      </c>
      <c r="J169" t="n">
        <v>0</v>
      </c>
      <c r="K169" t="n">
        <v>0</v>
      </c>
      <c r="L169" t="n">
        <v>0</v>
      </c>
      <c r="M169" t="n">
        <v>0</v>
      </c>
      <c r="N169" t="n">
        <v>0</v>
      </c>
      <c r="O169" t="n">
        <v>0</v>
      </c>
      <c r="P169" t="n">
        <v>0</v>
      </c>
      <c r="Q169" t="n">
        <v>0</v>
      </c>
      <c r="R169" s="2" t="inlineStr"/>
    </row>
    <row r="170" ht="15" customHeight="1">
      <c r="A170" t="inlineStr">
        <is>
          <t>A 40692-2019</t>
        </is>
      </c>
      <c r="B170" s="1" t="n">
        <v>43696</v>
      </c>
      <c r="C170" s="1" t="n">
        <v>45665</v>
      </c>
      <c r="D170" t="inlineStr">
        <is>
          <t>KALMAR LÄN</t>
        </is>
      </c>
      <c r="E170" t="inlineStr">
        <is>
          <t>VIMMERBY</t>
        </is>
      </c>
      <c r="G170" t="n">
        <v>1.4</v>
      </c>
      <c r="H170" t="n">
        <v>0</v>
      </c>
      <c r="I170" t="n">
        <v>0</v>
      </c>
      <c r="J170" t="n">
        <v>0</v>
      </c>
      <c r="K170" t="n">
        <v>0</v>
      </c>
      <c r="L170" t="n">
        <v>0</v>
      </c>
      <c r="M170" t="n">
        <v>0</v>
      </c>
      <c r="N170" t="n">
        <v>0</v>
      </c>
      <c r="O170" t="n">
        <v>0</v>
      </c>
      <c r="P170" t="n">
        <v>0</v>
      </c>
      <c r="Q170" t="n">
        <v>0</v>
      </c>
      <c r="R170" s="2" t="inlineStr"/>
    </row>
    <row r="171" ht="15" customHeight="1">
      <c r="A171" t="inlineStr">
        <is>
          <t>A 41347-2019</t>
        </is>
      </c>
      <c r="B171" s="1" t="n">
        <v>43698</v>
      </c>
      <c r="C171" s="1" t="n">
        <v>45665</v>
      </c>
      <c r="D171" t="inlineStr">
        <is>
          <t>KALMAR LÄN</t>
        </is>
      </c>
      <c r="E171" t="inlineStr">
        <is>
          <t>VIMMERBY</t>
        </is>
      </c>
      <c r="G171" t="n">
        <v>1.8</v>
      </c>
      <c r="H171" t="n">
        <v>0</v>
      </c>
      <c r="I171" t="n">
        <v>0</v>
      </c>
      <c r="J171" t="n">
        <v>0</v>
      </c>
      <c r="K171" t="n">
        <v>0</v>
      </c>
      <c r="L171" t="n">
        <v>0</v>
      </c>
      <c r="M171" t="n">
        <v>0</v>
      </c>
      <c r="N171" t="n">
        <v>0</v>
      </c>
      <c r="O171" t="n">
        <v>0</v>
      </c>
      <c r="P171" t="n">
        <v>0</v>
      </c>
      <c r="Q171" t="n">
        <v>0</v>
      </c>
      <c r="R171" s="2" t="inlineStr"/>
    </row>
    <row r="172" ht="15" customHeight="1">
      <c r="A172" t="inlineStr">
        <is>
          <t>A 42142-2019</t>
        </is>
      </c>
      <c r="B172" s="1" t="n">
        <v>43703</v>
      </c>
      <c r="C172" s="1" t="n">
        <v>45665</v>
      </c>
      <c r="D172" t="inlineStr">
        <is>
          <t>KALMAR LÄN</t>
        </is>
      </c>
      <c r="E172" t="inlineStr">
        <is>
          <t>VIMMERBY</t>
        </is>
      </c>
      <c r="G172" t="n">
        <v>3.3</v>
      </c>
      <c r="H172" t="n">
        <v>0</v>
      </c>
      <c r="I172" t="n">
        <v>0</v>
      </c>
      <c r="J172" t="n">
        <v>0</v>
      </c>
      <c r="K172" t="n">
        <v>0</v>
      </c>
      <c r="L172" t="n">
        <v>0</v>
      </c>
      <c r="M172" t="n">
        <v>0</v>
      </c>
      <c r="N172" t="n">
        <v>0</v>
      </c>
      <c r="O172" t="n">
        <v>0</v>
      </c>
      <c r="P172" t="n">
        <v>0</v>
      </c>
      <c r="Q172" t="n">
        <v>0</v>
      </c>
      <c r="R172" s="2" t="inlineStr"/>
    </row>
    <row r="173" ht="15" customHeight="1">
      <c r="A173" t="inlineStr">
        <is>
          <t>A 42759-2019</t>
        </is>
      </c>
      <c r="B173" s="1" t="n">
        <v>43704</v>
      </c>
      <c r="C173" s="1" t="n">
        <v>45665</v>
      </c>
      <c r="D173" t="inlineStr">
        <is>
          <t>KALMAR LÄN</t>
        </is>
      </c>
      <c r="E173" t="inlineStr">
        <is>
          <t>VIMMERBY</t>
        </is>
      </c>
      <c r="G173" t="n">
        <v>4.6</v>
      </c>
      <c r="H173" t="n">
        <v>0</v>
      </c>
      <c r="I173" t="n">
        <v>0</v>
      </c>
      <c r="J173" t="n">
        <v>0</v>
      </c>
      <c r="K173" t="n">
        <v>0</v>
      </c>
      <c r="L173" t="n">
        <v>0</v>
      </c>
      <c r="M173" t="n">
        <v>0</v>
      </c>
      <c r="N173" t="n">
        <v>0</v>
      </c>
      <c r="O173" t="n">
        <v>0</v>
      </c>
      <c r="P173" t="n">
        <v>0</v>
      </c>
      <c r="Q173" t="n">
        <v>0</v>
      </c>
      <c r="R173" s="2" t="inlineStr"/>
    </row>
    <row r="174" ht="15" customHeight="1">
      <c r="A174" t="inlineStr">
        <is>
          <t>A 42758-2019</t>
        </is>
      </c>
      <c r="B174" s="1" t="n">
        <v>43704</v>
      </c>
      <c r="C174" s="1" t="n">
        <v>45665</v>
      </c>
      <c r="D174" t="inlineStr">
        <is>
          <t>KALMAR LÄN</t>
        </is>
      </c>
      <c r="E174" t="inlineStr">
        <is>
          <t>VIMMERBY</t>
        </is>
      </c>
      <c r="G174" t="n">
        <v>6.2</v>
      </c>
      <c r="H174" t="n">
        <v>0</v>
      </c>
      <c r="I174" t="n">
        <v>0</v>
      </c>
      <c r="J174" t="n">
        <v>0</v>
      </c>
      <c r="K174" t="n">
        <v>0</v>
      </c>
      <c r="L174" t="n">
        <v>0</v>
      </c>
      <c r="M174" t="n">
        <v>0</v>
      </c>
      <c r="N174" t="n">
        <v>0</v>
      </c>
      <c r="O174" t="n">
        <v>0</v>
      </c>
      <c r="P174" t="n">
        <v>0</v>
      </c>
      <c r="Q174" t="n">
        <v>0</v>
      </c>
      <c r="R174" s="2" t="inlineStr"/>
    </row>
    <row r="175" ht="15" customHeight="1">
      <c r="A175" t="inlineStr">
        <is>
          <t>A 42947-2019</t>
        </is>
      </c>
      <c r="B175" s="1" t="n">
        <v>43705</v>
      </c>
      <c r="C175" s="1" t="n">
        <v>45665</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42972-2019</t>
        </is>
      </c>
      <c r="B176" s="1" t="n">
        <v>43705</v>
      </c>
      <c r="C176" s="1" t="n">
        <v>45665</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44202-2019</t>
        </is>
      </c>
      <c r="B177" s="1" t="n">
        <v>43710</v>
      </c>
      <c r="C177" s="1" t="n">
        <v>45665</v>
      </c>
      <c r="D177" t="inlineStr">
        <is>
          <t>KALMAR LÄN</t>
        </is>
      </c>
      <c r="E177" t="inlineStr">
        <is>
          <t>VIMMERBY</t>
        </is>
      </c>
      <c r="G177" t="n">
        <v>1.3</v>
      </c>
      <c r="H177" t="n">
        <v>0</v>
      </c>
      <c r="I177" t="n">
        <v>0</v>
      </c>
      <c r="J177" t="n">
        <v>0</v>
      </c>
      <c r="K177" t="n">
        <v>0</v>
      </c>
      <c r="L177" t="n">
        <v>0</v>
      </c>
      <c r="M177" t="n">
        <v>0</v>
      </c>
      <c r="N177" t="n">
        <v>0</v>
      </c>
      <c r="O177" t="n">
        <v>0</v>
      </c>
      <c r="P177" t="n">
        <v>0</v>
      </c>
      <c r="Q177" t="n">
        <v>0</v>
      </c>
      <c r="R177" s="2" t="inlineStr"/>
    </row>
    <row r="178" ht="15" customHeight="1">
      <c r="A178" t="inlineStr">
        <is>
          <t>A 44630-2019</t>
        </is>
      </c>
      <c r="B178" s="1" t="n">
        <v>43712</v>
      </c>
      <c r="C178" s="1" t="n">
        <v>45665</v>
      </c>
      <c r="D178" t="inlineStr">
        <is>
          <t>KALMAR LÄN</t>
        </is>
      </c>
      <c r="E178" t="inlineStr">
        <is>
          <t>VIMMERBY</t>
        </is>
      </c>
      <c r="G178" t="n">
        <v>0.7</v>
      </c>
      <c r="H178" t="n">
        <v>0</v>
      </c>
      <c r="I178" t="n">
        <v>0</v>
      </c>
      <c r="J178" t="n">
        <v>0</v>
      </c>
      <c r="K178" t="n">
        <v>0</v>
      </c>
      <c r="L178" t="n">
        <v>0</v>
      </c>
      <c r="M178" t="n">
        <v>0</v>
      </c>
      <c r="N178" t="n">
        <v>0</v>
      </c>
      <c r="O178" t="n">
        <v>0</v>
      </c>
      <c r="P178" t="n">
        <v>0</v>
      </c>
      <c r="Q178" t="n">
        <v>0</v>
      </c>
      <c r="R178" s="2" t="inlineStr"/>
    </row>
    <row r="179" ht="15" customHeight="1">
      <c r="A179" t="inlineStr">
        <is>
          <t>A 45446-2019</t>
        </is>
      </c>
      <c r="B179" s="1" t="n">
        <v>43714</v>
      </c>
      <c r="C179" s="1" t="n">
        <v>45665</v>
      </c>
      <c r="D179" t="inlineStr">
        <is>
          <t>KALMAR LÄN</t>
        </is>
      </c>
      <c r="E179" t="inlineStr">
        <is>
          <t>VIMMERBY</t>
        </is>
      </c>
      <c r="G179" t="n">
        <v>3.8</v>
      </c>
      <c r="H179" t="n">
        <v>0</v>
      </c>
      <c r="I179" t="n">
        <v>0</v>
      </c>
      <c r="J179" t="n">
        <v>0</v>
      </c>
      <c r="K179" t="n">
        <v>0</v>
      </c>
      <c r="L179" t="n">
        <v>0</v>
      </c>
      <c r="M179" t="n">
        <v>0</v>
      </c>
      <c r="N179" t="n">
        <v>0</v>
      </c>
      <c r="O179" t="n">
        <v>0</v>
      </c>
      <c r="P179" t="n">
        <v>0</v>
      </c>
      <c r="Q179" t="n">
        <v>0</v>
      </c>
      <c r="R179" s="2" t="inlineStr"/>
    </row>
    <row r="180" ht="15" customHeight="1">
      <c r="A180" t="inlineStr">
        <is>
          <t>A 45413-2019</t>
        </is>
      </c>
      <c r="B180" s="1" t="n">
        <v>43714</v>
      </c>
      <c r="C180" s="1" t="n">
        <v>45665</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45515-2019</t>
        </is>
      </c>
      <c r="B181" s="1" t="n">
        <v>43714</v>
      </c>
      <c r="C181" s="1" t="n">
        <v>45665</v>
      </c>
      <c r="D181" t="inlineStr">
        <is>
          <t>KALMAR LÄN</t>
        </is>
      </c>
      <c r="E181" t="inlineStr">
        <is>
          <t>VIMMERBY</t>
        </is>
      </c>
      <c r="G181" t="n">
        <v>2.4</v>
      </c>
      <c r="H181" t="n">
        <v>0</v>
      </c>
      <c r="I181" t="n">
        <v>0</v>
      </c>
      <c r="J181" t="n">
        <v>0</v>
      </c>
      <c r="K181" t="n">
        <v>0</v>
      </c>
      <c r="L181" t="n">
        <v>0</v>
      </c>
      <c r="M181" t="n">
        <v>0</v>
      </c>
      <c r="N181" t="n">
        <v>0</v>
      </c>
      <c r="O181" t="n">
        <v>0</v>
      </c>
      <c r="P181" t="n">
        <v>0</v>
      </c>
      <c r="Q181" t="n">
        <v>0</v>
      </c>
      <c r="R181" s="2" t="inlineStr"/>
    </row>
    <row r="182" ht="15" customHeight="1">
      <c r="A182" t="inlineStr">
        <is>
          <t>A 46242-2019</t>
        </is>
      </c>
      <c r="B182" s="1" t="n">
        <v>43718</v>
      </c>
      <c r="C182" s="1" t="n">
        <v>45665</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46845-2019</t>
        </is>
      </c>
      <c r="B183" s="1" t="n">
        <v>43718</v>
      </c>
      <c r="C183" s="1" t="n">
        <v>45665</v>
      </c>
      <c r="D183" t="inlineStr">
        <is>
          <t>KALMAR LÄN</t>
        </is>
      </c>
      <c r="E183" t="inlineStr">
        <is>
          <t>VIMMERBY</t>
        </is>
      </c>
      <c r="G183" t="n">
        <v>2</v>
      </c>
      <c r="H183" t="n">
        <v>0</v>
      </c>
      <c r="I183" t="n">
        <v>0</v>
      </c>
      <c r="J183" t="n">
        <v>0</v>
      </c>
      <c r="K183" t="n">
        <v>0</v>
      </c>
      <c r="L183" t="n">
        <v>0</v>
      </c>
      <c r="M183" t="n">
        <v>0</v>
      </c>
      <c r="N183" t="n">
        <v>0</v>
      </c>
      <c r="O183" t="n">
        <v>0</v>
      </c>
      <c r="P183" t="n">
        <v>0</v>
      </c>
      <c r="Q183" t="n">
        <v>0</v>
      </c>
      <c r="R183" s="2" t="inlineStr"/>
    </row>
    <row r="184" ht="15" customHeight="1">
      <c r="A184" t="inlineStr">
        <is>
          <t>A 46291-2019</t>
        </is>
      </c>
      <c r="B184" s="1" t="n">
        <v>43718</v>
      </c>
      <c r="C184" s="1" t="n">
        <v>45665</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47187-2019</t>
        </is>
      </c>
      <c r="B185" s="1" t="n">
        <v>43719</v>
      </c>
      <c r="C185" s="1" t="n">
        <v>45665</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46619-2019</t>
        </is>
      </c>
      <c r="B186" s="1" t="n">
        <v>43719</v>
      </c>
      <c r="C186" s="1" t="n">
        <v>45665</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46988-2019</t>
        </is>
      </c>
      <c r="B187" s="1" t="n">
        <v>43720</v>
      </c>
      <c r="C187" s="1" t="n">
        <v>45665</v>
      </c>
      <c r="D187" t="inlineStr">
        <is>
          <t>KALMAR LÄN</t>
        </is>
      </c>
      <c r="E187" t="inlineStr">
        <is>
          <t>VIMMERBY</t>
        </is>
      </c>
      <c r="F187" t="inlineStr">
        <is>
          <t>Kommuner</t>
        </is>
      </c>
      <c r="G187" t="n">
        <v>0.5</v>
      </c>
      <c r="H187" t="n">
        <v>0</v>
      </c>
      <c r="I187" t="n">
        <v>0</v>
      </c>
      <c r="J187" t="n">
        <v>0</v>
      </c>
      <c r="K187" t="n">
        <v>0</v>
      </c>
      <c r="L187" t="n">
        <v>0</v>
      </c>
      <c r="M187" t="n">
        <v>0</v>
      </c>
      <c r="N187" t="n">
        <v>0</v>
      </c>
      <c r="O187" t="n">
        <v>0</v>
      </c>
      <c r="P187" t="n">
        <v>0</v>
      </c>
      <c r="Q187" t="n">
        <v>0</v>
      </c>
      <c r="R187" s="2" t="inlineStr"/>
    </row>
    <row r="188" ht="15" customHeight="1">
      <c r="A188" t="inlineStr">
        <is>
          <t>A 48029-2019</t>
        </is>
      </c>
      <c r="B188" s="1" t="n">
        <v>43725</v>
      </c>
      <c r="C188" s="1" t="n">
        <v>45665</v>
      </c>
      <c r="D188" t="inlineStr">
        <is>
          <t>KALMAR LÄN</t>
        </is>
      </c>
      <c r="E188" t="inlineStr">
        <is>
          <t>VIMMERBY</t>
        </is>
      </c>
      <c r="G188" t="n">
        <v>0.9</v>
      </c>
      <c r="H188" t="n">
        <v>0</v>
      </c>
      <c r="I188" t="n">
        <v>0</v>
      </c>
      <c r="J188" t="n">
        <v>0</v>
      </c>
      <c r="K188" t="n">
        <v>0</v>
      </c>
      <c r="L188" t="n">
        <v>0</v>
      </c>
      <c r="M188" t="n">
        <v>0</v>
      </c>
      <c r="N188" t="n">
        <v>0</v>
      </c>
      <c r="O188" t="n">
        <v>0</v>
      </c>
      <c r="P188" t="n">
        <v>0</v>
      </c>
      <c r="Q188" t="n">
        <v>0</v>
      </c>
      <c r="R188" s="2" t="inlineStr"/>
    </row>
    <row r="189" ht="15" customHeight="1">
      <c r="A189" t="inlineStr">
        <is>
          <t>A 48051-2019</t>
        </is>
      </c>
      <c r="B189" s="1" t="n">
        <v>43725</v>
      </c>
      <c r="C189" s="1" t="n">
        <v>45665</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48164-2019</t>
        </is>
      </c>
      <c r="B190" s="1" t="n">
        <v>43726</v>
      </c>
      <c r="C190" s="1" t="n">
        <v>45665</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48381-2019</t>
        </is>
      </c>
      <c r="B191" s="1" t="n">
        <v>43726</v>
      </c>
      <c r="C191" s="1" t="n">
        <v>45665</v>
      </c>
      <c r="D191" t="inlineStr">
        <is>
          <t>KALMAR LÄN</t>
        </is>
      </c>
      <c r="E191" t="inlineStr">
        <is>
          <t>VIMMERBY</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48380-2019</t>
        </is>
      </c>
      <c r="B192" s="1" t="n">
        <v>43726</v>
      </c>
      <c r="C192" s="1" t="n">
        <v>45665</v>
      </c>
      <c r="D192" t="inlineStr">
        <is>
          <t>KALMAR LÄN</t>
        </is>
      </c>
      <c r="E192" t="inlineStr">
        <is>
          <t>VIMMERBY</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48834-2019</t>
        </is>
      </c>
      <c r="B193" s="1" t="n">
        <v>43728</v>
      </c>
      <c r="C193" s="1" t="n">
        <v>45665</v>
      </c>
      <c r="D193" t="inlineStr">
        <is>
          <t>KALMAR LÄN</t>
        </is>
      </c>
      <c r="E193" t="inlineStr">
        <is>
          <t>VIMMERBY</t>
        </is>
      </c>
      <c r="G193" t="n">
        <v>5.3</v>
      </c>
      <c r="H193" t="n">
        <v>0</v>
      </c>
      <c r="I193" t="n">
        <v>0</v>
      </c>
      <c r="J193" t="n">
        <v>0</v>
      </c>
      <c r="K193" t="n">
        <v>0</v>
      </c>
      <c r="L193" t="n">
        <v>0</v>
      </c>
      <c r="M193" t="n">
        <v>0</v>
      </c>
      <c r="N193" t="n">
        <v>0</v>
      </c>
      <c r="O193" t="n">
        <v>0</v>
      </c>
      <c r="P193" t="n">
        <v>0</v>
      </c>
      <c r="Q193" t="n">
        <v>0</v>
      </c>
      <c r="R193" s="2" t="inlineStr"/>
    </row>
    <row r="194" ht="15" customHeight="1">
      <c r="A194" t="inlineStr">
        <is>
          <t>A 48921-2019</t>
        </is>
      </c>
      <c r="B194" s="1" t="n">
        <v>43728</v>
      </c>
      <c r="C194" s="1" t="n">
        <v>45665</v>
      </c>
      <c r="D194" t="inlineStr">
        <is>
          <t>KALMAR LÄN</t>
        </is>
      </c>
      <c r="E194" t="inlineStr">
        <is>
          <t>VIMMERBY</t>
        </is>
      </c>
      <c r="G194" t="n">
        <v>1.7</v>
      </c>
      <c r="H194" t="n">
        <v>0</v>
      </c>
      <c r="I194" t="n">
        <v>0</v>
      </c>
      <c r="J194" t="n">
        <v>0</v>
      </c>
      <c r="K194" t="n">
        <v>0</v>
      </c>
      <c r="L194" t="n">
        <v>0</v>
      </c>
      <c r="M194" t="n">
        <v>0</v>
      </c>
      <c r="N194" t="n">
        <v>0</v>
      </c>
      <c r="O194" t="n">
        <v>0</v>
      </c>
      <c r="P194" t="n">
        <v>0</v>
      </c>
      <c r="Q194" t="n">
        <v>0</v>
      </c>
      <c r="R194" s="2" t="inlineStr"/>
    </row>
    <row r="195" ht="15" customHeight="1">
      <c r="A195" t="inlineStr">
        <is>
          <t>A 49212-2019</t>
        </is>
      </c>
      <c r="B195" s="1" t="n">
        <v>43731</v>
      </c>
      <c r="C195" s="1" t="n">
        <v>45665</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49208-2019</t>
        </is>
      </c>
      <c r="B196" s="1" t="n">
        <v>43731</v>
      </c>
      <c r="C196" s="1" t="n">
        <v>45665</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49206-2019</t>
        </is>
      </c>
      <c r="B197" s="1" t="n">
        <v>43731</v>
      </c>
      <c r="C197" s="1" t="n">
        <v>45665</v>
      </c>
      <c r="D197" t="inlineStr">
        <is>
          <t>KALMAR LÄN</t>
        </is>
      </c>
      <c r="E197" t="inlineStr">
        <is>
          <t>VIMMERBY</t>
        </is>
      </c>
      <c r="G197" t="n">
        <v>0.7</v>
      </c>
      <c r="H197" t="n">
        <v>0</v>
      </c>
      <c r="I197" t="n">
        <v>0</v>
      </c>
      <c r="J197" t="n">
        <v>0</v>
      </c>
      <c r="K197" t="n">
        <v>0</v>
      </c>
      <c r="L197" t="n">
        <v>0</v>
      </c>
      <c r="M197" t="n">
        <v>0</v>
      </c>
      <c r="N197" t="n">
        <v>0</v>
      </c>
      <c r="O197" t="n">
        <v>0</v>
      </c>
      <c r="P197" t="n">
        <v>0</v>
      </c>
      <c r="Q197" t="n">
        <v>0</v>
      </c>
      <c r="R197" s="2" t="inlineStr"/>
    </row>
    <row r="198" ht="15" customHeight="1">
      <c r="A198" t="inlineStr">
        <is>
          <t>A 49741-2019</t>
        </is>
      </c>
      <c r="B198" s="1" t="n">
        <v>43733</v>
      </c>
      <c r="C198" s="1" t="n">
        <v>45665</v>
      </c>
      <c r="D198" t="inlineStr">
        <is>
          <t>KALMAR LÄN</t>
        </is>
      </c>
      <c r="E198" t="inlineStr">
        <is>
          <t>VIMMERBY</t>
        </is>
      </c>
      <c r="G198" t="n">
        <v>2.2</v>
      </c>
      <c r="H198" t="n">
        <v>0</v>
      </c>
      <c r="I198" t="n">
        <v>0</v>
      </c>
      <c r="J198" t="n">
        <v>0</v>
      </c>
      <c r="K198" t="n">
        <v>0</v>
      </c>
      <c r="L198" t="n">
        <v>0</v>
      </c>
      <c r="M198" t="n">
        <v>0</v>
      </c>
      <c r="N198" t="n">
        <v>0</v>
      </c>
      <c r="O198" t="n">
        <v>0</v>
      </c>
      <c r="P198" t="n">
        <v>0</v>
      </c>
      <c r="Q198" t="n">
        <v>0</v>
      </c>
      <c r="R198" s="2" t="inlineStr"/>
    </row>
    <row r="199" ht="15" customHeight="1">
      <c r="A199" t="inlineStr">
        <is>
          <t>A 49760-2019</t>
        </is>
      </c>
      <c r="B199" s="1" t="n">
        <v>43733</v>
      </c>
      <c r="C199" s="1" t="n">
        <v>45665</v>
      </c>
      <c r="D199" t="inlineStr">
        <is>
          <t>KALMAR LÄN</t>
        </is>
      </c>
      <c r="E199" t="inlineStr">
        <is>
          <t>VIMMERBY</t>
        </is>
      </c>
      <c r="G199" t="n">
        <v>2.3</v>
      </c>
      <c r="H199" t="n">
        <v>0</v>
      </c>
      <c r="I199" t="n">
        <v>0</v>
      </c>
      <c r="J199" t="n">
        <v>0</v>
      </c>
      <c r="K199" t="n">
        <v>0</v>
      </c>
      <c r="L199" t="n">
        <v>0</v>
      </c>
      <c r="M199" t="n">
        <v>0</v>
      </c>
      <c r="N199" t="n">
        <v>0</v>
      </c>
      <c r="O199" t="n">
        <v>0</v>
      </c>
      <c r="P199" t="n">
        <v>0</v>
      </c>
      <c r="Q199" t="n">
        <v>0</v>
      </c>
      <c r="R199" s="2" t="inlineStr"/>
    </row>
    <row r="200" ht="15" customHeight="1">
      <c r="A200" t="inlineStr">
        <is>
          <t>A 49747-2019</t>
        </is>
      </c>
      <c r="B200" s="1" t="n">
        <v>43733</v>
      </c>
      <c r="C200" s="1" t="n">
        <v>45665</v>
      </c>
      <c r="D200" t="inlineStr">
        <is>
          <t>KALMAR LÄN</t>
        </is>
      </c>
      <c r="E200" t="inlineStr">
        <is>
          <t>VIMMERBY</t>
        </is>
      </c>
      <c r="G200" t="n">
        <v>4.9</v>
      </c>
      <c r="H200" t="n">
        <v>0</v>
      </c>
      <c r="I200" t="n">
        <v>0</v>
      </c>
      <c r="J200" t="n">
        <v>0</v>
      </c>
      <c r="K200" t="n">
        <v>0</v>
      </c>
      <c r="L200" t="n">
        <v>0</v>
      </c>
      <c r="M200" t="n">
        <v>0</v>
      </c>
      <c r="N200" t="n">
        <v>0</v>
      </c>
      <c r="O200" t="n">
        <v>0</v>
      </c>
      <c r="P200" t="n">
        <v>0</v>
      </c>
      <c r="Q200" t="n">
        <v>0</v>
      </c>
      <c r="R200" s="2" t="inlineStr"/>
    </row>
    <row r="201" ht="15" customHeight="1">
      <c r="A201" t="inlineStr">
        <is>
          <t>A 49855-2019</t>
        </is>
      </c>
      <c r="B201" s="1" t="n">
        <v>43733</v>
      </c>
      <c r="C201" s="1" t="n">
        <v>45665</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49871-2019</t>
        </is>
      </c>
      <c r="B202" s="1" t="n">
        <v>43733</v>
      </c>
      <c r="C202" s="1" t="n">
        <v>45665</v>
      </c>
      <c r="D202" t="inlineStr">
        <is>
          <t>KALMAR LÄN</t>
        </is>
      </c>
      <c r="E202" t="inlineStr">
        <is>
          <t>VIMMERBY</t>
        </is>
      </c>
      <c r="F202" t="inlineStr">
        <is>
          <t>Sveaskog</t>
        </is>
      </c>
      <c r="G202" t="n">
        <v>5.9</v>
      </c>
      <c r="H202" t="n">
        <v>0</v>
      </c>
      <c r="I202" t="n">
        <v>0</v>
      </c>
      <c r="J202" t="n">
        <v>0</v>
      </c>
      <c r="K202" t="n">
        <v>0</v>
      </c>
      <c r="L202" t="n">
        <v>0</v>
      </c>
      <c r="M202" t="n">
        <v>0</v>
      </c>
      <c r="N202" t="n">
        <v>0</v>
      </c>
      <c r="O202" t="n">
        <v>0</v>
      </c>
      <c r="P202" t="n">
        <v>0</v>
      </c>
      <c r="Q202" t="n">
        <v>0</v>
      </c>
      <c r="R202" s="2" t="inlineStr"/>
    </row>
    <row r="203" ht="15" customHeight="1">
      <c r="A203" t="inlineStr">
        <is>
          <t>A 49880-2019</t>
        </is>
      </c>
      <c r="B203" s="1" t="n">
        <v>43733</v>
      </c>
      <c r="C203" s="1" t="n">
        <v>45665</v>
      </c>
      <c r="D203" t="inlineStr">
        <is>
          <t>KALMAR LÄN</t>
        </is>
      </c>
      <c r="E203" t="inlineStr">
        <is>
          <t>VIMMERBY</t>
        </is>
      </c>
      <c r="F203" t="inlineStr">
        <is>
          <t>Sveaskog</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49885-2019</t>
        </is>
      </c>
      <c r="B204" s="1" t="n">
        <v>43733</v>
      </c>
      <c r="C204" s="1" t="n">
        <v>45665</v>
      </c>
      <c r="D204" t="inlineStr">
        <is>
          <t>KALMAR LÄN</t>
        </is>
      </c>
      <c r="E204" t="inlineStr">
        <is>
          <t>VIMMERBY</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49901-2019</t>
        </is>
      </c>
      <c r="B205" s="1" t="n">
        <v>43733</v>
      </c>
      <c r="C205" s="1" t="n">
        <v>45665</v>
      </c>
      <c r="D205" t="inlineStr">
        <is>
          <t>KALMAR LÄN</t>
        </is>
      </c>
      <c r="E205" t="inlineStr">
        <is>
          <t>VIMMERBY</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49891-2019</t>
        </is>
      </c>
      <c r="B206" s="1" t="n">
        <v>43733</v>
      </c>
      <c r="C206" s="1" t="n">
        <v>45665</v>
      </c>
      <c r="D206" t="inlineStr">
        <is>
          <t>KALMAR LÄN</t>
        </is>
      </c>
      <c r="E206" t="inlineStr">
        <is>
          <t>VIMMERBY</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49695-2019</t>
        </is>
      </c>
      <c r="B207" s="1" t="n">
        <v>43733</v>
      </c>
      <c r="C207" s="1" t="n">
        <v>45665</v>
      </c>
      <c r="D207" t="inlineStr">
        <is>
          <t>KALMAR LÄN</t>
        </is>
      </c>
      <c r="E207" t="inlineStr">
        <is>
          <t>VIMMERBY</t>
        </is>
      </c>
      <c r="G207" t="n">
        <v>4.6</v>
      </c>
      <c r="H207" t="n">
        <v>0</v>
      </c>
      <c r="I207" t="n">
        <v>0</v>
      </c>
      <c r="J207" t="n">
        <v>0</v>
      </c>
      <c r="K207" t="n">
        <v>0</v>
      </c>
      <c r="L207" t="n">
        <v>0</v>
      </c>
      <c r="M207" t="n">
        <v>0</v>
      </c>
      <c r="N207" t="n">
        <v>0</v>
      </c>
      <c r="O207" t="n">
        <v>0</v>
      </c>
      <c r="P207" t="n">
        <v>0</v>
      </c>
      <c r="Q207" t="n">
        <v>0</v>
      </c>
      <c r="R207" s="2" t="inlineStr"/>
    </row>
    <row r="208" ht="15" customHeight="1">
      <c r="A208" t="inlineStr">
        <is>
          <t>A 50214-2019</t>
        </is>
      </c>
      <c r="B208" s="1" t="n">
        <v>43734</v>
      </c>
      <c r="C208" s="1" t="n">
        <v>45665</v>
      </c>
      <c r="D208" t="inlineStr">
        <is>
          <t>KALMAR LÄN</t>
        </is>
      </c>
      <c r="E208" t="inlineStr">
        <is>
          <t>VIMMERBY</t>
        </is>
      </c>
      <c r="G208" t="n">
        <v>0.5</v>
      </c>
      <c r="H208" t="n">
        <v>0</v>
      </c>
      <c r="I208" t="n">
        <v>0</v>
      </c>
      <c r="J208" t="n">
        <v>0</v>
      </c>
      <c r="K208" t="n">
        <v>0</v>
      </c>
      <c r="L208" t="n">
        <v>0</v>
      </c>
      <c r="M208" t="n">
        <v>0</v>
      </c>
      <c r="N208" t="n">
        <v>0</v>
      </c>
      <c r="O208" t="n">
        <v>0</v>
      </c>
      <c r="P208" t="n">
        <v>0</v>
      </c>
      <c r="Q208" t="n">
        <v>0</v>
      </c>
      <c r="R208" s="2" t="inlineStr"/>
    </row>
    <row r="209" ht="15" customHeight="1">
      <c r="A209" t="inlineStr">
        <is>
          <t>A 50317-2019</t>
        </is>
      </c>
      <c r="B209" s="1" t="n">
        <v>43735</v>
      </c>
      <c r="C209" s="1" t="n">
        <v>45665</v>
      </c>
      <c r="D209" t="inlineStr">
        <is>
          <t>KALMAR LÄN</t>
        </is>
      </c>
      <c r="E209" t="inlineStr">
        <is>
          <t>VIMMERBY</t>
        </is>
      </c>
      <c r="G209" t="n">
        <v>2</v>
      </c>
      <c r="H209" t="n">
        <v>0</v>
      </c>
      <c r="I209" t="n">
        <v>0</v>
      </c>
      <c r="J209" t="n">
        <v>0</v>
      </c>
      <c r="K209" t="n">
        <v>0</v>
      </c>
      <c r="L209" t="n">
        <v>0</v>
      </c>
      <c r="M209" t="n">
        <v>0</v>
      </c>
      <c r="N209" t="n">
        <v>0</v>
      </c>
      <c r="O209" t="n">
        <v>0</v>
      </c>
      <c r="P209" t="n">
        <v>0</v>
      </c>
      <c r="Q209" t="n">
        <v>0</v>
      </c>
      <c r="R209" s="2" t="inlineStr"/>
    </row>
    <row r="210" ht="15" customHeight="1">
      <c r="A210" t="inlineStr">
        <is>
          <t>A 50761-2019</t>
        </is>
      </c>
      <c r="B210" s="1" t="n">
        <v>43738</v>
      </c>
      <c r="C210" s="1" t="n">
        <v>45665</v>
      </c>
      <c r="D210" t="inlineStr">
        <is>
          <t>KALMAR LÄN</t>
        </is>
      </c>
      <c r="E210" t="inlineStr">
        <is>
          <t>VIMMERBY</t>
        </is>
      </c>
      <c r="G210" t="n">
        <v>3.9</v>
      </c>
      <c r="H210" t="n">
        <v>0</v>
      </c>
      <c r="I210" t="n">
        <v>0</v>
      </c>
      <c r="J210" t="n">
        <v>0</v>
      </c>
      <c r="K210" t="n">
        <v>0</v>
      </c>
      <c r="L210" t="n">
        <v>0</v>
      </c>
      <c r="M210" t="n">
        <v>0</v>
      </c>
      <c r="N210" t="n">
        <v>0</v>
      </c>
      <c r="O210" t="n">
        <v>0</v>
      </c>
      <c r="P210" t="n">
        <v>0</v>
      </c>
      <c r="Q210" t="n">
        <v>0</v>
      </c>
      <c r="R210" s="2" t="inlineStr"/>
    </row>
    <row r="211" ht="15" customHeight="1">
      <c r="A211" t="inlineStr">
        <is>
          <t>A 51273-2019</t>
        </is>
      </c>
      <c r="B211" s="1" t="n">
        <v>43739</v>
      </c>
      <c r="C211" s="1" t="n">
        <v>45665</v>
      </c>
      <c r="D211" t="inlineStr">
        <is>
          <t>KALMAR LÄN</t>
        </is>
      </c>
      <c r="E211" t="inlineStr">
        <is>
          <t>VIMMERBY</t>
        </is>
      </c>
      <c r="F211" t="inlineStr">
        <is>
          <t>Sveaskog</t>
        </is>
      </c>
      <c r="G211" t="n">
        <v>2.2</v>
      </c>
      <c r="H211" t="n">
        <v>0</v>
      </c>
      <c r="I211" t="n">
        <v>0</v>
      </c>
      <c r="J211" t="n">
        <v>0</v>
      </c>
      <c r="K211" t="n">
        <v>0</v>
      </c>
      <c r="L211" t="n">
        <v>0</v>
      </c>
      <c r="M211" t="n">
        <v>0</v>
      </c>
      <c r="N211" t="n">
        <v>0</v>
      </c>
      <c r="O211" t="n">
        <v>0</v>
      </c>
      <c r="P211" t="n">
        <v>0</v>
      </c>
      <c r="Q211" t="n">
        <v>0</v>
      </c>
      <c r="R211" s="2" t="inlineStr"/>
    </row>
    <row r="212" ht="15" customHeight="1">
      <c r="A212" t="inlineStr">
        <is>
          <t>A 51277-2019</t>
        </is>
      </c>
      <c r="B212" s="1" t="n">
        <v>43739</v>
      </c>
      <c r="C212" s="1" t="n">
        <v>45665</v>
      </c>
      <c r="D212" t="inlineStr">
        <is>
          <t>KALMAR LÄN</t>
        </is>
      </c>
      <c r="E212" t="inlineStr">
        <is>
          <t>VIMMERBY</t>
        </is>
      </c>
      <c r="F212" t="inlineStr">
        <is>
          <t>Sveaskog</t>
        </is>
      </c>
      <c r="G212" t="n">
        <v>7.9</v>
      </c>
      <c r="H212" t="n">
        <v>0</v>
      </c>
      <c r="I212" t="n">
        <v>0</v>
      </c>
      <c r="J212" t="n">
        <v>0</v>
      </c>
      <c r="K212" t="n">
        <v>0</v>
      </c>
      <c r="L212" t="n">
        <v>0</v>
      </c>
      <c r="M212" t="n">
        <v>0</v>
      </c>
      <c r="N212" t="n">
        <v>0</v>
      </c>
      <c r="O212" t="n">
        <v>0</v>
      </c>
      <c r="P212" t="n">
        <v>0</v>
      </c>
      <c r="Q212" t="n">
        <v>0</v>
      </c>
      <c r="R212" s="2" t="inlineStr"/>
    </row>
    <row r="213" ht="15" customHeight="1">
      <c r="A213" t="inlineStr">
        <is>
          <t>A 51362-2019</t>
        </is>
      </c>
      <c r="B213" s="1" t="n">
        <v>43740</v>
      </c>
      <c r="C213" s="1" t="n">
        <v>45665</v>
      </c>
      <c r="D213" t="inlineStr">
        <is>
          <t>KALMAR LÄN</t>
        </is>
      </c>
      <c r="E213" t="inlineStr">
        <is>
          <t>VIMMERBY</t>
        </is>
      </c>
      <c r="G213" t="n">
        <v>2.4</v>
      </c>
      <c r="H213" t="n">
        <v>0</v>
      </c>
      <c r="I213" t="n">
        <v>0</v>
      </c>
      <c r="J213" t="n">
        <v>0</v>
      </c>
      <c r="K213" t="n">
        <v>0</v>
      </c>
      <c r="L213" t="n">
        <v>0</v>
      </c>
      <c r="M213" t="n">
        <v>0</v>
      </c>
      <c r="N213" t="n">
        <v>0</v>
      </c>
      <c r="O213" t="n">
        <v>0</v>
      </c>
      <c r="P213" t="n">
        <v>0</v>
      </c>
      <c r="Q213" t="n">
        <v>0</v>
      </c>
      <c r="R213" s="2" t="inlineStr"/>
    </row>
    <row r="214" ht="15" customHeight="1">
      <c r="A214" t="inlineStr">
        <is>
          <t>A 51552-2019</t>
        </is>
      </c>
      <c r="B214" s="1" t="n">
        <v>43740</v>
      </c>
      <c r="C214" s="1" t="n">
        <v>45665</v>
      </c>
      <c r="D214" t="inlineStr">
        <is>
          <t>KALMAR LÄN</t>
        </is>
      </c>
      <c r="E214" t="inlineStr">
        <is>
          <t>VIMMERBY</t>
        </is>
      </c>
      <c r="G214" t="n">
        <v>1.2</v>
      </c>
      <c r="H214" t="n">
        <v>0</v>
      </c>
      <c r="I214" t="n">
        <v>0</v>
      </c>
      <c r="J214" t="n">
        <v>0</v>
      </c>
      <c r="K214" t="n">
        <v>0</v>
      </c>
      <c r="L214" t="n">
        <v>0</v>
      </c>
      <c r="M214" t="n">
        <v>0</v>
      </c>
      <c r="N214" t="n">
        <v>0</v>
      </c>
      <c r="O214" t="n">
        <v>0</v>
      </c>
      <c r="P214" t="n">
        <v>0</v>
      </c>
      <c r="Q214" t="n">
        <v>0</v>
      </c>
      <c r="R214" s="2" t="inlineStr"/>
    </row>
    <row r="215" ht="15" customHeight="1">
      <c r="A215" t="inlineStr">
        <is>
          <t>A 51719-2019</t>
        </is>
      </c>
      <c r="B215" s="1" t="n">
        <v>43741</v>
      </c>
      <c r="C215" s="1" t="n">
        <v>45665</v>
      </c>
      <c r="D215" t="inlineStr">
        <is>
          <t>KALMAR LÄN</t>
        </is>
      </c>
      <c r="E215" t="inlineStr">
        <is>
          <t>VIMMERBY</t>
        </is>
      </c>
      <c r="G215" t="n">
        <v>3</v>
      </c>
      <c r="H215" t="n">
        <v>0</v>
      </c>
      <c r="I215" t="n">
        <v>0</v>
      </c>
      <c r="J215" t="n">
        <v>0</v>
      </c>
      <c r="K215" t="n">
        <v>0</v>
      </c>
      <c r="L215" t="n">
        <v>0</v>
      </c>
      <c r="M215" t="n">
        <v>0</v>
      </c>
      <c r="N215" t="n">
        <v>0</v>
      </c>
      <c r="O215" t="n">
        <v>0</v>
      </c>
      <c r="P215" t="n">
        <v>0</v>
      </c>
      <c r="Q215" t="n">
        <v>0</v>
      </c>
      <c r="R215" s="2" t="inlineStr"/>
    </row>
    <row r="216" ht="15" customHeight="1">
      <c r="A216" t="inlineStr">
        <is>
          <t>A 52173-2019</t>
        </is>
      </c>
      <c r="B216" s="1" t="n">
        <v>43742</v>
      </c>
      <c r="C216" s="1" t="n">
        <v>45665</v>
      </c>
      <c r="D216" t="inlineStr">
        <is>
          <t>KALMAR LÄN</t>
        </is>
      </c>
      <c r="E216" t="inlineStr">
        <is>
          <t>VIMMERBY</t>
        </is>
      </c>
      <c r="G216" t="n">
        <v>3.9</v>
      </c>
      <c r="H216" t="n">
        <v>0</v>
      </c>
      <c r="I216" t="n">
        <v>0</v>
      </c>
      <c r="J216" t="n">
        <v>0</v>
      </c>
      <c r="K216" t="n">
        <v>0</v>
      </c>
      <c r="L216" t="n">
        <v>0</v>
      </c>
      <c r="M216" t="n">
        <v>0</v>
      </c>
      <c r="N216" t="n">
        <v>0</v>
      </c>
      <c r="O216" t="n">
        <v>0</v>
      </c>
      <c r="P216" t="n">
        <v>0</v>
      </c>
      <c r="Q216" t="n">
        <v>0</v>
      </c>
      <c r="R216" s="2" t="inlineStr"/>
    </row>
    <row r="217" ht="15" customHeight="1">
      <c r="A217" t="inlineStr">
        <is>
          <t>A 52356-2019</t>
        </is>
      </c>
      <c r="B217" s="1" t="n">
        <v>43745</v>
      </c>
      <c r="C217" s="1" t="n">
        <v>45665</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52909-2019</t>
        </is>
      </c>
      <c r="B218" s="1" t="n">
        <v>43746</v>
      </c>
      <c r="C218" s="1" t="n">
        <v>45665</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52908-2019</t>
        </is>
      </c>
      <c r="B219" s="1" t="n">
        <v>43746</v>
      </c>
      <c r="C219" s="1" t="n">
        <v>45665</v>
      </c>
      <c r="D219" t="inlineStr">
        <is>
          <t>KALMAR LÄN</t>
        </is>
      </c>
      <c r="E219" t="inlineStr">
        <is>
          <t>VIMMERBY</t>
        </is>
      </c>
      <c r="G219" t="n">
        <v>5.8</v>
      </c>
      <c r="H219" t="n">
        <v>0</v>
      </c>
      <c r="I219" t="n">
        <v>0</v>
      </c>
      <c r="J219" t="n">
        <v>0</v>
      </c>
      <c r="K219" t="n">
        <v>0</v>
      </c>
      <c r="L219" t="n">
        <v>0</v>
      </c>
      <c r="M219" t="n">
        <v>0</v>
      </c>
      <c r="N219" t="n">
        <v>0</v>
      </c>
      <c r="O219" t="n">
        <v>0</v>
      </c>
      <c r="P219" t="n">
        <v>0</v>
      </c>
      <c r="Q219" t="n">
        <v>0</v>
      </c>
      <c r="R219" s="2" t="inlineStr"/>
    </row>
    <row r="220" ht="15" customHeight="1">
      <c r="A220" t="inlineStr">
        <is>
          <t>A 52780-2019</t>
        </is>
      </c>
      <c r="B220" s="1" t="n">
        <v>43746</v>
      </c>
      <c r="C220" s="1" t="n">
        <v>45665</v>
      </c>
      <c r="D220" t="inlineStr">
        <is>
          <t>KALMAR LÄN</t>
        </is>
      </c>
      <c r="E220" t="inlineStr">
        <is>
          <t>VIMMERBY</t>
        </is>
      </c>
      <c r="G220" t="n">
        <v>1.1</v>
      </c>
      <c r="H220" t="n">
        <v>0</v>
      </c>
      <c r="I220" t="n">
        <v>0</v>
      </c>
      <c r="J220" t="n">
        <v>0</v>
      </c>
      <c r="K220" t="n">
        <v>0</v>
      </c>
      <c r="L220" t="n">
        <v>0</v>
      </c>
      <c r="M220" t="n">
        <v>0</v>
      </c>
      <c r="N220" t="n">
        <v>0</v>
      </c>
      <c r="O220" t="n">
        <v>0</v>
      </c>
      <c r="P220" t="n">
        <v>0</v>
      </c>
      <c r="Q220" t="n">
        <v>0</v>
      </c>
      <c r="R220" s="2" t="inlineStr"/>
    </row>
    <row r="221" ht="15" customHeight="1">
      <c r="A221" t="inlineStr">
        <is>
          <t>A 53691-2019</t>
        </is>
      </c>
      <c r="B221" s="1" t="n">
        <v>43749</v>
      </c>
      <c r="C221" s="1" t="n">
        <v>45665</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54593-2019</t>
        </is>
      </c>
      <c r="B222" s="1" t="n">
        <v>43754</v>
      </c>
      <c r="C222" s="1" t="n">
        <v>45665</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54794-2019</t>
        </is>
      </c>
      <c r="B223" s="1" t="n">
        <v>43755</v>
      </c>
      <c r="C223" s="1" t="n">
        <v>45665</v>
      </c>
      <c r="D223" t="inlineStr">
        <is>
          <t>KALMAR LÄN</t>
        </is>
      </c>
      <c r="E223" t="inlineStr">
        <is>
          <t>VIMMERBY</t>
        </is>
      </c>
      <c r="G223" t="n">
        <v>3.2</v>
      </c>
      <c r="H223" t="n">
        <v>0</v>
      </c>
      <c r="I223" t="n">
        <v>0</v>
      </c>
      <c r="J223" t="n">
        <v>0</v>
      </c>
      <c r="K223" t="n">
        <v>0</v>
      </c>
      <c r="L223" t="n">
        <v>0</v>
      </c>
      <c r="M223" t="n">
        <v>0</v>
      </c>
      <c r="N223" t="n">
        <v>0</v>
      </c>
      <c r="O223" t="n">
        <v>0</v>
      </c>
      <c r="P223" t="n">
        <v>0</v>
      </c>
      <c r="Q223" t="n">
        <v>0</v>
      </c>
      <c r="R223" s="2" t="inlineStr"/>
    </row>
    <row r="224" ht="15" customHeight="1">
      <c r="A224" t="inlineStr">
        <is>
          <t>A 55757-2019</t>
        </is>
      </c>
      <c r="B224" s="1" t="n">
        <v>43759</v>
      </c>
      <c r="C224" s="1" t="n">
        <v>45665</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57998-2019</t>
        </is>
      </c>
      <c r="B225" s="1" t="n">
        <v>43762</v>
      </c>
      <c r="C225" s="1" t="n">
        <v>45665</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57509-2019</t>
        </is>
      </c>
      <c r="B226" s="1" t="n">
        <v>43767</v>
      </c>
      <c r="C226" s="1" t="n">
        <v>45665</v>
      </c>
      <c r="D226" t="inlineStr">
        <is>
          <t>KALMAR LÄN</t>
        </is>
      </c>
      <c r="E226" t="inlineStr">
        <is>
          <t>VIMMERBY</t>
        </is>
      </c>
      <c r="G226" t="n">
        <v>0.6</v>
      </c>
      <c r="H226" t="n">
        <v>0</v>
      </c>
      <c r="I226" t="n">
        <v>0</v>
      </c>
      <c r="J226" t="n">
        <v>0</v>
      </c>
      <c r="K226" t="n">
        <v>0</v>
      </c>
      <c r="L226" t="n">
        <v>0</v>
      </c>
      <c r="M226" t="n">
        <v>0</v>
      </c>
      <c r="N226" t="n">
        <v>0</v>
      </c>
      <c r="O226" t="n">
        <v>0</v>
      </c>
      <c r="P226" t="n">
        <v>0</v>
      </c>
      <c r="Q226" t="n">
        <v>0</v>
      </c>
      <c r="R226" s="2" t="inlineStr"/>
    </row>
    <row r="227" ht="15" customHeight="1">
      <c r="A227" t="inlineStr">
        <is>
          <t>A 57886-2019</t>
        </is>
      </c>
      <c r="B227" s="1" t="n">
        <v>43768</v>
      </c>
      <c r="C227" s="1" t="n">
        <v>45665</v>
      </c>
      <c r="D227" t="inlineStr">
        <is>
          <t>KALMAR LÄN</t>
        </is>
      </c>
      <c r="E227" t="inlineStr">
        <is>
          <t>VIMMERBY</t>
        </is>
      </c>
      <c r="G227" t="n">
        <v>1.3</v>
      </c>
      <c r="H227" t="n">
        <v>0</v>
      </c>
      <c r="I227" t="n">
        <v>0</v>
      </c>
      <c r="J227" t="n">
        <v>0</v>
      </c>
      <c r="K227" t="n">
        <v>0</v>
      </c>
      <c r="L227" t="n">
        <v>0</v>
      </c>
      <c r="M227" t="n">
        <v>0</v>
      </c>
      <c r="N227" t="n">
        <v>0</v>
      </c>
      <c r="O227" t="n">
        <v>0</v>
      </c>
      <c r="P227" t="n">
        <v>0</v>
      </c>
      <c r="Q227" t="n">
        <v>0</v>
      </c>
      <c r="R227" s="2" t="inlineStr"/>
    </row>
    <row r="228" ht="15" customHeight="1">
      <c r="A228" t="inlineStr">
        <is>
          <t>A 59256-2019</t>
        </is>
      </c>
      <c r="B228" s="1" t="n">
        <v>43773</v>
      </c>
      <c r="C228" s="1" t="n">
        <v>45665</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58812-2019</t>
        </is>
      </c>
      <c r="B229" s="1" t="n">
        <v>43774</v>
      </c>
      <c r="C229" s="1" t="n">
        <v>45665</v>
      </c>
      <c r="D229" t="inlineStr">
        <is>
          <t>KALMAR LÄN</t>
        </is>
      </c>
      <c r="E229" t="inlineStr">
        <is>
          <t>VIMMERBY</t>
        </is>
      </c>
      <c r="G229" t="n">
        <v>1.4</v>
      </c>
      <c r="H229" t="n">
        <v>0</v>
      </c>
      <c r="I229" t="n">
        <v>0</v>
      </c>
      <c r="J229" t="n">
        <v>0</v>
      </c>
      <c r="K229" t="n">
        <v>0</v>
      </c>
      <c r="L229" t="n">
        <v>0</v>
      </c>
      <c r="M229" t="n">
        <v>0</v>
      </c>
      <c r="N229" t="n">
        <v>0</v>
      </c>
      <c r="O229" t="n">
        <v>0</v>
      </c>
      <c r="P229" t="n">
        <v>0</v>
      </c>
      <c r="Q229" t="n">
        <v>0</v>
      </c>
      <c r="R229" s="2" t="inlineStr"/>
    </row>
    <row r="230" ht="15" customHeight="1">
      <c r="A230" t="inlineStr">
        <is>
          <t>A 60253-2019</t>
        </is>
      </c>
      <c r="B230" s="1" t="n">
        <v>43780</v>
      </c>
      <c r="C230" s="1" t="n">
        <v>45665</v>
      </c>
      <c r="D230" t="inlineStr">
        <is>
          <t>KALMAR LÄN</t>
        </is>
      </c>
      <c r="E230" t="inlineStr">
        <is>
          <t>VIMMERBY</t>
        </is>
      </c>
      <c r="G230" t="n">
        <v>4.4</v>
      </c>
      <c r="H230" t="n">
        <v>0</v>
      </c>
      <c r="I230" t="n">
        <v>0</v>
      </c>
      <c r="J230" t="n">
        <v>0</v>
      </c>
      <c r="K230" t="n">
        <v>0</v>
      </c>
      <c r="L230" t="n">
        <v>0</v>
      </c>
      <c r="M230" t="n">
        <v>0</v>
      </c>
      <c r="N230" t="n">
        <v>0</v>
      </c>
      <c r="O230" t="n">
        <v>0</v>
      </c>
      <c r="P230" t="n">
        <v>0</v>
      </c>
      <c r="Q230" t="n">
        <v>0</v>
      </c>
      <c r="R230" s="2" t="inlineStr"/>
    </row>
    <row r="231" ht="15" customHeight="1">
      <c r="A231" t="inlineStr">
        <is>
          <t>A 60673-2019</t>
        </is>
      </c>
      <c r="B231" s="1" t="n">
        <v>43781</v>
      </c>
      <c r="C231" s="1" t="n">
        <v>45665</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60802-2019</t>
        </is>
      </c>
      <c r="B232" s="1" t="n">
        <v>43781</v>
      </c>
      <c r="C232" s="1" t="n">
        <v>45665</v>
      </c>
      <c r="D232" t="inlineStr">
        <is>
          <t>KALMAR LÄN</t>
        </is>
      </c>
      <c r="E232" t="inlineStr">
        <is>
          <t>VIMMERBY</t>
        </is>
      </c>
      <c r="G232" t="n">
        <v>2.8</v>
      </c>
      <c r="H232" t="n">
        <v>0</v>
      </c>
      <c r="I232" t="n">
        <v>0</v>
      </c>
      <c r="J232" t="n">
        <v>0</v>
      </c>
      <c r="K232" t="n">
        <v>0</v>
      </c>
      <c r="L232" t="n">
        <v>0</v>
      </c>
      <c r="M232" t="n">
        <v>0</v>
      </c>
      <c r="N232" t="n">
        <v>0</v>
      </c>
      <c r="O232" t="n">
        <v>0</v>
      </c>
      <c r="P232" t="n">
        <v>0</v>
      </c>
      <c r="Q232" t="n">
        <v>0</v>
      </c>
      <c r="R232" s="2" t="inlineStr"/>
    </row>
    <row r="233" ht="15" customHeight="1">
      <c r="A233" t="inlineStr">
        <is>
          <t>A 61049-2019</t>
        </is>
      </c>
      <c r="B233" s="1" t="n">
        <v>43782</v>
      </c>
      <c r="C233" s="1" t="n">
        <v>45665</v>
      </c>
      <c r="D233" t="inlineStr">
        <is>
          <t>KALMAR LÄN</t>
        </is>
      </c>
      <c r="E233" t="inlineStr">
        <is>
          <t>VIMMERBY</t>
        </is>
      </c>
      <c r="G233" t="n">
        <v>4.1</v>
      </c>
      <c r="H233" t="n">
        <v>0</v>
      </c>
      <c r="I233" t="n">
        <v>0</v>
      </c>
      <c r="J233" t="n">
        <v>0</v>
      </c>
      <c r="K233" t="n">
        <v>0</v>
      </c>
      <c r="L233" t="n">
        <v>0</v>
      </c>
      <c r="M233" t="n">
        <v>0</v>
      </c>
      <c r="N233" t="n">
        <v>0</v>
      </c>
      <c r="O233" t="n">
        <v>0</v>
      </c>
      <c r="P233" t="n">
        <v>0</v>
      </c>
      <c r="Q233" t="n">
        <v>0</v>
      </c>
      <c r="R233" s="2" t="inlineStr"/>
    </row>
    <row r="234" ht="15" customHeight="1">
      <c r="A234" t="inlineStr">
        <is>
          <t>A 63362-2019</t>
        </is>
      </c>
      <c r="B234" s="1" t="n">
        <v>43787</v>
      </c>
      <c r="C234" s="1" t="n">
        <v>45665</v>
      </c>
      <c r="D234" t="inlineStr">
        <is>
          <t>KALMAR LÄN</t>
        </is>
      </c>
      <c r="E234" t="inlineStr">
        <is>
          <t>VIMMERBY</t>
        </is>
      </c>
      <c r="G234" t="n">
        <v>1.5</v>
      </c>
      <c r="H234" t="n">
        <v>0</v>
      </c>
      <c r="I234" t="n">
        <v>0</v>
      </c>
      <c r="J234" t="n">
        <v>0</v>
      </c>
      <c r="K234" t="n">
        <v>0</v>
      </c>
      <c r="L234" t="n">
        <v>0</v>
      </c>
      <c r="M234" t="n">
        <v>0</v>
      </c>
      <c r="N234" t="n">
        <v>0</v>
      </c>
      <c r="O234" t="n">
        <v>0</v>
      </c>
      <c r="P234" t="n">
        <v>0</v>
      </c>
      <c r="Q234" t="n">
        <v>0</v>
      </c>
      <c r="R234" s="2" t="inlineStr"/>
    </row>
    <row r="235" ht="15" customHeight="1">
      <c r="A235" t="inlineStr">
        <is>
          <t>A 62625-2019</t>
        </is>
      </c>
      <c r="B235" s="1" t="n">
        <v>43789</v>
      </c>
      <c r="C235" s="1" t="n">
        <v>45665</v>
      </c>
      <c r="D235" t="inlineStr">
        <is>
          <t>KALMAR LÄN</t>
        </is>
      </c>
      <c r="E235" t="inlineStr">
        <is>
          <t>VIMMERBY</t>
        </is>
      </c>
      <c r="F235" t="inlineStr">
        <is>
          <t>Övriga Aktiebolag</t>
        </is>
      </c>
      <c r="G235" t="n">
        <v>8.1</v>
      </c>
      <c r="H235" t="n">
        <v>0</v>
      </c>
      <c r="I235" t="n">
        <v>0</v>
      </c>
      <c r="J235" t="n">
        <v>0</v>
      </c>
      <c r="K235" t="n">
        <v>0</v>
      </c>
      <c r="L235" t="n">
        <v>0</v>
      </c>
      <c r="M235" t="n">
        <v>0</v>
      </c>
      <c r="N235" t="n">
        <v>0</v>
      </c>
      <c r="O235" t="n">
        <v>0</v>
      </c>
      <c r="P235" t="n">
        <v>0</v>
      </c>
      <c r="Q235" t="n">
        <v>0</v>
      </c>
      <c r="R235" s="2" t="inlineStr"/>
    </row>
    <row r="236" ht="15" customHeight="1">
      <c r="A236" t="inlineStr">
        <is>
          <t>A 63029-2019</t>
        </is>
      </c>
      <c r="B236" s="1" t="n">
        <v>43791</v>
      </c>
      <c r="C236" s="1" t="n">
        <v>45665</v>
      </c>
      <c r="D236" t="inlineStr">
        <is>
          <t>KALMAR LÄN</t>
        </is>
      </c>
      <c r="E236" t="inlineStr">
        <is>
          <t>VIMMERBY</t>
        </is>
      </c>
      <c r="F236" t="inlineStr">
        <is>
          <t>Kyrkan</t>
        </is>
      </c>
      <c r="G236" t="n">
        <v>3.1</v>
      </c>
      <c r="H236" t="n">
        <v>0</v>
      </c>
      <c r="I236" t="n">
        <v>0</v>
      </c>
      <c r="J236" t="n">
        <v>0</v>
      </c>
      <c r="K236" t="n">
        <v>0</v>
      </c>
      <c r="L236" t="n">
        <v>0</v>
      </c>
      <c r="M236" t="n">
        <v>0</v>
      </c>
      <c r="N236" t="n">
        <v>0</v>
      </c>
      <c r="O236" t="n">
        <v>0</v>
      </c>
      <c r="P236" t="n">
        <v>0</v>
      </c>
      <c r="Q236" t="n">
        <v>0</v>
      </c>
      <c r="R236" s="2" t="inlineStr"/>
    </row>
    <row r="237" ht="15" customHeight="1">
      <c r="A237" t="inlineStr">
        <is>
          <t>A 63746-2019</t>
        </is>
      </c>
      <c r="B237" s="1" t="n">
        <v>43795</v>
      </c>
      <c r="C237" s="1" t="n">
        <v>45665</v>
      </c>
      <c r="D237" t="inlineStr">
        <is>
          <t>KALMAR LÄN</t>
        </is>
      </c>
      <c r="E237" t="inlineStr">
        <is>
          <t>VIMMERBY</t>
        </is>
      </c>
      <c r="G237" t="n">
        <v>4.5</v>
      </c>
      <c r="H237" t="n">
        <v>0</v>
      </c>
      <c r="I237" t="n">
        <v>0</v>
      </c>
      <c r="J237" t="n">
        <v>0</v>
      </c>
      <c r="K237" t="n">
        <v>0</v>
      </c>
      <c r="L237" t="n">
        <v>0</v>
      </c>
      <c r="M237" t="n">
        <v>0</v>
      </c>
      <c r="N237" t="n">
        <v>0</v>
      </c>
      <c r="O237" t="n">
        <v>0</v>
      </c>
      <c r="P237" t="n">
        <v>0</v>
      </c>
      <c r="Q237" t="n">
        <v>0</v>
      </c>
      <c r="R237" s="2" t="inlineStr"/>
    </row>
    <row r="238" ht="15" customHeight="1">
      <c r="A238" t="inlineStr">
        <is>
          <t>A 64119-2019</t>
        </is>
      </c>
      <c r="B238" s="1" t="n">
        <v>43796</v>
      </c>
      <c r="C238" s="1" t="n">
        <v>45665</v>
      </c>
      <c r="D238" t="inlineStr">
        <is>
          <t>KALMAR LÄN</t>
        </is>
      </c>
      <c r="E238" t="inlineStr">
        <is>
          <t>VIMMERBY</t>
        </is>
      </c>
      <c r="G238" t="n">
        <v>4.6</v>
      </c>
      <c r="H238" t="n">
        <v>0</v>
      </c>
      <c r="I238" t="n">
        <v>0</v>
      </c>
      <c r="J238" t="n">
        <v>0</v>
      </c>
      <c r="K238" t="n">
        <v>0</v>
      </c>
      <c r="L238" t="n">
        <v>0</v>
      </c>
      <c r="M238" t="n">
        <v>0</v>
      </c>
      <c r="N238" t="n">
        <v>0</v>
      </c>
      <c r="O238" t="n">
        <v>0</v>
      </c>
      <c r="P238" t="n">
        <v>0</v>
      </c>
      <c r="Q238" t="n">
        <v>0</v>
      </c>
      <c r="R238" s="2" t="inlineStr"/>
    </row>
    <row r="239" ht="15" customHeight="1">
      <c r="A239" t="inlineStr">
        <is>
          <t>A 64345-2019</t>
        </is>
      </c>
      <c r="B239" s="1" t="n">
        <v>43797</v>
      </c>
      <c r="C239" s="1" t="n">
        <v>45665</v>
      </c>
      <c r="D239" t="inlineStr">
        <is>
          <t>KALMAR LÄN</t>
        </is>
      </c>
      <c r="E239" t="inlineStr">
        <is>
          <t>VIMMERBY</t>
        </is>
      </c>
      <c r="G239" t="n">
        <v>0.9</v>
      </c>
      <c r="H239" t="n">
        <v>0</v>
      </c>
      <c r="I239" t="n">
        <v>0</v>
      </c>
      <c r="J239" t="n">
        <v>0</v>
      </c>
      <c r="K239" t="n">
        <v>0</v>
      </c>
      <c r="L239" t="n">
        <v>0</v>
      </c>
      <c r="M239" t="n">
        <v>0</v>
      </c>
      <c r="N239" t="n">
        <v>0</v>
      </c>
      <c r="O239" t="n">
        <v>0</v>
      </c>
      <c r="P239" t="n">
        <v>0</v>
      </c>
      <c r="Q239" t="n">
        <v>0</v>
      </c>
      <c r="R239" s="2" t="inlineStr"/>
    </row>
    <row r="240" ht="15" customHeight="1">
      <c r="A240" t="inlineStr">
        <is>
          <t>A 64334-2019</t>
        </is>
      </c>
      <c r="B240" s="1" t="n">
        <v>43797</v>
      </c>
      <c r="C240" s="1" t="n">
        <v>45665</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65267-2019</t>
        </is>
      </c>
      <c r="B241" s="1" t="n">
        <v>43802</v>
      </c>
      <c r="C241" s="1" t="n">
        <v>45665</v>
      </c>
      <c r="D241" t="inlineStr">
        <is>
          <t>KALMAR LÄN</t>
        </is>
      </c>
      <c r="E241" t="inlineStr">
        <is>
          <t>VIMMERBY</t>
        </is>
      </c>
      <c r="F241" t="inlineStr">
        <is>
          <t>Kommuner</t>
        </is>
      </c>
      <c r="G241" t="n">
        <v>0.5</v>
      </c>
      <c r="H241" t="n">
        <v>0</v>
      </c>
      <c r="I241" t="n">
        <v>0</v>
      </c>
      <c r="J241" t="n">
        <v>0</v>
      </c>
      <c r="K241" t="n">
        <v>0</v>
      </c>
      <c r="L241" t="n">
        <v>0</v>
      </c>
      <c r="M241" t="n">
        <v>0</v>
      </c>
      <c r="N241" t="n">
        <v>0</v>
      </c>
      <c r="O241" t="n">
        <v>0</v>
      </c>
      <c r="P241" t="n">
        <v>0</v>
      </c>
      <c r="Q241" t="n">
        <v>0</v>
      </c>
      <c r="R241" s="2" t="inlineStr"/>
    </row>
    <row r="242" ht="15" customHeight="1">
      <c r="A242" t="inlineStr">
        <is>
          <t>A 66169-2019</t>
        </is>
      </c>
      <c r="B242" s="1" t="n">
        <v>43808</v>
      </c>
      <c r="C242" s="1" t="n">
        <v>45665</v>
      </c>
      <c r="D242" t="inlineStr">
        <is>
          <t>KALMAR LÄN</t>
        </is>
      </c>
      <c r="E242" t="inlineStr">
        <is>
          <t>VIMMERBY</t>
        </is>
      </c>
      <c r="G242" t="n">
        <v>1.9</v>
      </c>
      <c r="H242" t="n">
        <v>0</v>
      </c>
      <c r="I242" t="n">
        <v>0</v>
      </c>
      <c r="J242" t="n">
        <v>0</v>
      </c>
      <c r="K242" t="n">
        <v>0</v>
      </c>
      <c r="L242" t="n">
        <v>0</v>
      </c>
      <c r="M242" t="n">
        <v>0</v>
      </c>
      <c r="N242" t="n">
        <v>0</v>
      </c>
      <c r="O242" t="n">
        <v>0</v>
      </c>
      <c r="P242" t="n">
        <v>0</v>
      </c>
      <c r="Q242" t="n">
        <v>0</v>
      </c>
      <c r="R242" s="2" t="inlineStr"/>
    </row>
    <row r="243" ht="15" customHeight="1">
      <c r="A243" t="inlineStr">
        <is>
          <t>A 66172-2019</t>
        </is>
      </c>
      <c r="B243" s="1" t="n">
        <v>43808</v>
      </c>
      <c r="C243" s="1" t="n">
        <v>45665</v>
      </c>
      <c r="D243" t="inlineStr">
        <is>
          <t>KALMAR LÄN</t>
        </is>
      </c>
      <c r="E243" t="inlineStr">
        <is>
          <t>VIMMERBY</t>
        </is>
      </c>
      <c r="G243" t="n">
        <v>3.6</v>
      </c>
      <c r="H243" t="n">
        <v>0</v>
      </c>
      <c r="I243" t="n">
        <v>0</v>
      </c>
      <c r="J243" t="n">
        <v>0</v>
      </c>
      <c r="K243" t="n">
        <v>0</v>
      </c>
      <c r="L243" t="n">
        <v>0</v>
      </c>
      <c r="M243" t="n">
        <v>0</v>
      </c>
      <c r="N243" t="n">
        <v>0</v>
      </c>
      <c r="O243" t="n">
        <v>0</v>
      </c>
      <c r="P243" t="n">
        <v>0</v>
      </c>
      <c r="Q243" t="n">
        <v>0</v>
      </c>
      <c r="R243" s="2" t="inlineStr"/>
    </row>
    <row r="244" ht="15" customHeight="1">
      <c r="A244" t="inlineStr">
        <is>
          <t>A 66151-2019</t>
        </is>
      </c>
      <c r="B244" s="1" t="n">
        <v>43808</v>
      </c>
      <c r="C244" s="1" t="n">
        <v>45665</v>
      </c>
      <c r="D244" t="inlineStr">
        <is>
          <t>KALMAR LÄN</t>
        </is>
      </c>
      <c r="E244" t="inlineStr">
        <is>
          <t>VIMMERBY</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67293-2019</t>
        </is>
      </c>
      <c r="B245" s="1" t="n">
        <v>43812</v>
      </c>
      <c r="C245" s="1" t="n">
        <v>45665</v>
      </c>
      <c r="D245" t="inlineStr">
        <is>
          <t>KALMAR LÄN</t>
        </is>
      </c>
      <c r="E245" t="inlineStr">
        <is>
          <t>VIMMERBY</t>
        </is>
      </c>
      <c r="F245" t="inlineStr">
        <is>
          <t>Kommuner</t>
        </is>
      </c>
      <c r="G245" t="n">
        <v>1.2</v>
      </c>
      <c r="H245" t="n">
        <v>0</v>
      </c>
      <c r="I245" t="n">
        <v>0</v>
      </c>
      <c r="J245" t="n">
        <v>0</v>
      </c>
      <c r="K245" t="n">
        <v>0</v>
      </c>
      <c r="L245" t="n">
        <v>0</v>
      </c>
      <c r="M245" t="n">
        <v>0</v>
      </c>
      <c r="N245" t="n">
        <v>0</v>
      </c>
      <c r="O245" t="n">
        <v>0</v>
      </c>
      <c r="P245" t="n">
        <v>0</v>
      </c>
      <c r="Q245" t="n">
        <v>0</v>
      </c>
      <c r="R245" s="2" t="inlineStr"/>
    </row>
    <row r="246" ht="15" customHeight="1">
      <c r="A246" t="inlineStr">
        <is>
          <t>A 67359-2019</t>
        </is>
      </c>
      <c r="B246" s="1" t="n">
        <v>43812</v>
      </c>
      <c r="C246" s="1" t="n">
        <v>45665</v>
      </c>
      <c r="D246" t="inlineStr">
        <is>
          <t>KALMAR LÄN</t>
        </is>
      </c>
      <c r="E246" t="inlineStr">
        <is>
          <t>VIMMERBY</t>
        </is>
      </c>
      <c r="F246" t="inlineStr">
        <is>
          <t>Kommuner</t>
        </is>
      </c>
      <c r="G246" t="n">
        <v>1</v>
      </c>
      <c r="H246" t="n">
        <v>0</v>
      </c>
      <c r="I246" t="n">
        <v>0</v>
      </c>
      <c r="J246" t="n">
        <v>0</v>
      </c>
      <c r="K246" t="n">
        <v>0</v>
      </c>
      <c r="L246" t="n">
        <v>0</v>
      </c>
      <c r="M246" t="n">
        <v>0</v>
      </c>
      <c r="N246" t="n">
        <v>0</v>
      </c>
      <c r="O246" t="n">
        <v>0</v>
      </c>
      <c r="P246" t="n">
        <v>0</v>
      </c>
      <c r="Q246" t="n">
        <v>0</v>
      </c>
      <c r="R246" s="2" t="inlineStr"/>
    </row>
    <row r="247" ht="15" customHeight="1">
      <c r="A247" t="inlineStr">
        <is>
          <t>A 67346-2019</t>
        </is>
      </c>
      <c r="B247" s="1" t="n">
        <v>43812</v>
      </c>
      <c r="C247" s="1" t="n">
        <v>45665</v>
      </c>
      <c r="D247" t="inlineStr">
        <is>
          <t>KALMAR LÄN</t>
        </is>
      </c>
      <c r="E247" t="inlineStr">
        <is>
          <t>VIMMERBY</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447-2020</t>
        </is>
      </c>
      <c r="B248" s="1" t="n">
        <v>43837</v>
      </c>
      <c r="C248" s="1" t="n">
        <v>45665</v>
      </c>
      <c r="D248" t="inlineStr">
        <is>
          <t>KALMAR LÄN</t>
        </is>
      </c>
      <c r="E248" t="inlineStr">
        <is>
          <t>VIMMERBY</t>
        </is>
      </c>
      <c r="G248" t="n">
        <v>1</v>
      </c>
      <c r="H248" t="n">
        <v>0</v>
      </c>
      <c r="I248" t="n">
        <v>0</v>
      </c>
      <c r="J248" t="n">
        <v>0</v>
      </c>
      <c r="K248" t="n">
        <v>0</v>
      </c>
      <c r="L248" t="n">
        <v>0</v>
      </c>
      <c r="M248" t="n">
        <v>0</v>
      </c>
      <c r="N248" t="n">
        <v>0</v>
      </c>
      <c r="O248" t="n">
        <v>0</v>
      </c>
      <c r="P248" t="n">
        <v>0</v>
      </c>
      <c r="Q248" t="n">
        <v>0</v>
      </c>
      <c r="R248" s="2" t="inlineStr"/>
    </row>
    <row r="249" ht="15" customHeight="1">
      <c r="A249" t="inlineStr">
        <is>
          <t>A 306-2020</t>
        </is>
      </c>
      <c r="B249" s="1" t="n">
        <v>43837</v>
      </c>
      <c r="C249" s="1" t="n">
        <v>45665</v>
      </c>
      <c r="D249" t="inlineStr">
        <is>
          <t>KALMAR LÄN</t>
        </is>
      </c>
      <c r="E249" t="inlineStr">
        <is>
          <t>VIMMERBY</t>
        </is>
      </c>
      <c r="G249" t="n">
        <v>9.9</v>
      </c>
      <c r="H249" t="n">
        <v>0</v>
      </c>
      <c r="I249" t="n">
        <v>0</v>
      </c>
      <c r="J249" t="n">
        <v>0</v>
      </c>
      <c r="K249" t="n">
        <v>0</v>
      </c>
      <c r="L249" t="n">
        <v>0</v>
      </c>
      <c r="M249" t="n">
        <v>0</v>
      </c>
      <c r="N249" t="n">
        <v>0</v>
      </c>
      <c r="O249" t="n">
        <v>0</v>
      </c>
      <c r="P249" t="n">
        <v>0</v>
      </c>
      <c r="Q249" t="n">
        <v>0</v>
      </c>
      <c r="R249" s="2" t="inlineStr"/>
    </row>
    <row r="250" ht="15" customHeight="1">
      <c r="A250" t="inlineStr">
        <is>
          <t>A 593-2020</t>
        </is>
      </c>
      <c r="B250" s="1" t="n">
        <v>43838</v>
      </c>
      <c r="C250" s="1" t="n">
        <v>45665</v>
      </c>
      <c r="D250" t="inlineStr">
        <is>
          <t>KALMAR LÄN</t>
        </is>
      </c>
      <c r="E250" t="inlineStr">
        <is>
          <t>VIMMERBY</t>
        </is>
      </c>
      <c r="G250" t="n">
        <v>2</v>
      </c>
      <c r="H250" t="n">
        <v>0</v>
      </c>
      <c r="I250" t="n">
        <v>0</v>
      </c>
      <c r="J250" t="n">
        <v>0</v>
      </c>
      <c r="K250" t="n">
        <v>0</v>
      </c>
      <c r="L250" t="n">
        <v>0</v>
      </c>
      <c r="M250" t="n">
        <v>0</v>
      </c>
      <c r="N250" t="n">
        <v>0</v>
      </c>
      <c r="O250" t="n">
        <v>0</v>
      </c>
      <c r="P250" t="n">
        <v>0</v>
      </c>
      <c r="Q250" t="n">
        <v>0</v>
      </c>
      <c r="R250" s="2" t="inlineStr"/>
    </row>
    <row r="251" ht="15" customHeight="1">
      <c r="A251" t="inlineStr">
        <is>
          <t>A 2473-2020</t>
        </is>
      </c>
      <c r="B251" s="1" t="n">
        <v>43840</v>
      </c>
      <c r="C251" s="1" t="n">
        <v>45665</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1967-2020</t>
        </is>
      </c>
      <c r="B252" s="1" t="n">
        <v>43845</v>
      </c>
      <c r="C252" s="1" t="n">
        <v>45665</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2070-2020</t>
        </is>
      </c>
      <c r="B253" s="1" t="n">
        <v>43845</v>
      </c>
      <c r="C253" s="1" t="n">
        <v>45665</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3434-2020</t>
        </is>
      </c>
      <c r="B254" s="1" t="n">
        <v>43845</v>
      </c>
      <c r="C254" s="1" t="n">
        <v>45665</v>
      </c>
      <c r="D254" t="inlineStr">
        <is>
          <t>KALMAR LÄN</t>
        </is>
      </c>
      <c r="E254" t="inlineStr">
        <is>
          <t>VIMMERBY</t>
        </is>
      </c>
      <c r="G254" t="n">
        <v>1.2</v>
      </c>
      <c r="H254" t="n">
        <v>0</v>
      </c>
      <c r="I254" t="n">
        <v>0</v>
      </c>
      <c r="J254" t="n">
        <v>0</v>
      </c>
      <c r="K254" t="n">
        <v>0</v>
      </c>
      <c r="L254" t="n">
        <v>0</v>
      </c>
      <c r="M254" t="n">
        <v>0</v>
      </c>
      <c r="N254" t="n">
        <v>0</v>
      </c>
      <c r="O254" t="n">
        <v>0</v>
      </c>
      <c r="P254" t="n">
        <v>0</v>
      </c>
      <c r="Q254" t="n">
        <v>0</v>
      </c>
      <c r="R254" s="2" t="inlineStr"/>
    </row>
    <row r="255" ht="15" customHeight="1">
      <c r="A255" t="inlineStr">
        <is>
          <t>A 2756-2020</t>
        </is>
      </c>
      <c r="B255" s="1" t="n">
        <v>43850</v>
      </c>
      <c r="C255" s="1" t="n">
        <v>45665</v>
      </c>
      <c r="D255" t="inlineStr">
        <is>
          <t>KALMAR LÄN</t>
        </is>
      </c>
      <c r="E255" t="inlineStr">
        <is>
          <t>VIMMERBY</t>
        </is>
      </c>
      <c r="G255" t="n">
        <v>2.3</v>
      </c>
      <c r="H255" t="n">
        <v>0</v>
      </c>
      <c r="I255" t="n">
        <v>0</v>
      </c>
      <c r="J255" t="n">
        <v>0</v>
      </c>
      <c r="K255" t="n">
        <v>0</v>
      </c>
      <c r="L255" t="n">
        <v>0</v>
      </c>
      <c r="M255" t="n">
        <v>0</v>
      </c>
      <c r="N255" t="n">
        <v>0</v>
      </c>
      <c r="O255" t="n">
        <v>0</v>
      </c>
      <c r="P255" t="n">
        <v>0</v>
      </c>
      <c r="Q255" t="n">
        <v>0</v>
      </c>
      <c r="R255" s="2" t="inlineStr"/>
    </row>
    <row r="256" ht="15" customHeight="1">
      <c r="A256" t="inlineStr">
        <is>
          <t>A 2856-2020</t>
        </is>
      </c>
      <c r="B256" s="1" t="n">
        <v>43850</v>
      </c>
      <c r="C256" s="1" t="n">
        <v>45665</v>
      </c>
      <c r="D256" t="inlineStr">
        <is>
          <t>KALMAR LÄN</t>
        </is>
      </c>
      <c r="E256" t="inlineStr">
        <is>
          <t>VIMMERBY</t>
        </is>
      </c>
      <c r="G256" t="n">
        <v>3.2</v>
      </c>
      <c r="H256" t="n">
        <v>0</v>
      </c>
      <c r="I256" t="n">
        <v>0</v>
      </c>
      <c r="J256" t="n">
        <v>0</v>
      </c>
      <c r="K256" t="n">
        <v>0</v>
      </c>
      <c r="L256" t="n">
        <v>0</v>
      </c>
      <c r="M256" t="n">
        <v>0</v>
      </c>
      <c r="N256" t="n">
        <v>0</v>
      </c>
      <c r="O256" t="n">
        <v>0</v>
      </c>
      <c r="P256" t="n">
        <v>0</v>
      </c>
      <c r="Q256" t="n">
        <v>0</v>
      </c>
      <c r="R256" s="2" t="inlineStr"/>
    </row>
    <row r="257" ht="15" customHeight="1">
      <c r="A257" t="inlineStr">
        <is>
          <t>A 3211-2020</t>
        </is>
      </c>
      <c r="B257" s="1" t="n">
        <v>43851</v>
      </c>
      <c r="C257" s="1" t="n">
        <v>45665</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3414-2020</t>
        </is>
      </c>
      <c r="B258" s="1" t="n">
        <v>43852</v>
      </c>
      <c r="C258" s="1" t="n">
        <v>45665</v>
      </c>
      <c r="D258" t="inlineStr">
        <is>
          <t>KALMAR LÄN</t>
        </is>
      </c>
      <c r="E258" t="inlineStr">
        <is>
          <t>VIMMERBY</t>
        </is>
      </c>
      <c r="G258" t="n">
        <v>4</v>
      </c>
      <c r="H258" t="n">
        <v>0</v>
      </c>
      <c r="I258" t="n">
        <v>0</v>
      </c>
      <c r="J258" t="n">
        <v>0</v>
      </c>
      <c r="K258" t="n">
        <v>0</v>
      </c>
      <c r="L258" t="n">
        <v>0</v>
      </c>
      <c r="M258" t="n">
        <v>0</v>
      </c>
      <c r="N258" t="n">
        <v>0</v>
      </c>
      <c r="O258" t="n">
        <v>0</v>
      </c>
      <c r="P258" t="n">
        <v>0</v>
      </c>
      <c r="Q258" t="n">
        <v>0</v>
      </c>
      <c r="R258" s="2" t="inlineStr"/>
    </row>
    <row r="259" ht="15" customHeight="1">
      <c r="A259" t="inlineStr">
        <is>
          <t>A 3672-2020</t>
        </is>
      </c>
      <c r="B259" s="1" t="n">
        <v>43853</v>
      </c>
      <c r="C259" s="1" t="n">
        <v>45665</v>
      </c>
      <c r="D259" t="inlineStr">
        <is>
          <t>KALMAR LÄN</t>
        </is>
      </c>
      <c r="E259" t="inlineStr">
        <is>
          <t>VIMMERBY</t>
        </is>
      </c>
      <c r="G259" t="n">
        <v>3.7</v>
      </c>
      <c r="H259" t="n">
        <v>0</v>
      </c>
      <c r="I259" t="n">
        <v>0</v>
      </c>
      <c r="J259" t="n">
        <v>0</v>
      </c>
      <c r="K259" t="n">
        <v>0</v>
      </c>
      <c r="L259" t="n">
        <v>0</v>
      </c>
      <c r="M259" t="n">
        <v>0</v>
      </c>
      <c r="N259" t="n">
        <v>0</v>
      </c>
      <c r="O259" t="n">
        <v>0</v>
      </c>
      <c r="P259" t="n">
        <v>0</v>
      </c>
      <c r="Q259" t="n">
        <v>0</v>
      </c>
      <c r="R259" s="2" t="inlineStr"/>
    </row>
    <row r="260" ht="15" customHeight="1">
      <c r="A260" t="inlineStr">
        <is>
          <t>A 5047-2020</t>
        </is>
      </c>
      <c r="B260" s="1" t="n">
        <v>43853</v>
      </c>
      <c r="C260" s="1" t="n">
        <v>45665</v>
      </c>
      <c r="D260" t="inlineStr">
        <is>
          <t>KALMAR LÄN</t>
        </is>
      </c>
      <c r="E260" t="inlineStr">
        <is>
          <t>VIMMERBY</t>
        </is>
      </c>
      <c r="G260" t="n">
        <v>0.8</v>
      </c>
      <c r="H260" t="n">
        <v>0</v>
      </c>
      <c r="I260" t="n">
        <v>0</v>
      </c>
      <c r="J260" t="n">
        <v>0</v>
      </c>
      <c r="K260" t="n">
        <v>0</v>
      </c>
      <c r="L260" t="n">
        <v>0</v>
      </c>
      <c r="M260" t="n">
        <v>0</v>
      </c>
      <c r="N260" t="n">
        <v>0</v>
      </c>
      <c r="O260" t="n">
        <v>0</v>
      </c>
      <c r="P260" t="n">
        <v>0</v>
      </c>
      <c r="Q260" t="n">
        <v>0</v>
      </c>
      <c r="R260" s="2" t="inlineStr"/>
    </row>
    <row r="261" ht="15" customHeight="1">
      <c r="A261" t="inlineStr">
        <is>
          <t>A 5043-2020</t>
        </is>
      </c>
      <c r="B261" s="1" t="n">
        <v>43853</v>
      </c>
      <c r="C261" s="1" t="n">
        <v>45665</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4194-2020</t>
        </is>
      </c>
      <c r="B262" s="1" t="n">
        <v>43857</v>
      </c>
      <c r="C262" s="1" t="n">
        <v>45665</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5362-2020</t>
        </is>
      </c>
      <c r="B263" s="1" t="n">
        <v>43857</v>
      </c>
      <c r="C263" s="1" t="n">
        <v>45665</v>
      </c>
      <c r="D263" t="inlineStr">
        <is>
          <t>KALMAR LÄN</t>
        </is>
      </c>
      <c r="E263" t="inlineStr">
        <is>
          <t>VIMMERBY</t>
        </is>
      </c>
      <c r="G263" t="n">
        <v>2.3</v>
      </c>
      <c r="H263" t="n">
        <v>0</v>
      </c>
      <c r="I263" t="n">
        <v>0</v>
      </c>
      <c r="J263" t="n">
        <v>0</v>
      </c>
      <c r="K263" t="n">
        <v>0</v>
      </c>
      <c r="L263" t="n">
        <v>0</v>
      </c>
      <c r="M263" t="n">
        <v>0</v>
      </c>
      <c r="N263" t="n">
        <v>0</v>
      </c>
      <c r="O263" t="n">
        <v>0</v>
      </c>
      <c r="P263" t="n">
        <v>0</v>
      </c>
      <c r="Q263" t="n">
        <v>0</v>
      </c>
      <c r="R263" s="2" t="inlineStr"/>
    </row>
    <row r="264" ht="15" customHeight="1">
      <c r="A264" t="inlineStr">
        <is>
          <t>A 4472-2020</t>
        </is>
      </c>
      <c r="B264" s="1" t="n">
        <v>43858</v>
      </c>
      <c r="C264" s="1" t="n">
        <v>45665</v>
      </c>
      <c r="D264" t="inlineStr">
        <is>
          <t>KALMAR LÄN</t>
        </is>
      </c>
      <c r="E264" t="inlineStr">
        <is>
          <t>VIMMERBY</t>
        </is>
      </c>
      <c r="G264" t="n">
        <v>0.9</v>
      </c>
      <c r="H264" t="n">
        <v>0</v>
      </c>
      <c r="I264" t="n">
        <v>0</v>
      </c>
      <c r="J264" t="n">
        <v>0</v>
      </c>
      <c r="K264" t="n">
        <v>0</v>
      </c>
      <c r="L264" t="n">
        <v>0</v>
      </c>
      <c r="M264" t="n">
        <v>0</v>
      </c>
      <c r="N264" t="n">
        <v>0</v>
      </c>
      <c r="O264" t="n">
        <v>0</v>
      </c>
      <c r="P264" t="n">
        <v>0</v>
      </c>
      <c r="Q264" t="n">
        <v>0</v>
      </c>
      <c r="R264" s="2" t="inlineStr"/>
    </row>
    <row r="265" ht="15" customHeight="1">
      <c r="A265" t="inlineStr">
        <is>
          <t>A 5548-2020</t>
        </is>
      </c>
      <c r="B265" s="1" t="n">
        <v>43861</v>
      </c>
      <c r="C265" s="1" t="n">
        <v>45665</v>
      </c>
      <c r="D265" t="inlineStr">
        <is>
          <t>KALMAR LÄN</t>
        </is>
      </c>
      <c r="E265" t="inlineStr">
        <is>
          <t>VIMMERBY</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6042-2020</t>
        </is>
      </c>
      <c r="B266" s="1" t="n">
        <v>43865</v>
      </c>
      <c r="C266" s="1" t="n">
        <v>45665</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7870-2020</t>
        </is>
      </c>
      <c r="B267" s="1" t="n">
        <v>43873</v>
      </c>
      <c r="C267" s="1" t="n">
        <v>45665</v>
      </c>
      <c r="D267" t="inlineStr">
        <is>
          <t>KALMAR LÄN</t>
        </is>
      </c>
      <c r="E267" t="inlineStr">
        <is>
          <t>VIMMERBY</t>
        </is>
      </c>
      <c r="G267" t="n">
        <v>1.6</v>
      </c>
      <c r="H267" t="n">
        <v>0</v>
      </c>
      <c r="I267" t="n">
        <v>0</v>
      </c>
      <c r="J267" t="n">
        <v>0</v>
      </c>
      <c r="K267" t="n">
        <v>0</v>
      </c>
      <c r="L267" t="n">
        <v>0</v>
      </c>
      <c r="M267" t="n">
        <v>0</v>
      </c>
      <c r="N267" t="n">
        <v>0</v>
      </c>
      <c r="O267" t="n">
        <v>0</v>
      </c>
      <c r="P267" t="n">
        <v>0</v>
      </c>
      <c r="Q267" t="n">
        <v>0</v>
      </c>
      <c r="R267" s="2" t="inlineStr"/>
    </row>
    <row r="268" ht="15" customHeight="1">
      <c r="A268" t="inlineStr">
        <is>
          <t>A 8691-2020</t>
        </is>
      </c>
      <c r="B268" s="1" t="n">
        <v>43878</v>
      </c>
      <c r="C268" s="1" t="n">
        <v>45665</v>
      </c>
      <c r="D268" t="inlineStr">
        <is>
          <t>KALMAR LÄN</t>
        </is>
      </c>
      <c r="E268" t="inlineStr">
        <is>
          <t>VIMMERBY</t>
        </is>
      </c>
      <c r="G268" t="n">
        <v>5.1</v>
      </c>
      <c r="H268" t="n">
        <v>0</v>
      </c>
      <c r="I268" t="n">
        <v>0</v>
      </c>
      <c r="J268" t="n">
        <v>0</v>
      </c>
      <c r="K268" t="n">
        <v>0</v>
      </c>
      <c r="L268" t="n">
        <v>0</v>
      </c>
      <c r="M268" t="n">
        <v>0</v>
      </c>
      <c r="N268" t="n">
        <v>0</v>
      </c>
      <c r="O268" t="n">
        <v>0</v>
      </c>
      <c r="P268" t="n">
        <v>0</v>
      </c>
      <c r="Q268" t="n">
        <v>0</v>
      </c>
      <c r="R268" s="2" t="inlineStr"/>
    </row>
    <row r="269" ht="15" customHeight="1">
      <c r="A269" t="inlineStr">
        <is>
          <t>A 9151-2020</t>
        </is>
      </c>
      <c r="B269" s="1" t="n">
        <v>43879</v>
      </c>
      <c r="C269" s="1" t="n">
        <v>45665</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9382-2020</t>
        </is>
      </c>
      <c r="B270" s="1" t="n">
        <v>43880</v>
      </c>
      <c r="C270" s="1" t="n">
        <v>45665</v>
      </c>
      <c r="D270" t="inlineStr">
        <is>
          <t>KALMAR LÄN</t>
        </is>
      </c>
      <c r="E270" t="inlineStr">
        <is>
          <t>VIMMERBY</t>
        </is>
      </c>
      <c r="G270" t="n">
        <v>2.5</v>
      </c>
      <c r="H270" t="n">
        <v>0</v>
      </c>
      <c r="I270" t="n">
        <v>0</v>
      </c>
      <c r="J270" t="n">
        <v>0</v>
      </c>
      <c r="K270" t="n">
        <v>0</v>
      </c>
      <c r="L270" t="n">
        <v>0</v>
      </c>
      <c r="M270" t="n">
        <v>0</v>
      </c>
      <c r="N270" t="n">
        <v>0</v>
      </c>
      <c r="O270" t="n">
        <v>0</v>
      </c>
      <c r="P270" t="n">
        <v>0</v>
      </c>
      <c r="Q270" t="n">
        <v>0</v>
      </c>
      <c r="R270" s="2" t="inlineStr"/>
    </row>
    <row r="271" ht="15" customHeight="1">
      <c r="A271" t="inlineStr">
        <is>
          <t>A 9718-2020</t>
        </is>
      </c>
      <c r="B271" s="1" t="n">
        <v>43881</v>
      </c>
      <c r="C271" s="1" t="n">
        <v>45665</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10474-2020</t>
        </is>
      </c>
      <c r="B272" s="1" t="n">
        <v>43887</v>
      </c>
      <c r="C272" s="1" t="n">
        <v>45665</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10484-2020</t>
        </is>
      </c>
      <c r="B273" s="1" t="n">
        <v>43887</v>
      </c>
      <c r="C273" s="1" t="n">
        <v>45665</v>
      </c>
      <c r="D273" t="inlineStr">
        <is>
          <t>KALMAR LÄN</t>
        </is>
      </c>
      <c r="E273" t="inlineStr">
        <is>
          <t>VIMMERBY</t>
        </is>
      </c>
      <c r="G273" t="n">
        <v>0.7</v>
      </c>
      <c r="H273" t="n">
        <v>0</v>
      </c>
      <c r="I273" t="n">
        <v>0</v>
      </c>
      <c r="J273" t="n">
        <v>0</v>
      </c>
      <c r="K273" t="n">
        <v>0</v>
      </c>
      <c r="L273" t="n">
        <v>0</v>
      </c>
      <c r="M273" t="n">
        <v>0</v>
      </c>
      <c r="N273" t="n">
        <v>0</v>
      </c>
      <c r="O273" t="n">
        <v>0</v>
      </c>
      <c r="P273" t="n">
        <v>0</v>
      </c>
      <c r="Q273" t="n">
        <v>0</v>
      </c>
      <c r="R273" s="2" t="inlineStr"/>
    </row>
    <row r="274" ht="15" customHeight="1">
      <c r="A274" t="inlineStr">
        <is>
          <t>A 10923-2020</t>
        </is>
      </c>
      <c r="B274" s="1" t="n">
        <v>43889</v>
      </c>
      <c r="C274" s="1" t="n">
        <v>45665</v>
      </c>
      <c r="D274" t="inlineStr">
        <is>
          <t>KALMAR LÄN</t>
        </is>
      </c>
      <c r="E274" t="inlineStr">
        <is>
          <t>VIMMERBY</t>
        </is>
      </c>
      <c r="G274" t="n">
        <v>1.3</v>
      </c>
      <c r="H274" t="n">
        <v>0</v>
      </c>
      <c r="I274" t="n">
        <v>0</v>
      </c>
      <c r="J274" t="n">
        <v>0</v>
      </c>
      <c r="K274" t="n">
        <v>0</v>
      </c>
      <c r="L274" t="n">
        <v>0</v>
      </c>
      <c r="M274" t="n">
        <v>0</v>
      </c>
      <c r="N274" t="n">
        <v>0</v>
      </c>
      <c r="O274" t="n">
        <v>0</v>
      </c>
      <c r="P274" t="n">
        <v>0</v>
      </c>
      <c r="Q274" t="n">
        <v>0</v>
      </c>
      <c r="R274" s="2" t="inlineStr"/>
    </row>
    <row r="275" ht="15" customHeight="1">
      <c r="A275" t="inlineStr">
        <is>
          <t>A 11243-2020</t>
        </is>
      </c>
      <c r="B275" s="1" t="n">
        <v>43892</v>
      </c>
      <c r="C275" s="1" t="n">
        <v>45665</v>
      </c>
      <c r="D275" t="inlineStr">
        <is>
          <t>KALMAR LÄN</t>
        </is>
      </c>
      <c r="E275" t="inlineStr">
        <is>
          <t>VIMMERBY</t>
        </is>
      </c>
      <c r="G275" t="n">
        <v>1.8</v>
      </c>
      <c r="H275" t="n">
        <v>0</v>
      </c>
      <c r="I275" t="n">
        <v>0</v>
      </c>
      <c r="J275" t="n">
        <v>0</v>
      </c>
      <c r="K275" t="n">
        <v>0</v>
      </c>
      <c r="L275" t="n">
        <v>0</v>
      </c>
      <c r="M275" t="n">
        <v>0</v>
      </c>
      <c r="N275" t="n">
        <v>0</v>
      </c>
      <c r="O275" t="n">
        <v>0</v>
      </c>
      <c r="P275" t="n">
        <v>0</v>
      </c>
      <c r="Q275" t="n">
        <v>0</v>
      </c>
      <c r="R275" s="2" t="inlineStr"/>
    </row>
    <row r="276" ht="15" customHeight="1">
      <c r="A276" t="inlineStr">
        <is>
          <t>A 12823-2020</t>
        </is>
      </c>
      <c r="B276" s="1" t="n">
        <v>43899</v>
      </c>
      <c r="C276" s="1" t="n">
        <v>45665</v>
      </c>
      <c r="D276" t="inlineStr">
        <is>
          <t>KALMAR LÄN</t>
        </is>
      </c>
      <c r="E276" t="inlineStr">
        <is>
          <t>VIMMERBY</t>
        </is>
      </c>
      <c r="G276" t="n">
        <v>3.3</v>
      </c>
      <c r="H276" t="n">
        <v>0</v>
      </c>
      <c r="I276" t="n">
        <v>0</v>
      </c>
      <c r="J276" t="n">
        <v>0</v>
      </c>
      <c r="K276" t="n">
        <v>0</v>
      </c>
      <c r="L276" t="n">
        <v>0</v>
      </c>
      <c r="M276" t="n">
        <v>0</v>
      </c>
      <c r="N276" t="n">
        <v>0</v>
      </c>
      <c r="O276" t="n">
        <v>0</v>
      </c>
      <c r="P276" t="n">
        <v>0</v>
      </c>
      <c r="Q276" t="n">
        <v>0</v>
      </c>
      <c r="R276" s="2" t="inlineStr"/>
    </row>
    <row r="277" ht="15" customHeight="1">
      <c r="A277" t="inlineStr">
        <is>
          <t>A 13496-2020</t>
        </is>
      </c>
      <c r="B277" s="1" t="n">
        <v>43900</v>
      </c>
      <c r="C277" s="1" t="n">
        <v>45665</v>
      </c>
      <c r="D277" t="inlineStr">
        <is>
          <t>KALMAR LÄN</t>
        </is>
      </c>
      <c r="E277" t="inlineStr">
        <is>
          <t>VIMMERBY</t>
        </is>
      </c>
      <c r="G277" t="n">
        <v>2.8</v>
      </c>
      <c r="H277" t="n">
        <v>0</v>
      </c>
      <c r="I277" t="n">
        <v>0</v>
      </c>
      <c r="J277" t="n">
        <v>0</v>
      </c>
      <c r="K277" t="n">
        <v>0</v>
      </c>
      <c r="L277" t="n">
        <v>0</v>
      </c>
      <c r="M277" t="n">
        <v>0</v>
      </c>
      <c r="N277" t="n">
        <v>0</v>
      </c>
      <c r="O277" t="n">
        <v>0</v>
      </c>
      <c r="P277" t="n">
        <v>0</v>
      </c>
      <c r="Q277" t="n">
        <v>0</v>
      </c>
      <c r="R277" s="2" t="inlineStr"/>
    </row>
    <row r="278" ht="15" customHeight="1">
      <c r="A278" t="inlineStr">
        <is>
          <t>A 14410-2020</t>
        </is>
      </c>
      <c r="B278" s="1" t="n">
        <v>43902</v>
      </c>
      <c r="C278" s="1" t="n">
        <v>45665</v>
      </c>
      <c r="D278" t="inlineStr">
        <is>
          <t>KALMAR LÄN</t>
        </is>
      </c>
      <c r="E278" t="inlineStr">
        <is>
          <t>VIMMERBY</t>
        </is>
      </c>
      <c r="G278" t="n">
        <v>2.7</v>
      </c>
      <c r="H278" t="n">
        <v>0</v>
      </c>
      <c r="I278" t="n">
        <v>0</v>
      </c>
      <c r="J278" t="n">
        <v>0</v>
      </c>
      <c r="K278" t="n">
        <v>0</v>
      </c>
      <c r="L278" t="n">
        <v>0</v>
      </c>
      <c r="M278" t="n">
        <v>0</v>
      </c>
      <c r="N278" t="n">
        <v>0</v>
      </c>
      <c r="O278" t="n">
        <v>0</v>
      </c>
      <c r="P278" t="n">
        <v>0</v>
      </c>
      <c r="Q278" t="n">
        <v>0</v>
      </c>
      <c r="R278" s="2" t="inlineStr"/>
    </row>
    <row r="279" ht="15" customHeight="1">
      <c r="A279" t="inlineStr">
        <is>
          <t>A 13606-2020</t>
        </is>
      </c>
      <c r="B279" s="1" t="n">
        <v>43903</v>
      </c>
      <c r="C279" s="1" t="n">
        <v>45665</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14022-2020</t>
        </is>
      </c>
      <c r="B280" s="1" t="n">
        <v>43906</v>
      </c>
      <c r="C280" s="1" t="n">
        <v>45665</v>
      </c>
      <c r="D280" t="inlineStr">
        <is>
          <t>KALMAR LÄN</t>
        </is>
      </c>
      <c r="E280" t="inlineStr">
        <is>
          <t>VIMMERBY</t>
        </is>
      </c>
      <c r="F280" t="inlineStr">
        <is>
          <t>Kommuner</t>
        </is>
      </c>
      <c r="G280" t="n">
        <v>2</v>
      </c>
      <c r="H280" t="n">
        <v>0</v>
      </c>
      <c r="I280" t="n">
        <v>0</v>
      </c>
      <c r="J280" t="n">
        <v>0</v>
      </c>
      <c r="K280" t="n">
        <v>0</v>
      </c>
      <c r="L280" t="n">
        <v>0</v>
      </c>
      <c r="M280" t="n">
        <v>0</v>
      </c>
      <c r="N280" t="n">
        <v>0</v>
      </c>
      <c r="O280" t="n">
        <v>0</v>
      </c>
      <c r="P280" t="n">
        <v>0</v>
      </c>
      <c r="Q280" t="n">
        <v>0</v>
      </c>
      <c r="R280" s="2" t="inlineStr"/>
    </row>
    <row r="281" ht="15" customHeight="1">
      <c r="A281" t="inlineStr">
        <is>
          <t>A 16222-2020</t>
        </is>
      </c>
      <c r="B281" s="1" t="n">
        <v>43917</v>
      </c>
      <c r="C281" s="1" t="n">
        <v>45665</v>
      </c>
      <c r="D281" t="inlineStr">
        <is>
          <t>KALMAR LÄN</t>
        </is>
      </c>
      <c r="E281" t="inlineStr">
        <is>
          <t>VIMMERBY</t>
        </is>
      </c>
      <c r="G281" t="n">
        <v>1.8</v>
      </c>
      <c r="H281" t="n">
        <v>0</v>
      </c>
      <c r="I281" t="n">
        <v>0</v>
      </c>
      <c r="J281" t="n">
        <v>0</v>
      </c>
      <c r="K281" t="n">
        <v>0</v>
      </c>
      <c r="L281" t="n">
        <v>0</v>
      </c>
      <c r="M281" t="n">
        <v>0</v>
      </c>
      <c r="N281" t="n">
        <v>0</v>
      </c>
      <c r="O281" t="n">
        <v>0</v>
      </c>
      <c r="P281" t="n">
        <v>0</v>
      </c>
      <c r="Q281" t="n">
        <v>0</v>
      </c>
      <c r="R281" s="2" t="inlineStr"/>
    </row>
    <row r="282" ht="15" customHeight="1">
      <c r="A282" t="inlineStr">
        <is>
          <t>A 18676-2020</t>
        </is>
      </c>
      <c r="B282" s="1" t="n">
        <v>43930</v>
      </c>
      <c r="C282" s="1" t="n">
        <v>45665</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18855-2020</t>
        </is>
      </c>
      <c r="B283" s="1" t="n">
        <v>43930</v>
      </c>
      <c r="C283" s="1" t="n">
        <v>45665</v>
      </c>
      <c r="D283" t="inlineStr">
        <is>
          <t>KALMAR LÄN</t>
        </is>
      </c>
      <c r="E283" t="inlineStr">
        <is>
          <t>VIMMERBY</t>
        </is>
      </c>
      <c r="G283" t="n">
        <v>2.9</v>
      </c>
      <c r="H283" t="n">
        <v>0</v>
      </c>
      <c r="I283" t="n">
        <v>0</v>
      </c>
      <c r="J283" t="n">
        <v>0</v>
      </c>
      <c r="K283" t="n">
        <v>0</v>
      </c>
      <c r="L283" t="n">
        <v>0</v>
      </c>
      <c r="M283" t="n">
        <v>0</v>
      </c>
      <c r="N283" t="n">
        <v>0</v>
      </c>
      <c r="O283" t="n">
        <v>0</v>
      </c>
      <c r="P283" t="n">
        <v>0</v>
      </c>
      <c r="Q283" t="n">
        <v>0</v>
      </c>
      <c r="R283" s="2" t="inlineStr"/>
    </row>
    <row r="284" ht="15" customHeight="1">
      <c r="A284" t="inlineStr">
        <is>
          <t>A 18885-2020</t>
        </is>
      </c>
      <c r="B284" s="1" t="n">
        <v>43935</v>
      </c>
      <c r="C284" s="1" t="n">
        <v>45665</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18909-2020</t>
        </is>
      </c>
      <c r="B285" s="1" t="n">
        <v>43935</v>
      </c>
      <c r="C285" s="1" t="n">
        <v>45665</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20291-2020</t>
        </is>
      </c>
      <c r="B286" s="1" t="n">
        <v>43945</v>
      </c>
      <c r="C286" s="1" t="n">
        <v>45665</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21408-2020</t>
        </is>
      </c>
      <c r="B287" s="1" t="n">
        <v>43955</v>
      </c>
      <c r="C287" s="1" t="n">
        <v>45665</v>
      </c>
      <c r="D287" t="inlineStr">
        <is>
          <t>KALMAR LÄN</t>
        </is>
      </c>
      <c r="E287" t="inlineStr">
        <is>
          <t>VIMMERBY</t>
        </is>
      </c>
      <c r="G287" t="n">
        <v>0.9</v>
      </c>
      <c r="H287" t="n">
        <v>0</v>
      </c>
      <c r="I287" t="n">
        <v>0</v>
      </c>
      <c r="J287" t="n">
        <v>0</v>
      </c>
      <c r="K287" t="n">
        <v>0</v>
      </c>
      <c r="L287" t="n">
        <v>0</v>
      </c>
      <c r="M287" t="n">
        <v>0</v>
      </c>
      <c r="N287" t="n">
        <v>0</v>
      </c>
      <c r="O287" t="n">
        <v>0</v>
      </c>
      <c r="P287" t="n">
        <v>0</v>
      </c>
      <c r="Q287" t="n">
        <v>0</v>
      </c>
      <c r="R287" s="2" t="inlineStr"/>
    </row>
    <row r="288" ht="15" customHeight="1">
      <c r="A288" t="inlineStr">
        <is>
          <t>A 21581-2020</t>
        </is>
      </c>
      <c r="B288" s="1" t="n">
        <v>43956</v>
      </c>
      <c r="C288" s="1" t="n">
        <v>45665</v>
      </c>
      <c r="D288" t="inlineStr">
        <is>
          <t>KALMAR LÄN</t>
        </is>
      </c>
      <c r="E288" t="inlineStr">
        <is>
          <t>VIMMERBY</t>
        </is>
      </c>
      <c r="G288" t="n">
        <v>1.1</v>
      </c>
      <c r="H288" t="n">
        <v>0</v>
      </c>
      <c r="I288" t="n">
        <v>0</v>
      </c>
      <c r="J288" t="n">
        <v>0</v>
      </c>
      <c r="K288" t="n">
        <v>0</v>
      </c>
      <c r="L288" t="n">
        <v>0</v>
      </c>
      <c r="M288" t="n">
        <v>0</v>
      </c>
      <c r="N288" t="n">
        <v>0</v>
      </c>
      <c r="O288" t="n">
        <v>0</v>
      </c>
      <c r="P288" t="n">
        <v>0</v>
      </c>
      <c r="Q288" t="n">
        <v>0</v>
      </c>
      <c r="R288" s="2" t="inlineStr"/>
    </row>
    <row r="289" ht="15" customHeight="1">
      <c r="A289" t="inlineStr">
        <is>
          <t>A 21891-2020</t>
        </is>
      </c>
      <c r="B289" s="1" t="n">
        <v>43958</v>
      </c>
      <c r="C289" s="1" t="n">
        <v>45665</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22267-2020</t>
        </is>
      </c>
      <c r="B290" s="1" t="n">
        <v>43962</v>
      </c>
      <c r="C290" s="1" t="n">
        <v>45665</v>
      </c>
      <c r="D290" t="inlineStr">
        <is>
          <t>KALMAR LÄN</t>
        </is>
      </c>
      <c r="E290" t="inlineStr">
        <is>
          <t>VIMMERBY</t>
        </is>
      </c>
      <c r="G290" t="n">
        <v>1.4</v>
      </c>
      <c r="H290" t="n">
        <v>0</v>
      </c>
      <c r="I290" t="n">
        <v>0</v>
      </c>
      <c r="J290" t="n">
        <v>0</v>
      </c>
      <c r="K290" t="n">
        <v>0</v>
      </c>
      <c r="L290" t="n">
        <v>0</v>
      </c>
      <c r="M290" t="n">
        <v>0</v>
      </c>
      <c r="N290" t="n">
        <v>0</v>
      </c>
      <c r="O290" t="n">
        <v>0</v>
      </c>
      <c r="P290" t="n">
        <v>0</v>
      </c>
      <c r="Q290" t="n">
        <v>0</v>
      </c>
      <c r="R290" s="2" t="inlineStr"/>
    </row>
    <row r="291" ht="15" customHeight="1">
      <c r="A291" t="inlineStr">
        <is>
          <t>A 22574-2020</t>
        </is>
      </c>
      <c r="B291" s="1" t="n">
        <v>43963</v>
      </c>
      <c r="C291" s="1" t="n">
        <v>45665</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22637-2020</t>
        </is>
      </c>
      <c r="B292" s="1" t="n">
        <v>43963</v>
      </c>
      <c r="C292" s="1" t="n">
        <v>45665</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22828-2020</t>
        </is>
      </c>
      <c r="B293" s="1" t="n">
        <v>43964</v>
      </c>
      <c r="C293" s="1" t="n">
        <v>45665</v>
      </c>
      <c r="D293" t="inlineStr">
        <is>
          <t>KALMAR LÄN</t>
        </is>
      </c>
      <c r="E293" t="inlineStr">
        <is>
          <t>VIMMERBY</t>
        </is>
      </c>
      <c r="G293" t="n">
        <v>7.5</v>
      </c>
      <c r="H293" t="n">
        <v>0</v>
      </c>
      <c r="I293" t="n">
        <v>0</v>
      </c>
      <c r="J293" t="n">
        <v>0</v>
      </c>
      <c r="K293" t="n">
        <v>0</v>
      </c>
      <c r="L293" t="n">
        <v>0</v>
      </c>
      <c r="M293" t="n">
        <v>0</v>
      </c>
      <c r="N293" t="n">
        <v>0</v>
      </c>
      <c r="O293" t="n">
        <v>0</v>
      </c>
      <c r="P293" t="n">
        <v>0</v>
      </c>
      <c r="Q293" t="n">
        <v>0</v>
      </c>
      <c r="R293" s="2" t="inlineStr"/>
    </row>
    <row r="294" ht="15" customHeight="1">
      <c r="A294" t="inlineStr">
        <is>
          <t>A 23391-2020</t>
        </is>
      </c>
      <c r="B294" s="1" t="n">
        <v>43968</v>
      </c>
      <c r="C294" s="1" t="n">
        <v>45665</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23394-2020</t>
        </is>
      </c>
      <c r="B295" s="1" t="n">
        <v>43968</v>
      </c>
      <c r="C295" s="1" t="n">
        <v>45665</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23705-2020</t>
        </is>
      </c>
      <c r="B296" s="1" t="n">
        <v>43970</v>
      </c>
      <c r="C296" s="1" t="n">
        <v>45665</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23877-2020</t>
        </is>
      </c>
      <c r="B297" s="1" t="n">
        <v>43971</v>
      </c>
      <c r="C297" s="1" t="n">
        <v>45665</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24016-2020</t>
        </is>
      </c>
      <c r="B298" s="1" t="n">
        <v>43971</v>
      </c>
      <c r="C298" s="1" t="n">
        <v>45665</v>
      </c>
      <c r="D298" t="inlineStr">
        <is>
          <t>KALMAR LÄN</t>
        </is>
      </c>
      <c r="E298" t="inlineStr">
        <is>
          <t>VIMMERBY</t>
        </is>
      </c>
      <c r="G298" t="n">
        <v>4.5</v>
      </c>
      <c r="H298" t="n">
        <v>0</v>
      </c>
      <c r="I298" t="n">
        <v>0</v>
      </c>
      <c r="J298" t="n">
        <v>0</v>
      </c>
      <c r="K298" t="n">
        <v>0</v>
      </c>
      <c r="L298" t="n">
        <v>0</v>
      </c>
      <c r="M298" t="n">
        <v>0</v>
      </c>
      <c r="N298" t="n">
        <v>0</v>
      </c>
      <c r="O298" t="n">
        <v>0</v>
      </c>
      <c r="P298" t="n">
        <v>0</v>
      </c>
      <c r="Q298" t="n">
        <v>0</v>
      </c>
      <c r="R298" s="2" t="inlineStr"/>
    </row>
    <row r="299" ht="15" customHeight="1">
      <c r="A299" t="inlineStr">
        <is>
          <t>A 24770-2020</t>
        </is>
      </c>
      <c r="B299" s="1" t="n">
        <v>43978</v>
      </c>
      <c r="C299" s="1" t="n">
        <v>45665</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24784-2020</t>
        </is>
      </c>
      <c r="B300" s="1" t="n">
        <v>43978</v>
      </c>
      <c r="C300" s="1" t="n">
        <v>45665</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24782-2020</t>
        </is>
      </c>
      <c r="B301" s="1" t="n">
        <v>43978</v>
      </c>
      <c r="C301" s="1" t="n">
        <v>45665</v>
      </c>
      <c r="D301" t="inlineStr">
        <is>
          <t>KALMAR LÄN</t>
        </is>
      </c>
      <c r="E301" t="inlineStr">
        <is>
          <t>VIMMERBY</t>
        </is>
      </c>
      <c r="G301" t="n">
        <v>1.8</v>
      </c>
      <c r="H301" t="n">
        <v>0</v>
      </c>
      <c r="I301" t="n">
        <v>0</v>
      </c>
      <c r="J301" t="n">
        <v>0</v>
      </c>
      <c r="K301" t="n">
        <v>0</v>
      </c>
      <c r="L301" t="n">
        <v>0</v>
      </c>
      <c r="M301" t="n">
        <v>0</v>
      </c>
      <c r="N301" t="n">
        <v>0</v>
      </c>
      <c r="O301" t="n">
        <v>0</v>
      </c>
      <c r="P301" t="n">
        <v>0</v>
      </c>
      <c r="Q301" t="n">
        <v>0</v>
      </c>
      <c r="R301" s="2" t="inlineStr"/>
    </row>
    <row r="302" ht="15" customHeight="1">
      <c r="A302" t="inlineStr">
        <is>
          <t>A 25761-2020</t>
        </is>
      </c>
      <c r="B302" s="1" t="n">
        <v>43984</v>
      </c>
      <c r="C302" s="1" t="n">
        <v>45665</v>
      </c>
      <c r="D302" t="inlineStr">
        <is>
          <t>KALMAR LÄN</t>
        </is>
      </c>
      <c r="E302" t="inlineStr">
        <is>
          <t>VIMMERBY</t>
        </is>
      </c>
      <c r="G302" t="n">
        <v>2.3</v>
      </c>
      <c r="H302" t="n">
        <v>0</v>
      </c>
      <c r="I302" t="n">
        <v>0</v>
      </c>
      <c r="J302" t="n">
        <v>0</v>
      </c>
      <c r="K302" t="n">
        <v>0</v>
      </c>
      <c r="L302" t="n">
        <v>0</v>
      </c>
      <c r="M302" t="n">
        <v>0</v>
      </c>
      <c r="N302" t="n">
        <v>0</v>
      </c>
      <c r="O302" t="n">
        <v>0</v>
      </c>
      <c r="P302" t="n">
        <v>0</v>
      </c>
      <c r="Q302" t="n">
        <v>0</v>
      </c>
      <c r="R302" s="2" t="inlineStr"/>
    </row>
    <row r="303" ht="15" customHeight="1">
      <c r="A303" t="inlineStr">
        <is>
          <t>A 26723-2020</t>
        </is>
      </c>
      <c r="B303" s="1" t="n">
        <v>43990</v>
      </c>
      <c r="C303" s="1" t="n">
        <v>45665</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27104-2020</t>
        </is>
      </c>
      <c r="B304" s="1" t="n">
        <v>43991</v>
      </c>
      <c r="C304" s="1" t="n">
        <v>45665</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27212-2020</t>
        </is>
      </c>
      <c r="B305" s="1" t="n">
        <v>43992</v>
      </c>
      <c r="C305" s="1" t="n">
        <v>45665</v>
      </c>
      <c r="D305" t="inlineStr">
        <is>
          <t>KALMAR LÄN</t>
        </is>
      </c>
      <c r="E305" t="inlineStr">
        <is>
          <t>VIMMERBY</t>
        </is>
      </c>
      <c r="G305" t="n">
        <v>1.6</v>
      </c>
      <c r="H305" t="n">
        <v>0</v>
      </c>
      <c r="I305" t="n">
        <v>0</v>
      </c>
      <c r="J305" t="n">
        <v>0</v>
      </c>
      <c r="K305" t="n">
        <v>0</v>
      </c>
      <c r="L305" t="n">
        <v>0</v>
      </c>
      <c r="M305" t="n">
        <v>0</v>
      </c>
      <c r="N305" t="n">
        <v>0</v>
      </c>
      <c r="O305" t="n">
        <v>0</v>
      </c>
      <c r="P305" t="n">
        <v>0</v>
      </c>
      <c r="Q305" t="n">
        <v>0</v>
      </c>
      <c r="R305" s="2" t="inlineStr"/>
    </row>
    <row r="306" ht="15" customHeight="1">
      <c r="A306" t="inlineStr">
        <is>
          <t>A 27316-2020</t>
        </is>
      </c>
      <c r="B306" s="1" t="n">
        <v>43992</v>
      </c>
      <c r="C306" s="1" t="n">
        <v>45665</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27214-2020</t>
        </is>
      </c>
      <c r="B307" s="1" t="n">
        <v>43992</v>
      </c>
      <c r="C307" s="1" t="n">
        <v>45665</v>
      </c>
      <c r="D307" t="inlineStr">
        <is>
          <t>KALMAR LÄN</t>
        </is>
      </c>
      <c r="E307" t="inlineStr">
        <is>
          <t>VIMMERBY</t>
        </is>
      </c>
      <c r="G307" t="n">
        <v>2.6</v>
      </c>
      <c r="H307" t="n">
        <v>0</v>
      </c>
      <c r="I307" t="n">
        <v>0</v>
      </c>
      <c r="J307" t="n">
        <v>0</v>
      </c>
      <c r="K307" t="n">
        <v>0</v>
      </c>
      <c r="L307" t="n">
        <v>0</v>
      </c>
      <c r="M307" t="n">
        <v>0</v>
      </c>
      <c r="N307" t="n">
        <v>0</v>
      </c>
      <c r="O307" t="n">
        <v>0</v>
      </c>
      <c r="P307" t="n">
        <v>0</v>
      </c>
      <c r="Q307" t="n">
        <v>0</v>
      </c>
      <c r="R307" s="2" t="inlineStr"/>
    </row>
    <row r="308" ht="15" customHeight="1">
      <c r="A308" t="inlineStr">
        <is>
          <t>A 27213-2020</t>
        </is>
      </c>
      <c r="B308" s="1" t="n">
        <v>43992</v>
      </c>
      <c r="C308" s="1" t="n">
        <v>45665</v>
      </c>
      <c r="D308" t="inlineStr">
        <is>
          <t>KALMAR LÄN</t>
        </is>
      </c>
      <c r="E308" t="inlineStr">
        <is>
          <t>VIMMERBY</t>
        </is>
      </c>
      <c r="G308" t="n">
        <v>0.9</v>
      </c>
      <c r="H308" t="n">
        <v>0</v>
      </c>
      <c r="I308" t="n">
        <v>0</v>
      </c>
      <c r="J308" t="n">
        <v>0</v>
      </c>
      <c r="K308" t="n">
        <v>0</v>
      </c>
      <c r="L308" t="n">
        <v>0</v>
      </c>
      <c r="M308" t="n">
        <v>0</v>
      </c>
      <c r="N308" t="n">
        <v>0</v>
      </c>
      <c r="O308" t="n">
        <v>0</v>
      </c>
      <c r="P308" t="n">
        <v>0</v>
      </c>
      <c r="Q308" t="n">
        <v>0</v>
      </c>
      <c r="R308" s="2" t="inlineStr"/>
    </row>
    <row r="309" ht="15" customHeight="1">
      <c r="A309" t="inlineStr">
        <is>
          <t>A 27236-2020</t>
        </is>
      </c>
      <c r="B309" s="1" t="n">
        <v>43992</v>
      </c>
      <c r="C309" s="1" t="n">
        <v>45665</v>
      </c>
      <c r="D309" t="inlineStr">
        <is>
          <t>KALMAR LÄN</t>
        </is>
      </c>
      <c r="E309" t="inlineStr">
        <is>
          <t>VIMMERBY</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28853-2020</t>
        </is>
      </c>
      <c r="B310" s="1" t="n">
        <v>44000</v>
      </c>
      <c r="C310" s="1" t="n">
        <v>45665</v>
      </c>
      <c r="D310" t="inlineStr">
        <is>
          <t>KALMAR LÄN</t>
        </is>
      </c>
      <c r="E310" t="inlineStr">
        <is>
          <t>VIMMERBY</t>
        </is>
      </c>
      <c r="G310" t="n">
        <v>2.3</v>
      </c>
      <c r="H310" t="n">
        <v>0</v>
      </c>
      <c r="I310" t="n">
        <v>0</v>
      </c>
      <c r="J310" t="n">
        <v>0</v>
      </c>
      <c r="K310" t="n">
        <v>0</v>
      </c>
      <c r="L310" t="n">
        <v>0</v>
      </c>
      <c r="M310" t="n">
        <v>0</v>
      </c>
      <c r="N310" t="n">
        <v>0</v>
      </c>
      <c r="O310" t="n">
        <v>0</v>
      </c>
      <c r="P310" t="n">
        <v>0</v>
      </c>
      <c r="Q310" t="n">
        <v>0</v>
      </c>
      <c r="R310" s="2" t="inlineStr"/>
    </row>
    <row r="311" ht="15" customHeight="1">
      <c r="A311" t="inlineStr">
        <is>
          <t>A 28885-2020</t>
        </is>
      </c>
      <c r="B311" s="1" t="n">
        <v>44000</v>
      </c>
      <c r="C311" s="1" t="n">
        <v>45665</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28969-2020</t>
        </is>
      </c>
      <c r="B312" s="1" t="n">
        <v>44000</v>
      </c>
      <c r="C312" s="1" t="n">
        <v>45665</v>
      </c>
      <c r="D312" t="inlineStr">
        <is>
          <t>KALMAR LÄN</t>
        </is>
      </c>
      <c r="E312" t="inlineStr">
        <is>
          <t>VIMMERBY</t>
        </is>
      </c>
      <c r="G312" t="n">
        <v>1.2</v>
      </c>
      <c r="H312" t="n">
        <v>0</v>
      </c>
      <c r="I312" t="n">
        <v>0</v>
      </c>
      <c r="J312" t="n">
        <v>0</v>
      </c>
      <c r="K312" t="n">
        <v>0</v>
      </c>
      <c r="L312" t="n">
        <v>0</v>
      </c>
      <c r="M312" t="n">
        <v>0</v>
      </c>
      <c r="N312" t="n">
        <v>0</v>
      </c>
      <c r="O312" t="n">
        <v>0</v>
      </c>
      <c r="P312" t="n">
        <v>0</v>
      </c>
      <c r="Q312" t="n">
        <v>0</v>
      </c>
      <c r="R312" s="2" t="inlineStr"/>
    </row>
    <row r="313" ht="15" customHeight="1">
      <c r="A313" t="inlineStr">
        <is>
          <t>A 29235-2020</t>
        </is>
      </c>
      <c r="B313" s="1" t="n">
        <v>44004</v>
      </c>
      <c r="C313" s="1" t="n">
        <v>45665</v>
      </c>
      <c r="D313" t="inlineStr">
        <is>
          <t>KALMAR LÄN</t>
        </is>
      </c>
      <c r="E313" t="inlineStr">
        <is>
          <t>VIMMERBY</t>
        </is>
      </c>
      <c r="G313" t="n">
        <v>3</v>
      </c>
      <c r="H313" t="n">
        <v>0</v>
      </c>
      <c r="I313" t="n">
        <v>0</v>
      </c>
      <c r="J313" t="n">
        <v>0</v>
      </c>
      <c r="K313" t="n">
        <v>0</v>
      </c>
      <c r="L313" t="n">
        <v>0</v>
      </c>
      <c r="M313" t="n">
        <v>0</v>
      </c>
      <c r="N313" t="n">
        <v>0</v>
      </c>
      <c r="O313" t="n">
        <v>0</v>
      </c>
      <c r="P313" t="n">
        <v>0</v>
      </c>
      <c r="Q313" t="n">
        <v>0</v>
      </c>
      <c r="R313" s="2" t="inlineStr"/>
    </row>
    <row r="314" ht="15" customHeight="1">
      <c r="A314" t="inlineStr">
        <is>
          <t>A 29913-2020</t>
        </is>
      </c>
      <c r="B314" s="1" t="n">
        <v>44006</v>
      </c>
      <c r="C314" s="1" t="n">
        <v>45665</v>
      </c>
      <c r="D314" t="inlineStr">
        <is>
          <t>KALMAR LÄN</t>
        </is>
      </c>
      <c r="E314" t="inlineStr">
        <is>
          <t>VIMMERBY</t>
        </is>
      </c>
      <c r="F314" t="inlineStr">
        <is>
          <t>Kommuner</t>
        </is>
      </c>
      <c r="G314" t="n">
        <v>3.8</v>
      </c>
      <c r="H314" t="n">
        <v>0</v>
      </c>
      <c r="I314" t="n">
        <v>0</v>
      </c>
      <c r="J314" t="n">
        <v>0</v>
      </c>
      <c r="K314" t="n">
        <v>0</v>
      </c>
      <c r="L314" t="n">
        <v>0</v>
      </c>
      <c r="M314" t="n">
        <v>0</v>
      </c>
      <c r="N314" t="n">
        <v>0</v>
      </c>
      <c r="O314" t="n">
        <v>0</v>
      </c>
      <c r="P314" t="n">
        <v>0</v>
      </c>
      <c r="Q314" t="n">
        <v>0</v>
      </c>
      <c r="R314" s="2" t="inlineStr"/>
    </row>
    <row r="315" ht="15" customHeight="1">
      <c r="A315" t="inlineStr">
        <is>
          <t>A 29918-2020</t>
        </is>
      </c>
      <c r="B315" s="1" t="n">
        <v>44006</v>
      </c>
      <c r="C315" s="1" t="n">
        <v>45665</v>
      </c>
      <c r="D315" t="inlineStr">
        <is>
          <t>KALMAR LÄN</t>
        </is>
      </c>
      <c r="E315" t="inlineStr">
        <is>
          <t>VIMMERBY</t>
        </is>
      </c>
      <c r="F315" t="inlineStr">
        <is>
          <t>Kommuner</t>
        </is>
      </c>
      <c r="G315" t="n">
        <v>2.5</v>
      </c>
      <c r="H315" t="n">
        <v>0</v>
      </c>
      <c r="I315" t="n">
        <v>0</v>
      </c>
      <c r="J315" t="n">
        <v>0</v>
      </c>
      <c r="K315" t="n">
        <v>0</v>
      </c>
      <c r="L315" t="n">
        <v>0</v>
      </c>
      <c r="M315" t="n">
        <v>0</v>
      </c>
      <c r="N315" t="n">
        <v>0</v>
      </c>
      <c r="O315" t="n">
        <v>0</v>
      </c>
      <c r="P315" t="n">
        <v>0</v>
      </c>
      <c r="Q315" t="n">
        <v>0</v>
      </c>
      <c r="R315" s="2" t="inlineStr"/>
    </row>
    <row r="316" ht="15" customHeight="1">
      <c r="A316" t="inlineStr">
        <is>
          <t>A 29979-2020</t>
        </is>
      </c>
      <c r="B316" s="1" t="n">
        <v>44006</v>
      </c>
      <c r="C316" s="1" t="n">
        <v>45665</v>
      </c>
      <c r="D316" t="inlineStr">
        <is>
          <t>KALMAR LÄN</t>
        </is>
      </c>
      <c r="E316" t="inlineStr">
        <is>
          <t>VIMMERBY</t>
        </is>
      </c>
      <c r="F316" t="inlineStr">
        <is>
          <t>Kommuner</t>
        </is>
      </c>
      <c r="G316" t="n">
        <v>1.4</v>
      </c>
      <c r="H316" t="n">
        <v>0</v>
      </c>
      <c r="I316" t="n">
        <v>0</v>
      </c>
      <c r="J316" t="n">
        <v>0</v>
      </c>
      <c r="K316" t="n">
        <v>0</v>
      </c>
      <c r="L316" t="n">
        <v>0</v>
      </c>
      <c r="M316" t="n">
        <v>0</v>
      </c>
      <c r="N316" t="n">
        <v>0</v>
      </c>
      <c r="O316" t="n">
        <v>0</v>
      </c>
      <c r="P316" t="n">
        <v>0</v>
      </c>
      <c r="Q316" t="n">
        <v>0</v>
      </c>
      <c r="R316" s="2" t="inlineStr"/>
    </row>
    <row r="317" ht="15" customHeight="1">
      <c r="A317" t="inlineStr">
        <is>
          <t>A 29935-2020</t>
        </is>
      </c>
      <c r="B317" s="1" t="n">
        <v>44006</v>
      </c>
      <c r="C317" s="1" t="n">
        <v>45665</v>
      </c>
      <c r="D317" t="inlineStr">
        <is>
          <t>KALMAR LÄN</t>
        </is>
      </c>
      <c r="E317" t="inlineStr">
        <is>
          <t>VIMMERBY</t>
        </is>
      </c>
      <c r="F317" t="inlineStr">
        <is>
          <t>Kommuner</t>
        </is>
      </c>
      <c r="G317" t="n">
        <v>0.7</v>
      </c>
      <c r="H317" t="n">
        <v>0</v>
      </c>
      <c r="I317" t="n">
        <v>0</v>
      </c>
      <c r="J317" t="n">
        <v>0</v>
      </c>
      <c r="K317" t="n">
        <v>0</v>
      </c>
      <c r="L317" t="n">
        <v>0</v>
      </c>
      <c r="M317" t="n">
        <v>0</v>
      </c>
      <c r="N317" t="n">
        <v>0</v>
      </c>
      <c r="O317" t="n">
        <v>0</v>
      </c>
      <c r="P317" t="n">
        <v>0</v>
      </c>
      <c r="Q317" t="n">
        <v>0</v>
      </c>
      <c r="R317" s="2" t="inlineStr"/>
    </row>
    <row r="318" ht="15" customHeight="1">
      <c r="A318" t="inlineStr">
        <is>
          <t>A 30206-2020</t>
        </is>
      </c>
      <c r="B318" s="1" t="n">
        <v>44007</v>
      </c>
      <c r="C318" s="1" t="n">
        <v>45665</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31289-2020</t>
        </is>
      </c>
      <c r="B319" s="1" t="n">
        <v>44012</v>
      </c>
      <c r="C319" s="1" t="n">
        <v>45665</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33159-2020</t>
        </is>
      </c>
      <c r="B320" s="1" t="n">
        <v>44021</v>
      </c>
      <c r="C320" s="1" t="n">
        <v>45665</v>
      </c>
      <c r="D320" t="inlineStr">
        <is>
          <t>KALMAR LÄN</t>
        </is>
      </c>
      <c r="E320" t="inlineStr">
        <is>
          <t>VIMMERBY</t>
        </is>
      </c>
      <c r="G320" t="n">
        <v>1.4</v>
      </c>
      <c r="H320" t="n">
        <v>0</v>
      </c>
      <c r="I320" t="n">
        <v>0</v>
      </c>
      <c r="J320" t="n">
        <v>0</v>
      </c>
      <c r="K320" t="n">
        <v>0</v>
      </c>
      <c r="L320" t="n">
        <v>0</v>
      </c>
      <c r="M320" t="n">
        <v>0</v>
      </c>
      <c r="N320" t="n">
        <v>0</v>
      </c>
      <c r="O320" t="n">
        <v>0</v>
      </c>
      <c r="P320" t="n">
        <v>0</v>
      </c>
      <c r="Q320" t="n">
        <v>0</v>
      </c>
      <c r="R320" s="2" t="inlineStr"/>
    </row>
    <row r="321" ht="15" customHeight="1">
      <c r="A321" t="inlineStr">
        <is>
          <t>A 33279-2020</t>
        </is>
      </c>
      <c r="B321" s="1" t="n">
        <v>44022</v>
      </c>
      <c r="C321" s="1" t="n">
        <v>45665</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33856-2020</t>
        </is>
      </c>
      <c r="B322" s="1" t="n">
        <v>44027</v>
      </c>
      <c r="C322" s="1" t="n">
        <v>45665</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34350-2020</t>
        </is>
      </c>
      <c r="B323" s="1" t="n">
        <v>44028</v>
      </c>
      <c r="C323" s="1" t="n">
        <v>45665</v>
      </c>
      <c r="D323" t="inlineStr">
        <is>
          <t>KALMAR LÄN</t>
        </is>
      </c>
      <c r="E323" t="inlineStr">
        <is>
          <t>VIMMERBY</t>
        </is>
      </c>
      <c r="G323" t="n">
        <v>4.3</v>
      </c>
      <c r="H323" t="n">
        <v>0</v>
      </c>
      <c r="I323" t="n">
        <v>0</v>
      </c>
      <c r="J323" t="n">
        <v>0</v>
      </c>
      <c r="K323" t="n">
        <v>0</v>
      </c>
      <c r="L323" t="n">
        <v>0</v>
      </c>
      <c r="M323" t="n">
        <v>0</v>
      </c>
      <c r="N323" t="n">
        <v>0</v>
      </c>
      <c r="O323" t="n">
        <v>0</v>
      </c>
      <c r="P323" t="n">
        <v>0</v>
      </c>
      <c r="Q323" t="n">
        <v>0</v>
      </c>
      <c r="R323" s="2" t="inlineStr"/>
    </row>
    <row r="324" ht="15" customHeight="1">
      <c r="A324" t="inlineStr">
        <is>
          <t>A 34345-2020</t>
        </is>
      </c>
      <c r="B324" s="1" t="n">
        <v>44028</v>
      </c>
      <c r="C324" s="1" t="n">
        <v>45665</v>
      </c>
      <c r="D324" t="inlineStr">
        <is>
          <t>KALMAR LÄN</t>
        </is>
      </c>
      <c r="E324" t="inlineStr">
        <is>
          <t>VIMMERBY</t>
        </is>
      </c>
      <c r="G324" t="n">
        <v>5.1</v>
      </c>
      <c r="H324" t="n">
        <v>0</v>
      </c>
      <c r="I324" t="n">
        <v>0</v>
      </c>
      <c r="J324" t="n">
        <v>0</v>
      </c>
      <c r="K324" t="n">
        <v>0</v>
      </c>
      <c r="L324" t="n">
        <v>0</v>
      </c>
      <c r="M324" t="n">
        <v>0</v>
      </c>
      <c r="N324" t="n">
        <v>0</v>
      </c>
      <c r="O324" t="n">
        <v>0</v>
      </c>
      <c r="P324" t="n">
        <v>0</v>
      </c>
      <c r="Q324" t="n">
        <v>0</v>
      </c>
      <c r="R324" s="2" t="inlineStr"/>
    </row>
    <row r="325" ht="15" customHeight="1">
      <c r="A325" t="inlineStr">
        <is>
          <t>A 34719-2020</t>
        </is>
      </c>
      <c r="B325" s="1" t="n">
        <v>44035</v>
      </c>
      <c r="C325" s="1" t="n">
        <v>45665</v>
      </c>
      <c r="D325" t="inlineStr">
        <is>
          <t>KALMAR LÄN</t>
        </is>
      </c>
      <c r="E325" t="inlineStr">
        <is>
          <t>VIMMERBY</t>
        </is>
      </c>
      <c r="G325" t="n">
        <v>3.5</v>
      </c>
      <c r="H325" t="n">
        <v>0</v>
      </c>
      <c r="I325" t="n">
        <v>0</v>
      </c>
      <c r="J325" t="n">
        <v>0</v>
      </c>
      <c r="K325" t="n">
        <v>0</v>
      </c>
      <c r="L325" t="n">
        <v>0</v>
      </c>
      <c r="M325" t="n">
        <v>0</v>
      </c>
      <c r="N325" t="n">
        <v>0</v>
      </c>
      <c r="O325" t="n">
        <v>0</v>
      </c>
      <c r="P325" t="n">
        <v>0</v>
      </c>
      <c r="Q325" t="n">
        <v>0</v>
      </c>
      <c r="R325" s="2" t="inlineStr"/>
    </row>
    <row r="326" ht="15" customHeight="1">
      <c r="A326" t="inlineStr">
        <is>
          <t>A 34907-2020</t>
        </is>
      </c>
      <c r="B326" s="1" t="n">
        <v>44036</v>
      </c>
      <c r="C326" s="1" t="n">
        <v>45665</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35350-2020</t>
        </is>
      </c>
      <c r="B327" s="1" t="n">
        <v>44041</v>
      </c>
      <c r="C327" s="1" t="n">
        <v>45665</v>
      </c>
      <c r="D327" t="inlineStr">
        <is>
          <t>KALMAR LÄN</t>
        </is>
      </c>
      <c r="E327" t="inlineStr">
        <is>
          <t>VIMMERBY</t>
        </is>
      </c>
      <c r="G327" t="n">
        <v>1.4</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45665</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45665</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45665</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45665</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45665</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45665</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45665</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45665</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45665</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45665</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45665</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45665</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45665</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45665</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45665</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45665</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45665</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45665</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45665</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45665</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45665</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45665</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45665</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45665</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45665</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45665</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45665</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45665</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45665</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45665</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45665</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45665</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45665</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45665</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45665</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45665</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45665</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45665</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45665</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45665</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45665</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45665</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45665</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45665</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45665</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45665</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45665</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45665</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45665</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45665</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45665</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45665</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45665</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45665</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45665</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45665</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45665</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45665</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45665</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45665</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45665</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45665</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45665</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45665</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45665</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45665</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45665</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45665</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45665</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45665</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45665</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45665</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45665</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45665</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45665</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45665</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45665</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45665</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45665</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45665</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45665</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45665</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45665</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45665</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45665</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45665</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45665</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45665</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45665</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45665</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45665</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45665</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45665</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45665</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45665</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45665</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45665</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45665</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45665</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45665</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45665</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45665</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45665</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45665</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45665</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45665</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45665</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45665</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45665</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45665</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45665</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45665</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45665</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45665</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45665</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45665</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45665</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45665</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45665</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45665</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45665</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45665</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45665</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45665</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45665</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45665</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45665</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45665</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45665</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45665</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45665</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45665</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45665</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45665</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45665</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45665</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45665</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45665</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45665</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45665</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45665</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45665</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45665</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45665</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45665</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45665</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45665</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45665</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45665</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45665</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45665</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45665</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45665</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45665</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45665</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45665</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45665</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45665</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45665</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45665</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45665</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45665</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45665</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45665</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45665</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45665</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45665</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45665</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45665</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45665</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45665</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45665</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45665</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45665</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45665</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45665</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45665</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45665</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45665</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45665</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45665</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45665</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45665</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45665</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45665</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45665</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45665</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45665</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45665</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45665</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45665</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45665</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45665</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45665</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45665</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45665</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45665</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45665</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45665</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45665</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45665</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45665</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45665</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45665</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45665</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45665</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45665</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45665</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45665</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45665</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45665</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45665</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45665</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45665</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45665</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45665</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45665</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45665</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45665</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45665</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45665</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45665</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45665</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45665</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45665</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45665</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45665</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45665</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45665</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45665</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45665</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45665</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45665</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45665</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45665</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45665</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45665</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45665</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45665</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45665</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45665</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45665</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45665</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45665</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45665</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45665</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45665</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45665</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45665</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45665</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45665</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45665</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45665</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45665</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45665</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45665</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45665</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45665</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45665</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45665</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45665</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45665</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45665</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45665</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45665</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45665</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45665</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45665</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45665</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45665</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45665</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45665</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45665</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45665</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45665</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45665</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45665</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45665</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45665</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45665</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45665</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45665</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45665</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45665</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45665</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45665</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45665</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45665</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45665</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45665</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45665</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45665</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45665</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45665</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45665</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45665</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45665</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45665</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45665</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45665</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45665</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45665</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45665</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45665</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45665</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45665</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45665</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45665</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45665</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45665</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45665</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45665</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45665</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45665</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45665</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45665</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45665</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45665</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45665</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45665</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45665</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45665</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45665</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45665</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45665</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45665</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45665</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45665</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45665</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45665</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45665</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45665</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45665</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45665</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45665</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45665</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45665</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45665</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45665</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45665</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45665</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45665</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45665</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45665</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45665</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45665</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45665</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45665</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45665</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45665</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45665</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45665</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45665</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45665</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45665</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45665</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45665</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45665</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45665</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45665</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45665</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45665</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45665</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45665</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45665</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45665</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45665</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45665</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45665</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45665</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45665</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45665</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45665</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45665</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45665</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45665</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45665</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45665</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45665</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45665</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45665</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45665</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45665</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45665</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45665</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45665</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45665</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45665</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45665</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45665</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45665</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45665</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45665</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45665</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45665</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45665</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45665</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45665</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45665</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45665</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45665</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45665</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45665</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45665</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45665</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45665</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45665</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45665</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45665</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45665</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45665</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45665</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45665</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45665</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45665</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45665</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45665</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45665</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45665</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45665</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45665</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45665</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45665</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45665</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45665</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45665</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45665</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45665</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45665</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45665</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45665</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45665</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45665</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45665</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45665</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45665</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45665</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45665</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45665</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45665</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45665</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45665</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45665</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45665</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45665</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45665</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45665</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45665</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45665</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45665</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45665</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45665</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45665</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45665</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45665</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45665</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45665</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45665</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45665</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45665</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45665</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45665</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45665</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45665</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45665</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45665</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45665</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45665</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45665</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45665</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45665</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45665</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45665</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45665</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45665</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45665</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45665</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45665</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45665</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45665</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45665</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45665</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45665</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45665</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45665</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45665</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45665</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45665</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45665</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45665</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45665</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45665</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45665</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45665</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45665</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45665</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45665</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45665</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45665</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45665</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45665</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45665</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45665</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45665</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45665</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45665</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45665</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45665</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45665</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45665</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45665</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45665</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45665</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45665</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45665</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45665</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45665</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45665</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45665</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45665</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45665</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45665</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45665</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45665</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45665</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45665</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45665</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45665</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45665</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45665</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45665</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45665</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45665</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45665</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45665</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45665</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45665</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45665</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45665</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45665</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45665</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45665</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45665</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45665</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45665</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45665</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45665</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45665</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45665</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45665</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45665</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45665</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45665</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45665</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45665</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45665</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45665</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45665</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45665</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45665</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45665</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45665</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45665</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45665</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45665</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45665</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45665</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45665</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45665</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45665</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45665</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45665</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45665</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45665</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45665</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45665</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45665</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45665</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45665</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45665</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45665</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45665</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45665</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45665</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45665</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45665</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45665</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45665</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45665</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45665</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45665</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45665</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45665</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45665</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45665</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45665</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45665</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45665</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45665</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45665</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45665</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45665</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45665</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45665</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45665</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45665</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45665</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45665</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45665</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45665</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45665</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45665</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45665</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45665</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45665</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45665</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45665</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45665</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45665</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45665</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45665</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45665</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45665</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45665</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45665</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45665</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45665</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45665</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45665</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45665</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45665</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45665</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45665</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45665</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45665</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45665</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45665</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45665</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45665</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45665</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45665</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45665</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45665</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45665</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45665</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45665</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45665</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45665</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45665</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45665</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45665</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45665</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45665</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45665</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45665</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45665</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45665</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45665</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45665</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45665</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45665</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45665</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45665</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45665</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45665</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45665</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45665</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45665</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45665</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45665</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45665</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45665</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45665</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45665</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45665</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45665</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45665</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45665</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45665</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45665</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45665</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45665</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45665</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45665</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45665</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45665</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45665</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45665</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45665</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45665</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45665</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45665</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45665</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45665</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45665</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45665</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45665</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45665</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45665</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45665</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45665</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45665</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45665</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45665</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45665</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45665</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45665</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45665</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45665</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45665</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45665</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45665</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45665</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45665</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45665</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45665</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45665</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45665</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45665</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45665</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45665</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45665</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45665</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45665</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45665</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45665</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45665</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45665</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45665</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45665</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45665</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45665</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45665</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45665</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45665</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45665</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45665</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45665</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45665</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45665</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45665</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45665</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45665</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45665</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45665</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45665</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45665</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45665</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45665</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45665</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45665</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45665</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45665</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45665</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45665</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45665</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45665</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45665</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45665</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45665</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45665</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45665</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45665</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45665</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45665</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45665</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45665</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45665</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45665</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45665</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45665</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45665</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45665</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45665</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45665</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45665</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45665</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45665</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45665</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45665</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45665</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45665</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45665</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45665</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45665</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45665</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45665</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45665</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45665</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45665</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45665</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45665</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45665</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45665</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45665</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45665</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45665</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45665</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45665</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45665</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45665</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45665</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45665</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45665</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45665</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45665</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45665</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45665</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45665</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45665</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45665</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45665</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45665</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45665</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45665</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45665</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45665</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45665</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45665</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45665</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45665</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45665</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45665</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45665</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45665</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45665</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45665</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45665</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45665</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45665</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45665</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45665</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45665</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45665</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45665</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45665</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45665</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45665</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45665</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45665</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45665</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45665</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45665</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45665</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45665</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45665</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45665</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45665</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45665</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45665</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45665</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45665</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45665</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45665</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45665</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45665</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45665</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45665</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45665</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45665</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45665</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45665</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45665</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45665</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45665</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45665</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45665</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45665</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45665</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45665</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45665</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45665</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45665</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45665</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45665</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45665</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45665</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45665</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45665</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45665</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45665</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45665</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45665</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45665</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45665</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45665</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45665</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45665</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45665</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45665</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45665</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45665</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45665</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45665</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45665</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45665</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45665</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45665</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45665</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45665</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45665</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45665</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45665</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45665</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45665</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45665</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45665</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45665</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45665</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45665</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45665</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45665</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45665</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45665</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45665</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45665</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45665</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45665</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45665</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45665</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45665</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45665</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45665</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45665</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45665</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45665</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45665</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45665</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45665</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45665</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45665</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45665</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45665</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45665</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45665</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45665</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45665</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45665</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45665</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45665</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45665</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45665</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45665</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45665</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45665</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45665</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45665</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45665</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45665</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45665</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45665</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45665</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45665</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45665</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45665</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45665</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45665</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45665</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45665</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45665</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45665</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45665</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45665</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45665</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45665</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45665</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45665</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45665</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45665</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45665</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45665</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45665</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45665</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45665</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45665</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45665</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45665</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45665</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45665</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45665</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45665</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45665</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45665</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45665</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45665</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45665</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45665</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45665</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45665</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45665</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45665</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45665</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45665</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45665</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45665</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45665</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45665</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45665</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45665</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45665</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45665</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45665</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45665</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45665</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45665</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45665</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45665</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45665</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45665</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45665</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45665</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45665</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45665</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45665</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45665</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45665</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45665</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45665</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45665</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45665</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45665</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45665</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45665</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45665</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45665</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45665</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45665</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45665</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45665</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45665</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45665</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45665</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45665</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45665</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45665</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45665</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45665</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45665</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45665</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45665</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45665</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45665</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45665</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45665</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45665</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45665</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45665</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45665</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45665</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45665</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45665</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45665</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45665</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45665</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45665</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45665</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45665</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45665</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45665</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45665</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45665</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45665</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45665</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45665</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45665</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45665</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45665</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45665</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45665</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45665</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45665</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45665</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45665</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45665</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45665</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45665</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45665</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45665</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45665</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45665</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45665</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45665</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45665</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45665</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45665</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45665</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45665</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45665</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45665</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45665</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45665</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45665</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45665</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45665</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45665</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45665</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45665</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45665</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45665</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45665</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45665</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45665</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45665</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45665</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45665</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45665</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45665</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45665</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45665</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45665</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45665</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45665</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45665</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45665</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45665</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45665</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45665</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45665</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45665</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45665</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45665</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45665</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45665</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45665</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45665</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45665</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45665</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45665</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45665</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45665</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45665</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45665</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45665</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45665</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45665</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45665</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45665</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45665</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45665</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45665</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45665</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45665</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45665</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45665</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45665</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45665</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45665</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45665</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45665</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45665</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45665</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45665</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45665</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45665</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45665</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45665</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45665</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45665</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45665</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45665</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45665</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45665</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45665</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45665</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45665</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45665</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45665</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45665</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45665</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45665</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45665</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45665</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45665</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45665</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45665</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45665</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45665</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45665</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45665</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45665</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45665</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45665</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45665</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45665</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45665</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45665</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45665</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45665</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45665</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45665</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45665</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45665</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45665</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61777-2024</t>
        </is>
      </c>
      <c r="B1521" s="1" t="n">
        <v>45649</v>
      </c>
      <c r="C1521" s="1" t="n">
        <v>45665</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61775-2024</t>
        </is>
      </c>
      <c r="B1522" s="1" t="n">
        <v>45649</v>
      </c>
      <c r="C1522" s="1" t="n">
        <v>45665</v>
      </c>
      <c r="D1522" t="inlineStr">
        <is>
          <t>KALMAR LÄN</t>
        </is>
      </c>
      <c r="E1522" t="inlineStr">
        <is>
          <t>VIMMERBY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61861-2024</t>
        </is>
      </c>
      <c r="B1523" s="1" t="n">
        <v>45650</v>
      </c>
      <c r="C1523" s="1" t="n">
        <v>45665</v>
      </c>
      <c r="D1523" t="inlineStr">
        <is>
          <t>KALMAR LÄN</t>
        </is>
      </c>
      <c r="E1523" t="inlineStr">
        <is>
          <t>VIMMERBY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23-2025</t>
        </is>
      </c>
      <c r="B1524" s="1" t="n">
        <v>45658</v>
      </c>
      <c r="C1524" s="1" t="n">
        <v>45665</v>
      </c>
      <c r="D1524" t="inlineStr">
        <is>
          <t>KALMAR LÄN</t>
        </is>
      </c>
      <c r="E1524" t="inlineStr">
        <is>
          <t>VIMMERBY</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17-2025</t>
        </is>
      </c>
      <c r="B1525" s="1" t="n">
        <v>45658</v>
      </c>
      <c r="C1525" s="1" t="n">
        <v>45665</v>
      </c>
      <c r="D1525" t="inlineStr">
        <is>
          <t>KALMAR LÄN</t>
        </is>
      </c>
      <c r="E1525" t="inlineStr">
        <is>
          <t>VIMMERBY</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16-2025</t>
        </is>
      </c>
      <c r="B1526" s="1" t="n">
        <v>45658</v>
      </c>
      <c r="C1526" s="1" t="n">
        <v>45665</v>
      </c>
      <c r="D1526" t="inlineStr">
        <is>
          <t>KALMAR LÄN</t>
        </is>
      </c>
      <c r="E1526" t="inlineStr">
        <is>
          <t>VIMMERBY</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20-2025</t>
        </is>
      </c>
      <c r="B1527" s="1" t="n">
        <v>45658</v>
      </c>
      <c r="C1527" s="1" t="n">
        <v>45665</v>
      </c>
      <c r="D1527" t="inlineStr">
        <is>
          <t>KALMAR LÄN</t>
        </is>
      </c>
      <c r="E1527" t="inlineStr">
        <is>
          <t>VIMMERBY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365-2025</t>
        </is>
      </c>
      <c r="B1528" s="1" t="n">
        <v>45661</v>
      </c>
      <c r="C1528" s="1" t="n">
        <v>45665</v>
      </c>
      <c r="D1528" t="inlineStr">
        <is>
          <t>KALMAR LÄN</t>
        </is>
      </c>
      <c r="E1528" t="inlineStr">
        <is>
          <t>VIMMERBY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367-2025</t>
        </is>
      </c>
      <c r="B1529" s="1" t="n">
        <v>45661</v>
      </c>
      <c r="C1529" s="1" t="n">
        <v>45665</v>
      </c>
      <c r="D1529" t="inlineStr">
        <is>
          <t>KALMAR LÄN</t>
        </is>
      </c>
      <c r="E1529" t="inlineStr">
        <is>
          <t>VIMMERBY</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665-2025</t>
        </is>
      </c>
      <c r="B1530" s="1" t="n">
        <v>45664</v>
      </c>
      <c r="C1530" s="1" t="n">
        <v>45665</v>
      </c>
      <c r="D1530" t="inlineStr">
        <is>
          <t>KALMAR LÄN</t>
        </is>
      </c>
      <c r="E1530" t="inlineStr">
        <is>
          <t>VIMMERBY</t>
        </is>
      </c>
      <c r="G1530" t="n">
        <v>6.3</v>
      </c>
      <c r="H1530" t="n">
        <v>0</v>
      </c>
      <c r="I1530" t="n">
        <v>0</v>
      </c>
      <c r="J1530" t="n">
        <v>0</v>
      </c>
      <c r="K1530" t="n">
        <v>0</v>
      </c>
      <c r="L1530" t="n">
        <v>0</v>
      </c>
      <c r="M1530" t="n">
        <v>0</v>
      </c>
      <c r="N1530" t="n">
        <v>0</v>
      </c>
      <c r="O1530" t="n">
        <v>0</v>
      </c>
      <c r="P1530" t="n">
        <v>0</v>
      </c>
      <c r="Q1530" t="n">
        <v>0</v>
      </c>
      <c r="R1530" s="2" t="inlineStr"/>
    </row>
    <row r="1531">
      <c r="A1531" t="inlineStr">
        <is>
          <t>A 677-2025</t>
        </is>
      </c>
      <c r="B1531" s="1" t="n">
        <v>45664</v>
      </c>
      <c r="C1531" s="1" t="n">
        <v>45665</v>
      </c>
      <c r="D1531" t="inlineStr">
        <is>
          <t>KALMAR LÄN</t>
        </is>
      </c>
      <c r="E1531" t="inlineStr">
        <is>
          <t>VIMMERBY</t>
        </is>
      </c>
      <c r="G1531" t="n">
        <v>2.2</v>
      </c>
      <c r="H1531" t="n">
        <v>0</v>
      </c>
      <c r="I1531" t="n">
        <v>0</v>
      </c>
      <c r="J1531" t="n">
        <v>0</v>
      </c>
      <c r="K1531" t="n">
        <v>0</v>
      </c>
      <c r="L1531" t="n">
        <v>0</v>
      </c>
      <c r="M1531" t="n">
        <v>0</v>
      </c>
      <c r="N1531" t="n">
        <v>0</v>
      </c>
      <c r="O1531" t="n">
        <v>0</v>
      </c>
      <c r="P1531" t="n">
        <v>0</v>
      </c>
      <c r="Q1531" t="n">
        <v>0</v>
      </c>
      <c r="R1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2025-01-08T15:27:33Z</dcterms:created>
  <dcterms:modified xmlns:dcterms="http://purl.org/dc/terms/" xmlns:xsi="http://www.w3.org/2001/XMLSchema-instance" xsi:type="dcterms:W3CDTF">2025-01-08T15:27:34Z</dcterms:modified>
</cp:coreProperties>
</file>