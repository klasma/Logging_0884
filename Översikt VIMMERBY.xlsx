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45901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45901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45901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45901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45901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45901</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45901</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45901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45901</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45901</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45901</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45901</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45901</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45901</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45901</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45901</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45901</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45901</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45901</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45901</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14024-2023</t>
        </is>
      </c>
      <c r="B23" s="1" t="n">
        <v>45008.60878472222</v>
      </c>
      <c r="C23" s="1" t="n">
        <v>45901</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45901</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45901</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40684-2025</t>
        </is>
      </c>
      <c r="B26" s="1" t="n">
        <v>45896.86820601852</v>
      </c>
      <c r="C26" s="1" t="n">
        <v>45901</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22825-2023</t>
        </is>
      </c>
      <c r="B27" s="1" t="n">
        <v>45072</v>
      </c>
      <c r="C27" s="1" t="n">
        <v>45901</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45901</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32396-2021</t>
        </is>
      </c>
      <c r="B29" s="1" t="n">
        <v>44371</v>
      </c>
      <c r="C29" s="1" t="n">
        <v>45901</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37930-2021</t>
        </is>
      </c>
      <c r="B30" s="1" t="n">
        <v>44403</v>
      </c>
      <c r="C30" s="1" t="n">
        <v>45901</v>
      </c>
      <c r="D30" t="inlineStr">
        <is>
          <t>KALMAR LÄN</t>
        </is>
      </c>
      <c r="E30" t="inlineStr">
        <is>
          <t>VIMMERBY</t>
        </is>
      </c>
      <c r="G30" t="n">
        <v>4.4</v>
      </c>
      <c r="H30" t="n">
        <v>0</v>
      </c>
      <c r="I30" t="n">
        <v>0</v>
      </c>
      <c r="J30" t="n">
        <v>1</v>
      </c>
      <c r="K30" t="n">
        <v>0</v>
      </c>
      <c r="L30" t="n">
        <v>0</v>
      </c>
      <c r="M30" t="n">
        <v>0</v>
      </c>
      <c r="N30" t="n">
        <v>0</v>
      </c>
      <c r="O30" t="n">
        <v>1</v>
      </c>
      <c r="P30" t="n">
        <v>0</v>
      </c>
      <c r="Q30" t="n">
        <v>1</v>
      </c>
      <c r="R30" s="2" t="inlineStr">
        <is>
          <t>Spindelört</t>
        </is>
      </c>
      <c r="S30">
        <f>HYPERLINK("https://klasma.github.io/Logging_0884/artfynd/A 37930-2021 artfynd.xlsx", "A 37930-2021")</f>
        <v/>
      </c>
      <c r="T30">
        <f>HYPERLINK("https://klasma.github.io/Logging_0884/kartor/A 37930-2021 karta.png", "A 37930-2021")</f>
        <v/>
      </c>
      <c r="V30">
        <f>HYPERLINK("https://klasma.github.io/Logging_0884/klagomål/A 37930-2021 FSC-klagomål.docx", "A 37930-2021")</f>
        <v/>
      </c>
      <c r="W30">
        <f>HYPERLINK("https://klasma.github.io/Logging_0884/klagomålsmail/A 37930-2021 FSC-klagomål mail.docx", "A 37930-2021")</f>
        <v/>
      </c>
      <c r="X30">
        <f>HYPERLINK("https://klasma.github.io/Logging_0884/tillsyn/A 37930-2021 tillsynsbegäran.docx", "A 37930-2021")</f>
        <v/>
      </c>
      <c r="Y30">
        <f>HYPERLINK("https://klasma.github.io/Logging_0884/tillsynsmail/A 37930-2021 tillsynsbegäran mail.docx", "A 37930-2021")</f>
        <v/>
      </c>
    </row>
    <row r="31" ht="15" customHeight="1">
      <c r="A31" t="inlineStr">
        <is>
          <t>A 15122-2024</t>
        </is>
      </c>
      <c r="B31" s="1" t="n">
        <v>45399.71412037037</v>
      </c>
      <c r="C31" s="1" t="n">
        <v>45901</v>
      </c>
      <c r="D31" t="inlineStr">
        <is>
          <t>KALMAR LÄN</t>
        </is>
      </c>
      <c r="E31" t="inlineStr">
        <is>
          <t>VIMMERBY</t>
        </is>
      </c>
      <c r="G31" t="n">
        <v>1.7</v>
      </c>
      <c r="H31" t="n">
        <v>0</v>
      </c>
      <c r="I31" t="n">
        <v>0</v>
      </c>
      <c r="J31" t="n">
        <v>0</v>
      </c>
      <c r="K31" t="n">
        <v>1</v>
      </c>
      <c r="L31" t="n">
        <v>0</v>
      </c>
      <c r="M31" t="n">
        <v>0</v>
      </c>
      <c r="N31" t="n">
        <v>0</v>
      </c>
      <c r="O31" t="n">
        <v>1</v>
      </c>
      <c r="P31" t="n">
        <v>1</v>
      </c>
      <c r="Q31" t="n">
        <v>1</v>
      </c>
      <c r="R31" s="2" t="inlineStr">
        <is>
          <t>Sågfibbla</t>
        </is>
      </c>
      <c r="S31">
        <f>HYPERLINK("https://klasma.github.io/Logging_0884/artfynd/A 15122-2024 artfynd.xlsx", "A 15122-2024")</f>
        <v/>
      </c>
      <c r="T31">
        <f>HYPERLINK("https://klasma.github.io/Logging_0884/kartor/A 15122-2024 karta.png", "A 15122-2024")</f>
        <v/>
      </c>
      <c r="V31">
        <f>HYPERLINK("https://klasma.github.io/Logging_0884/klagomål/A 15122-2024 FSC-klagomål.docx", "A 15122-2024")</f>
        <v/>
      </c>
      <c r="W31">
        <f>HYPERLINK("https://klasma.github.io/Logging_0884/klagomålsmail/A 15122-2024 FSC-klagomål mail.docx", "A 15122-2024")</f>
        <v/>
      </c>
      <c r="X31">
        <f>HYPERLINK("https://klasma.github.io/Logging_0884/tillsyn/A 15122-2024 tillsynsbegäran.docx", "A 15122-2024")</f>
        <v/>
      </c>
      <c r="Y31">
        <f>HYPERLINK("https://klasma.github.io/Logging_0884/tillsynsmail/A 15122-2024 tillsynsbegäran mail.docx", "A 15122-2024")</f>
        <v/>
      </c>
    </row>
    <row r="32" ht="15" customHeight="1">
      <c r="A32" t="inlineStr">
        <is>
          <t>A 32985-2023</t>
        </is>
      </c>
      <c r="B32" s="1" t="n">
        <v>45125</v>
      </c>
      <c r="C32" s="1" t="n">
        <v>45901</v>
      </c>
      <c r="D32" t="inlineStr">
        <is>
          <t>KALMAR LÄN</t>
        </is>
      </c>
      <c r="E32" t="inlineStr">
        <is>
          <t>VIMMERBY</t>
        </is>
      </c>
      <c r="G32" t="n">
        <v>1.9</v>
      </c>
      <c r="H32" t="n">
        <v>0</v>
      </c>
      <c r="I32" t="n">
        <v>0</v>
      </c>
      <c r="J32" t="n">
        <v>0</v>
      </c>
      <c r="K32" t="n">
        <v>0</v>
      </c>
      <c r="L32" t="n">
        <v>1</v>
      </c>
      <c r="M32" t="n">
        <v>0</v>
      </c>
      <c r="N32" t="n">
        <v>0</v>
      </c>
      <c r="O32" t="n">
        <v>1</v>
      </c>
      <c r="P32" t="n">
        <v>1</v>
      </c>
      <c r="Q32" t="n">
        <v>1</v>
      </c>
      <c r="R32" s="2" t="inlineStr">
        <is>
          <t>Ryl</t>
        </is>
      </c>
      <c r="S32">
        <f>HYPERLINK("https://klasma.github.io/Logging_0884/artfynd/A 32985-2023 artfynd.xlsx", "A 32985-2023")</f>
        <v/>
      </c>
      <c r="T32">
        <f>HYPERLINK("https://klasma.github.io/Logging_0884/kartor/A 32985-2023 karta.png", "A 32985-2023")</f>
        <v/>
      </c>
      <c r="V32">
        <f>HYPERLINK("https://klasma.github.io/Logging_0884/klagomål/A 32985-2023 FSC-klagomål.docx", "A 32985-2023")</f>
        <v/>
      </c>
      <c r="W32">
        <f>HYPERLINK("https://klasma.github.io/Logging_0884/klagomålsmail/A 32985-2023 FSC-klagomål mail.docx", "A 32985-2023")</f>
        <v/>
      </c>
      <c r="X32">
        <f>HYPERLINK("https://klasma.github.io/Logging_0884/tillsyn/A 32985-2023 tillsynsbegäran.docx", "A 32985-2023")</f>
        <v/>
      </c>
      <c r="Y32">
        <f>HYPERLINK("https://klasma.github.io/Logging_0884/tillsynsmail/A 32985-2023 tillsynsbegäran mail.docx", "A 32985-2023")</f>
        <v/>
      </c>
    </row>
    <row r="33" ht="15" customHeight="1">
      <c r="A33" t="inlineStr">
        <is>
          <t>A 44306-2020</t>
        </is>
      </c>
      <c r="B33" s="1" t="n">
        <v>44082</v>
      </c>
      <c r="C33" s="1" t="n">
        <v>45901</v>
      </c>
      <c r="D33" t="inlineStr">
        <is>
          <t>KALMAR LÄN</t>
        </is>
      </c>
      <c r="E33" t="inlineStr">
        <is>
          <t>VIMMERBY</t>
        </is>
      </c>
      <c r="G33" t="n">
        <v>16.4</v>
      </c>
      <c r="H33" t="n">
        <v>1</v>
      </c>
      <c r="I33" t="n">
        <v>1</v>
      </c>
      <c r="J33" t="n">
        <v>0</v>
      </c>
      <c r="K33" t="n">
        <v>0</v>
      </c>
      <c r="L33" t="n">
        <v>0</v>
      </c>
      <c r="M33" t="n">
        <v>0</v>
      </c>
      <c r="N33" t="n">
        <v>0</v>
      </c>
      <c r="O33" t="n">
        <v>0</v>
      </c>
      <c r="P33" t="n">
        <v>0</v>
      </c>
      <c r="Q33" t="n">
        <v>1</v>
      </c>
      <c r="R33" s="2" t="inlineStr">
        <is>
          <t>Plattlummer</t>
        </is>
      </c>
      <c r="S33">
        <f>HYPERLINK("https://klasma.github.io/Logging_0884/artfynd/A 44306-2020 artfynd.xlsx", "A 44306-2020")</f>
        <v/>
      </c>
      <c r="T33">
        <f>HYPERLINK("https://klasma.github.io/Logging_0884/kartor/A 44306-2020 karta.png", "A 44306-2020")</f>
        <v/>
      </c>
      <c r="V33">
        <f>HYPERLINK("https://klasma.github.io/Logging_0884/klagomål/A 44306-2020 FSC-klagomål.docx", "A 44306-2020")</f>
        <v/>
      </c>
      <c r="W33">
        <f>HYPERLINK("https://klasma.github.io/Logging_0884/klagomålsmail/A 44306-2020 FSC-klagomål mail.docx", "A 44306-2020")</f>
        <v/>
      </c>
      <c r="X33">
        <f>HYPERLINK("https://klasma.github.io/Logging_0884/tillsyn/A 44306-2020 tillsynsbegäran.docx", "A 44306-2020")</f>
        <v/>
      </c>
      <c r="Y33">
        <f>HYPERLINK("https://klasma.github.io/Logging_0884/tillsynsmail/A 44306-2020 tillsynsbegäran mail.docx", "A 44306-2020")</f>
        <v/>
      </c>
    </row>
    <row r="34" ht="15" customHeight="1">
      <c r="A34" t="inlineStr">
        <is>
          <t>A 1201-2025</t>
        </is>
      </c>
      <c r="B34" s="1" t="n">
        <v>45667</v>
      </c>
      <c r="C34" s="1" t="n">
        <v>45901</v>
      </c>
      <c r="D34" t="inlineStr">
        <is>
          <t>KALMAR LÄN</t>
        </is>
      </c>
      <c r="E34" t="inlineStr">
        <is>
          <t>VIMMERBY</t>
        </is>
      </c>
      <c r="G34" t="n">
        <v>6.4</v>
      </c>
      <c r="H34" t="n">
        <v>1</v>
      </c>
      <c r="I34" t="n">
        <v>0</v>
      </c>
      <c r="J34" t="n">
        <v>0</v>
      </c>
      <c r="K34" t="n">
        <v>1</v>
      </c>
      <c r="L34" t="n">
        <v>0</v>
      </c>
      <c r="M34" t="n">
        <v>0</v>
      </c>
      <c r="N34" t="n">
        <v>0</v>
      </c>
      <c r="O34" t="n">
        <v>1</v>
      </c>
      <c r="P34" t="n">
        <v>1</v>
      </c>
      <c r="Q34" t="n">
        <v>1</v>
      </c>
      <c r="R34" s="2" t="inlineStr">
        <is>
          <t>Knärot</t>
        </is>
      </c>
      <c r="S34">
        <f>HYPERLINK("https://klasma.github.io/Logging_0884/artfynd/A 1201-2025 artfynd.xlsx", "A 1201-2025")</f>
        <v/>
      </c>
      <c r="T34">
        <f>HYPERLINK("https://klasma.github.io/Logging_0884/kartor/A 1201-2025 karta.png", "A 1201-2025")</f>
        <v/>
      </c>
      <c r="U34">
        <f>HYPERLINK("https://klasma.github.io/Logging_0884/knärot/A 1201-2025 karta knärot.png", "A 1201-2025")</f>
        <v/>
      </c>
      <c r="V34">
        <f>HYPERLINK("https://klasma.github.io/Logging_0884/klagomål/A 1201-2025 FSC-klagomål.docx", "A 1201-2025")</f>
        <v/>
      </c>
      <c r="W34">
        <f>HYPERLINK("https://klasma.github.io/Logging_0884/klagomålsmail/A 1201-2025 FSC-klagomål mail.docx", "A 1201-2025")</f>
        <v/>
      </c>
      <c r="X34">
        <f>HYPERLINK("https://klasma.github.io/Logging_0884/tillsyn/A 1201-2025 tillsynsbegäran.docx", "A 1201-2025")</f>
        <v/>
      </c>
      <c r="Y34">
        <f>HYPERLINK("https://klasma.github.io/Logging_0884/tillsynsmail/A 1201-2025 tillsynsbegäran mail.docx", "A 1201-2025")</f>
        <v/>
      </c>
    </row>
    <row r="35" ht="15" customHeight="1">
      <c r="A35" t="inlineStr">
        <is>
          <t>A 28852-2023</t>
        </is>
      </c>
      <c r="B35" s="1" t="n">
        <v>45104</v>
      </c>
      <c r="C35" s="1" t="n">
        <v>45901</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44515-2024</t>
        </is>
      </c>
      <c r="B36" s="1" t="n">
        <v>45574.42767361111</v>
      </c>
      <c r="C36" s="1" t="n">
        <v>45901</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61860-2024</t>
        </is>
      </c>
      <c r="B37" s="1" t="n">
        <v>45649</v>
      </c>
      <c r="C37" s="1" t="n">
        <v>45901</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29183-2025</t>
        </is>
      </c>
      <c r="B38" s="1" t="n">
        <v>45821</v>
      </c>
      <c r="C38" s="1" t="n">
        <v>45901</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40083-2023</t>
        </is>
      </c>
      <c r="B39" s="1" t="n">
        <v>45168</v>
      </c>
      <c r="C39" s="1" t="n">
        <v>45901</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45901</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6841-2021</t>
        </is>
      </c>
      <c r="B41" s="1" t="n">
        <v>44236</v>
      </c>
      <c r="C41" s="1" t="n">
        <v>45901</v>
      </c>
      <c r="D41" t="inlineStr">
        <is>
          <t>KALMAR LÄN</t>
        </is>
      </c>
      <c r="E41" t="inlineStr">
        <is>
          <t>VIMMERBY</t>
        </is>
      </c>
      <c r="G41" t="n">
        <v>25</v>
      </c>
      <c r="H41" t="n">
        <v>0</v>
      </c>
      <c r="I41" t="n">
        <v>0</v>
      </c>
      <c r="J41" t="n">
        <v>1</v>
      </c>
      <c r="K41" t="n">
        <v>0</v>
      </c>
      <c r="L41" t="n">
        <v>0</v>
      </c>
      <c r="M41" t="n">
        <v>0</v>
      </c>
      <c r="N41" t="n">
        <v>0</v>
      </c>
      <c r="O41" t="n">
        <v>1</v>
      </c>
      <c r="P41" t="n">
        <v>0</v>
      </c>
      <c r="Q41" t="n">
        <v>1</v>
      </c>
      <c r="R41" s="2" t="inlineStr">
        <is>
          <t>Bredbrämad bastardsvärmare</t>
        </is>
      </c>
      <c r="S41">
        <f>HYPERLINK("https://klasma.github.io/Logging_0884/artfynd/A 6841-2021 artfynd.xlsx", "A 6841-2021")</f>
        <v/>
      </c>
      <c r="T41">
        <f>HYPERLINK("https://klasma.github.io/Logging_0884/kartor/A 6841-2021 karta.png", "A 6841-2021")</f>
        <v/>
      </c>
      <c r="V41">
        <f>HYPERLINK("https://klasma.github.io/Logging_0884/klagomål/A 6841-2021 FSC-klagomål.docx", "A 6841-2021")</f>
        <v/>
      </c>
      <c r="W41">
        <f>HYPERLINK("https://klasma.github.io/Logging_0884/klagomålsmail/A 6841-2021 FSC-klagomål mail.docx", "A 6841-2021")</f>
        <v/>
      </c>
      <c r="X41">
        <f>HYPERLINK("https://klasma.github.io/Logging_0884/tillsyn/A 6841-2021 tillsynsbegäran.docx", "A 6841-2021")</f>
        <v/>
      </c>
      <c r="Y41">
        <f>HYPERLINK("https://klasma.github.io/Logging_0884/tillsynsmail/A 6841-2021 tillsynsbegäran mail.docx", "A 6841-2021")</f>
        <v/>
      </c>
    </row>
    <row r="42" ht="15" customHeight="1">
      <c r="A42" t="inlineStr">
        <is>
          <t>A 9067-2025</t>
        </is>
      </c>
      <c r="B42" s="1" t="n">
        <v>45713</v>
      </c>
      <c r="C42" s="1" t="n">
        <v>45901</v>
      </c>
      <c r="D42" t="inlineStr">
        <is>
          <t>KALMAR LÄN</t>
        </is>
      </c>
      <c r="E42" t="inlineStr">
        <is>
          <t>VIMMERBY</t>
        </is>
      </c>
      <c r="G42" t="n">
        <v>3.9</v>
      </c>
      <c r="H42" t="n">
        <v>0</v>
      </c>
      <c r="I42" t="n">
        <v>1</v>
      </c>
      <c r="J42" t="n">
        <v>0</v>
      </c>
      <c r="K42" t="n">
        <v>0</v>
      </c>
      <c r="L42" t="n">
        <v>0</v>
      </c>
      <c r="M42" t="n">
        <v>0</v>
      </c>
      <c r="N42" t="n">
        <v>0</v>
      </c>
      <c r="O42" t="n">
        <v>0</v>
      </c>
      <c r="P42" t="n">
        <v>0</v>
      </c>
      <c r="Q42" t="n">
        <v>1</v>
      </c>
      <c r="R42" s="2" t="inlineStr">
        <is>
          <t>Ögonpyrola</t>
        </is>
      </c>
      <c r="S42">
        <f>HYPERLINK("https://klasma.github.io/Logging_0884/artfynd/A 9067-2025 artfynd.xlsx", "A 9067-2025")</f>
        <v/>
      </c>
      <c r="T42">
        <f>HYPERLINK("https://klasma.github.io/Logging_0884/kartor/A 9067-2025 karta.png", "A 9067-2025")</f>
        <v/>
      </c>
      <c r="V42">
        <f>HYPERLINK("https://klasma.github.io/Logging_0884/klagomål/A 9067-2025 FSC-klagomål.docx", "A 9067-2025")</f>
        <v/>
      </c>
      <c r="W42">
        <f>HYPERLINK("https://klasma.github.io/Logging_0884/klagomålsmail/A 9067-2025 FSC-klagomål mail.docx", "A 9067-2025")</f>
        <v/>
      </c>
      <c r="X42">
        <f>HYPERLINK("https://klasma.github.io/Logging_0884/tillsyn/A 9067-2025 tillsynsbegäran.docx", "A 9067-2025")</f>
        <v/>
      </c>
      <c r="Y42">
        <f>HYPERLINK("https://klasma.github.io/Logging_0884/tillsynsmail/A 9067-2025 tillsynsbegäran mail.docx", "A 9067-2025")</f>
        <v/>
      </c>
    </row>
    <row r="43" ht="15" customHeight="1">
      <c r="A43" t="inlineStr">
        <is>
          <t>A 23602-2023</t>
        </is>
      </c>
      <c r="B43" s="1" t="n">
        <v>45077</v>
      </c>
      <c r="C43" s="1" t="n">
        <v>45901</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42097-2020</t>
        </is>
      </c>
      <c r="B44" s="1" t="n">
        <v>44075</v>
      </c>
      <c r="C44" s="1" t="n">
        <v>45901</v>
      </c>
      <c r="D44" t="inlineStr">
        <is>
          <t>KALMAR LÄN</t>
        </is>
      </c>
      <c r="E44" t="inlineStr">
        <is>
          <t>VIMMERBY</t>
        </is>
      </c>
      <c r="G44" t="n">
        <v>5.5</v>
      </c>
      <c r="H44" t="n">
        <v>0</v>
      </c>
      <c r="I44" t="n">
        <v>0</v>
      </c>
      <c r="J44" t="n">
        <v>1</v>
      </c>
      <c r="K44" t="n">
        <v>0</v>
      </c>
      <c r="L44" t="n">
        <v>0</v>
      </c>
      <c r="M44" t="n">
        <v>0</v>
      </c>
      <c r="N44" t="n">
        <v>0</v>
      </c>
      <c r="O44" t="n">
        <v>1</v>
      </c>
      <c r="P44" t="n">
        <v>0</v>
      </c>
      <c r="Q44" t="n">
        <v>1</v>
      </c>
      <c r="R44" s="2" t="inlineStr">
        <is>
          <t>Mjukdån</t>
        </is>
      </c>
      <c r="S44">
        <f>HYPERLINK("https://klasma.github.io/Logging_0884/artfynd/A 42097-2020 artfynd.xlsx", "A 42097-2020")</f>
        <v/>
      </c>
      <c r="T44">
        <f>HYPERLINK("https://klasma.github.io/Logging_0884/kartor/A 42097-2020 karta.png", "A 42097-2020")</f>
        <v/>
      </c>
      <c r="V44">
        <f>HYPERLINK("https://klasma.github.io/Logging_0884/klagomål/A 42097-2020 FSC-klagomål.docx", "A 42097-2020")</f>
        <v/>
      </c>
      <c r="W44">
        <f>HYPERLINK("https://klasma.github.io/Logging_0884/klagomålsmail/A 42097-2020 FSC-klagomål mail.docx", "A 42097-2020")</f>
        <v/>
      </c>
      <c r="X44">
        <f>HYPERLINK("https://klasma.github.io/Logging_0884/tillsyn/A 42097-2020 tillsynsbegäran.docx", "A 42097-2020")</f>
        <v/>
      </c>
      <c r="Y44">
        <f>HYPERLINK("https://klasma.github.io/Logging_0884/tillsynsmail/A 42097-2020 tillsynsbegäran mail.docx", "A 42097-2020")</f>
        <v/>
      </c>
    </row>
    <row r="45" ht="15" customHeight="1">
      <c r="A45" t="inlineStr">
        <is>
          <t>A 52301-2023</t>
        </is>
      </c>
      <c r="B45" s="1" t="n">
        <v>45224</v>
      </c>
      <c r="C45" s="1" t="n">
        <v>45901</v>
      </c>
      <c r="D45" t="inlineStr">
        <is>
          <t>KALMAR LÄN</t>
        </is>
      </c>
      <c r="E45" t="inlineStr">
        <is>
          <t>VIMMERBY</t>
        </is>
      </c>
      <c r="G45" t="n">
        <v>5.3</v>
      </c>
      <c r="H45" t="n">
        <v>0</v>
      </c>
      <c r="I45" t="n">
        <v>0</v>
      </c>
      <c r="J45" t="n">
        <v>0</v>
      </c>
      <c r="K45" t="n">
        <v>0</v>
      </c>
      <c r="L45" t="n">
        <v>1</v>
      </c>
      <c r="M45" t="n">
        <v>0</v>
      </c>
      <c r="N45" t="n">
        <v>0</v>
      </c>
      <c r="O45" t="n">
        <v>1</v>
      </c>
      <c r="P45" t="n">
        <v>1</v>
      </c>
      <c r="Q45" t="n">
        <v>1</v>
      </c>
      <c r="R45" s="2" t="inlineStr">
        <is>
          <t>Ask</t>
        </is>
      </c>
      <c r="S45">
        <f>HYPERLINK("https://klasma.github.io/Logging_0884/artfynd/A 52301-2023 artfynd.xlsx", "A 52301-2023")</f>
        <v/>
      </c>
      <c r="T45">
        <f>HYPERLINK("https://klasma.github.io/Logging_0884/kartor/A 52301-2023 karta.png", "A 52301-2023")</f>
        <v/>
      </c>
      <c r="V45">
        <f>HYPERLINK("https://klasma.github.io/Logging_0884/klagomål/A 52301-2023 FSC-klagomål.docx", "A 52301-2023")</f>
        <v/>
      </c>
      <c r="W45">
        <f>HYPERLINK("https://klasma.github.io/Logging_0884/klagomålsmail/A 52301-2023 FSC-klagomål mail.docx", "A 52301-2023")</f>
        <v/>
      </c>
      <c r="X45">
        <f>HYPERLINK("https://klasma.github.io/Logging_0884/tillsyn/A 52301-2023 tillsynsbegäran.docx", "A 52301-2023")</f>
        <v/>
      </c>
      <c r="Y45">
        <f>HYPERLINK("https://klasma.github.io/Logging_0884/tillsynsmail/A 52301-2023 tillsynsbegäran mail.docx", "A 52301-2023")</f>
        <v/>
      </c>
    </row>
    <row r="46" ht="15" customHeight="1">
      <c r="A46" t="inlineStr">
        <is>
          <t>A 33436-2021</t>
        </is>
      </c>
      <c r="B46" s="1" t="n">
        <v>44377.61104166666</v>
      </c>
      <c r="C46" s="1" t="n">
        <v>45901</v>
      </c>
      <c r="D46" t="inlineStr">
        <is>
          <t>KALMAR LÄN</t>
        </is>
      </c>
      <c r="E46" t="inlineStr">
        <is>
          <t>VIMMERBY</t>
        </is>
      </c>
      <c r="G46" t="n">
        <v>11.8</v>
      </c>
      <c r="H46" t="n">
        <v>1</v>
      </c>
      <c r="I46" t="n">
        <v>0</v>
      </c>
      <c r="J46" t="n">
        <v>0</v>
      </c>
      <c r="K46" t="n">
        <v>1</v>
      </c>
      <c r="L46" t="n">
        <v>0</v>
      </c>
      <c r="M46" t="n">
        <v>0</v>
      </c>
      <c r="N46" t="n">
        <v>0</v>
      </c>
      <c r="O46" t="n">
        <v>1</v>
      </c>
      <c r="P46" t="n">
        <v>1</v>
      </c>
      <c r="Q46" t="n">
        <v>1</v>
      </c>
      <c r="R46" s="2" t="inlineStr">
        <is>
          <t>Knärot</t>
        </is>
      </c>
      <c r="S46">
        <f>HYPERLINK("https://klasma.github.io/Logging_0884/artfynd/A 33436-2021 artfynd.xlsx", "A 33436-2021")</f>
        <v/>
      </c>
      <c r="T46">
        <f>HYPERLINK("https://klasma.github.io/Logging_0884/kartor/A 33436-2021 karta.png", "A 33436-2021")</f>
        <v/>
      </c>
      <c r="U46">
        <f>HYPERLINK("https://klasma.github.io/Logging_0884/knärot/A 33436-2021 karta knärot.png", "A 33436-2021")</f>
        <v/>
      </c>
      <c r="V46">
        <f>HYPERLINK("https://klasma.github.io/Logging_0884/klagomål/A 33436-2021 FSC-klagomål.docx", "A 33436-2021")</f>
        <v/>
      </c>
      <c r="W46">
        <f>HYPERLINK("https://klasma.github.io/Logging_0884/klagomålsmail/A 33436-2021 FSC-klagomål mail.docx", "A 33436-2021")</f>
        <v/>
      </c>
      <c r="X46">
        <f>HYPERLINK("https://klasma.github.io/Logging_0884/tillsyn/A 33436-2021 tillsynsbegäran.docx", "A 33436-2021")</f>
        <v/>
      </c>
      <c r="Y46">
        <f>HYPERLINK("https://klasma.github.io/Logging_0884/tillsynsmail/A 33436-2021 tillsynsbegäran mail.docx", "A 33436-2021")</f>
        <v/>
      </c>
    </row>
    <row r="47" ht="15" customHeight="1">
      <c r="A47" t="inlineStr">
        <is>
          <t>A 44000-2020</t>
        </is>
      </c>
      <c r="B47" s="1" t="n">
        <v>44083</v>
      </c>
      <c r="C47" s="1" t="n">
        <v>45901</v>
      </c>
      <c r="D47" t="inlineStr">
        <is>
          <t>KALMAR LÄN</t>
        </is>
      </c>
      <c r="E47" t="inlineStr">
        <is>
          <t>VIMMERBY</t>
        </is>
      </c>
      <c r="G47" t="n">
        <v>0.8</v>
      </c>
      <c r="H47" t="n">
        <v>0</v>
      </c>
      <c r="I47" t="n">
        <v>0</v>
      </c>
      <c r="J47" t="n">
        <v>0</v>
      </c>
      <c r="K47" t="n">
        <v>0</v>
      </c>
      <c r="L47" t="n">
        <v>0</v>
      </c>
      <c r="M47" t="n">
        <v>0</v>
      </c>
      <c r="N47" t="n">
        <v>0</v>
      </c>
      <c r="O47" t="n">
        <v>0</v>
      </c>
      <c r="P47" t="n">
        <v>0</v>
      </c>
      <c r="Q47" t="n">
        <v>0</v>
      </c>
      <c r="R47" s="2" t="inlineStr"/>
    </row>
    <row r="48" ht="15" customHeight="1">
      <c r="A48" t="inlineStr">
        <is>
          <t>A 49059-2020</t>
        </is>
      </c>
      <c r="B48" s="1" t="n">
        <v>44102</v>
      </c>
      <c r="C48" s="1" t="n">
        <v>45901</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45901</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45901</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45901</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45901</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45901</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45901</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45901</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45901</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45901</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45901</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45901</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45901</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45901</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45901</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45901</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45901</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45901</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45901</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45901</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45901</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45901</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45901</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45901</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45901</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45901</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45901</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45901</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45901</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45901</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45901</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45901</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45901</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45901</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45901</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41438-2022</t>
        </is>
      </c>
      <c r="B83" s="1" t="n">
        <v>44826.68010416667</v>
      </c>
      <c r="C83" s="1" t="n">
        <v>45901</v>
      </c>
      <c r="D83" t="inlineStr">
        <is>
          <t>KALMAR LÄN</t>
        </is>
      </c>
      <c r="E83" t="inlineStr">
        <is>
          <t>VIMMERBY</t>
        </is>
      </c>
      <c r="G83" t="n">
        <v>3.1</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45901</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45901</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45901</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45901</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45901</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45678-2020</t>
        </is>
      </c>
      <c r="B89" s="1" t="n">
        <v>44090</v>
      </c>
      <c r="C89" s="1" t="n">
        <v>45901</v>
      </c>
      <c r="D89" t="inlineStr">
        <is>
          <t>KALMAR LÄN</t>
        </is>
      </c>
      <c r="E89" t="inlineStr">
        <is>
          <t>VIMMERBY</t>
        </is>
      </c>
      <c r="G89" t="n">
        <v>4.3</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45901</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3621-2021</t>
        </is>
      </c>
      <c r="B91" s="1" t="n">
        <v>44221.39408564815</v>
      </c>
      <c r="C91" s="1" t="n">
        <v>45901</v>
      </c>
      <c r="D91" t="inlineStr">
        <is>
          <t>KALMAR LÄN</t>
        </is>
      </c>
      <c r="E91" t="inlineStr">
        <is>
          <t>VIMMERBY</t>
        </is>
      </c>
      <c r="G91" t="n">
        <v>0.7</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45901</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45901</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45901</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45901</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45901</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45901</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45901</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45901</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45901</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45901</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45901</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45901</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45901</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45901</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45901</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45901</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45901</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45901</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45901</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45901</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13492-2021</t>
        </is>
      </c>
      <c r="B112" s="1" t="n">
        <v>44273</v>
      </c>
      <c r="C112" s="1" t="n">
        <v>45901</v>
      </c>
      <c r="D112" t="inlineStr">
        <is>
          <t>KALMAR LÄN</t>
        </is>
      </c>
      <c r="E112" t="inlineStr">
        <is>
          <t>VIMMERBY</t>
        </is>
      </c>
      <c r="G112" t="n">
        <v>3.1</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45901</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45901</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45901</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45901</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31533-2022</t>
        </is>
      </c>
      <c r="B117" s="1" t="n">
        <v>44774</v>
      </c>
      <c r="C117" s="1" t="n">
        <v>45901</v>
      </c>
      <c r="D117" t="inlineStr">
        <is>
          <t>KALMAR LÄN</t>
        </is>
      </c>
      <c r="E117" t="inlineStr">
        <is>
          <t>VIMMERBY</t>
        </is>
      </c>
      <c r="G117" t="n">
        <v>2.5</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45901</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45901</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60810-2020</t>
        </is>
      </c>
      <c r="B120" s="1" t="n">
        <v>44154</v>
      </c>
      <c r="C120" s="1" t="n">
        <v>45901</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32386-2021</t>
        </is>
      </c>
      <c r="B121" s="1" t="n">
        <v>44371.62743055556</v>
      </c>
      <c r="C121" s="1" t="n">
        <v>45901</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35633-2021</t>
        </is>
      </c>
      <c r="B122" s="1" t="n">
        <v>44386.40783564815</v>
      </c>
      <c r="C122" s="1" t="n">
        <v>45901</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56343-2021</t>
        </is>
      </c>
      <c r="B123" s="1" t="n">
        <v>44480</v>
      </c>
      <c r="C123" s="1" t="n">
        <v>45901</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45901</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24369-2021</t>
        </is>
      </c>
      <c r="B125" s="1" t="n">
        <v>44337</v>
      </c>
      <c r="C125" s="1" t="n">
        <v>45901</v>
      </c>
      <c r="D125" t="inlineStr">
        <is>
          <t>KALMAR LÄN</t>
        </is>
      </c>
      <c r="E125" t="inlineStr">
        <is>
          <t>VIMMERBY</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48949-2020</t>
        </is>
      </c>
      <c r="B126" s="1" t="n">
        <v>44102</v>
      </c>
      <c r="C126" s="1" t="n">
        <v>45901</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45901</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45901</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33690-2022</t>
        </is>
      </c>
      <c r="B129" s="1" t="n">
        <v>44789</v>
      </c>
      <c r="C129" s="1" t="n">
        <v>45901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52073-2020</t>
        </is>
      </c>
      <c r="B130" s="1" t="n">
        <v>44117</v>
      </c>
      <c r="C130" s="1" t="n">
        <v>45901</v>
      </c>
      <c r="D130" t="inlineStr">
        <is>
          <t>KALMAR LÄN</t>
        </is>
      </c>
      <c r="E130" t="inlineStr">
        <is>
          <t>VIMMERBY</t>
        </is>
      </c>
      <c r="G130" t="n">
        <v>2.3</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45901</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45901</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45901</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46085-2020</t>
        </is>
      </c>
      <c r="B134" s="1" t="n">
        <v>44091</v>
      </c>
      <c r="C134" s="1" t="n">
        <v>45901</v>
      </c>
      <c r="D134" t="inlineStr">
        <is>
          <t>KALMAR LÄN</t>
        </is>
      </c>
      <c r="E134" t="inlineStr">
        <is>
          <t>VIMMERBY</t>
        </is>
      </c>
      <c r="G134" t="n">
        <v>6.1</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45901</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56385-2021</t>
        </is>
      </c>
      <c r="B136" s="1" t="n">
        <v>44480</v>
      </c>
      <c r="C136" s="1" t="n">
        <v>45901</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31053-2022</t>
        </is>
      </c>
      <c r="B137" s="1" t="n">
        <v>44769.45422453704</v>
      </c>
      <c r="C137" s="1" t="n">
        <v>45901</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24738-2021</t>
        </is>
      </c>
      <c r="B138" s="1" t="n">
        <v>44340.58002314815</v>
      </c>
      <c r="C138" s="1" t="n">
        <v>45901</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44605-2020</t>
        </is>
      </c>
      <c r="B139" s="1" t="n">
        <v>44085</v>
      </c>
      <c r="C139" s="1" t="n">
        <v>45901</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46461-2020</t>
        </is>
      </c>
      <c r="B140" s="1" t="n">
        <v>44092</v>
      </c>
      <c r="C140" s="1" t="n">
        <v>45901</v>
      </c>
      <c r="D140" t="inlineStr">
        <is>
          <t>KALMAR LÄN</t>
        </is>
      </c>
      <c r="E140" t="inlineStr">
        <is>
          <t>VIMMERBY</t>
        </is>
      </c>
      <c r="G140" t="n">
        <v>2.4</v>
      </c>
      <c r="H140" t="n">
        <v>0</v>
      </c>
      <c r="I140" t="n">
        <v>0</v>
      </c>
      <c r="J140" t="n">
        <v>0</v>
      </c>
      <c r="K140" t="n">
        <v>0</v>
      </c>
      <c r="L140" t="n">
        <v>0</v>
      </c>
      <c r="M140" t="n">
        <v>0</v>
      </c>
      <c r="N140" t="n">
        <v>0</v>
      </c>
      <c r="O140" t="n">
        <v>0</v>
      </c>
      <c r="P140" t="n">
        <v>0</v>
      </c>
      <c r="Q140" t="n">
        <v>0</v>
      </c>
      <c r="R140" s="2" t="inlineStr"/>
    </row>
    <row r="141" ht="15" customHeight="1">
      <c r="A141" t="inlineStr">
        <is>
          <t>A 8454-2022</t>
        </is>
      </c>
      <c r="B141" s="1" t="n">
        <v>44612.86762731482</v>
      </c>
      <c r="C141" s="1" t="n">
        <v>45901</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35001-2021</t>
        </is>
      </c>
      <c r="B142" s="1" t="n">
        <v>44383</v>
      </c>
      <c r="C142" s="1" t="n">
        <v>45901</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57948-2020</t>
        </is>
      </c>
      <c r="B143" s="1" t="n">
        <v>44142</v>
      </c>
      <c r="C143" s="1" t="n">
        <v>45901</v>
      </c>
      <c r="D143" t="inlineStr">
        <is>
          <t>KALMAR LÄN</t>
        </is>
      </c>
      <c r="E143" t="inlineStr">
        <is>
          <t>VIMMERBY</t>
        </is>
      </c>
      <c r="G143" t="n">
        <v>7.1</v>
      </c>
      <c r="H143" t="n">
        <v>0</v>
      </c>
      <c r="I143" t="n">
        <v>0</v>
      </c>
      <c r="J143" t="n">
        <v>0</v>
      </c>
      <c r="K143" t="n">
        <v>0</v>
      </c>
      <c r="L143" t="n">
        <v>0</v>
      </c>
      <c r="M143" t="n">
        <v>0</v>
      </c>
      <c r="N143" t="n">
        <v>0</v>
      </c>
      <c r="O143" t="n">
        <v>0</v>
      </c>
      <c r="P143" t="n">
        <v>0</v>
      </c>
      <c r="Q143" t="n">
        <v>0</v>
      </c>
      <c r="R143" s="2" t="inlineStr"/>
    </row>
    <row r="144" ht="15" customHeight="1">
      <c r="A144" t="inlineStr">
        <is>
          <t>A 13180-2022</t>
        </is>
      </c>
      <c r="B144" s="1" t="n">
        <v>44644</v>
      </c>
      <c r="C144" s="1" t="n">
        <v>45901</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45901</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18276-2021</t>
        </is>
      </c>
      <c r="B146" s="1" t="n">
        <v>44305.40046296296</v>
      </c>
      <c r="C146" s="1" t="n">
        <v>45901</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45901</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47473-2021</t>
        </is>
      </c>
      <c r="B148" s="1" t="n">
        <v>44447</v>
      </c>
      <c r="C148" s="1" t="n">
        <v>45901</v>
      </c>
      <c r="D148" t="inlineStr">
        <is>
          <t>KALMAR LÄN</t>
        </is>
      </c>
      <c r="E148" t="inlineStr">
        <is>
          <t>VIMMERBY</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65887-2021</t>
        </is>
      </c>
      <c r="B149" s="1" t="n">
        <v>44517</v>
      </c>
      <c r="C149" s="1" t="n">
        <v>45901</v>
      </c>
      <c r="D149" t="inlineStr">
        <is>
          <t>KALMAR LÄN</t>
        </is>
      </c>
      <c r="E149" t="inlineStr">
        <is>
          <t>VIMMERBY</t>
        </is>
      </c>
      <c r="G149" t="n">
        <v>1.4</v>
      </c>
      <c r="H149" t="n">
        <v>0</v>
      </c>
      <c r="I149" t="n">
        <v>0</v>
      </c>
      <c r="J149" t="n">
        <v>0</v>
      </c>
      <c r="K149" t="n">
        <v>0</v>
      </c>
      <c r="L149" t="n">
        <v>0</v>
      </c>
      <c r="M149" t="n">
        <v>0</v>
      </c>
      <c r="N149" t="n">
        <v>0</v>
      </c>
      <c r="O149" t="n">
        <v>0</v>
      </c>
      <c r="P149" t="n">
        <v>0</v>
      </c>
      <c r="Q149" t="n">
        <v>0</v>
      </c>
      <c r="R149" s="2" t="inlineStr"/>
    </row>
    <row r="150" ht="15" customHeight="1">
      <c r="A150" t="inlineStr">
        <is>
          <t>A 47769-2022</t>
        </is>
      </c>
      <c r="B150" s="1" t="n">
        <v>44854</v>
      </c>
      <c r="C150" s="1" t="n">
        <v>45901</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39959-2022</t>
        </is>
      </c>
      <c r="B151" s="1" t="n">
        <v>44819</v>
      </c>
      <c r="C151" s="1" t="n">
        <v>45901</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41056-2022</t>
        </is>
      </c>
      <c r="B152" s="1" t="n">
        <v>44824</v>
      </c>
      <c r="C152" s="1" t="n">
        <v>45901</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31660-2021</t>
        </is>
      </c>
      <c r="B153" s="1" t="n">
        <v>44369</v>
      </c>
      <c r="C153" s="1" t="n">
        <v>45901</v>
      </c>
      <c r="D153" t="inlineStr">
        <is>
          <t>KALMAR LÄN</t>
        </is>
      </c>
      <c r="E153" t="inlineStr">
        <is>
          <t>VIMMERBY</t>
        </is>
      </c>
      <c r="G153" t="n">
        <v>4.2</v>
      </c>
      <c r="H153" t="n">
        <v>0</v>
      </c>
      <c r="I153" t="n">
        <v>0</v>
      </c>
      <c r="J153" t="n">
        <v>0</v>
      </c>
      <c r="K153" t="n">
        <v>0</v>
      </c>
      <c r="L153" t="n">
        <v>0</v>
      </c>
      <c r="M153" t="n">
        <v>0</v>
      </c>
      <c r="N153" t="n">
        <v>0</v>
      </c>
      <c r="O153" t="n">
        <v>0</v>
      </c>
      <c r="P153" t="n">
        <v>0</v>
      </c>
      <c r="Q153" t="n">
        <v>0</v>
      </c>
      <c r="R153" s="2" t="inlineStr"/>
    </row>
    <row r="154" ht="15" customHeight="1">
      <c r="A154" t="inlineStr">
        <is>
          <t>A 27455-2022</t>
        </is>
      </c>
      <c r="B154" s="1" t="n">
        <v>44742</v>
      </c>
      <c r="C154" s="1" t="n">
        <v>45901</v>
      </c>
      <c r="D154" t="inlineStr">
        <is>
          <t>KALMAR LÄN</t>
        </is>
      </c>
      <c r="E154" t="inlineStr">
        <is>
          <t>VIMMERBY</t>
        </is>
      </c>
      <c r="G154" t="n">
        <v>1.6</v>
      </c>
      <c r="H154" t="n">
        <v>0</v>
      </c>
      <c r="I154" t="n">
        <v>0</v>
      </c>
      <c r="J154" t="n">
        <v>0</v>
      </c>
      <c r="K154" t="n">
        <v>0</v>
      </c>
      <c r="L154" t="n">
        <v>0</v>
      </c>
      <c r="M154" t="n">
        <v>0</v>
      </c>
      <c r="N154" t="n">
        <v>0</v>
      </c>
      <c r="O154" t="n">
        <v>0</v>
      </c>
      <c r="P154" t="n">
        <v>0</v>
      </c>
      <c r="Q154" t="n">
        <v>0</v>
      </c>
      <c r="R154" s="2" t="inlineStr"/>
    </row>
    <row r="155" ht="15" customHeight="1">
      <c r="A155" t="inlineStr">
        <is>
          <t>A 42850-2022</t>
        </is>
      </c>
      <c r="B155" s="1" t="n">
        <v>44832.67608796297</v>
      </c>
      <c r="C155" s="1" t="n">
        <v>45901</v>
      </c>
      <c r="D155" t="inlineStr">
        <is>
          <t>KALMAR LÄN</t>
        </is>
      </c>
      <c r="E155" t="inlineStr">
        <is>
          <t>VIMMERBY</t>
        </is>
      </c>
      <c r="G155" t="n">
        <v>5.9</v>
      </c>
      <c r="H155" t="n">
        <v>0</v>
      </c>
      <c r="I155" t="n">
        <v>0</v>
      </c>
      <c r="J155" t="n">
        <v>0</v>
      </c>
      <c r="K155" t="n">
        <v>0</v>
      </c>
      <c r="L155" t="n">
        <v>0</v>
      </c>
      <c r="M155" t="n">
        <v>0</v>
      </c>
      <c r="N155" t="n">
        <v>0</v>
      </c>
      <c r="O155" t="n">
        <v>0</v>
      </c>
      <c r="P155" t="n">
        <v>0</v>
      </c>
      <c r="Q155" t="n">
        <v>0</v>
      </c>
      <c r="R155" s="2" t="inlineStr"/>
    </row>
    <row r="156" ht="15" customHeight="1">
      <c r="A156" t="inlineStr">
        <is>
          <t>A 48377-2021</t>
        </is>
      </c>
      <c r="B156" s="1" t="n">
        <v>44451.8375</v>
      </c>
      <c r="C156" s="1" t="n">
        <v>45901</v>
      </c>
      <c r="D156" t="inlineStr">
        <is>
          <t>KALMAR LÄN</t>
        </is>
      </c>
      <c r="E156" t="inlineStr">
        <is>
          <t>VIMMERBY</t>
        </is>
      </c>
      <c r="G156" t="n">
        <v>0.4</v>
      </c>
      <c r="H156" t="n">
        <v>0</v>
      </c>
      <c r="I156" t="n">
        <v>0</v>
      </c>
      <c r="J156" t="n">
        <v>0</v>
      </c>
      <c r="K156" t="n">
        <v>0</v>
      </c>
      <c r="L156" t="n">
        <v>0</v>
      </c>
      <c r="M156" t="n">
        <v>0</v>
      </c>
      <c r="N156" t="n">
        <v>0</v>
      </c>
      <c r="O156" t="n">
        <v>0</v>
      </c>
      <c r="P156" t="n">
        <v>0</v>
      </c>
      <c r="Q156" t="n">
        <v>0</v>
      </c>
      <c r="R156" s="2" t="inlineStr"/>
    </row>
    <row r="157" ht="15" customHeight="1">
      <c r="A157" t="inlineStr">
        <is>
          <t>A 40472-2022</t>
        </is>
      </c>
      <c r="B157" s="1" t="n">
        <v>44823</v>
      </c>
      <c r="C157" s="1" t="n">
        <v>45901</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12661-2021</t>
        </is>
      </c>
      <c r="B158" s="1" t="n">
        <v>44270</v>
      </c>
      <c r="C158" s="1" t="n">
        <v>45901</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24999-2021</t>
        </is>
      </c>
      <c r="B159" s="1" t="n">
        <v>44341</v>
      </c>
      <c r="C159" s="1" t="n">
        <v>45901</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7917-2022</t>
        </is>
      </c>
      <c r="B160" s="1" t="n">
        <v>44608</v>
      </c>
      <c r="C160" s="1" t="n">
        <v>45901</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3330-2021</t>
        </is>
      </c>
      <c r="B161" s="1" t="n">
        <v>44217.79856481482</v>
      </c>
      <c r="C161" s="1" t="n">
        <v>45901</v>
      </c>
      <c r="D161" t="inlineStr">
        <is>
          <t>KALMAR LÄN</t>
        </is>
      </c>
      <c r="E161" t="inlineStr">
        <is>
          <t>VIMMERBY</t>
        </is>
      </c>
      <c r="G161" t="n">
        <v>11.1</v>
      </c>
      <c r="H161" t="n">
        <v>0</v>
      </c>
      <c r="I161" t="n">
        <v>0</v>
      </c>
      <c r="J161" t="n">
        <v>0</v>
      </c>
      <c r="K161" t="n">
        <v>0</v>
      </c>
      <c r="L161" t="n">
        <v>0</v>
      </c>
      <c r="M161" t="n">
        <v>0</v>
      </c>
      <c r="N161" t="n">
        <v>0</v>
      </c>
      <c r="O161" t="n">
        <v>0</v>
      </c>
      <c r="P161" t="n">
        <v>0</v>
      </c>
      <c r="Q161" t="n">
        <v>0</v>
      </c>
      <c r="R161" s="2" t="inlineStr"/>
    </row>
    <row r="162" ht="15" customHeight="1">
      <c r="A162" t="inlineStr">
        <is>
          <t>A 47208-2021</t>
        </is>
      </c>
      <c r="B162" s="1" t="n">
        <v>44447.34237268518</v>
      </c>
      <c r="C162" s="1" t="n">
        <v>45901</v>
      </c>
      <c r="D162" t="inlineStr">
        <is>
          <t>KALMAR LÄN</t>
        </is>
      </c>
      <c r="E162" t="inlineStr">
        <is>
          <t>VIMMERBY</t>
        </is>
      </c>
      <c r="G162" t="n">
        <v>1.4</v>
      </c>
      <c r="H162" t="n">
        <v>0</v>
      </c>
      <c r="I162" t="n">
        <v>0</v>
      </c>
      <c r="J162" t="n">
        <v>0</v>
      </c>
      <c r="K162" t="n">
        <v>0</v>
      </c>
      <c r="L162" t="n">
        <v>0</v>
      </c>
      <c r="M162" t="n">
        <v>0</v>
      </c>
      <c r="N162" t="n">
        <v>0</v>
      </c>
      <c r="O162" t="n">
        <v>0</v>
      </c>
      <c r="P162" t="n">
        <v>0</v>
      </c>
      <c r="Q162" t="n">
        <v>0</v>
      </c>
      <c r="R162" s="2" t="inlineStr"/>
    </row>
    <row r="163" ht="15" customHeight="1">
      <c r="A163" t="inlineStr">
        <is>
          <t>A 35316-2021</t>
        </is>
      </c>
      <c r="B163" s="1" t="n">
        <v>44384</v>
      </c>
      <c r="C163" s="1" t="n">
        <v>45901</v>
      </c>
      <c r="D163" t="inlineStr">
        <is>
          <t>KALMAR LÄN</t>
        </is>
      </c>
      <c r="E163" t="inlineStr">
        <is>
          <t>VIMMERBY</t>
        </is>
      </c>
      <c r="G163" t="n">
        <v>3.5</v>
      </c>
      <c r="H163" t="n">
        <v>0</v>
      </c>
      <c r="I163" t="n">
        <v>0</v>
      </c>
      <c r="J163" t="n">
        <v>0</v>
      </c>
      <c r="K163" t="n">
        <v>0</v>
      </c>
      <c r="L163" t="n">
        <v>0</v>
      </c>
      <c r="M163" t="n">
        <v>0</v>
      </c>
      <c r="N163" t="n">
        <v>0</v>
      </c>
      <c r="O163" t="n">
        <v>0</v>
      </c>
      <c r="P163" t="n">
        <v>0</v>
      </c>
      <c r="Q163" t="n">
        <v>0</v>
      </c>
      <c r="R163" s="2" t="inlineStr"/>
    </row>
    <row r="164" ht="15" customHeight="1">
      <c r="A164" t="inlineStr">
        <is>
          <t>A 33831-2022</t>
        </is>
      </c>
      <c r="B164" s="1" t="n">
        <v>44790.48503472222</v>
      </c>
      <c r="C164" s="1" t="n">
        <v>45901</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47708-2022</t>
        </is>
      </c>
      <c r="B165" s="1" t="n">
        <v>44854.59157407407</v>
      </c>
      <c r="C165" s="1" t="n">
        <v>45901</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10086-2022</t>
        </is>
      </c>
      <c r="B166" s="1" t="n">
        <v>44621</v>
      </c>
      <c r="C166" s="1" t="n">
        <v>45901</v>
      </c>
      <c r="D166" t="inlineStr">
        <is>
          <t>KALMAR LÄN</t>
        </is>
      </c>
      <c r="E166" t="inlineStr">
        <is>
          <t>VIMMERBY</t>
        </is>
      </c>
      <c r="G166" t="n">
        <v>1.2</v>
      </c>
      <c r="H166" t="n">
        <v>0</v>
      </c>
      <c r="I166" t="n">
        <v>0</v>
      </c>
      <c r="J166" t="n">
        <v>0</v>
      </c>
      <c r="K166" t="n">
        <v>0</v>
      </c>
      <c r="L166" t="n">
        <v>0</v>
      </c>
      <c r="M166" t="n">
        <v>0</v>
      </c>
      <c r="N166" t="n">
        <v>0</v>
      </c>
      <c r="O166" t="n">
        <v>0</v>
      </c>
      <c r="P166" t="n">
        <v>0</v>
      </c>
      <c r="Q166" t="n">
        <v>0</v>
      </c>
      <c r="R166" s="2" t="inlineStr"/>
    </row>
    <row r="167" ht="15" customHeight="1">
      <c r="A167" t="inlineStr">
        <is>
          <t>A 16705-2021</t>
        </is>
      </c>
      <c r="B167" s="1" t="n">
        <v>44294</v>
      </c>
      <c r="C167" s="1" t="n">
        <v>45901</v>
      </c>
      <c r="D167" t="inlineStr">
        <is>
          <t>KALMAR LÄN</t>
        </is>
      </c>
      <c r="E167" t="inlineStr">
        <is>
          <t>VIMMERBY</t>
        </is>
      </c>
      <c r="G167" t="n">
        <v>2.6</v>
      </c>
      <c r="H167" t="n">
        <v>0</v>
      </c>
      <c r="I167" t="n">
        <v>0</v>
      </c>
      <c r="J167" t="n">
        <v>0</v>
      </c>
      <c r="K167" t="n">
        <v>0</v>
      </c>
      <c r="L167" t="n">
        <v>0</v>
      </c>
      <c r="M167" t="n">
        <v>0</v>
      </c>
      <c r="N167" t="n">
        <v>0</v>
      </c>
      <c r="O167" t="n">
        <v>0</v>
      </c>
      <c r="P167" t="n">
        <v>0</v>
      </c>
      <c r="Q167" t="n">
        <v>0</v>
      </c>
      <c r="R167" s="2" t="inlineStr"/>
    </row>
    <row r="168" ht="15" customHeight="1">
      <c r="A168" t="inlineStr">
        <is>
          <t>A 51977-2020</t>
        </is>
      </c>
      <c r="B168" s="1" t="n">
        <v>44116</v>
      </c>
      <c r="C168" s="1" t="n">
        <v>45901</v>
      </c>
      <c r="D168" t="inlineStr">
        <is>
          <t>KALMAR LÄN</t>
        </is>
      </c>
      <c r="E168" t="inlineStr">
        <is>
          <t>VIMMERBY</t>
        </is>
      </c>
      <c r="G168" t="n">
        <v>1.5</v>
      </c>
      <c r="H168" t="n">
        <v>0</v>
      </c>
      <c r="I168" t="n">
        <v>0</v>
      </c>
      <c r="J168" t="n">
        <v>0</v>
      </c>
      <c r="K168" t="n">
        <v>0</v>
      </c>
      <c r="L168" t="n">
        <v>0</v>
      </c>
      <c r="M168" t="n">
        <v>0</v>
      </c>
      <c r="N168" t="n">
        <v>0</v>
      </c>
      <c r="O168" t="n">
        <v>0</v>
      </c>
      <c r="P168" t="n">
        <v>0</v>
      </c>
      <c r="Q168" t="n">
        <v>0</v>
      </c>
      <c r="R168" s="2" t="inlineStr"/>
    </row>
    <row r="169" ht="15" customHeight="1">
      <c r="A169" t="inlineStr">
        <is>
          <t>A 9918-2022</t>
        </is>
      </c>
      <c r="B169" s="1" t="n">
        <v>44620</v>
      </c>
      <c r="C169" s="1" t="n">
        <v>45901</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65564-2020</t>
        </is>
      </c>
      <c r="B170" s="1" t="n">
        <v>44172</v>
      </c>
      <c r="C170" s="1" t="n">
        <v>45901</v>
      </c>
      <c r="D170" t="inlineStr">
        <is>
          <t>KALMAR LÄN</t>
        </is>
      </c>
      <c r="E170" t="inlineStr">
        <is>
          <t>VIMMERBY</t>
        </is>
      </c>
      <c r="G170" t="n">
        <v>4.1</v>
      </c>
      <c r="H170" t="n">
        <v>0</v>
      </c>
      <c r="I170" t="n">
        <v>0</v>
      </c>
      <c r="J170" t="n">
        <v>0</v>
      </c>
      <c r="K170" t="n">
        <v>0</v>
      </c>
      <c r="L170" t="n">
        <v>0</v>
      </c>
      <c r="M170" t="n">
        <v>0</v>
      </c>
      <c r="N170" t="n">
        <v>0</v>
      </c>
      <c r="O170" t="n">
        <v>0</v>
      </c>
      <c r="P170" t="n">
        <v>0</v>
      </c>
      <c r="Q170" t="n">
        <v>0</v>
      </c>
      <c r="R170" s="2" t="inlineStr"/>
    </row>
    <row r="171" ht="15" customHeight="1">
      <c r="A171" t="inlineStr">
        <is>
          <t>A 56389-2021</t>
        </is>
      </c>
      <c r="B171" s="1" t="n">
        <v>44480</v>
      </c>
      <c r="C171" s="1" t="n">
        <v>45901</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53145-2022</t>
        </is>
      </c>
      <c r="B172" s="1" t="n">
        <v>44876.48346064815</v>
      </c>
      <c r="C172" s="1" t="n">
        <v>45901</v>
      </c>
      <c r="D172" t="inlineStr">
        <is>
          <t>KALMAR LÄN</t>
        </is>
      </c>
      <c r="E172" t="inlineStr">
        <is>
          <t>VIMMERBY</t>
        </is>
      </c>
      <c r="G172" t="n">
        <v>0.4</v>
      </c>
      <c r="H172" t="n">
        <v>0</v>
      </c>
      <c r="I172" t="n">
        <v>0</v>
      </c>
      <c r="J172" t="n">
        <v>0</v>
      </c>
      <c r="K172" t="n">
        <v>0</v>
      </c>
      <c r="L172" t="n">
        <v>0</v>
      </c>
      <c r="M172" t="n">
        <v>0</v>
      </c>
      <c r="N172" t="n">
        <v>0</v>
      </c>
      <c r="O172" t="n">
        <v>0</v>
      </c>
      <c r="P172" t="n">
        <v>0</v>
      </c>
      <c r="Q172" t="n">
        <v>0</v>
      </c>
      <c r="R172" s="2" t="inlineStr"/>
    </row>
    <row r="173" ht="15" customHeight="1">
      <c r="A173" t="inlineStr">
        <is>
          <t>A 25738-2022</t>
        </is>
      </c>
      <c r="B173" s="1" t="n">
        <v>44733.43092592592</v>
      </c>
      <c r="C173" s="1" t="n">
        <v>45901</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45528-2020</t>
        </is>
      </c>
      <c r="B174" s="1" t="n">
        <v>44089.78633101852</v>
      </c>
      <c r="C174" s="1" t="n">
        <v>45901</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618-2021</t>
        </is>
      </c>
      <c r="B175" s="1" t="n">
        <v>44203</v>
      </c>
      <c r="C175" s="1" t="n">
        <v>45901</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67952-2021</t>
        </is>
      </c>
      <c r="B176" s="1" t="n">
        <v>44525.63913194444</v>
      </c>
      <c r="C176" s="1" t="n">
        <v>45901</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8194-2022</t>
        </is>
      </c>
      <c r="B177" s="1" t="n">
        <v>44609</v>
      </c>
      <c r="C177" s="1" t="n">
        <v>45901</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14521-2021</t>
        </is>
      </c>
      <c r="B178" s="1" t="n">
        <v>44279.64934027778</v>
      </c>
      <c r="C178" s="1" t="n">
        <v>45901</v>
      </c>
      <c r="D178" t="inlineStr">
        <is>
          <t>KALMAR LÄN</t>
        </is>
      </c>
      <c r="E178" t="inlineStr">
        <is>
          <t>VIMMERBY</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12241-2021</t>
        </is>
      </c>
      <c r="B179" s="1" t="n">
        <v>44266.7240625</v>
      </c>
      <c r="C179" s="1" t="n">
        <v>45901</v>
      </c>
      <c r="D179" t="inlineStr">
        <is>
          <t>KALMAR LÄN</t>
        </is>
      </c>
      <c r="E179" t="inlineStr">
        <is>
          <t>VIMMERBY</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45901</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45050-2020</t>
        </is>
      </c>
      <c r="B181" s="1" t="n">
        <v>44088</v>
      </c>
      <c r="C181" s="1" t="n">
        <v>45901</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15533-2022</t>
        </is>
      </c>
      <c r="B182" s="1" t="n">
        <v>44662</v>
      </c>
      <c r="C182" s="1" t="n">
        <v>45901</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45054-2020</t>
        </is>
      </c>
      <c r="B183" s="1" t="n">
        <v>44088</v>
      </c>
      <c r="C183" s="1" t="n">
        <v>45901</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12662-2021</t>
        </is>
      </c>
      <c r="B184" s="1" t="n">
        <v>44270.49743055556</v>
      </c>
      <c r="C184" s="1" t="n">
        <v>45901</v>
      </c>
      <c r="D184" t="inlineStr">
        <is>
          <t>KALMAR LÄN</t>
        </is>
      </c>
      <c r="E184" t="inlineStr">
        <is>
          <t>VIMMERBY</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46527-2020</t>
        </is>
      </c>
      <c r="B185" s="1" t="n">
        <v>44095</v>
      </c>
      <c r="C185" s="1" t="n">
        <v>45901</v>
      </c>
      <c r="D185" t="inlineStr">
        <is>
          <t>KALMAR LÄN</t>
        </is>
      </c>
      <c r="E185" t="inlineStr">
        <is>
          <t>VIMMERBY</t>
        </is>
      </c>
      <c r="F185" t="inlineStr">
        <is>
          <t>Sveaskog</t>
        </is>
      </c>
      <c r="G185" t="n">
        <v>2.7</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45901</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68744-2020</t>
        </is>
      </c>
      <c r="B187" s="1" t="n">
        <v>44186</v>
      </c>
      <c r="C187" s="1" t="n">
        <v>45901</v>
      </c>
      <c r="D187" t="inlineStr">
        <is>
          <t>KALMAR LÄN</t>
        </is>
      </c>
      <c r="E187" t="inlineStr">
        <is>
          <t>VIMMERBY</t>
        </is>
      </c>
      <c r="G187" t="n">
        <v>2.5</v>
      </c>
      <c r="H187" t="n">
        <v>0</v>
      </c>
      <c r="I187" t="n">
        <v>0</v>
      </c>
      <c r="J187" t="n">
        <v>0</v>
      </c>
      <c r="K187" t="n">
        <v>0</v>
      </c>
      <c r="L187" t="n">
        <v>0</v>
      </c>
      <c r="M187" t="n">
        <v>0</v>
      </c>
      <c r="N187" t="n">
        <v>0</v>
      </c>
      <c r="O187" t="n">
        <v>0</v>
      </c>
      <c r="P187" t="n">
        <v>0</v>
      </c>
      <c r="Q187" t="n">
        <v>0</v>
      </c>
      <c r="R187" s="2" t="inlineStr"/>
    </row>
    <row r="188" ht="15" customHeight="1">
      <c r="A188" t="inlineStr">
        <is>
          <t>A 13457-2021</t>
        </is>
      </c>
      <c r="B188" s="1" t="n">
        <v>44273</v>
      </c>
      <c r="C188" s="1" t="n">
        <v>45901</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165-2022</t>
        </is>
      </c>
      <c r="B189" s="1" t="n">
        <v>44564</v>
      </c>
      <c r="C189" s="1" t="n">
        <v>45901</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14278-2021</t>
        </is>
      </c>
      <c r="B190" s="1" t="n">
        <v>44278.63479166666</v>
      </c>
      <c r="C190" s="1" t="n">
        <v>45901</v>
      </c>
      <c r="D190" t="inlineStr">
        <is>
          <t>KALMAR LÄN</t>
        </is>
      </c>
      <c r="E190" t="inlineStr">
        <is>
          <t>VIMMERBY</t>
        </is>
      </c>
      <c r="F190" t="inlineStr">
        <is>
          <t>Övriga statliga verk och myndigheter</t>
        </is>
      </c>
      <c r="G190" t="n">
        <v>0.8</v>
      </c>
      <c r="H190" t="n">
        <v>0</v>
      </c>
      <c r="I190" t="n">
        <v>0</v>
      </c>
      <c r="J190" t="n">
        <v>0</v>
      </c>
      <c r="K190" t="n">
        <v>0</v>
      </c>
      <c r="L190" t="n">
        <v>0</v>
      </c>
      <c r="M190" t="n">
        <v>0</v>
      </c>
      <c r="N190" t="n">
        <v>0</v>
      </c>
      <c r="O190" t="n">
        <v>0</v>
      </c>
      <c r="P190" t="n">
        <v>0</v>
      </c>
      <c r="Q190" t="n">
        <v>0</v>
      </c>
      <c r="R190" s="2" t="inlineStr"/>
    </row>
    <row r="191" ht="15" customHeight="1">
      <c r="A191" t="inlineStr">
        <is>
          <t>A 32603-2021</t>
        </is>
      </c>
      <c r="B191" s="1" t="n">
        <v>44375.38789351852</v>
      </c>
      <c r="C191" s="1" t="n">
        <v>45901</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36117-2021</t>
        </is>
      </c>
      <c r="B192" s="1" t="n">
        <v>44386</v>
      </c>
      <c r="C192" s="1" t="n">
        <v>45901</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23825-2022</t>
        </is>
      </c>
      <c r="B193" s="1" t="n">
        <v>44722.48768518519</v>
      </c>
      <c r="C193" s="1" t="n">
        <v>45901</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42521-2021</t>
        </is>
      </c>
      <c r="B194" s="1" t="n">
        <v>44427</v>
      </c>
      <c r="C194" s="1" t="n">
        <v>45901</v>
      </c>
      <c r="D194" t="inlineStr">
        <is>
          <t>KALMAR LÄN</t>
        </is>
      </c>
      <c r="E194" t="inlineStr">
        <is>
          <t>VIMMERBY</t>
        </is>
      </c>
      <c r="G194" t="n">
        <v>5.4</v>
      </c>
      <c r="H194" t="n">
        <v>0</v>
      </c>
      <c r="I194" t="n">
        <v>0</v>
      </c>
      <c r="J194" t="n">
        <v>0</v>
      </c>
      <c r="K194" t="n">
        <v>0</v>
      </c>
      <c r="L194" t="n">
        <v>0</v>
      </c>
      <c r="M194" t="n">
        <v>0</v>
      </c>
      <c r="N194" t="n">
        <v>0</v>
      </c>
      <c r="O194" t="n">
        <v>0</v>
      </c>
      <c r="P194" t="n">
        <v>0</v>
      </c>
      <c r="Q194" t="n">
        <v>0</v>
      </c>
      <c r="R194" s="2" t="inlineStr"/>
    </row>
    <row r="195" ht="15" customHeight="1">
      <c r="A195" t="inlineStr">
        <is>
          <t>A 8453-2022</t>
        </is>
      </c>
      <c r="B195" s="1" t="n">
        <v>44612.86554398148</v>
      </c>
      <c r="C195" s="1" t="n">
        <v>45901</v>
      </c>
      <c r="D195" t="inlineStr">
        <is>
          <t>KALMAR LÄN</t>
        </is>
      </c>
      <c r="E195" t="inlineStr">
        <is>
          <t>VIMMERBY</t>
        </is>
      </c>
      <c r="G195" t="n">
        <v>1.7</v>
      </c>
      <c r="H195" t="n">
        <v>0</v>
      </c>
      <c r="I195" t="n">
        <v>0</v>
      </c>
      <c r="J195" t="n">
        <v>0</v>
      </c>
      <c r="K195" t="n">
        <v>0</v>
      </c>
      <c r="L195" t="n">
        <v>0</v>
      </c>
      <c r="M195" t="n">
        <v>0</v>
      </c>
      <c r="N195" t="n">
        <v>0</v>
      </c>
      <c r="O195" t="n">
        <v>0</v>
      </c>
      <c r="P195" t="n">
        <v>0</v>
      </c>
      <c r="Q195" t="n">
        <v>0</v>
      </c>
      <c r="R195" s="2" t="inlineStr"/>
    </row>
    <row r="196" ht="15" customHeight="1">
      <c r="A196" t="inlineStr">
        <is>
          <t>A 52433-2021</t>
        </is>
      </c>
      <c r="B196" s="1" t="n">
        <v>44466.34726851852</v>
      </c>
      <c r="C196" s="1" t="n">
        <v>45901</v>
      </c>
      <c r="D196" t="inlineStr">
        <is>
          <t>KALMAR LÄN</t>
        </is>
      </c>
      <c r="E196" t="inlineStr">
        <is>
          <t>VIMMERBY</t>
        </is>
      </c>
      <c r="G196" t="n">
        <v>3.5</v>
      </c>
      <c r="H196" t="n">
        <v>0</v>
      </c>
      <c r="I196" t="n">
        <v>0</v>
      </c>
      <c r="J196" t="n">
        <v>0</v>
      </c>
      <c r="K196" t="n">
        <v>0</v>
      </c>
      <c r="L196" t="n">
        <v>0</v>
      </c>
      <c r="M196" t="n">
        <v>0</v>
      </c>
      <c r="N196" t="n">
        <v>0</v>
      </c>
      <c r="O196" t="n">
        <v>0</v>
      </c>
      <c r="P196" t="n">
        <v>0</v>
      </c>
      <c r="Q196" t="n">
        <v>0</v>
      </c>
      <c r="R196" s="2" t="inlineStr"/>
    </row>
    <row r="197" ht="15" customHeight="1">
      <c r="A197" t="inlineStr">
        <is>
          <t>A 34040-2021</t>
        </is>
      </c>
      <c r="B197" s="1" t="n">
        <v>44379</v>
      </c>
      <c r="C197" s="1" t="n">
        <v>45901</v>
      </c>
      <c r="D197" t="inlineStr">
        <is>
          <t>KALMAR LÄN</t>
        </is>
      </c>
      <c r="E197" t="inlineStr">
        <is>
          <t>VIMMERBY</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50621-2022</t>
        </is>
      </c>
      <c r="B198" s="1" t="n">
        <v>44866.81100694444</v>
      </c>
      <c r="C198" s="1" t="n">
        <v>45901</v>
      </c>
      <c r="D198" t="inlineStr">
        <is>
          <t>KALMAR LÄN</t>
        </is>
      </c>
      <c r="E198" t="inlineStr">
        <is>
          <t>VIMMERBY</t>
        </is>
      </c>
      <c r="F198" t="inlineStr">
        <is>
          <t>Övriga Aktiebolag</t>
        </is>
      </c>
      <c r="G198" t="n">
        <v>5.1</v>
      </c>
      <c r="H198" t="n">
        <v>0</v>
      </c>
      <c r="I198" t="n">
        <v>0</v>
      </c>
      <c r="J198" t="n">
        <v>0</v>
      </c>
      <c r="K198" t="n">
        <v>0</v>
      </c>
      <c r="L198" t="n">
        <v>0</v>
      </c>
      <c r="M198" t="n">
        <v>0</v>
      </c>
      <c r="N198" t="n">
        <v>0</v>
      </c>
      <c r="O198" t="n">
        <v>0</v>
      </c>
      <c r="P198" t="n">
        <v>0</v>
      </c>
      <c r="Q198" t="n">
        <v>0</v>
      </c>
      <c r="R198" s="2" t="inlineStr"/>
    </row>
    <row r="199" ht="15" customHeight="1">
      <c r="A199" t="inlineStr">
        <is>
          <t>A 15200-2021</t>
        </is>
      </c>
      <c r="B199" s="1" t="n">
        <v>44284.44574074074</v>
      </c>
      <c r="C199" s="1" t="n">
        <v>45901</v>
      </c>
      <c r="D199" t="inlineStr">
        <is>
          <t>KALMAR LÄN</t>
        </is>
      </c>
      <c r="E199" t="inlineStr">
        <is>
          <t>VIMMERBY</t>
        </is>
      </c>
      <c r="G199" t="n">
        <v>1.2</v>
      </c>
      <c r="H199" t="n">
        <v>0</v>
      </c>
      <c r="I199" t="n">
        <v>0</v>
      </c>
      <c r="J199" t="n">
        <v>0</v>
      </c>
      <c r="K199" t="n">
        <v>0</v>
      </c>
      <c r="L199" t="n">
        <v>0</v>
      </c>
      <c r="M199" t="n">
        <v>0</v>
      </c>
      <c r="N199" t="n">
        <v>0</v>
      </c>
      <c r="O199" t="n">
        <v>0</v>
      </c>
      <c r="P199" t="n">
        <v>0</v>
      </c>
      <c r="Q199" t="n">
        <v>0</v>
      </c>
      <c r="R199" s="2" t="inlineStr"/>
    </row>
    <row r="200" ht="15" customHeight="1">
      <c r="A200" t="inlineStr">
        <is>
          <t>A 54065-2021</t>
        </is>
      </c>
      <c r="B200" s="1" t="n">
        <v>44470.44232638889</v>
      </c>
      <c r="C200" s="1" t="n">
        <v>45901</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31824-2022</t>
        </is>
      </c>
      <c r="B201" s="1" t="n">
        <v>44776</v>
      </c>
      <c r="C201" s="1" t="n">
        <v>45901</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11733-2022</t>
        </is>
      </c>
      <c r="B202" s="1" t="n">
        <v>44634</v>
      </c>
      <c r="C202" s="1" t="n">
        <v>45901</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12107-2022</t>
        </is>
      </c>
      <c r="B203" s="1" t="n">
        <v>44636</v>
      </c>
      <c r="C203" s="1" t="n">
        <v>45901</v>
      </c>
      <c r="D203" t="inlineStr">
        <is>
          <t>KALMAR LÄN</t>
        </is>
      </c>
      <c r="E203" t="inlineStr">
        <is>
          <t>VIMMERBY</t>
        </is>
      </c>
      <c r="G203" t="n">
        <v>1.8</v>
      </c>
      <c r="H203" t="n">
        <v>0</v>
      </c>
      <c r="I203" t="n">
        <v>0</v>
      </c>
      <c r="J203" t="n">
        <v>0</v>
      </c>
      <c r="K203" t="n">
        <v>0</v>
      </c>
      <c r="L203" t="n">
        <v>0</v>
      </c>
      <c r="M203" t="n">
        <v>0</v>
      </c>
      <c r="N203" t="n">
        <v>0</v>
      </c>
      <c r="O203" t="n">
        <v>0</v>
      </c>
      <c r="P203" t="n">
        <v>0</v>
      </c>
      <c r="Q203" t="n">
        <v>0</v>
      </c>
      <c r="R203" s="2" t="inlineStr"/>
    </row>
    <row r="204" ht="15" customHeight="1">
      <c r="A204" t="inlineStr">
        <is>
          <t>A 7804-2022</t>
        </is>
      </c>
      <c r="B204" s="1" t="n">
        <v>44608.50458333334</v>
      </c>
      <c r="C204" s="1" t="n">
        <v>45901</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39225-2022</t>
        </is>
      </c>
      <c r="B205" s="1" t="n">
        <v>44817.57988425926</v>
      </c>
      <c r="C205" s="1" t="n">
        <v>45901</v>
      </c>
      <c r="D205" t="inlineStr">
        <is>
          <t>KALMAR LÄN</t>
        </is>
      </c>
      <c r="E205" t="inlineStr">
        <is>
          <t>VIMMERBY</t>
        </is>
      </c>
      <c r="G205" t="n">
        <v>2.2</v>
      </c>
      <c r="H205" t="n">
        <v>0</v>
      </c>
      <c r="I205" t="n">
        <v>0</v>
      </c>
      <c r="J205" t="n">
        <v>0</v>
      </c>
      <c r="K205" t="n">
        <v>0</v>
      </c>
      <c r="L205" t="n">
        <v>0</v>
      </c>
      <c r="M205" t="n">
        <v>0</v>
      </c>
      <c r="N205" t="n">
        <v>0</v>
      </c>
      <c r="O205" t="n">
        <v>0</v>
      </c>
      <c r="P205" t="n">
        <v>0</v>
      </c>
      <c r="Q205" t="n">
        <v>0</v>
      </c>
      <c r="R205" s="2" t="inlineStr"/>
    </row>
    <row r="206" ht="15" customHeight="1">
      <c r="A206" t="inlineStr">
        <is>
          <t>A 39042-2022</t>
        </is>
      </c>
      <c r="B206" s="1" t="n">
        <v>44817</v>
      </c>
      <c r="C206" s="1" t="n">
        <v>45901</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46964-2022</t>
        </is>
      </c>
      <c r="B207" s="1" t="n">
        <v>44851.95016203704</v>
      </c>
      <c r="C207" s="1" t="n">
        <v>45901</v>
      </c>
      <c r="D207" t="inlineStr">
        <is>
          <t>KALMAR LÄN</t>
        </is>
      </c>
      <c r="E207" t="inlineStr">
        <is>
          <t>VIMMERBY</t>
        </is>
      </c>
      <c r="G207" t="n">
        <v>0.2</v>
      </c>
      <c r="H207" t="n">
        <v>0</v>
      </c>
      <c r="I207" t="n">
        <v>0</v>
      </c>
      <c r="J207" t="n">
        <v>0</v>
      </c>
      <c r="K207" t="n">
        <v>0</v>
      </c>
      <c r="L207" t="n">
        <v>0</v>
      </c>
      <c r="M207" t="n">
        <v>0</v>
      </c>
      <c r="N207" t="n">
        <v>0</v>
      </c>
      <c r="O207" t="n">
        <v>0</v>
      </c>
      <c r="P207" t="n">
        <v>0</v>
      </c>
      <c r="Q207" t="n">
        <v>0</v>
      </c>
      <c r="R207" s="2" t="inlineStr"/>
    </row>
    <row r="208" ht="15" customHeight="1">
      <c r="A208" t="inlineStr">
        <is>
          <t>A 16602-2021</t>
        </is>
      </c>
      <c r="B208" s="1" t="n">
        <v>44294</v>
      </c>
      <c r="C208" s="1" t="n">
        <v>45901</v>
      </c>
      <c r="D208" t="inlineStr">
        <is>
          <t>KALMAR LÄN</t>
        </is>
      </c>
      <c r="E208" t="inlineStr">
        <is>
          <t>VIMMERBY</t>
        </is>
      </c>
      <c r="G208" t="n">
        <v>0.6</v>
      </c>
      <c r="H208" t="n">
        <v>0</v>
      </c>
      <c r="I208" t="n">
        <v>0</v>
      </c>
      <c r="J208" t="n">
        <v>0</v>
      </c>
      <c r="K208" t="n">
        <v>0</v>
      </c>
      <c r="L208" t="n">
        <v>0</v>
      </c>
      <c r="M208" t="n">
        <v>0</v>
      </c>
      <c r="N208" t="n">
        <v>0</v>
      </c>
      <c r="O208" t="n">
        <v>0</v>
      </c>
      <c r="P208" t="n">
        <v>0</v>
      </c>
      <c r="Q208" t="n">
        <v>0</v>
      </c>
      <c r="R208" s="2" t="inlineStr"/>
    </row>
    <row r="209" ht="15" customHeight="1">
      <c r="A209" t="inlineStr">
        <is>
          <t>A 16607-2021</t>
        </is>
      </c>
      <c r="B209" s="1" t="n">
        <v>44294</v>
      </c>
      <c r="C209" s="1" t="n">
        <v>45901</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17029-2022</t>
        </is>
      </c>
      <c r="B210" s="1" t="n">
        <v>44676.85248842592</v>
      </c>
      <c r="C210" s="1" t="n">
        <v>45901</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16288-2021</t>
        </is>
      </c>
      <c r="B211" s="1" t="n">
        <v>44292</v>
      </c>
      <c r="C211" s="1" t="n">
        <v>45901</v>
      </c>
      <c r="D211" t="inlineStr">
        <is>
          <t>KALMAR LÄN</t>
        </is>
      </c>
      <c r="E211" t="inlineStr">
        <is>
          <t>VIMMERBY</t>
        </is>
      </c>
      <c r="F211" t="inlineStr">
        <is>
          <t>Övriga Aktiebolag</t>
        </is>
      </c>
      <c r="G211" t="n">
        <v>27.6</v>
      </c>
      <c r="H211" t="n">
        <v>0</v>
      </c>
      <c r="I211" t="n">
        <v>0</v>
      </c>
      <c r="J211" t="n">
        <v>0</v>
      </c>
      <c r="K211" t="n">
        <v>0</v>
      </c>
      <c r="L211" t="n">
        <v>0</v>
      </c>
      <c r="M211" t="n">
        <v>0</v>
      </c>
      <c r="N211" t="n">
        <v>0</v>
      </c>
      <c r="O211" t="n">
        <v>0</v>
      </c>
      <c r="P211" t="n">
        <v>0</v>
      </c>
      <c r="Q211" t="n">
        <v>0</v>
      </c>
      <c r="R211" s="2" t="inlineStr"/>
    </row>
    <row r="212" ht="15" customHeight="1">
      <c r="A212" t="inlineStr">
        <is>
          <t>A 52435-2021</t>
        </is>
      </c>
      <c r="B212" s="1" t="n">
        <v>44466.34962962963</v>
      </c>
      <c r="C212" s="1" t="n">
        <v>45901</v>
      </c>
      <c r="D212" t="inlineStr">
        <is>
          <t>KALMAR LÄN</t>
        </is>
      </c>
      <c r="E212" t="inlineStr">
        <is>
          <t>VIMMERBY</t>
        </is>
      </c>
      <c r="G212" t="n">
        <v>2.8</v>
      </c>
      <c r="H212" t="n">
        <v>0</v>
      </c>
      <c r="I212" t="n">
        <v>0</v>
      </c>
      <c r="J212" t="n">
        <v>0</v>
      </c>
      <c r="K212" t="n">
        <v>0</v>
      </c>
      <c r="L212" t="n">
        <v>0</v>
      </c>
      <c r="M212" t="n">
        <v>0</v>
      </c>
      <c r="N212" t="n">
        <v>0</v>
      </c>
      <c r="O212" t="n">
        <v>0</v>
      </c>
      <c r="P212" t="n">
        <v>0</v>
      </c>
      <c r="Q212" t="n">
        <v>0</v>
      </c>
      <c r="R212" s="2" t="inlineStr"/>
    </row>
    <row r="213" ht="15" customHeight="1">
      <c r="A213" t="inlineStr">
        <is>
          <t>A 29093-2023</t>
        </is>
      </c>
      <c r="B213" s="1" t="n">
        <v>45105</v>
      </c>
      <c r="C213" s="1" t="n">
        <v>45901</v>
      </c>
      <c r="D213" t="inlineStr">
        <is>
          <t>KALMAR LÄN</t>
        </is>
      </c>
      <c r="E213" t="inlineStr">
        <is>
          <t>VIMMERBY</t>
        </is>
      </c>
      <c r="G213" t="n">
        <v>2.9</v>
      </c>
      <c r="H213" t="n">
        <v>0</v>
      </c>
      <c r="I213" t="n">
        <v>0</v>
      </c>
      <c r="J213" t="n">
        <v>0</v>
      </c>
      <c r="K213" t="n">
        <v>0</v>
      </c>
      <c r="L213" t="n">
        <v>0</v>
      </c>
      <c r="M213" t="n">
        <v>0</v>
      </c>
      <c r="N213" t="n">
        <v>0</v>
      </c>
      <c r="O213" t="n">
        <v>0</v>
      </c>
      <c r="P213" t="n">
        <v>0</v>
      </c>
      <c r="Q213" t="n">
        <v>0</v>
      </c>
      <c r="R213" s="2" t="inlineStr"/>
    </row>
    <row r="214" ht="15" customHeight="1">
      <c r="A214" t="inlineStr">
        <is>
          <t>A 14220-2021</t>
        </is>
      </c>
      <c r="B214" s="1" t="n">
        <v>44278.54855324074</v>
      </c>
      <c r="C214" s="1" t="n">
        <v>45901</v>
      </c>
      <c r="D214" t="inlineStr">
        <is>
          <t>KALMAR LÄN</t>
        </is>
      </c>
      <c r="E214" t="inlineStr">
        <is>
          <t>VIMMERBY</t>
        </is>
      </c>
      <c r="G214" t="n">
        <v>0.3</v>
      </c>
      <c r="H214" t="n">
        <v>0</v>
      </c>
      <c r="I214" t="n">
        <v>0</v>
      </c>
      <c r="J214" t="n">
        <v>0</v>
      </c>
      <c r="K214" t="n">
        <v>0</v>
      </c>
      <c r="L214" t="n">
        <v>0</v>
      </c>
      <c r="M214" t="n">
        <v>0</v>
      </c>
      <c r="N214" t="n">
        <v>0</v>
      </c>
      <c r="O214" t="n">
        <v>0</v>
      </c>
      <c r="P214" t="n">
        <v>0</v>
      </c>
      <c r="Q214" t="n">
        <v>0</v>
      </c>
      <c r="R214" s="2" t="inlineStr"/>
    </row>
    <row r="215" ht="15" customHeight="1">
      <c r="A215" t="inlineStr">
        <is>
          <t>A 46078-2023</t>
        </is>
      </c>
      <c r="B215" s="1" t="n">
        <v>45196</v>
      </c>
      <c r="C215" s="1" t="n">
        <v>45901</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7167-2022</t>
        </is>
      </c>
      <c r="B216" s="1" t="n">
        <v>44604</v>
      </c>
      <c r="C216" s="1" t="n">
        <v>45901</v>
      </c>
      <c r="D216" t="inlineStr">
        <is>
          <t>KALMAR LÄN</t>
        </is>
      </c>
      <c r="E216" t="inlineStr">
        <is>
          <t>VIMMERBY</t>
        </is>
      </c>
      <c r="G216" t="n">
        <v>1.7</v>
      </c>
      <c r="H216" t="n">
        <v>0</v>
      </c>
      <c r="I216" t="n">
        <v>0</v>
      </c>
      <c r="J216" t="n">
        <v>0</v>
      </c>
      <c r="K216" t="n">
        <v>0</v>
      </c>
      <c r="L216" t="n">
        <v>0</v>
      </c>
      <c r="M216" t="n">
        <v>0</v>
      </c>
      <c r="N216" t="n">
        <v>0</v>
      </c>
      <c r="O216" t="n">
        <v>0</v>
      </c>
      <c r="P216" t="n">
        <v>0</v>
      </c>
      <c r="Q216" t="n">
        <v>0</v>
      </c>
      <c r="R216" s="2" t="inlineStr"/>
    </row>
    <row r="217" ht="15" customHeight="1">
      <c r="A217" t="inlineStr">
        <is>
          <t>A 29441-2024</t>
        </is>
      </c>
      <c r="B217" s="1" t="n">
        <v>45483.82834490741</v>
      </c>
      <c r="C217" s="1" t="n">
        <v>45901</v>
      </c>
      <c r="D217" t="inlineStr">
        <is>
          <t>KALMAR LÄN</t>
        </is>
      </c>
      <c r="E217" t="inlineStr">
        <is>
          <t>VIMMERBY</t>
        </is>
      </c>
      <c r="G217" t="n">
        <v>1.3</v>
      </c>
      <c r="H217" t="n">
        <v>0</v>
      </c>
      <c r="I217" t="n">
        <v>0</v>
      </c>
      <c r="J217" t="n">
        <v>0</v>
      </c>
      <c r="K217" t="n">
        <v>0</v>
      </c>
      <c r="L217" t="n">
        <v>0</v>
      </c>
      <c r="M217" t="n">
        <v>0</v>
      </c>
      <c r="N217" t="n">
        <v>0</v>
      </c>
      <c r="O217" t="n">
        <v>0</v>
      </c>
      <c r="P217" t="n">
        <v>0</v>
      </c>
      <c r="Q217" t="n">
        <v>0</v>
      </c>
      <c r="R217" s="2" t="inlineStr"/>
    </row>
    <row r="218" ht="15" customHeight="1">
      <c r="A218" t="inlineStr">
        <is>
          <t>A 25728-2023</t>
        </is>
      </c>
      <c r="B218" s="1" t="n">
        <v>45090.38012731481</v>
      </c>
      <c r="C218" s="1" t="n">
        <v>45901</v>
      </c>
      <c r="D218" t="inlineStr">
        <is>
          <t>KALMAR LÄN</t>
        </is>
      </c>
      <c r="E218" t="inlineStr">
        <is>
          <t>VIMMERBY</t>
        </is>
      </c>
      <c r="G218" t="n">
        <v>1.1</v>
      </c>
      <c r="H218" t="n">
        <v>0</v>
      </c>
      <c r="I218" t="n">
        <v>0</v>
      </c>
      <c r="J218" t="n">
        <v>0</v>
      </c>
      <c r="K218" t="n">
        <v>0</v>
      </c>
      <c r="L218" t="n">
        <v>0</v>
      </c>
      <c r="M218" t="n">
        <v>0</v>
      </c>
      <c r="N218" t="n">
        <v>0</v>
      </c>
      <c r="O218" t="n">
        <v>0</v>
      </c>
      <c r="P218" t="n">
        <v>0</v>
      </c>
      <c r="Q218" t="n">
        <v>0</v>
      </c>
      <c r="R218" s="2" t="inlineStr"/>
    </row>
    <row r="219" ht="15" customHeight="1">
      <c r="A219" t="inlineStr">
        <is>
          <t>A 7643-2022</t>
        </is>
      </c>
      <c r="B219" s="1" t="n">
        <v>44607</v>
      </c>
      <c r="C219" s="1" t="n">
        <v>45901</v>
      </c>
      <c r="D219" t="inlineStr">
        <is>
          <t>KALMAR LÄN</t>
        </is>
      </c>
      <c r="E219" t="inlineStr">
        <is>
          <t>VIMMERBY</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33359-2021</t>
        </is>
      </c>
      <c r="B220" s="1" t="n">
        <v>44377.49684027778</v>
      </c>
      <c r="C220" s="1" t="n">
        <v>45901</v>
      </c>
      <c r="D220" t="inlineStr">
        <is>
          <t>KALMAR LÄN</t>
        </is>
      </c>
      <c r="E220" t="inlineStr">
        <is>
          <t>VIMMERBY</t>
        </is>
      </c>
      <c r="F220" t="inlineStr">
        <is>
          <t>Kommuner</t>
        </is>
      </c>
      <c r="G220" t="n">
        <v>8</v>
      </c>
      <c r="H220" t="n">
        <v>0</v>
      </c>
      <c r="I220" t="n">
        <v>0</v>
      </c>
      <c r="J220" t="n">
        <v>0</v>
      </c>
      <c r="K220" t="n">
        <v>0</v>
      </c>
      <c r="L220" t="n">
        <v>0</v>
      </c>
      <c r="M220" t="n">
        <v>0</v>
      </c>
      <c r="N220" t="n">
        <v>0</v>
      </c>
      <c r="O220" t="n">
        <v>0</v>
      </c>
      <c r="P220" t="n">
        <v>0</v>
      </c>
      <c r="Q220" t="n">
        <v>0</v>
      </c>
      <c r="R220" s="2" t="inlineStr"/>
    </row>
    <row r="221" ht="15" customHeight="1">
      <c r="A221" t="inlineStr">
        <is>
          <t>A 3494-2023</t>
        </is>
      </c>
      <c r="B221" s="1" t="n">
        <v>44949</v>
      </c>
      <c r="C221" s="1" t="n">
        <v>45901</v>
      </c>
      <c r="D221" t="inlineStr">
        <is>
          <t>KALMAR LÄN</t>
        </is>
      </c>
      <c r="E221" t="inlineStr">
        <is>
          <t>VIMMERBY</t>
        </is>
      </c>
      <c r="F221" t="inlineStr">
        <is>
          <t>Kyrkan</t>
        </is>
      </c>
      <c r="G221" t="n">
        <v>0.8</v>
      </c>
      <c r="H221" t="n">
        <v>0</v>
      </c>
      <c r="I221" t="n">
        <v>0</v>
      </c>
      <c r="J221" t="n">
        <v>0</v>
      </c>
      <c r="K221" t="n">
        <v>0</v>
      </c>
      <c r="L221" t="n">
        <v>0</v>
      </c>
      <c r="M221" t="n">
        <v>0</v>
      </c>
      <c r="N221" t="n">
        <v>0</v>
      </c>
      <c r="O221" t="n">
        <v>0</v>
      </c>
      <c r="P221" t="n">
        <v>0</v>
      </c>
      <c r="Q221" t="n">
        <v>0</v>
      </c>
      <c r="R221" s="2" t="inlineStr"/>
    </row>
    <row r="222" ht="15" customHeight="1">
      <c r="A222" t="inlineStr">
        <is>
          <t>A 43038-2022</t>
        </is>
      </c>
      <c r="B222" s="1" t="n">
        <v>44833.60123842592</v>
      </c>
      <c r="C222" s="1" t="n">
        <v>45901</v>
      </c>
      <c r="D222" t="inlineStr">
        <is>
          <t>KALMAR LÄN</t>
        </is>
      </c>
      <c r="E222" t="inlineStr">
        <is>
          <t>VIMMERBY</t>
        </is>
      </c>
      <c r="G222" t="n">
        <v>4.2</v>
      </c>
      <c r="H222" t="n">
        <v>0</v>
      </c>
      <c r="I222" t="n">
        <v>0</v>
      </c>
      <c r="J222" t="n">
        <v>0</v>
      </c>
      <c r="K222" t="n">
        <v>0</v>
      </c>
      <c r="L222" t="n">
        <v>0</v>
      </c>
      <c r="M222" t="n">
        <v>0</v>
      </c>
      <c r="N222" t="n">
        <v>0</v>
      </c>
      <c r="O222" t="n">
        <v>0</v>
      </c>
      <c r="P222" t="n">
        <v>0</v>
      </c>
      <c r="Q222" t="n">
        <v>0</v>
      </c>
      <c r="R222" s="2" t="inlineStr"/>
    </row>
    <row r="223" ht="15" customHeight="1">
      <c r="A223" t="inlineStr">
        <is>
          <t>A 18356-2021</t>
        </is>
      </c>
      <c r="B223" s="1" t="n">
        <v>44305</v>
      </c>
      <c r="C223" s="1" t="n">
        <v>45901</v>
      </c>
      <c r="D223" t="inlineStr">
        <is>
          <t>KALMAR LÄN</t>
        </is>
      </c>
      <c r="E223" t="inlineStr">
        <is>
          <t>VIMMERBY</t>
        </is>
      </c>
      <c r="G223" t="n">
        <v>3.4</v>
      </c>
      <c r="H223" t="n">
        <v>0</v>
      </c>
      <c r="I223" t="n">
        <v>0</v>
      </c>
      <c r="J223" t="n">
        <v>0</v>
      </c>
      <c r="K223" t="n">
        <v>0</v>
      </c>
      <c r="L223" t="n">
        <v>0</v>
      </c>
      <c r="M223" t="n">
        <v>0</v>
      </c>
      <c r="N223" t="n">
        <v>0</v>
      </c>
      <c r="O223" t="n">
        <v>0</v>
      </c>
      <c r="P223" t="n">
        <v>0</v>
      </c>
      <c r="Q223" t="n">
        <v>0</v>
      </c>
      <c r="R223" s="2" t="inlineStr"/>
    </row>
    <row r="224" ht="15" customHeight="1">
      <c r="A224" t="inlineStr">
        <is>
          <t>A 50087-2023</t>
        </is>
      </c>
      <c r="B224" s="1" t="n">
        <v>45215.59743055556</v>
      </c>
      <c r="C224" s="1" t="n">
        <v>45901</v>
      </c>
      <c r="D224" t="inlineStr">
        <is>
          <t>KALMAR LÄN</t>
        </is>
      </c>
      <c r="E224" t="inlineStr">
        <is>
          <t>VIMMERBY</t>
        </is>
      </c>
      <c r="G224" t="n">
        <v>0.9</v>
      </c>
      <c r="H224" t="n">
        <v>0</v>
      </c>
      <c r="I224" t="n">
        <v>0</v>
      </c>
      <c r="J224" t="n">
        <v>0</v>
      </c>
      <c r="K224" t="n">
        <v>0</v>
      </c>
      <c r="L224" t="n">
        <v>0</v>
      </c>
      <c r="M224" t="n">
        <v>0</v>
      </c>
      <c r="N224" t="n">
        <v>0</v>
      </c>
      <c r="O224" t="n">
        <v>0</v>
      </c>
      <c r="P224" t="n">
        <v>0</v>
      </c>
      <c r="Q224" t="n">
        <v>0</v>
      </c>
      <c r="R224" s="2" t="inlineStr"/>
    </row>
    <row r="225" ht="15" customHeight="1">
      <c r="A225" t="inlineStr">
        <is>
          <t>A 33681-2022</t>
        </is>
      </c>
      <c r="B225" s="1" t="n">
        <v>44789</v>
      </c>
      <c r="C225" s="1" t="n">
        <v>45901</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32633-2023</t>
        </is>
      </c>
      <c r="B226" s="1" t="n">
        <v>45121.58699074074</v>
      </c>
      <c r="C226" s="1" t="n">
        <v>45901</v>
      </c>
      <c r="D226" t="inlineStr">
        <is>
          <t>KALMAR LÄN</t>
        </is>
      </c>
      <c r="E226" t="inlineStr">
        <is>
          <t>VIMMERBY</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43601-2024</t>
        </is>
      </c>
      <c r="B227" s="1" t="n">
        <v>45569.44684027778</v>
      </c>
      <c r="C227" s="1" t="n">
        <v>45901</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13813-2024</t>
        </is>
      </c>
      <c r="B228" s="1" t="n">
        <v>45391.41310185185</v>
      </c>
      <c r="C228" s="1" t="n">
        <v>45901</v>
      </c>
      <c r="D228" t="inlineStr">
        <is>
          <t>KALMAR LÄN</t>
        </is>
      </c>
      <c r="E228" t="inlineStr">
        <is>
          <t>VIMMERBY</t>
        </is>
      </c>
      <c r="G228" t="n">
        <v>0.4</v>
      </c>
      <c r="H228" t="n">
        <v>0</v>
      </c>
      <c r="I228" t="n">
        <v>0</v>
      </c>
      <c r="J228" t="n">
        <v>0</v>
      </c>
      <c r="K228" t="n">
        <v>0</v>
      </c>
      <c r="L228" t="n">
        <v>0</v>
      </c>
      <c r="M228" t="n">
        <v>0</v>
      </c>
      <c r="N228" t="n">
        <v>0</v>
      </c>
      <c r="O228" t="n">
        <v>0</v>
      </c>
      <c r="P228" t="n">
        <v>0</v>
      </c>
      <c r="Q228" t="n">
        <v>0</v>
      </c>
      <c r="R228" s="2" t="inlineStr"/>
    </row>
    <row r="229" ht="15" customHeight="1">
      <c r="A229" t="inlineStr">
        <is>
          <t>A 16825-2024</t>
        </is>
      </c>
      <c r="B229" s="1" t="n">
        <v>45411.47335648148</v>
      </c>
      <c r="C229" s="1" t="n">
        <v>45901</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25234-2023</t>
        </is>
      </c>
      <c r="B230" s="1" t="n">
        <v>45086.63194444445</v>
      </c>
      <c r="C230" s="1" t="n">
        <v>45901</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25236-2023</t>
        </is>
      </c>
      <c r="B231" s="1" t="n">
        <v>45086.63334490741</v>
      </c>
      <c r="C231" s="1" t="n">
        <v>45901</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55716-2023</t>
        </is>
      </c>
      <c r="B232" s="1" t="n">
        <v>45232</v>
      </c>
      <c r="C232" s="1" t="n">
        <v>45901</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34386-2024</t>
        </is>
      </c>
      <c r="B233" s="1" t="n">
        <v>45525.41762731481</v>
      </c>
      <c r="C233" s="1" t="n">
        <v>45901</v>
      </c>
      <c r="D233" t="inlineStr">
        <is>
          <t>KALMAR LÄN</t>
        </is>
      </c>
      <c r="E233" t="inlineStr">
        <is>
          <t>VIMMERBY</t>
        </is>
      </c>
      <c r="G233" t="n">
        <v>0.3</v>
      </c>
      <c r="H233" t="n">
        <v>0</v>
      </c>
      <c r="I233" t="n">
        <v>0</v>
      </c>
      <c r="J233" t="n">
        <v>0</v>
      </c>
      <c r="K233" t="n">
        <v>0</v>
      </c>
      <c r="L233" t="n">
        <v>0</v>
      </c>
      <c r="M233" t="n">
        <v>0</v>
      </c>
      <c r="N233" t="n">
        <v>0</v>
      </c>
      <c r="O233" t="n">
        <v>0</v>
      </c>
      <c r="P233" t="n">
        <v>0</v>
      </c>
      <c r="Q233" t="n">
        <v>0</v>
      </c>
      <c r="R233" s="2" t="inlineStr"/>
    </row>
    <row r="234" ht="15" customHeight="1">
      <c r="A234" t="inlineStr">
        <is>
          <t>A 12033-2024</t>
        </is>
      </c>
      <c r="B234" s="1" t="n">
        <v>45377.40043981482</v>
      </c>
      <c r="C234" s="1" t="n">
        <v>45901</v>
      </c>
      <c r="D234" t="inlineStr">
        <is>
          <t>KALMAR LÄN</t>
        </is>
      </c>
      <c r="E234" t="inlineStr">
        <is>
          <t>VIMMERBY</t>
        </is>
      </c>
      <c r="G234" t="n">
        <v>1.6</v>
      </c>
      <c r="H234" t="n">
        <v>0</v>
      </c>
      <c r="I234" t="n">
        <v>0</v>
      </c>
      <c r="J234" t="n">
        <v>0</v>
      </c>
      <c r="K234" t="n">
        <v>0</v>
      </c>
      <c r="L234" t="n">
        <v>0</v>
      </c>
      <c r="M234" t="n">
        <v>0</v>
      </c>
      <c r="N234" t="n">
        <v>0</v>
      </c>
      <c r="O234" t="n">
        <v>0</v>
      </c>
      <c r="P234" t="n">
        <v>0</v>
      </c>
      <c r="Q234" t="n">
        <v>0</v>
      </c>
      <c r="R234" s="2" t="inlineStr"/>
    </row>
    <row r="235" ht="15" customHeight="1">
      <c r="A235" t="inlineStr">
        <is>
          <t>A 6214-2025</t>
        </is>
      </c>
      <c r="B235" s="1" t="n">
        <v>45698.51711805556</v>
      </c>
      <c r="C235" s="1" t="n">
        <v>45901</v>
      </c>
      <c r="D235" t="inlineStr">
        <is>
          <t>KALMAR LÄN</t>
        </is>
      </c>
      <c r="E235" t="inlineStr">
        <is>
          <t>VIMMERBY</t>
        </is>
      </c>
      <c r="G235" t="n">
        <v>1.2</v>
      </c>
      <c r="H235" t="n">
        <v>0</v>
      </c>
      <c r="I235" t="n">
        <v>0</v>
      </c>
      <c r="J235" t="n">
        <v>0</v>
      </c>
      <c r="K235" t="n">
        <v>0</v>
      </c>
      <c r="L235" t="n">
        <v>0</v>
      </c>
      <c r="M235" t="n">
        <v>0</v>
      </c>
      <c r="N235" t="n">
        <v>0</v>
      </c>
      <c r="O235" t="n">
        <v>0</v>
      </c>
      <c r="P235" t="n">
        <v>0</v>
      </c>
      <c r="Q235" t="n">
        <v>0</v>
      </c>
      <c r="R235" s="2" t="inlineStr"/>
    </row>
    <row r="236" ht="15" customHeight="1">
      <c r="A236" t="inlineStr">
        <is>
          <t>A 42429-2024</t>
        </is>
      </c>
      <c r="B236" s="1" t="n">
        <v>45565.40657407408</v>
      </c>
      <c r="C236" s="1" t="n">
        <v>45901</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49408-2023</t>
        </is>
      </c>
      <c r="B237" s="1" t="n">
        <v>45211.43555555555</v>
      </c>
      <c r="C237" s="1" t="n">
        <v>45901</v>
      </c>
      <c r="D237" t="inlineStr">
        <is>
          <t>KALMAR LÄN</t>
        </is>
      </c>
      <c r="E237" t="inlineStr">
        <is>
          <t>VIMMERBY</t>
        </is>
      </c>
      <c r="G237" t="n">
        <v>13.1</v>
      </c>
      <c r="H237" t="n">
        <v>0</v>
      </c>
      <c r="I237" t="n">
        <v>0</v>
      </c>
      <c r="J237" t="n">
        <v>0</v>
      </c>
      <c r="K237" t="n">
        <v>0</v>
      </c>
      <c r="L237" t="n">
        <v>0</v>
      </c>
      <c r="M237" t="n">
        <v>0</v>
      </c>
      <c r="N237" t="n">
        <v>0</v>
      </c>
      <c r="O237" t="n">
        <v>0</v>
      </c>
      <c r="P237" t="n">
        <v>0</v>
      </c>
      <c r="Q237" t="n">
        <v>0</v>
      </c>
      <c r="R237" s="2" t="inlineStr"/>
    </row>
    <row r="238" ht="15" customHeight="1">
      <c r="A238" t="inlineStr">
        <is>
          <t>A 25244-2023</t>
        </is>
      </c>
      <c r="B238" s="1" t="n">
        <v>45086</v>
      </c>
      <c r="C238" s="1" t="n">
        <v>45901</v>
      </c>
      <c r="D238" t="inlineStr">
        <is>
          <t>KALMAR LÄN</t>
        </is>
      </c>
      <c r="E238" t="inlineStr">
        <is>
          <t>VIMMERBY</t>
        </is>
      </c>
      <c r="G238" t="n">
        <v>4.7</v>
      </c>
      <c r="H238" t="n">
        <v>0</v>
      </c>
      <c r="I238" t="n">
        <v>0</v>
      </c>
      <c r="J238" t="n">
        <v>0</v>
      </c>
      <c r="K238" t="n">
        <v>0</v>
      </c>
      <c r="L238" t="n">
        <v>0</v>
      </c>
      <c r="M238" t="n">
        <v>0</v>
      </c>
      <c r="N238" t="n">
        <v>0</v>
      </c>
      <c r="O238" t="n">
        <v>0</v>
      </c>
      <c r="P238" t="n">
        <v>0</v>
      </c>
      <c r="Q238" t="n">
        <v>0</v>
      </c>
      <c r="R238" s="2" t="inlineStr"/>
    </row>
    <row r="239" ht="15" customHeight="1">
      <c r="A239" t="inlineStr">
        <is>
          <t>A 11946-2025</t>
        </is>
      </c>
      <c r="B239" s="1" t="n">
        <v>45728.54832175926</v>
      </c>
      <c r="C239" s="1" t="n">
        <v>45901</v>
      </c>
      <c r="D239" t="inlineStr">
        <is>
          <t>KALMAR LÄN</t>
        </is>
      </c>
      <c r="E239" t="inlineStr">
        <is>
          <t>VIMMERBY</t>
        </is>
      </c>
      <c r="G239" t="n">
        <v>0.4</v>
      </c>
      <c r="H239" t="n">
        <v>0</v>
      </c>
      <c r="I239" t="n">
        <v>0</v>
      </c>
      <c r="J239" t="n">
        <v>0</v>
      </c>
      <c r="K239" t="n">
        <v>0</v>
      </c>
      <c r="L239" t="n">
        <v>0</v>
      </c>
      <c r="M239" t="n">
        <v>0</v>
      </c>
      <c r="N239" t="n">
        <v>0</v>
      </c>
      <c r="O239" t="n">
        <v>0</v>
      </c>
      <c r="P239" t="n">
        <v>0</v>
      </c>
      <c r="Q239" t="n">
        <v>0</v>
      </c>
      <c r="R239" s="2" t="inlineStr"/>
    </row>
    <row r="240" ht="15" customHeight="1">
      <c r="A240" t="inlineStr">
        <is>
          <t>A 27443-2023</t>
        </is>
      </c>
      <c r="B240" s="1" t="n">
        <v>45097.40524305555</v>
      </c>
      <c r="C240" s="1" t="n">
        <v>45901</v>
      </c>
      <c r="D240" t="inlineStr">
        <is>
          <t>KALMAR LÄN</t>
        </is>
      </c>
      <c r="E240" t="inlineStr">
        <is>
          <t>VIMMERBY</t>
        </is>
      </c>
      <c r="F240" t="inlineStr">
        <is>
          <t>Övriga Aktiebolag</t>
        </is>
      </c>
      <c r="G240" t="n">
        <v>2.3</v>
      </c>
      <c r="H240" t="n">
        <v>0</v>
      </c>
      <c r="I240" t="n">
        <v>0</v>
      </c>
      <c r="J240" t="n">
        <v>0</v>
      </c>
      <c r="K240" t="n">
        <v>0</v>
      </c>
      <c r="L240" t="n">
        <v>0</v>
      </c>
      <c r="M240" t="n">
        <v>0</v>
      </c>
      <c r="N240" t="n">
        <v>0</v>
      </c>
      <c r="O240" t="n">
        <v>0</v>
      </c>
      <c r="P240" t="n">
        <v>0</v>
      </c>
      <c r="Q240" t="n">
        <v>0</v>
      </c>
      <c r="R240" s="2" t="inlineStr"/>
    </row>
    <row r="241" ht="15" customHeight="1">
      <c r="A241" t="inlineStr">
        <is>
          <t>A 28395-2023</t>
        </is>
      </c>
      <c r="B241" s="1" t="n">
        <v>45100.4062962963</v>
      </c>
      <c r="C241" s="1" t="n">
        <v>45901</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59943-2023</t>
        </is>
      </c>
      <c r="B242" s="1" t="n">
        <v>45257.67958333333</v>
      </c>
      <c r="C242" s="1" t="n">
        <v>45901</v>
      </c>
      <c r="D242" t="inlineStr">
        <is>
          <t>KALMAR LÄN</t>
        </is>
      </c>
      <c r="E242" t="inlineStr">
        <is>
          <t>VIMMERBY</t>
        </is>
      </c>
      <c r="G242" t="n">
        <v>6.4</v>
      </c>
      <c r="H242" t="n">
        <v>0</v>
      </c>
      <c r="I242" t="n">
        <v>0</v>
      </c>
      <c r="J242" t="n">
        <v>0</v>
      </c>
      <c r="K242" t="n">
        <v>0</v>
      </c>
      <c r="L242" t="n">
        <v>0</v>
      </c>
      <c r="M242" t="n">
        <v>0</v>
      </c>
      <c r="N242" t="n">
        <v>0</v>
      </c>
      <c r="O242" t="n">
        <v>0</v>
      </c>
      <c r="P242" t="n">
        <v>0</v>
      </c>
      <c r="Q242" t="n">
        <v>0</v>
      </c>
      <c r="R242" s="2" t="inlineStr"/>
    </row>
    <row r="243" ht="15" customHeight="1">
      <c r="A243" t="inlineStr">
        <is>
          <t>A 23341-2022</t>
        </is>
      </c>
      <c r="B243" s="1" t="n">
        <v>44720.53898148148</v>
      </c>
      <c r="C243" s="1" t="n">
        <v>45901</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8086-2021</t>
        </is>
      </c>
      <c r="B244" s="1" t="n">
        <v>44243</v>
      </c>
      <c r="C244" s="1" t="n">
        <v>45901</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15493-2023</t>
        </is>
      </c>
      <c r="B245" s="1" t="n">
        <v>45018</v>
      </c>
      <c r="C245" s="1" t="n">
        <v>45901</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51881-2024</t>
        </is>
      </c>
      <c r="B246" s="1" t="n">
        <v>45607.56773148148</v>
      </c>
      <c r="C246" s="1" t="n">
        <v>45901</v>
      </c>
      <c r="D246" t="inlineStr">
        <is>
          <t>KALMAR LÄN</t>
        </is>
      </c>
      <c r="E246" t="inlineStr">
        <is>
          <t>VIMMERBY</t>
        </is>
      </c>
      <c r="G246" t="n">
        <v>3.4</v>
      </c>
      <c r="H246" t="n">
        <v>0</v>
      </c>
      <c r="I246" t="n">
        <v>0</v>
      </c>
      <c r="J246" t="n">
        <v>0</v>
      </c>
      <c r="K246" t="n">
        <v>0</v>
      </c>
      <c r="L246" t="n">
        <v>0</v>
      </c>
      <c r="M246" t="n">
        <v>0</v>
      </c>
      <c r="N246" t="n">
        <v>0</v>
      </c>
      <c r="O246" t="n">
        <v>0</v>
      </c>
      <c r="P246" t="n">
        <v>0</v>
      </c>
      <c r="Q246" t="n">
        <v>0</v>
      </c>
      <c r="R246" s="2" t="inlineStr"/>
    </row>
    <row r="247" ht="15" customHeight="1">
      <c r="A247" t="inlineStr">
        <is>
          <t>A 18501-2024</t>
        </is>
      </c>
      <c r="B247" s="1" t="n">
        <v>45425.57538194444</v>
      </c>
      <c r="C247" s="1" t="n">
        <v>45901</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1021-2024</t>
        </is>
      </c>
      <c r="B248" s="1" t="n">
        <v>45301.67736111111</v>
      </c>
      <c r="C248" s="1" t="n">
        <v>45901</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32569-2024</t>
        </is>
      </c>
      <c r="B249" s="1" t="n">
        <v>45513.55840277778</v>
      </c>
      <c r="C249" s="1" t="n">
        <v>45901</v>
      </c>
      <c r="D249" t="inlineStr">
        <is>
          <t>KALMAR LÄN</t>
        </is>
      </c>
      <c r="E249" t="inlineStr">
        <is>
          <t>VIMMERBY</t>
        </is>
      </c>
      <c r="G249" t="n">
        <v>3.7</v>
      </c>
      <c r="H249" t="n">
        <v>0</v>
      </c>
      <c r="I249" t="n">
        <v>0</v>
      </c>
      <c r="J249" t="n">
        <v>0</v>
      </c>
      <c r="K249" t="n">
        <v>0</v>
      </c>
      <c r="L249" t="n">
        <v>0</v>
      </c>
      <c r="M249" t="n">
        <v>0</v>
      </c>
      <c r="N249" t="n">
        <v>0</v>
      </c>
      <c r="O249" t="n">
        <v>0</v>
      </c>
      <c r="P249" t="n">
        <v>0</v>
      </c>
      <c r="Q249" t="n">
        <v>0</v>
      </c>
      <c r="R249" s="2" t="inlineStr"/>
    </row>
    <row r="250" ht="15" customHeight="1">
      <c r="A250" t="inlineStr">
        <is>
          <t>A 32575-2024</t>
        </is>
      </c>
      <c r="B250" s="1" t="n">
        <v>45513.56527777778</v>
      </c>
      <c r="C250" s="1" t="n">
        <v>45901</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30063-2023</t>
        </is>
      </c>
      <c r="B251" s="1" t="n">
        <v>45110.4184375</v>
      </c>
      <c r="C251" s="1" t="n">
        <v>45901</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17482-2024</t>
        </is>
      </c>
      <c r="B252" s="1" t="n">
        <v>45415.47848379629</v>
      </c>
      <c r="C252" s="1" t="n">
        <v>45901</v>
      </c>
      <c r="D252" t="inlineStr">
        <is>
          <t>KALMAR LÄN</t>
        </is>
      </c>
      <c r="E252" t="inlineStr">
        <is>
          <t>VIMMERBY</t>
        </is>
      </c>
      <c r="G252" t="n">
        <v>1.7</v>
      </c>
      <c r="H252" t="n">
        <v>0</v>
      </c>
      <c r="I252" t="n">
        <v>0</v>
      </c>
      <c r="J252" t="n">
        <v>0</v>
      </c>
      <c r="K252" t="n">
        <v>0</v>
      </c>
      <c r="L252" t="n">
        <v>0</v>
      </c>
      <c r="M252" t="n">
        <v>0</v>
      </c>
      <c r="N252" t="n">
        <v>0</v>
      </c>
      <c r="O252" t="n">
        <v>0</v>
      </c>
      <c r="P252" t="n">
        <v>0</v>
      </c>
      <c r="Q252" t="n">
        <v>0</v>
      </c>
      <c r="R252" s="2" t="inlineStr"/>
    </row>
    <row r="253" ht="15" customHeight="1">
      <c r="A253" t="inlineStr">
        <is>
          <t>A 25799-2023</t>
        </is>
      </c>
      <c r="B253" s="1" t="n">
        <v>45090</v>
      </c>
      <c r="C253" s="1" t="n">
        <v>45901</v>
      </c>
      <c r="D253" t="inlineStr">
        <is>
          <t>KALMAR LÄN</t>
        </is>
      </c>
      <c r="E253" t="inlineStr">
        <is>
          <t>VIMMERBY</t>
        </is>
      </c>
      <c r="G253" t="n">
        <v>7.7</v>
      </c>
      <c r="H253" t="n">
        <v>0</v>
      </c>
      <c r="I253" t="n">
        <v>0</v>
      </c>
      <c r="J253" t="n">
        <v>0</v>
      </c>
      <c r="K253" t="n">
        <v>0</v>
      </c>
      <c r="L253" t="n">
        <v>0</v>
      </c>
      <c r="M253" t="n">
        <v>0</v>
      </c>
      <c r="N253" t="n">
        <v>0</v>
      </c>
      <c r="O253" t="n">
        <v>0</v>
      </c>
      <c r="P253" t="n">
        <v>0</v>
      </c>
      <c r="Q253" t="n">
        <v>0</v>
      </c>
      <c r="R253" s="2" t="inlineStr"/>
    </row>
    <row r="254" ht="15" customHeight="1">
      <c r="A254" t="inlineStr">
        <is>
          <t>A 71793-2021</t>
        </is>
      </c>
      <c r="B254" s="1" t="n">
        <v>44539</v>
      </c>
      <c r="C254" s="1" t="n">
        <v>45901</v>
      </c>
      <c r="D254" t="inlineStr">
        <is>
          <t>KALMAR LÄN</t>
        </is>
      </c>
      <c r="E254" t="inlineStr">
        <is>
          <t>VIMMERBY</t>
        </is>
      </c>
      <c r="G254" t="n">
        <v>2.7</v>
      </c>
      <c r="H254" t="n">
        <v>0</v>
      </c>
      <c r="I254" t="n">
        <v>0</v>
      </c>
      <c r="J254" t="n">
        <v>0</v>
      </c>
      <c r="K254" t="n">
        <v>0</v>
      </c>
      <c r="L254" t="n">
        <v>0</v>
      </c>
      <c r="M254" t="n">
        <v>0</v>
      </c>
      <c r="N254" t="n">
        <v>0</v>
      </c>
      <c r="O254" t="n">
        <v>0</v>
      </c>
      <c r="P254" t="n">
        <v>0</v>
      </c>
      <c r="Q254" t="n">
        <v>0</v>
      </c>
      <c r="R254" s="2" t="inlineStr"/>
    </row>
    <row r="255" ht="15" customHeight="1">
      <c r="A255" t="inlineStr">
        <is>
          <t>A 16015-2025</t>
        </is>
      </c>
      <c r="B255" s="1" t="n">
        <v>45749.60487268519</v>
      </c>
      <c r="C255" s="1" t="n">
        <v>45901</v>
      </c>
      <c r="D255" t="inlineStr">
        <is>
          <t>KALMAR LÄN</t>
        </is>
      </c>
      <c r="E255" t="inlineStr">
        <is>
          <t>VIMMERBY</t>
        </is>
      </c>
      <c r="F255" t="inlineStr">
        <is>
          <t>Kyrkan</t>
        </is>
      </c>
      <c r="G255" t="n">
        <v>2.7</v>
      </c>
      <c r="H255" t="n">
        <v>0</v>
      </c>
      <c r="I255" t="n">
        <v>0</v>
      </c>
      <c r="J255" t="n">
        <v>0</v>
      </c>
      <c r="K255" t="n">
        <v>0</v>
      </c>
      <c r="L255" t="n">
        <v>0</v>
      </c>
      <c r="M255" t="n">
        <v>0</v>
      </c>
      <c r="N255" t="n">
        <v>0</v>
      </c>
      <c r="O255" t="n">
        <v>0</v>
      </c>
      <c r="P255" t="n">
        <v>0</v>
      </c>
      <c r="Q255" t="n">
        <v>0</v>
      </c>
      <c r="R255" s="2" t="inlineStr"/>
    </row>
    <row r="256" ht="15" customHeight="1">
      <c r="A256" t="inlineStr">
        <is>
          <t>A 13817-2024</t>
        </is>
      </c>
      <c r="B256" s="1" t="n">
        <v>45391.41976851852</v>
      </c>
      <c r="C256" s="1" t="n">
        <v>45901</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57256-2023</t>
        </is>
      </c>
      <c r="B257" s="1" t="n">
        <v>45245.5735300926</v>
      </c>
      <c r="C257" s="1" t="n">
        <v>45901</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30406-2023</t>
        </is>
      </c>
      <c r="B258" s="1" t="n">
        <v>45111.48787037037</v>
      </c>
      <c r="C258" s="1" t="n">
        <v>45901</v>
      </c>
      <c r="D258" t="inlineStr">
        <is>
          <t>KALMAR LÄN</t>
        </is>
      </c>
      <c r="E258" t="inlineStr">
        <is>
          <t>VIMMERBY</t>
        </is>
      </c>
      <c r="G258" t="n">
        <v>2.4</v>
      </c>
      <c r="H258" t="n">
        <v>0</v>
      </c>
      <c r="I258" t="n">
        <v>0</v>
      </c>
      <c r="J258" t="n">
        <v>0</v>
      </c>
      <c r="K258" t="n">
        <v>0</v>
      </c>
      <c r="L258" t="n">
        <v>0</v>
      </c>
      <c r="M258" t="n">
        <v>0</v>
      </c>
      <c r="N258" t="n">
        <v>0</v>
      </c>
      <c r="O258" t="n">
        <v>0</v>
      </c>
      <c r="P258" t="n">
        <v>0</v>
      </c>
      <c r="Q258" t="n">
        <v>0</v>
      </c>
      <c r="R258" s="2" t="inlineStr"/>
    </row>
    <row r="259" ht="15" customHeight="1">
      <c r="A259" t="inlineStr">
        <is>
          <t>A 23088-2024</t>
        </is>
      </c>
      <c r="B259" s="1" t="n">
        <v>45450.51092592593</v>
      </c>
      <c r="C259" s="1" t="n">
        <v>45901</v>
      </c>
      <c r="D259" t="inlineStr">
        <is>
          <t>KALMAR LÄN</t>
        </is>
      </c>
      <c r="E259" t="inlineStr">
        <is>
          <t>VIMMERBY</t>
        </is>
      </c>
      <c r="G259" t="n">
        <v>1.9</v>
      </c>
      <c r="H259" t="n">
        <v>0</v>
      </c>
      <c r="I259" t="n">
        <v>0</v>
      </c>
      <c r="J259" t="n">
        <v>0</v>
      </c>
      <c r="K259" t="n">
        <v>0</v>
      </c>
      <c r="L259" t="n">
        <v>0</v>
      </c>
      <c r="M259" t="n">
        <v>0</v>
      </c>
      <c r="N259" t="n">
        <v>0</v>
      </c>
      <c r="O259" t="n">
        <v>0</v>
      </c>
      <c r="P259" t="n">
        <v>0</v>
      </c>
      <c r="Q259" t="n">
        <v>0</v>
      </c>
      <c r="R259" s="2" t="inlineStr"/>
    </row>
    <row r="260" ht="15" customHeight="1">
      <c r="A260" t="inlineStr">
        <is>
          <t>A 73938-2021</t>
        </is>
      </c>
      <c r="B260" s="1" t="n">
        <v>44553</v>
      </c>
      <c r="C260" s="1" t="n">
        <v>45901</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29020-2024</t>
        </is>
      </c>
      <c r="B261" s="1" t="n">
        <v>45481.58048611111</v>
      </c>
      <c r="C261" s="1" t="n">
        <v>45901</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6069-2023</t>
        </is>
      </c>
      <c r="B262" s="1" t="n">
        <v>44964.5115162037</v>
      </c>
      <c r="C262" s="1" t="n">
        <v>45901</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57189-2022</t>
        </is>
      </c>
      <c r="B263" s="1" t="n">
        <v>44895.62296296296</v>
      </c>
      <c r="C263" s="1" t="n">
        <v>45901</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1987-2024</t>
        </is>
      </c>
      <c r="B264" s="1" t="n">
        <v>45308.61152777778</v>
      </c>
      <c r="C264" s="1" t="n">
        <v>45901</v>
      </c>
      <c r="D264" t="inlineStr">
        <is>
          <t>KALMAR LÄN</t>
        </is>
      </c>
      <c r="E264" t="inlineStr">
        <is>
          <t>VIMMERBY</t>
        </is>
      </c>
      <c r="G264" t="n">
        <v>3</v>
      </c>
      <c r="H264" t="n">
        <v>0</v>
      </c>
      <c r="I264" t="n">
        <v>0</v>
      </c>
      <c r="J264" t="n">
        <v>0</v>
      </c>
      <c r="K264" t="n">
        <v>0</v>
      </c>
      <c r="L264" t="n">
        <v>0</v>
      </c>
      <c r="M264" t="n">
        <v>0</v>
      </c>
      <c r="N264" t="n">
        <v>0</v>
      </c>
      <c r="O264" t="n">
        <v>0</v>
      </c>
      <c r="P264" t="n">
        <v>0</v>
      </c>
      <c r="Q264" t="n">
        <v>0</v>
      </c>
      <c r="R264" s="2" t="inlineStr"/>
    </row>
    <row r="265" ht="15" customHeight="1">
      <c r="A265" t="inlineStr">
        <is>
          <t>A 527-2024</t>
        </is>
      </c>
      <c r="B265" s="1" t="n">
        <v>45299.47513888889</v>
      </c>
      <c r="C265" s="1" t="n">
        <v>45901</v>
      </c>
      <c r="D265" t="inlineStr">
        <is>
          <t>KALMAR LÄN</t>
        </is>
      </c>
      <c r="E265" t="inlineStr">
        <is>
          <t>VIMMERBY</t>
        </is>
      </c>
      <c r="G265" t="n">
        <v>2.2</v>
      </c>
      <c r="H265" t="n">
        <v>0</v>
      </c>
      <c r="I265" t="n">
        <v>0</v>
      </c>
      <c r="J265" t="n">
        <v>0</v>
      </c>
      <c r="K265" t="n">
        <v>0</v>
      </c>
      <c r="L265" t="n">
        <v>0</v>
      </c>
      <c r="M265" t="n">
        <v>0</v>
      </c>
      <c r="N265" t="n">
        <v>0</v>
      </c>
      <c r="O265" t="n">
        <v>0</v>
      </c>
      <c r="P265" t="n">
        <v>0</v>
      </c>
      <c r="Q265" t="n">
        <v>0</v>
      </c>
      <c r="R265" s="2" t="inlineStr"/>
    </row>
    <row r="266" ht="15" customHeight="1">
      <c r="A266" t="inlineStr">
        <is>
          <t>A 50995-2022</t>
        </is>
      </c>
      <c r="B266" s="1" t="n">
        <v>44867</v>
      </c>
      <c r="C266" s="1" t="n">
        <v>45901</v>
      </c>
      <c r="D266" t="inlineStr">
        <is>
          <t>KALMAR LÄN</t>
        </is>
      </c>
      <c r="E266" t="inlineStr">
        <is>
          <t>VIMMERBY</t>
        </is>
      </c>
      <c r="G266" t="n">
        <v>2.4</v>
      </c>
      <c r="H266" t="n">
        <v>0</v>
      </c>
      <c r="I266" t="n">
        <v>0</v>
      </c>
      <c r="J266" t="n">
        <v>0</v>
      </c>
      <c r="K266" t="n">
        <v>0</v>
      </c>
      <c r="L266" t="n">
        <v>0</v>
      </c>
      <c r="M266" t="n">
        <v>0</v>
      </c>
      <c r="N266" t="n">
        <v>0</v>
      </c>
      <c r="O266" t="n">
        <v>0</v>
      </c>
      <c r="P266" t="n">
        <v>0</v>
      </c>
      <c r="Q266" t="n">
        <v>0</v>
      </c>
      <c r="R266" s="2" t="inlineStr"/>
    </row>
    <row r="267" ht="15" customHeight="1">
      <c r="A267" t="inlineStr">
        <is>
          <t>A 27122-2023</t>
        </is>
      </c>
      <c r="B267" s="1" t="n">
        <v>45096.45247685185</v>
      </c>
      <c r="C267" s="1" t="n">
        <v>45901</v>
      </c>
      <c r="D267" t="inlineStr">
        <is>
          <t>KALMAR LÄN</t>
        </is>
      </c>
      <c r="E267" t="inlineStr">
        <is>
          <t>VIMMERBY</t>
        </is>
      </c>
      <c r="G267" t="n">
        <v>1.7</v>
      </c>
      <c r="H267" t="n">
        <v>0</v>
      </c>
      <c r="I267" t="n">
        <v>0</v>
      </c>
      <c r="J267" t="n">
        <v>0</v>
      </c>
      <c r="K267" t="n">
        <v>0</v>
      </c>
      <c r="L267" t="n">
        <v>0</v>
      </c>
      <c r="M267" t="n">
        <v>0</v>
      </c>
      <c r="N267" t="n">
        <v>0</v>
      </c>
      <c r="O267" t="n">
        <v>0</v>
      </c>
      <c r="P267" t="n">
        <v>0</v>
      </c>
      <c r="Q267" t="n">
        <v>0</v>
      </c>
      <c r="R267" s="2" t="inlineStr"/>
    </row>
    <row r="268" ht="15" customHeight="1">
      <c r="A268" t="inlineStr">
        <is>
          <t>A 37192-2024</t>
        </is>
      </c>
      <c r="B268" s="1" t="n">
        <v>45539.66027777778</v>
      </c>
      <c r="C268" s="1" t="n">
        <v>45901</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30402-2023</t>
        </is>
      </c>
      <c r="B269" s="1" t="n">
        <v>45111.48395833333</v>
      </c>
      <c r="C269" s="1" t="n">
        <v>45901</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22014-2025</t>
        </is>
      </c>
      <c r="B270" s="1" t="n">
        <v>45784.74996527778</v>
      </c>
      <c r="C270" s="1" t="n">
        <v>45901</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47842-2024</t>
        </is>
      </c>
      <c r="B271" s="1" t="n">
        <v>45588.65545138889</v>
      </c>
      <c r="C271" s="1" t="n">
        <v>45901</v>
      </c>
      <c r="D271" t="inlineStr">
        <is>
          <t>KALMAR LÄN</t>
        </is>
      </c>
      <c r="E271" t="inlineStr">
        <is>
          <t>VIMMERBY</t>
        </is>
      </c>
      <c r="G271" t="n">
        <v>2.4</v>
      </c>
      <c r="H271" t="n">
        <v>0</v>
      </c>
      <c r="I271" t="n">
        <v>0</v>
      </c>
      <c r="J271" t="n">
        <v>0</v>
      </c>
      <c r="K271" t="n">
        <v>0</v>
      </c>
      <c r="L271" t="n">
        <v>0</v>
      </c>
      <c r="M271" t="n">
        <v>0</v>
      </c>
      <c r="N271" t="n">
        <v>0</v>
      </c>
      <c r="O271" t="n">
        <v>0</v>
      </c>
      <c r="P271" t="n">
        <v>0</v>
      </c>
      <c r="Q271" t="n">
        <v>0</v>
      </c>
      <c r="R271" s="2" t="inlineStr"/>
    </row>
    <row r="272" ht="15" customHeight="1">
      <c r="A272" t="inlineStr">
        <is>
          <t>A 6857-2023</t>
        </is>
      </c>
      <c r="B272" s="1" t="n">
        <v>44967.45122685185</v>
      </c>
      <c r="C272" s="1" t="n">
        <v>45901</v>
      </c>
      <c r="D272" t="inlineStr">
        <is>
          <t>KALMAR LÄN</t>
        </is>
      </c>
      <c r="E272" t="inlineStr">
        <is>
          <t>VIMMERBY</t>
        </is>
      </c>
      <c r="G272" t="n">
        <v>2.1</v>
      </c>
      <c r="H272" t="n">
        <v>0</v>
      </c>
      <c r="I272" t="n">
        <v>0</v>
      </c>
      <c r="J272" t="n">
        <v>0</v>
      </c>
      <c r="K272" t="n">
        <v>0</v>
      </c>
      <c r="L272" t="n">
        <v>0</v>
      </c>
      <c r="M272" t="n">
        <v>0</v>
      </c>
      <c r="N272" t="n">
        <v>0</v>
      </c>
      <c r="O272" t="n">
        <v>0</v>
      </c>
      <c r="P272" t="n">
        <v>0</v>
      </c>
      <c r="Q272" t="n">
        <v>0</v>
      </c>
      <c r="R272" s="2" t="inlineStr"/>
    </row>
    <row r="273" ht="15" customHeight="1">
      <c r="A273" t="inlineStr">
        <is>
          <t>A 47063-2022</t>
        </is>
      </c>
      <c r="B273" s="1" t="n">
        <v>44852</v>
      </c>
      <c r="C273" s="1" t="n">
        <v>45901</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12819-2024</t>
        </is>
      </c>
      <c r="B274" s="1" t="n">
        <v>45384.66917824074</v>
      </c>
      <c r="C274" s="1" t="n">
        <v>45901</v>
      </c>
      <c r="D274" t="inlineStr">
        <is>
          <t>KALMAR LÄN</t>
        </is>
      </c>
      <c r="E274" t="inlineStr">
        <is>
          <t>VIMMERBY</t>
        </is>
      </c>
      <c r="G274" t="n">
        <v>5.1</v>
      </c>
      <c r="H274" t="n">
        <v>0</v>
      </c>
      <c r="I274" t="n">
        <v>0</v>
      </c>
      <c r="J274" t="n">
        <v>0</v>
      </c>
      <c r="K274" t="n">
        <v>0</v>
      </c>
      <c r="L274" t="n">
        <v>0</v>
      </c>
      <c r="M274" t="n">
        <v>0</v>
      </c>
      <c r="N274" t="n">
        <v>0</v>
      </c>
      <c r="O274" t="n">
        <v>0</v>
      </c>
      <c r="P274" t="n">
        <v>0</v>
      </c>
      <c r="Q274" t="n">
        <v>0</v>
      </c>
      <c r="R274" s="2" t="inlineStr"/>
    </row>
    <row r="275" ht="15" customHeight="1">
      <c r="A275" t="inlineStr">
        <is>
          <t>A 25582-2024</t>
        </is>
      </c>
      <c r="B275" s="1" t="n">
        <v>45463</v>
      </c>
      <c r="C275" s="1" t="n">
        <v>45901</v>
      </c>
      <c r="D275" t="inlineStr">
        <is>
          <t>KALMAR LÄN</t>
        </is>
      </c>
      <c r="E275" t="inlineStr">
        <is>
          <t>VIMMERBY</t>
        </is>
      </c>
      <c r="G275" t="n">
        <v>1.4</v>
      </c>
      <c r="H275" t="n">
        <v>0</v>
      </c>
      <c r="I275" t="n">
        <v>0</v>
      </c>
      <c r="J275" t="n">
        <v>0</v>
      </c>
      <c r="K275" t="n">
        <v>0</v>
      </c>
      <c r="L275" t="n">
        <v>0</v>
      </c>
      <c r="M275" t="n">
        <v>0</v>
      </c>
      <c r="N275" t="n">
        <v>0</v>
      </c>
      <c r="O275" t="n">
        <v>0</v>
      </c>
      <c r="P275" t="n">
        <v>0</v>
      </c>
      <c r="Q275" t="n">
        <v>0</v>
      </c>
      <c r="R275" s="2" t="inlineStr"/>
    </row>
    <row r="276" ht="15" customHeight="1">
      <c r="A276" t="inlineStr">
        <is>
          <t>A 57578-2024</t>
        </is>
      </c>
      <c r="B276" s="1" t="n">
        <v>45630.47564814815</v>
      </c>
      <c r="C276" s="1" t="n">
        <v>45901</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31382-2023</t>
        </is>
      </c>
      <c r="B277" s="1" t="n">
        <v>45114.55136574074</v>
      </c>
      <c r="C277" s="1" t="n">
        <v>45901</v>
      </c>
      <c r="D277" t="inlineStr">
        <is>
          <t>KALMAR LÄN</t>
        </is>
      </c>
      <c r="E277" t="inlineStr">
        <is>
          <t>VIMMERBY</t>
        </is>
      </c>
      <c r="G277" t="n">
        <v>3.7</v>
      </c>
      <c r="H277" t="n">
        <v>0</v>
      </c>
      <c r="I277" t="n">
        <v>0</v>
      </c>
      <c r="J277" t="n">
        <v>0</v>
      </c>
      <c r="K277" t="n">
        <v>0</v>
      </c>
      <c r="L277" t="n">
        <v>0</v>
      </c>
      <c r="M277" t="n">
        <v>0</v>
      </c>
      <c r="N277" t="n">
        <v>0</v>
      </c>
      <c r="O277" t="n">
        <v>0</v>
      </c>
      <c r="P277" t="n">
        <v>0</v>
      </c>
      <c r="Q277" t="n">
        <v>0</v>
      </c>
      <c r="R277" s="2" t="inlineStr"/>
    </row>
    <row r="278" ht="15" customHeight="1">
      <c r="A278" t="inlineStr">
        <is>
          <t>A 11073-2023</t>
        </is>
      </c>
      <c r="B278" s="1" t="n">
        <v>44992</v>
      </c>
      <c r="C278" s="1" t="n">
        <v>45901</v>
      </c>
      <c r="D278" t="inlineStr">
        <is>
          <t>KALMAR LÄN</t>
        </is>
      </c>
      <c r="E278" t="inlineStr">
        <is>
          <t>VIMMERBY</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46224-2024</t>
        </is>
      </c>
      <c r="B279" s="1" t="n">
        <v>45581.57016203704</v>
      </c>
      <c r="C279" s="1" t="n">
        <v>45901</v>
      </c>
      <c r="D279" t="inlineStr">
        <is>
          <t>KALMAR LÄN</t>
        </is>
      </c>
      <c r="E279" t="inlineStr">
        <is>
          <t>VIMMERBY</t>
        </is>
      </c>
      <c r="G279" t="n">
        <v>3.1</v>
      </c>
      <c r="H279" t="n">
        <v>0</v>
      </c>
      <c r="I279" t="n">
        <v>0</v>
      </c>
      <c r="J279" t="n">
        <v>0</v>
      </c>
      <c r="K279" t="n">
        <v>0</v>
      </c>
      <c r="L279" t="n">
        <v>0</v>
      </c>
      <c r="M279" t="n">
        <v>0</v>
      </c>
      <c r="N279" t="n">
        <v>0</v>
      </c>
      <c r="O279" t="n">
        <v>0</v>
      </c>
      <c r="P279" t="n">
        <v>0</v>
      </c>
      <c r="Q279" t="n">
        <v>0</v>
      </c>
      <c r="R279" s="2" t="inlineStr"/>
    </row>
    <row r="280" ht="15" customHeight="1">
      <c r="A280" t="inlineStr">
        <is>
          <t>A 59955-2023</t>
        </is>
      </c>
      <c r="B280" s="1" t="n">
        <v>45257.70313657408</v>
      </c>
      <c r="C280" s="1" t="n">
        <v>45901</v>
      </c>
      <c r="D280" t="inlineStr">
        <is>
          <t>KALMAR LÄN</t>
        </is>
      </c>
      <c r="E280" t="inlineStr">
        <is>
          <t>VIMMERBY</t>
        </is>
      </c>
      <c r="G280" t="n">
        <v>13.8</v>
      </c>
      <c r="H280" t="n">
        <v>0</v>
      </c>
      <c r="I280" t="n">
        <v>0</v>
      </c>
      <c r="J280" t="n">
        <v>0</v>
      </c>
      <c r="K280" t="n">
        <v>0</v>
      </c>
      <c r="L280" t="n">
        <v>0</v>
      </c>
      <c r="M280" t="n">
        <v>0</v>
      </c>
      <c r="N280" t="n">
        <v>0</v>
      </c>
      <c r="O280" t="n">
        <v>0</v>
      </c>
      <c r="P280" t="n">
        <v>0</v>
      </c>
      <c r="Q280" t="n">
        <v>0</v>
      </c>
      <c r="R280" s="2" t="inlineStr"/>
    </row>
    <row r="281" ht="15" customHeight="1">
      <c r="A281" t="inlineStr">
        <is>
          <t>A 36802-2021</t>
        </is>
      </c>
      <c r="B281" s="1" t="n">
        <v>44392</v>
      </c>
      <c r="C281" s="1" t="n">
        <v>45901</v>
      </c>
      <c r="D281" t="inlineStr">
        <is>
          <t>KALMAR LÄN</t>
        </is>
      </c>
      <c r="E281" t="inlineStr">
        <is>
          <t>VIMMERBY</t>
        </is>
      </c>
      <c r="F281" t="inlineStr">
        <is>
          <t>Sveaskog</t>
        </is>
      </c>
      <c r="G281" t="n">
        <v>4.6</v>
      </c>
      <c r="H281" t="n">
        <v>0</v>
      </c>
      <c r="I281" t="n">
        <v>0</v>
      </c>
      <c r="J281" t="n">
        <v>0</v>
      </c>
      <c r="K281" t="n">
        <v>0</v>
      </c>
      <c r="L281" t="n">
        <v>0</v>
      </c>
      <c r="M281" t="n">
        <v>0</v>
      </c>
      <c r="N281" t="n">
        <v>0</v>
      </c>
      <c r="O281" t="n">
        <v>0</v>
      </c>
      <c r="P281" t="n">
        <v>0</v>
      </c>
      <c r="Q281" t="n">
        <v>0</v>
      </c>
      <c r="R281" s="2" t="inlineStr"/>
    </row>
    <row r="282" ht="15" customHeight="1">
      <c r="A282" t="inlineStr">
        <is>
          <t>A 29013-2024</t>
        </is>
      </c>
      <c r="B282" s="1" t="n">
        <v>45481.55984953704</v>
      </c>
      <c r="C282" s="1" t="n">
        <v>45901</v>
      </c>
      <c r="D282" t="inlineStr">
        <is>
          <t>KALMAR LÄN</t>
        </is>
      </c>
      <c r="E282" t="inlineStr">
        <is>
          <t>VIMMERBY</t>
        </is>
      </c>
      <c r="G282" t="n">
        <v>3.4</v>
      </c>
      <c r="H282" t="n">
        <v>0</v>
      </c>
      <c r="I282" t="n">
        <v>0</v>
      </c>
      <c r="J282" t="n">
        <v>0</v>
      </c>
      <c r="K282" t="n">
        <v>0</v>
      </c>
      <c r="L282" t="n">
        <v>0</v>
      </c>
      <c r="M282" t="n">
        <v>0</v>
      </c>
      <c r="N282" t="n">
        <v>0</v>
      </c>
      <c r="O282" t="n">
        <v>0</v>
      </c>
      <c r="P282" t="n">
        <v>0</v>
      </c>
      <c r="Q282" t="n">
        <v>0</v>
      </c>
      <c r="R282" s="2" t="inlineStr"/>
    </row>
    <row r="283" ht="15" customHeight="1">
      <c r="A283" t="inlineStr">
        <is>
          <t>A 61820-2023</t>
        </is>
      </c>
      <c r="B283" s="1" t="n">
        <v>45266.32614583334</v>
      </c>
      <c r="C283" s="1" t="n">
        <v>45901</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37028-2024</t>
        </is>
      </c>
      <c r="B284" s="1" t="n">
        <v>45539.38744212963</v>
      </c>
      <c r="C284" s="1" t="n">
        <v>45901</v>
      </c>
      <c r="D284" t="inlineStr">
        <is>
          <t>KALMAR LÄN</t>
        </is>
      </c>
      <c r="E284" t="inlineStr">
        <is>
          <t>VIMMERBY</t>
        </is>
      </c>
      <c r="G284" t="n">
        <v>5.2</v>
      </c>
      <c r="H284" t="n">
        <v>0</v>
      </c>
      <c r="I284" t="n">
        <v>0</v>
      </c>
      <c r="J284" t="n">
        <v>0</v>
      </c>
      <c r="K284" t="n">
        <v>0</v>
      </c>
      <c r="L284" t="n">
        <v>0</v>
      </c>
      <c r="M284" t="n">
        <v>0</v>
      </c>
      <c r="N284" t="n">
        <v>0</v>
      </c>
      <c r="O284" t="n">
        <v>0</v>
      </c>
      <c r="P284" t="n">
        <v>0</v>
      </c>
      <c r="Q284" t="n">
        <v>0</v>
      </c>
      <c r="R284" s="2" t="inlineStr"/>
    </row>
    <row r="285" ht="15" customHeight="1">
      <c r="A285" t="inlineStr">
        <is>
          <t>A 3269-2024</t>
        </is>
      </c>
      <c r="B285" s="1" t="n">
        <v>45317.40372685185</v>
      </c>
      <c r="C285" s="1" t="n">
        <v>45901</v>
      </c>
      <c r="D285" t="inlineStr">
        <is>
          <t>KALMAR LÄN</t>
        </is>
      </c>
      <c r="E285" t="inlineStr">
        <is>
          <t>VIMMERBY</t>
        </is>
      </c>
      <c r="F285" t="inlineStr">
        <is>
          <t>Övriga Aktiebolag</t>
        </is>
      </c>
      <c r="G285" t="n">
        <v>1.7</v>
      </c>
      <c r="H285" t="n">
        <v>0</v>
      </c>
      <c r="I285" t="n">
        <v>0</v>
      </c>
      <c r="J285" t="n">
        <v>0</v>
      </c>
      <c r="K285" t="n">
        <v>0</v>
      </c>
      <c r="L285" t="n">
        <v>0</v>
      </c>
      <c r="M285" t="n">
        <v>0</v>
      </c>
      <c r="N285" t="n">
        <v>0</v>
      </c>
      <c r="O285" t="n">
        <v>0</v>
      </c>
      <c r="P285" t="n">
        <v>0</v>
      </c>
      <c r="Q285" t="n">
        <v>0</v>
      </c>
      <c r="R285" s="2" t="inlineStr"/>
    </row>
    <row r="286" ht="15" customHeight="1">
      <c r="A286" t="inlineStr">
        <is>
          <t>A 2157-2024</t>
        </is>
      </c>
      <c r="B286" s="1" t="n">
        <v>45309.59487268519</v>
      </c>
      <c r="C286" s="1" t="n">
        <v>45901</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22398-2025</t>
        </is>
      </c>
      <c r="B287" s="1" t="n">
        <v>45786.52931712963</v>
      </c>
      <c r="C287" s="1" t="n">
        <v>45901</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22399-2025</t>
        </is>
      </c>
      <c r="B288" s="1" t="n">
        <v>45786.52996527778</v>
      </c>
      <c r="C288" s="1" t="n">
        <v>45901</v>
      </c>
      <c r="D288" t="inlineStr">
        <is>
          <t>KALMAR LÄN</t>
        </is>
      </c>
      <c r="E288" t="inlineStr">
        <is>
          <t>VIMMERBY</t>
        </is>
      </c>
      <c r="G288" t="n">
        <v>2.1</v>
      </c>
      <c r="H288" t="n">
        <v>0</v>
      </c>
      <c r="I288" t="n">
        <v>0</v>
      </c>
      <c r="J288" t="n">
        <v>0</v>
      </c>
      <c r="K288" t="n">
        <v>0</v>
      </c>
      <c r="L288" t="n">
        <v>0</v>
      </c>
      <c r="M288" t="n">
        <v>0</v>
      </c>
      <c r="N288" t="n">
        <v>0</v>
      </c>
      <c r="O288" t="n">
        <v>0</v>
      </c>
      <c r="P288" t="n">
        <v>0</v>
      </c>
      <c r="Q288" t="n">
        <v>0</v>
      </c>
      <c r="R288" s="2" t="inlineStr"/>
    </row>
    <row r="289" ht="15" customHeight="1">
      <c r="A289" t="inlineStr">
        <is>
          <t>A 9416-2024</t>
        </is>
      </c>
      <c r="B289" s="1" t="n">
        <v>45359.44837962963</v>
      </c>
      <c r="C289" s="1" t="n">
        <v>45901</v>
      </c>
      <c r="D289" t="inlineStr">
        <is>
          <t>KALMAR LÄN</t>
        </is>
      </c>
      <c r="E289" t="inlineStr">
        <is>
          <t>VIMMERBY</t>
        </is>
      </c>
      <c r="G289" t="n">
        <v>3.2</v>
      </c>
      <c r="H289" t="n">
        <v>0</v>
      </c>
      <c r="I289" t="n">
        <v>0</v>
      </c>
      <c r="J289" t="n">
        <v>0</v>
      </c>
      <c r="K289" t="n">
        <v>0</v>
      </c>
      <c r="L289" t="n">
        <v>0</v>
      </c>
      <c r="M289" t="n">
        <v>0</v>
      </c>
      <c r="N289" t="n">
        <v>0</v>
      </c>
      <c r="O289" t="n">
        <v>0</v>
      </c>
      <c r="P289" t="n">
        <v>0</v>
      </c>
      <c r="Q289" t="n">
        <v>0</v>
      </c>
      <c r="R289" s="2" t="inlineStr"/>
    </row>
    <row r="290" ht="15" customHeight="1">
      <c r="A290" t="inlineStr">
        <is>
          <t>A 58318-2021</t>
        </is>
      </c>
      <c r="B290" s="1" t="n">
        <v>44488.35878472222</v>
      </c>
      <c r="C290" s="1" t="n">
        <v>45901</v>
      </c>
      <c r="D290" t="inlineStr">
        <is>
          <t>KALMAR LÄN</t>
        </is>
      </c>
      <c r="E290" t="inlineStr">
        <is>
          <t>VIMMERBY</t>
        </is>
      </c>
      <c r="G290" t="n">
        <v>4</v>
      </c>
      <c r="H290" t="n">
        <v>0</v>
      </c>
      <c r="I290" t="n">
        <v>0</v>
      </c>
      <c r="J290" t="n">
        <v>0</v>
      </c>
      <c r="K290" t="n">
        <v>0</v>
      </c>
      <c r="L290" t="n">
        <v>0</v>
      </c>
      <c r="M290" t="n">
        <v>0</v>
      </c>
      <c r="N290" t="n">
        <v>0</v>
      </c>
      <c r="O290" t="n">
        <v>0</v>
      </c>
      <c r="P290" t="n">
        <v>0</v>
      </c>
      <c r="Q290" t="n">
        <v>0</v>
      </c>
      <c r="R290" s="2" t="inlineStr"/>
    </row>
    <row r="291" ht="15" customHeight="1">
      <c r="A291" t="inlineStr">
        <is>
          <t>A 53083-2021</t>
        </is>
      </c>
      <c r="B291" s="1" t="n">
        <v>44467.83386574074</v>
      </c>
      <c r="C291" s="1" t="n">
        <v>45901</v>
      </c>
      <c r="D291" t="inlineStr">
        <is>
          <t>KALMAR LÄN</t>
        </is>
      </c>
      <c r="E291" t="inlineStr">
        <is>
          <t>VIMMERBY</t>
        </is>
      </c>
      <c r="G291" t="n">
        <v>6.8</v>
      </c>
      <c r="H291" t="n">
        <v>0</v>
      </c>
      <c r="I291" t="n">
        <v>0</v>
      </c>
      <c r="J291" t="n">
        <v>0</v>
      </c>
      <c r="K291" t="n">
        <v>0</v>
      </c>
      <c r="L291" t="n">
        <v>0</v>
      </c>
      <c r="M291" t="n">
        <v>0</v>
      </c>
      <c r="N291" t="n">
        <v>0</v>
      </c>
      <c r="O291" t="n">
        <v>0</v>
      </c>
      <c r="P291" t="n">
        <v>0</v>
      </c>
      <c r="Q291" t="n">
        <v>0</v>
      </c>
      <c r="R291" s="2" t="inlineStr"/>
    </row>
    <row r="292" ht="15" customHeight="1">
      <c r="A292" t="inlineStr">
        <is>
          <t>A 29173-2024</t>
        </is>
      </c>
      <c r="B292" s="1" t="n">
        <v>45482.52887731481</v>
      </c>
      <c r="C292" s="1" t="n">
        <v>45901</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11111-2024</t>
        </is>
      </c>
      <c r="B293" s="1" t="n">
        <v>45371.36359953704</v>
      </c>
      <c r="C293" s="1" t="n">
        <v>45901</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37187-2024</t>
        </is>
      </c>
      <c r="B294" s="1" t="n">
        <v>45539.65212962963</v>
      </c>
      <c r="C294" s="1" t="n">
        <v>45901</v>
      </c>
      <c r="D294" t="inlineStr">
        <is>
          <t>KALMAR LÄN</t>
        </is>
      </c>
      <c r="E294" t="inlineStr">
        <is>
          <t>VIMMERBY</t>
        </is>
      </c>
      <c r="G294" t="n">
        <v>2.7</v>
      </c>
      <c r="H294" t="n">
        <v>0</v>
      </c>
      <c r="I294" t="n">
        <v>0</v>
      </c>
      <c r="J294" t="n">
        <v>0</v>
      </c>
      <c r="K294" t="n">
        <v>0</v>
      </c>
      <c r="L294" t="n">
        <v>0</v>
      </c>
      <c r="M294" t="n">
        <v>0</v>
      </c>
      <c r="N294" t="n">
        <v>0</v>
      </c>
      <c r="O294" t="n">
        <v>0</v>
      </c>
      <c r="P294" t="n">
        <v>0</v>
      </c>
      <c r="Q294" t="n">
        <v>0</v>
      </c>
      <c r="R294" s="2" t="inlineStr"/>
    </row>
    <row r="295" ht="15" customHeight="1">
      <c r="A295" t="inlineStr">
        <is>
          <t>A 11141-2024</t>
        </is>
      </c>
      <c r="B295" s="1" t="n">
        <v>45371.45865740741</v>
      </c>
      <c r="C295" s="1" t="n">
        <v>45901</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9418-2024</t>
        </is>
      </c>
      <c r="B296" s="1" t="n">
        <v>45359.45038194444</v>
      </c>
      <c r="C296" s="1" t="n">
        <v>45901</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49313-2022</t>
        </is>
      </c>
      <c r="B297" s="1" t="n">
        <v>44861.52505787037</v>
      </c>
      <c r="C297" s="1" t="n">
        <v>45901</v>
      </c>
      <c r="D297" t="inlineStr">
        <is>
          <t>KALMAR LÄN</t>
        </is>
      </c>
      <c r="E297" t="inlineStr">
        <is>
          <t>VIMMERBY</t>
        </is>
      </c>
      <c r="G297" t="n">
        <v>1.9</v>
      </c>
      <c r="H297" t="n">
        <v>0</v>
      </c>
      <c r="I297" t="n">
        <v>0</v>
      </c>
      <c r="J297" t="n">
        <v>0</v>
      </c>
      <c r="K297" t="n">
        <v>0</v>
      </c>
      <c r="L297" t="n">
        <v>0</v>
      </c>
      <c r="M297" t="n">
        <v>0</v>
      </c>
      <c r="N297" t="n">
        <v>0</v>
      </c>
      <c r="O297" t="n">
        <v>0</v>
      </c>
      <c r="P297" t="n">
        <v>0</v>
      </c>
      <c r="Q297" t="n">
        <v>0</v>
      </c>
      <c r="R297" s="2" t="inlineStr"/>
    </row>
    <row r="298" ht="15" customHeight="1">
      <c r="A298" t="inlineStr">
        <is>
          <t>A 35998-2024</t>
        </is>
      </c>
      <c r="B298" s="1" t="n">
        <v>45533.54429398148</v>
      </c>
      <c r="C298" s="1" t="n">
        <v>45901</v>
      </c>
      <c r="D298" t="inlineStr">
        <is>
          <t>KALMAR LÄN</t>
        </is>
      </c>
      <c r="E298" t="inlineStr">
        <is>
          <t>VIMMERBY</t>
        </is>
      </c>
      <c r="G298" t="n">
        <v>8.6</v>
      </c>
      <c r="H298" t="n">
        <v>0</v>
      </c>
      <c r="I298" t="n">
        <v>0</v>
      </c>
      <c r="J298" t="n">
        <v>0</v>
      </c>
      <c r="K298" t="n">
        <v>0</v>
      </c>
      <c r="L298" t="n">
        <v>0</v>
      </c>
      <c r="M298" t="n">
        <v>0</v>
      </c>
      <c r="N298" t="n">
        <v>0</v>
      </c>
      <c r="O298" t="n">
        <v>0</v>
      </c>
      <c r="P298" t="n">
        <v>0</v>
      </c>
      <c r="Q298" t="n">
        <v>0</v>
      </c>
      <c r="R298" s="2" t="inlineStr"/>
    </row>
    <row r="299" ht="15" customHeight="1">
      <c r="A299" t="inlineStr">
        <is>
          <t>A 36040-2024</t>
        </is>
      </c>
      <c r="B299" s="1" t="n">
        <v>45533.60232638889</v>
      </c>
      <c r="C299" s="1" t="n">
        <v>45901</v>
      </c>
      <c r="D299" t="inlineStr">
        <is>
          <t>KALMAR LÄN</t>
        </is>
      </c>
      <c r="E299" t="inlineStr">
        <is>
          <t>VIMMERBY</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36043-2024</t>
        </is>
      </c>
      <c r="B300" s="1" t="n">
        <v>45533.60770833334</v>
      </c>
      <c r="C300" s="1" t="n">
        <v>45901</v>
      </c>
      <c r="D300" t="inlineStr">
        <is>
          <t>KALMAR LÄN</t>
        </is>
      </c>
      <c r="E300" t="inlineStr">
        <is>
          <t>VIMMERBY</t>
        </is>
      </c>
      <c r="F300" t="inlineStr">
        <is>
          <t>Kommuner</t>
        </is>
      </c>
      <c r="G300" t="n">
        <v>1.5</v>
      </c>
      <c r="H300" t="n">
        <v>0</v>
      </c>
      <c r="I300" t="n">
        <v>0</v>
      </c>
      <c r="J300" t="n">
        <v>0</v>
      </c>
      <c r="K300" t="n">
        <v>0</v>
      </c>
      <c r="L300" t="n">
        <v>0</v>
      </c>
      <c r="M300" t="n">
        <v>0</v>
      </c>
      <c r="N300" t="n">
        <v>0</v>
      </c>
      <c r="O300" t="n">
        <v>0</v>
      </c>
      <c r="P300" t="n">
        <v>0</v>
      </c>
      <c r="Q300" t="n">
        <v>0</v>
      </c>
      <c r="R300" s="2" t="inlineStr"/>
    </row>
    <row r="301" ht="15" customHeight="1">
      <c r="A301" t="inlineStr">
        <is>
          <t>A 22197-2024</t>
        </is>
      </c>
      <c r="B301" s="1" t="n">
        <v>45446.36774305555</v>
      </c>
      <c r="C301" s="1" t="n">
        <v>45901</v>
      </c>
      <c r="D301" t="inlineStr">
        <is>
          <t>KALMAR LÄN</t>
        </is>
      </c>
      <c r="E301" t="inlineStr">
        <is>
          <t>VIMMERBY</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35710-2023</t>
        </is>
      </c>
      <c r="B302" s="1" t="n">
        <v>45147.67096064815</v>
      </c>
      <c r="C302" s="1" t="n">
        <v>45901</v>
      </c>
      <c r="D302" t="inlineStr">
        <is>
          <t>KALMAR LÄN</t>
        </is>
      </c>
      <c r="E302" t="inlineStr">
        <is>
          <t>VIMMERBY</t>
        </is>
      </c>
      <c r="G302" t="n">
        <v>3.1</v>
      </c>
      <c r="H302" t="n">
        <v>0</v>
      </c>
      <c r="I302" t="n">
        <v>0</v>
      </c>
      <c r="J302" t="n">
        <v>0</v>
      </c>
      <c r="K302" t="n">
        <v>0</v>
      </c>
      <c r="L302" t="n">
        <v>0</v>
      </c>
      <c r="M302" t="n">
        <v>0</v>
      </c>
      <c r="N302" t="n">
        <v>0</v>
      </c>
      <c r="O302" t="n">
        <v>0</v>
      </c>
      <c r="P302" t="n">
        <v>0</v>
      </c>
      <c r="Q302" t="n">
        <v>0</v>
      </c>
      <c r="R302" s="2" t="inlineStr"/>
    </row>
    <row r="303" ht="15" customHeight="1">
      <c r="A303" t="inlineStr">
        <is>
          <t>A 35711-2023</t>
        </is>
      </c>
      <c r="B303" s="1" t="n">
        <v>45147.67172453704</v>
      </c>
      <c r="C303" s="1" t="n">
        <v>45901</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22397-2025</t>
        </is>
      </c>
      <c r="B304" s="1" t="n">
        <v>45786.52878472222</v>
      </c>
      <c r="C304" s="1" t="n">
        <v>45901</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12630-2023</t>
        </is>
      </c>
      <c r="B305" s="1" t="n">
        <v>45000.47998842593</v>
      </c>
      <c r="C305" s="1" t="n">
        <v>45901</v>
      </c>
      <c r="D305" t="inlineStr">
        <is>
          <t>KALMAR LÄN</t>
        </is>
      </c>
      <c r="E305" t="inlineStr">
        <is>
          <t>VIMMERBY</t>
        </is>
      </c>
      <c r="G305" t="n">
        <v>2.1</v>
      </c>
      <c r="H305" t="n">
        <v>0</v>
      </c>
      <c r="I305" t="n">
        <v>0</v>
      </c>
      <c r="J305" t="n">
        <v>0</v>
      </c>
      <c r="K305" t="n">
        <v>0</v>
      </c>
      <c r="L305" t="n">
        <v>0</v>
      </c>
      <c r="M305" t="n">
        <v>0</v>
      </c>
      <c r="N305" t="n">
        <v>0</v>
      </c>
      <c r="O305" t="n">
        <v>0</v>
      </c>
      <c r="P305" t="n">
        <v>0</v>
      </c>
      <c r="Q305" t="n">
        <v>0</v>
      </c>
      <c r="R305" s="2" t="inlineStr"/>
    </row>
    <row r="306" ht="15" customHeight="1">
      <c r="A306" t="inlineStr">
        <is>
          <t>A 39584-2024</t>
        </is>
      </c>
      <c r="B306" s="1" t="n">
        <v>45552.36759259259</v>
      </c>
      <c r="C306" s="1" t="n">
        <v>45901</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27705-2023</t>
        </is>
      </c>
      <c r="B307" s="1" t="n">
        <v>45098.30535879629</v>
      </c>
      <c r="C307" s="1" t="n">
        <v>45901</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31013-2023</t>
        </is>
      </c>
      <c r="B308" s="1" t="n">
        <v>45113.56574074074</v>
      </c>
      <c r="C308" s="1" t="n">
        <v>45901</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15388-2025</t>
        </is>
      </c>
      <c r="B309" s="1" t="n">
        <v>45747.42633101852</v>
      </c>
      <c r="C309" s="1" t="n">
        <v>45901</v>
      </c>
      <c r="D309" t="inlineStr">
        <is>
          <t>KALMAR LÄN</t>
        </is>
      </c>
      <c r="E309" t="inlineStr">
        <is>
          <t>VIMMERBY</t>
        </is>
      </c>
      <c r="G309" t="n">
        <v>1.3</v>
      </c>
      <c r="H309" t="n">
        <v>0</v>
      </c>
      <c r="I309" t="n">
        <v>0</v>
      </c>
      <c r="J309" t="n">
        <v>0</v>
      </c>
      <c r="K309" t="n">
        <v>0</v>
      </c>
      <c r="L309" t="n">
        <v>0</v>
      </c>
      <c r="M309" t="n">
        <v>0</v>
      </c>
      <c r="N309" t="n">
        <v>0</v>
      </c>
      <c r="O309" t="n">
        <v>0</v>
      </c>
      <c r="P309" t="n">
        <v>0</v>
      </c>
      <c r="Q309" t="n">
        <v>0</v>
      </c>
      <c r="R309" s="2" t="inlineStr"/>
    </row>
    <row r="310" ht="15" customHeight="1">
      <c r="A310" t="inlineStr">
        <is>
          <t>A 15391-2025</t>
        </is>
      </c>
      <c r="B310" s="1" t="n">
        <v>45747.42958333333</v>
      </c>
      <c r="C310" s="1" t="n">
        <v>45901</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11303-2025</t>
        </is>
      </c>
      <c r="B311" s="1" t="n">
        <v>45726.44471064815</v>
      </c>
      <c r="C311" s="1" t="n">
        <v>45901</v>
      </c>
      <c r="D311" t="inlineStr">
        <is>
          <t>KALMAR LÄN</t>
        </is>
      </c>
      <c r="E311" t="inlineStr">
        <is>
          <t>VIMMERBY</t>
        </is>
      </c>
      <c r="G311" t="n">
        <v>2.1</v>
      </c>
      <c r="H311" t="n">
        <v>0</v>
      </c>
      <c r="I311" t="n">
        <v>0</v>
      </c>
      <c r="J311" t="n">
        <v>0</v>
      </c>
      <c r="K311" t="n">
        <v>0</v>
      </c>
      <c r="L311" t="n">
        <v>0</v>
      </c>
      <c r="M311" t="n">
        <v>0</v>
      </c>
      <c r="N311" t="n">
        <v>0</v>
      </c>
      <c r="O311" t="n">
        <v>0</v>
      </c>
      <c r="P311" t="n">
        <v>0</v>
      </c>
      <c r="Q311" t="n">
        <v>0</v>
      </c>
      <c r="R311" s="2" t="inlineStr"/>
    </row>
    <row r="312" ht="15" customHeight="1">
      <c r="A312" t="inlineStr">
        <is>
          <t>A 11442-2025</t>
        </is>
      </c>
      <c r="B312" s="1" t="n">
        <v>45726.62721064815</v>
      </c>
      <c r="C312" s="1" t="n">
        <v>45901</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6307-2025</t>
        </is>
      </c>
      <c r="B313" s="1" t="n">
        <v>45698.69016203703</v>
      </c>
      <c r="C313" s="1" t="n">
        <v>45901</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34588-2024</t>
        </is>
      </c>
      <c r="B314" s="1" t="n">
        <v>45526.3865625</v>
      </c>
      <c r="C314" s="1" t="n">
        <v>45901</v>
      </c>
      <c r="D314" t="inlineStr">
        <is>
          <t>KALMAR LÄN</t>
        </is>
      </c>
      <c r="E314" t="inlineStr">
        <is>
          <t>VIMMERBY</t>
        </is>
      </c>
      <c r="F314" t="inlineStr">
        <is>
          <t>Övriga Aktiebolag</t>
        </is>
      </c>
      <c r="G314" t="n">
        <v>3.3</v>
      </c>
      <c r="H314" t="n">
        <v>0</v>
      </c>
      <c r="I314" t="n">
        <v>0</v>
      </c>
      <c r="J314" t="n">
        <v>0</v>
      </c>
      <c r="K314" t="n">
        <v>0</v>
      </c>
      <c r="L314" t="n">
        <v>0</v>
      </c>
      <c r="M314" t="n">
        <v>0</v>
      </c>
      <c r="N314" t="n">
        <v>0</v>
      </c>
      <c r="O314" t="n">
        <v>0</v>
      </c>
      <c r="P314" t="n">
        <v>0</v>
      </c>
      <c r="Q314" t="n">
        <v>0</v>
      </c>
      <c r="R314" s="2" t="inlineStr"/>
    </row>
    <row r="315" ht="15" customHeight="1">
      <c r="A315" t="inlineStr">
        <is>
          <t>A 33352-2022</t>
        </is>
      </c>
      <c r="B315" s="1" t="n">
        <v>44788</v>
      </c>
      <c r="C315" s="1" t="n">
        <v>45901</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56659-2023</t>
        </is>
      </c>
      <c r="B316" s="1" t="n">
        <v>45243.84869212963</v>
      </c>
      <c r="C316" s="1" t="n">
        <v>45901</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46234-2024</t>
        </is>
      </c>
      <c r="B317" s="1" t="n">
        <v>45581.57958333333</v>
      </c>
      <c r="C317" s="1" t="n">
        <v>45901</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39053-2024</t>
        </is>
      </c>
      <c r="B318" s="1" t="n">
        <v>45548</v>
      </c>
      <c r="C318" s="1" t="n">
        <v>45901</v>
      </c>
      <c r="D318" t="inlineStr">
        <is>
          <t>KALMAR LÄN</t>
        </is>
      </c>
      <c r="E318" t="inlineStr">
        <is>
          <t>VIMMERBY</t>
        </is>
      </c>
      <c r="G318" t="n">
        <v>5</v>
      </c>
      <c r="H318" t="n">
        <v>0</v>
      </c>
      <c r="I318" t="n">
        <v>0</v>
      </c>
      <c r="J318" t="n">
        <v>0</v>
      </c>
      <c r="K318" t="n">
        <v>0</v>
      </c>
      <c r="L318" t="n">
        <v>0</v>
      </c>
      <c r="M318" t="n">
        <v>0</v>
      </c>
      <c r="N318" t="n">
        <v>0</v>
      </c>
      <c r="O318" t="n">
        <v>0</v>
      </c>
      <c r="P318" t="n">
        <v>0</v>
      </c>
      <c r="Q318" t="n">
        <v>0</v>
      </c>
      <c r="R318" s="2" t="inlineStr"/>
    </row>
    <row r="319" ht="15" customHeight="1">
      <c r="A319" t="inlineStr">
        <is>
          <t>A 15449-2023</t>
        </is>
      </c>
      <c r="B319" s="1" t="n">
        <v>45020</v>
      </c>
      <c r="C319" s="1" t="n">
        <v>45901</v>
      </c>
      <c r="D319" t="inlineStr">
        <is>
          <t>KALMAR LÄN</t>
        </is>
      </c>
      <c r="E319" t="inlineStr">
        <is>
          <t>VIMMERBY</t>
        </is>
      </c>
      <c r="G319" t="n">
        <v>0.5</v>
      </c>
      <c r="H319" t="n">
        <v>0</v>
      </c>
      <c r="I319" t="n">
        <v>0</v>
      </c>
      <c r="J319" t="n">
        <v>0</v>
      </c>
      <c r="K319" t="n">
        <v>0</v>
      </c>
      <c r="L319" t="n">
        <v>0</v>
      </c>
      <c r="M319" t="n">
        <v>0</v>
      </c>
      <c r="N319" t="n">
        <v>0</v>
      </c>
      <c r="O319" t="n">
        <v>0</v>
      </c>
      <c r="P319" t="n">
        <v>0</v>
      </c>
      <c r="Q319" t="n">
        <v>0</v>
      </c>
      <c r="R319" s="2" t="inlineStr"/>
    </row>
    <row r="320" ht="15" customHeight="1">
      <c r="A320" t="inlineStr">
        <is>
          <t>A 43594-2024</t>
        </is>
      </c>
      <c r="B320" s="1" t="n">
        <v>45569.44295138889</v>
      </c>
      <c r="C320" s="1" t="n">
        <v>45901</v>
      </c>
      <c r="D320" t="inlineStr">
        <is>
          <t>KALMAR LÄN</t>
        </is>
      </c>
      <c r="E320" t="inlineStr">
        <is>
          <t>VIMMERBY</t>
        </is>
      </c>
      <c r="G320" t="n">
        <v>3.9</v>
      </c>
      <c r="H320" t="n">
        <v>0</v>
      </c>
      <c r="I320" t="n">
        <v>0</v>
      </c>
      <c r="J320" t="n">
        <v>0</v>
      </c>
      <c r="K320" t="n">
        <v>0</v>
      </c>
      <c r="L320" t="n">
        <v>0</v>
      </c>
      <c r="M320" t="n">
        <v>0</v>
      </c>
      <c r="N320" t="n">
        <v>0</v>
      </c>
      <c r="O320" t="n">
        <v>0</v>
      </c>
      <c r="P320" t="n">
        <v>0</v>
      </c>
      <c r="Q320" t="n">
        <v>0</v>
      </c>
      <c r="R320" s="2" t="inlineStr"/>
    </row>
    <row r="321" ht="15" customHeight="1">
      <c r="A321" t="inlineStr">
        <is>
          <t>A 17486-2024</t>
        </is>
      </c>
      <c r="B321" s="1" t="n">
        <v>45415.48979166667</v>
      </c>
      <c r="C321" s="1" t="n">
        <v>45901</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14248-2023</t>
        </is>
      </c>
      <c r="B322" s="1" t="n">
        <v>45009</v>
      </c>
      <c r="C322" s="1" t="n">
        <v>45901</v>
      </c>
      <c r="D322" t="inlineStr">
        <is>
          <t>KALMAR LÄN</t>
        </is>
      </c>
      <c r="E322" t="inlineStr">
        <is>
          <t>VIMMERBY</t>
        </is>
      </c>
      <c r="G322" t="n">
        <v>2.6</v>
      </c>
      <c r="H322" t="n">
        <v>0</v>
      </c>
      <c r="I322" t="n">
        <v>0</v>
      </c>
      <c r="J322" t="n">
        <v>0</v>
      </c>
      <c r="K322" t="n">
        <v>0</v>
      </c>
      <c r="L322" t="n">
        <v>0</v>
      </c>
      <c r="M322" t="n">
        <v>0</v>
      </c>
      <c r="N322" t="n">
        <v>0</v>
      </c>
      <c r="O322" t="n">
        <v>0</v>
      </c>
      <c r="P322" t="n">
        <v>0</v>
      </c>
      <c r="Q322" t="n">
        <v>0</v>
      </c>
      <c r="R322" s="2" t="inlineStr"/>
    </row>
    <row r="323" ht="15" customHeight="1">
      <c r="A323" t="inlineStr">
        <is>
          <t>A 23394-2025</t>
        </is>
      </c>
      <c r="B323" s="1" t="n">
        <v>45791.89865740741</v>
      </c>
      <c r="C323" s="1" t="n">
        <v>45901</v>
      </c>
      <c r="D323" t="inlineStr">
        <is>
          <t>KALMAR LÄN</t>
        </is>
      </c>
      <c r="E323" t="inlineStr">
        <is>
          <t>VIMMERBY</t>
        </is>
      </c>
      <c r="G323" t="n">
        <v>3.1</v>
      </c>
      <c r="H323" t="n">
        <v>0</v>
      </c>
      <c r="I323" t="n">
        <v>0</v>
      </c>
      <c r="J323" t="n">
        <v>0</v>
      </c>
      <c r="K323" t="n">
        <v>0</v>
      </c>
      <c r="L323" t="n">
        <v>0</v>
      </c>
      <c r="M323" t="n">
        <v>0</v>
      </c>
      <c r="N323" t="n">
        <v>0</v>
      </c>
      <c r="O323" t="n">
        <v>0</v>
      </c>
      <c r="P323" t="n">
        <v>0</v>
      </c>
      <c r="Q323" t="n">
        <v>0</v>
      </c>
      <c r="R323" s="2" t="inlineStr"/>
    </row>
    <row r="324" ht="15" customHeight="1">
      <c r="A324" t="inlineStr">
        <is>
          <t>A 30400-2023</t>
        </is>
      </c>
      <c r="B324" s="1" t="n">
        <v>45111.48225694444</v>
      </c>
      <c r="C324" s="1" t="n">
        <v>45901</v>
      </c>
      <c r="D324" t="inlineStr">
        <is>
          <t>KALMAR LÄN</t>
        </is>
      </c>
      <c r="E324" t="inlineStr">
        <is>
          <t>VIMMERBY</t>
        </is>
      </c>
      <c r="G324" t="n">
        <v>2.7</v>
      </c>
      <c r="H324" t="n">
        <v>0</v>
      </c>
      <c r="I324" t="n">
        <v>0</v>
      </c>
      <c r="J324" t="n">
        <v>0</v>
      </c>
      <c r="K324" t="n">
        <v>0</v>
      </c>
      <c r="L324" t="n">
        <v>0</v>
      </c>
      <c r="M324" t="n">
        <v>0</v>
      </c>
      <c r="N324" t="n">
        <v>0</v>
      </c>
      <c r="O324" t="n">
        <v>0</v>
      </c>
      <c r="P324" t="n">
        <v>0</v>
      </c>
      <c r="Q324" t="n">
        <v>0</v>
      </c>
      <c r="R324" s="2" t="inlineStr"/>
    </row>
    <row r="325" ht="15" customHeight="1">
      <c r="A325" t="inlineStr">
        <is>
          <t>A 30404-2023</t>
        </is>
      </c>
      <c r="B325" s="1" t="n">
        <v>45111.48636574074</v>
      </c>
      <c r="C325" s="1" t="n">
        <v>45901</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55123-2024</t>
        </is>
      </c>
      <c r="B326" s="1" t="n">
        <v>45621.46103009259</v>
      </c>
      <c r="C326" s="1" t="n">
        <v>45901</v>
      </c>
      <c r="D326" t="inlineStr">
        <is>
          <t>KALMAR LÄN</t>
        </is>
      </c>
      <c r="E326" t="inlineStr">
        <is>
          <t>VIMMERBY</t>
        </is>
      </c>
      <c r="G326" t="n">
        <v>3.1</v>
      </c>
      <c r="H326" t="n">
        <v>0</v>
      </c>
      <c r="I326" t="n">
        <v>0</v>
      </c>
      <c r="J326" t="n">
        <v>0</v>
      </c>
      <c r="K326" t="n">
        <v>0</v>
      </c>
      <c r="L326" t="n">
        <v>0</v>
      </c>
      <c r="M326" t="n">
        <v>0</v>
      </c>
      <c r="N326" t="n">
        <v>0</v>
      </c>
      <c r="O326" t="n">
        <v>0</v>
      </c>
      <c r="P326" t="n">
        <v>0</v>
      </c>
      <c r="Q326" t="n">
        <v>0</v>
      </c>
      <c r="R326" s="2" t="inlineStr"/>
    </row>
    <row r="327" ht="15" customHeight="1">
      <c r="A327" t="inlineStr">
        <is>
          <t>A 31405-2023</t>
        </is>
      </c>
      <c r="B327" s="1" t="n">
        <v>45114.58148148148</v>
      </c>
      <c r="C327" s="1" t="n">
        <v>45901</v>
      </c>
      <c r="D327" t="inlineStr">
        <is>
          <t>KALMAR LÄN</t>
        </is>
      </c>
      <c r="E327" t="inlineStr">
        <is>
          <t>VIMMERBY</t>
        </is>
      </c>
      <c r="G327" t="n">
        <v>2.6</v>
      </c>
      <c r="H327" t="n">
        <v>0</v>
      </c>
      <c r="I327" t="n">
        <v>0</v>
      </c>
      <c r="J327" t="n">
        <v>0</v>
      </c>
      <c r="K327" t="n">
        <v>0</v>
      </c>
      <c r="L327" t="n">
        <v>0</v>
      </c>
      <c r="M327" t="n">
        <v>0</v>
      </c>
      <c r="N327" t="n">
        <v>0</v>
      </c>
      <c r="O327" t="n">
        <v>0</v>
      </c>
      <c r="P327" t="n">
        <v>0</v>
      </c>
      <c r="Q327" t="n">
        <v>0</v>
      </c>
      <c r="R327" s="2" t="inlineStr"/>
    </row>
    <row r="328" ht="15" customHeight="1">
      <c r="A328" t="inlineStr">
        <is>
          <t>A 24707-2024</t>
        </is>
      </c>
      <c r="B328" s="1" t="n">
        <v>45460.62172453704</v>
      </c>
      <c r="C328" s="1" t="n">
        <v>45901</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36049-2024</t>
        </is>
      </c>
      <c r="B329" s="1" t="n">
        <v>45533.61996527778</v>
      </c>
      <c r="C329" s="1" t="n">
        <v>45901</v>
      </c>
      <c r="D329" t="inlineStr">
        <is>
          <t>KALMAR LÄN</t>
        </is>
      </c>
      <c r="E329" t="inlineStr">
        <is>
          <t>VIMMERBY</t>
        </is>
      </c>
      <c r="F329" t="inlineStr">
        <is>
          <t>Kommuner</t>
        </is>
      </c>
      <c r="G329" t="n">
        <v>2.6</v>
      </c>
      <c r="H329" t="n">
        <v>0</v>
      </c>
      <c r="I329" t="n">
        <v>0</v>
      </c>
      <c r="J329" t="n">
        <v>0</v>
      </c>
      <c r="K329" t="n">
        <v>0</v>
      </c>
      <c r="L329" t="n">
        <v>0</v>
      </c>
      <c r="M329" t="n">
        <v>0</v>
      </c>
      <c r="N329" t="n">
        <v>0</v>
      </c>
      <c r="O329" t="n">
        <v>0</v>
      </c>
      <c r="P329" t="n">
        <v>0</v>
      </c>
      <c r="Q329" t="n">
        <v>0</v>
      </c>
      <c r="R329" s="2" t="inlineStr"/>
    </row>
    <row r="330" ht="15" customHeight="1">
      <c r="A330" t="inlineStr">
        <is>
          <t>A 43998-2020</t>
        </is>
      </c>
      <c r="B330" s="1" t="n">
        <v>44083</v>
      </c>
      <c r="C330" s="1" t="n">
        <v>45901</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3331-2023</t>
        </is>
      </c>
      <c r="B331" s="1" t="n">
        <v>44949</v>
      </c>
      <c r="C331" s="1" t="n">
        <v>45901</v>
      </c>
      <c r="D331" t="inlineStr">
        <is>
          <t>KALMAR LÄN</t>
        </is>
      </c>
      <c r="E331" t="inlineStr">
        <is>
          <t>VIMMERBY</t>
        </is>
      </c>
      <c r="G331" t="n">
        <v>6.2</v>
      </c>
      <c r="H331" t="n">
        <v>0</v>
      </c>
      <c r="I331" t="n">
        <v>0</v>
      </c>
      <c r="J331" t="n">
        <v>0</v>
      </c>
      <c r="K331" t="n">
        <v>0</v>
      </c>
      <c r="L331" t="n">
        <v>0</v>
      </c>
      <c r="M331" t="n">
        <v>0</v>
      </c>
      <c r="N331" t="n">
        <v>0</v>
      </c>
      <c r="O331" t="n">
        <v>0</v>
      </c>
      <c r="P331" t="n">
        <v>0</v>
      </c>
      <c r="Q331" t="n">
        <v>0</v>
      </c>
      <c r="R331" s="2" t="inlineStr"/>
    </row>
    <row r="332" ht="15" customHeight="1">
      <c r="A332" t="inlineStr">
        <is>
          <t>A 40828-2023</t>
        </is>
      </c>
      <c r="B332" s="1" t="n">
        <v>45171.96248842592</v>
      </c>
      <c r="C332" s="1" t="n">
        <v>45901</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58159-2024</t>
        </is>
      </c>
      <c r="B333" s="1" t="n">
        <v>45632.44886574074</v>
      </c>
      <c r="C333" s="1" t="n">
        <v>45901</v>
      </c>
      <c r="D333" t="inlineStr">
        <is>
          <t>KALMAR LÄN</t>
        </is>
      </c>
      <c r="E333" t="inlineStr">
        <is>
          <t>VIMMERBY</t>
        </is>
      </c>
      <c r="G333" t="n">
        <v>7.5</v>
      </c>
      <c r="H333" t="n">
        <v>0</v>
      </c>
      <c r="I333" t="n">
        <v>0</v>
      </c>
      <c r="J333" t="n">
        <v>0</v>
      </c>
      <c r="K333" t="n">
        <v>0</v>
      </c>
      <c r="L333" t="n">
        <v>0</v>
      </c>
      <c r="M333" t="n">
        <v>0</v>
      </c>
      <c r="N333" t="n">
        <v>0</v>
      </c>
      <c r="O333" t="n">
        <v>0</v>
      </c>
      <c r="P333" t="n">
        <v>0</v>
      </c>
      <c r="Q333" t="n">
        <v>0</v>
      </c>
      <c r="R333" s="2" t="inlineStr"/>
    </row>
    <row r="334" ht="15" customHeight="1">
      <c r="A334" t="inlineStr">
        <is>
          <t>A 16734-2023</t>
        </is>
      </c>
      <c r="B334" s="1" t="n">
        <v>45030.71012731481</v>
      </c>
      <c r="C334" s="1" t="n">
        <v>45901</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14359-2025</t>
        </is>
      </c>
      <c r="B335" s="1" t="n">
        <v>45741.37270833334</v>
      </c>
      <c r="C335" s="1" t="n">
        <v>45901</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23984-2025</t>
        </is>
      </c>
      <c r="B336" s="1" t="n">
        <v>45796</v>
      </c>
      <c r="C336" s="1" t="n">
        <v>45901</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64143-2021</t>
        </is>
      </c>
      <c r="B337" s="1" t="n">
        <v>44510.52157407408</v>
      </c>
      <c r="C337" s="1" t="n">
        <v>45901</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9720-2023</t>
        </is>
      </c>
      <c r="B338" s="1" t="n">
        <v>44984</v>
      </c>
      <c r="C338" s="1" t="n">
        <v>45901</v>
      </c>
      <c r="D338" t="inlineStr">
        <is>
          <t>KALMAR LÄN</t>
        </is>
      </c>
      <c r="E338" t="inlineStr">
        <is>
          <t>VIMMERBY</t>
        </is>
      </c>
      <c r="G338" t="n">
        <v>4.4</v>
      </c>
      <c r="H338" t="n">
        <v>0</v>
      </c>
      <c r="I338" t="n">
        <v>0</v>
      </c>
      <c r="J338" t="n">
        <v>0</v>
      </c>
      <c r="K338" t="n">
        <v>0</v>
      </c>
      <c r="L338" t="n">
        <v>0</v>
      </c>
      <c r="M338" t="n">
        <v>0</v>
      </c>
      <c r="N338" t="n">
        <v>0</v>
      </c>
      <c r="O338" t="n">
        <v>0</v>
      </c>
      <c r="P338" t="n">
        <v>0</v>
      </c>
      <c r="Q338" t="n">
        <v>0</v>
      </c>
      <c r="R338" s="2" t="inlineStr"/>
    </row>
    <row r="339" ht="15" customHeight="1">
      <c r="A339" t="inlineStr">
        <is>
          <t>A 5938-2022</t>
        </is>
      </c>
      <c r="B339" s="1" t="n">
        <v>44598</v>
      </c>
      <c r="C339" s="1" t="n">
        <v>45901</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1687-2023</t>
        </is>
      </c>
      <c r="B340" s="1" t="n">
        <v>44938</v>
      </c>
      <c r="C340" s="1" t="n">
        <v>45901</v>
      </c>
      <c r="D340" t="inlineStr">
        <is>
          <t>KALMAR LÄN</t>
        </is>
      </c>
      <c r="E340" t="inlineStr">
        <is>
          <t>VIMMERBY</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29440-2024</t>
        </is>
      </c>
      <c r="B341" s="1" t="n">
        <v>45483.82479166667</v>
      </c>
      <c r="C341" s="1" t="n">
        <v>45901</v>
      </c>
      <c r="D341" t="inlineStr">
        <is>
          <t>KALMAR LÄN</t>
        </is>
      </c>
      <c r="E341" t="inlineStr">
        <is>
          <t>VIMMERBY</t>
        </is>
      </c>
      <c r="G341" t="n">
        <v>4.5</v>
      </c>
      <c r="H341" t="n">
        <v>0</v>
      </c>
      <c r="I341" t="n">
        <v>0</v>
      </c>
      <c r="J341" t="n">
        <v>0</v>
      </c>
      <c r="K341" t="n">
        <v>0</v>
      </c>
      <c r="L341" t="n">
        <v>0</v>
      </c>
      <c r="M341" t="n">
        <v>0</v>
      </c>
      <c r="N341" t="n">
        <v>0</v>
      </c>
      <c r="O341" t="n">
        <v>0</v>
      </c>
      <c r="P341" t="n">
        <v>0</v>
      </c>
      <c r="Q341" t="n">
        <v>0</v>
      </c>
      <c r="R341" s="2" t="inlineStr"/>
    </row>
    <row r="342" ht="15" customHeight="1">
      <c r="A342" t="inlineStr">
        <is>
          <t>A 30921-2024</t>
        </is>
      </c>
      <c r="B342" s="1" t="n">
        <v>45498</v>
      </c>
      <c r="C342" s="1" t="n">
        <v>45901</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39578-2024</t>
        </is>
      </c>
      <c r="B343" s="1" t="n">
        <v>45552.36484953704</v>
      </c>
      <c r="C343" s="1" t="n">
        <v>45901</v>
      </c>
      <c r="D343" t="inlineStr">
        <is>
          <t>KALMAR LÄN</t>
        </is>
      </c>
      <c r="E343" t="inlineStr">
        <is>
          <t>VIMMERBY</t>
        </is>
      </c>
      <c r="G343" t="n">
        <v>1.5</v>
      </c>
      <c r="H343" t="n">
        <v>0</v>
      </c>
      <c r="I343" t="n">
        <v>0</v>
      </c>
      <c r="J343" t="n">
        <v>0</v>
      </c>
      <c r="K343" t="n">
        <v>0</v>
      </c>
      <c r="L343" t="n">
        <v>0</v>
      </c>
      <c r="M343" t="n">
        <v>0</v>
      </c>
      <c r="N343" t="n">
        <v>0</v>
      </c>
      <c r="O343" t="n">
        <v>0</v>
      </c>
      <c r="P343" t="n">
        <v>0</v>
      </c>
      <c r="Q343" t="n">
        <v>0</v>
      </c>
      <c r="R343" s="2" t="inlineStr"/>
    </row>
    <row r="344" ht="15" customHeight="1">
      <c r="A344" t="inlineStr">
        <is>
          <t>A 53482-2022</t>
        </is>
      </c>
      <c r="B344" s="1" t="n">
        <v>44879</v>
      </c>
      <c r="C344" s="1" t="n">
        <v>45901</v>
      </c>
      <c r="D344" t="inlineStr">
        <is>
          <t>KALMAR LÄN</t>
        </is>
      </c>
      <c r="E344" t="inlineStr">
        <is>
          <t>VIMMERBY</t>
        </is>
      </c>
      <c r="G344" t="n">
        <v>10.1</v>
      </c>
      <c r="H344" t="n">
        <v>0</v>
      </c>
      <c r="I344" t="n">
        <v>0</v>
      </c>
      <c r="J344" t="n">
        <v>0</v>
      </c>
      <c r="K344" t="n">
        <v>0</v>
      </c>
      <c r="L344" t="n">
        <v>0</v>
      </c>
      <c r="M344" t="n">
        <v>0</v>
      </c>
      <c r="N344" t="n">
        <v>0</v>
      </c>
      <c r="O344" t="n">
        <v>0</v>
      </c>
      <c r="P344" t="n">
        <v>0</v>
      </c>
      <c r="Q344" t="n">
        <v>0</v>
      </c>
      <c r="R344" s="2" t="inlineStr"/>
    </row>
    <row r="345" ht="15" customHeight="1">
      <c r="A345" t="inlineStr">
        <is>
          <t>A 62779-2023</t>
        </is>
      </c>
      <c r="B345" s="1" t="n">
        <v>45271.66576388889</v>
      </c>
      <c r="C345" s="1" t="n">
        <v>45901</v>
      </c>
      <c r="D345" t="inlineStr">
        <is>
          <t>KALMAR LÄN</t>
        </is>
      </c>
      <c r="E345" t="inlineStr">
        <is>
          <t>VIMMERBY</t>
        </is>
      </c>
      <c r="G345" t="n">
        <v>1.1</v>
      </c>
      <c r="H345" t="n">
        <v>0</v>
      </c>
      <c r="I345" t="n">
        <v>0</v>
      </c>
      <c r="J345" t="n">
        <v>0</v>
      </c>
      <c r="K345" t="n">
        <v>0</v>
      </c>
      <c r="L345" t="n">
        <v>0</v>
      </c>
      <c r="M345" t="n">
        <v>0</v>
      </c>
      <c r="N345" t="n">
        <v>0</v>
      </c>
      <c r="O345" t="n">
        <v>0</v>
      </c>
      <c r="P345" t="n">
        <v>0</v>
      </c>
      <c r="Q345" t="n">
        <v>0</v>
      </c>
      <c r="R345" s="2" t="inlineStr"/>
    </row>
    <row r="346" ht="15" customHeight="1">
      <c r="A346" t="inlineStr">
        <is>
          <t>A 29180-2024</t>
        </is>
      </c>
      <c r="B346" s="1" t="n">
        <v>45482.54108796296</v>
      </c>
      <c r="C346" s="1" t="n">
        <v>45901</v>
      </c>
      <c r="D346" t="inlineStr">
        <is>
          <t>KALMAR LÄN</t>
        </is>
      </c>
      <c r="E346" t="inlineStr">
        <is>
          <t>VIMMERBY</t>
        </is>
      </c>
      <c r="G346" t="n">
        <v>3.8</v>
      </c>
      <c r="H346" t="n">
        <v>0</v>
      </c>
      <c r="I346" t="n">
        <v>0</v>
      </c>
      <c r="J346" t="n">
        <v>0</v>
      </c>
      <c r="K346" t="n">
        <v>0</v>
      </c>
      <c r="L346" t="n">
        <v>0</v>
      </c>
      <c r="M346" t="n">
        <v>0</v>
      </c>
      <c r="N346" t="n">
        <v>0</v>
      </c>
      <c r="O346" t="n">
        <v>0</v>
      </c>
      <c r="P346" t="n">
        <v>0</v>
      </c>
      <c r="Q346" t="n">
        <v>0</v>
      </c>
      <c r="R346" s="2" t="inlineStr"/>
    </row>
    <row r="347" ht="15" customHeight="1">
      <c r="A347" t="inlineStr">
        <is>
          <t>A 46399-2024</t>
        </is>
      </c>
      <c r="B347" s="1" t="n">
        <v>45582.41200231481</v>
      </c>
      <c r="C347" s="1" t="n">
        <v>45901</v>
      </c>
      <c r="D347" t="inlineStr">
        <is>
          <t>KALMAR LÄN</t>
        </is>
      </c>
      <c r="E347" t="inlineStr">
        <is>
          <t>VIMMERBY</t>
        </is>
      </c>
      <c r="G347" t="n">
        <v>4.6</v>
      </c>
      <c r="H347" t="n">
        <v>0</v>
      </c>
      <c r="I347" t="n">
        <v>0</v>
      </c>
      <c r="J347" t="n">
        <v>0</v>
      </c>
      <c r="K347" t="n">
        <v>0</v>
      </c>
      <c r="L347" t="n">
        <v>0</v>
      </c>
      <c r="M347" t="n">
        <v>0</v>
      </c>
      <c r="N347" t="n">
        <v>0</v>
      </c>
      <c r="O347" t="n">
        <v>0</v>
      </c>
      <c r="P347" t="n">
        <v>0</v>
      </c>
      <c r="Q347" t="n">
        <v>0</v>
      </c>
      <c r="R347" s="2" t="inlineStr"/>
    </row>
    <row r="348" ht="15" customHeight="1">
      <c r="A348" t="inlineStr">
        <is>
          <t>A 51278-2024</t>
        </is>
      </c>
      <c r="B348" s="1" t="n">
        <v>45603.74959490741</v>
      </c>
      <c r="C348" s="1" t="n">
        <v>45901</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29783-2024</t>
        </is>
      </c>
      <c r="B349" s="1" t="n">
        <v>45485.45778935185</v>
      </c>
      <c r="C349" s="1" t="n">
        <v>45901</v>
      </c>
      <c r="D349" t="inlineStr">
        <is>
          <t>KALMAR LÄN</t>
        </is>
      </c>
      <c r="E349" t="inlineStr">
        <is>
          <t>VIMMERBY</t>
        </is>
      </c>
      <c r="G349" t="n">
        <v>3.1</v>
      </c>
      <c r="H349" t="n">
        <v>0</v>
      </c>
      <c r="I349" t="n">
        <v>0</v>
      </c>
      <c r="J349" t="n">
        <v>0</v>
      </c>
      <c r="K349" t="n">
        <v>0</v>
      </c>
      <c r="L349" t="n">
        <v>0</v>
      </c>
      <c r="M349" t="n">
        <v>0</v>
      </c>
      <c r="N349" t="n">
        <v>0</v>
      </c>
      <c r="O349" t="n">
        <v>0</v>
      </c>
      <c r="P349" t="n">
        <v>0</v>
      </c>
      <c r="Q349" t="n">
        <v>0</v>
      </c>
      <c r="R349" s="2" t="inlineStr"/>
    </row>
    <row r="350" ht="15" customHeight="1">
      <c r="A350" t="inlineStr">
        <is>
          <t>A 3425-2022</t>
        </is>
      </c>
      <c r="B350" s="1" t="n">
        <v>44585.51060185185</v>
      </c>
      <c r="C350" s="1" t="n">
        <v>45901</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43962-2024</t>
        </is>
      </c>
      <c r="B351" s="1" t="n">
        <v>45572.48293981481</v>
      </c>
      <c r="C351" s="1" t="n">
        <v>45901</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54838-2024</t>
        </is>
      </c>
      <c r="B352" s="1" t="n">
        <v>45618.56787037037</v>
      </c>
      <c r="C352" s="1" t="n">
        <v>45901</v>
      </c>
      <c r="D352" t="inlineStr">
        <is>
          <t>KALMAR LÄN</t>
        </is>
      </c>
      <c r="E352" t="inlineStr">
        <is>
          <t>VIMMERBY</t>
        </is>
      </c>
      <c r="G352" t="n">
        <v>3.3</v>
      </c>
      <c r="H352" t="n">
        <v>0</v>
      </c>
      <c r="I352" t="n">
        <v>0</v>
      </c>
      <c r="J352" t="n">
        <v>0</v>
      </c>
      <c r="K352" t="n">
        <v>0</v>
      </c>
      <c r="L352" t="n">
        <v>0</v>
      </c>
      <c r="M352" t="n">
        <v>0</v>
      </c>
      <c r="N352" t="n">
        <v>0</v>
      </c>
      <c r="O352" t="n">
        <v>0</v>
      </c>
      <c r="P352" t="n">
        <v>0</v>
      </c>
      <c r="Q352" t="n">
        <v>0</v>
      </c>
      <c r="R352" s="2" t="inlineStr"/>
    </row>
    <row r="353" ht="15" customHeight="1">
      <c r="A353" t="inlineStr">
        <is>
          <t>A 12810-2023</t>
        </is>
      </c>
      <c r="B353" s="1" t="n">
        <v>45001.43854166667</v>
      </c>
      <c r="C353" s="1" t="n">
        <v>45901</v>
      </c>
      <c r="D353" t="inlineStr">
        <is>
          <t>KALMAR LÄN</t>
        </is>
      </c>
      <c r="E353" t="inlineStr">
        <is>
          <t>VIMMERBY</t>
        </is>
      </c>
      <c r="G353" t="n">
        <v>1.5</v>
      </c>
      <c r="H353" t="n">
        <v>0</v>
      </c>
      <c r="I353" t="n">
        <v>0</v>
      </c>
      <c r="J353" t="n">
        <v>0</v>
      </c>
      <c r="K353" t="n">
        <v>0</v>
      </c>
      <c r="L353" t="n">
        <v>0</v>
      </c>
      <c r="M353" t="n">
        <v>0</v>
      </c>
      <c r="N353" t="n">
        <v>0</v>
      </c>
      <c r="O353" t="n">
        <v>0</v>
      </c>
      <c r="P353" t="n">
        <v>0</v>
      </c>
      <c r="Q353" t="n">
        <v>0</v>
      </c>
      <c r="R353" s="2" t="inlineStr"/>
    </row>
    <row r="354" ht="15" customHeight="1">
      <c r="A354" t="inlineStr">
        <is>
          <t>A 25987-2024</t>
        </is>
      </c>
      <c r="B354" s="1" t="n">
        <v>45467.74417824074</v>
      </c>
      <c r="C354" s="1" t="n">
        <v>45901</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25109-2023</t>
        </is>
      </c>
      <c r="B355" s="1" t="n">
        <v>45086</v>
      </c>
      <c r="C355" s="1" t="n">
        <v>45901</v>
      </c>
      <c r="D355" t="inlineStr">
        <is>
          <t>KALMAR LÄN</t>
        </is>
      </c>
      <c r="E355" t="inlineStr">
        <is>
          <t>VIMMERBY</t>
        </is>
      </c>
      <c r="G355" t="n">
        <v>1.5</v>
      </c>
      <c r="H355" t="n">
        <v>0</v>
      </c>
      <c r="I355" t="n">
        <v>0</v>
      </c>
      <c r="J355" t="n">
        <v>0</v>
      </c>
      <c r="K355" t="n">
        <v>0</v>
      </c>
      <c r="L355" t="n">
        <v>0</v>
      </c>
      <c r="M355" t="n">
        <v>0</v>
      </c>
      <c r="N355" t="n">
        <v>0</v>
      </c>
      <c r="O355" t="n">
        <v>0</v>
      </c>
      <c r="P355" t="n">
        <v>0</v>
      </c>
      <c r="Q355" t="n">
        <v>0</v>
      </c>
      <c r="R355" s="2" t="inlineStr"/>
    </row>
    <row r="356" ht="15" customHeight="1">
      <c r="A356" t="inlineStr">
        <is>
          <t>A 61878-2020</t>
        </is>
      </c>
      <c r="B356" s="1" t="n">
        <v>44159</v>
      </c>
      <c r="C356" s="1" t="n">
        <v>45901</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43068-2023</t>
        </is>
      </c>
      <c r="B357" s="1" t="n">
        <v>45182.78834490741</v>
      </c>
      <c r="C357" s="1" t="n">
        <v>45901</v>
      </c>
      <c r="D357" t="inlineStr">
        <is>
          <t>KALMAR LÄN</t>
        </is>
      </c>
      <c r="E357" t="inlineStr">
        <is>
          <t>VIMMERBY</t>
        </is>
      </c>
      <c r="G357" t="n">
        <v>1.5</v>
      </c>
      <c r="H357" t="n">
        <v>0</v>
      </c>
      <c r="I357" t="n">
        <v>0</v>
      </c>
      <c r="J357" t="n">
        <v>0</v>
      </c>
      <c r="K357" t="n">
        <v>0</v>
      </c>
      <c r="L357" t="n">
        <v>0</v>
      </c>
      <c r="M357" t="n">
        <v>0</v>
      </c>
      <c r="N357" t="n">
        <v>0</v>
      </c>
      <c r="O357" t="n">
        <v>0</v>
      </c>
      <c r="P357" t="n">
        <v>0</v>
      </c>
      <c r="Q357" t="n">
        <v>0</v>
      </c>
      <c r="R357" s="2" t="inlineStr"/>
    </row>
    <row r="358" ht="15" customHeight="1">
      <c r="A358" t="inlineStr">
        <is>
          <t>A 35082-2024</t>
        </is>
      </c>
      <c r="B358" s="1" t="n">
        <v>45527.68784722222</v>
      </c>
      <c r="C358" s="1" t="n">
        <v>45901</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62023-2022</t>
        </is>
      </c>
      <c r="B359" s="1" t="n">
        <v>44918.50106481482</v>
      </c>
      <c r="C359" s="1" t="n">
        <v>45901</v>
      </c>
      <c r="D359" t="inlineStr">
        <is>
          <t>KALMAR LÄN</t>
        </is>
      </c>
      <c r="E359" t="inlineStr">
        <is>
          <t>VIMMERBY</t>
        </is>
      </c>
      <c r="G359" t="n">
        <v>0.3</v>
      </c>
      <c r="H359" t="n">
        <v>0</v>
      </c>
      <c r="I359" t="n">
        <v>0</v>
      </c>
      <c r="J359" t="n">
        <v>0</v>
      </c>
      <c r="K359" t="n">
        <v>0</v>
      </c>
      <c r="L359" t="n">
        <v>0</v>
      </c>
      <c r="M359" t="n">
        <v>0</v>
      </c>
      <c r="N359" t="n">
        <v>0</v>
      </c>
      <c r="O359" t="n">
        <v>0</v>
      </c>
      <c r="P359" t="n">
        <v>0</v>
      </c>
      <c r="Q359" t="n">
        <v>0</v>
      </c>
      <c r="R359" s="2" t="inlineStr"/>
    </row>
    <row r="360" ht="15" customHeight="1">
      <c r="A360" t="inlineStr">
        <is>
          <t>A 44582-2024</t>
        </is>
      </c>
      <c r="B360" s="1" t="n">
        <v>45574.49298611111</v>
      </c>
      <c r="C360" s="1" t="n">
        <v>45901</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9456-2025</t>
        </is>
      </c>
      <c r="B361" s="1" t="n">
        <v>45715.44159722222</v>
      </c>
      <c r="C361" s="1" t="n">
        <v>45901</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58104-2024</t>
        </is>
      </c>
      <c r="B362" s="1" t="n">
        <v>45632.37459490741</v>
      </c>
      <c r="C362" s="1" t="n">
        <v>45901</v>
      </c>
      <c r="D362" t="inlineStr">
        <is>
          <t>KALMAR LÄN</t>
        </is>
      </c>
      <c r="E362" t="inlineStr">
        <is>
          <t>VIMMERBY</t>
        </is>
      </c>
      <c r="G362" t="n">
        <v>5</v>
      </c>
      <c r="H362" t="n">
        <v>0</v>
      </c>
      <c r="I362" t="n">
        <v>0</v>
      </c>
      <c r="J362" t="n">
        <v>0</v>
      </c>
      <c r="K362" t="n">
        <v>0</v>
      </c>
      <c r="L362" t="n">
        <v>0</v>
      </c>
      <c r="M362" t="n">
        <v>0</v>
      </c>
      <c r="N362" t="n">
        <v>0</v>
      </c>
      <c r="O362" t="n">
        <v>0</v>
      </c>
      <c r="P362" t="n">
        <v>0</v>
      </c>
      <c r="Q362" t="n">
        <v>0</v>
      </c>
      <c r="R362" s="2" t="inlineStr"/>
    </row>
    <row r="363" ht="15" customHeight="1">
      <c r="A363" t="inlineStr">
        <is>
          <t>A 12215-2024</t>
        </is>
      </c>
      <c r="B363" s="1" t="n">
        <v>45378.32185185186</v>
      </c>
      <c r="C363" s="1" t="n">
        <v>45901</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30920-2024</t>
        </is>
      </c>
      <c r="B364" s="1" t="n">
        <v>45498.673125</v>
      </c>
      <c r="C364" s="1" t="n">
        <v>45901</v>
      </c>
      <c r="D364" t="inlineStr">
        <is>
          <t>KALMAR LÄN</t>
        </is>
      </c>
      <c r="E364" t="inlineStr">
        <is>
          <t>VIMMERBY</t>
        </is>
      </c>
      <c r="G364" t="n">
        <v>1.3</v>
      </c>
      <c r="H364" t="n">
        <v>0</v>
      </c>
      <c r="I364" t="n">
        <v>0</v>
      </c>
      <c r="J364" t="n">
        <v>0</v>
      </c>
      <c r="K364" t="n">
        <v>0</v>
      </c>
      <c r="L364" t="n">
        <v>0</v>
      </c>
      <c r="M364" t="n">
        <v>0</v>
      </c>
      <c r="N364" t="n">
        <v>0</v>
      </c>
      <c r="O364" t="n">
        <v>0</v>
      </c>
      <c r="P364" t="n">
        <v>0</v>
      </c>
      <c r="Q364" t="n">
        <v>0</v>
      </c>
      <c r="R364" s="2" t="inlineStr"/>
    </row>
    <row r="365" ht="15" customHeight="1">
      <c r="A365" t="inlineStr">
        <is>
          <t>A 56536-2022</t>
        </is>
      </c>
      <c r="B365" s="1" t="n">
        <v>44893</v>
      </c>
      <c r="C365" s="1" t="n">
        <v>45901</v>
      </c>
      <c r="D365" t="inlineStr">
        <is>
          <t>KALMAR LÄN</t>
        </is>
      </c>
      <c r="E365" t="inlineStr">
        <is>
          <t>VIMMERBY</t>
        </is>
      </c>
      <c r="G365" t="n">
        <v>3.2</v>
      </c>
      <c r="H365" t="n">
        <v>0</v>
      </c>
      <c r="I365" t="n">
        <v>0</v>
      </c>
      <c r="J365" t="n">
        <v>0</v>
      </c>
      <c r="K365" t="n">
        <v>0</v>
      </c>
      <c r="L365" t="n">
        <v>0</v>
      </c>
      <c r="M365" t="n">
        <v>0</v>
      </c>
      <c r="N365" t="n">
        <v>0</v>
      </c>
      <c r="O365" t="n">
        <v>0</v>
      </c>
      <c r="P365" t="n">
        <v>0</v>
      </c>
      <c r="Q365" t="n">
        <v>0</v>
      </c>
      <c r="R365" s="2" t="inlineStr"/>
    </row>
    <row r="366" ht="15" customHeight="1">
      <c r="A366" t="inlineStr">
        <is>
          <t>A 63541-2023</t>
        </is>
      </c>
      <c r="B366" s="1" t="n">
        <v>45275.32266203704</v>
      </c>
      <c r="C366" s="1" t="n">
        <v>45901</v>
      </c>
      <c r="D366" t="inlineStr">
        <is>
          <t>KALMAR LÄN</t>
        </is>
      </c>
      <c r="E366" t="inlineStr">
        <is>
          <t>VIMMERBY</t>
        </is>
      </c>
      <c r="G366" t="n">
        <v>1.1</v>
      </c>
      <c r="H366" t="n">
        <v>0</v>
      </c>
      <c r="I366" t="n">
        <v>0</v>
      </c>
      <c r="J366" t="n">
        <v>0</v>
      </c>
      <c r="K366" t="n">
        <v>0</v>
      </c>
      <c r="L366" t="n">
        <v>0</v>
      </c>
      <c r="M366" t="n">
        <v>0</v>
      </c>
      <c r="N366" t="n">
        <v>0</v>
      </c>
      <c r="O366" t="n">
        <v>0</v>
      </c>
      <c r="P366" t="n">
        <v>0</v>
      </c>
      <c r="Q366" t="n">
        <v>0</v>
      </c>
      <c r="R366" s="2" t="inlineStr"/>
    </row>
    <row r="367" ht="15" customHeight="1">
      <c r="A367" t="inlineStr">
        <is>
          <t>A 11111-2023</t>
        </is>
      </c>
      <c r="B367" s="1" t="n">
        <v>44992.4255787037</v>
      </c>
      <c r="C367" s="1" t="n">
        <v>45901</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37323-2024</t>
        </is>
      </c>
      <c r="B368" s="1" t="n">
        <v>45540.50098379629</v>
      </c>
      <c r="C368" s="1" t="n">
        <v>45901</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12075-2024</t>
        </is>
      </c>
      <c r="B369" s="1" t="n">
        <v>45377</v>
      </c>
      <c r="C369" s="1" t="n">
        <v>45901</v>
      </c>
      <c r="D369" t="inlineStr">
        <is>
          <t>KALMAR LÄN</t>
        </is>
      </c>
      <c r="E369" t="inlineStr">
        <is>
          <t>VIMMERBY</t>
        </is>
      </c>
      <c r="G369" t="n">
        <v>3.7</v>
      </c>
      <c r="H369" t="n">
        <v>0</v>
      </c>
      <c r="I369" t="n">
        <v>0</v>
      </c>
      <c r="J369" t="n">
        <v>0</v>
      </c>
      <c r="K369" t="n">
        <v>0</v>
      </c>
      <c r="L369" t="n">
        <v>0</v>
      </c>
      <c r="M369" t="n">
        <v>0</v>
      </c>
      <c r="N369" t="n">
        <v>0</v>
      </c>
      <c r="O369" t="n">
        <v>0</v>
      </c>
      <c r="P369" t="n">
        <v>0</v>
      </c>
      <c r="Q369" t="n">
        <v>0</v>
      </c>
      <c r="R369" s="2" t="inlineStr"/>
    </row>
    <row r="370" ht="15" customHeight="1">
      <c r="A370" t="inlineStr">
        <is>
          <t>A 58724-2024</t>
        </is>
      </c>
      <c r="B370" s="1" t="n">
        <v>45635.66409722222</v>
      </c>
      <c r="C370" s="1" t="n">
        <v>45901</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15494-2024</t>
        </is>
      </c>
      <c r="B371" s="1" t="n">
        <v>45401.53033564815</v>
      </c>
      <c r="C371" s="1" t="n">
        <v>45901</v>
      </c>
      <c r="D371" t="inlineStr">
        <is>
          <t>KALMAR LÄN</t>
        </is>
      </c>
      <c r="E371" t="inlineStr">
        <is>
          <t>VIMMERBY</t>
        </is>
      </c>
      <c r="G371" t="n">
        <v>3.2</v>
      </c>
      <c r="H371" t="n">
        <v>0</v>
      </c>
      <c r="I371" t="n">
        <v>0</v>
      </c>
      <c r="J371" t="n">
        <v>0</v>
      </c>
      <c r="K371" t="n">
        <v>0</v>
      </c>
      <c r="L371" t="n">
        <v>0</v>
      </c>
      <c r="M371" t="n">
        <v>0</v>
      </c>
      <c r="N371" t="n">
        <v>0</v>
      </c>
      <c r="O371" t="n">
        <v>0</v>
      </c>
      <c r="P371" t="n">
        <v>0</v>
      </c>
      <c r="Q371" t="n">
        <v>0</v>
      </c>
      <c r="R371" s="2" t="inlineStr"/>
    </row>
    <row r="372" ht="15" customHeight="1">
      <c r="A372" t="inlineStr">
        <is>
          <t>A 54917-2020</t>
        </is>
      </c>
      <c r="B372" s="1" t="n">
        <v>44127</v>
      </c>
      <c r="C372" s="1" t="n">
        <v>45901</v>
      </c>
      <c r="D372" t="inlineStr">
        <is>
          <t>KALMAR LÄN</t>
        </is>
      </c>
      <c r="E372" t="inlineStr">
        <is>
          <t>VIMMERBY</t>
        </is>
      </c>
      <c r="G372" t="n">
        <v>9.5</v>
      </c>
      <c r="H372" t="n">
        <v>0</v>
      </c>
      <c r="I372" t="n">
        <v>0</v>
      </c>
      <c r="J372" t="n">
        <v>0</v>
      </c>
      <c r="K372" t="n">
        <v>0</v>
      </c>
      <c r="L372" t="n">
        <v>0</v>
      </c>
      <c r="M372" t="n">
        <v>0</v>
      </c>
      <c r="N372" t="n">
        <v>0</v>
      </c>
      <c r="O372" t="n">
        <v>0</v>
      </c>
      <c r="P372" t="n">
        <v>0</v>
      </c>
      <c r="Q372" t="n">
        <v>0</v>
      </c>
      <c r="R372" s="2" t="inlineStr"/>
    </row>
    <row r="373" ht="15" customHeight="1">
      <c r="A373" t="inlineStr">
        <is>
          <t>A 26039-2025</t>
        </is>
      </c>
      <c r="B373" s="1" t="n">
        <v>45804.6953587963</v>
      </c>
      <c r="C373" s="1" t="n">
        <v>45901</v>
      </c>
      <c r="D373" t="inlineStr">
        <is>
          <t>KALMAR LÄN</t>
        </is>
      </c>
      <c r="E373" t="inlineStr">
        <is>
          <t>VIMMERBY</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26046-2025</t>
        </is>
      </c>
      <c r="B374" s="1" t="n">
        <v>45804.708125</v>
      </c>
      <c r="C374" s="1" t="n">
        <v>45901</v>
      </c>
      <c r="D374" t="inlineStr">
        <is>
          <t>KALMAR LÄN</t>
        </is>
      </c>
      <c r="E374" t="inlineStr">
        <is>
          <t>VIMMERBY</t>
        </is>
      </c>
      <c r="F374" t="inlineStr">
        <is>
          <t>Sveaskog</t>
        </is>
      </c>
      <c r="G374" t="n">
        <v>5.1</v>
      </c>
      <c r="H374" t="n">
        <v>0</v>
      </c>
      <c r="I374" t="n">
        <v>0</v>
      </c>
      <c r="J374" t="n">
        <v>0</v>
      </c>
      <c r="K374" t="n">
        <v>0</v>
      </c>
      <c r="L374" t="n">
        <v>0</v>
      </c>
      <c r="M374" t="n">
        <v>0</v>
      </c>
      <c r="N374" t="n">
        <v>0</v>
      </c>
      <c r="O374" t="n">
        <v>0</v>
      </c>
      <c r="P374" t="n">
        <v>0</v>
      </c>
      <c r="Q374" t="n">
        <v>0</v>
      </c>
      <c r="R374" s="2" t="inlineStr"/>
    </row>
    <row r="375" ht="15" customHeight="1">
      <c r="A375" t="inlineStr">
        <is>
          <t>A 25792-2025</t>
        </is>
      </c>
      <c r="B375" s="1" t="n">
        <v>45804.39141203704</v>
      </c>
      <c r="C375" s="1" t="n">
        <v>45901</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11429-2022</t>
        </is>
      </c>
      <c r="B376" s="1" t="n">
        <v>44630</v>
      </c>
      <c r="C376" s="1" t="n">
        <v>45901</v>
      </c>
      <c r="D376" t="inlineStr">
        <is>
          <t>KALMAR LÄN</t>
        </is>
      </c>
      <c r="E376" t="inlineStr">
        <is>
          <t>VIMMERBY</t>
        </is>
      </c>
      <c r="G376" t="n">
        <v>2.6</v>
      </c>
      <c r="H376" t="n">
        <v>0</v>
      </c>
      <c r="I376" t="n">
        <v>0</v>
      </c>
      <c r="J376" t="n">
        <v>0</v>
      </c>
      <c r="K376" t="n">
        <v>0</v>
      </c>
      <c r="L376" t="n">
        <v>0</v>
      </c>
      <c r="M376" t="n">
        <v>0</v>
      </c>
      <c r="N376" t="n">
        <v>0</v>
      </c>
      <c r="O376" t="n">
        <v>0</v>
      </c>
      <c r="P376" t="n">
        <v>0</v>
      </c>
      <c r="Q376" t="n">
        <v>0</v>
      </c>
      <c r="R376" s="2" t="inlineStr"/>
    </row>
    <row r="377" ht="15" customHeight="1">
      <c r="A377" t="inlineStr">
        <is>
          <t>A 56582-2022</t>
        </is>
      </c>
      <c r="B377" s="1" t="n">
        <v>44893</v>
      </c>
      <c r="C377" s="1" t="n">
        <v>45901</v>
      </c>
      <c r="D377" t="inlineStr">
        <is>
          <t>KALMAR LÄN</t>
        </is>
      </c>
      <c r="E377" t="inlineStr">
        <is>
          <t>VIMMERBY</t>
        </is>
      </c>
      <c r="G377" t="n">
        <v>2.2</v>
      </c>
      <c r="H377" t="n">
        <v>0</v>
      </c>
      <c r="I377" t="n">
        <v>0</v>
      </c>
      <c r="J377" t="n">
        <v>0</v>
      </c>
      <c r="K377" t="n">
        <v>0</v>
      </c>
      <c r="L377" t="n">
        <v>0</v>
      </c>
      <c r="M377" t="n">
        <v>0</v>
      </c>
      <c r="N377" t="n">
        <v>0</v>
      </c>
      <c r="O377" t="n">
        <v>0</v>
      </c>
      <c r="P377" t="n">
        <v>0</v>
      </c>
      <c r="Q377" t="n">
        <v>0</v>
      </c>
      <c r="R377" s="2" t="inlineStr"/>
    </row>
    <row r="378" ht="15" customHeight="1">
      <c r="A378" t="inlineStr">
        <is>
          <t>A 1799-2025</t>
        </is>
      </c>
      <c r="B378" s="1" t="n">
        <v>45671.46746527778</v>
      </c>
      <c r="C378" s="1" t="n">
        <v>45901</v>
      </c>
      <c r="D378" t="inlineStr">
        <is>
          <t>KALMAR LÄN</t>
        </is>
      </c>
      <c r="E378" t="inlineStr">
        <is>
          <t>VIMMERBY</t>
        </is>
      </c>
      <c r="G378" t="n">
        <v>3.3</v>
      </c>
      <c r="H378" t="n">
        <v>0</v>
      </c>
      <c r="I378" t="n">
        <v>0</v>
      </c>
      <c r="J378" t="n">
        <v>0</v>
      </c>
      <c r="K378" t="n">
        <v>0</v>
      </c>
      <c r="L378" t="n">
        <v>0</v>
      </c>
      <c r="M378" t="n">
        <v>0</v>
      </c>
      <c r="N378" t="n">
        <v>0</v>
      </c>
      <c r="O378" t="n">
        <v>0</v>
      </c>
      <c r="P378" t="n">
        <v>0</v>
      </c>
      <c r="Q378" t="n">
        <v>0</v>
      </c>
      <c r="R378" s="2" t="inlineStr"/>
    </row>
    <row r="379" ht="15" customHeight="1">
      <c r="A379" t="inlineStr">
        <is>
          <t>A 26006-2025</t>
        </is>
      </c>
      <c r="B379" s="1" t="n">
        <v>45804.67065972222</v>
      </c>
      <c r="C379" s="1" t="n">
        <v>45901</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25830-2025</t>
        </is>
      </c>
      <c r="B380" s="1" t="n">
        <v>45804.44519675926</v>
      </c>
      <c r="C380" s="1" t="n">
        <v>45901</v>
      </c>
      <c r="D380" t="inlineStr">
        <is>
          <t>KALMAR LÄN</t>
        </is>
      </c>
      <c r="E380" t="inlineStr">
        <is>
          <t>VIMMERBY</t>
        </is>
      </c>
      <c r="G380" t="n">
        <v>4.9</v>
      </c>
      <c r="H380" t="n">
        <v>0</v>
      </c>
      <c r="I380" t="n">
        <v>0</v>
      </c>
      <c r="J380" t="n">
        <v>0</v>
      </c>
      <c r="K380" t="n">
        <v>0</v>
      </c>
      <c r="L380" t="n">
        <v>0</v>
      </c>
      <c r="M380" t="n">
        <v>0</v>
      </c>
      <c r="N380" t="n">
        <v>0</v>
      </c>
      <c r="O380" t="n">
        <v>0</v>
      </c>
      <c r="P380" t="n">
        <v>0</v>
      </c>
      <c r="Q380" t="n">
        <v>0</v>
      </c>
      <c r="R380" s="2" t="inlineStr"/>
    </row>
    <row r="381" ht="15" customHeight="1">
      <c r="A381" t="inlineStr">
        <is>
          <t>A 6408-2025</t>
        </is>
      </c>
      <c r="B381" s="1" t="n">
        <v>45699.45671296296</v>
      </c>
      <c r="C381" s="1" t="n">
        <v>45901</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11609-2023</t>
        </is>
      </c>
      <c r="B382" s="1" t="n">
        <v>44994.40635416667</v>
      </c>
      <c r="C382" s="1" t="n">
        <v>45901</v>
      </c>
      <c r="D382" t="inlineStr">
        <is>
          <t>KALMAR LÄN</t>
        </is>
      </c>
      <c r="E382" t="inlineStr">
        <is>
          <t>VIMMERBY</t>
        </is>
      </c>
      <c r="G382" t="n">
        <v>4.9</v>
      </c>
      <c r="H382" t="n">
        <v>0</v>
      </c>
      <c r="I382" t="n">
        <v>0</v>
      </c>
      <c r="J382" t="n">
        <v>0</v>
      </c>
      <c r="K382" t="n">
        <v>0</v>
      </c>
      <c r="L382" t="n">
        <v>0</v>
      </c>
      <c r="M382" t="n">
        <v>0</v>
      </c>
      <c r="N382" t="n">
        <v>0</v>
      </c>
      <c r="O382" t="n">
        <v>0</v>
      </c>
      <c r="P382" t="n">
        <v>0</v>
      </c>
      <c r="Q382" t="n">
        <v>0</v>
      </c>
      <c r="R382" s="2" t="inlineStr"/>
    </row>
    <row r="383" ht="15" customHeight="1">
      <c r="A383" t="inlineStr">
        <is>
          <t>A 26124-2025</t>
        </is>
      </c>
      <c r="B383" s="1" t="n">
        <v>45805.39247685186</v>
      </c>
      <c r="C383" s="1" t="n">
        <v>45901</v>
      </c>
      <c r="D383" t="inlineStr">
        <is>
          <t>KALMAR LÄN</t>
        </is>
      </c>
      <c r="E383" t="inlineStr">
        <is>
          <t>VIMMERBY</t>
        </is>
      </c>
      <c r="G383" t="n">
        <v>6.6</v>
      </c>
      <c r="H383" t="n">
        <v>0</v>
      </c>
      <c r="I383" t="n">
        <v>0</v>
      </c>
      <c r="J383" t="n">
        <v>0</v>
      </c>
      <c r="K383" t="n">
        <v>0</v>
      </c>
      <c r="L383" t="n">
        <v>0</v>
      </c>
      <c r="M383" t="n">
        <v>0</v>
      </c>
      <c r="N383" t="n">
        <v>0</v>
      </c>
      <c r="O383" t="n">
        <v>0</v>
      </c>
      <c r="P383" t="n">
        <v>0</v>
      </c>
      <c r="Q383" t="n">
        <v>0</v>
      </c>
      <c r="R383" s="2" t="inlineStr"/>
    </row>
    <row r="384" ht="15" customHeight="1">
      <c r="A384" t="inlineStr">
        <is>
          <t>A 2462-2022</t>
        </is>
      </c>
      <c r="B384" s="1" t="n">
        <v>44579.62225694444</v>
      </c>
      <c r="C384" s="1" t="n">
        <v>45901</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44464-2024</t>
        </is>
      </c>
      <c r="B385" s="1" t="n">
        <v>45574.35809027778</v>
      </c>
      <c r="C385" s="1" t="n">
        <v>45901</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41066-2024</t>
        </is>
      </c>
      <c r="B386" s="1" t="n">
        <v>45559.38876157408</v>
      </c>
      <c r="C386" s="1" t="n">
        <v>45901</v>
      </c>
      <c r="D386" t="inlineStr">
        <is>
          <t>KALMAR LÄN</t>
        </is>
      </c>
      <c r="E386" t="inlineStr">
        <is>
          <t>VIMMERBY</t>
        </is>
      </c>
      <c r="G386" t="n">
        <v>2.4</v>
      </c>
      <c r="H386" t="n">
        <v>0</v>
      </c>
      <c r="I386" t="n">
        <v>0</v>
      </c>
      <c r="J386" t="n">
        <v>0</v>
      </c>
      <c r="K386" t="n">
        <v>0</v>
      </c>
      <c r="L386" t="n">
        <v>0</v>
      </c>
      <c r="M386" t="n">
        <v>0</v>
      </c>
      <c r="N386" t="n">
        <v>0</v>
      </c>
      <c r="O386" t="n">
        <v>0</v>
      </c>
      <c r="P386" t="n">
        <v>0</v>
      </c>
      <c r="Q386" t="n">
        <v>0</v>
      </c>
      <c r="R386" s="2" t="inlineStr"/>
    </row>
    <row r="387" ht="15" customHeight="1">
      <c r="A387" t="inlineStr">
        <is>
          <t>A 26254-2025</t>
        </is>
      </c>
      <c r="B387" s="1" t="n">
        <v>45805</v>
      </c>
      <c r="C387" s="1" t="n">
        <v>45901</v>
      </c>
      <c r="D387" t="inlineStr">
        <is>
          <t>KALMAR LÄN</t>
        </is>
      </c>
      <c r="E387" t="inlineStr">
        <is>
          <t>VIMMERBY</t>
        </is>
      </c>
      <c r="G387" t="n">
        <v>2</v>
      </c>
      <c r="H387" t="n">
        <v>0</v>
      </c>
      <c r="I387" t="n">
        <v>0</v>
      </c>
      <c r="J387" t="n">
        <v>0</v>
      </c>
      <c r="K387" t="n">
        <v>0</v>
      </c>
      <c r="L387" t="n">
        <v>0</v>
      </c>
      <c r="M387" t="n">
        <v>0</v>
      </c>
      <c r="N387" t="n">
        <v>0</v>
      </c>
      <c r="O387" t="n">
        <v>0</v>
      </c>
      <c r="P387" t="n">
        <v>0</v>
      </c>
      <c r="Q387" t="n">
        <v>0</v>
      </c>
      <c r="R387" s="2" t="inlineStr"/>
    </row>
    <row r="388" ht="15" customHeight="1">
      <c r="A388" t="inlineStr">
        <is>
          <t>A 3816-2022</t>
        </is>
      </c>
      <c r="B388" s="1" t="n">
        <v>44587</v>
      </c>
      <c r="C388" s="1" t="n">
        <v>45901</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26207-2025</t>
        </is>
      </c>
      <c r="B389" s="1" t="n">
        <v>45805.52983796296</v>
      </c>
      <c r="C389" s="1" t="n">
        <v>45901</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1081-2023</t>
        </is>
      </c>
      <c r="B390" s="1" t="n">
        <v>44935</v>
      </c>
      <c r="C390" s="1" t="n">
        <v>45901</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13015-2022</t>
        </is>
      </c>
      <c r="B391" s="1" t="n">
        <v>44643</v>
      </c>
      <c r="C391" s="1" t="n">
        <v>45901</v>
      </c>
      <c r="D391" t="inlineStr">
        <is>
          <t>KALMAR LÄN</t>
        </is>
      </c>
      <c r="E391" t="inlineStr">
        <is>
          <t>VIMMERBY</t>
        </is>
      </c>
      <c r="G391" t="n">
        <v>2.4</v>
      </c>
      <c r="H391" t="n">
        <v>0</v>
      </c>
      <c r="I391" t="n">
        <v>0</v>
      </c>
      <c r="J391" t="n">
        <v>0</v>
      </c>
      <c r="K391" t="n">
        <v>0</v>
      </c>
      <c r="L391" t="n">
        <v>0</v>
      </c>
      <c r="M391" t="n">
        <v>0</v>
      </c>
      <c r="N391" t="n">
        <v>0</v>
      </c>
      <c r="O391" t="n">
        <v>0</v>
      </c>
      <c r="P391" t="n">
        <v>0</v>
      </c>
      <c r="Q391" t="n">
        <v>0</v>
      </c>
      <c r="R391" s="2" t="inlineStr"/>
    </row>
    <row r="392" ht="15" customHeight="1">
      <c r="A392" t="inlineStr">
        <is>
          <t>A 7047-2022</t>
        </is>
      </c>
      <c r="B392" s="1" t="n">
        <v>44603</v>
      </c>
      <c r="C392" s="1" t="n">
        <v>45901</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12499-2023</t>
        </is>
      </c>
      <c r="B393" s="1" t="n">
        <v>44999.86172453704</v>
      </c>
      <c r="C393" s="1" t="n">
        <v>45901</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12500-2023</t>
        </is>
      </c>
      <c r="B394" s="1" t="n">
        <v>44999.8625</v>
      </c>
      <c r="C394" s="1" t="n">
        <v>45901</v>
      </c>
      <c r="D394" t="inlineStr">
        <is>
          <t>KALMAR LÄN</t>
        </is>
      </c>
      <c r="E394" t="inlineStr">
        <is>
          <t>VIMMERBY</t>
        </is>
      </c>
      <c r="G394" t="n">
        <v>0.5</v>
      </c>
      <c r="H394" t="n">
        <v>0</v>
      </c>
      <c r="I394" t="n">
        <v>0</v>
      </c>
      <c r="J394" t="n">
        <v>0</v>
      </c>
      <c r="K394" t="n">
        <v>0</v>
      </c>
      <c r="L394" t="n">
        <v>0</v>
      </c>
      <c r="M394" t="n">
        <v>0</v>
      </c>
      <c r="N394" t="n">
        <v>0</v>
      </c>
      <c r="O394" t="n">
        <v>0</v>
      </c>
      <c r="P394" t="n">
        <v>0</v>
      </c>
      <c r="Q394" t="n">
        <v>0</v>
      </c>
      <c r="R394" s="2" t="inlineStr"/>
    </row>
    <row r="395" ht="15" customHeight="1">
      <c r="A395" t="inlineStr">
        <is>
          <t>A 4624-2024</t>
        </is>
      </c>
      <c r="B395" s="1" t="n">
        <v>45328.38755787037</v>
      </c>
      <c r="C395" s="1" t="n">
        <v>45901</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9129-2025</t>
        </is>
      </c>
      <c r="B396" s="1" t="n">
        <v>45713.92412037037</v>
      </c>
      <c r="C396" s="1" t="n">
        <v>45901</v>
      </c>
      <c r="D396" t="inlineStr">
        <is>
          <t>KALMAR LÄN</t>
        </is>
      </c>
      <c r="E396" t="inlineStr">
        <is>
          <t>VIMMERBY</t>
        </is>
      </c>
      <c r="G396" t="n">
        <v>2.8</v>
      </c>
      <c r="H396" t="n">
        <v>0</v>
      </c>
      <c r="I396" t="n">
        <v>0</v>
      </c>
      <c r="J396" t="n">
        <v>0</v>
      </c>
      <c r="K396" t="n">
        <v>0</v>
      </c>
      <c r="L396" t="n">
        <v>0</v>
      </c>
      <c r="M396" t="n">
        <v>0</v>
      </c>
      <c r="N396" t="n">
        <v>0</v>
      </c>
      <c r="O396" t="n">
        <v>0</v>
      </c>
      <c r="P396" t="n">
        <v>0</v>
      </c>
      <c r="Q396" t="n">
        <v>0</v>
      </c>
      <c r="R396" s="2" t="inlineStr"/>
    </row>
    <row r="397" ht="15" customHeight="1">
      <c r="A397" t="inlineStr">
        <is>
          <t>A 6066-2023</t>
        </is>
      </c>
      <c r="B397" s="1" t="n">
        <v>44964.50894675926</v>
      </c>
      <c r="C397" s="1" t="n">
        <v>45901</v>
      </c>
      <c r="D397" t="inlineStr">
        <is>
          <t>KALMAR LÄN</t>
        </is>
      </c>
      <c r="E397" t="inlineStr">
        <is>
          <t>VIMMERBY</t>
        </is>
      </c>
      <c r="G397" t="n">
        <v>2.8</v>
      </c>
      <c r="H397" t="n">
        <v>0</v>
      </c>
      <c r="I397" t="n">
        <v>0</v>
      </c>
      <c r="J397" t="n">
        <v>0</v>
      </c>
      <c r="K397" t="n">
        <v>0</v>
      </c>
      <c r="L397" t="n">
        <v>0</v>
      </c>
      <c r="M397" t="n">
        <v>0</v>
      </c>
      <c r="N397" t="n">
        <v>0</v>
      </c>
      <c r="O397" t="n">
        <v>0</v>
      </c>
      <c r="P397" t="n">
        <v>0</v>
      </c>
      <c r="Q397" t="n">
        <v>0</v>
      </c>
      <c r="R397" s="2" t="inlineStr"/>
    </row>
    <row r="398" ht="15" customHeight="1">
      <c r="A398" t="inlineStr">
        <is>
          <t>A 22643-2023</t>
        </is>
      </c>
      <c r="B398" s="1" t="n">
        <v>45071</v>
      </c>
      <c r="C398" s="1" t="n">
        <v>45901</v>
      </c>
      <c r="D398" t="inlineStr">
        <is>
          <t>KALMAR LÄN</t>
        </is>
      </c>
      <c r="E398" t="inlineStr">
        <is>
          <t>VIMMERBY</t>
        </is>
      </c>
      <c r="G398" t="n">
        <v>3.9</v>
      </c>
      <c r="H398" t="n">
        <v>0</v>
      </c>
      <c r="I398" t="n">
        <v>0</v>
      </c>
      <c r="J398" t="n">
        <v>0</v>
      </c>
      <c r="K398" t="n">
        <v>0</v>
      </c>
      <c r="L398" t="n">
        <v>0</v>
      </c>
      <c r="M398" t="n">
        <v>0</v>
      </c>
      <c r="N398" t="n">
        <v>0</v>
      </c>
      <c r="O398" t="n">
        <v>0</v>
      </c>
      <c r="P398" t="n">
        <v>0</v>
      </c>
      <c r="Q398" t="n">
        <v>0</v>
      </c>
      <c r="R398" s="2" t="inlineStr"/>
    </row>
    <row r="399" ht="15" customHeight="1">
      <c r="A399" t="inlineStr">
        <is>
          <t>A 34597-2022</t>
        </is>
      </c>
      <c r="B399" s="1" t="n">
        <v>44795</v>
      </c>
      <c r="C399" s="1" t="n">
        <v>45901</v>
      </c>
      <c r="D399" t="inlineStr">
        <is>
          <t>KALMAR LÄN</t>
        </is>
      </c>
      <c r="E399" t="inlineStr">
        <is>
          <t>VIMMERBY</t>
        </is>
      </c>
      <c r="G399" t="n">
        <v>2.2</v>
      </c>
      <c r="H399" t="n">
        <v>0</v>
      </c>
      <c r="I399" t="n">
        <v>0</v>
      </c>
      <c r="J399" t="n">
        <v>0</v>
      </c>
      <c r="K399" t="n">
        <v>0</v>
      </c>
      <c r="L399" t="n">
        <v>0</v>
      </c>
      <c r="M399" t="n">
        <v>0</v>
      </c>
      <c r="N399" t="n">
        <v>0</v>
      </c>
      <c r="O399" t="n">
        <v>0</v>
      </c>
      <c r="P399" t="n">
        <v>0</v>
      </c>
      <c r="Q399" t="n">
        <v>0</v>
      </c>
      <c r="R399" s="2" t="inlineStr"/>
    </row>
    <row r="400" ht="15" customHeight="1">
      <c r="A400" t="inlineStr">
        <is>
          <t>A 33103-2024</t>
        </is>
      </c>
      <c r="B400" s="1" t="n">
        <v>45517.8162037037</v>
      </c>
      <c r="C400" s="1" t="n">
        <v>45901</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40079-2023</t>
        </is>
      </c>
      <c r="B401" s="1" t="n">
        <v>45168.89298611111</v>
      </c>
      <c r="C401" s="1" t="n">
        <v>45901</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33161-2024</t>
        </is>
      </c>
      <c r="B402" s="1" t="n">
        <v>45518.40657407408</v>
      </c>
      <c r="C402" s="1" t="n">
        <v>45901</v>
      </c>
      <c r="D402" t="inlineStr">
        <is>
          <t>KALMAR LÄN</t>
        </is>
      </c>
      <c r="E402" t="inlineStr">
        <is>
          <t>VIMMERBY</t>
        </is>
      </c>
      <c r="G402" t="n">
        <v>4.7</v>
      </c>
      <c r="H402" t="n">
        <v>0</v>
      </c>
      <c r="I402" t="n">
        <v>0</v>
      </c>
      <c r="J402" t="n">
        <v>0</v>
      </c>
      <c r="K402" t="n">
        <v>0</v>
      </c>
      <c r="L402" t="n">
        <v>0</v>
      </c>
      <c r="M402" t="n">
        <v>0</v>
      </c>
      <c r="N402" t="n">
        <v>0</v>
      </c>
      <c r="O402" t="n">
        <v>0</v>
      </c>
      <c r="P402" t="n">
        <v>0</v>
      </c>
      <c r="Q402" t="n">
        <v>0</v>
      </c>
      <c r="R402" s="2" t="inlineStr"/>
    </row>
    <row r="403" ht="15" customHeight="1">
      <c r="A403" t="inlineStr">
        <is>
          <t>A 12510-2022</t>
        </is>
      </c>
      <c r="B403" s="1" t="n">
        <v>44638.55256944444</v>
      </c>
      <c r="C403" s="1" t="n">
        <v>45901</v>
      </c>
      <c r="D403" t="inlineStr">
        <is>
          <t>KALMAR LÄN</t>
        </is>
      </c>
      <c r="E403" t="inlineStr">
        <is>
          <t>VIMMERBY</t>
        </is>
      </c>
      <c r="G403" t="n">
        <v>2.4</v>
      </c>
      <c r="H403" t="n">
        <v>0</v>
      </c>
      <c r="I403" t="n">
        <v>0</v>
      </c>
      <c r="J403" t="n">
        <v>0</v>
      </c>
      <c r="K403" t="n">
        <v>0</v>
      </c>
      <c r="L403" t="n">
        <v>0</v>
      </c>
      <c r="M403" t="n">
        <v>0</v>
      </c>
      <c r="N403" t="n">
        <v>0</v>
      </c>
      <c r="O403" t="n">
        <v>0</v>
      </c>
      <c r="P403" t="n">
        <v>0</v>
      </c>
      <c r="Q403" t="n">
        <v>0</v>
      </c>
      <c r="R403" s="2" t="inlineStr"/>
    </row>
    <row r="404" ht="15" customHeight="1">
      <c r="A404" t="inlineStr">
        <is>
          <t>A 19833-2023</t>
        </is>
      </c>
      <c r="B404" s="1" t="n">
        <v>45052</v>
      </c>
      <c r="C404" s="1" t="n">
        <v>45901</v>
      </c>
      <c r="D404" t="inlineStr">
        <is>
          <t>KALMAR LÄN</t>
        </is>
      </c>
      <c r="E404" t="inlineStr">
        <is>
          <t>VIMMERBY</t>
        </is>
      </c>
      <c r="G404" t="n">
        <v>6.7</v>
      </c>
      <c r="H404" t="n">
        <v>0</v>
      </c>
      <c r="I404" t="n">
        <v>0</v>
      </c>
      <c r="J404" t="n">
        <v>0</v>
      </c>
      <c r="K404" t="n">
        <v>0</v>
      </c>
      <c r="L404" t="n">
        <v>0</v>
      </c>
      <c r="M404" t="n">
        <v>0</v>
      </c>
      <c r="N404" t="n">
        <v>0</v>
      </c>
      <c r="O404" t="n">
        <v>0</v>
      </c>
      <c r="P404" t="n">
        <v>0</v>
      </c>
      <c r="Q404" t="n">
        <v>0</v>
      </c>
      <c r="R404" s="2" t="inlineStr"/>
    </row>
    <row r="405" ht="15" customHeight="1">
      <c r="A405" t="inlineStr">
        <is>
          <t>A 1146-2025</t>
        </is>
      </c>
      <c r="B405" s="1" t="n">
        <v>45666</v>
      </c>
      <c r="C405" s="1" t="n">
        <v>45901</v>
      </c>
      <c r="D405" t="inlineStr">
        <is>
          <t>KALMAR LÄN</t>
        </is>
      </c>
      <c r="E405" t="inlineStr">
        <is>
          <t>VIMMERBY</t>
        </is>
      </c>
      <c r="G405" t="n">
        <v>4</v>
      </c>
      <c r="H405" t="n">
        <v>0</v>
      </c>
      <c r="I405" t="n">
        <v>0</v>
      </c>
      <c r="J405" t="n">
        <v>0</v>
      </c>
      <c r="K405" t="n">
        <v>0</v>
      </c>
      <c r="L405" t="n">
        <v>0</v>
      </c>
      <c r="M405" t="n">
        <v>0</v>
      </c>
      <c r="N405" t="n">
        <v>0</v>
      </c>
      <c r="O405" t="n">
        <v>0</v>
      </c>
      <c r="P405" t="n">
        <v>0</v>
      </c>
      <c r="Q405" t="n">
        <v>0</v>
      </c>
      <c r="R405" s="2" t="inlineStr"/>
    </row>
    <row r="406" ht="15" customHeight="1">
      <c r="A406" t="inlineStr">
        <is>
          <t>A 12890-2023</t>
        </is>
      </c>
      <c r="B406" s="1" t="n">
        <v>45001.59209490741</v>
      </c>
      <c r="C406" s="1" t="n">
        <v>45901</v>
      </c>
      <c r="D406" t="inlineStr">
        <is>
          <t>KALMAR LÄN</t>
        </is>
      </c>
      <c r="E406" t="inlineStr">
        <is>
          <t>VIMMERBY</t>
        </is>
      </c>
      <c r="G406" t="n">
        <v>2.8</v>
      </c>
      <c r="H406" t="n">
        <v>0</v>
      </c>
      <c r="I406" t="n">
        <v>0</v>
      </c>
      <c r="J406" t="n">
        <v>0</v>
      </c>
      <c r="K406" t="n">
        <v>0</v>
      </c>
      <c r="L406" t="n">
        <v>0</v>
      </c>
      <c r="M406" t="n">
        <v>0</v>
      </c>
      <c r="N406" t="n">
        <v>0</v>
      </c>
      <c r="O406" t="n">
        <v>0</v>
      </c>
      <c r="P406" t="n">
        <v>0</v>
      </c>
      <c r="Q406" t="n">
        <v>0</v>
      </c>
      <c r="R406" s="2" t="inlineStr"/>
    </row>
    <row r="407" ht="15" customHeight="1">
      <c r="A407" t="inlineStr">
        <is>
          <t>A 3902-2022</t>
        </is>
      </c>
      <c r="B407" s="1" t="n">
        <v>44587.48847222222</v>
      </c>
      <c r="C407" s="1" t="n">
        <v>45901</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89-2023</t>
        </is>
      </c>
      <c r="B408" s="1" t="n">
        <v>44918</v>
      </c>
      <c r="C408" s="1" t="n">
        <v>45901</v>
      </c>
      <c r="D408" t="inlineStr">
        <is>
          <t>KALMAR LÄN</t>
        </is>
      </c>
      <c r="E408" t="inlineStr">
        <is>
          <t>VIMMERBY</t>
        </is>
      </c>
      <c r="G408" t="n">
        <v>16.1</v>
      </c>
      <c r="H408" t="n">
        <v>0</v>
      </c>
      <c r="I408" t="n">
        <v>0</v>
      </c>
      <c r="J408" t="n">
        <v>0</v>
      </c>
      <c r="K408" t="n">
        <v>0</v>
      </c>
      <c r="L408" t="n">
        <v>0</v>
      </c>
      <c r="M408" t="n">
        <v>0</v>
      </c>
      <c r="N408" t="n">
        <v>0</v>
      </c>
      <c r="O408" t="n">
        <v>0</v>
      </c>
      <c r="P408" t="n">
        <v>0</v>
      </c>
      <c r="Q408" t="n">
        <v>0</v>
      </c>
      <c r="R408" s="2" t="inlineStr"/>
    </row>
    <row r="409" ht="15" customHeight="1">
      <c r="A409" t="inlineStr">
        <is>
          <t>A 5382-2023</t>
        </is>
      </c>
      <c r="B409" s="1" t="n">
        <v>44959.66407407408</v>
      </c>
      <c r="C409" s="1" t="n">
        <v>45901</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27719-2025</t>
        </is>
      </c>
      <c r="B410" s="1" t="n">
        <v>45814.3865625</v>
      </c>
      <c r="C410" s="1" t="n">
        <v>45901</v>
      </c>
      <c r="D410" t="inlineStr">
        <is>
          <t>KALMAR LÄN</t>
        </is>
      </c>
      <c r="E410" t="inlineStr">
        <is>
          <t>VIMMERBY</t>
        </is>
      </c>
      <c r="G410" t="n">
        <v>2</v>
      </c>
      <c r="H410" t="n">
        <v>0</v>
      </c>
      <c r="I410" t="n">
        <v>0</v>
      </c>
      <c r="J410" t="n">
        <v>0</v>
      </c>
      <c r="K410" t="n">
        <v>0</v>
      </c>
      <c r="L410" t="n">
        <v>0</v>
      </c>
      <c r="M410" t="n">
        <v>0</v>
      </c>
      <c r="N410" t="n">
        <v>0</v>
      </c>
      <c r="O410" t="n">
        <v>0</v>
      </c>
      <c r="P410" t="n">
        <v>0</v>
      </c>
      <c r="Q410" t="n">
        <v>0</v>
      </c>
      <c r="R410" s="2" t="inlineStr"/>
    </row>
    <row r="411" ht="15" customHeight="1">
      <c r="A411" t="inlineStr">
        <is>
          <t>A 27718-2025</t>
        </is>
      </c>
      <c r="B411" s="1" t="n">
        <v>45814.38221064815</v>
      </c>
      <c r="C411" s="1" t="n">
        <v>45901</v>
      </c>
      <c r="D411" t="inlineStr">
        <is>
          <t>KALMAR LÄN</t>
        </is>
      </c>
      <c r="E411" t="inlineStr">
        <is>
          <t>VIMMERBY</t>
        </is>
      </c>
      <c r="G411" t="n">
        <v>0.9</v>
      </c>
      <c r="H411" t="n">
        <v>0</v>
      </c>
      <c r="I411" t="n">
        <v>0</v>
      </c>
      <c r="J411" t="n">
        <v>0</v>
      </c>
      <c r="K411" t="n">
        <v>0</v>
      </c>
      <c r="L411" t="n">
        <v>0</v>
      </c>
      <c r="M411" t="n">
        <v>0</v>
      </c>
      <c r="N411" t="n">
        <v>0</v>
      </c>
      <c r="O411" t="n">
        <v>0</v>
      </c>
      <c r="P411" t="n">
        <v>0</v>
      </c>
      <c r="Q411" t="n">
        <v>0</v>
      </c>
      <c r="R411" s="2" t="inlineStr"/>
    </row>
    <row r="412" ht="15" customHeight="1">
      <c r="A412" t="inlineStr">
        <is>
          <t>A 17084-2025</t>
        </is>
      </c>
      <c r="B412" s="1" t="n">
        <v>45755.64450231481</v>
      </c>
      <c r="C412" s="1" t="n">
        <v>45901</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6668-2023</t>
        </is>
      </c>
      <c r="B413" s="1" t="n">
        <v>44966</v>
      </c>
      <c r="C413" s="1" t="n">
        <v>45901</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56022-2024</t>
        </is>
      </c>
      <c r="B414" s="1" t="n">
        <v>45623.95947916667</v>
      </c>
      <c r="C414" s="1" t="n">
        <v>45901</v>
      </c>
      <c r="D414" t="inlineStr">
        <is>
          <t>KALMAR LÄN</t>
        </is>
      </c>
      <c r="E414" t="inlineStr">
        <is>
          <t>VIMMERBY</t>
        </is>
      </c>
      <c r="G414" t="n">
        <v>0.3</v>
      </c>
      <c r="H414" t="n">
        <v>0</v>
      </c>
      <c r="I414" t="n">
        <v>0</v>
      </c>
      <c r="J414" t="n">
        <v>0</v>
      </c>
      <c r="K414" t="n">
        <v>0</v>
      </c>
      <c r="L414" t="n">
        <v>0</v>
      </c>
      <c r="M414" t="n">
        <v>0</v>
      </c>
      <c r="N414" t="n">
        <v>0</v>
      </c>
      <c r="O414" t="n">
        <v>0</v>
      </c>
      <c r="P414" t="n">
        <v>0</v>
      </c>
      <c r="Q414" t="n">
        <v>0</v>
      </c>
      <c r="R414" s="2" t="inlineStr"/>
    </row>
    <row r="415" ht="15" customHeight="1">
      <c r="A415" t="inlineStr">
        <is>
          <t>A 172-2022</t>
        </is>
      </c>
      <c r="B415" s="1" t="n">
        <v>44564.62598379629</v>
      </c>
      <c r="C415" s="1" t="n">
        <v>45901</v>
      </c>
      <c r="D415" t="inlineStr">
        <is>
          <t>KALMAR LÄN</t>
        </is>
      </c>
      <c r="E415" t="inlineStr">
        <is>
          <t>VIMMERBY</t>
        </is>
      </c>
      <c r="G415" t="n">
        <v>2.1</v>
      </c>
      <c r="H415" t="n">
        <v>0</v>
      </c>
      <c r="I415" t="n">
        <v>0</v>
      </c>
      <c r="J415" t="n">
        <v>0</v>
      </c>
      <c r="K415" t="n">
        <v>0</v>
      </c>
      <c r="L415" t="n">
        <v>0</v>
      </c>
      <c r="M415" t="n">
        <v>0</v>
      </c>
      <c r="N415" t="n">
        <v>0</v>
      </c>
      <c r="O415" t="n">
        <v>0</v>
      </c>
      <c r="P415" t="n">
        <v>0</v>
      </c>
      <c r="Q415" t="n">
        <v>0</v>
      </c>
      <c r="R415" s="2" t="inlineStr"/>
    </row>
    <row r="416" ht="15" customHeight="1">
      <c r="A416" t="inlineStr">
        <is>
          <t>A 11928-2022</t>
        </is>
      </c>
      <c r="B416" s="1" t="n">
        <v>44635</v>
      </c>
      <c r="C416" s="1" t="n">
        <v>45901</v>
      </c>
      <c r="D416" t="inlineStr">
        <is>
          <t>KALMAR LÄN</t>
        </is>
      </c>
      <c r="E416" t="inlineStr">
        <is>
          <t>VIMMERBY</t>
        </is>
      </c>
      <c r="G416" t="n">
        <v>2.8</v>
      </c>
      <c r="H416" t="n">
        <v>0</v>
      </c>
      <c r="I416" t="n">
        <v>0</v>
      </c>
      <c r="J416" t="n">
        <v>0</v>
      </c>
      <c r="K416" t="n">
        <v>0</v>
      </c>
      <c r="L416" t="n">
        <v>0</v>
      </c>
      <c r="M416" t="n">
        <v>0</v>
      </c>
      <c r="N416" t="n">
        <v>0</v>
      </c>
      <c r="O416" t="n">
        <v>0</v>
      </c>
      <c r="P416" t="n">
        <v>0</v>
      </c>
      <c r="Q416" t="n">
        <v>0</v>
      </c>
      <c r="R416" s="2" t="inlineStr"/>
    </row>
    <row r="417" ht="15" customHeight="1">
      <c r="A417" t="inlineStr">
        <is>
          <t>A 35596-2025</t>
        </is>
      </c>
      <c r="B417" s="1" t="n">
        <v>45858.60641203704</v>
      </c>
      <c r="C417" s="1" t="n">
        <v>45901</v>
      </c>
      <c r="D417" t="inlineStr">
        <is>
          <t>KALMAR LÄN</t>
        </is>
      </c>
      <c r="E417" t="inlineStr">
        <is>
          <t>VIMMERBY</t>
        </is>
      </c>
      <c r="G417" t="n">
        <v>2.8</v>
      </c>
      <c r="H417" t="n">
        <v>0</v>
      </c>
      <c r="I417" t="n">
        <v>0</v>
      </c>
      <c r="J417" t="n">
        <v>0</v>
      </c>
      <c r="K417" t="n">
        <v>0</v>
      </c>
      <c r="L417" t="n">
        <v>0</v>
      </c>
      <c r="M417" t="n">
        <v>0</v>
      </c>
      <c r="N417" t="n">
        <v>0</v>
      </c>
      <c r="O417" t="n">
        <v>0</v>
      </c>
      <c r="P417" t="n">
        <v>0</v>
      </c>
      <c r="Q417" t="n">
        <v>0</v>
      </c>
      <c r="R417" s="2" t="inlineStr"/>
    </row>
    <row r="418" ht="15" customHeight="1">
      <c r="A418" t="inlineStr">
        <is>
          <t>A 30634-2024</t>
        </is>
      </c>
      <c r="B418" s="1" t="n">
        <v>45495</v>
      </c>
      <c r="C418" s="1" t="n">
        <v>45901</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28290-2025</t>
        </is>
      </c>
      <c r="B419" s="1" t="n">
        <v>45818.59261574074</v>
      </c>
      <c r="C419" s="1" t="n">
        <v>45901</v>
      </c>
      <c r="D419" t="inlineStr">
        <is>
          <t>KALMAR LÄN</t>
        </is>
      </c>
      <c r="E419" t="inlineStr">
        <is>
          <t>VIMMERBY</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6355-2022</t>
        </is>
      </c>
      <c r="B420" s="1" t="n">
        <v>44600</v>
      </c>
      <c r="C420" s="1" t="n">
        <v>45901</v>
      </c>
      <c r="D420" t="inlineStr">
        <is>
          <t>KALMAR LÄN</t>
        </is>
      </c>
      <c r="E420" t="inlineStr">
        <is>
          <t>VIMMERBY</t>
        </is>
      </c>
      <c r="G420" t="n">
        <v>4.9</v>
      </c>
      <c r="H420" t="n">
        <v>0</v>
      </c>
      <c r="I420" t="n">
        <v>0</v>
      </c>
      <c r="J420" t="n">
        <v>0</v>
      </c>
      <c r="K420" t="n">
        <v>0</v>
      </c>
      <c r="L420" t="n">
        <v>0</v>
      </c>
      <c r="M420" t="n">
        <v>0</v>
      </c>
      <c r="N420" t="n">
        <v>0</v>
      </c>
      <c r="O420" t="n">
        <v>0</v>
      </c>
      <c r="P420" t="n">
        <v>0</v>
      </c>
      <c r="Q420" t="n">
        <v>0</v>
      </c>
      <c r="R420" s="2" t="inlineStr"/>
    </row>
    <row r="421" ht="15" customHeight="1">
      <c r="A421" t="inlineStr">
        <is>
          <t>A 28280-2025</t>
        </is>
      </c>
      <c r="B421" s="1" t="n">
        <v>45818.5862037037</v>
      </c>
      <c r="C421" s="1" t="n">
        <v>45901</v>
      </c>
      <c r="D421" t="inlineStr">
        <is>
          <t>KALMAR LÄN</t>
        </is>
      </c>
      <c r="E421" t="inlineStr">
        <is>
          <t>VIMMERBY</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28286-2025</t>
        </is>
      </c>
      <c r="B422" s="1" t="n">
        <v>45818.58993055556</v>
      </c>
      <c r="C422" s="1" t="n">
        <v>45901</v>
      </c>
      <c r="D422" t="inlineStr">
        <is>
          <t>KALMAR LÄN</t>
        </is>
      </c>
      <c r="E422" t="inlineStr">
        <is>
          <t>VIMMERBY</t>
        </is>
      </c>
      <c r="F422" t="inlineStr">
        <is>
          <t>Sveaskog</t>
        </is>
      </c>
      <c r="G422" t="n">
        <v>8</v>
      </c>
      <c r="H422" t="n">
        <v>0</v>
      </c>
      <c r="I422" t="n">
        <v>0</v>
      </c>
      <c r="J422" t="n">
        <v>0</v>
      </c>
      <c r="K422" t="n">
        <v>0</v>
      </c>
      <c r="L422" t="n">
        <v>0</v>
      </c>
      <c r="M422" t="n">
        <v>0</v>
      </c>
      <c r="N422" t="n">
        <v>0</v>
      </c>
      <c r="O422" t="n">
        <v>0</v>
      </c>
      <c r="P422" t="n">
        <v>0</v>
      </c>
      <c r="Q422" t="n">
        <v>0</v>
      </c>
      <c r="R422" s="2" t="inlineStr"/>
    </row>
    <row r="423" ht="15" customHeight="1">
      <c r="A423" t="inlineStr">
        <is>
          <t>A 35597-2025</t>
        </is>
      </c>
      <c r="B423" s="1" t="n">
        <v>45858.66019675926</v>
      </c>
      <c r="C423" s="1" t="n">
        <v>45901</v>
      </c>
      <c r="D423" t="inlineStr">
        <is>
          <t>KALMAR LÄN</t>
        </is>
      </c>
      <c r="E423" t="inlineStr">
        <is>
          <t>VIMMERBY</t>
        </is>
      </c>
      <c r="G423" t="n">
        <v>6.4</v>
      </c>
      <c r="H423" t="n">
        <v>0</v>
      </c>
      <c r="I423" t="n">
        <v>0</v>
      </c>
      <c r="J423" t="n">
        <v>0</v>
      </c>
      <c r="K423" t="n">
        <v>0</v>
      </c>
      <c r="L423" t="n">
        <v>0</v>
      </c>
      <c r="M423" t="n">
        <v>0</v>
      </c>
      <c r="N423" t="n">
        <v>0</v>
      </c>
      <c r="O423" t="n">
        <v>0</v>
      </c>
      <c r="P423" t="n">
        <v>0</v>
      </c>
      <c r="Q423" t="n">
        <v>0</v>
      </c>
      <c r="R423" s="2" t="inlineStr"/>
    </row>
    <row r="424" ht="15" customHeight="1">
      <c r="A424" t="inlineStr">
        <is>
          <t>A 16020-2023</t>
        </is>
      </c>
      <c r="B424" s="1" t="n">
        <v>45026.82216435186</v>
      </c>
      <c r="C424" s="1" t="n">
        <v>45901</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5527-2022</t>
        </is>
      </c>
      <c r="B425" s="1" t="n">
        <v>44595.583125</v>
      </c>
      <c r="C425" s="1" t="n">
        <v>45901</v>
      </c>
      <c r="D425" t="inlineStr">
        <is>
          <t>KALMAR LÄN</t>
        </is>
      </c>
      <c r="E425" t="inlineStr">
        <is>
          <t>VIMMERBY</t>
        </is>
      </c>
      <c r="G425" t="n">
        <v>3.6</v>
      </c>
      <c r="H425" t="n">
        <v>0</v>
      </c>
      <c r="I425" t="n">
        <v>0</v>
      </c>
      <c r="J425" t="n">
        <v>0</v>
      </c>
      <c r="K425" t="n">
        <v>0</v>
      </c>
      <c r="L425" t="n">
        <v>0</v>
      </c>
      <c r="M425" t="n">
        <v>0</v>
      </c>
      <c r="N425" t="n">
        <v>0</v>
      </c>
      <c r="O425" t="n">
        <v>0</v>
      </c>
      <c r="P425" t="n">
        <v>0</v>
      </c>
      <c r="Q425" t="n">
        <v>0</v>
      </c>
      <c r="R425" s="2" t="inlineStr"/>
    </row>
    <row r="426" ht="15" customHeight="1">
      <c r="A426" t="inlineStr">
        <is>
          <t>A 60292-2022</t>
        </is>
      </c>
      <c r="B426" s="1" t="n">
        <v>44910.54231481482</v>
      </c>
      <c r="C426" s="1" t="n">
        <v>45901</v>
      </c>
      <c r="D426" t="inlineStr">
        <is>
          <t>KALMAR LÄN</t>
        </is>
      </c>
      <c r="E426" t="inlineStr">
        <is>
          <t>VIMMERBY</t>
        </is>
      </c>
      <c r="G426" t="n">
        <v>4.4</v>
      </c>
      <c r="H426" t="n">
        <v>0</v>
      </c>
      <c r="I426" t="n">
        <v>0</v>
      </c>
      <c r="J426" t="n">
        <v>0</v>
      </c>
      <c r="K426" t="n">
        <v>0</v>
      </c>
      <c r="L426" t="n">
        <v>0</v>
      </c>
      <c r="M426" t="n">
        <v>0</v>
      </c>
      <c r="N426" t="n">
        <v>0</v>
      </c>
      <c r="O426" t="n">
        <v>0</v>
      </c>
      <c r="P426" t="n">
        <v>0</v>
      </c>
      <c r="Q426" t="n">
        <v>0</v>
      </c>
      <c r="R426" s="2" t="inlineStr"/>
    </row>
    <row r="427" ht="15" customHeight="1">
      <c r="A427" t="inlineStr">
        <is>
          <t>A 43034-2024</t>
        </is>
      </c>
      <c r="B427" s="1" t="n">
        <v>45567.42011574074</v>
      </c>
      <c r="C427" s="1" t="n">
        <v>45901</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40256-2024</t>
        </is>
      </c>
      <c r="B428" s="1" t="n">
        <v>45554.62944444444</v>
      </c>
      <c r="C428" s="1" t="n">
        <v>45901</v>
      </c>
      <c r="D428" t="inlineStr">
        <is>
          <t>KALMAR LÄN</t>
        </is>
      </c>
      <c r="E428" t="inlineStr">
        <is>
          <t>VIMMERBY</t>
        </is>
      </c>
      <c r="G428" t="n">
        <v>0.9</v>
      </c>
      <c r="H428" t="n">
        <v>0</v>
      </c>
      <c r="I428" t="n">
        <v>0</v>
      </c>
      <c r="J428" t="n">
        <v>0</v>
      </c>
      <c r="K428" t="n">
        <v>0</v>
      </c>
      <c r="L428" t="n">
        <v>0</v>
      </c>
      <c r="M428" t="n">
        <v>0</v>
      </c>
      <c r="N428" t="n">
        <v>0</v>
      </c>
      <c r="O428" t="n">
        <v>0</v>
      </c>
      <c r="P428" t="n">
        <v>0</v>
      </c>
      <c r="Q428" t="n">
        <v>0</v>
      </c>
      <c r="R428" s="2" t="inlineStr"/>
    </row>
    <row r="429" ht="15" customHeight="1">
      <c r="A429" t="inlineStr">
        <is>
          <t>A 28282-2025</t>
        </is>
      </c>
      <c r="B429" s="1" t="n">
        <v>45818.58769675926</v>
      </c>
      <c r="C429" s="1" t="n">
        <v>45901</v>
      </c>
      <c r="D429" t="inlineStr">
        <is>
          <t>KALMAR LÄN</t>
        </is>
      </c>
      <c r="E429" t="inlineStr">
        <is>
          <t>VIMMERBY</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28294-2025</t>
        </is>
      </c>
      <c r="B430" s="1" t="n">
        <v>45818.595625</v>
      </c>
      <c r="C430" s="1" t="n">
        <v>45901</v>
      </c>
      <c r="D430" t="inlineStr">
        <is>
          <t>KALMAR LÄN</t>
        </is>
      </c>
      <c r="E430" t="inlineStr">
        <is>
          <t>VIMMERBY</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49461-2023</t>
        </is>
      </c>
      <c r="B431" s="1" t="n">
        <v>45211.52642361111</v>
      </c>
      <c r="C431" s="1" t="n">
        <v>45901</v>
      </c>
      <c r="D431" t="inlineStr">
        <is>
          <t>KALMAR LÄN</t>
        </is>
      </c>
      <c r="E431" t="inlineStr">
        <is>
          <t>VIMMERBY</t>
        </is>
      </c>
      <c r="G431" t="n">
        <v>1.5</v>
      </c>
      <c r="H431" t="n">
        <v>0</v>
      </c>
      <c r="I431" t="n">
        <v>0</v>
      </c>
      <c r="J431" t="n">
        <v>0</v>
      </c>
      <c r="K431" t="n">
        <v>0</v>
      </c>
      <c r="L431" t="n">
        <v>0</v>
      </c>
      <c r="M431" t="n">
        <v>0</v>
      </c>
      <c r="N431" t="n">
        <v>0</v>
      </c>
      <c r="O431" t="n">
        <v>0</v>
      </c>
      <c r="P431" t="n">
        <v>0</v>
      </c>
      <c r="Q431" t="n">
        <v>0</v>
      </c>
      <c r="R431" s="2" t="inlineStr"/>
    </row>
    <row r="432" ht="15" customHeight="1">
      <c r="A432" t="inlineStr">
        <is>
          <t>A 49474-2023</t>
        </is>
      </c>
      <c r="B432" s="1" t="n">
        <v>45211.541875</v>
      </c>
      <c r="C432" s="1" t="n">
        <v>45901</v>
      </c>
      <c r="D432" t="inlineStr">
        <is>
          <t>KALMAR LÄN</t>
        </is>
      </c>
      <c r="E432" t="inlineStr">
        <is>
          <t>VIMMERBY</t>
        </is>
      </c>
      <c r="G432" t="n">
        <v>3.6</v>
      </c>
      <c r="H432" t="n">
        <v>0</v>
      </c>
      <c r="I432" t="n">
        <v>0</v>
      </c>
      <c r="J432" t="n">
        <v>0</v>
      </c>
      <c r="K432" t="n">
        <v>0</v>
      </c>
      <c r="L432" t="n">
        <v>0</v>
      </c>
      <c r="M432" t="n">
        <v>0</v>
      </c>
      <c r="N432" t="n">
        <v>0</v>
      </c>
      <c r="O432" t="n">
        <v>0</v>
      </c>
      <c r="P432" t="n">
        <v>0</v>
      </c>
      <c r="Q432" t="n">
        <v>0</v>
      </c>
      <c r="R432" s="2" t="inlineStr"/>
    </row>
    <row r="433" ht="15" customHeight="1">
      <c r="A433" t="inlineStr">
        <is>
          <t>A 61861-2024</t>
        </is>
      </c>
      <c r="B433" s="1" t="n">
        <v>45650.37370370371</v>
      </c>
      <c r="C433" s="1" t="n">
        <v>45901</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43093-2024</t>
        </is>
      </c>
      <c r="B434" s="1" t="n">
        <v>45567</v>
      </c>
      <c r="C434" s="1" t="n">
        <v>45901</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45846-2023</t>
        </is>
      </c>
      <c r="B435" s="1" t="n">
        <v>45195.58452546296</v>
      </c>
      <c r="C435" s="1" t="n">
        <v>45901</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28713-2025</t>
        </is>
      </c>
      <c r="B436" s="1" t="n">
        <v>45820.33930555556</v>
      </c>
      <c r="C436" s="1" t="n">
        <v>45901</v>
      </c>
      <c r="D436" t="inlineStr">
        <is>
          <t>KALMAR LÄN</t>
        </is>
      </c>
      <c r="E436" t="inlineStr">
        <is>
          <t>VIMMERBY</t>
        </is>
      </c>
      <c r="G436" t="n">
        <v>2.3</v>
      </c>
      <c r="H436" t="n">
        <v>0</v>
      </c>
      <c r="I436" t="n">
        <v>0</v>
      </c>
      <c r="J436" t="n">
        <v>0</v>
      </c>
      <c r="K436" t="n">
        <v>0</v>
      </c>
      <c r="L436" t="n">
        <v>0</v>
      </c>
      <c r="M436" t="n">
        <v>0</v>
      </c>
      <c r="N436" t="n">
        <v>0</v>
      </c>
      <c r="O436" t="n">
        <v>0</v>
      </c>
      <c r="P436" t="n">
        <v>0</v>
      </c>
      <c r="Q436" t="n">
        <v>0</v>
      </c>
      <c r="R436" s="2" t="inlineStr"/>
    </row>
    <row r="437" ht="15" customHeight="1">
      <c r="A437" t="inlineStr">
        <is>
          <t>A 8167-2024</t>
        </is>
      </c>
      <c r="B437" s="1" t="n">
        <v>45351.6062962963</v>
      </c>
      <c r="C437" s="1" t="n">
        <v>45901</v>
      </c>
      <c r="D437" t="inlineStr">
        <is>
          <t>KALMAR LÄN</t>
        </is>
      </c>
      <c r="E437" t="inlineStr">
        <is>
          <t>VIMMERBY</t>
        </is>
      </c>
      <c r="G437" t="n">
        <v>3.8</v>
      </c>
      <c r="H437" t="n">
        <v>0</v>
      </c>
      <c r="I437" t="n">
        <v>0</v>
      </c>
      <c r="J437" t="n">
        <v>0</v>
      </c>
      <c r="K437" t="n">
        <v>0</v>
      </c>
      <c r="L437" t="n">
        <v>0</v>
      </c>
      <c r="M437" t="n">
        <v>0</v>
      </c>
      <c r="N437" t="n">
        <v>0</v>
      </c>
      <c r="O437" t="n">
        <v>0</v>
      </c>
      <c r="P437" t="n">
        <v>0</v>
      </c>
      <c r="Q437" t="n">
        <v>0</v>
      </c>
      <c r="R437" s="2" t="inlineStr"/>
    </row>
    <row r="438" ht="15" customHeight="1">
      <c r="A438" t="inlineStr">
        <is>
          <t>A 35198-2023</t>
        </is>
      </c>
      <c r="B438" s="1" t="n">
        <v>45145</v>
      </c>
      <c r="C438" s="1" t="n">
        <v>45901</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28712-2025</t>
        </is>
      </c>
      <c r="B439" s="1" t="n">
        <v>45820.33708333333</v>
      </c>
      <c r="C439" s="1" t="n">
        <v>45901</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28714-2025</t>
        </is>
      </c>
      <c r="B440" s="1" t="n">
        <v>45820.34128472222</v>
      </c>
      <c r="C440" s="1" t="n">
        <v>45901</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28620-2025</t>
        </is>
      </c>
      <c r="B441" s="1" t="n">
        <v>45819.61060185185</v>
      </c>
      <c r="C441" s="1" t="n">
        <v>45901</v>
      </c>
      <c r="D441" t="inlineStr">
        <is>
          <t>KALMAR LÄN</t>
        </is>
      </c>
      <c r="E441" t="inlineStr">
        <is>
          <t>VIMMERBY</t>
        </is>
      </c>
      <c r="G441" t="n">
        <v>5.6</v>
      </c>
      <c r="H441" t="n">
        <v>0</v>
      </c>
      <c r="I441" t="n">
        <v>0</v>
      </c>
      <c r="J441" t="n">
        <v>0</v>
      </c>
      <c r="K441" t="n">
        <v>0</v>
      </c>
      <c r="L441" t="n">
        <v>0</v>
      </c>
      <c r="M441" t="n">
        <v>0</v>
      </c>
      <c r="N441" t="n">
        <v>0</v>
      </c>
      <c r="O441" t="n">
        <v>0</v>
      </c>
      <c r="P441" t="n">
        <v>0</v>
      </c>
      <c r="Q441" t="n">
        <v>0</v>
      </c>
      <c r="R441" s="2" t="inlineStr"/>
    </row>
    <row r="442" ht="15" customHeight="1">
      <c r="A442" t="inlineStr">
        <is>
          <t>A 49382-2023</t>
        </is>
      </c>
      <c r="B442" s="1" t="n">
        <v>45208</v>
      </c>
      <c r="C442" s="1" t="n">
        <v>45901</v>
      </c>
      <c r="D442" t="inlineStr">
        <is>
          <t>KALMAR LÄN</t>
        </is>
      </c>
      <c r="E442" t="inlineStr">
        <is>
          <t>VIMMERBY</t>
        </is>
      </c>
      <c r="G442" t="n">
        <v>2.2</v>
      </c>
      <c r="H442" t="n">
        <v>0</v>
      </c>
      <c r="I442" t="n">
        <v>0</v>
      </c>
      <c r="J442" t="n">
        <v>0</v>
      </c>
      <c r="K442" t="n">
        <v>0</v>
      </c>
      <c r="L442" t="n">
        <v>0</v>
      </c>
      <c r="M442" t="n">
        <v>0</v>
      </c>
      <c r="N442" t="n">
        <v>0</v>
      </c>
      <c r="O442" t="n">
        <v>0</v>
      </c>
      <c r="P442" t="n">
        <v>0</v>
      </c>
      <c r="Q442" t="n">
        <v>0</v>
      </c>
      <c r="R442" s="2" t="inlineStr"/>
    </row>
    <row r="443" ht="15" customHeight="1">
      <c r="A443" t="inlineStr">
        <is>
          <t>A 12121-2025</t>
        </is>
      </c>
      <c r="B443" s="1" t="n">
        <v>45729.36868055556</v>
      </c>
      <c r="C443" s="1" t="n">
        <v>45901</v>
      </c>
      <c r="D443" t="inlineStr">
        <is>
          <t>KALMAR LÄN</t>
        </is>
      </c>
      <c r="E443" t="inlineStr">
        <is>
          <t>VIMMERBY</t>
        </is>
      </c>
      <c r="G443" t="n">
        <v>4.3</v>
      </c>
      <c r="H443" t="n">
        <v>0</v>
      </c>
      <c r="I443" t="n">
        <v>0</v>
      </c>
      <c r="J443" t="n">
        <v>0</v>
      </c>
      <c r="K443" t="n">
        <v>0</v>
      </c>
      <c r="L443" t="n">
        <v>0</v>
      </c>
      <c r="M443" t="n">
        <v>0</v>
      </c>
      <c r="N443" t="n">
        <v>0</v>
      </c>
      <c r="O443" t="n">
        <v>0</v>
      </c>
      <c r="P443" t="n">
        <v>0</v>
      </c>
      <c r="Q443" t="n">
        <v>0</v>
      </c>
      <c r="R443" s="2" t="inlineStr"/>
    </row>
    <row r="444" ht="15" customHeight="1">
      <c r="A444" t="inlineStr">
        <is>
          <t>A 58374-2024</t>
        </is>
      </c>
      <c r="B444" s="1" t="n">
        <v>45632.72635416667</v>
      </c>
      <c r="C444" s="1" t="n">
        <v>45901</v>
      </c>
      <c r="D444" t="inlineStr">
        <is>
          <t>KALMAR LÄN</t>
        </is>
      </c>
      <c r="E444" t="inlineStr">
        <is>
          <t>VIMMERBY</t>
        </is>
      </c>
      <c r="G444" t="n">
        <v>0.8</v>
      </c>
      <c r="H444" t="n">
        <v>0</v>
      </c>
      <c r="I444" t="n">
        <v>0</v>
      </c>
      <c r="J444" t="n">
        <v>0</v>
      </c>
      <c r="K444" t="n">
        <v>0</v>
      </c>
      <c r="L444" t="n">
        <v>0</v>
      </c>
      <c r="M444" t="n">
        <v>0</v>
      </c>
      <c r="N444" t="n">
        <v>0</v>
      </c>
      <c r="O444" t="n">
        <v>0</v>
      </c>
      <c r="P444" t="n">
        <v>0</v>
      </c>
      <c r="Q444" t="n">
        <v>0</v>
      </c>
      <c r="R444" s="2" t="inlineStr"/>
    </row>
    <row r="445" ht="15" customHeight="1">
      <c r="A445" t="inlineStr">
        <is>
          <t>A 35846-2023</t>
        </is>
      </c>
      <c r="B445" s="1" t="n">
        <v>45148</v>
      </c>
      <c r="C445" s="1" t="n">
        <v>45901</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35913-2023</t>
        </is>
      </c>
      <c r="B446" s="1" t="n">
        <v>45148</v>
      </c>
      <c r="C446" s="1" t="n">
        <v>45901</v>
      </c>
      <c r="D446" t="inlineStr">
        <is>
          <t>KALMAR LÄN</t>
        </is>
      </c>
      <c r="E446" t="inlineStr">
        <is>
          <t>VIMMERBY</t>
        </is>
      </c>
      <c r="G446" t="n">
        <v>6.9</v>
      </c>
      <c r="H446" t="n">
        <v>0</v>
      </c>
      <c r="I446" t="n">
        <v>0</v>
      </c>
      <c r="J446" t="n">
        <v>0</v>
      </c>
      <c r="K446" t="n">
        <v>0</v>
      </c>
      <c r="L446" t="n">
        <v>0</v>
      </c>
      <c r="M446" t="n">
        <v>0</v>
      </c>
      <c r="N446" t="n">
        <v>0</v>
      </c>
      <c r="O446" t="n">
        <v>0</v>
      </c>
      <c r="P446" t="n">
        <v>0</v>
      </c>
      <c r="Q446" t="n">
        <v>0</v>
      </c>
      <c r="R446" s="2" t="inlineStr"/>
    </row>
    <row r="447" ht="15" customHeight="1">
      <c r="A447" t="inlineStr">
        <is>
          <t>A 38757-2023</t>
        </is>
      </c>
      <c r="B447" s="1" t="n">
        <v>45163.41376157408</v>
      </c>
      <c r="C447" s="1" t="n">
        <v>45901</v>
      </c>
      <c r="D447" t="inlineStr">
        <is>
          <t>KALMAR LÄN</t>
        </is>
      </c>
      <c r="E447" t="inlineStr">
        <is>
          <t>VIMMERBY</t>
        </is>
      </c>
      <c r="G447" t="n">
        <v>2.5</v>
      </c>
      <c r="H447" t="n">
        <v>0</v>
      </c>
      <c r="I447" t="n">
        <v>0</v>
      </c>
      <c r="J447" t="n">
        <v>0</v>
      </c>
      <c r="K447" t="n">
        <v>0</v>
      </c>
      <c r="L447" t="n">
        <v>0</v>
      </c>
      <c r="M447" t="n">
        <v>0</v>
      </c>
      <c r="N447" t="n">
        <v>0</v>
      </c>
      <c r="O447" t="n">
        <v>0</v>
      </c>
      <c r="P447" t="n">
        <v>0</v>
      </c>
      <c r="Q447" t="n">
        <v>0</v>
      </c>
      <c r="R447" s="2" t="inlineStr"/>
    </row>
    <row r="448" ht="15" customHeight="1">
      <c r="A448" t="inlineStr">
        <is>
          <t>A 55300-2021</t>
        </is>
      </c>
      <c r="B448" s="1" t="n">
        <v>44475</v>
      </c>
      <c r="C448" s="1" t="n">
        <v>45901</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29727-2025</t>
        </is>
      </c>
      <c r="B449" s="1" t="n">
        <v>45825.5796875</v>
      </c>
      <c r="C449" s="1" t="n">
        <v>45901</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29737-2025</t>
        </is>
      </c>
      <c r="B450" s="1" t="n">
        <v>45825.58672453704</v>
      </c>
      <c r="C450" s="1" t="n">
        <v>45901</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20136-2024</t>
        </is>
      </c>
      <c r="B451" s="1" t="n">
        <v>45434.56291666667</v>
      </c>
      <c r="C451" s="1" t="n">
        <v>45901</v>
      </c>
      <c r="D451" t="inlineStr">
        <is>
          <t>KALMAR LÄN</t>
        </is>
      </c>
      <c r="E451" t="inlineStr">
        <is>
          <t>VIMMERBY</t>
        </is>
      </c>
      <c r="F451" t="inlineStr">
        <is>
          <t>Sveaskog</t>
        </is>
      </c>
      <c r="G451" t="n">
        <v>8.4</v>
      </c>
      <c r="H451" t="n">
        <v>0</v>
      </c>
      <c r="I451" t="n">
        <v>0</v>
      </c>
      <c r="J451" t="n">
        <v>0</v>
      </c>
      <c r="K451" t="n">
        <v>0</v>
      </c>
      <c r="L451" t="n">
        <v>0</v>
      </c>
      <c r="M451" t="n">
        <v>0</v>
      </c>
      <c r="N451" t="n">
        <v>0</v>
      </c>
      <c r="O451" t="n">
        <v>0</v>
      </c>
      <c r="P451" t="n">
        <v>0</v>
      </c>
      <c r="Q451" t="n">
        <v>0</v>
      </c>
      <c r="R451" s="2" t="inlineStr"/>
    </row>
    <row r="452" ht="15" customHeight="1">
      <c r="A452" t="inlineStr">
        <is>
          <t>A 36226-2025</t>
        </is>
      </c>
      <c r="B452" s="1" t="n">
        <v>45867.51630787037</v>
      </c>
      <c r="C452" s="1" t="n">
        <v>45901</v>
      </c>
      <c r="D452" t="inlineStr">
        <is>
          <t>KALMAR LÄN</t>
        </is>
      </c>
      <c r="E452" t="inlineStr">
        <is>
          <t>VIMMERBY</t>
        </is>
      </c>
      <c r="G452" t="n">
        <v>3.1</v>
      </c>
      <c r="H452" t="n">
        <v>0</v>
      </c>
      <c r="I452" t="n">
        <v>0</v>
      </c>
      <c r="J452" t="n">
        <v>0</v>
      </c>
      <c r="K452" t="n">
        <v>0</v>
      </c>
      <c r="L452" t="n">
        <v>0</v>
      </c>
      <c r="M452" t="n">
        <v>0</v>
      </c>
      <c r="N452" t="n">
        <v>0</v>
      </c>
      <c r="O452" t="n">
        <v>0</v>
      </c>
      <c r="P452" t="n">
        <v>0</v>
      </c>
      <c r="Q452" t="n">
        <v>0</v>
      </c>
      <c r="R452" s="2" t="inlineStr"/>
    </row>
    <row r="453" ht="15" customHeight="1">
      <c r="A453" t="inlineStr">
        <is>
          <t>A 36246-2025</t>
        </is>
      </c>
      <c r="B453" s="1" t="n">
        <v>45867.56320601852</v>
      </c>
      <c r="C453" s="1" t="n">
        <v>45901</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36273-2025</t>
        </is>
      </c>
      <c r="B454" s="1" t="n">
        <v>45867.63094907408</v>
      </c>
      <c r="C454" s="1" t="n">
        <v>45901</v>
      </c>
      <c r="D454" t="inlineStr">
        <is>
          <t>KALMAR LÄN</t>
        </is>
      </c>
      <c r="E454" t="inlineStr">
        <is>
          <t>VIMMERBY</t>
        </is>
      </c>
      <c r="G454" t="n">
        <v>1.7</v>
      </c>
      <c r="H454" t="n">
        <v>0</v>
      </c>
      <c r="I454" t="n">
        <v>0</v>
      </c>
      <c r="J454" t="n">
        <v>0</v>
      </c>
      <c r="K454" t="n">
        <v>0</v>
      </c>
      <c r="L454" t="n">
        <v>0</v>
      </c>
      <c r="M454" t="n">
        <v>0</v>
      </c>
      <c r="N454" t="n">
        <v>0</v>
      </c>
      <c r="O454" t="n">
        <v>0</v>
      </c>
      <c r="P454" t="n">
        <v>0</v>
      </c>
      <c r="Q454" t="n">
        <v>0</v>
      </c>
      <c r="R454" s="2" t="inlineStr"/>
    </row>
    <row r="455" ht="15" customHeight="1">
      <c r="A455" t="inlineStr">
        <is>
          <t>A 36221-2025</t>
        </is>
      </c>
      <c r="B455" s="1" t="n">
        <v>45867.50792824074</v>
      </c>
      <c r="C455" s="1" t="n">
        <v>45901</v>
      </c>
      <c r="D455" t="inlineStr">
        <is>
          <t>KALMAR LÄN</t>
        </is>
      </c>
      <c r="E455" t="inlineStr">
        <is>
          <t>VIMMERBY</t>
        </is>
      </c>
      <c r="G455" t="n">
        <v>2.5</v>
      </c>
      <c r="H455" t="n">
        <v>0</v>
      </c>
      <c r="I455" t="n">
        <v>0</v>
      </c>
      <c r="J455" t="n">
        <v>0</v>
      </c>
      <c r="K455" t="n">
        <v>0</v>
      </c>
      <c r="L455" t="n">
        <v>0</v>
      </c>
      <c r="M455" t="n">
        <v>0</v>
      </c>
      <c r="N455" t="n">
        <v>0</v>
      </c>
      <c r="O455" t="n">
        <v>0</v>
      </c>
      <c r="P455" t="n">
        <v>0</v>
      </c>
      <c r="Q455" t="n">
        <v>0</v>
      </c>
      <c r="R455" s="2" t="inlineStr"/>
    </row>
    <row r="456" ht="15" customHeight="1">
      <c r="A456" t="inlineStr">
        <is>
          <t>A 36297-2025</t>
        </is>
      </c>
      <c r="B456" s="1" t="n">
        <v>45867.68625</v>
      </c>
      <c r="C456" s="1" t="n">
        <v>45901</v>
      </c>
      <c r="D456" t="inlineStr">
        <is>
          <t>KALMAR LÄN</t>
        </is>
      </c>
      <c r="E456" t="inlineStr">
        <is>
          <t>VIMMERBY</t>
        </is>
      </c>
      <c r="G456" t="n">
        <v>4.9</v>
      </c>
      <c r="H456" t="n">
        <v>0</v>
      </c>
      <c r="I456" t="n">
        <v>0</v>
      </c>
      <c r="J456" t="n">
        <v>0</v>
      </c>
      <c r="K456" t="n">
        <v>0</v>
      </c>
      <c r="L456" t="n">
        <v>0</v>
      </c>
      <c r="M456" t="n">
        <v>0</v>
      </c>
      <c r="N456" t="n">
        <v>0</v>
      </c>
      <c r="O456" t="n">
        <v>0</v>
      </c>
      <c r="P456" t="n">
        <v>0</v>
      </c>
      <c r="Q456" t="n">
        <v>0</v>
      </c>
      <c r="R456" s="2" t="inlineStr"/>
    </row>
    <row r="457" ht="15" customHeight="1">
      <c r="A457" t="inlineStr">
        <is>
          <t>A 36299-2025</t>
        </is>
      </c>
      <c r="B457" s="1" t="n">
        <v>45867.69346064814</v>
      </c>
      <c r="C457" s="1" t="n">
        <v>45901</v>
      </c>
      <c r="D457" t="inlineStr">
        <is>
          <t>KALMAR LÄN</t>
        </is>
      </c>
      <c r="E457" t="inlineStr">
        <is>
          <t>VIMMERBY</t>
        </is>
      </c>
      <c r="G457" t="n">
        <v>7.6</v>
      </c>
      <c r="H457" t="n">
        <v>0</v>
      </c>
      <c r="I457" t="n">
        <v>0</v>
      </c>
      <c r="J457" t="n">
        <v>0</v>
      </c>
      <c r="K457" t="n">
        <v>0</v>
      </c>
      <c r="L457" t="n">
        <v>0</v>
      </c>
      <c r="M457" t="n">
        <v>0</v>
      </c>
      <c r="N457" t="n">
        <v>0</v>
      </c>
      <c r="O457" t="n">
        <v>0</v>
      </c>
      <c r="P457" t="n">
        <v>0</v>
      </c>
      <c r="Q457" t="n">
        <v>0</v>
      </c>
      <c r="R457" s="2" t="inlineStr"/>
    </row>
    <row r="458" ht="15" customHeight="1">
      <c r="A458" t="inlineStr">
        <is>
          <t>A 47263-2023</t>
        </is>
      </c>
      <c r="B458" s="1" t="n">
        <v>45202.4209837963</v>
      </c>
      <c r="C458" s="1" t="n">
        <v>45901</v>
      </c>
      <c r="D458" t="inlineStr">
        <is>
          <t>KALMAR LÄN</t>
        </is>
      </c>
      <c r="E458" t="inlineStr">
        <is>
          <t>VIMMERBY</t>
        </is>
      </c>
      <c r="G458" t="n">
        <v>1.8</v>
      </c>
      <c r="H458" t="n">
        <v>0</v>
      </c>
      <c r="I458" t="n">
        <v>0</v>
      </c>
      <c r="J458" t="n">
        <v>0</v>
      </c>
      <c r="K458" t="n">
        <v>0</v>
      </c>
      <c r="L458" t="n">
        <v>0</v>
      </c>
      <c r="M458" t="n">
        <v>0</v>
      </c>
      <c r="N458" t="n">
        <v>0</v>
      </c>
      <c r="O458" t="n">
        <v>0</v>
      </c>
      <c r="P458" t="n">
        <v>0</v>
      </c>
      <c r="Q458" t="n">
        <v>0</v>
      </c>
      <c r="R458" s="2" t="inlineStr"/>
    </row>
    <row r="459" ht="15" customHeight="1">
      <c r="A459" t="inlineStr">
        <is>
          <t>A 24283-2023</t>
        </is>
      </c>
      <c r="B459" s="1" t="n">
        <v>45079.87827546296</v>
      </c>
      <c r="C459" s="1" t="n">
        <v>45901</v>
      </c>
      <c r="D459" t="inlineStr">
        <is>
          <t>KALMAR LÄN</t>
        </is>
      </c>
      <c r="E459" t="inlineStr">
        <is>
          <t>VIMMERBY</t>
        </is>
      </c>
      <c r="G459" t="n">
        <v>2</v>
      </c>
      <c r="H459" t="n">
        <v>0</v>
      </c>
      <c r="I459" t="n">
        <v>0</v>
      </c>
      <c r="J459" t="n">
        <v>0</v>
      </c>
      <c r="K459" t="n">
        <v>0</v>
      </c>
      <c r="L459" t="n">
        <v>0</v>
      </c>
      <c r="M459" t="n">
        <v>0</v>
      </c>
      <c r="N459" t="n">
        <v>0</v>
      </c>
      <c r="O459" t="n">
        <v>0</v>
      </c>
      <c r="P459" t="n">
        <v>0</v>
      </c>
      <c r="Q459" t="n">
        <v>0</v>
      </c>
      <c r="R459" s="2" t="inlineStr"/>
    </row>
    <row r="460" ht="15" customHeight="1">
      <c r="A460" t="inlineStr">
        <is>
          <t>A 36282-2025</t>
        </is>
      </c>
      <c r="B460" s="1" t="n">
        <v>45867.64663194444</v>
      </c>
      <c r="C460" s="1" t="n">
        <v>45901</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29726-2025</t>
        </is>
      </c>
      <c r="B461" s="1" t="n">
        <v>45825.57805555555</v>
      </c>
      <c r="C461" s="1" t="n">
        <v>45901</v>
      </c>
      <c r="D461" t="inlineStr">
        <is>
          <t>KALMAR LÄN</t>
        </is>
      </c>
      <c r="E461" t="inlineStr">
        <is>
          <t>VIMMERBY</t>
        </is>
      </c>
      <c r="G461" t="n">
        <v>2</v>
      </c>
      <c r="H461" t="n">
        <v>0</v>
      </c>
      <c r="I461" t="n">
        <v>0</v>
      </c>
      <c r="J461" t="n">
        <v>0</v>
      </c>
      <c r="K461" t="n">
        <v>0</v>
      </c>
      <c r="L461" t="n">
        <v>0</v>
      </c>
      <c r="M461" t="n">
        <v>0</v>
      </c>
      <c r="N461" t="n">
        <v>0</v>
      </c>
      <c r="O461" t="n">
        <v>0</v>
      </c>
      <c r="P461" t="n">
        <v>0</v>
      </c>
      <c r="Q461" t="n">
        <v>0</v>
      </c>
      <c r="R461" s="2" t="inlineStr"/>
    </row>
    <row r="462" ht="15" customHeight="1">
      <c r="A462" t="inlineStr">
        <is>
          <t>A 29724-2025</t>
        </is>
      </c>
      <c r="B462" s="1" t="n">
        <v>45825.57680555555</v>
      </c>
      <c r="C462" s="1" t="n">
        <v>45901</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2536-2023</t>
        </is>
      </c>
      <c r="B463" s="1" t="n">
        <v>44943.62954861111</v>
      </c>
      <c r="C463" s="1" t="n">
        <v>45901</v>
      </c>
      <c r="D463" t="inlineStr">
        <is>
          <t>KALMAR LÄN</t>
        </is>
      </c>
      <c r="E463" t="inlineStr">
        <is>
          <t>VIMMERBY</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2801-2023</t>
        </is>
      </c>
      <c r="B464" s="1" t="n">
        <v>44944.73487268519</v>
      </c>
      <c r="C464" s="1" t="n">
        <v>45901</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17968-2025</t>
        </is>
      </c>
      <c r="B465" s="1" t="n">
        <v>45761.35990740741</v>
      </c>
      <c r="C465" s="1" t="n">
        <v>45901</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30293-2025</t>
        </is>
      </c>
      <c r="B466" s="1" t="n">
        <v>45827</v>
      </c>
      <c r="C466" s="1" t="n">
        <v>45901</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36602-2025</t>
        </is>
      </c>
      <c r="B467" s="1" t="n">
        <v>45870.52111111111</v>
      </c>
      <c r="C467" s="1" t="n">
        <v>45901</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59598-2023</t>
        </is>
      </c>
      <c r="B468" s="1" t="n">
        <v>45254.62489583333</v>
      </c>
      <c r="C468" s="1" t="n">
        <v>45901</v>
      </c>
      <c r="D468" t="inlineStr">
        <is>
          <t>KALMAR LÄN</t>
        </is>
      </c>
      <c r="E468" t="inlineStr">
        <is>
          <t>VIMMERBY</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30920-2023</t>
        </is>
      </c>
      <c r="B469" s="1" t="n">
        <v>45113.43921296296</v>
      </c>
      <c r="C469" s="1" t="n">
        <v>45901</v>
      </c>
      <c r="D469" t="inlineStr">
        <is>
          <t>KALMAR LÄN</t>
        </is>
      </c>
      <c r="E469" t="inlineStr">
        <is>
          <t>VIMMERBY</t>
        </is>
      </c>
      <c r="G469" t="n">
        <v>3.1</v>
      </c>
      <c r="H469" t="n">
        <v>0</v>
      </c>
      <c r="I469" t="n">
        <v>0</v>
      </c>
      <c r="J469" t="n">
        <v>0</v>
      </c>
      <c r="K469" t="n">
        <v>0</v>
      </c>
      <c r="L469" t="n">
        <v>0</v>
      </c>
      <c r="M469" t="n">
        <v>0</v>
      </c>
      <c r="N469" t="n">
        <v>0</v>
      </c>
      <c r="O469" t="n">
        <v>0</v>
      </c>
      <c r="P469" t="n">
        <v>0</v>
      </c>
      <c r="Q469" t="n">
        <v>0</v>
      </c>
      <c r="R469" s="2" t="inlineStr"/>
    </row>
    <row r="470" ht="15" customHeight="1">
      <c r="A470" t="inlineStr">
        <is>
          <t>A 36598-2025</t>
        </is>
      </c>
      <c r="B470" s="1" t="n">
        <v>45870.51708333333</v>
      </c>
      <c r="C470" s="1" t="n">
        <v>45901</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36601-2025</t>
        </is>
      </c>
      <c r="B471" s="1" t="n">
        <v>45870.52005787037</v>
      </c>
      <c r="C471" s="1" t="n">
        <v>45901</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36603-2025</t>
        </is>
      </c>
      <c r="B472" s="1" t="n">
        <v>45870.52142361111</v>
      </c>
      <c r="C472" s="1" t="n">
        <v>45901</v>
      </c>
      <c r="D472" t="inlineStr">
        <is>
          <t>KALMAR LÄN</t>
        </is>
      </c>
      <c r="E472" t="inlineStr">
        <is>
          <t>VIMMERBY</t>
        </is>
      </c>
      <c r="G472" t="n">
        <v>1.6</v>
      </c>
      <c r="H472" t="n">
        <v>0</v>
      </c>
      <c r="I472" t="n">
        <v>0</v>
      </c>
      <c r="J472" t="n">
        <v>0</v>
      </c>
      <c r="K472" t="n">
        <v>0</v>
      </c>
      <c r="L472" t="n">
        <v>0</v>
      </c>
      <c r="M472" t="n">
        <v>0</v>
      </c>
      <c r="N472" t="n">
        <v>0</v>
      </c>
      <c r="O472" t="n">
        <v>0</v>
      </c>
      <c r="P472" t="n">
        <v>0</v>
      </c>
      <c r="Q472" t="n">
        <v>0</v>
      </c>
      <c r="R472" s="2" t="inlineStr"/>
    </row>
    <row r="473" ht="15" customHeight="1">
      <c r="A473" t="inlineStr">
        <is>
          <t>A 36600-2025</t>
        </is>
      </c>
      <c r="B473" s="1" t="n">
        <v>45870.51958333333</v>
      </c>
      <c r="C473" s="1" t="n">
        <v>45901</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14451-2024</t>
        </is>
      </c>
      <c r="B474" s="1" t="n">
        <v>45394.50028935185</v>
      </c>
      <c r="C474" s="1" t="n">
        <v>45901</v>
      </c>
      <c r="D474" t="inlineStr">
        <is>
          <t>KALMAR LÄN</t>
        </is>
      </c>
      <c r="E474" t="inlineStr">
        <is>
          <t>VIMMERBY</t>
        </is>
      </c>
      <c r="G474" t="n">
        <v>1.9</v>
      </c>
      <c r="H474" t="n">
        <v>0</v>
      </c>
      <c r="I474" t="n">
        <v>0</v>
      </c>
      <c r="J474" t="n">
        <v>0</v>
      </c>
      <c r="K474" t="n">
        <v>0</v>
      </c>
      <c r="L474" t="n">
        <v>0</v>
      </c>
      <c r="M474" t="n">
        <v>0</v>
      </c>
      <c r="N474" t="n">
        <v>0</v>
      </c>
      <c r="O474" t="n">
        <v>0</v>
      </c>
      <c r="P474" t="n">
        <v>0</v>
      </c>
      <c r="Q474" t="n">
        <v>0</v>
      </c>
      <c r="R474" s="2" t="inlineStr"/>
    </row>
    <row r="475" ht="15" customHeight="1">
      <c r="A475" t="inlineStr">
        <is>
          <t>A 36538-2025</t>
        </is>
      </c>
      <c r="B475" s="1" t="n">
        <v>45869.62276620371</v>
      </c>
      <c r="C475" s="1" t="n">
        <v>45901</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30290-2025</t>
        </is>
      </c>
      <c r="B476" s="1" t="n">
        <v>45827</v>
      </c>
      <c r="C476" s="1" t="n">
        <v>45901</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46238-2024</t>
        </is>
      </c>
      <c r="B477" s="1" t="n">
        <v>45581.58418981481</v>
      </c>
      <c r="C477" s="1" t="n">
        <v>45901</v>
      </c>
      <c r="D477" t="inlineStr">
        <is>
          <t>KALMAR LÄN</t>
        </is>
      </c>
      <c r="E477" t="inlineStr">
        <is>
          <t>VIMMERBY</t>
        </is>
      </c>
      <c r="G477" t="n">
        <v>2.1</v>
      </c>
      <c r="H477" t="n">
        <v>0</v>
      </c>
      <c r="I477" t="n">
        <v>0</v>
      </c>
      <c r="J477" t="n">
        <v>0</v>
      </c>
      <c r="K477" t="n">
        <v>0</v>
      </c>
      <c r="L477" t="n">
        <v>0</v>
      </c>
      <c r="M477" t="n">
        <v>0</v>
      </c>
      <c r="N477" t="n">
        <v>0</v>
      </c>
      <c r="O477" t="n">
        <v>0</v>
      </c>
      <c r="P477" t="n">
        <v>0</v>
      </c>
      <c r="Q477" t="n">
        <v>0</v>
      </c>
      <c r="R477" s="2" t="inlineStr"/>
    </row>
    <row r="478" ht="15" customHeight="1">
      <c r="A478" t="inlineStr">
        <is>
          <t>A 50993-2022</t>
        </is>
      </c>
      <c r="B478" s="1" t="n">
        <v>44867</v>
      </c>
      <c r="C478" s="1" t="n">
        <v>45901</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46225-2024</t>
        </is>
      </c>
      <c r="B479" s="1" t="n">
        <v>45581.57333333333</v>
      </c>
      <c r="C479" s="1" t="n">
        <v>45901</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36055-2024</t>
        </is>
      </c>
      <c r="B480" s="1" t="n">
        <v>45533.63056712963</v>
      </c>
      <c r="C480" s="1" t="n">
        <v>45901</v>
      </c>
      <c r="D480" t="inlineStr">
        <is>
          <t>KALMAR LÄN</t>
        </is>
      </c>
      <c r="E480" t="inlineStr">
        <is>
          <t>VIMMERBY</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47859-2024</t>
        </is>
      </c>
      <c r="B481" s="1" t="n">
        <v>45588.67070601852</v>
      </c>
      <c r="C481" s="1" t="n">
        <v>45901</v>
      </c>
      <c r="D481" t="inlineStr">
        <is>
          <t>KALMAR LÄN</t>
        </is>
      </c>
      <c r="E481" t="inlineStr">
        <is>
          <t>VIMMERBY</t>
        </is>
      </c>
      <c r="G481" t="n">
        <v>1.7</v>
      </c>
      <c r="H481" t="n">
        <v>0</v>
      </c>
      <c r="I481" t="n">
        <v>0</v>
      </c>
      <c r="J481" t="n">
        <v>0</v>
      </c>
      <c r="K481" t="n">
        <v>0</v>
      </c>
      <c r="L481" t="n">
        <v>0</v>
      </c>
      <c r="M481" t="n">
        <v>0</v>
      </c>
      <c r="N481" t="n">
        <v>0</v>
      </c>
      <c r="O481" t="n">
        <v>0</v>
      </c>
      <c r="P481" t="n">
        <v>0</v>
      </c>
      <c r="Q481" t="n">
        <v>0</v>
      </c>
      <c r="R481" s="2" t="inlineStr"/>
    </row>
    <row r="482" ht="15" customHeight="1">
      <c r="A482" t="inlineStr">
        <is>
          <t>A 32835-2022</t>
        </is>
      </c>
      <c r="B482" s="1" t="n">
        <v>44784.42528935185</v>
      </c>
      <c r="C482" s="1" t="n">
        <v>45901</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30850-2025</t>
        </is>
      </c>
      <c r="B483" s="1" t="n">
        <v>45831</v>
      </c>
      <c r="C483" s="1" t="n">
        <v>45901</v>
      </c>
      <c r="D483" t="inlineStr">
        <is>
          <t>KALMAR LÄN</t>
        </is>
      </c>
      <c r="E483" t="inlineStr">
        <is>
          <t>VIMMERBY</t>
        </is>
      </c>
      <c r="G483" t="n">
        <v>2.7</v>
      </c>
      <c r="H483" t="n">
        <v>0</v>
      </c>
      <c r="I483" t="n">
        <v>0</v>
      </c>
      <c r="J483" t="n">
        <v>0</v>
      </c>
      <c r="K483" t="n">
        <v>0</v>
      </c>
      <c r="L483" t="n">
        <v>0</v>
      </c>
      <c r="M483" t="n">
        <v>0</v>
      </c>
      <c r="N483" t="n">
        <v>0</v>
      </c>
      <c r="O483" t="n">
        <v>0</v>
      </c>
      <c r="P483" t="n">
        <v>0</v>
      </c>
      <c r="Q483" t="n">
        <v>0</v>
      </c>
      <c r="R483" s="2" t="inlineStr"/>
    </row>
    <row r="484" ht="15" customHeight="1">
      <c r="A484" t="inlineStr">
        <is>
          <t>A 40929-2022</t>
        </is>
      </c>
      <c r="B484" s="1" t="n">
        <v>44825.4336574074</v>
      </c>
      <c r="C484" s="1" t="n">
        <v>45901</v>
      </c>
      <c r="D484" t="inlineStr">
        <is>
          <t>KALMAR LÄN</t>
        </is>
      </c>
      <c r="E484" t="inlineStr">
        <is>
          <t>VIMMERBY</t>
        </is>
      </c>
      <c r="G484" t="n">
        <v>2.5</v>
      </c>
      <c r="H484" t="n">
        <v>0</v>
      </c>
      <c r="I484" t="n">
        <v>0</v>
      </c>
      <c r="J484" t="n">
        <v>0</v>
      </c>
      <c r="K484" t="n">
        <v>0</v>
      </c>
      <c r="L484" t="n">
        <v>0</v>
      </c>
      <c r="M484" t="n">
        <v>0</v>
      </c>
      <c r="N484" t="n">
        <v>0</v>
      </c>
      <c r="O484" t="n">
        <v>0</v>
      </c>
      <c r="P484" t="n">
        <v>0</v>
      </c>
      <c r="Q484" t="n">
        <v>0</v>
      </c>
      <c r="R484" s="2" t="inlineStr"/>
    </row>
    <row r="485" ht="15" customHeight="1">
      <c r="A485" t="inlineStr">
        <is>
          <t>A 41896-2023</t>
        </is>
      </c>
      <c r="B485" s="1" t="n">
        <v>45176.72427083334</v>
      </c>
      <c r="C485" s="1" t="n">
        <v>45901</v>
      </c>
      <c r="D485" t="inlineStr">
        <is>
          <t>KALMAR LÄN</t>
        </is>
      </c>
      <c r="E485" t="inlineStr">
        <is>
          <t>VIMMERBY</t>
        </is>
      </c>
      <c r="G485" t="n">
        <v>1.3</v>
      </c>
      <c r="H485" t="n">
        <v>0</v>
      </c>
      <c r="I485" t="n">
        <v>0</v>
      </c>
      <c r="J485" t="n">
        <v>0</v>
      </c>
      <c r="K485" t="n">
        <v>0</v>
      </c>
      <c r="L485" t="n">
        <v>0</v>
      </c>
      <c r="M485" t="n">
        <v>0</v>
      </c>
      <c r="N485" t="n">
        <v>0</v>
      </c>
      <c r="O485" t="n">
        <v>0</v>
      </c>
      <c r="P485" t="n">
        <v>0</v>
      </c>
      <c r="Q485" t="n">
        <v>0</v>
      </c>
      <c r="R485" s="2" t="inlineStr"/>
    </row>
    <row r="486" ht="15" customHeight="1">
      <c r="A486" t="inlineStr">
        <is>
          <t>A 36934-2025</t>
        </is>
      </c>
      <c r="B486" s="1" t="n">
        <v>45874.57109953704</v>
      </c>
      <c r="C486" s="1" t="n">
        <v>45901</v>
      </c>
      <c r="D486" t="inlineStr">
        <is>
          <t>KALMAR LÄN</t>
        </is>
      </c>
      <c r="E486" t="inlineStr">
        <is>
          <t>VIMMERBY</t>
        </is>
      </c>
      <c r="G486" t="n">
        <v>4.2</v>
      </c>
      <c r="H486" t="n">
        <v>0</v>
      </c>
      <c r="I486" t="n">
        <v>0</v>
      </c>
      <c r="J486" t="n">
        <v>0</v>
      </c>
      <c r="K486" t="n">
        <v>0</v>
      </c>
      <c r="L486" t="n">
        <v>0</v>
      </c>
      <c r="M486" t="n">
        <v>0</v>
      </c>
      <c r="N486" t="n">
        <v>0</v>
      </c>
      <c r="O486" t="n">
        <v>0</v>
      </c>
      <c r="P486" t="n">
        <v>0</v>
      </c>
      <c r="Q486" t="n">
        <v>0</v>
      </c>
      <c r="R486" s="2" t="inlineStr"/>
    </row>
    <row r="487" ht="15" customHeight="1">
      <c r="A487" t="inlineStr">
        <is>
          <t>A 30882-2025</t>
        </is>
      </c>
      <c r="B487" s="1" t="n">
        <v>45832.34540509259</v>
      </c>
      <c r="C487" s="1" t="n">
        <v>45901</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43606-2024</t>
        </is>
      </c>
      <c r="B488" s="1" t="n">
        <v>45569.45017361111</v>
      </c>
      <c r="C488" s="1" t="n">
        <v>45901</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30971-2025</t>
        </is>
      </c>
      <c r="B489" s="1" t="n">
        <v>45832.46146990741</v>
      </c>
      <c r="C489" s="1" t="n">
        <v>45901</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12325-2023</t>
        </is>
      </c>
      <c r="B490" s="1" t="n">
        <v>44999.35858796296</v>
      </c>
      <c r="C490" s="1" t="n">
        <v>45901</v>
      </c>
      <c r="D490" t="inlineStr">
        <is>
          <t>KALMAR LÄN</t>
        </is>
      </c>
      <c r="E490" t="inlineStr">
        <is>
          <t>VIMMERBY</t>
        </is>
      </c>
      <c r="G490" t="n">
        <v>3.4</v>
      </c>
      <c r="H490" t="n">
        <v>0</v>
      </c>
      <c r="I490" t="n">
        <v>0</v>
      </c>
      <c r="J490" t="n">
        <v>0</v>
      </c>
      <c r="K490" t="n">
        <v>0</v>
      </c>
      <c r="L490" t="n">
        <v>0</v>
      </c>
      <c r="M490" t="n">
        <v>0</v>
      </c>
      <c r="N490" t="n">
        <v>0</v>
      </c>
      <c r="O490" t="n">
        <v>0</v>
      </c>
      <c r="P490" t="n">
        <v>0</v>
      </c>
      <c r="Q490" t="n">
        <v>0</v>
      </c>
      <c r="R490" s="2" t="inlineStr"/>
    </row>
    <row r="491" ht="15" customHeight="1">
      <c r="A491" t="inlineStr">
        <is>
          <t>A 33380-2023</t>
        </is>
      </c>
      <c r="B491" s="1" t="n">
        <v>45128</v>
      </c>
      <c r="C491" s="1" t="n">
        <v>45901</v>
      </c>
      <c r="D491" t="inlineStr">
        <is>
          <t>KALMAR LÄN</t>
        </is>
      </c>
      <c r="E491" t="inlineStr">
        <is>
          <t>VIMMERBY</t>
        </is>
      </c>
      <c r="G491" t="n">
        <v>5.2</v>
      </c>
      <c r="H491" t="n">
        <v>0</v>
      </c>
      <c r="I491" t="n">
        <v>0</v>
      </c>
      <c r="J491" t="n">
        <v>0</v>
      </c>
      <c r="K491" t="n">
        <v>0</v>
      </c>
      <c r="L491" t="n">
        <v>0</v>
      </c>
      <c r="M491" t="n">
        <v>0</v>
      </c>
      <c r="N491" t="n">
        <v>0</v>
      </c>
      <c r="O491" t="n">
        <v>0</v>
      </c>
      <c r="P491" t="n">
        <v>0</v>
      </c>
      <c r="Q491" t="n">
        <v>0</v>
      </c>
      <c r="R491" s="2" t="inlineStr"/>
    </row>
    <row r="492" ht="15" customHeight="1">
      <c r="A492" t="inlineStr">
        <is>
          <t>A 46144-2023</t>
        </is>
      </c>
      <c r="B492" s="1" t="n">
        <v>45196.57247685185</v>
      </c>
      <c r="C492" s="1" t="n">
        <v>45901</v>
      </c>
      <c r="D492" t="inlineStr">
        <is>
          <t>KALMAR LÄN</t>
        </is>
      </c>
      <c r="E492" t="inlineStr">
        <is>
          <t>VIMMERBY</t>
        </is>
      </c>
      <c r="G492" t="n">
        <v>6.5</v>
      </c>
      <c r="H492" t="n">
        <v>0</v>
      </c>
      <c r="I492" t="n">
        <v>0</v>
      </c>
      <c r="J492" t="n">
        <v>0</v>
      </c>
      <c r="K492" t="n">
        <v>0</v>
      </c>
      <c r="L492" t="n">
        <v>0</v>
      </c>
      <c r="M492" t="n">
        <v>0</v>
      </c>
      <c r="N492" t="n">
        <v>0</v>
      </c>
      <c r="O492" t="n">
        <v>0</v>
      </c>
      <c r="P492" t="n">
        <v>0</v>
      </c>
      <c r="Q492" t="n">
        <v>0</v>
      </c>
      <c r="R492" s="2" t="inlineStr"/>
    </row>
    <row r="493" ht="15" customHeight="1">
      <c r="A493" t="inlineStr">
        <is>
          <t>A 8945-2025</t>
        </is>
      </c>
      <c r="B493" s="1" t="n">
        <v>45713.45311342592</v>
      </c>
      <c r="C493" s="1" t="n">
        <v>45901</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31552-2025</t>
        </is>
      </c>
      <c r="B494" s="1" t="n">
        <v>45833.64563657407</v>
      </c>
      <c r="C494" s="1" t="n">
        <v>45901</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31555-2025</t>
        </is>
      </c>
      <c r="B495" s="1" t="n">
        <v>45833.64814814815</v>
      </c>
      <c r="C495" s="1" t="n">
        <v>45901</v>
      </c>
      <c r="D495" t="inlineStr">
        <is>
          <t>KALMAR LÄN</t>
        </is>
      </c>
      <c r="E495" t="inlineStr">
        <is>
          <t>VIMMERBY</t>
        </is>
      </c>
      <c r="G495" t="n">
        <v>1.8</v>
      </c>
      <c r="H495" t="n">
        <v>0</v>
      </c>
      <c r="I495" t="n">
        <v>0</v>
      </c>
      <c r="J495" t="n">
        <v>0</v>
      </c>
      <c r="K495" t="n">
        <v>0</v>
      </c>
      <c r="L495" t="n">
        <v>0</v>
      </c>
      <c r="M495" t="n">
        <v>0</v>
      </c>
      <c r="N495" t="n">
        <v>0</v>
      </c>
      <c r="O495" t="n">
        <v>0</v>
      </c>
      <c r="P495" t="n">
        <v>0</v>
      </c>
      <c r="Q495" t="n">
        <v>0</v>
      </c>
      <c r="R495" s="2" t="inlineStr"/>
    </row>
    <row r="496" ht="15" customHeight="1">
      <c r="A496" t="inlineStr">
        <is>
          <t>A 40665-2023</t>
        </is>
      </c>
      <c r="B496" s="1" t="n">
        <v>45170</v>
      </c>
      <c r="C496" s="1" t="n">
        <v>45901</v>
      </c>
      <c r="D496" t="inlineStr">
        <is>
          <t>KALMAR LÄN</t>
        </is>
      </c>
      <c r="E496" t="inlineStr">
        <is>
          <t>VIMMERBY</t>
        </is>
      </c>
      <c r="G496" t="n">
        <v>2.6</v>
      </c>
      <c r="H496" t="n">
        <v>0</v>
      </c>
      <c r="I496" t="n">
        <v>0</v>
      </c>
      <c r="J496" t="n">
        <v>0</v>
      </c>
      <c r="K496" t="n">
        <v>0</v>
      </c>
      <c r="L496" t="n">
        <v>0</v>
      </c>
      <c r="M496" t="n">
        <v>0</v>
      </c>
      <c r="N496" t="n">
        <v>0</v>
      </c>
      <c r="O496" t="n">
        <v>0</v>
      </c>
      <c r="P496" t="n">
        <v>0</v>
      </c>
      <c r="Q496" t="n">
        <v>0</v>
      </c>
      <c r="R496" s="2" t="inlineStr"/>
    </row>
    <row r="497" ht="15" customHeight="1">
      <c r="A497" t="inlineStr">
        <is>
          <t>A 13307-2025</t>
        </is>
      </c>
      <c r="B497" s="1" t="n">
        <v>45735.58024305556</v>
      </c>
      <c r="C497" s="1" t="n">
        <v>45901</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54787-2023</t>
        </is>
      </c>
      <c r="B498" s="1" t="n">
        <v>45236</v>
      </c>
      <c r="C498" s="1" t="n">
        <v>45901</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28034-2022</t>
        </is>
      </c>
      <c r="B499" s="1" t="n">
        <v>44746.38834490741</v>
      </c>
      <c r="C499" s="1" t="n">
        <v>45901</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15715-2022</t>
        </is>
      </c>
      <c r="B500" s="1" t="n">
        <v>44663</v>
      </c>
      <c r="C500" s="1" t="n">
        <v>45901</v>
      </c>
      <c r="D500" t="inlineStr">
        <is>
          <t>KALMAR LÄN</t>
        </is>
      </c>
      <c r="E500" t="inlineStr">
        <is>
          <t>VIMMERBY</t>
        </is>
      </c>
      <c r="G500" t="n">
        <v>2.3</v>
      </c>
      <c r="H500" t="n">
        <v>0</v>
      </c>
      <c r="I500" t="n">
        <v>0</v>
      </c>
      <c r="J500" t="n">
        <v>0</v>
      </c>
      <c r="K500" t="n">
        <v>0</v>
      </c>
      <c r="L500" t="n">
        <v>0</v>
      </c>
      <c r="M500" t="n">
        <v>0</v>
      </c>
      <c r="N500" t="n">
        <v>0</v>
      </c>
      <c r="O500" t="n">
        <v>0</v>
      </c>
      <c r="P500" t="n">
        <v>0</v>
      </c>
      <c r="Q500" t="n">
        <v>0</v>
      </c>
      <c r="R500" s="2" t="inlineStr"/>
    </row>
    <row r="501" ht="15" customHeight="1">
      <c r="A501" t="inlineStr">
        <is>
          <t>A 37102-2025</t>
        </is>
      </c>
      <c r="B501" s="1" t="n">
        <v>45875.47454861111</v>
      </c>
      <c r="C501" s="1" t="n">
        <v>45901</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37088-2025</t>
        </is>
      </c>
      <c r="B502" s="1" t="n">
        <v>45875.45716435185</v>
      </c>
      <c r="C502" s="1" t="n">
        <v>45901</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43774-2023</t>
        </is>
      </c>
      <c r="B503" s="1" t="n">
        <v>45187</v>
      </c>
      <c r="C503" s="1" t="n">
        <v>45901</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43705-2023</t>
        </is>
      </c>
      <c r="B504" s="1" t="n">
        <v>45187.42854166667</v>
      </c>
      <c r="C504" s="1" t="n">
        <v>45901</v>
      </c>
      <c r="D504" t="inlineStr">
        <is>
          <t>KALMAR LÄN</t>
        </is>
      </c>
      <c r="E504" t="inlineStr">
        <is>
          <t>VIMMERBY</t>
        </is>
      </c>
      <c r="G504" t="n">
        <v>1.2</v>
      </c>
      <c r="H504" t="n">
        <v>0</v>
      </c>
      <c r="I504" t="n">
        <v>0</v>
      </c>
      <c r="J504" t="n">
        <v>0</v>
      </c>
      <c r="K504" t="n">
        <v>0</v>
      </c>
      <c r="L504" t="n">
        <v>0</v>
      </c>
      <c r="M504" t="n">
        <v>0</v>
      </c>
      <c r="N504" t="n">
        <v>0</v>
      </c>
      <c r="O504" t="n">
        <v>0</v>
      </c>
      <c r="P504" t="n">
        <v>0</v>
      </c>
      <c r="Q504" t="n">
        <v>0</v>
      </c>
      <c r="R504" s="2" t="inlineStr"/>
    </row>
    <row r="505" ht="15" customHeight="1">
      <c r="A505" t="inlineStr">
        <is>
          <t>A 7932-2025</t>
        </is>
      </c>
      <c r="B505" s="1" t="n">
        <v>45707.3793287037</v>
      </c>
      <c r="C505" s="1" t="n">
        <v>45901</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55605-2024</t>
        </is>
      </c>
      <c r="B506" s="1" t="n">
        <v>45622</v>
      </c>
      <c r="C506" s="1" t="n">
        <v>45901</v>
      </c>
      <c r="D506" t="inlineStr">
        <is>
          <t>KALMAR LÄN</t>
        </is>
      </c>
      <c r="E506" t="inlineStr">
        <is>
          <t>VIMMERBY</t>
        </is>
      </c>
      <c r="G506" t="n">
        <v>1.1</v>
      </c>
      <c r="H506" t="n">
        <v>0</v>
      </c>
      <c r="I506" t="n">
        <v>0</v>
      </c>
      <c r="J506" t="n">
        <v>0</v>
      </c>
      <c r="K506" t="n">
        <v>0</v>
      </c>
      <c r="L506" t="n">
        <v>0</v>
      </c>
      <c r="M506" t="n">
        <v>0</v>
      </c>
      <c r="N506" t="n">
        <v>0</v>
      </c>
      <c r="O506" t="n">
        <v>0</v>
      </c>
      <c r="P506" t="n">
        <v>0</v>
      </c>
      <c r="Q506" t="n">
        <v>0</v>
      </c>
      <c r="R506" s="2" t="inlineStr"/>
    </row>
    <row r="507" ht="15" customHeight="1">
      <c r="A507" t="inlineStr">
        <is>
          <t>A 13532-2025</t>
        </is>
      </c>
      <c r="B507" s="1" t="n">
        <v>45736.50743055555</v>
      </c>
      <c r="C507" s="1" t="n">
        <v>45901</v>
      </c>
      <c r="D507" t="inlineStr">
        <is>
          <t>KALMAR LÄN</t>
        </is>
      </c>
      <c r="E507" t="inlineStr">
        <is>
          <t>VIMMERBY</t>
        </is>
      </c>
      <c r="G507" t="n">
        <v>3.6</v>
      </c>
      <c r="H507" t="n">
        <v>0</v>
      </c>
      <c r="I507" t="n">
        <v>0</v>
      </c>
      <c r="J507" t="n">
        <v>0</v>
      </c>
      <c r="K507" t="n">
        <v>0</v>
      </c>
      <c r="L507" t="n">
        <v>0</v>
      </c>
      <c r="M507" t="n">
        <v>0</v>
      </c>
      <c r="N507" t="n">
        <v>0</v>
      </c>
      <c r="O507" t="n">
        <v>0</v>
      </c>
      <c r="P507" t="n">
        <v>0</v>
      </c>
      <c r="Q507" t="n">
        <v>0</v>
      </c>
      <c r="R507" s="2" t="inlineStr"/>
    </row>
    <row r="508" ht="15" customHeight="1">
      <c r="A508" t="inlineStr">
        <is>
          <t>A 65049-2020</t>
        </is>
      </c>
      <c r="B508" s="1" t="n">
        <v>44172</v>
      </c>
      <c r="C508" s="1" t="n">
        <v>45901</v>
      </c>
      <c r="D508" t="inlineStr">
        <is>
          <t>KALMAR LÄN</t>
        </is>
      </c>
      <c r="E508" t="inlineStr">
        <is>
          <t>VIMMERBY</t>
        </is>
      </c>
      <c r="G508" t="n">
        <v>2.3</v>
      </c>
      <c r="H508" t="n">
        <v>0</v>
      </c>
      <c r="I508" t="n">
        <v>0</v>
      </c>
      <c r="J508" t="n">
        <v>0</v>
      </c>
      <c r="K508" t="n">
        <v>0</v>
      </c>
      <c r="L508" t="n">
        <v>0</v>
      </c>
      <c r="M508" t="n">
        <v>0</v>
      </c>
      <c r="N508" t="n">
        <v>0</v>
      </c>
      <c r="O508" t="n">
        <v>0</v>
      </c>
      <c r="P508" t="n">
        <v>0</v>
      </c>
      <c r="Q508" t="n">
        <v>0</v>
      </c>
      <c r="R508" s="2" t="inlineStr"/>
    </row>
    <row r="509" ht="15" customHeight="1">
      <c r="A509" t="inlineStr">
        <is>
          <t>A 42165-2024</t>
        </is>
      </c>
      <c r="B509" s="1" t="n">
        <v>45562.46342592593</v>
      </c>
      <c r="C509" s="1" t="n">
        <v>45901</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31870-2025</t>
        </is>
      </c>
      <c r="B510" s="1" t="n">
        <v>45834.64667824074</v>
      </c>
      <c r="C510" s="1" t="n">
        <v>45901</v>
      </c>
      <c r="D510" t="inlineStr">
        <is>
          <t>KALMAR LÄN</t>
        </is>
      </c>
      <c r="E510" t="inlineStr">
        <is>
          <t>VIMMERBY</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20129-2024</t>
        </is>
      </c>
      <c r="B511" s="1" t="n">
        <v>45434.55831018519</v>
      </c>
      <c r="C511" s="1" t="n">
        <v>45901</v>
      </c>
      <c r="D511" t="inlineStr">
        <is>
          <t>KALMAR LÄN</t>
        </is>
      </c>
      <c r="E511" t="inlineStr">
        <is>
          <t>VIMMERBY</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20137-2024</t>
        </is>
      </c>
      <c r="B512" s="1" t="n">
        <v>45434.56398148148</v>
      </c>
      <c r="C512" s="1" t="n">
        <v>45901</v>
      </c>
      <c r="D512" t="inlineStr">
        <is>
          <t>KALMAR LÄN</t>
        </is>
      </c>
      <c r="E512" t="inlineStr">
        <is>
          <t>VIMMERBY</t>
        </is>
      </c>
      <c r="F512" t="inlineStr">
        <is>
          <t>Sveaskog</t>
        </is>
      </c>
      <c r="G512" t="n">
        <v>1.7</v>
      </c>
      <c r="H512" t="n">
        <v>0</v>
      </c>
      <c r="I512" t="n">
        <v>0</v>
      </c>
      <c r="J512" t="n">
        <v>0</v>
      </c>
      <c r="K512" t="n">
        <v>0</v>
      </c>
      <c r="L512" t="n">
        <v>0</v>
      </c>
      <c r="M512" t="n">
        <v>0</v>
      </c>
      <c r="N512" t="n">
        <v>0</v>
      </c>
      <c r="O512" t="n">
        <v>0</v>
      </c>
      <c r="P512" t="n">
        <v>0</v>
      </c>
      <c r="Q512" t="n">
        <v>0</v>
      </c>
      <c r="R512" s="2" t="inlineStr"/>
    </row>
    <row r="513" ht="15" customHeight="1">
      <c r="A513" t="inlineStr">
        <is>
          <t>A 23095-2023</t>
        </is>
      </c>
      <c r="B513" s="1" t="n">
        <v>45075.43059027778</v>
      </c>
      <c r="C513" s="1" t="n">
        <v>45901</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32919-2022</t>
        </is>
      </c>
      <c r="B514" s="1" t="n">
        <v>44784.62724537037</v>
      </c>
      <c r="C514" s="1" t="n">
        <v>45901</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37079-2025</t>
        </is>
      </c>
      <c r="B515" s="1" t="n">
        <v>45875.42716435185</v>
      </c>
      <c r="C515" s="1" t="n">
        <v>45901</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1978-2024</t>
        </is>
      </c>
      <c r="B516" s="1" t="n">
        <v>45308.59001157407</v>
      </c>
      <c r="C516" s="1" t="n">
        <v>45901</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6399-2025</t>
        </is>
      </c>
      <c r="B517" s="1" t="n">
        <v>45699.44291666667</v>
      </c>
      <c r="C517" s="1" t="n">
        <v>45901</v>
      </c>
      <c r="D517" t="inlineStr">
        <is>
          <t>KALMAR LÄN</t>
        </is>
      </c>
      <c r="E517" t="inlineStr">
        <is>
          <t>VIMMERBY</t>
        </is>
      </c>
      <c r="G517" t="n">
        <v>3.1</v>
      </c>
      <c r="H517" t="n">
        <v>0</v>
      </c>
      <c r="I517" t="n">
        <v>0</v>
      </c>
      <c r="J517" t="n">
        <v>0</v>
      </c>
      <c r="K517" t="n">
        <v>0</v>
      </c>
      <c r="L517" t="n">
        <v>0</v>
      </c>
      <c r="M517" t="n">
        <v>0</v>
      </c>
      <c r="N517" t="n">
        <v>0</v>
      </c>
      <c r="O517" t="n">
        <v>0</v>
      </c>
      <c r="P517" t="n">
        <v>0</v>
      </c>
      <c r="Q517" t="n">
        <v>0</v>
      </c>
      <c r="R517" s="2" t="inlineStr"/>
    </row>
    <row r="518" ht="15" customHeight="1">
      <c r="A518" t="inlineStr">
        <is>
          <t>A 41311-2023</t>
        </is>
      </c>
      <c r="B518" s="1" t="n">
        <v>45174</v>
      </c>
      <c r="C518" s="1" t="n">
        <v>45901</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8559-2025</t>
        </is>
      </c>
      <c r="B519" s="1" t="n">
        <v>45709.62280092593</v>
      </c>
      <c r="C519" s="1" t="n">
        <v>45901</v>
      </c>
      <c r="D519" t="inlineStr">
        <is>
          <t>KALMAR LÄN</t>
        </is>
      </c>
      <c r="E519" t="inlineStr">
        <is>
          <t>VIMMERBY</t>
        </is>
      </c>
      <c r="G519" t="n">
        <v>8.9</v>
      </c>
      <c r="H519" t="n">
        <v>0</v>
      </c>
      <c r="I519" t="n">
        <v>0</v>
      </c>
      <c r="J519" t="n">
        <v>0</v>
      </c>
      <c r="K519" t="n">
        <v>0</v>
      </c>
      <c r="L519" t="n">
        <v>0</v>
      </c>
      <c r="M519" t="n">
        <v>0</v>
      </c>
      <c r="N519" t="n">
        <v>0</v>
      </c>
      <c r="O519" t="n">
        <v>0</v>
      </c>
      <c r="P519" t="n">
        <v>0</v>
      </c>
      <c r="Q519" t="n">
        <v>0</v>
      </c>
      <c r="R519" s="2" t="inlineStr"/>
    </row>
    <row r="520" ht="15" customHeight="1">
      <c r="A520" t="inlineStr">
        <is>
          <t>A 7068-2024</t>
        </is>
      </c>
      <c r="B520" s="1" t="n">
        <v>45343.68038194445</v>
      </c>
      <c r="C520" s="1" t="n">
        <v>45901</v>
      </c>
      <c r="D520" t="inlineStr">
        <is>
          <t>KALMAR LÄN</t>
        </is>
      </c>
      <c r="E520" t="inlineStr">
        <is>
          <t>VIMMERBY</t>
        </is>
      </c>
      <c r="G520" t="n">
        <v>2.5</v>
      </c>
      <c r="H520" t="n">
        <v>0</v>
      </c>
      <c r="I520" t="n">
        <v>0</v>
      </c>
      <c r="J520" t="n">
        <v>0</v>
      </c>
      <c r="K520" t="n">
        <v>0</v>
      </c>
      <c r="L520" t="n">
        <v>0</v>
      </c>
      <c r="M520" t="n">
        <v>0</v>
      </c>
      <c r="N520" t="n">
        <v>0</v>
      </c>
      <c r="O520" t="n">
        <v>0</v>
      </c>
      <c r="P520" t="n">
        <v>0</v>
      </c>
      <c r="Q520" t="n">
        <v>0</v>
      </c>
      <c r="R520" s="2" t="inlineStr"/>
    </row>
    <row r="521" ht="15" customHeight="1">
      <c r="A521" t="inlineStr">
        <is>
          <t>A 31872-2025</t>
        </is>
      </c>
      <c r="B521" s="1" t="n">
        <v>45834.65040509259</v>
      </c>
      <c r="C521" s="1" t="n">
        <v>45901</v>
      </c>
      <c r="D521" t="inlineStr">
        <is>
          <t>KALMAR LÄN</t>
        </is>
      </c>
      <c r="E521" t="inlineStr">
        <is>
          <t>VIMMERBY</t>
        </is>
      </c>
      <c r="F521" t="inlineStr">
        <is>
          <t>Sveaskog</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31876-2025</t>
        </is>
      </c>
      <c r="B522" s="1" t="n">
        <v>45834.65197916667</v>
      </c>
      <c r="C522" s="1" t="n">
        <v>45901</v>
      </c>
      <c r="D522" t="inlineStr">
        <is>
          <t>KALMAR LÄN</t>
        </is>
      </c>
      <c r="E522" t="inlineStr">
        <is>
          <t>VIMMERBY</t>
        </is>
      </c>
      <c r="F522" t="inlineStr">
        <is>
          <t>Sveaskog</t>
        </is>
      </c>
      <c r="G522" t="n">
        <v>3.3</v>
      </c>
      <c r="H522" t="n">
        <v>0</v>
      </c>
      <c r="I522" t="n">
        <v>0</v>
      </c>
      <c r="J522" t="n">
        <v>0</v>
      </c>
      <c r="K522" t="n">
        <v>0</v>
      </c>
      <c r="L522" t="n">
        <v>0</v>
      </c>
      <c r="M522" t="n">
        <v>0</v>
      </c>
      <c r="N522" t="n">
        <v>0</v>
      </c>
      <c r="O522" t="n">
        <v>0</v>
      </c>
      <c r="P522" t="n">
        <v>0</v>
      </c>
      <c r="Q522" t="n">
        <v>0</v>
      </c>
      <c r="R522" s="2" t="inlineStr"/>
    </row>
    <row r="523" ht="15" customHeight="1">
      <c r="A523" t="inlineStr">
        <is>
          <t>A 12596-2021</t>
        </is>
      </c>
      <c r="B523" s="1" t="n">
        <v>44270.39765046296</v>
      </c>
      <c r="C523" s="1" t="n">
        <v>45901</v>
      </c>
      <c r="D523" t="inlineStr">
        <is>
          <t>KALMAR LÄN</t>
        </is>
      </c>
      <c r="E523" t="inlineStr">
        <is>
          <t>VIMMERBY</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31551-2025</t>
        </is>
      </c>
      <c r="B524" s="1" t="n">
        <v>45833.64237268519</v>
      </c>
      <c r="C524" s="1" t="n">
        <v>45901</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31987-2025</t>
        </is>
      </c>
      <c r="B525" s="1" t="n">
        <v>45835.36229166666</v>
      </c>
      <c r="C525" s="1" t="n">
        <v>45901</v>
      </c>
      <c r="D525" t="inlineStr">
        <is>
          <t>KALMAR LÄN</t>
        </is>
      </c>
      <c r="E525" t="inlineStr">
        <is>
          <t>VIMMERBY</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32120-2025</t>
        </is>
      </c>
      <c r="B526" s="1" t="n">
        <v>45835.4924537037</v>
      </c>
      <c r="C526" s="1" t="n">
        <v>45901</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32655-2023</t>
        </is>
      </c>
      <c r="B527" s="1" t="n">
        <v>45121.61318287037</v>
      </c>
      <c r="C527" s="1" t="n">
        <v>45901</v>
      </c>
      <c r="D527" t="inlineStr">
        <is>
          <t>KALMAR LÄN</t>
        </is>
      </c>
      <c r="E527" t="inlineStr">
        <is>
          <t>VIMMERBY</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32116-2025</t>
        </is>
      </c>
      <c r="B528" s="1" t="n">
        <v>45835.48862268519</v>
      </c>
      <c r="C528" s="1" t="n">
        <v>45901</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37578-2025</t>
        </is>
      </c>
      <c r="B529" s="1" t="n">
        <v>45880.38380787037</v>
      </c>
      <c r="C529" s="1" t="n">
        <v>45901</v>
      </c>
      <c r="D529" t="inlineStr">
        <is>
          <t>KALMAR LÄN</t>
        </is>
      </c>
      <c r="E529" t="inlineStr">
        <is>
          <t>VIMMERBY</t>
        </is>
      </c>
      <c r="G529" t="n">
        <v>0.7</v>
      </c>
      <c r="H529" t="n">
        <v>0</v>
      </c>
      <c r="I529" t="n">
        <v>0</v>
      </c>
      <c r="J529" t="n">
        <v>0</v>
      </c>
      <c r="K529" t="n">
        <v>0</v>
      </c>
      <c r="L529" t="n">
        <v>0</v>
      </c>
      <c r="M529" t="n">
        <v>0</v>
      </c>
      <c r="N529" t="n">
        <v>0</v>
      </c>
      <c r="O529" t="n">
        <v>0</v>
      </c>
      <c r="P529" t="n">
        <v>0</v>
      </c>
      <c r="Q529" t="n">
        <v>0</v>
      </c>
      <c r="R529" s="2" t="inlineStr"/>
    </row>
    <row r="530" ht="15" customHeight="1">
      <c r="A530" t="inlineStr">
        <is>
          <t>A 10785-2025</t>
        </is>
      </c>
      <c r="B530" s="1" t="n">
        <v>45722.48634259259</v>
      </c>
      <c r="C530" s="1" t="n">
        <v>45901</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54409-2024</t>
        </is>
      </c>
      <c r="B531" s="1" t="n">
        <v>45617.47570601852</v>
      </c>
      <c r="C531" s="1" t="n">
        <v>45901</v>
      </c>
      <c r="D531" t="inlineStr">
        <is>
          <t>KALMAR LÄN</t>
        </is>
      </c>
      <c r="E531" t="inlineStr">
        <is>
          <t>VIMMERBY</t>
        </is>
      </c>
      <c r="G531" t="n">
        <v>4.3</v>
      </c>
      <c r="H531" t="n">
        <v>0</v>
      </c>
      <c r="I531" t="n">
        <v>0</v>
      </c>
      <c r="J531" t="n">
        <v>0</v>
      </c>
      <c r="K531" t="n">
        <v>0</v>
      </c>
      <c r="L531" t="n">
        <v>0</v>
      </c>
      <c r="M531" t="n">
        <v>0</v>
      </c>
      <c r="N531" t="n">
        <v>0</v>
      </c>
      <c r="O531" t="n">
        <v>0</v>
      </c>
      <c r="P531" t="n">
        <v>0</v>
      </c>
      <c r="Q531" t="n">
        <v>0</v>
      </c>
      <c r="R531" s="2" t="inlineStr"/>
    </row>
    <row r="532" ht="15" customHeight="1">
      <c r="A532" t="inlineStr">
        <is>
          <t>A 37667-2025</t>
        </is>
      </c>
      <c r="B532" s="1" t="n">
        <v>45880.51413194444</v>
      </c>
      <c r="C532" s="1" t="n">
        <v>45901</v>
      </c>
      <c r="D532" t="inlineStr">
        <is>
          <t>KALMAR LÄN</t>
        </is>
      </c>
      <c r="E532" t="inlineStr">
        <is>
          <t>VIMMERBY</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37668-2025</t>
        </is>
      </c>
      <c r="B533" s="1" t="n">
        <v>45880.51550925926</v>
      </c>
      <c r="C533" s="1" t="n">
        <v>45901</v>
      </c>
      <c r="D533" t="inlineStr">
        <is>
          <t>KALMAR LÄN</t>
        </is>
      </c>
      <c r="E533" t="inlineStr">
        <is>
          <t>VIMMERBY</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32380-2025</t>
        </is>
      </c>
      <c r="B534" s="1" t="n">
        <v>45837.77701388889</v>
      </c>
      <c r="C534" s="1" t="n">
        <v>45901</v>
      </c>
      <c r="D534" t="inlineStr">
        <is>
          <t>KALMAR LÄN</t>
        </is>
      </c>
      <c r="E534" t="inlineStr">
        <is>
          <t>VIMMERBY</t>
        </is>
      </c>
      <c r="G534" t="n">
        <v>3.1</v>
      </c>
      <c r="H534" t="n">
        <v>0</v>
      </c>
      <c r="I534" t="n">
        <v>0</v>
      </c>
      <c r="J534" t="n">
        <v>0</v>
      </c>
      <c r="K534" t="n">
        <v>0</v>
      </c>
      <c r="L534" t="n">
        <v>0</v>
      </c>
      <c r="M534" t="n">
        <v>0</v>
      </c>
      <c r="N534" t="n">
        <v>0</v>
      </c>
      <c r="O534" t="n">
        <v>0</v>
      </c>
      <c r="P534" t="n">
        <v>0</v>
      </c>
      <c r="Q534" t="n">
        <v>0</v>
      </c>
      <c r="R534" s="2" t="inlineStr"/>
    </row>
    <row r="535" ht="15" customHeight="1">
      <c r="A535" t="inlineStr">
        <is>
          <t>A 32109-2025</t>
        </is>
      </c>
      <c r="B535" s="1" t="n">
        <v>45835.48267361111</v>
      </c>
      <c r="C535" s="1" t="n">
        <v>45901</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32113-2025</t>
        </is>
      </c>
      <c r="B536" s="1" t="n">
        <v>45835.48445601852</v>
      </c>
      <c r="C536" s="1" t="n">
        <v>45901</v>
      </c>
      <c r="D536" t="inlineStr">
        <is>
          <t>KALMAR LÄN</t>
        </is>
      </c>
      <c r="E536" t="inlineStr">
        <is>
          <t>VIMMERBY</t>
        </is>
      </c>
      <c r="G536" t="n">
        <v>3.5</v>
      </c>
      <c r="H536" t="n">
        <v>0</v>
      </c>
      <c r="I536" t="n">
        <v>0</v>
      </c>
      <c r="J536" t="n">
        <v>0</v>
      </c>
      <c r="K536" t="n">
        <v>0</v>
      </c>
      <c r="L536" t="n">
        <v>0</v>
      </c>
      <c r="M536" t="n">
        <v>0</v>
      </c>
      <c r="N536" t="n">
        <v>0</v>
      </c>
      <c r="O536" t="n">
        <v>0</v>
      </c>
      <c r="P536" t="n">
        <v>0</v>
      </c>
      <c r="Q536" t="n">
        <v>0</v>
      </c>
      <c r="R536" s="2" t="inlineStr"/>
    </row>
    <row r="537" ht="15" customHeight="1">
      <c r="A537" t="inlineStr">
        <is>
          <t>A 10211-2025</t>
        </is>
      </c>
      <c r="B537" s="1" t="n">
        <v>45719.84378472222</v>
      </c>
      <c r="C537" s="1" t="n">
        <v>45901</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32077-2025</t>
        </is>
      </c>
      <c r="B538" s="1" t="n">
        <v>45835.45099537037</v>
      </c>
      <c r="C538" s="1" t="n">
        <v>45901</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32382-2025</t>
        </is>
      </c>
      <c r="B539" s="1" t="n">
        <v>45837.77916666667</v>
      </c>
      <c r="C539" s="1" t="n">
        <v>45901</v>
      </c>
      <c r="D539" t="inlineStr">
        <is>
          <t>KALMAR LÄN</t>
        </is>
      </c>
      <c r="E539" t="inlineStr">
        <is>
          <t>VIMMERBY</t>
        </is>
      </c>
      <c r="G539" t="n">
        <v>4.6</v>
      </c>
      <c r="H539" t="n">
        <v>0</v>
      </c>
      <c r="I539" t="n">
        <v>0</v>
      </c>
      <c r="J539" t="n">
        <v>0</v>
      </c>
      <c r="K539" t="n">
        <v>0</v>
      </c>
      <c r="L539" t="n">
        <v>0</v>
      </c>
      <c r="M539" t="n">
        <v>0</v>
      </c>
      <c r="N539" t="n">
        <v>0</v>
      </c>
      <c r="O539" t="n">
        <v>0</v>
      </c>
      <c r="P539" t="n">
        <v>0</v>
      </c>
      <c r="Q539" t="n">
        <v>0</v>
      </c>
      <c r="R539" s="2" t="inlineStr"/>
    </row>
    <row r="540" ht="15" customHeight="1">
      <c r="A540" t="inlineStr">
        <is>
          <t>A 9475-2023</t>
        </is>
      </c>
      <c r="B540" s="1" t="n">
        <v>44981.58834490741</v>
      </c>
      <c r="C540" s="1" t="n">
        <v>45901</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32064-2025</t>
        </is>
      </c>
      <c r="B541" s="1" t="n">
        <v>45835.44709490741</v>
      </c>
      <c r="C541" s="1" t="n">
        <v>45901</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18020-2025</t>
        </is>
      </c>
      <c r="B542" s="1" t="n">
        <v>45761.4437962963</v>
      </c>
      <c r="C542" s="1" t="n">
        <v>45901</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32065-2025</t>
        </is>
      </c>
      <c r="B543" s="1" t="n">
        <v>45835.44732638889</v>
      </c>
      <c r="C543" s="1" t="n">
        <v>45901</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585-2024</t>
        </is>
      </c>
      <c r="B544" s="1" t="n">
        <v>45299.62576388889</v>
      </c>
      <c r="C544" s="1" t="n">
        <v>45901</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37866-2025</t>
        </is>
      </c>
      <c r="B545" s="1" t="n">
        <v>45881</v>
      </c>
      <c r="C545" s="1" t="n">
        <v>45901</v>
      </c>
      <c r="D545" t="inlineStr">
        <is>
          <t>KALMAR LÄN</t>
        </is>
      </c>
      <c r="E545" t="inlineStr">
        <is>
          <t>VIMMERBY</t>
        </is>
      </c>
      <c r="G545" t="n">
        <v>3.4</v>
      </c>
      <c r="H545" t="n">
        <v>0</v>
      </c>
      <c r="I545" t="n">
        <v>0</v>
      </c>
      <c r="J545" t="n">
        <v>0</v>
      </c>
      <c r="K545" t="n">
        <v>0</v>
      </c>
      <c r="L545" t="n">
        <v>0</v>
      </c>
      <c r="M545" t="n">
        <v>0</v>
      </c>
      <c r="N545" t="n">
        <v>0</v>
      </c>
      <c r="O545" t="n">
        <v>0</v>
      </c>
      <c r="P545" t="n">
        <v>0</v>
      </c>
      <c r="Q545" t="n">
        <v>0</v>
      </c>
      <c r="R545" s="2" t="inlineStr"/>
    </row>
    <row r="546" ht="15" customHeight="1">
      <c r="A546" t="inlineStr">
        <is>
          <t>A 6802-2025</t>
        </is>
      </c>
      <c r="B546" s="1" t="n">
        <v>45700.68289351852</v>
      </c>
      <c r="C546" s="1" t="n">
        <v>45901</v>
      </c>
      <c r="D546" t="inlineStr">
        <is>
          <t>KALMAR LÄN</t>
        </is>
      </c>
      <c r="E546" t="inlineStr">
        <is>
          <t>VIMMERBY</t>
        </is>
      </c>
      <c r="G546" t="n">
        <v>1.3</v>
      </c>
      <c r="H546" t="n">
        <v>0</v>
      </c>
      <c r="I546" t="n">
        <v>0</v>
      </c>
      <c r="J546" t="n">
        <v>0</v>
      </c>
      <c r="K546" t="n">
        <v>0</v>
      </c>
      <c r="L546" t="n">
        <v>0</v>
      </c>
      <c r="M546" t="n">
        <v>0</v>
      </c>
      <c r="N546" t="n">
        <v>0</v>
      </c>
      <c r="O546" t="n">
        <v>0</v>
      </c>
      <c r="P546" t="n">
        <v>0</v>
      </c>
      <c r="Q546" t="n">
        <v>0</v>
      </c>
      <c r="R546" s="2" t="inlineStr"/>
    </row>
    <row r="547" ht="15" customHeight="1">
      <c r="A547" t="inlineStr">
        <is>
          <t>A 43092-2024</t>
        </is>
      </c>
      <c r="B547" s="1" t="n">
        <v>45567</v>
      </c>
      <c r="C547" s="1" t="n">
        <v>45901</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11619-2023</t>
        </is>
      </c>
      <c r="B548" s="1" t="n">
        <v>44994.42113425926</v>
      </c>
      <c r="C548" s="1" t="n">
        <v>45901</v>
      </c>
      <c r="D548" t="inlineStr">
        <is>
          <t>KALMAR LÄN</t>
        </is>
      </c>
      <c r="E548" t="inlineStr">
        <is>
          <t>VIMMERBY</t>
        </is>
      </c>
      <c r="G548" t="n">
        <v>2.5</v>
      </c>
      <c r="H548" t="n">
        <v>0</v>
      </c>
      <c r="I548" t="n">
        <v>0</v>
      </c>
      <c r="J548" t="n">
        <v>0</v>
      </c>
      <c r="K548" t="n">
        <v>0</v>
      </c>
      <c r="L548" t="n">
        <v>0</v>
      </c>
      <c r="M548" t="n">
        <v>0</v>
      </c>
      <c r="N548" t="n">
        <v>0</v>
      </c>
      <c r="O548" t="n">
        <v>0</v>
      </c>
      <c r="P548" t="n">
        <v>0</v>
      </c>
      <c r="Q548" t="n">
        <v>0</v>
      </c>
      <c r="R548" s="2" t="inlineStr"/>
    </row>
    <row r="549" ht="15" customHeight="1">
      <c r="A549" t="inlineStr">
        <is>
          <t>A 33186-2025</t>
        </is>
      </c>
      <c r="B549" s="1" t="n">
        <v>45840.59474537037</v>
      </c>
      <c r="C549" s="1" t="n">
        <v>45901</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33188-2025</t>
        </is>
      </c>
      <c r="B550" s="1" t="n">
        <v>45840.59853009259</v>
      </c>
      <c r="C550" s="1" t="n">
        <v>45901</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5074-2023</t>
        </is>
      </c>
      <c r="B551" s="1" t="n">
        <v>44958.61047453704</v>
      </c>
      <c r="C551" s="1" t="n">
        <v>45901</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56020-2024</t>
        </is>
      </c>
      <c r="B552" s="1" t="n">
        <v>45623.9525462963</v>
      </c>
      <c r="C552" s="1" t="n">
        <v>45901</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33842-2022</t>
        </is>
      </c>
      <c r="B553" s="1" t="n">
        <v>44790.49523148148</v>
      </c>
      <c r="C553" s="1" t="n">
        <v>45901</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60675-2023</t>
        </is>
      </c>
      <c r="B554" s="1" t="n">
        <v>45260.4716550926</v>
      </c>
      <c r="C554" s="1" t="n">
        <v>45901</v>
      </c>
      <c r="D554" t="inlineStr">
        <is>
          <t>KALMAR LÄN</t>
        </is>
      </c>
      <c r="E554" t="inlineStr">
        <is>
          <t>VIMMERBY</t>
        </is>
      </c>
      <c r="G554" t="n">
        <v>1.2</v>
      </c>
      <c r="H554" t="n">
        <v>0</v>
      </c>
      <c r="I554" t="n">
        <v>0</v>
      </c>
      <c r="J554" t="n">
        <v>0</v>
      </c>
      <c r="K554" t="n">
        <v>0</v>
      </c>
      <c r="L554" t="n">
        <v>0</v>
      </c>
      <c r="M554" t="n">
        <v>0</v>
      </c>
      <c r="N554" t="n">
        <v>0</v>
      </c>
      <c r="O554" t="n">
        <v>0</v>
      </c>
      <c r="P554" t="n">
        <v>0</v>
      </c>
      <c r="Q554" t="n">
        <v>0</v>
      </c>
      <c r="R554" s="2" t="inlineStr"/>
    </row>
    <row r="555" ht="15" customHeight="1">
      <c r="A555" t="inlineStr">
        <is>
          <t>A 30977-2025</t>
        </is>
      </c>
      <c r="B555" s="1" t="n">
        <v>45832.46649305556</v>
      </c>
      <c r="C555" s="1" t="n">
        <v>45901</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40095-2022</t>
        </is>
      </c>
      <c r="B556" s="1" t="n">
        <v>44820</v>
      </c>
      <c r="C556" s="1" t="n">
        <v>45901</v>
      </c>
      <c r="D556" t="inlineStr">
        <is>
          <t>KALMAR LÄN</t>
        </is>
      </c>
      <c r="E556" t="inlineStr">
        <is>
          <t>VIMMERBY</t>
        </is>
      </c>
      <c r="G556" t="n">
        <v>2.4</v>
      </c>
      <c r="H556" t="n">
        <v>0</v>
      </c>
      <c r="I556" t="n">
        <v>0</v>
      </c>
      <c r="J556" t="n">
        <v>0</v>
      </c>
      <c r="K556" t="n">
        <v>0</v>
      </c>
      <c r="L556" t="n">
        <v>0</v>
      </c>
      <c r="M556" t="n">
        <v>0</v>
      </c>
      <c r="N556" t="n">
        <v>0</v>
      </c>
      <c r="O556" t="n">
        <v>0</v>
      </c>
      <c r="P556" t="n">
        <v>0</v>
      </c>
      <c r="Q556" t="n">
        <v>0</v>
      </c>
      <c r="R556" s="2" t="inlineStr"/>
    </row>
    <row r="557" ht="15" customHeight="1">
      <c r="A557" t="inlineStr">
        <is>
          <t>A 37939-2025</t>
        </is>
      </c>
      <c r="B557" s="1" t="n">
        <v>45881.59877314815</v>
      </c>
      <c r="C557" s="1" t="n">
        <v>45901</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38604-2025</t>
        </is>
      </c>
      <c r="B558" s="1" t="n">
        <v>45884.50613425926</v>
      </c>
      <c r="C558" s="1" t="n">
        <v>45901</v>
      </c>
      <c r="D558" t="inlineStr">
        <is>
          <t>KALMAR LÄN</t>
        </is>
      </c>
      <c r="E558" t="inlineStr">
        <is>
          <t>VIMMERBY</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19537-2022</t>
        </is>
      </c>
      <c r="B559" s="1" t="n">
        <v>44693.62822916666</v>
      </c>
      <c r="C559" s="1" t="n">
        <v>45901</v>
      </c>
      <c r="D559" t="inlineStr">
        <is>
          <t>KALMAR LÄN</t>
        </is>
      </c>
      <c r="E559" t="inlineStr">
        <is>
          <t>VIMMERBY</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19502-2025</t>
        </is>
      </c>
      <c r="B560" s="1" t="n">
        <v>45769</v>
      </c>
      <c r="C560" s="1" t="n">
        <v>45901</v>
      </c>
      <c r="D560" t="inlineStr">
        <is>
          <t>KALMAR LÄN</t>
        </is>
      </c>
      <c r="E560" t="inlineStr">
        <is>
          <t>VIMMERBY</t>
        </is>
      </c>
      <c r="G560" t="n">
        <v>1.9</v>
      </c>
      <c r="H560" t="n">
        <v>0</v>
      </c>
      <c r="I560" t="n">
        <v>0</v>
      </c>
      <c r="J560" t="n">
        <v>0</v>
      </c>
      <c r="K560" t="n">
        <v>0</v>
      </c>
      <c r="L560" t="n">
        <v>0</v>
      </c>
      <c r="M560" t="n">
        <v>0</v>
      </c>
      <c r="N560" t="n">
        <v>0</v>
      </c>
      <c r="O560" t="n">
        <v>0</v>
      </c>
      <c r="P560" t="n">
        <v>0</v>
      </c>
      <c r="Q560" t="n">
        <v>0</v>
      </c>
      <c r="R560" s="2" t="inlineStr"/>
    </row>
    <row r="561" ht="15" customHeight="1">
      <c r="A561" t="inlineStr">
        <is>
          <t>A 57311-2023</t>
        </is>
      </c>
      <c r="B561" s="1" t="n">
        <v>45245.63574074074</v>
      </c>
      <c r="C561" s="1" t="n">
        <v>45901</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64428-2023</t>
        </is>
      </c>
      <c r="B562" s="1" t="n">
        <v>45280.66769675926</v>
      </c>
      <c r="C562" s="1" t="n">
        <v>45901</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4527-2023</t>
        </is>
      </c>
      <c r="B563" s="1" t="n">
        <v>44956</v>
      </c>
      <c r="C563" s="1" t="n">
        <v>45901</v>
      </c>
      <c r="D563" t="inlineStr">
        <is>
          <t>KALMAR LÄN</t>
        </is>
      </c>
      <c r="E563" t="inlineStr">
        <is>
          <t>VIMMERBY</t>
        </is>
      </c>
      <c r="F563" t="inlineStr">
        <is>
          <t>Kommuner</t>
        </is>
      </c>
      <c r="G563" t="n">
        <v>8.5</v>
      </c>
      <c r="H563" t="n">
        <v>0</v>
      </c>
      <c r="I563" t="n">
        <v>0</v>
      </c>
      <c r="J563" t="n">
        <v>0</v>
      </c>
      <c r="K563" t="n">
        <v>0</v>
      </c>
      <c r="L563" t="n">
        <v>0</v>
      </c>
      <c r="M563" t="n">
        <v>0</v>
      </c>
      <c r="N563" t="n">
        <v>0</v>
      </c>
      <c r="O563" t="n">
        <v>0</v>
      </c>
      <c r="P563" t="n">
        <v>0</v>
      </c>
      <c r="Q563" t="n">
        <v>0</v>
      </c>
      <c r="R563" s="2" t="inlineStr"/>
    </row>
    <row r="564" ht="15" customHeight="1">
      <c r="A564" t="inlineStr">
        <is>
          <t>A 3268-2024</t>
        </is>
      </c>
      <c r="B564" s="1" t="n">
        <v>45317</v>
      </c>
      <c r="C564" s="1" t="n">
        <v>45901</v>
      </c>
      <c r="D564" t="inlineStr">
        <is>
          <t>KALMAR LÄN</t>
        </is>
      </c>
      <c r="E564" t="inlineStr">
        <is>
          <t>VIMMERBY</t>
        </is>
      </c>
      <c r="F564" t="inlineStr">
        <is>
          <t>Övriga Aktiebolag</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51408-2023</t>
        </is>
      </c>
      <c r="B565" s="1" t="n">
        <v>45219.69356481481</v>
      </c>
      <c r="C565" s="1" t="n">
        <v>45901</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12480-2024</t>
        </is>
      </c>
      <c r="B566" s="1" t="n">
        <v>45379</v>
      </c>
      <c r="C566" s="1" t="n">
        <v>45901</v>
      </c>
      <c r="D566" t="inlineStr">
        <is>
          <t>KALMAR LÄN</t>
        </is>
      </c>
      <c r="E566" t="inlineStr">
        <is>
          <t>VIMMERBY</t>
        </is>
      </c>
      <c r="G566" t="n">
        <v>2.8</v>
      </c>
      <c r="H566" t="n">
        <v>0</v>
      </c>
      <c r="I566" t="n">
        <v>0</v>
      </c>
      <c r="J566" t="n">
        <v>0</v>
      </c>
      <c r="K566" t="n">
        <v>0</v>
      </c>
      <c r="L566" t="n">
        <v>0</v>
      </c>
      <c r="M566" t="n">
        <v>0</v>
      </c>
      <c r="N566" t="n">
        <v>0</v>
      </c>
      <c r="O566" t="n">
        <v>0</v>
      </c>
      <c r="P566" t="n">
        <v>0</v>
      </c>
      <c r="Q566" t="n">
        <v>0</v>
      </c>
      <c r="R566" s="2" t="inlineStr"/>
    </row>
    <row r="567" ht="15" customHeight="1">
      <c r="A567" t="inlineStr">
        <is>
          <t>A 52588-2023</t>
        </is>
      </c>
      <c r="B567" s="1" t="n">
        <v>45225.60192129629</v>
      </c>
      <c r="C567" s="1" t="n">
        <v>45901</v>
      </c>
      <c r="D567" t="inlineStr">
        <is>
          <t>KALMAR LÄN</t>
        </is>
      </c>
      <c r="E567" t="inlineStr">
        <is>
          <t>VIMMERBY</t>
        </is>
      </c>
      <c r="G567" t="n">
        <v>2.9</v>
      </c>
      <c r="H567" t="n">
        <v>0</v>
      </c>
      <c r="I567" t="n">
        <v>0</v>
      </c>
      <c r="J567" t="n">
        <v>0</v>
      </c>
      <c r="K567" t="n">
        <v>0</v>
      </c>
      <c r="L567" t="n">
        <v>0</v>
      </c>
      <c r="M567" t="n">
        <v>0</v>
      </c>
      <c r="N567" t="n">
        <v>0</v>
      </c>
      <c r="O567" t="n">
        <v>0</v>
      </c>
      <c r="P567" t="n">
        <v>0</v>
      </c>
      <c r="Q567" t="n">
        <v>0</v>
      </c>
      <c r="R567" s="2" t="inlineStr"/>
    </row>
    <row r="568" ht="15" customHeight="1">
      <c r="A568" t="inlineStr">
        <is>
          <t>A 33695-2025</t>
        </is>
      </c>
      <c r="B568" s="1" t="n">
        <v>45841.70569444444</v>
      </c>
      <c r="C568" s="1" t="n">
        <v>45901</v>
      </c>
      <c r="D568" t="inlineStr">
        <is>
          <t>KALMAR LÄN</t>
        </is>
      </c>
      <c r="E568" t="inlineStr">
        <is>
          <t>VIMMERBY</t>
        </is>
      </c>
      <c r="G568" t="n">
        <v>2.7</v>
      </c>
      <c r="H568" t="n">
        <v>0</v>
      </c>
      <c r="I568" t="n">
        <v>0</v>
      </c>
      <c r="J568" t="n">
        <v>0</v>
      </c>
      <c r="K568" t="n">
        <v>0</v>
      </c>
      <c r="L568" t="n">
        <v>0</v>
      </c>
      <c r="M568" t="n">
        <v>0</v>
      </c>
      <c r="N568" t="n">
        <v>0</v>
      </c>
      <c r="O568" t="n">
        <v>0</v>
      </c>
      <c r="P568" t="n">
        <v>0</v>
      </c>
      <c r="Q568" t="n">
        <v>0</v>
      </c>
      <c r="R568" s="2" t="inlineStr"/>
    </row>
    <row r="569" ht="15" customHeight="1">
      <c r="A569" t="inlineStr">
        <is>
          <t>A 33698-2025</t>
        </is>
      </c>
      <c r="B569" s="1" t="n">
        <v>45841.70868055556</v>
      </c>
      <c r="C569" s="1" t="n">
        <v>45901</v>
      </c>
      <c r="D569" t="inlineStr">
        <is>
          <t>KALMAR LÄN</t>
        </is>
      </c>
      <c r="E569" t="inlineStr">
        <is>
          <t>VIMMERBY</t>
        </is>
      </c>
      <c r="G569" t="n">
        <v>3.7</v>
      </c>
      <c r="H569" t="n">
        <v>0</v>
      </c>
      <c r="I569" t="n">
        <v>0</v>
      </c>
      <c r="J569" t="n">
        <v>0</v>
      </c>
      <c r="K569" t="n">
        <v>0</v>
      </c>
      <c r="L569" t="n">
        <v>0</v>
      </c>
      <c r="M569" t="n">
        <v>0</v>
      </c>
      <c r="N569" t="n">
        <v>0</v>
      </c>
      <c r="O569" t="n">
        <v>0</v>
      </c>
      <c r="P569" t="n">
        <v>0</v>
      </c>
      <c r="Q569" t="n">
        <v>0</v>
      </c>
      <c r="R569" s="2" t="inlineStr"/>
    </row>
    <row r="570" ht="15" customHeight="1">
      <c r="A570" t="inlineStr">
        <is>
          <t>A 6368-2023</t>
        </is>
      </c>
      <c r="B570" s="1" t="n">
        <v>44965</v>
      </c>
      <c r="C570" s="1" t="n">
        <v>45901</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55236-2023</t>
        </is>
      </c>
      <c r="B571" s="1" t="n">
        <v>45237.63225694445</v>
      </c>
      <c r="C571" s="1" t="n">
        <v>45901</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55245-2023</t>
        </is>
      </c>
      <c r="B572" s="1" t="n">
        <v>45237.64408564815</v>
      </c>
      <c r="C572" s="1" t="n">
        <v>45901</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5701-2024</t>
        </is>
      </c>
      <c r="B573" s="1" t="n">
        <v>45334.78826388889</v>
      </c>
      <c r="C573" s="1" t="n">
        <v>45901</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19111-2025</t>
        </is>
      </c>
      <c r="B574" s="1" t="n">
        <v>45768.65611111111</v>
      </c>
      <c r="C574" s="1" t="n">
        <v>45901</v>
      </c>
      <c r="D574" t="inlineStr">
        <is>
          <t>KALMAR LÄN</t>
        </is>
      </c>
      <c r="E574" t="inlineStr">
        <is>
          <t>VIMMERBY</t>
        </is>
      </c>
      <c r="G574" t="n">
        <v>6.2</v>
      </c>
      <c r="H574" t="n">
        <v>0</v>
      </c>
      <c r="I574" t="n">
        <v>0</v>
      </c>
      <c r="J574" t="n">
        <v>0</v>
      </c>
      <c r="K574" t="n">
        <v>0</v>
      </c>
      <c r="L574" t="n">
        <v>0</v>
      </c>
      <c r="M574" t="n">
        <v>0</v>
      </c>
      <c r="N574" t="n">
        <v>0</v>
      </c>
      <c r="O574" t="n">
        <v>0</v>
      </c>
      <c r="P574" t="n">
        <v>0</v>
      </c>
      <c r="Q574" t="n">
        <v>0</v>
      </c>
      <c r="R574" s="2" t="inlineStr"/>
    </row>
    <row r="575" ht="15" customHeight="1">
      <c r="A575" t="inlineStr">
        <is>
          <t>A 7797-2023</t>
        </is>
      </c>
      <c r="B575" s="1" t="n">
        <v>44973.43075231482</v>
      </c>
      <c r="C575" s="1" t="n">
        <v>45901</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33696-2025</t>
        </is>
      </c>
      <c r="B576" s="1" t="n">
        <v>45841.7072337963</v>
      </c>
      <c r="C576" s="1" t="n">
        <v>45901</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24655-2021</t>
        </is>
      </c>
      <c r="B577" s="1" t="n">
        <v>44340</v>
      </c>
      <c r="C577" s="1" t="n">
        <v>45901</v>
      </c>
      <c r="D577" t="inlineStr">
        <is>
          <t>KALMAR LÄN</t>
        </is>
      </c>
      <c r="E577" t="inlineStr">
        <is>
          <t>VIMMERBY</t>
        </is>
      </c>
      <c r="G577" t="n">
        <v>14.9</v>
      </c>
      <c r="H577" t="n">
        <v>0</v>
      </c>
      <c r="I577" t="n">
        <v>0</v>
      </c>
      <c r="J577" t="n">
        <v>0</v>
      </c>
      <c r="K577" t="n">
        <v>0</v>
      </c>
      <c r="L577" t="n">
        <v>0</v>
      </c>
      <c r="M577" t="n">
        <v>0</v>
      </c>
      <c r="N577" t="n">
        <v>0</v>
      </c>
      <c r="O577" t="n">
        <v>0</v>
      </c>
      <c r="P577" t="n">
        <v>0</v>
      </c>
      <c r="Q577" t="n">
        <v>0</v>
      </c>
      <c r="R577" s="2" t="inlineStr"/>
    </row>
    <row r="578" ht="15" customHeight="1">
      <c r="A578" t="inlineStr">
        <is>
          <t>A 25370-2022</t>
        </is>
      </c>
      <c r="B578" s="1" t="n">
        <v>44732.3659837963</v>
      </c>
      <c r="C578" s="1" t="n">
        <v>45901</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38602-2025</t>
        </is>
      </c>
      <c r="B579" s="1" t="n">
        <v>45884.50331018519</v>
      </c>
      <c r="C579" s="1" t="n">
        <v>45901</v>
      </c>
      <c r="D579" t="inlineStr">
        <is>
          <t>KALMAR LÄN</t>
        </is>
      </c>
      <c r="E579" t="inlineStr">
        <is>
          <t>VIMMERBY</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28702-2025</t>
        </is>
      </c>
      <c r="B580" s="1" t="n">
        <v>45820.03976851852</v>
      </c>
      <c r="C580" s="1" t="n">
        <v>45901</v>
      </c>
      <c r="D580" t="inlineStr">
        <is>
          <t>KALMAR LÄN</t>
        </is>
      </c>
      <c r="E580" t="inlineStr">
        <is>
          <t>VIMMERBY</t>
        </is>
      </c>
      <c r="G580" t="n">
        <v>2.1</v>
      </c>
      <c r="H580" t="n">
        <v>0</v>
      </c>
      <c r="I580" t="n">
        <v>0</v>
      </c>
      <c r="J580" t="n">
        <v>0</v>
      </c>
      <c r="K580" t="n">
        <v>0</v>
      </c>
      <c r="L580" t="n">
        <v>0</v>
      </c>
      <c r="M580" t="n">
        <v>0</v>
      </c>
      <c r="N580" t="n">
        <v>0</v>
      </c>
      <c r="O580" t="n">
        <v>0</v>
      </c>
      <c r="P580" t="n">
        <v>0</v>
      </c>
      <c r="Q580" t="n">
        <v>0</v>
      </c>
      <c r="R580" s="2" t="inlineStr"/>
    </row>
    <row r="581" ht="15" customHeight="1">
      <c r="A581" t="inlineStr">
        <is>
          <t>A 8410-2023</t>
        </is>
      </c>
      <c r="B581" s="1" t="n">
        <v>44977</v>
      </c>
      <c r="C581" s="1" t="n">
        <v>45901</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33838-2022</t>
        </is>
      </c>
      <c r="B582" s="1" t="n">
        <v>44790.49040509259</v>
      </c>
      <c r="C582" s="1" t="n">
        <v>45901</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6028-2023</t>
        </is>
      </c>
      <c r="B583" s="1" t="n">
        <v>44964.44356481481</v>
      </c>
      <c r="C583" s="1" t="n">
        <v>45901</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38964-2025</t>
        </is>
      </c>
      <c r="B584" s="1" t="n">
        <v>45887.68759259259</v>
      </c>
      <c r="C584" s="1" t="n">
        <v>45901</v>
      </c>
      <c r="D584" t="inlineStr">
        <is>
          <t>KALMAR LÄN</t>
        </is>
      </c>
      <c r="E584" t="inlineStr">
        <is>
          <t>VIMMERBY</t>
        </is>
      </c>
      <c r="G584" t="n">
        <v>7.5</v>
      </c>
      <c r="H584" t="n">
        <v>0</v>
      </c>
      <c r="I584" t="n">
        <v>0</v>
      </c>
      <c r="J584" t="n">
        <v>0</v>
      </c>
      <c r="K584" t="n">
        <v>0</v>
      </c>
      <c r="L584" t="n">
        <v>0</v>
      </c>
      <c r="M584" t="n">
        <v>0</v>
      </c>
      <c r="N584" t="n">
        <v>0</v>
      </c>
      <c r="O584" t="n">
        <v>0</v>
      </c>
      <c r="P584" t="n">
        <v>0</v>
      </c>
      <c r="Q584" t="n">
        <v>0</v>
      </c>
      <c r="R584" s="2" t="inlineStr"/>
    </row>
    <row r="585" ht="15" customHeight="1">
      <c r="A585" t="inlineStr">
        <is>
          <t>A 4058-2024</t>
        </is>
      </c>
      <c r="B585" s="1" t="n">
        <v>45323.53744212963</v>
      </c>
      <c r="C585" s="1" t="n">
        <v>45901</v>
      </c>
      <c r="D585" t="inlineStr">
        <is>
          <t>KALMAR LÄN</t>
        </is>
      </c>
      <c r="E585" t="inlineStr">
        <is>
          <t>VIMMERBY</t>
        </is>
      </c>
      <c r="G585" t="n">
        <v>6.5</v>
      </c>
      <c r="H585" t="n">
        <v>0</v>
      </c>
      <c r="I585" t="n">
        <v>0</v>
      </c>
      <c r="J585" t="n">
        <v>0</v>
      </c>
      <c r="K585" t="n">
        <v>0</v>
      </c>
      <c r="L585" t="n">
        <v>0</v>
      </c>
      <c r="M585" t="n">
        <v>0</v>
      </c>
      <c r="N585" t="n">
        <v>0</v>
      </c>
      <c r="O585" t="n">
        <v>0</v>
      </c>
      <c r="P585" t="n">
        <v>0</v>
      </c>
      <c r="Q585" t="n">
        <v>0</v>
      </c>
      <c r="R585" s="2" t="inlineStr"/>
    </row>
    <row r="586" ht="15" customHeight="1">
      <c r="A586" t="inlineStr">
        <is>
          <t>A 36008-2024</t>
        </is>
      </c>
      <c r="B586" s="1" t="n">
        <v>45533.55362268518</v>
      </c>
      <c r="C586" s="1" t="n">
        <v>45901</v>
      </c>
      <c r="D586" t="inlineStr">
        <is>
          <t>KALMAR LÄN</t>
        </is>
      </c>
      <c r="E586" t="inlineStr">
        <is>
          <t>VIMMERBY</t>
        </is>
      </c>
      <c r="G586" t="n">
        <v>3.7</v>
      </c>
      <c r="H586" t="n">
        <v>0</v>
      </c>
      <c r="I586" t="n">
        <v>0</v>
      </c>
      <c r="J586" t="n">
        <v>0</v>
      </c>
      <c r="K586" t="n">
        <v>0</v>
      </c>
      <c r="L586" t="n">
        <v>0</v>
      </c>
      <c r="M586" t="n">
        <v>0</v>
      </c>
      <c r="N586" t="n">
        <v>0</v>
      </c>
      <c r="O586" t="n">
        <v>0</v>
      </c>
      <c r="P586" t="n">
        <v>0</v>
      </c>
      <c r="Q586" t="n">
        <v>0</v>
      </c>
      <c r="R586" s="2" t="inlineStr"/>
    </row>
    <row r="587" ht="15" customHeight="1">
      <c r="A587" t="inlineStr">
        <is>
          <t>A 52823-2024</t>
        </is>
      </c>
      <c r="B587" s="1" t="n">
        <v>45610.59094907407</v>
      </c>
      <c r="C587" s="1" t="n">
        <v>45901</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18669-2025</t>
        </is>
      </c>
      <c r="B588" s="1" t="n">
        <v>45763.59436342592</v>
      </c>
      <c r="C588" s="1" t="n">
        <v>45901</v>
      </c>
      <c r="D588" t="inlineStr">
        <is>
          <t>KALMAR LÄN</t>
        </is>
      </c>
      <c r="E588" t="inlineStr">
        <is>
          <t>VIMMERBY</t>
        </is>
      </c>
      <c r="G588" t="n">
        <v>2.7</v>
      </c>
      <c r="H588" t="n">
        <v>0</v>
      </c>
      <c r="I588" t="n">
        <v>0</v>
      </c>
      <c r="J588" t="n">
        <v>0</v>
      </c>
      <c r="K588" t="n">
        <v>0</v>
      </c>
      <c r="L588" t="n">
        <v>0</v>
      </c>
      <c r="M588" t="n">
        <v>0</v>
      </c>
      <c r="N588" t="n">
        <v>0</v>
      </c>
      <c r="O588" t="n">
        <v>0</v>
      </c>
      <c r="P588" t="n">
        <v>0</v>
      </c>
      <c r="Q588" t="n">
        <v>0</v>
      </c>
      <c r="R588" s="2" t="inlineStr"/>
    </row>
    <row r="589" ht="15" customHeight="1">
      <c r="A589" t="inlineStr">
        <is>
          <t>A 8540-2024</t>
        </is>
      </c>
      <c r="B589" s="1" t="n">
        <v>45355.54138888889</v>
      </c>
      <c r="C589" s="1" t="n">
        <v>45901</v>
      </c>
      <c r="D589" t="inlineStr">
        <is>
          <t>KALMAR LÄN</t>
        </is>
      </c>
      <c r="E589" t="inlineStr">
        <is>
          <t>VIMMERBY</t>
        </is>
      </c>
      <c r="G589" t="n">
        <v>1.9</v>
      </c>
      <c r="H589" t="n">
        <v>0</v>
      </c>
      <c r="I589" t="n">
        <v>0</v>
      </c>
      <c r="J589" t="n">
        <v>0</v>
      </c>
      <c r="K589" t="n">
        <v>0</v>
      </c>
      <c r="L589" t="n">
        <v>0</v>
      </c>
      <c r="M589" t="n">
        <v>0</v>
      </c>
      <c r="N589" t="n">
        <v>0</v>
      </c>
      <c r="O589" t="n">
        <v>0</v>
      </c>
      <c r="P589" t="n">
        <v>0</v>
      </c>
      <c r="Q589" t="n">
        <v>0</v>
      </c>
      <c r="R589" s="2" t="inlineStr"/>
    </row>
    <row r="590" ht="15" customHeight="1">
      <c r="A590" t="inlineStr">
        <is>
          <t>A 9623-2024</t>
        </is>
      </c>
      <c r="B590" s="1" t="n">
        <v>45361.87975694444</v>
      </c>
      <c r="C590" s="1" t="n">
        <v>45901</v>
      </c>
      <c r="D590" t="inlineStr">
        <is>
          <t>KALMAR LÄN</t>
        </is>
      </c>
      <c r="E590" t="inlineStr">
        <is>
          <t>VIMMERBY</t>
        </is>
      </c>
      <c r="G590" t="n">
        <v>1.6</v>
      </c>
      <c r="H590" t="n">
        <v>0</v>
      </c>
      <c r="I590" t="n">
        <v>0</v>
      </c>
      <c r="J590" t="n">
        <v>0</v>
      </c>
      <c r="K590" t="n">
        <v>0</v>
      </c>
      <c r="L590" t="n">
        <v>0</v>
      </c>
      <c r="M590" t="n">
        <v>0</v>
      </c>
      <c r="N590" t="n">
        <v>0</v>
      </c>
      <c r="O590" t="n">
        <v>0</v>
      </c>
      <c r="P590" t="n">
        <v>0</v>
      </c>
      <c r="Q590" t="n">
        <v>0</v>
      </c>
      <c r="R590" s="2" t="inlineStr"/>
    </row>
    <row r="591" ht="15" customHeight="1">
      <c r="A591" t="inlineStr">
        <is>
          <t>A 5146-2024</t>
        </is>
      </c>
      <c r="B591" s="1" t="n">
        <v>45330</v>
      </c>
      <c r="C591" s="1" t="n">
        <v>45901</v>
      </c>
      <c r="D591" t="inlineStr">
        <is>
          <t>KALMAR LÄN</t>
        </is>
      </c>
      <c r="E591" t="inlineStr">
        <is>
          <t>VIMMERBY</t>
        </is>
      </c>
      <c r="G591" t="n">
        <v>5.3</v>
      </c>
      <c r="H591" t="n">
        <v>0</v>
      </c>
      <c r="I591" t="n">
        <v>0</v>
      </c>
      <c r="J591" t="n">
        <v>0</v>
      </c>
      <c r="K591" t="n">
        <v>0</v>
      </c>
      <c r="L591" t="n">
        <v>0</v>
      </c>
      <c r="M591" t="n">
        <v>0</v>
      </c>
      <c r="N591" t="n">
        <v>0</v>
      </c>
      <c r="O591" t="n">
        <v>0</v>
      </c>
      <c r="P591" t="n">
        <v>0</v>
      </c>
      <c r="Q591" t="n">
        <v>0</v>
      </c>
      <c r="R591" s="2" t="inlineStr"/>
    </row>
    <row r="592" ht="15" customHeight="1">
      <c r="A592" t="inlineStr">
        <is>
          <t>A 5148-2024</t>
        </is>
      </c>
      <c r="B592" s="1" t="n">
        <v>45330</v>
      </c>
      <c r="C592" s="1" t="n">
        <v>45901</v>
      </c>
      <c r="D592" t="inlineStr">
        <is>
          <t>KALMAR LÄN</t>
        </is>
      </c>
      <c r="E592" t="inlineStr">
        <is>
          <t>VIMMERBY</t>
        </is>
      </c>
      <c r="G592" t="n">
        <v>5.6</v>
      </c>
      <c r="H592" t="n">
        <v>0</v>
      </c>
      <c r="I592" t="n">
        <v>0</v>
      </c>
      <c r="J592" t="n">
        <v>0</v>
      </c>
      <c r="K592" t="n">
        <v>0</v>
      </c>
      <c r="L592" t="n">
        <v>0</v>
      </c>
      <c r="M592" t="n">
        <v>0</v>
      </c>
      <c r="N592" t="n">
        <v>0</v>
      </c>
      <c r="O592" t="n">
        <v>0</v>
      </c>
      <c r="P592" t="n">
        <v>0</v>
      </c>
      <c r="Q592" t="n">
        <v>0</v>
      </c>
      <c r="R592" s="2" t="inlineStr"/>
    </row>
    <row r="593" ht="15" customHeight="1">
      <c r="A593" t="inlineStr">
        <is>
          <t>A 34060-2025</t>
        </is>
      </c>
      <c r="B593" s="1" t="n">
        <v>45845.42015046296</v>
      </c>
      <c r="C593" s="1" t="n">
        <v>45901</v>
      </c>
      <c r="D593" t="inlineStr">
        <is>
          <t>KALMAR LÄN</t>
        </is>
      </c>
      <c r="E593" t="inlineStr">
        <is>
          <t>VIMMERBY</t>
        </is>
      </c>
      <c r="G593" t="n">
        <v>5.7</v>
      </c>
      <c r="H593" t="n">
        <v>0</v>
      </c>
      <c r="I593" t="n">
        <v>0</v>
      </c>
      <c r="J593" t="n">
        <v>0</v>
      </c>
      <c r="K593" t="n">
        <v>0</v>
      </c>
      <c r="L593" t="n">
        <v>0</v>
      </c>
      <c r="M593" t="n">
        <v>0</v>
      </c>
      <c r="N593" t="n">
        <v>0</v>
      </c>
      <c r="O593" t="n">
        <v>0</v>
      </c>
      <c r="P593" t="n">
        <v>0</v>
      </c>
      <c r="Q593" t="n">
        <v>0</v>
      </c>
      <c r="R593" s="2" t="inlineStr"/>
    </row>
    <row r="594" ht="15" customHeight="1">
      <c r="A594" t="inlineStr">
        <is>
          <t>A 34071-2025</t>
        </is>
      </c>
      <c r="B594" s="1" t="n">
        <v>45845.43803240741</v>
      </c>
      <c r="C594" s="1" t="n">
        <v>45901</v>
      </c>
      <c r="D594" t="inlineStr">
        <is>
          <t>KALMAR LÄN</t>
        </is>
      </c>
      <c r="E594" t="inlineStr">
        <is>
          <t>VIMMERBY</t>
        </is>
      </c>
      <c r="G594" t="n">
        <v>6.8</v>
      </c>
      <c r="H594" t="n">
        <v>0</v>
      </c>
      <c r="I594" t="n">
        <v>0</v>
      </c>
      <c r="J594" t="n">
        <v>0</v>
      </c>
      <c r="K594" t="n">
        <v>0</v>
      </c>
      <c r="L594" t="n">
        <v>0</v>
      </c>
      <c r="M594" t="n">
        <v>0</v>
      </c>
      <c r="N594" t="n">
        <v>0</v>
      </c>
      <c r="O594" t="n">
        <v>0</v>
      </c>
      <c r="P594" t="n">
        <v>0</v>
      </c>
      <c r="Q594" t="n">
        <v>0</v>
      </c>
      <c r="R594" s="2" t="inlineStr"/>
    </row>
    <row r="595" ht="15" customHeight="1">
      <c r="A595" t="inlineStr">
        <is>
          <t>A 56853-2022</t>
        </is>
      </c>
      <c r="B595" s="1" t="n">
        <v>44894.49538194444</v>
      </c>
      <c r="C595" s="1" t="n">
        <v>45901</v>
      </c>
      <c r="D595" t="inlineStr">
        <is>
          <t>KALMAR LÄN</t>
        </is>
      </c>
      <c r="E595" t="inlineStr">
        <is>
          <t>VIMMERBY</t>
        </is>
      </c>
      <c r="G595" t="n">
        <v>4.3</v>
      </c>
      <c r="H595" t="n">
        <v>0</v>
      </c>
      <c r="I595" t="n">
        <v>0</v>
      </c>
      <c r="J595" t="n">
        <v>0</v>
      </c>
      <c r="K595" t="n">
        <v>0</v>
      </c>
      <c r="L595" t="n">
        <v>0</v>
      </c>
      <c r="M595" t="n">
        <v>0</v>
      </c>
      <c r="N595" t="n">
        <v>0</v>
      </c>
      <c r="O595" t="n">
        <v>0</v>
      </c>
      <c r="P595" t="n">
        <v>0</v>
      </c>
      <c r="Q595" t="n">
        <v>0</v>
      </c>
      <c r="R595" s="2" t="inlineStr"/>
    </row>
    <row r="596" ht="15" customHeight="1">
      <c r="A596" t="inlineStr">
        <is>
          <t>A 11152-2023</t>
        </is>
      </c>
      <c r="B596" s="1" t="n">
        <v>44992</v>
      </c>
      <c r="C596" s="1" t="n">
        <v>45901</v>
      </c>
      <c r="D596" t="inlineStr">
        <is>
          <t>KALMAR LÄN</t>
        </is>
      </c>
      <c r="E596" t="inlineStr">
        <is>
          <t>VIMMERBY</t>
        </is>
      </c>
      <c r="G596" t="n">
        <v>10.6</v>
      </c>
      <c r="H596" t="n">
        <v>0</v>
      </c>
      <c r="I596" t="n">
        <v>0</v>
      </c>
      <c r="J596" t="n">
        <v>0</v>
      </c>
      <c r="K596" t="n">
        <v>0</v>
      </c>
      <c r="L596" t="n">
        <v>0</v>
      </c>
      <c r="M596" t="n">
        <v>0</v>
      </c>
      <c r="N596" t="n">
        <v>0</v>
      </c>
      <c r="O596" t="n">
        <v>0</v>
      </c>
      <c r="P596" t="n">
        <v>0</v>
      </c>
      <c r="Q596" t="n">
        <v>0</v>
      </c>
      <c r="R596" s="2" t="inlineStr"/>
    </row>
    <row r="597" ht="15" customHeight="1">
      <c r="A597" t="inlineStr">
        <is>
          <t>A 34106-2025</t>
        </is>
      </c>
      <c r="B597" s="1" t="n">
        <v>45845.49414351852</v>
      </c>
      <c r="C597" s="1" t="n">
        <v>45901</v>
      </c>
      <c r="D597" t="inlineStr">
        <is>
          <t>KALMAR LÄN</t>
        </is>
      </c>
      <c r="E597" t="inlineStr">
        <is>
          <t>VIMMERBY</t>
        </is>
      </c>
      <c r="G597" t="n">
        <v>6</v>
      </c>
      <c r="H597" t="n">
        <v>0</v>
      </c>
      <c r="I597" t="n">
        <v>0</v>
      </c>
      <c r="J597" t="n">
        <v>0</v>
      </c>
      <c r="K597" t="n">
        <v>0</v>
      </c>
      <c r="L597" t="n">
        <v>0</v>
      </c>
      <c r="M597" t="n">
        <v>0</v>
      </c>
      <c r="N597" t="n">
        <v>0</v>
      </c>
      <c r="O597" t="n">
        <v>0</v>
      </c>
      <c r="P597" t="n">
        <v>0</v>
      </c>
      <c r="Q597" t="n">
        <v>0</v>
      </c>
      <c r="R597" s="2" t="inlineStr"/>
    </row>
    <row r="598" ht="15" customHeight="1">
      <c r="A598" t="inlineStr">
        <is>
          <t>A 44179-2022</t>
        </is>
      </c>
      <c r="B598" s="1" t="n">
        <v>44839.4528125</v>
      </c>
      <c r="C598" s="1" t="n">
        <v>45901</v>
      </c>
      <c r="D598" t="inlineStr">
        <is>
          <t>KALMAR LÄN</t>
        </is>
      </c>
      <c r="E598" t="inlineStr">
        <is>
          <t>VIMMERBY</t>
        </is>
      </c>
      <c r="G598" t="n">
        <v>2.8</v>
      </c>
      <c r="H598" t="n">
        <v>0</v>
      </c>
      <c r="I598" t="n">
        <v>0</v>
      </c>
      <c r="J598" t="n">
        <v>0</v>
      </c>
      <c r="K598" t="n">
        <v>0</v>
      </c>
      <c r="L598" t="n">
        <v>0</v>
      </c>
      <c r="M598" t="n">
        <v>0</v>
      </c>
      <c r="N598" t="n">
        <v>0</v>
      </c>
      <c r="O598" t="n">
        <v>0</v>
      </c>
      <c r="P598" t="n">
        <v>0</v>
      </c>
      <c r="Q598" t="n">
        <v>0</v>
      </c>
      <c r="R598" s="2" t="inlineStr"/>
    </row>
    <row r="599" ht="15" customHeight="1">
      <c r="A599" t="inlineStr">
        <is>
          <t>A 15550-2023</t>
        </is>
      </c>
      <c r="B599" s="1" t="n">
        <v>45020</v>
      </c>
      <c r="C599" s="1" t="n">
        <v>45901</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50648-2023</t>
        </is>
      </c>
      <c r="B600" s="1" t="n">
        <v>45217.47834490741</v>
      </c>
      <c r="C600" s="1" t="n">
        <v>45901</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26956-2025</t>
        </is>
      </c>
      <c r="B601" s="1" t="n">
        <v>45811.45460648148</v>
      </c>
      <c r="C601" s="1" t="n">
        <v>45901</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31355-2023</t>
        </is>
      </c>
      <c r="B602" s="1" t="n">
        <v>45114.49505787037</v>
      </c>
      <c r="C602" s="1" t="n">
        <v>45901</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2121-2022</t>
        </is>
      </c>
      <c r="B603" s="1" t="n">
        <v>44578.32717592592</v>
      </c>
      <c r="C603" s="1" t="n">
        <v>45901</v>
      </c>
      <c r="D603" t="inlineStr">
        <is>
          <t>KALMAR LÄN</t>
        </is>
      </c>
      <c r="E603" t="inlineStr">
        <is>
          <t>VIMMERBY</t>
        </is>
      </c>
      <c r="G603" t="n">
        <v>2</v>
      </c>
      <c r="H603" t="n">
        <v>0</v>
      </c>
      <c r="I603" t="n">
        <v>0</v>
      </c>
      <c r="J603" t="n">
        <v>0</v>
      </c>
      <c r="K603" t="n">
        <v>0</v>
      </c>
      <c r="L603" t="n">
        <v>0</v>
      </c>
      <c r="M603" t="n">
        <v>0</v>
      </c>
      <c r="N603" t="n">
        <v>0</v>
      </c>
      <c r="O603" t="n">
        <v>0</v>
      </c>
      <c r="P603" t="n">
        <v>0</v>
      </c>
      <c r="Q603" t="n">
        <v>0</v>
      </c>
      <c r="R603" s="2" t="inlineStr"/>
    </row>
    <row r="604" ht="15" customHeight="1">
      <c r="A604" t="inlineStr">
        <is>
          <t>A 18330-2023</t>
        </is>
      </c>
      <c r="B604" s="1" t="n">
        <v>45041</v>
      </c>
      <c r="C604" s="1" t="n">
        <v>45901</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57799-2022</t>
        </is>
      </c>
      <c r="B605" s="1" t="n">
        <v>44897</v>
      </c>
      <c r="C605" s="1" t="n">
        <v>45901</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15394-2025</t>
        </is>
      </c>
      <c r="B606" s="1" t="n">
        <v>45747.43196759259</v>
      </c>
      <c r="C606" s="1" t="n">
        <v>45901</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58100-2024</t>
        </is>
      </c>
      <c r="B607" s="1" t="n">
        <v>45632.36706018518</v>
      </c>
      <c r="C607" s="1" t="n">
        <v>45901</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34628-2025</t>
        </is>
      </c>
      <c r="B608" s="1" t="n">
        <v>45847.91280092593</v>
      </c>
      <c r="C608" s="1" t="n">
        <v>45901</v>
      </c>
      <c r="D608" t="inlineStr">
        <is>
          <t>KALMAR LÄN</t>
        </is>
      </c>
      <c r="E608" t="inlineStr">
        <is>
          <t>VIMMERBY</t>
        </is>
      </c>
      <c r="G608" t="n">
        <v>4.2</v>
      </c>
      <c r="H608" t="n">
        <v>0</v>
      </c>
      <c r="I608" t="n">
        <v>0</v>
      </c>
      <c r="J608" t="n">
        <v>0</v>
      </c>
      <c r="K608" t="n">
        <v>0</v>
      </c>
      <c r="L608" t="n">
        <v>0</v>
      </c>
      <c r="M608" t="n">
        <v>0</v>
      </c>
      <c r="N608" t="n">
        <v>0</v>
      </c>
      <c r="O608" t="n">
        <v>0</v>
      </c>
      <c r="P608" t="n">
        <v>0</v>
      </c>
      <c r="Q608" t="n">
        <v>0</v>
      </c>
      <c r="R608" s="2" t="inlineStr"/>
    </row>
    <row r="609" ht="15" customHeight="1">
      <c r="A609" t="inlineStr">
        <is>
          <t>A 27993-2022</t>
        </is>
      </c>
      <c r="B609" s="1" t="n">
        <v>44745.84396990741</v>
      </c>
      <c r="C609" s="1" t="n">
        <v>45901</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38969-2023</t>
        </is>
      </c>
      <c r="B610" s="1" t="n">
        <v>45163.63621527778</v>
      </c>
      <c r="C610" s="1" t="n">
        <v>45901</v>
      </c>
      <c r="D610" t="inlineStr">
        <is>
          <t>KALMAR LÄN</t>
        </is>
      </c>
      <c r="E610" t="inlineStr">
        <is>
          <t>VIMMERBY</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26318-2023</t>
        </is>
      </c>
      <c r="B611" s="1" t="n">
        <v>45091.67936342592</v>
      </c>
      <c r="C611" s="1" t="n">
        <v>45901</v>
      </c>
      <c r="D611" t="inlineStr">
        <is>
          <t>KALMAR LÄN</t>
        </is>
      </c>
      <c r="E611" t="inlineStr">
        <is>
          <t>VIMMERBY</t>
        </is>
      </c>
      <c r="G611" t="n">
        <v>3.8</v>
      </c>
      <c r="H611" t="n">
        <v>0</v>
      </c>
      <c r="I611" t="n">
        <v>0</v>
      </c>
      <c r="J611" t="n">
        <v>0</v>
      </c>
      <c r="K611" t="n">
        <v>0</v>
      </c>
      <c r="L611" t="n">
        <v>0</v>
      </c>
      <c r="M611" t="n">
        <v>0</v>
      </c>
      <c r="N611" t="n">
        <v>0</v>
      </c>
      <c r="O611" t="n">
        <v>0</v>
      </c>
      <c r="P611" t="n">
        <v>0</v>
      </c>
      <c r="Q611" t="n">
        <v>0</v>
      </c>
      <c r="R611" s="2" t="inlineStr"/>
    </row>
    <row r="612" ht="15" customHeight="1">
      <c r="A612" t="inlineStr">
        <is>
          <t>A 60437-2023</t>
        </is>
      </c>
      <c r="B612" s="1" t="n">
        <v>45259.51916666667</v>
      </c>
      <c r="C612" s="1" t="n">
        <v>45901</v>
      </c>
      <c r="D612" t="inlineStr">
        <is>
          <t>KALMAR LÄN</t>
        </is>
      </c>
      <c r="E612" t="inlineStr">
        <is>
          <t>VIMMERBY</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60438-2023</t>
        </is>
      </c>
      <c r="B613" s="1" t="n">
        <v>45259.52020833334</v>
      </c>
      <c r="C613" s="1" t="n">
        <v>45901</v>
      </c>
      <c r="D613" t="inlineStr">
        <is>
          <t>KALMAR LÄN</t>
        </is>
      </c>
      <c r="E613" t="inlineStr">
        <is>
          <t>VIMMERBY</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13076-2025</t>
        </is>
      </c>
      <c r="B614" s="1" t="n">
        <v>45734.62017361111</v>
      </c>
      <c r="C614" s="1" t="n">
        <v>45901</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53752-2024</t>
        </is>
      </c>
      <c r="B615" s="1" t="n">
        <v>45615.48927083334</v>
      </c>
      <c r="C615" s="1" t="n">
        <v>45901</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39736-2025</t>
        </is>
      </c>
      <c r="B616" s="1" t="n">
        <v>45891</v>
      </c>
      <c r="C616" s="1" t="n">
        <v>45901</v>
      </c>
      <c r="D616" t="inlineStr">
        <is>
          <t>KALMAR LÄN</t>
        </is>
      </c>
      <c r="E616" t="inlineStr">
        <is>
          <t>VIMMERBY</t>
        </is>
      </c>
      <c r="G616" t="n">
        <v>12.8</v>
      </c>
      <c r="H616" t="n">
        <v>0</v>
      </c>
      <c r="I616" t="n">
        <v>0</v>
      </c>
      <c r="J616" t="n">
        <v>0</v>
      </c>
      <c r="K616" t="n">
        <v>0</v>
      </c>
      <c r="L616" t="n">
        <v>0</v>
      </c>
      <c r="M616" t="n">
        <v>0</v>
      </c>
      <c r="N616" t="n">
        <v>0</v>
      </c>
      <c r="O616" t="n">
        <v>0</v>
      </c>
      <c r="P616" t="n">
        <v>0</v>
      </c>
      <c r="Q616" t="n">
        <v>0</v>
      </c>
      <c r="R616" s="2" t="inlineStr"/>
    </row>
    <row r="617" ht="15" customHeight="1">
      <c r="A617" t="inlineStr">
        <is>
          <t>A 7758-2024</t>
        </is>
      </c>
      <c r="B617" s="1" t="n">
        <v>45349.54434027777</v>
      </c>
      <c r="C617" s="1" t="n">
        <v>45901</v>
      </c>
      <c r="D617" t="inlineStr">
        <is>
          <t>KALMAR LÄN</t>
        </is>
      </c>
      <c r="E617" t="inlineStr">
        <is>
          <t>VIMMERBY</t>
        </is>
      </c>
      <c r="G617" t="n">
        <v>3.5</v>
      </c>
      <c r="H617" t="n">
        <v>0</v>
      </c>
      <c r="I617" t="n">
        <v>0</v>
      </c>
      <c r="J617" t="n">
        <v>0</v>
      </c>
      <c r="K617" t="n">
        <v>0</v>
      </c>
      <c r="L617" t="n">
        <v>0</v>
      </c>
      <c r="M617" t="n">
        <v>0</v>
      </c>
      <c r="N617" t="n">
        <v>0</v>
      </c>
      <c r="O617" t="n">
        <v>0</v>
      </c>
      <c r="P617" t="n">
        <v>0</v>
      </c>
      <c r="Q617" t="n">
        <v>0</v>
      </c>
      <c r="R617" s="2" t="inlineStr"/>
    </row>
    <row r="618" ht="15" customHeight="1">
      <c r="A618" t="inlineStr">
        <is>
          <t>A 39803-2025</t>
        </is>
      </c>
      <c r="B618" s="1" t="n">
        <v>45891.50525462963</v>
      </c>
      <c r="C618" s="1" t="n">
        <v>45901</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39807-2025</t>
        </is>
      </c>
      <c r="B619" s="1" t="n">
        <v>45891.50986111111</v>
      </c>
      <c r="C619" s="1" t="n">
        <v>45901</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7456-2024</t>
        </is>
      </c>
      <c r="B620" s="1" t="n">
        <v>45345.83557870371</v>
      </c>
      <c r="C620" s="1" t="n">
        <v>45901</v>
      </c>
      <c r="D620" t="inlineStr">
        <is>
          <t>KALMAR LÄN</t>
        </is>
      </c>
      <c r="E620" t="inlineStr">
        <is>
          <t>VIMMERBY</t>
        </is>
      </c>
      <c r="G620" t="n">
        <v>4.1</v>
      </c>
      <c r="H620" t="n">
        <v>0</v>
      </c>
      <c r="I620" t="n">
        <v>0</v>
      </c>
      <c r="J620" t="n">
        <v>0</v>
      </c>
      <c r="K620" t="n">
        <v>0</v>
      </c>
      <c r="L620" t="n">
        <v>0</v>
      </c>
      <c r="M620" t="n">
        <v>0</v>
      </c>
      <c r="N620" t="n">
        <v>0</v>
      </c>
      <c r="O620" t="n">
        <v>0</v>
      </c>
      <c r="P620" t="n">
        <v>0</v>
      </c>
      <c r="Q620" t="n">
        <v>0</v>
      </c>
      <c r="R620" s="2" t="inlineStr"/>
    </row>
    <row r="621" ht="15" customHeight="1">
      <c r="A621" t="inlineStr">
        <is>
          <t>A 6082-2022</t>
        </is>
      </c>
      <c r="B621" s="1" t="n">
        <v>44599</v>
      </c>
      <c r="C621" s="1" t="n">
        <v>45901</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46979-2023</t>
        </is>
      </c>
      <c r="B622" s="1" t="n">
        <v>45201</v>
      </c>
      <c r="C622" s="1" t="n">
        <v>45901</v>
      </c>
      <c r="D622" t="inlineStr">
        <is>
          <t>KALMAR LÄN</t>
        </is>
      </c>
      <c r="E622" t="inlineStr">
        <is>
          <t>VIMMERBY</t>
        </is>
      </c>
      <c r="G622" t="n">
        <v>1</v>
      </c>
      <c r="H622" t="n">
        <v>0</v>
      </c>
      <c r="I622" t="n">
        <v>0</v>
      </c>
      <c r="J622" t="n">
        <v>0</v>
      </c>
      <c r="K622" t="n">
        <v>0</v>
      </c>
      <c r="L622" t="n">
        <v>0</v>
      </c>
      <c r="M622" t="n">
        <v>0</v>
      </c>
      <c r="N622" t="n">
        <v>0</v>
      </c>
      <c r="O622" t="n">
        <v>0</v>
      </c>
      <c r="P622" t="n">
        <v>0</v>
      </c>
      <c r="Q622" t="n">
        <v>0</v>
      </c>
      <c r="R622" s="2" t="inlineStr"/>
    </row>
    <row r="623" ht="15" customHeight="1">
      <c r="A623" t="inlineStr">
        <is>
          <t>A 39801-2025</t>
        </is>
      </c>
      <c r="B623" s="1" t="n">
        <v>45891.50216435185</v>
      </c>
      <c r="C623" s="1" t="n">
        <v>45901</v>
      </c>
      <c r="D623" t="inlineStr">
        <is>
          <t>KALMAR LÄN</t>
        </is>
      </c>
      <c r="E623" t="inlineStr">
        <is>
          <t>VIMMERBY</t>
        </is>
      </c>
      <c r="G623" t="n">
        <v>2</v>
      </c>
      <c r="H623" t="n">
        <v>0</v>
      </c>
      <c r="I623" t="n">
        <v>0</v>
      </c>
      <c r="J623" t="n">
        <v>0</v>
      </c>
      <c r="K623" t="n">
        <v>0</v>
      </c>
      <c r="L623" t="n">
        <v>0</v>
      </c>
      <c r="M623" t="n">
        <v>0</v>
      </c>
      <c r="N623" t="n">
        <v>0</v>
      </c>
      <c r="O623" t="n">
        <v>0</v>
      </c>
      <c r="P623" t="n">
        <v>0</v>
      </c>
      <c r="Q623" t="n">
        <v>0</v>
      </c>
      <c r="R623" s="2" t="inlineStr"/>
    </row>
    <row r="624" ht="15" customHeight="1">
      <c r="A624" t="inlineStr">
        <is>
          <t>A 2596-2025</t>
        </is>
      </c>
      <c r="B624" s="1" t="n">
        <v>45674.71810185185</v>
      </c>
      <c r="C624" s="1" t="n">
        <v>45901</v>
      </c>
      <c r="D624" t="inlineStr">
        <is>
          <t>KALMAR LÄN</t>
        </is>
      </c>
      <c r="E624" t="inlineStr">
        <is>
          <t>VIMMERBY</t>
        </is>
      </c>
      <c r="G624" t="n">
        <v>9</v>
      </c>
      <c r="H624" t="n">
        <v>0</v>
      </c>
      <c r="I624" t="n">
        <v>0</v>
      </c>
      <c r="J624" t="n">
        <v>0</v>
      </c>
      <c r="K624" t="n">
        <v>0</v>
      </c>
      <c r="L624" t="n">
        <v>0</v>
      </c>
      <c r="M624" t="n">
        <v>0</v>
      </c>
      <c r="N624" t="n">
        <v>0</v>
      </c>
      <c r="O624" t="n">
        <v>0</v>
      </c>
      <c r="P624" t="n">
        <v>0</v>
      </c>
      <c r="Q624" t="n">
        <v>0</v>
      </c>
      <c r="R624" s="2" t="inlineStr"/>
    </row>
    <row r="625" ht="15" customHeight="1">
      <c r="A625" t="inlineStr">
        <is>
          <t>A 47855-2024</t>
        </is>
      </c>
      <c r="B625" s="1" t="n">
        <v>45588.66457175926</v>
      </c>
      <c r="C625" s="1" t="n">
        <v>45901</v>
      </c>
      <c r="D625" t="inlineStr">
        <is>
          <t>KALMAR LÄN</t>
        </is>
      </c>
      <c r="E625" t="inlineStr">
        <is>
          <t>VIMMERBY</t>
        </is>
      </c>
      <c r="G625" t="n">
        <v>0.8</v>
      </c>
      <c r="H625" t="n">
        <v>0</v>
      </c>
      <c r="I625" t="n">
        <v>0</v>
      </c>
      <c r="J625" t="n">
        <v>0</v>
      </c>
      <c r="K625" t="n">
        <v>0</v>
      </c>
      <c r="L625" t="n">
        <v>0</v>
      </c>
      <c r="M625" t="n">
        <v>0</v>
      </c>
      <c r="N625" t="n">
        <v>0</v>
      </c>
      <c r="O625" t="n">
        <v>0</v>
      </c>
      <c r="P625" t="n">
        <v>0</v>
      </c>
      <c r="Q625" t="n">
        <v>0</v>
      </c>
      <c r="R625" s="2" t="inlineStr"/>
    </row>
    <row r="626" ht="15" customHeight="1">
      <c r="A626" t="inlineStr">
        <is>
          <t>A 63583-2023</t>
        </is>
      </c>
      <c r="B626" s="1" t="n">
        <v>45275.41833333333</v>
      </c>
      <c r="C626" s="1" t="n">
        <v>45901</v>
      </c>
      <c r="D626" t="inlineStr">
        <is>
          <t>KALMAR LÄN</t>
        </is>
      </c>
      <c r="E626" t="inlineStr">
        <is>
          <t>VIMMERBY</t>
        </is>
      </c>
      <c r="G626" t="n">
        <v>1.4</v>
      </c>
      <c r="H626" t="n">
        <v>0</v>
      </c>
      <c r="I626" t="n">
        <v>0</v>
      </c>
      <c r="J626" t="n">
        <v>0</v>
      </c>
      <c r="K626" t="n">
        <v>0</v>
      </c>
      <c r="L626" t="n">
        <v>0</v>
      </c>
      <c r="M626" t="n">
        <v>0</v>
      </c>
      <c r="N626" t="n">
        <v>0</v>
      </c>
      <c r="O626" t="n">
        <v>0</v>
      </c>
      <c r="P626" t="n">
        <v>0</v>
      </c>
      <c r="Q626" t="n">
        <v>0</v>
      </c>
      <c r="R626" s="2" t="inlineStr"/>
    </row>
    <row r="627" ht="15" customHeight="1">
      <c r="A627" t="inlineStr">
        <is>
          <t>A 58728-2024</t>
        </is>
      </c>
      <c r="B627" s="1" t="n">
        <v>45635.66695601852</v>
      </c>
      <c r="C627" s="1" t="n">
        <v>45901</v>
      </c>
      <c r="D627" t="inlineStr">
        <is>
          <t>KALMAR LÄN</t>
        </is>
      </c>
      <c r="E627" t="inlineStr">
        <is>
          <t>VIMMERBY</t>
        </is>
      </c>
      <c r="G627" t="n">
        <v>0.4</v>
      </c>
      <c r="H627" t="n">
        <v>0</v>
      </c>
      <c r="I627" t="n">
        <v>0</v>
      </c>
      <c r="J627" t="n">
        <v>0</v>
      </c>
      <c r="K627" t="n">
        <v>0</v>
      </c>
      <c r="L627" t="n">
        <v>0</v>
      </c>
      <c r="M627" t="n">
        <v>0</v>
      </c>
      <c r="N627" t="n">
        <v>0</v>
      </c>
      <c r="O627" t="n">
        <v>0</v>
      </c>
      <c r="P627" t="n">
        <v>0</v>
      </c>
      <c r="Q627" t="n">
        <v>0</v>
      </c>
      <c r="R627" s="2" t="inlineStr"/>
    </row>
    <row r="628" ht="15" customHeight="1">
      <c r="A628" t="inlineStr">
        <is>
          <t>A 43242-2024</t>
        </is>
      </c>
      <c r="B628" s="1" t="n">
        <v>45568.30189814815</v>
      </c>
      <c r="C628" s="1" t="n">
        <v>45901</v>
      </c>
      <c r="D628" t="inlineStr">
        <is>
          <t>KALMAR LÄN</t>
        </is>
      </c>
      <c r="E628" t="inlineStr">
        <is>
          <t>VIMMERBY</t>
        </is>
      </c>
      <c r="G628" t="n">
        <v>2.6</v>
      </c>
      <c r="H628" t="n">
        <v>0</v>
      </c>
      <c r="I628" t="n">
        <v>0</v>
      </c>
      <c r="J628" t="n">
        <v>0</v>
      </c>
      <c r="K628" t="n">
        <v>0</v>
      </c>
      <c r="L628" t="n">
        <v>0</v>
      </c>
      <c r="M628" t="n">
        <v>0</v>
      </c>
      <c r="N628" t="n">
        <v>0</v>
      </c>
      <c r="O628" t="n">
        <v>0</v>
      </c>
      <c r="P628" t="n">
        <v>0</v>
      </c>
      <c r="Q628" t="n">
        <v>0</v>
      </c>
      <c r="R628" s="2" t="inlineStr"/>
    </row>
    <row r="629" ht="15" customHeight="1">
      <c r="A629" t="inlineStr">
        <is>
          <t>A 16983-2023</t>
        </is>
      </c>
      <c r="B629" s="1" t="n">
        <v>45033.76043981482</v>
      </c>
      <c r="C629" s="1" t="n">
        <v>45901</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60228-2021</t>
        </is>
      </c>
      <c r="B630" s="1" t="n">
        <v>44495</v>
      </c>
      <c r="C630" s="1" t="n">
        <v>45901</v>
      </c>
      <c r="D630" t="inlineStr">
        <is>
          <t>KALMAR LÄN</t>
        </is>
      </c>
      <c r="E630" t="inlineStr">
        <is>
          <t>VIMMERBY</t>
        </is>
      </c>
      <c r="G630" t="n">
        <v>4.1</v>
      </c>
      <c r="H630" t="n">
        <v>0</v>
      </c>
      <c r="I630" t="n">
        <v>0</v>
      </c>
      <c r="J630" t="n">
        <v>0</v>
      </c>
      <c r="K630" t="n">
        <v>0</v>
      </c>
      <c r="L630" t="n">
        <v>0</v>
      </c>
      <c r="M630" t="n">
        <v>0</v>
      </c>
      <c r="N630" t="n">
        <v>0</v>
      </c>
      <c r="O630" t="n">
        <v>0</v>
      </c>
      <c r="P630" t="n">
        <v>0</v>
      </c>
      <c r="Q630" t="n">
        <v>0</v>
      </c>
      <c r="R630" s="2" t="inlineStr"/>
    </row>
    <row r="631" ht="15" customHeight="1">
      <c r="A631" t="inlineStr">
        <is>
          <t>A 35270-2025</t>
        </is>
      </c>
      <c r="B631" s="1" t="n">
        <v>45853.87112268519</v>
      </c>
      <c r="C631" s="1" t="n">
        <v>45901</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6405-2025</t>
        </is>
      </c>
      <c r="B632" s="1" t="n">
        <v>45699.45392361111</v>
      </c>
      <c r="C632" s="1" t="n">
        <v>45901</v>
      </c>
      <c r="D632" t="inlineStr">
        <is>
          <t>KALMAR LÄN</t>
        </is>
      </c>
      <c r="E632" t="inlineStr">
        <is>
          <t>VIMMERBY</t>
        </is>
      </c>
      <c r="G632" t="n">
        <v>1.2</v>
      </c>
      <c r="H632" t="n">
        <v>0</v>
      </c>
      <c r="I632" t="n">
        <v>0</v>
      </c>
      <c r="J632" t="n">
        <v>0</v>
      </c>
      <c r="K632" t="n">
        <v>0</v>
      </c>
      <c r="L632" t="n">
        <v>0</v>
      </c>
      <c r="M632" t="n">
        <v>0</v>
      </c>
      <c r="N632" t="n">
        <v>0</v>
      </c>
      <c r="O632" t="n">
        <v>0</v>
      </c>
      <c r="P632" t="n">
        <v>0</v>
      </c>
      <c r="Q632" t="n">
        <v>0</v>
      </c>
      <c r="R632" s="2" t="inlineStr"/>
    </row>
    <row r="633" ht="15" customHeight="1">
      <c r="A633" t="inlineStr">
        <is>
          <t>A 36843-2023</t>
        </is>
      </c>
      <c r="B633" s="1" t="n">
        <v>45154.49831018518</v>
      </c>
      <c r="C633" s="1" t="n">
        <v>45901</v>
      </c>
      <c r="D633" t="inlineStr">
        <is>
          <t>KALMAR LÄN</t>
        </is>
      </c>
      <c r="E633" t="inlineStr">
        <is>
          <t>VIMMERBY</t>
        </is>
      </c>
      <c r="G633" t="n">
        <v>2</v>
      </c>
      <c r="H633" t="n">
        <v>0</v>
      </c>
      <c r="I633" t="n">
        <v>0</v>
      </c>
      <c r="J633" t="n">
        <v>0</v>
      </c>
      <c r="K633" t="n">
        <v>0</v>
      </c>
      <c r="L633" t="n">
        <v>0</v>
      </c>
      <c r="M633" t="n">
        <v>0</v>
      </c>
      <c r="N633" t="n">
        <v>0</v>
      </c>
      <c r="O633" t="n">
        <v>0</v>
      </c>
      <c r="P633" t="n">
        <v>0</v>
      </c>
      <c r="Q633" t="n">
        <v>0</v>
      </c>
      <c r="R633" s="2" t="inlineStr"/>
    </row>
    <row r="634" ht="15" customHeight="1">
      <c r="A634" t="inlineStr">
        <is>
          <t>A 46522-2022</t>
        </is>
      </c>
      <c r="B634" s="1" t="n">
        <v>44848.59133101852</v>
      </c>
      <c r="C634" s="1" t="n">
        <v>45901</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21109-2024</t>
        </is>
      </c>
      <c r="B635" s="1" t="n">
        <v>45440.28329861111</v>
      </c>
      <c r="C635" s="1" t="n">
        <v>45901</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35271-2025</t>
        </is>
      </c>
      <c r="B636" s="1" t="n">
        <v>45853.87599537037</v>
      </c>
      <c r="C636" s="1" t="n">
        <v>45901</v>
      </c>
      <c r="D636" t="inlineStr">
        <is>
          <t>KALMAR LÄN</t>
        </is>
      </c>
      <c r="E636" t="inlineStr">
        <is>
          <t>VIMMERBY</t>
        </is>
      </c>
      <c r="G636" t="n">
        <v>0.4</v>
      </c>
      <c r="H636" t="n">
        <v>0</v>
      </c>
      <c r="I636" t="n">
        <v>0</v>
      </c>
      <c r="J636" t="n">
        <v>0</v>
      </c>
      <c r="K636" t="n">
        <v>0</v>
      </c>
      <c r="L636" t="n">
        <v>0</v>
      </c>
      <c r="M636" t="n">
        <v>0</v>
      </c>
      <c r="N636" t="n">
        <v>0</v>
      </c>
      <c r="O636" t="n">
        <v>0</v>
      </c>
      <c r="P636" t="n">
        <v>0</v>
      </c>
      <c r="Q636" t="n">
        <v>0</v>
      </c>
      <c r="R636" s="2" t="inlineStr"/>
    </row>
    <row r="637" ht="15" customHeight="1">
      <c r="A637" t="inlineStr">
        <is>
          <t>A 35272-2025</t>
        </is>
      </c>
      <c r="B637" s="1" t="n">
        <v>45853.88070601852</v>
      </c>
      <c r="C637" s="1" t="n">
        <v>45901</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57486-2024</t>
        </is>
      </c>
      <c r="B638" s="1" t="n">
        <v>45630.35827546296</v>
      </c>
      <c r="C638" s="1" t="n">
        <v>45901</v>
      </c>
      <c r="D638" t="inlineStr">
        <is>
          <t>KALMAR LÄN</t>
        </is>
      </c>
      <c r="E638" t="inlineStr">
        <is>
          <t>VIMMERBY</t>
        </is>
      </c>
      <c r="G638" t="n">
        <v>0.4</v>
      </c>
      <c r="H638" t="n">
        <v>0</v>
      </c>
      <c r="I638" t="n">
        <v>0</v>
      </c>
      <c r="J638" t="n">
        <v>0</v>
      </c>
      <c r="K638" t="n">
        <v>0</v>
      </c>
      <c r="L638" t="n">
        <v>0</v>
      </c>
      <c r="M638" t="n">
        <v>0</v>
      </c>
      <c r="N638" t="n">
        <v>0</v>
      </c>
      <c r="O638" t="n">
        <v>0</v>
      </c>
      <c r="P638" t="n">
        <v>0</v>
      </c>
      <c r="Q638" t="n">
        <v>0</v>
      </c>
      <c r="R638" s="2" t="inlineStr"/>
    </row>
    <row r="639" ht="15" customHeight="1">
      <c r="A639" t="inlineStr">
        <is>
          <t>A 16953-2025</t>
        </is>
      </c>
      <c r="B639" s="1" t="n">
        <v>45755.44333333334</v>
      </c>
      <c r="C639" s="1" t="n">
        <v>45901</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33815-2022</t>
        </is>
      </c>
      <c r="B640" s="1" t="n">
        <v>44790.45876157407</v>
      </c>
      <c r="C640" s="1" t="n">
        <v>45901</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39889-2025</t>
        </is>
      </c>
      <c r="B641" s="1" t="n">
        <v>45891</v>
      </c>
      <c r="C641" s="1" t="n">
        <v>45901</v>
      </c>
      <c r="D641" t="inlineStr">
        <is>
          <t>KALMAR LÄN</t>
        </is>
      </c>
      <c r="E641" t="inlineStr">
        <is>
          <t>VIMMERBY</t>
        </is>
      </c>
      <c r="G641" t="n">
        <v>4.5</v>
      </c>
      <c r="H641" t="n">
        <v>0</v>
      </c>
      <c r="I641" t="n">
        <v>0</v>
      </c>
      <c r="J641" t="n">
        <v>0</v>
      </c>
      <c r="K641" t="n">
        <v>0</v>
      </c>
      <c r="L641" t="n">
        <v>0</v>
      </c>
      <c r="M641" t="n">
        <v>0</v>
      </c>
      <c r="N641" t="n">
        <v>0</v>
      </c>
      <c r="O641" t="n">
        <v>0</v>
      </c>
      <c r="P641" t="n">
        <v>0</v>
      </c>
      <c r="Q641" t="n">
        <v>0</v>
      </c>
      <c r="R641" s="2" t="inlineStr"/>
    </row>
    <row r="642" ht="15" customHeight="1">
      <c r="A642" t="inlineStr">
        <is>
          <t>A 66295-2020</t>
        </is>
      </c>
      <c r="B642" s="1" t="n">
        <v>44176</v>
      </c>
      <c r="C642" s="1" t="n">
        <v>45901</v>
      </c>
      <c r="D642" t="inlineStr">
        <is>
          <t>KALMAR LÄN</t>
        </is>
      </c>
      <c r="E642" t="inlineStr">
        <is>
          <t>VIMMERBY</t>
        </is>
      </c>
      <c r="G642" t="n">
        <v>4.1</v>
      </c>
      <c r="H642" t="n">
        <v>0</v>
      </c>
      <c r="I642" t="n">
        <v>0</v>
      </c>
      <c r="J642" t="n">
        <v>0</v>
      </c>
      <c r="K642" t="n">
        <v>0</v>
      </c>
      <c r="L642" t="n">
        <v>0</v>
      </c>
      <c r="M642" t="n">
        <v>0</v>
      </c>
      <c r="N642" t="n">
        <v>0</v>
      </c>
      <c r="O642" t="n">
        <v>0</v>
      </c>
      <c r="P642" t="n">
        <v>0</v>
      </c>
      <c r="Q642" t="n">
        <v>0</v>
      </c>
      <c r="R642" s="2" t="inlineStr"/>
    </row>
    <row r="643" ht="15" customHeight="1">
      <c r="A643" t="inlineStr">
        <is>
          <t>A 49461-2022</t>
        </is>
      </c>
      <c r="B643" s="1" t="n">
        <v>44861</v>
      </c>
      <c r="C643" s="1" t="n">
        <v>45901</v>
      </c>
      <c r="D643" t="inlineStr">
        <is>
          <t>KALMAR LÄN</t>
        </is>
      </c>
      <c r="E643" t="inlineStr">
        <is>
          <t>VIMMERBY</t>
        </is>
      </c>
      <c r="G643" t="n">
        <v>3.2</v>
      </c>
      <c r="H643" t="n">
        <v>0</v>
      </c>
      <c r="I643" t="n">
        <v>0</v>
      </c>
      <c r="J643" t="n">
        <v>0</v>
      </c>
      <c r="K643" t="n">
        <v>0</v>
      </c>
      <c r="L643" t="n">
        <v>0</v>
      </c>
      <c r="M643" t="n">
        <v>0</v>
      </c>
      <c r="N643" t="n">
        <v>0</v>
      </c>
      <c r="O643" t="n">
        <v>0</v>
      </c>
      <c r="P643" t="n">
        <v>0</v>
      </c>
      <c r="Q643" t="n">
        <v>0</v>
      </c>
      <c r="R643" s="2" t="inlineStr"/>
    </row>
    <row r="644" ht="15" customHeight="1">
      <c r="A644" t="inlineStr">
        <is>
          <t>A 53542-2022</t>
        </is>
      </c>
      <c r="B644" s="1" t="n">
        <v>44879.62173611111</v>
      </c>
      <c r="C644" s="1" t="n">
        <v>45901</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35713-2023</t>
        </is>
      </c>
      <c r="B645" s="1" t="n">
        <v>45147</v>
      </c>
      <c r="C645" s="1" t="n">
        <v>45901</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44423-2023</t>
        </is>
      </c>
      <c r="B646" s="1" t="n">
        <v>45189</v>
      </c>
      <c r="C646" s="1" t="n">
        <v>45901</v>
      </c>
      <c r="D646" t="inlineStr">
        <is>
          <t>KALMAR LÄN</t>
        </is>
      </c>
      <c r="E646" t="inlineStr">
        <is>
          <t>VIMMERBY</t>
        </is>
      </c>
      <c r="G646" t="n">
        <v>0.7</v>
      </c>
      <c r="H646" t="n">
        <v>0</v>
      </c>
      <c r="I646" t="n">
        <v>0</v>
      </c>
      <c r="J646" t="n">
        <v>0</v>
      </c>
      <c r="K646" t="n">
        <v>0</v>
      </c>
      <c r="L646" t="n">
        <v>0</v>
      </c>
      <c r="M646" t="n">
        <v>0</v>
      </c>
      <c r="N646" t="n">
        <v>0</v>
      </c>
      <c r="O646" t="n">
        <v>0</v>
      </c>
      <c r="P646" t="n">
        <v>0</v>
      </c>
      <c r="Q646" t="n">
        <v>0</v>
      </c>
      <c r="R646" s="2" t="inlineStr"/>
    </row>
    <row r="647" ht="15" customHeight="1">
      <c r="A647" t="inlineStr">
        <is>
          <t>A 10424-2023</t>
        </is>
      </c>
      <c r="B647" s="1" t="n">
        <v>44987.54104166666</v>
      </c>
      <c r="C647" s="1" t="n">
        <v>45901</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20-2025</t>
        </is>
      </c>
      <c r="B648" s="1" t="n">
        <v>45658.80232638889</v>
      </c>
      <c r="C648" s="1" t="n">
        <v>45901</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23-2025</t>
        </is>
      </c>
      <c r="B649" s="1" t="n">
        <v>45658.80827546296</v>
      </c>
      <c r="C649" s="1" t="n">
        <v>45901</v>
      </c>
      <c r="D649" t="inlineStr">
        <is>
          <t>KALMAR LÄN</t>
        </is>
      </c>
      <c r="E649" t="inlineStr">
        <is>
          <t>VIMMERBY</t>
        </is>
      </c>
      <c r="G649" t="n">
        <v>1.8</v>
      </c>
      <c r="H649" t="n">
        <v>0</v>
      </c>
      <c r="I649" t="n">
        <v>0</v>
      </c>
      <c r="J649" t="n">
        <v>0</v>
      </c>
      <c r="K649" t="n">
        <v>0</v>
      </c>
      <c r="L649" t="n">
        <v>0</v>
      </c>
      <c r="M649" t="n">
        <v>0</v>
      </c>
      <c r="N649" t="n">
        <v>0</v>
      </c>
      <c r="O649" t="n">
        <v>0</v>
      </c>
      <c r="P649" t="n">
        <v>0</v>
      </c>
      <c r="Q649" t="n">
        <v>0</v>
      </c>
      <c r="R649" s="2" t="inlineStr"/>
    </row>
    <row r="650" ht="15" customHeight="1">
      <c r="A650" t="inlineStr">
        <is>
          <t>A 40921-2025</t>
        </is>
      </c>
      <c r="B650" s="1" t="n">
        <v>45897.63520833333</v>
      </c>
      <c r="C650" s="1" t="n">
        <v>45901</v>
      </c>
      <c r="D650" t="inlineStr">
        <is>
          <t>KALMAR LÄN</t>
        </is>
      </c>
      <c r="E650" t="inlineStr">
        <is>
          <t>VIMMERBY</t>
        </is>
      </c>
      <c r="G650" t="n">
        <v>4.2</v>
      </c>
      <c r="H650" t="n">
        <v>0</v>
      </c>
      <c r="I650" t="n">
        <v>0</v>
      </c>
      <c r="J650" t="n">
        <v>0</v>
      </c>
      <c r="K650" t="n">
        <v>0</v>
      </c>
      <c r="L650" t="n">
        <v>0</v>
      </c>
      <c r="M650" t="n">
        <v>0</v>
      </c>
      <c r="N650" t="n">
        <v>0</v>
      </c>
      <c r="O650" t="n">
        <v>0</v>
      </c>
      <c r="P650" t="n">
        <v>0</v>
      </c>
      <c r="Q650" t="n">
        <v>0</v>
      </c>
      <c r="R650" s="2" t="inlineStr"/>
    </row>
    <row r="651" ht="15" customHeight="1">
      <c r="A651" t="inlineStr">
        <is>
          <t>A 21496-2023</t>
        </is>
      </c>
      <c r="B651" s="1" t="n">
        <v>45063.49936342592</v>
      </c>
      <c r="C651" s="1" t="n">
        <v>45901</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40971-2025</t>
        </is>
      </c>
      <c r="B652" s="1" t="n">
        <v>45897.88836805556</v>
      </c>
      <c r="C652" s="1" t="n">
        <v>45901</v>
      </c>
      <c r="D652" t="inlineStr">
        <is>
          <t>KALMAR LÄN</t>
        </is>
      </c>
      <c r="E652" t="inlineStr">
        <is>
          <t>VIMMERBY</t>
        </is>
      </c>
      <c r="G652" t="n">
        <v>1.5</v>
      </c>
      <c r="H652" t="n">
        <v>0</v>
      </c>
      <c r="I652" t="n">
        <v>0</v>
      </c>
      <c r="J652" t="n">
        <v>0</v>
      </c>
      <c r="K652" t="n">
        <v>0</v>
      </c>
      <c r="L652" t="n">
        <v>0</v>
      </c>
      <c r="M652" t="n">
        <v>0</v>
      </c>
      <c r="N652" t="n">
        <v>0</v>
      </c>
      <c r="O652" t="n">
        <v>0</v>
      </c>
      <c r="P652" t="n">
        <v>0</v>
      </c>
      <c r="Q652" t="n">
        <v>0</v>
      </c>
      <c r="R652" s="2" t="inlineStr"/>
    </row>
    <row r="653" ht="15" customHeight="1">
      <c r="A653" t="inlineStr">
        <is>
          <t>A 18022-2025</t>
        </is>
      </c>
      <c r="B653" s="1" t="n">
        <v>45761.44584490741</v>
      </c>
      <c r="C653" s="1" t="n">
        <v>45901</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31056-2022</t>
        </is>
      </c>
      <c r="B654" s="1" t="n">
        <v>44769.45805555556</v>
      </c>
      <c r="C654" s="1" t="n">
        <v>45901</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40925-2025</t>
        </is>
      </c>
      <c r="B655" s="1" t="n">
        <v>45897.64208333333</v>
      </c>
      <c r="C655" s="1" t="n">
        <v>45901</v>
      </c>
      <c r="D655" t="inlineStr">
        <is>
          <t>KALMAR LÄN</t>
        </is>
      </c>
      <c r="E655" t="inlineStr">
        <is>
          <t>VIMMERBY</t>
        </is>
      </c>
      <c r="G655" t="n">
        <v>1.9</v>
      </c>
      <c r="H655" t="n">
        <v>0</v>
      </c>
      <c r="I655" t="n">
        <v>0</v>
      </c>
      <c r="J655" t="n">
        <v>0</v>
      </c>
      <c r="K655" t="n">
        <v>0</v>
      </c>
      <c r="L655" t="n">
        <v>0</v>
      </c>
      <c r="M655" t="n">
        <v>0</v>
      </c>
      <c r="N655" t="n">
        <v>0</v>
      </c>
      <c r="O655" t="n">
        <v>0</v>
      </c>
      <c r="P655" t="n">
        <v>0</v>
      </c>
      <c r="Q655" t="n">
        <v>0</v>
      </c>
      <c r="R655" s="2" t="inlineStr"/>
    </row>
    <row r="656" ht="15" customHeight="1">
      <c r="A656" t="inlineStr">
        <is>
          <t>A 41224-2025</t>
        </is>
      </c>
      <c r="B656" s="1" t="n">
        <v>45898.58861111111</v>
      </c>
      <c r="C656" s="1" t="n">
        <v>45901</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40973-2025</t>
        </is>
      </c>
      <c r="B657" s="1" t="n">
        <v>45897.89737268518</v>
      </c>
      <c r="C657" s="1" t="n">
        <v>45901</v>
      </c>
      <c r="D657" t="inlineStr">
        <is>
          <t>KALMAR LÄN</t>
        </is>
      </c>
      <c r="E657" t="inlineStr">
        <is>
          <t>VIMMERBY</t>
        </is>
      </c>
      <c r="G657" t="n">
        <v>1.8</v>
      </c>
      <c r="H657" t="n">
        <v>0</v>
      </c>
      <c r="I657" t="n">
        <v>0</v>
      </c>
      <c r="J657" t="n">
        <v>0</v>
      </c>
      <c r="K657" t="n">
        <v>0</v>
      </c>
      <c r="L657" t="n">
        <v>0</v>
      </c>
      <c r="M657" t="n">
        <v>0</v>
      </c>
      <c r="N657" t="n">
        <v>0</v>
      </c>
      <c r="O657" t="n">
        <v>0</v>
      </c>
      <c r="P657" t="n">
        <v>0</v>
      </c>
      <c r="Q657" t="n">
        <v>0</v>
      </c>
      <c r="R657" s="2" t="inlineStr"/>
    </row>
    <row r="658" ht="15" customHeight="1">
      <c r="A658" t="inlineStr">
        <is>
          <t>A 40970-2025</t>
        </is>
      </c>
      <c r="B658" s="1" t="n">
        <v>45897.88706018519</v>
      </c>
      <c r="C658" s="1" t="n">
        <v>45901</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72701-2021</t>
        </is>
      </c>
      <c r="B659" s="1" t="n">
        <v>44546</v>
      </c>
      <c r="C659" s="1" t="n">
        <v>45901</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52294-2023</t>
        </is>
      </c>
      <c r="B660" s="1" t="n">
        <v>45224.60075231481</v>
      </c>
      <c r="C660" s="1" t="n">
        <v>45901</v>
      </c>
      <c r="D660" t="inlineStr">
        <is>
          <t>KALMAR LÄN</t>
        </is>
      </c>
      <c r="E660" t="inlineStr">
        <is>
          <t>VIMMERBY</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61355-2024</t>
        </is>
      </c>
      <c r="B661" s="1" t="n">
        <v>45646.38200231481</v>
      </c>
      <c r="C661" s="1" t="n">
        <v>45901</v>
      </c>
      <c r="D661" t="inlineStr">
        <is>
          <t>KALMAR LÄN</t>
        </is>
      </c>
      <c r="E661" t="inlineStr">
        <is>
          <t>VIMMERBY</t>
        </is>
      </c>
      <c r="G661" t="n">
        <v>2.7</v>
      </c>
      <c r="H661" t="n">
        <v>0</v>
      </c>
      <c r="I661" t="n">
        <v>0</v>
      </c>
      <c r="J661" t="n">
        <v>0</v>
      </c>
      <c r="K661" t="n">
        <v>0</v>
      </c>
      <c r="L661" t="n">
        <v>0</v>
      </c>
      <c r="M661" t="n">
        <v>0</v>
      </c>
      <c r="N661" t="n">
        <v>0</v>
      </c>
      <c r="O661" t="n">
        <v>0</v>
      </c>
      <c r="P661" t="n">
        <v>0</v>
      </c>
      <c r="Q661" t="n">
        <v>0</v>
      </c>
      <c r="R661" s="2" t="inlineStr"/>
    </row>
    <row r="662" ht="15" customHeight="1">
      <c r="A662" t="inlineStr">
        <is>
          <t>A 33340-2023</t>
        </is>
      </c>
      <c r="B662" s="1" t="n">
        <v>45128.37305555555</v>
      </c>
      <c r="C662" s="1" t="n">
        <v>45901</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33374-2021</t>
        </is>
      </c>
      <c r="B663" s="1" t="n">
        <v>44377</v>
      </c>
      <c r="C663" s="1" t="n">
        <v>45901</v>
      </c>
      <c r="D663" t="inlineStr">
        <is>
          <t>KALMAR LÄN</t>
        </is>
      </c>
      <c r="E663" t="inlineStr">
        <is>
          <t>VIMMERBY</t>
        </is>
      </c>
      <c r="G663" t="n">
        <v>3.3</v>
      </c>
      <c r="H663" t="n">
        <v>0</v>
      </c>
      <c r="I663" t="n">
        <v>0</v>
      </c>
      <c r="J663" t="n">
        <v>0</v>
      </c>
      <c r="K663" t="n">
        <v>0</v>
      </c>
      <c r="L663" t="n">
        <v>0</v>
      </c>
      <c r="M663" t="n">
        <v>0</v>
      </c>
      <c r="N663" t="n">
        <v>0</v>
      </c>
      <c r="O663" t="n">
        <v>0</v>
      </c>
      <c r="P663" t="n">
        <v>0</v>
      </c>
      <c r="Q663" t="n">
        <v>0</v>
      </c>
      <c r="R663" s="2" t="inlineStr"/>
    </row>
    <row r="664" ht="15" customHeight="1">
      <c r="A664" t="inlineStr">
        <is>
          <t>A 29017-2024</t>
        </is>
      </c>
      <c r="B664" s="1" t="n">
        <v>45481.56722222222</v>
      </c>
      <c r="C664" s="1" t="n">
        <v>45901</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58046-2022</t>
        </is>
      </c>
      <c r="B665" s="1" t="n">
        <v>44900.57393518519</v>
      </c>
      <c r="C665" s="1" t="n">
        <v>45901</v>
      </c>
      <c r="D665" t="inlineStr">
        <is>
          <t>KALMAR LÄN</t>
        </is>
      </c>
      <c r="E665" t="inlineStr">
        <is>
          <t>VIMMERBY</t>
        </is>
      </c>
      <c r="G665" t="n">
        <v>2.5</v>
      </c>
      <c r="H665" t="n">
        <v>0</v>
      </c>
      <c r="I665" t="n">
        <v>0</v>
      </c>
      <c r="J665" t="n">
        <v>0</v>
      </c>
      <c r="K665" t="n">
        <v>0</v>
      </c>
      <c r="L665" t="n">
        <v>0</v>
      </c>
      <c r="M665" t="n">
        <v>0</v>
      </c>
      <c r="N665" t="n">
        <v>0</v>
      </c>
      <c r="O665" t="n">
        <v>0</v>
      </c>
      <c r="P665" t="n">
        <v>0</v>
      </c>
      <c r="Q665" t="n">
        <v>0</v>
      </c>
      <c r="R665" s="2" t="inlineStr"/>
    </row>
    <row r="666" ht="15" customHeight="1">
      <c r="A666" t="inlineStr">
        <is>
          <t>A 14548-2024</t>
        </is>
      </c>
      <c r="B666" s="1" t="n">
        <v>45394.66887731481</v>
      </c>
      <c r="C666" s="1" t="n">
        <v>45901</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10759-2023</t>
        </is>
      </c>
      <c r="B667" s="1" t="n">
        <v>44988</v>
      </c>
      <c r="C667" s="1" t="n">
        <v>45901</v>
      </c>
      <c r="D667" t="inlineStr">
        <is>
          <t>KALMAR LÄN</t>
        </is>
      </c>
      <c r="E667" t="inlineStr">
        <is>
          <t>VIMMERBY</t>
        </is>
      </c>
      <c r="G667" t="n">
        <v>0.4</v>
      </c>
      <c r="H667" t="n">
        <v>0</v>
      </c>
      <c r="I667" t="n">
        <v>0</v>
      </c>
      <c r="J667" t="n">
        <v>0</v>
      </c>
      <c r="K667" t="n">
        <v>0</v>
      </c>
      <c r="L667" t="n">
        <v>0</v>
      </c>
      <c r="M667" t="n">
        <v>0</v>
      </c>
      <c r="N667" t="n">
        <v>0</v>
      </c>
      <c r="O667" t="n">
        <v>0</v>
      </c>
      <c r="P667" t="n">
        <v>0</v>
      </c>
      <c r="Q667" t="n">
        <v>0</v>
      </c>
      <c r="R667" s="2" t="inlineStr"/>
    </row>
    <row r="668" ht="15" customHeight="1">
      <c r="A668" t="inlineStr">
        <is>
          <t>A 18899-2025</t>
        </is>
      </c>
      <c r="B668" s="1" t="n">
        <v>45764.44931712963</v>
      </c>
      <c r="C668" s="1" t="n">
        <v>45901</v>
      </c>
      <c r="D668" t="inlineStr">
        <is>
          <t>KALMAR LÄN</t>
        </is>
      </c>
      <c r="E668" t="inlineStr">
        <is>
          <t>VIMMERBY</t>
        </is>
      </c>
      <c r="F668" t="inlineStr">
        <is>
          <t>Kommuner</t>
        </is>
      </c>
      <c r="G668" t="n">
        <v>4</v>
      </c>
      <c r="H668" t="n">
        <v>0</v>
      </c>
      <c r="I668" t="n">
        <v>0</v>
      </c>
      <c r="J668" t="n">
        <v>0</v>
      </c>
      <c r="K668" t="n">
        <v>0</v>
      </c>
      <c r="L668" t="n">
        <v>0</v>
      </c>
      <c r="M668" t="n">
        <v>0</v>
      </c>
      <c r="N668" t="n">
        <v>0</v>
      </c>
      <c r="O668" t="n">
        <v>0</v>
      </c>
      <c r="P668" t="n">
        <v>0</v>
      </c>
      <c r="Q668" t="n">
        <v>0</v>
      </c>
      <c r="R668" s="2" t="inlineStr"/>
    </row>
    <row r="669" ht="15" customHeight="1">
      <c r="A669" t="inlineStr">
        <is>
          <t>A 12586-2021</t>
        </is>
      </c>
      <c r="B669" s="1" t="n">
        <v>44270.38002314815</v>
      </c>
      <c r="C669" s="1" t="n">
        <v>45901</v>
      </c>
      <c r="D669" t="inlineStr">
        <is>
          <t>KALMAR LÄN</t>
        </is>
      </c>
      <c r="E669" t="inlineStr">
        <is>
          <t>VIMMERBY</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32614-2023</t>
        </is>
      </c>
      <c r="B670" s="1" t="n">
        <v>45121</v>
      </c>
      <c r="C670" s="1" t="n">
        <v>45901</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61939-2021</t>
        </is>
      </c>
      <c r="B671" s="1" t="n">
        <v>44502</v>
      </c>
      <c r="C671" s="1" t="n">
        <v>45901</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48120-2022</t>
        </is>
      </c>
      <c r="B672" s="1" t="n">
        <v>44857.65989583333</v>
      </c>
      <c r="C672" s="1" t="n">
        <v>45901</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3423-2022</t>
        </is>
      </c>
      <c r="B673" s="1" t="n">
        <v>44585.50431712963</v>
      </c>
      <c r="C673" s="1" t="n">
        <v>45901</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11074-2023</t>
        </is>
      </c>
      <c r="B674" s="1" t="n">
        <v>44992.34151620371</v>
      </c>
      <c r="C674" s="1" t="n">
        <v>45901</v>
      </c>
      <c r="D674" t="inlineStr">
        <is>
          <t>KALMAR LÄN</t>
        </is>
      </c>
      <c r="E674" t="inlineStr">
        <is>
          <t>VIMMERBY</t>
        </is>
      </c>
      <c r="F674" t="inlineStr">
        <is>
          <t>Sveaskog</t>
        </is>
      </c>
      <c r="G674" t="n">
        <v>3.1</v>
      </c>
      <c r="H674" t="n">
        <v>0</v>
      </c>
      <c r="I674" t="n">
        <v>0</v>
      </c>
      <c r="J674" t="n">
        <v>0</v>
      </c>
      <c r="K674" t="n">
        <v>0</v>
      </c>
      <c r="L674" t="n">
        <v>0</v>
      </c>
      <c r="M674" t="n">
        <v>0</v>
      </c>
      <c r="N674" t="n">
        <v>0</v>
      </c>
      <c r="O674" t="n">
        <v>0</v>
      </c>
      <c r="P674" t="n">
        <v>0</v>
      </c>
      <c r="Q674" t="n">
        <v>0</v>
      </c>
      <c r="R674" s="2" t="inlineStr"/>
    </row>
    <row r="675" ht="15" customHeight="1">
      <c r="A675" t="inlineStr">
        <is>
          <t>A 71631-2021</t>
        </is>
      </c>
      <c r="B675" s="1" t="n">
        <v>44542.90072916666</v>
      </c>
      <c r="C675" s="1" t="n">
        <v>45901</v>
      </c>
      <c r="D675" t="inlineStr">
        <is>
          <t>KALMAR LÄN</t>
        </is>
      </c>
      <c r="E675" t="inlineStr">
        <is>
          <t>VIMMERBY</t>
        </is>
      </c>
      <c r="G675" t="n">
        <v>0.9</v>
      </c>
      <c r="H675" t="n">
        <v>0</v>
      </c>
      <c r="I675" t="n">
        <v>0</v>
      </c>
      <c r="J675" t="n">
        <v>0</v>
      </c>
      <c r="K675" t="n">
        <v>0</v>
      </c>
      <c r="L675" t="n">
        <v>0</v>
      </c>
      <c r="M675" t="n">
        <v>0</v>
      </c>
      <c r="N675" t="n">
        <v>0</v>
      </c>
      <c r="O675" t="n">
        <v>0</v>
      </c>
      <c r="P675" t="n">
        <v>0</v>
      </c>
      <c r="Q675" t="n">
        <v>0</v>
      </c>
      <c r="R675" s="2" t="inlineStr"/>
    </row>
    <row r="676" ht="15" customHeight="1">
      <c r="A676" t="inlineStr">
        <is>
          <t>A 6218-2025</t>
        </is>
      </c>
      <c r="B676" s="1" t="n">
        <v>45698.53336805556</v>
      </c>
      <c r="C676" s="1" t="n">
        <v>45901</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40076-2021</t>
        </is>
      </c>
      <c r="B677" s="1" t="n">
        <v>44418</v>
      </c>
      <c r="C677" s="1" t="n">
        <v>45901</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49039-2021</t>
        </is>
      </c>
      <c r="B678" s="1" t="n">
        <v>44453.56578703703</v>
      </c>
      <c r="C678" s="1" t="n">
        <v>45901</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42918-2021</t>
        </is>
      </c>
      <c r="B679" s="1" t="n">
        <v>44431</v>
      </c>
      <c r="C679" s="1" t="n">
        <v>45901</v>
      </c>
      <c r="D679" t="inlineStr">
        <is>
          <t>KALMAR LÄN</t>
        </is>
      </c>
      <c r="E679" t="inlineStr">
        <is>
          <t>VIMMERBY</t>
        </is>
      </c>
      <c r="G679" t="n">
        <v>1.6</v>
      </c>
      <c r="H679" t="n">
        <v>0</v>
      </c>
      <c r="I679" t="n">
        <v>0</v>
      </c>
      <c r="J679" t="n">
        <v>0</v>
      </c>
      <c r="K679" t="n">
        <v>0</v>
      </c>
      <c r="L679" t="n">
        <v>0</v>
      </c>
      <c r="M679" t="n">
        <v>0</v>
      </c>
      <c r="N679" t="n">
        <v>0</v>
      </c>
      <c r="O679" t="n">
        <v>0</v>
      </c>
      <c r="P679" t="n">
        <v>0</v>
      </c>
      <c r="Q679" t="n">
        <v>0</v>
      </c>
      <c r="R679" s="2" t="inlineStr"/>
    </row>
    <row r="680" ht="15" customHeight="1">
      <c r="A680" t="inlineStr">
        <is>
          <t>A 529-2022</t>
        </is>
      </c>
      <c r="B680" s="1" t="n">
        <v>44566</v>
      </c>
      <c r="C680" s="1" t="n">
        <v>45901</v>
      </c>
      <c r="D680" t="inlineStr">
        <is>
          <t>KALMAR LÄN</t>
        </is>
      </c>
      <c r="E680" t="inlineStr">
        <is>
          <t>VIMMERBY</t>
        </is>
      </c>
      <c r="G680" t="n">
        <v>1.5</v>
      </c>
      <c r="H680" t="n">
        <v>0</v>
      </c>
      <c r="I680" t="n">
        <v>0</v>
      </c>
      <c r="J680" t="n">
        <v>0</v>
      </c>
      <c r="K680" t="n">
        <v>0</v>
      </c>
      <c r="L680" t="n">
        <v>0</v>
      </c>
      <c r="M680" t="n">
        <v>0</v>
      </c>
      <c r="N680" t="n">
        <v>0</v>
      </c>
      <c r="O680" t="n">
        <v>0</v>
      </c>
      <c r="P680" t="n">
        <v>0</v>
      </c>
      <c r="Q680" t="n">
        <v>0</v>
      </c>
      <c r="R680" s="2" t="inlineStr"/>
    </row>
    <row r="681" ht="15" customHeight="1">
      <c r="A681" t="inlineStr">
        <is>
          <t>A 15976-2025</t>
        </is>
      </c>
      <c r="B681" s="1" t="n">
        <v>45749.56196759259</v>
      </c>
      <c r="C681" s="1" t="n">
        <v>45901</v>
      </c>
      <c r="D681" t="inlineStr">
        <is>
          <t>KALMAR LÄN</t>
        </is>
      </c>
      <c r="E681" t="inlineStr">
        <is>
          <t>VIMMERBY</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14855-2025</t>
        </is>
      </c>
      <c r="B682" s="1" t="n">
        <v>45743.41148148148</v>
      </c>
      <c r="C682" s="1" t="n">
        <v>45901</v>
      </c>
      <c r="D682" t="inlineStr">
        <is>
          <t>KALMAR LÄN</t>
        </is>
      </c>
      <c r="E682" t="inlineStr">
        <is>
          <t>VIMMERBY</t>
        </is>
      </c>
      <c r="G682" t="n">
        <v>1.2</v>
      </c>
      <c r="H682" t="n">
        <v>0</v>
      </c>
      <c r="I682" t="n">
        <v>0</v>
      </c>
      <c r="J682" t="n">
        <v>0</v>
      </c>
      <c r="K682" t="n">
        <v>0</v>
      </c>
      <c r="L682" t="n">
        <v>0</v>
      </c>
      <c r="M682" t="n">
        <v>0</v>
      </c>
      <c r="N682" t="n">
        <v>0</v>
      </c>
      <c r="O682" t="n">
        <v>0</v>
      </c>
      <c r="P682" t="n">
        <v>0</v>
      </c>
      <c r="Q682" t="n">
        <v>0</v>
      </c>
      <c r="R682" s="2" t="inlineStr"/>
    </row>
    <row r="683" ht="15" customHeight="1">
      <c r="A683" t="inlineStr">
        <is>
          <t>A 60951-2023</t>
        </is>
      </c>
      <c r="B683" s="1" t="n">
        <v>45261.44914351852</v>
      </c>
      <c r="C683" s="1" t="n">
        <v>45901</v>
      </c>
      <c r="D683" t="inlineStr">
        <is>
          <t>KALMAR LÄN</t>
        </is>
      </c>
      <c r="E683" t="inlineStr">
        <is>
          <t>VIMMERBY</t>
        </is>
      </c>
      <c r="G683" t="n">
        <v>4.3</v>
      </c>
      <c r="H683" t="n">
        <v>0</v>
      </c>
      <c r="I683" t="n">
        <v>0</v>
      </c>
      <c r="J683" t="n">
        <v>0</v>
      </c>
      <c r="K683" t="n">
        <v>0</v>
      </c>
      <c r="L683" t="n">
        <v>0</v>
      </c>
      <c r="M683" t="n">
        <v>0</v>
      </c>
      <c r="N683" t="n">
        <v>0</v>
      </c>
      <c r="O683" t="n">
        <v>0</v>
      </c>
      <c r="P683" t="n">
        <v>0</v>
      </c>
      <c r="Q683" t="n">
        <v>0</v>
      </c>
      <c r="R683" s="2" t="inlineStr"/>
    </row>
    <row r="684" ht="15" customHeight="1">
      <c r="A684" t="inlineStr">
        <is>
          <t>A 19162-2023</t>
        </is>
      </c>
      <c r="B684" s="1" t="n">
        <v>45048.59699074074</v>
      </c>
      <c r="C684" s="1" t="n">
        <v>45901</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12588-2025</t>
        </is>
      </c>
      <c r="B685" s="1" t="n">
        <v>45732.76936342593</v>
      </c>
      <c r="C685" s="1" t="n">
        <v>45901</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25979-2023</t>
        </is>
      </c>
      <c r="B686" s="1" t="n">
        <v>45090.89653935185</v>
      </c>
      <c r="C686" s="1" t="n">
        <v>45901</v>
      </c>
      <c r="D686" t="inlineStr">
        <is>
          <t>KALMAR LÄN</t>
        </is>
      </c>
      <c r="E686" t="inlineStr">
        <is>
          <t>VIMMERBY</t>
        </is>
      </c>
      <c r="G686" t="n">
        <v>2</v>
      </c>
      <c r="H686" t="n">
        <v>0</v>
      </c>
      <c r="I686" t="n">
        <v>0</v>
      </c>
      <c r="J686" t="n">
        <v>0</v>
      </c>
      <c r="K686" t="n">
        <v>0</v>
      </c>
      <c r="L686" t="n">
        <v>0</v>
      </c>
      <c r="M686" t="n">
        <v>0</v>
      </c>
      <c r="N686" t="n">
        <v>0</v>
      </c>
      <c r="O686" t="n">
        <v>0</v>
      </c>
      <c r="P686" t="n">
        <v>0</v>
      </c>
      <c r="Q686" t="n">
        <v>0</v>
      </c>
      <c r="R686" s="2" t="inlineStr"/>
    </row>
    <row r="687" ht="15" customHeight="1">
      <c r="A687" t="inlineStr">
        <is>
          <t>A 25980-2023</t>
        </is>
      </c>
      <c r="B687" s="1" t="n">
        <v>45090.89880787037</v>
      </c>
      <c r="C687" s="1" t="n">
        <v>45901</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31209-2024</t>
        </is>
      </c>
      <c r="B688" s="1" t="n">
        <v>45503.5658912037</v>
      </c>
      <c r="C688" s="1" t="n">
        <v>45901</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46921-2023</t>
        </is>
      </c>
      <c r="B689" s="1" t="n">
        <v>45201.39996527778</v>
      </c>
      <c r="C689" s="1" t="n">
        <v>45901</v>
      </c>
      <c r="D689" t="inlineStr">
        <is>
          <t>KALMAR LÄN</t>
        </is>
      </c>
      <c r="E689" t="inlineStr">
        <is>
          <t>VIMMERBY</t>
        </is>
      </c>
      <c r="G689" t="n">
        <v>2.6</v>
      </c>
      <c r="H689" t="n">
        <v>0</v>
      </c>
      <c r="I689" t="n">
        <v>0</v>
      </c>
      <c r="J689" t="n">
        <v>0</v>
      </c>
      <c r="K689" t="n">
        <v>0</v>
      </c>
      <c r="L689" t="n">
        <v>0</v>
      </c>
      <c r="M689" t="n">
        <v>0</v>
      </c>
      <c r="N689" t="n">
        <v>0</v>
      </c>
      <c r="O689" t="n">
        <v>0</v>
      </c>
      <c r="P689" t="n">
        <v>0</v>
      </c>
      <c r="Q689" t="n">
        <v>0</v>
      </c>
      <c r="R689" s="2" t="inlineStr"/>
    </row>
    <row r="690" ht="15" customHeight="1">
      <c r="A690" t="inlineStr">
        <is>
          <t>A 10837-2023</t>
        </is>
      </c>
      <c r="B690" s="1" t="n">
        <v>44991.30547453704</v>
      </c>
      <c r="C690" s="1" t="n">
        <v>45901</v>
      </c>
      <c r="D690" t="inlineStr">
        <is>
          <t>KALMAR LÄN</t>
        </is>
      </c>
      <c r="E690" t="inlineStr">
        <is>
          <t>VIMMERBY</t>
        </is>
      </c>
      <c r="G690" t="n">
        <v>7.3</v>
      </c>
      <c r="H690" t="n">
        <v>0</v>
      </c>
      <c r="I690" t="n">
        <v>0</v>
      </c>
      <c r="J690" t="n">
        <v>0</v>
      </c>
      <c r="K690" t="n">
        <v>0</v>
      </c>
      <c r="L690" t="n">
        <v>0</v>
      </c>
      <c r="M690" t="n">
        <v>0</v>
      </c>
      <c r="N690" t="n">
        <v>0</v>
      </c>
      <c r="O690" t="n">
        <v>0</v>
      </c>
      <c r="P690" t="n">
        <v>0</v>
      </c>
      <c r="Q690" t="n">
        <v>0</v>
      </c>
      <c r="R690" s="2" t="inlineStr"/>
    </row>
    <row r="691" ht="15" customHeight="1">
      <c r="A691" t="inlineStr">
        <is>
          <t>A 10838-2023</t>
        </is>
      </c>
      <c r="B691" s="1" t="n">
        <v>44991</v>
      </c>
      <c r="C691" s="1" t="n">
        <v>45901</v>
      </c>
      <c r="D691" t="inlineStr">
        <is>
          <t>KALMAR LÄN</t>
        </is>
      </c>
      <c r="E691" t="inlineStr">
        <is>
          <t>VIMMERBY</t>
        </is>
      </c>
      <c r="G691" t="n">
        <v>5.1</v>
      </c>
      <c r="H691" t="n">
        <v>0</v>
      </c>
      <c r="I691" t="n">
        <v>0</v>
      </c>
      <c r="J691" t="n">
        <v>0</v>
      </c>
      <c r="K691" t="n">
        <v>0</v>
      </c>
      <c r="L691" t="n">
        <v>0</v>
      </c>
      <c r="M691" t="n">
        <v>0</v>
      </c>
      <c r="N691" t="n">
        <v>0</v>
      </c>
      <c r="O691" t="n">
        <v>0</v>
      </c>
      <c r="P691" t="n">
        <v>0</v>
      </c>
      <c r="Q691" t="n">
        <v>0</v>
      </c>
      <c r="R691" s="2" t="inlineStr"/>
    </row>
    <row r="692" ht="15" customHeight="1">
      <c r="A692" t="inlineStr">
        <is>
          <t>A 30912-2023</t>
        </is>
      </c>
      <c r="B692" s="1" t="n">
        <v>45113.41633101852</v>
      </c>
      <c r="C692" s="1" t="n">
        <v>45901</v>
      </c>
      <c r="D692" t="inlineStr">
        <is>
          <t>KALMAR LÄN</t>
        </is>
      </c>
      <c r="E692" t="inlineStr">
        <is>
          <t>VIMMERBY</t>
        </is>
      </c>
      <c r="G692" t="n">
        <v>5</v>
      </c>
      <c r="H692" t="n">
        <v>0</v>
      </c>
      <c r="I692" t="n">
        <v>0</v>
      </c>
      <c r="J692" t="n">
        <v>0</v>
      </c>
      <c r="K692" t="n">
        <v>0</v>
      </c>
      <c r="L692" t="n">
        <v>0</v>
      </c>
      <c r="M692" t="n">
        <v>0</v>
      </c>
      <c r="N692" t="n">
        <v>0</v>
      </c>
      <c r="O692" t="n">
        <v>0</v>
      </c>
      <c r="P692" t="n">
        <v>0</v>
      </c>
      <c r="Q692" t="n">
        <v>0</v>
      </c>
      <c r="R692" s="2" t="inlineStr"/>
    </row>
    <row r="693" ht="15" customHeight="1">
      <c r="A693" t="inlineStr">
        <is>
          <t>A 55436-2023</t>
        </is>
      </c>
      <c r="B693" s="1" t="n">
        <v>45238.4328587963</v>
      </c>
      <c r="C693" s="1" t="n">
        <v>45901</v>
      </c>
      <c r="D693" t="inlineStr">
        <is>
          <t>KALMAR LÄN</t>
        </is>
      </c>
      <c r="E693" t="inlineStr">
        <is>
          <t>VIMMERBY</t>
        </is>
      </c>
      <c r="G693" t="n">
        <v>5.6</v>
      </c>
      <c r="H693" t="n">
        <v>0</v>
      </c>
      <c r="I693" t="n">
        <v>0</v>
      </c>
      <c r="J693" t="n">
        <v>0</v>
      </c>
      <c r="K693" t="n">
        <v>0</v>
      </c>
      <c r="L693" t="n">
        <v>0</v>
      </c>
      <c r="M693" t="n">
        <v>0</v>
      </c>
      <c r="N693" t="n">
        <v>0</v>
      </c>
      <c r="O693" t="n">
        <v>0</v>
      </c>
      <c r="P693" t="n">
        <v>0</v>
      </c>
      <c r="Q693" t="n">
        <v>0</v>
      </c>
      <c r="R693" s="2" t="inlineStr"/>
    </row>
    <row r="694" ht="15" customHeight="1">
      <c r="A694" t="inlineStr">
        <is>
          <t>A 5864-2022</t>
        </is>
      </c>
      <c r="B694" s="1" t="n">
        <v>44596</v>
      </c>
      <c r="C694" s="1" t="n">
        <v>45901</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21507-2023</t>
        </is>
      </c>
      <c r="B695" s="1" t="n">
        <v>45063.508125</v>
      </c>
      <c r="C695" s="1" t="n">
        <v>45901</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51187-2023</t>
        </is>
      </c>
      <c r="B696" s="1" t="n">
        <v>45219.40528935185</v>
      </c>
      <c r="C696" s="1" t="n">
        <v>45901</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43266-2024</t>
        </is>
      </c>
      <c r="B697" s="1" t="n">
        <v>45568.36879629629</v>
      </c>
      <c r="C697" s="1" t="n">
        <v>45901</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42494-2020</t>
        </is>
      </c>
      <c r="B698" s="1" t="n">
        <v>44077</v>
      </c>
      <c r="C698" s="1" t="n">
        <v>45901</v>
      </c>
      <c r="D698" t="inlineStr">
        <is>
          <t>KALMAR LÄN</t>
        </is>
      </c>
      <c r="E698" t="inlineStr">
        <is>
          <t>VIMMERBY</t>
        </is>
      </c>
      <c r="G698" t="n">
        <v>2</v>
      </c>
      <c r="H698" t="n">
        <v>0</v>
      </c>
      <c r="I698" t="n">
        <v>0</v>
      </c>
      <c r="J698" t="n">
        <v>0</v>
      </c>
      <c r="K698" t="n">
        <v>0</v>
      </c>
      <c r="L698" t="n">
        <v>0</v>
      </c>
      <c r="M698" t="n">
        <v>0</v>
      </c>
      <c r="N698" t="n">
        <v>0</v>
      </c>
      <c r="O698" t="n">
        <v>0</v>
      </c>
      <c r="P698" t="n">
        <v>0</v>
      </c>
      <c r="Q698" t="n">
        <v>0</v>
      </c>
      <c r="R698" s="2" t="inlineStr"/>
    </row>
    <row r="699" ht="15" customHeight="1">
      <c r="A699" t="inlineStr">
        <is>
          <t>A 3938-2023</t>
        </is>
      </c>
      <c r="B699" s="1" t="n">
        <v>44952.35775462963</v>
      </c>
      <c r="C699" s="1" t="n">
        <v>45901</v>
      </c>
      <c r="D699" t="inlineStr">
        <is>
          <t>KALMAR LÄN</t>
        </is>
      </c>
      <c r="E699" t="inlineStr">
        <is>
          <t>VIMMERBY</t>
        </is>
      </c>
      <c r="G699" t="n">
        <v>0.9</v>
      </c>
      <c r="H699" t="n">
        <v>0</v>
      </c>
      <c r="I699" t="n">
        <v>0</v>
      </c>
      <c r="J699" t="n">
        <v>0</v>
      </c>
      <c r="K699" t="n">
        <v>0</v>
      </c>
      <c r="L699" t="n">
        <v>0</v>
      </c>
      <c r="M699" t="n">
        <v>0</v>
      </c>
      <c r="N699" t="n">
        <v>0</v>
      </c>
      <c r="O699" t="n">
        <v>0</v>
      </c>
      <c r="P699" t="n">
        <v>0</v>
      </c>
      <c r="Q699" t="n">
        <v>0</v>
      </c>
      <c r="R699" s="2" t="inlineStr"/>
    </row>
    <row r="700" ht="15" customHeight="1">
      <c r="A700" t="inlineStr">
        <is>
          <t>A 13290-2025</t>
        </is>
      </c>
      <c r="B700" s="1" t="n">
        <v>45735.56751157407</v>
      </c>
      <c r="C700" s="1" t="n">
        <v>45901</v>
      </c>
      <c r="D700" t="inlineStr">
        <is>
          <t>KALMAR LÄN</t>
        </is>
      </c>
      <c r="E700" t="inlineStr">
        <is>
          <t>VIMMERBY</t>
        </is>
      </c>
      <c r="G700" t="n">
        <v>0.8</v>
      </c>
      <c r="H700" t="n">
        <v>0</v>
      </c>
      <c r="I700" t="n">
        <v>0</v>
      </c>
      <c r="J700" t="n">
        <v>0</v>
      </c>
      <c r="K700" t="n">
        <v>0</v>
      </c>
      <c r="L700" t="n">
        <v>0</v>
      </c>
      <c r="M700" t="n">
        <v>0</v>
      </c>
      <c r="N700" t="n">
        <v>0</v>
      </c>
      <c r="O700" t="n">
        <v>0</v>
      </c>
      <c r="P700" t="n">
        <v>0</v>
      </c>
      <c r="Q700" t="n">
        <v>0</v>
      </c>
      <c r="R700" s="2" t="inlineStr"/>
    </row>
    <row r="701" ht="15" customHeight="1">
      <c r="A701" t="inlineStr">
        <is>
          <t>A 45560-2021</t>
        </is>
      </c>
      <c r="B701" s="1" t="n">
        <v>44440</v>
      </c>
      <c r="C701" s="1" t="n">
        <v>45901</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26937-2023</t>
        </is>
      </c>
      <c r="B702" s="1" t="n">
        <v>45093.62777777778</v>
      </c>
      <c r="C702" s="1" t="n">
        <v>45901</v>
      </c>
      <c r="D702" t="inlineStr">
        <is>
          <t>KALMAR LÄN</t>
        </is>
      </c>
      <c r="E702" t="inlineStr">
        <is>
          <t>VIMMERBY</t>
        </is>
      </c>
      <c r="F702" t="inlineStr">
        <is>
          <t>Sveaskog</t>
        </is>
      </c>
      <c r="G702" t="n">
        <v>14.5</v>
      </c>
      <c r="H702" t="n">
        <v>0</v>
      </c>
      <c r="I702" t="n">
        <v>0</v>
      </c>
      <c r="J702" t="n">
        <v>0</v>
      </c>
      <c r="K702" t="n">
        <v>0</v>
      </c>
      <c r="L702" t="n">
        <v>0</v>
      </c>
      <c r="M702" t="n">
        <v>0</v>
      </c>
      <c r="N702" t="n">
        <v>0</v>
      </c>
      <c r="O702" t="n">
        <v>0</v>
      </c>
      <c r="P702" t="n">
        <v>0</v>
      </c>
      <c r="Q702" t="n">
        <v>0</v>
      </c>
      <c r="R702" s="2" t="inlineStr"/>
    </row>
    <row r="703" ht="15" customHeight="1">
      <c r="A703" t="inlineStr">
        <is>
          <t>A 50085-2023</t>
        </is>
      </c>
      <c r="B703" s="1" t="n">
        <v>45215.5959375</v>
      </c>
      <c r="C703" s="1" t="n">
        <v>45901</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16622-2025</t>
        </is>
      </c>
      <c r="B704" s="1" t="n">
        <v>45754.33641203704</v>
      </c>
      <c r="C704" s="1" t="n">
        <v>45901</v>
      </c>
      <c r="D704" t="inlineStr">
        <is>
          <t>KALMAR LÄN</t>
        </is>
      </c>
      <c r="E704" t="inlineStr">
        <is>
          <t>VIMMERBY</t>
        </is>
      </c>
      <c r="G704" t="n">
        <v>1</v>
      </c>
      <c r="H704" t="n">
        <v>0</v>
      </c>
      <c r="I704" t="n">
        <v>0</v>
      </c>
      <c r="J704" t="n">
        <v>0</v>
      </c>
      <c r="K704" t="n">
        <v>0</v>
      </c>
      <c r="L704" t="n">
        <v>0</v>
      </c>
      <c r="M704" t="n">
        <v>0</v>
      </c>
      <c r="N704" t="n">
        <v>0</v>
      </c>
      <c r="O704" t="n">
        <v>0</v>
      </c>
      <c r="P704" t="n">
        <v>0</v>
      </c>
      <c r="Q704" t="n">
        <v>0</v>
      </c>
      <c r="R704" s="2" t="inlineStr"/>
    </row>
    <row r="705" ht="15" customHeight="1">
      <c r="A705" t="inlineStr">
        <is>
          <t>A 11219-2023</t>
        </is>
      </c>
      <c r="B705" s="1" t="n">
        <v>44992.62498842592</v>
      </c>
      <c r="C705" s="1" t="n">
        <v>45901</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31340-2023</t>
        </is>
      </c>
      <c r="B706" s="1" t="n">
        <v>45114.47895833333</v>
      </c>
      <c r="C706" s="1" t="n">
        <v>45901</v>
      </c>
      <c r="D706" t="inlineStr">
        <is>
          <t>KALMAR LÄN</t>
        </is>
      </c>
      <c r="E706" t="inlineStr">
        <is>
          <t>VIMMERBY</t>
        </is>
      </c>
      <c r="G706" t="n">
        <v>1.8</v>
      </c>
      <c r="H706" t="n">
        <v>0</v>
      </c>
      <c r="I706" t="n">
        <v>0</v>
      </c>
      <c r="J706" t="n">
        <v>0</v>
      </c>
      <c r="K706" t="n">
        <v>0</v>
      </c>
      <c r="L706" t="n">
        <v>0</v>
      </c>
      <c r="M706" t="n">
        <v>0</v>
      </c>
      <c r="N706" t="n">
        <v>0</v>
      </c>
      <c r="O706" t="n">
        <v>0</v>
      </c>
      <c r="P706" t="n">
        <v>0</v>
      </c>
      <c r="Q706" t="n">
        <v>0</v>
      </c>
      <c r="R706" s="2" t="inlineStr"/>
    </row>
    <row r="707" ht="15" customHeight="1">
      <c r="A707" t="inlineStr">
        <is>
          <t>A 29168-2024</t>
        </is>
      </c>
      <c r="B707" s="1" t="n">
        <v>45482.49870370371</v>
      </c>
      <c r="C707" s="1" t="n">
        <v>45901</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29186-2024</t>
        </is>
      </c>
      <c r="B708" s="1" t="n">
        <v>45482.54844907407</v>
      </c>
      <c r="C708" s="1" t="n">
        <v>45901</v>
      </c>
      <c r="D708" t="inlineStr">
        <is>
          <t>KALMAR LÄN</t>
        </is>
      </c>
      <c r="E708" t="inlineStr">
        <is>
          <t>VIMMERBY</t>
        </is>
      </c>
      <c r="G708" t="n">
        <v>2.6</v>
      </c>
      <c r="H708" t="n">
        <v>0</v>
      </c>
      <c r="I708" t="n">
        <v>0</v>
      </c>
      <c r="J708" t="n">
        <v>0</v>
      </c>
      <c r="K708" t="n">
        <v>0</v>
      </c>
      <c r="L708" t="n">
        <v>0</v>
      </c>
      <c r="M708" t="n">
        <v>0</v>
      </c>
      <c r="N708" t="n">
        <v>0</v>
      </c>
      <c r="O708" t="n">
        <v>0</v>
      </c>
      <c r="P708" t="n">
        <v>0</v>
      </c>
      <c r="Q708" t="n">
        <v>0</v>
      </c>
      <c r="R708" s="2" t="inlineStr"/>
    </row>
    <row r="709" ht="15" customHeight="1">
      <c r="A709" t="inlineStr">
        <is>
          <t>A 35895-2024</t>
        </is>
      </c>
      <c r="B709" s="1" t="n">
        <v>45533.38870370371</v>
      </c>
      <c r="C709" s="1" t="n">
        <v>45901</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12590-2025</t>
        </is>
      </c>
      <c r="B710" s="1" t="n">
        <v>45732.79925925926</v>
      </c>
      <c r="C710" s="1" t="n">
        <v>45901</v>
      </c>
      <c r="D710" t="inlineStr">
        <is>
          <t>KALMAR LÄN</t>
        </is>
      </c>
      <c r="E710" t="inlineStr">
        <is>
          <t>VIMMERBY</t>
        </is>
      </c>
      <c r="G710" t="n">
        <v>0.8</v>
      </c>
      <c r="H710" t="n">
        <v>0</v>
      </c>
      <c r="I710" t="n">
        <v>0</v>
      </c>
      <c r="J710" t="n">
        <v>0</v>
      </c>
      <c r="K710" t="n">
        <v>0</v>
      </c>
      <c r="L710" t="n">
        <v>0</v>
      </c>
      <c r="M710" t="n">
        <v>0</v>
      </c>
      <c r="N710" t="n">
        <v>0</v>
      </c>
      <c r="O710" t="n">
        <v>0</v>
      </c>
      <c r="P710" t="n">
        <v>0</v>
      </c>
      <c r="Q710" t="n">
        <v>0</v>
      </c>
      <c r="R710" s="2" t="inlineStr"/>
    </row>
    <row r="711" ht="15" customHeight="1">
      <c r="A711" t="inlineStr">
        <is>
          <t>A 30318-2023</t>
        </is>
      </c>
      <c r="B711" s="1" t="n">
        <v>45111.30824074074</v>
      </c>
      <c r="C711" s="1" t="n">
        <v>45901</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6850-2023</t>
        </is>
      </c>
      <c r="B712" s="1" t="n">
        <v>44967.44255787037</v>
      </c>
      <c r="C712" s="1" t="n">
        <v>45901</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6358-2022</t>
        </is>
      </c>
      <c r="B713" s="1" t="n">
        <v>44600</v>
      </c>
      <c r="C713" s="1" t="n">
        <v>45901</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43186-2021</t>
        </is>
      </c>
      <c r="B714" s="1" t="n">
        <v>44431.84840277778</v>
      </c>
      <c r="C714" s="1" t="n">
        <v>45901</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60215-2022</t>
        </is>
      </c>
      <c r="B715" s="1" t="n">
        <v>44910.41346064815</v>
      </c>
      <c r="C715" s="1" t="n">
        <v>45901</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60230-2022</t>
        </is>
      </c>
      <c r="B716" s="1" t="n">
        <v>44910</v>
      </c>
      <c r="C716" s="1" t="n">
        <v>45901</v>
      </c>
      <c r="D716" t="inlineStr">
        <is>
          <t>KALMAR LÄN</t>
        </is>
      </c>
      <c r="E716" t="inlineStr">
        <is>
          <t>VIMMERBY</t>
        </is>
      </c>
      <c r="G716" t="n">
        <v>11.3</v>
      </c>
      <c r="H716" t="n">
        <v>0</v>
      </c>
      <c r="I716" t="n">
        <v>0</v>
      </c>
      <c r="J716" t="n">
        <v>0</v>
      </c>
      <c r="K716" t="n">
        <v>0</v>
      </c>
      <c r="L716" t="n">
        <v>0</v>
      </c>
      <c r="M716" t="n">
        <v>0</v>
      </c>
      <c r="N716" t="n">
        <v>0</v>
      </c>
      <c r="O716" t="n">
        <v>0</v>
      </c>
      <c r="P716" t="n">
        <v>0</v>
      </c>
      <c r="Q716" t="n">
        <v>0</v>
      </c>
      <c r="R716" s="2" t="inlineStr"/>
    </row>
    <row r="717" ht="15" customHeight="1">
      <c r="A717" t="inlineStr">
        <is>
          <t>A 43853-2023</t>
        </is>
      </c>
      <c r="B717" s="1" t="n">
        <v>45187.60813657408</v>
      </c>
      <c r="C717" s="1" t="n">
        <v>45901</v>
      </c>
      <c r="D717" t="inlineStr">
        <is>
          <t>KALMAR LÄN</t>
        </is>
      </c>
      <c r="E717" t="inlineStr">
        <is>
          <t>VIMMERBY</t>
        </is>
      </c>
      <c r="G717" t="n">
        <v>1.4</v>
      </c>
      <c r="H717" t="n">
        <v>0</v>
      </c>
      <c r="I717" t="n">
        <v>0</v>
      </c>
      <c r="J717" t="n">
        <v>0</v>
      </c>
      <c r="K717" t="n">
        <v>0</v>
      </c>
      <c r="L717" t="n">
        <v>0</v>
      </c>
      <c r="M717" t="n">
        <v>0</v>
      </c>
      <c r="N717" t="n">
        <v>0</v>
      </c>
      <c r="O717" t="n">
        <v>0</v>
      </c>
      <c r="P717" t="n">
        <v>0</v>
      </c>
      <c r="Q717" t="n">
        <v>0</v>
      </c>
      <c r="R717" s="2" t="inlineStr"/>
    </row>
    <row r="718" ht="15" customHeight="1">
      <c r="A718" t="inlineStr">
        <is>
          <t>A 7075-2021</t>
        </is>
      </c>
      <c r="B718" s="1" t="n">
        <v>44237</v>
      </c>
      <c r="C718" s="1" t="n">
        <v>45901</v>
      </c>
      <c r="D718" t="inlineStr">
        <is>
          <t>KALMAR LÄN</t>
        </is>
      </c>
      <c r="E718" t="inlineStr">
        <is>
          <t>VIMMERBY</t>
        </is>
      </c>
      <c r="G718" t="n">
        <v>3.6</v>
      </c>
      <c r="H718" t="n">
        <v>0</v>
      </c>
      <c r="I718" t="n">
        <v>0</v>
      </c>
      <c r="J718" t="n">
        <v>0</v>
      </c>
      <c r="K718" t="n">
        <v>0</v>
      </c>
      <c r="L718" t="n">
        <v>0</v>
      </c>
      <c r="M718" t="n">
        <v>0</v>
      </c>
      <c r="N718" t="n">
        <v>0</v>
      </c>
      <c r="O718" t="n">
        <v>0</v>
      </c>
      <c r="P718" t="n">
        <v>0</v>
      </c>
      <c r="Q718" t="n">
        <v>0</v>
      </c>
      <c r="R718" s="2" t="inlineStr"/>
    </row>
    <row r="719" ht="15" customHeight="1">
      <c r="A719" t="inlineStr">
        <is>
          <t>A 5925-2022</t>
        </is>
      </c>
      <c r="B719" s="1" t="n">
        <v>44598.7384837963</v>
      </c>
      <c r="C719" s="1" t="n">
        <v>45901</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845-2023</t>
        </is>
      </c>
      <c r="B720" s="1" t="n">
        <v>44931</v>
      </c>
      <c r="C720" s="1" t="n">
        <v>45901</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16119-2023</t>
        </is>
      </c>
      <c r="B721" s="1" t="n">
        <v>45027.59450231482</v>
      </c>
      <c r="C721" s="1" t="n">
        <v>45901</v>
      </c>
      <c r="D721" t="inlineStr">
        <is>
          <t>KALMAR LÄN</t>
        </is>
      </c>
      <c r="E721" t="inlineStr">
        <is>
          <t>VIMMERBY</t>
        </is>
      </c>
      <c r="F721" t="inlineStr">
        <is>
          <t>Kommuner</t>
        </is>
      </c>
      <c r="G721" t="n">
        <v>4.4</v>
      </c>
      <c r="H721" t="n">
        <v>0</v>
      </c>
      <c r="I721" t="n">
        <v>0</v>
      </c>
      <c r="J721" t="n">
        <v>0</v>
      </c>
      <c r="K721" t="n">
        <v>0</v>
      </c>
      <c r="L721" t="n">
        <v>0</v>
      </c>
      <c r="M721" t="n">
        <v>0</v>
      </c>
      <c r="N721" t="n">
        <v>0</v>
      </c>
      <c r="O721" t="n">
        <v>0</v>
      </c>
      <c r="P721" t="n">
        <v>0</v>
      </c>
      <c r="Q721" t="n">
        <v>0</v>
      </c>
      <c r="R721" s="2" t="inlineStr"/>
    </row>
    <row r="722" ht="15" customHeight="1">
      <c r="A722" t="inlineStr">
        <is>
          <t>A 30588-2023</t>
        </is>
      </c>
      <c r="B722" s="1" t="n">
        <v>45112.33599537037</v>
      </c>
      <c r="C722" s="1" t="n">
        <v>45901</v>
      </c>
      <c r="D722" t="inlineStr">
        <is>
          <t>KALMAR LÄN</t>
        </is>
      </c>
      <c r="E722" t="inlineStr">
        <is>
          <t>VIMMERBY</t>
        </is>
      </c>
      <c r="G722" t="n">
        <v>2.7</v>
      </c>
      <c r="H722" t="n">
        <v>0</v>
      </c>
      <c r="I722" t="n">
        <v>0</v>
      </c>
      <c r="J722" t="n">
        <v>0</v>
      </c>
      <c r="K722" t="n">
        <v>0</v>
      </c>
      <c r="L722" t="n">
        <v>0</v>
      </c>
      <c r="M722" t="n">
        <v>0</v>
      </c>
      <c r="N722" t="n">
        <v>0</v>
      </c>
      <c r="O722" t="n">
        <v>0</v>
      </c>
      <c r="P722" t="n">
        <v>0</v>
      </c>
      <c r="Q722" t="n">
        <v>0</v>
      </c>
      <c r="R722" s="2" t="inlineStr"/>
    </row>
    <row r="723" ht="15" customHeight="1">
      <c r="A723" t="inlineStr">
        <is>
          <t>A 48673-2021</t>
        </is>
      </c>
      <c r="B723" s="1" t="n">
        <v>44452</v>
      </c>
      <c r="C723" s="1" t="n">
        <v>45901</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50764-2020</t>
        </is>
      </c>
      <c r="B724" s="1" t="n">
        <v>44111</v>
      </c>
      <c r="C724" s="1" t="n">
        <v>45901</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45528-2021</t>
        </is>
      </c>
      <c r="B725" s="1" t="n">
        <v>44440.60415509259</v>
      </c>
      <c r="C725" s="1" t="n">
        <v>45901</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14137-2023</t>
        </is>
      </c>
      <c r="B726" s="1" t="n">
        <v>45009.4671875</v>
      </c>
      <c r="C726" s="1" t="n">
        <v>45901</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7630-2025</t>
        </is>
      </c>
      <c r="B727" s="1" t="n">
        <v>45705.74418981482</v>
      </c>
      <c r="C727" s="1" t="n">
        <v>45901</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16516-2023</t>
        </is>
      </c>
      <c r="B728" s="1" t="n">
        <v>45029</v>
      </c>
      <c r="C728" s="1" t="n">
        <v>45901</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2510-2023</t>
        </is>
      </c>
      <c r="B729" s="1" t="n">
        <v>44943.57309027778</v>
      </c>
      <c r="C729" s="1" t="n">
        <v>45901</v>
      </c>
      <c r="D729" t="inlineStr">
        <is>
          <t>KALMAR LÄN</t>
        </is>
      </c>
      <c r="E729" t="inlineStr">
        <is>
          <t>VIMMERBY</t>
        </is>
      </c>
      <c r="G729" t="n">
        <v>8.6</v>
      </c>
      <c r="H729" t="n">
        <v>0</v>
      </c>
      <c r="I729" t="n">
        <v>0</v>
      </c>
      <c r="J729" t="n">
        <v>0</v>
      </c>
      <c r="K729" t="n">
        <v>0</v>
      </c>
      <c r="L729" t="n">
        <v>0</v>
      </c>
      <c r="M729" t="n">
        <v>0</v>
      </c>
      <c r="N729" t="n">
        <v>0</v>
      </c>
      <c r="O729" t="n">
        <v>0</v>
      </c>
      <c r="P729" t="n">
        <v>0</v>
      </c>
      <c r="Q729" t="n">
        <v>0</v>
      </c>
      <c r="R729" s="2" t="inlineStr"/>
    </row>
    <row r="730" ht="15" customHeight="1">
      <c r="A730" t="inlineStr">
        <is>
          <t>A 38780-2021</t>
        </is>
      </c>
      <c r="B730" s="1" t="n">
        <v>44410</v>
      </c>
      <c r="C730" s="1" t="n">
        <v>45901</v>
      </c>
      <c r="D730" t="inlineStr">
        <is>
          <t>KALMAR LÄN</t>
        </is>
      </c>
      <c r="E730" t="inlineStr">
        <is>
          <t>VIMMERBY</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30503-2023</t>
        </is>
      </c>
      <c r="B731" s="1" t="n">
        <v>45111</v>
      </c>
      <c r="C731" s="1" t="n">
        <v>45901</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48373-2021</t>
        </is>
      </c>
      <c r="B732" s="1" t="n">
        <v>44451</v>
      </c>
      <c r="C732" s="1" t="n">
        <v>45901</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45901</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7485-2024</t>
        </is>
      </c>
      <c r="B734" s="1" t="n">
        <v>45346.67184027778</v>
      </c>
      <c r="C734" s="1" t="n">
        <v>45901</v>
      </c>
      <c r="D734" t="inlineStr">
        <is>
          <t>KALMAR LÄN</t>
        </is>
      </c>
      <c r="E734" t="inlineStr">
        <is>
          <t>VIMMERBY</t>
        </is>
      </c>
      <c r="G734" t="n">
        <v>1.9</v>
      </c>
      <c r="H734" t="n">
        <v>0</v>
      </c>
      <c r="I734" t="n">
        <v>0</v>
      </c>
      <c r="J734" t="n">
        <v>0</v>
      </c>
      <c r="K734" t="n">
        <v>0</v>
      </c>
      <c r="L734" t="n">
        <v>0</v>
      </c>
      <c r="M734" t="n">
        <v>0</v>
      </c>
      <c r="N734" t="n">
        <v>0</v>
      </c>
      <c r="O734" t="n">
        <v>0</v>
      </c>
      <c r="P734" t="n">
        <v>0</v>
      </c>
      <c r="Q734" t="n">
        <v>0</v>
      </c>
      <c r="R734" s="2" t="inlineStr"/>
    </row>
    <row r="735" ht="15" customHeight="1">
      <c r="A735" t="inlineStr">
        <is>
          <t>A 59300-2024</t>
        </is>
      </c>
      <c r="B735" s="1" t="n">
        <v>45637.66542824074</v>
      </c>
      <c r="C735" s="1" t="n">
        <v>45901</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6574-2023</t>
        </is>
      </c>
      <c r="B736" s="1" t="n">
        <v>44966</v>
      </c>
      <c r="C736" s="1" t="n">
        <v>45901</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20054-2023</t>
        </is>
      </c>
      <c r="B737" s="1" t="n">
        <v>45054.6750462963</v>
      </c>
      <c r="C737" s="1" t="n">
        <v>45901</v>
      </c>
      <c r="D737" t="inlineStr">
        <is>
          <t>KALMAR LÄN</t>
        </is>
      </c>
      <c r="E737" t="inlineStr">
        <is>
          <t>VIMMERBY</t>
        </is>
      </c>
      <c r="G737" t="n">
        <v>2.4</v>
      </c>
      <c r="H737" t="n">
        <v>0</v>
      </c>
      <c r="I737" t="n">
        <v>0</v>
      </c>
      <c r="J737" t="n">
        <v>0</v>
      </c>
      <c r="K737" t="n">
        <v>0</v>
      </c>
      <c r="L737" t="n">
        <v>0</v>
      </c>
      <c r="M737" t="n">
        <v>0</v>
      </c>
      <c r="N737" t="n">
        <v>0</v>
      </c>
      <c r="O737" t="n">
        <v>0</v>
      </c>
      <c r="P737" t="n">
        <v>0</v>
      </c>
      <c r="Q737" t="n">
        <v>0</v>
      </c>
      <c r="R737" s="2" t="inlineStr"/>
    </row>
    <row r="738" ht="15" customHeight="1">
      <c r="A738" t="inlineStr">
        <is>
          <t>A 58750-2022</t>
        </is>
      </c>
      <c r="B738" s="1" t="n">
        <v>44903.33363425926</v>
      </c>
      <c r="C738" s="1" t="n">
        <v>45901</v>
      </c>
      <c r="D738" t="inlineStr">
        <is>
          <t>KALMAR LÄN</t>
        </is>
      </c>
      <c r="E738" t="inlineStr">
        <is>
          <t>VIMMERBY</t>
        </is>
      </c>
      <c r="G738" t="n">
        <v>3.3</v>
      </c>
      <c r="H738" t="n">
        <v>0</v>
      </c>
      <c r="I738" t="n">
        <v>0</v>
      </c>
      <c r="J738" t="n">
        <v>0</v>
      </c>
      <c r="K738" t="n">
        <v>0</v>
      </c>
      <c r="L738" t="n">
        <v>0</v>
      </c>
      <c r="M738" t="n">
        <v>0</v>
      </c>
      <c r="N738" t="n">
        <v>0</v>
      </c>
      <c r="O738" t="n">
        <v>0</v>
      </c>
      <c r="P738" t="n">
        <v>0</v>
      </c>
      <c r="Q738" t="n">
        <v>0</v>
      </c>
      <c r="R738" s="2" t="inlineStr"/>
    </row>
    <row r="739" ht="15" customHeight="1">
      <c r="A739" t="inlineStr">
        <is>
          <t>A 19445-2021</t>
        </is>
      </c>
      <c r="B739" s="1" t="n">
        <v>44310</v>
      </c>
      <c r="C739" s="1" t="n">
        <v>45901</v>
      </c>
      <c r="D739" t="inlineStr">
        <is>
          <t>KALMAR LÄN</t>
        </is>
      </c>
      <c r="E739" t="inlineStr">
        <is>
          <t>VIMMERBY</t>
        </is>
      </c>
      <c r="G739" t="n">
        <v>6.8</v>
      </c>
      <c r="H739" t="n">
        <v>0</v>
      </c>
      <c r="I739" t="n">
        <v>0</v>
      </c>
      <c r="J739" t="n">
        <v>0</v>
      </c>
      <c r="K739" t="n">
        <v>0</v>
      </c>
      <c r="L739" t="n">
        <v>0</v>
      </c>
      <c r="M739" t="n">
        <v>0</v>
      </c>
      <c r="N739" t="n">
        <v>0</v>
      </c>
      <c r="O739" t="n">
        <v>0</v>
      </c>
      <c r="P739" t="n">
        <v>0</v>
      </c>
      <c r="Q739" t="n">
        <v>0</v>
      </c>
      <c r="R739" s="2" t="inlineStr"/>
    </row>
    <row r="740" ht="15" customHeight="1">
      <c r="A740" t="inlineStr">
        <is>
          <t>A 18329-2023</t>
        </is>
      </c>
      <c r="B740" s="1" t="n">
        <v>45041.63380787037</v>
      </c>
      <c r="C740" s="1" t="n">
        <v>45901</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5720-2023</t>
        </is>
      </c>
      <c r="B741" s="1" t="n">
        <v>44961</v>
      </c>
      <c r="C741" s="1" t="n">
        <v>45901</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2260-2022</t>
        </is>
      </c>
      <c r="B742" s="1" t="n">
        <v>44578.62943287037</v>
      </c>
      <c r="C742" s="1" t="n">
        <v>45901</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44916.55414351852</v>
      </c>
      <c r="C743" s="1" t="n">
        <v>45901</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50860-2022</t>
        </is>
      </c>
      <c r="B744" s="1" t="n">
        <v>44867</v>
      </c>
      <c r="C744" s="1" t="n">
        <v>45901</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53483-2022</t>
        </is>
      </c>
      <c r="B745" s="1" t="n">
        <v>44879.55940972222</v>
      </c>
      <c r="C745" s="1" t="n">
        <v>45901</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694-2024</t>
        </is>
      </c>
      <c r="B746" s="1" t="n">
        <v>45300.3794212963</v>
      </c>
      <c r="C746" s="1" t="n">
        <v>45901</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45901</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57114-2023</t>
        </is>
      </c>
      <c r="B748" s="1" t="n">
        <v>45245.36174768519</v>
      </c>
      <c r="C748" s="1" t="n">
        <v>45901</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58967-2022</t>
        </is>
      </c>
      <c r="B749" s="1" t="n">
        <v>44896</v>
      </c>
      <c r="C749" s="1" t="n">
        <v>45901</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57682-2022</t>
        </is>
      </c>
      <c r="B750" s="1" t="n">
        <v>44890</v>
      </c>
      <c r="C750" s="1" t="n">
        <v>45901</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4076-2022</t>
        </is>
      </c>
      <c r="B751" s="1" t="n">
        <v>44588.37998842593</v>
      </c>
      <c r="C751" s="1" t="n">
        <v>45901</v>
      </c>
      <c r="D751" t="inlineStr">
        <is>
          <t>KALMAR LÄN</t>
        </is>
      </c>
      <c r="E751" t="inlineStr">
        <is>
          <t>VIMMERBY</t>
        </is>
      </c>
      <c r="G751" t="n">
        <v>3</v>
      </c>
      <c r="H751" t="n">
        <v>0</v>
      </c>
      <c r="I751" t="n">
        <v>0</v>
      </c>
      <c r="J751" t="n">
        <v>0</v>
      </c>
      <c r="K751" t="n">
        <v>0</v>
      </c>
      <c r="L751" t="n">
        <v>0</v>
      </c>
      <c r="M751" t="n">
        <v>0</v>
      </c>
      <c r="N751" t="n">
        <v>0</v>
      </c>
      <c r="O751" t="n">
        <v>0</v>
      </c>
      <c r="P751" t="n">
        <v>0</v>
      </c>
      <c r="Q751" t="n">
        <v>0</v>
      </c>
      <c r="R751" s="2" t="inlineStr"/>
    </row>
    <row r="752" ht="15" customHeight="1">
      <c r="A752" t="inlineStr">
        <is>
          <t>A 4122-2022</t>
        </is>
      </c>
      <c r="B752" s="1" t="n">
        <v>44588</v>
      </c>
      <c r="C752" s="1" t="n">
        <v>45901</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12327-2023</t>
        </is>
      </c>
      <c r="B753" s="1" t="n">
        <v>44999.36081018519</v>
      </c>
      <c r="C753" s="1" t="n">
        <v>45901</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65961-2020</t>
        </is>
      </c>
      <c r="B754" s="1" t="n">
        <v>44175.39748842592</v>
      </c>
      <c r="C754" s="1" t="n">
        <v>45901</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30633-2024</t>
        </is>
      </c>
      <c r="B755" s="1" t="n">
        <v>45495</v>
      </c>
      <c r="C755" s="1" t="n">
        <v>45901</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9624-2024</t>
        </is>
      </c>
      <c r="B756" s="1" t="n">
        <v>45361.90282407407</v>
      </c>
      <c r="C756" s="1" t="n">
        <v>45901</v>
      </c>
      <c r="D756" t="inlineStr">
        <is>
          <t>KALMAR LÄN</t>
        </is>
      </c>
      <c r="E756" t="inlineStr">
        <is>
          <t>VIMMERBY</t>
        </is>
      </c>
      <c r="G756" t="n">
        <v>3.8</v>
      </c>
      <c r="H756" t="n">
        <v>0</v>
      </c>
      <c r="I756" t="n">
        <v>0</v>
      </c>
      <c r="J756" t="n">
        <v>0</v>
      </c>
      <c r="K756" t="n">
        <v>0</v>
      </c>
      <c r="L756" t="n">
        <v>0</v>
      </c>
      <c r="M756" t="n">
        <v>0</v>
      </c>
      <c r="N756" t="n">
        <v>0</v>
      </c>
      <c r="O756" t="n">
        <v>0</v>
      </c>
      <c r="P756" t="n">
        <v>0</v>
      </c>
      <c r="Q756" t="n">
        <v>0</v>
      </c>
      <c r="R756" s="2" t="inlineStr"/>
    </row>
    <row r="757" ht="15" customHeight="1">
      <c r="A757" t="inlineStr">
        <is>
          <t>A 52327-2023</t>
        </is>
      </c>
      <c r="B757" s="1" t="n">
        <v>45224.6515162037</v>
      </c>
      <c r="C757" s="1" t="n">
        <v>45901</v>
      </c>
      <c r="D757" t="inlineStr">
        <is>
          <t>KALMAR LÄN</t>
        </is>
      </c>
      <c r="E757" t="inlineStr">
        <is>
          <t>VIMMERBY</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33424-2023</t>
        </is>
      </c>
      <c r="B758" s="1" t="n">
        <v>45128.9325</v>
      </c>
      <c r="C758" s="1" t="n">
        <v>45901</v>
      </c>
      <c r="D758" t="inlineStr">
        <is>
          <t>KALMAR LÄN</t>
        </is>
      </c>
      <c r="E758" t="inlineStr">
        <is>
          <t>VIMMERBY</t>
        </is>
      </c>
      <c r="G758" t="n">
        <v>2.4</v>
      </c>
      <c r="H758" t="n">
        <v>0</v>
      </c>
      <c r="I758" t="n">
        <v>0</v>
      </c>
      <c r="J758" t="n">
        <v>0</v>
      </c>
      <c r="K758" t="n">
        <v>0</v>
      </c>
      <c r="L758" t="n">
        <v>0</v>
      </c>
      <c r="M758" t="n">
        <v>0</v>
      </c>
      <c r="N758" t="n">
        <v>0</v>
      </c>
      <c r="O758" t="n">
        <v>0</v>
      </c>
      <c r="P758" t="n">
        <v>0</v>
      </c>
      <c r="Q758" t="n">
        <v>0</v>
      </c>
      <c r="R758" s="2" t="inlineStr"/>
    </row>
    <row r="759" ht="15" customHeight="1">
      <c r="A759" t="inlineStr">
        <is>
          <t>A 33425-2023</t>
        </is>
      </c>
      <c r="B759" s="1" t="n">
        <v>45128.93540509259</v>
      </c>
      <c r="C759" s="1" t="n">
        <v>45901</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3609-2024</t>
        </is>
      </c>
      <c r="B760" s="1" t="n">
        <v>45320.89128472222</v>
      </c>
      <c r="C760" s="1" t="n">
        <v>45901</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29616-2022</t>
        </is>
      </c>
      <c r="B761" s="1" t="n">
        <v>44754</v>
      </c>
      <c r="C761" s="1" t="n">
        <v>45901</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29348-2023</t>
        </is>
      </c>
      <c r="B762" s="1" t="n">
        <v>45106.25025462963</v>
      </c>
      <c r="C762" s="1" t="n">
        <v>45901</v>
      </c>
      <c r="D762" t="inlineStr">
        <is>
          <t>KALMAR LÄN</t>
        </is>
      </c>
      <c r="E762" t="inlineStr">
        <is>
          <t>VIMMERBY</t>
        </is>
      </c>
      <c r="G762" t="n">
        <v>2.4</v>
      </c>
      <c r="H762" t="n">
        <v>0</v>
      </c>
      <c r="I762" t="n">
        <v>0</v>
      </c>
      <c r="J762" t="n">
        <v>0</v>
      </c>
      <c r="K762" t="n">
        <v>0</v>
      </c>
      <c r="L762" t="n">
        <v>0</v>
      </c>
      <c r="M762" t="n">
        <v>0</v>
      </c>
      <c r="N762" t="n">
        <v>0</v>
      </c>
      <c r="O762" t="n">
        <v>0</v>
      </c>
      <c r="P762" t="n">
        <v>0</v>
      </c>
      <c r="Q762" t="n">
        <v>0</v>
      </c>
      <c r="R762" s="2" t="inlineStr"/>
    </row>
    <row r="763" ht="15" customHeight="1">
      <c r="A763" t="inlineStr">
        <is>
          <t>A 28403-2023</t>
        </is>
      </c>
      <c r="B763" s="1" t="n">
        <v>45100.85270833333</v>
      </c>
      <c r="C763" s="1" t="n">
        <v>45901</v>
      </c>
      <c r="D763" t="inlineStr">
        <is>
          <t>KALMAR LÄN</t>
        </is>
      </c>
      <c r="E763" t="inlineStr">
        <is>
          <t>VIMMERBY</t>
        </is>
      </c>
      <c r="G763" t="n">
        <v>1.8</v>
      </c>
      <c r="H763" t="n">
        <v>0</v>
      </c>
      <c r="I763" t="n">
        <v>0</v>
      </c>
      <c r="J763" t="n">
        <v>0</v>
      </c>
      <c r="K763" t="n">
        <v>0</v>
      </c>
      <c r="L763" t="n">
        <v>0</v>
      </c>
      <c r="M763" t="n">
        <v>0</v>
      </c>
      <c r="N763" t="n">
        <v>0</v>
      </c>
      <c r="O763" t="n">
        <v>0</v>
      </c>
      <c r="P763" t="n">
        <v>0</v>
      </c>
      <c r="Q763" t="n">
        <v>0</v>
      </c>
      <c r="R763" s="2" t="inlineStr"/>
    </row>
    <row r="764" ht="15" customHeight="1">
      <c r="A764" t="inlineStr">
        <is>
          <t>A 17511-2024</t>
        </is>
      </c>
      <c r="B764" s="1" t="n">
        <v>45415.57682870371</v>
      </c>
      <c r="C764" s="1" t="n">
        <v>45901</v>
      </c>
      <c r="D764" t="inlineStr">
        <is>
          <t>KALMAR LÄN</t>
        </is>
      </c>
      <c r="E764" t="inlineStr">
        <is>
          <t>VIMMERBY</t>
        </is>
      </c>
      <c r="G764" t="n">
        <v>5.3</v>
      </c>
      <c r="H764" t="n">
        <v>0</v>
      </c>
      <c r="I764" t="n">
        <v>0</v>
      </c>
      <c r="J764" t="n">
        <v>0</v>
      </c>
      <c r="K764" t="n">
        <v>0</v>
      </c>
      <c r="L764" t="n">
        <v>0</v>
      </c>
      <c r="M764" t="n">
        <v>0</v>
      </c>
      <c r="N764" t="n">
        <v>0</v>
      </c>
      <c r="O764" t="n">
        <v>0</v>
      </c>
      <c r="P764" t="n">
        <v>0</v>
      </c>
      <c r="Q764" t="n">
        <v>0</v>
      </c>
      <c r="R764" s="2" t="inlineStr"/>
    </row>
    <row r="765" ht="15" customHeight="1">
      <c r="A765" t="inlineStr">
        <is>
          <t>A 66022-2021</t>
        </is>
      </c>
      <c r="B765" s="1" t="n">
        <v>44517</v>
      </c>
      <c r="C765" s="1" t="n">
        <v>45901</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29973-2023</t>
        </is>
      </c>
      <c r="B766" s="1" t="n">
        <v>45108.703125</v>
      </c>
      <c r="C766" s="1" t="n">
        <v>45901</v>
      </c>
      <c r="D766" t="inlineStr">
        <is>
          <t>KALMAR LÄN</t>
        </is>
      </c>
      <c r="E766" t="inlineStr">
        <is>
          <t>VIMMERBY</t>
        </is>
      </c>
      <c r="G766" t="n">
        <v>4</v>
      </c>
      <c r="H766" t="n">
        <v>0</v>
      </c>
      <c r="I766" t="n">
        <v>0</v>
      </c>
      <c r="J766" t="n">
        <v>0</v>
      </c>
      <c r="K766" t="n">
        <v>0</v>
      </c>
      <c r="L766" t="n">
        <v>0</v>
      </c>
      <c r="M766" t="n">
        <v>0</v>
      </c>
      <c r="N766" t="n">
        <v>0</v>
      </c>
      <c r="O766" t="n">
        <v>0</v>
      </c>
      <c r="P766" t="n">
        <v>0</v>
      </c>
      <c r="Q766" t="n">
        <v>0</v>
      </c>
      <c r="R766" s="2" t="inlineStr"/>
    </row>
    <row r="767" ht="15" customHeight="1">
      <c r="A767" t="inlineStr">
        <is>
          <t>A 30070-2023</t>
        </is>
      </c>
      <c r="B767" s="1" t="n">
        <v>45110.4275</v>
      </c>
      <c r="C767" s="1" t="n">
        <v>45901</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8650-2022</t>
        </is>
      </c>
      <c r="B768" s="1" t="n">
        <v>44613</v>
      </c>
      <c r="C768" s="1" t="n">
        <v>45901</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11147-2023</t>
        </is>
      </c>
      <c r="B769" s="1" t="n">
        <v>44992</v>
      </c>
      <c r="C769" s="1" t="n">
        <v>45901</v>
      </c>
      <c r="D769" t="inlineStr">
        <is>
          <t>KALMAR LÄN</t>
        </is>
      </c>
      <c r="E769" t="inlineStr">
        <is>
          <t>VIMMERBY</t>
        </is>
      </c>
      <c r="G769" t="n">
        <v>0.8</v>
      </c>
      <c r="H769" t="n">
        <v>0</v>
      </c>
      <c r="I769" t="n">
        <v>0</v>
      </c>
      <c r="J769" t="n">
        <v>0</v>
      </c>
      <c r="K769" t="n">
        <v>0</v>
      </c>
      <c r="L769" t="n">
        <v>0</v>
      </c>
      <c r="M769" t="n">
        <v>0</v>
      </c>
      <c r="N769" t="n">
        <v>0</v>
      </c>
      <c r="O769" t="n">
        <v>0</v>
      </c>
      <c r="P769" t="n">
        <v>0</v>
      </c>
      <c r="Q769" t="n">
        <v>0</v>
      </c>
      <c r="R769" s="2" t="inlineStr"/>
    </row>
    <row r="770" ht="15" customHeight="1">
      <c r="A770" t="inlineStr">
        <is>
          <t>A 16676-2023</t>
        </is>
      </c>
      <c r="B770" s="1" t="n">
        <v>45028</v>
      </c>
      <c r="C770" s="1" t="n">
        <v>45901</v>
      </c>
      <c r="D770" t="inlineStr">
        <is>
          <t>KALMAR LÄN</t>
        </is>
      </c>
      <c r="E770" t="inlineStr">
        <is>
          <t>VIMMERBY</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23263-2024</t>
        </is>
      </c>
      <c r="B771" s="1" t="n">
        <v>45453.36854166666</v>
      </c>
      <c r="C771" s="1" t="n">
        <v>45901</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49488-2023</t>
        </is>
      </c>
      <c r="B772" s="1" t="n">
        <v>45211.55472222222</v>
      </c>
      <c r="C772" s="1" t="n">
        <v>45901</v>
      </c>
      <c r="D772" t="inlineStr">
        <is>
          <t>KALMAR LÄN</t>
        </is>
      </c>
      <c r="E772" t="inlineStr">
        <is>
          <t>VIMMERBY</t>
        </is>
      </c>
      <c r="F772" t="inlineStr">
        <is>
          <t>Sveaskog</t>
        </is>
      </c>
      <c r="G772" t="n">
        <v>6.2</v>
      </c>
      <c r="H772" t="n">
        <v>0</v>
      </c>
      <c r="I772" t="n">
        <v>0</v>
      </c>
      <c r="J772" t="n">
        <v>0</v>
      </c>
      <c r="K772" t="n">
        <v>0</v>
      </c>
      <c r="L772" t="n">
        <v>0</v>
      </c>
      <c r="M772" t="n">
        <v>0</v>
      </c>
      <c r="N772" t="n">
        <v>0</v>
      </c>
      <c r="O772" t="n">
        <v>0</v>
      </c>
      <c r="P772" t="n">
        <v>0</v>
      </c>
      <c r="Q772" t="n">
        <v>0</v>
      </c>
      <c r="R772" s="2" t="inlineStr"/>
    </row>
    <row r="773" ht="15" customHeight="1">
      <c r="A773" t="inlineStr">
        <is>
          <t>A 59768-2024</t>
        </is>
      </c>
      <c r="B773" s="1" t="n">
        <v>45639.56185185185</v>
      </c>
      <c r="C773" s="1" t="n">
        <v>45901</v>
      </c>
      <c r="D773" t="inlineStr">
        <is>
          <t>KALMAR LÄN</t>
        </is>
      </c>
      <c r="E773" t="inlineStr">
        <is>
          <t>VIMMERBY</t>
        </is>
      </c>
      <c r="G773" t="n">
        <v>5.9</v>
      </c>
      <c r="H773" t="n">
        <v>0</v>
      </c>
      <c r="I773" t="n">
        <v>0</v>
      </c>
      <c r="J773" t="n">
        <v>0</v>
      </c>
      <c r="K773" t="n">
        <v>0</v>
      </c>
      <c r="L773" t="n">
        <v>0</v>
      </c>
      <c r="M773" t="n">
        <v>0</v>
      </c>
      <c r="N773" t="n">
        <v>0</v>
      </c>
      <c r="O773" t="n">
        <v>0</v>
      </c>
      <c r="P773" t="n">
        <v>0</v>
      </c>
      <c r="Q773" t="n">
        <v>0</v>
      </c>
      <c r="R773" s="2" t="inlineStr"/>
    </row>
    <row r="774" ht="15" customHeight="1">
      <c r="A774" t="inlineStr">
        <is>
          <t>A 72067-2021</t>
        </is>
      </c>
      <c r="B774" s="1" t="n">
        <v>44540</v>
      </c>
      <c r="C774" s="1" t="n">
        <v>45901</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41158-2023</t>
        </is>
      </c>
      <c r="B775" s="1" t="n">
        <v>45174.31395833333</v>
      </c>
      <c r="C775" s="1" t="n">
        <v>45901</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22198-2024</t>
        </is>
      </c>
      <c r="B776" s="1" t="n">
        <v>45446.36865740741</v>
      </c>
      <c r="C776" s="1" t="n">
        <v>45901</v>
      </c>
      <c r="D776" t="inlineStr">
        <is>
          <t>KALMAR LÄN</t>
        </is>
      </c>
      <c r="E776" t="inlineStr">
        <is>
          <t>VIMMERBY</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9511-2023</t>
        </is>
      </c>
      <c r="B777" s="1" t="n">
        <v>44981.64725694444</v>
      </c>
      <c r="C777" s="1" t="n">
        <v>45901</v>
      </c>
      <c r="D777" t="inlineStr">
        <is>
          <t>KALMAR LÄN</t>
        </is>
      </c>
      <c r="E777" t="inlineStr">
        <is>
          <t>VIMMERBY</t>
        </is>
      </c>
      <c r="G777" t="n">
        <v>3.5</v>
      </c>
      <c r="H777" t="n">
        <v>0</v>
      </c>
      <c r="I777" t="n">
        <v>0</v>
      </c>
      <c r="J777" t="n">
        <v>0</v>
      </c>
      <c r="K777" t="n">
        <v>0</v>
      </c>
      <c r="L777" t="n">
        <v>0</v>
      </c>
      <c r="M777" t="n">
        <v>0</v>
      </c>
      <c r="N777" t="n">
        <v>0</v>
      </c>
      <c r="O777" t="n">
        <v>0</v>
      </c>
      <c r="P777" t="n">
        <v>0</v>
      </c>
      <c r="Q777" t="n">
        <v>0</v>
      </c>
      <c r="R777" s="2" t="inlineStr"/>
    </row>
    <row r="778" ht="15" customHeight="1">
      <c r="A778" t="inlineStr">
        <is>
          <t>A 34205-2023</t>
        </is>
      </c>
      <c r="B778" s="1" t="n">
        <v>45138</v>
      </c>
      <c r="C778" s="1" t="n">
        <v>45901</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57091-2022</t>
        </is>
      </c>
      <c r="B779" s="1" t="n">
        <v>44895.46524305556</v>
      </c>
      <c r="C779" s="1" t="n">
        <v>45901</v>
      </c>
      <c r="D779" t="inlineStr">
        <is>
          <t>KALMAR LÄN</t>
        </is>
      </c>
      <c r="E779" t="inlineStr">
        <is>
          <t>VIMMERBY</t>
        </is>
      </c>
      <c r="G779" t="n">
        <v>2.6</v>
      </c>
      <c r="H779" t="n">
        <v>0</v>
      </c>
      <c r="I779" t="n">
        <v>0</v>
      </c>
      <c r="J779" t="n">
        <v>0</v>
      </c>
      <c r="K779" t="n">
        <v>0</v>
      </c>
      <c r="L779" t="n">
        <v>0</v>
      </c>
      <c r="M779" t="n">
        <v>0</v>
      </c>
      <c r="N779" t="n">
        <v>0</v>
      </c>
      <c r="O779" t="n">
        <v>0</v>
      </c>
      <c r="P779" t="n">
        <v>0</v>
      </c>
      <c r="Q779" t="n">
        <v>0</v>
      </c>
      <c r="R779" s="2" t="inlineStr"/>
    </row>
    <row r="780" ht="15" customHeight="1">
      <c r="A780" t="inlineStr">
        <is>
          <t>A 2604-2025</t>
        </is>
      </c>
      <c r="B780" s="1" t="n">
        <v>45674.74094907408</v>
      </c>
      <c r="C780" s="1" t="n">
        <v>45901</v>
      </c>
      <c r="D780" t="inlineStr">
        <is>
          <t>KALMAR LÄN</t>
        </is>
      </c>
      <c r="E780" t="inlineStr">
        <is>
          <t>VIMMERBY</t>
        </is>
      </c>
      <c r="G780" t="n">
        <v>7.6</v>
      </c>
      <c r="H780" t="n">
        <v>0</v>
      </c>
      <c r="I780" t="n">
        <v>0</v>
      </c>
      <c r="J780" t="n">
        <v>0</v>
      </c>
      <c r="K780" t="n">
        <v>0</v>
      </c>
      <c r="L780" t="n">
        <v>0</v>
      </c>
      <c r="M780" t="n">
        <v>0</v>
      </c>
      <c r="N780" t="n">
        <v>0</v>
      </c>
      <c r="O780" t="n">
        <v>0</v>
      </c>
      <c r="P780" t="n">
        <v>0</v>
      </c>
      <c r="Q780" t="n">
        <v>0</v>
      </c>
      <c r="R780" s="2" t="inlineStr"/>
    </row>
    <row r="781" ht="15" customHeight="1">
      <c r="A781" t="inlineStr">
        <is>
          <t>A 6807-2025</t>
        </is>
      </c>
      <c r="B781" s="1" t="n">
        <v>45700.68672453704</v>
      </c>
      <c r="C781" s="1" t="n">
        <v>45901</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38851-2023</t>
        </is>
      </c>
      <c r="B782" s="1" t="n">
        <v>45163</v>
      </c>
      <c r="C782" s="1" t="n">
        <v>45901</v>
      </c>
      <c r="D782" t="inlineStr">
        <is>
          <t>KALMAR LÄN</t>
        </is>
      </c>
      <c r="E782" t="inlineStr">
        <is>
          <t>VIMMERBY</t>
        </is>
      </c>
      <c r="G782" t="n">
        <v>4.3</v>
      </c>
      <c r="H782" t="n">
        <v>0</v>
      </c>
      <c r="I782" t="n">
        <v>0</v>
      </c>
      <c r="J782" t="n">
        <v>0</v>
      </c>
      <c r="K782" t="n">
        <v>0</v>
      </c>
      <c r="L782" t="n">
        <v>0</v>
      </c>
      <c r="M782" t="n">
        <v>0</v>
      </c>
      <c r="N782" t="n">
        <v>0</v>
      </c>
      <c r="O782" t="n">
        <v>0</v>
      </c>
      <c r="P782" t="n">
        <v>0</v>
      </c>
      <c r="Q782" t="n">
        <v>0</v>
      </c>
      <c r="R782" s="2" t="inlineStr"/>
    </row>
    <row r="783" ht="15" customHeight="1">
      <c r="A783" t="inlineStr">
        <is>
          <t>A 23252-2024</t>
        </is>
      </c>
      <c r="B783" s="1" t="n">
        <v>45453.36067129629</v>
      </c>
      <c r="C783" s="1" t="n">
        <v>45901</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5792-2023</t>
        </is>
      </c>
      <c r="B784" s="1" t="n">
        <v>44963.44769675926</v>
      </c>
      <c r="C784" s="1" t="n">
        <v>45901</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2797-2023</t>
        </is>
      </c>
      <c r="B785" s="1" t="n">
        <v>44944.71386574074</v>
      </c>
      <c r="C785" s="1" t="n">
        <v>45901</v>
      </c>
      <c r="D785" t="inlineStr">
        <is>
          <t>KALMAR LÄN</t>
        </is>
      </c>
      <c r="E785" t="inlineStr">
        <is>
          <t>VIMMERBY</t>
        </is>
      </c>
      <c r="G785" t="n">
        <v>3.4</v>
      </c>
      <c r="H785" t="n">
        <v>0</v>
      </c>
      <c r="I785" t="n">
        <v>0</v>
      </c>
      <c r="J785" t="n">
        <v>0</v>
      </c>
      <c r="K785" t="n">
        <v>0</v>
      </c>
      <c r="L785" t="n">
        <v>0</v>
      </c>
      <c r="M785" t="n">
        <v>0</v>
      </c>
      <c r="N785" t="n">
        <v>0</v>
      </c>
      <c r="O785" t="n">
        <v>0</v>
      </c>
      <c r="P785" t="n">
        <v>0</v>
      </c>
      <c r="Q785" t="n">
        <v>0</v>
      </c>
      <c r="R785" s="2" t="inlineStr"/>
    </row>
    <row r="786" ht="15" customHeight="1">
      <c r="A786" t="inlineStr">
        <is>
          <t>A 2799-2023</t>
        </is>
      </c>
      <c r="B786" s="1" t="n">
        <v>44944.72100694444</v>
      </c>
      <c r="C786" s="1" t="n">
        <v>45901</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6220-2025</t>
        </is>
      </c>
      <c r="B787" s="1" t="n">
        <v>45698.53725694444</v>
      </c>
      <c r="C787" s="1" t="n">
        <v>45901</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58278-2023</t>
        </is>
      </c>
      <c r="B788" s="1" t="n">
        <v>45250.5278587963</v>
      </c>
      <c r="C788" s="1" t="n">
        <v>45901</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36259-2022</t>
        </is>
      </c>
      <c r="B789" s="1" t="n">
        <v>44803.59118055556</v>
      </c>
      <c r="C789" s="1" t="n">
        <v>45901</v>
      </c>
      <c r="D789" t="inlineStr">
        <is>
          <t>KALMAR LÄN</t>
        </is>
      </c>
      <c r="E789" t="inlineStr">
        <is>
          <t>VIMMERBY</t>
        </is>
      </c>
      <c r="G789" t="n">
        <v>3.9</v>
      </c>
      <c r="H789" t="n">
        <v>0</v>
      </c>
      <c r="I789" t="n">
        <v>0</v>
      </c>
      <c r="J789" t="n">
        <v>0</v>
      </c>
      <c r="K789" t="n">
        <v>0</v>
      </c>
      <c r="L789" t="n">
        <v>0</v>
      </c>
      <c r="M789" t="n">
        <v>0</v>
      </c>
      <c r="N789" t="n">
        <v>0</v>
      </c>
      <c r="O789" t="n">
        <v>0</v>
      </c>
      <c r="P789" t="n">
        <v>0</v>
      </c>
      <c r="Q789" t="n">
        <v>0</v>
      </c>
      <c r="R789" s="2" t="inlineStr"/>
    </row>
    <row r="790" ht="15" customHeight="1">
      <c r="A790" t="inlineStr">
        <is>
          <t>A 36526-2023</t>
        </is>
      </c>
      <c r="B790" s="1" t="n">
        <v>45153.32778935185</v>
      </c>
      <c r="C790" s="1" t="n">
        <v>45901</v>
      </c>
      <c r="D790" t="inlineStr">
        <is>
          <t>KALMAR LÄN</t>
        </is>
      </c>
      <c r="E790" t="inlineStr">
        <is>
          <t>VIMMERBY</t>
        </is>
      </c>
      <c r="G790" t="n">
        <v>2.7</v>
      </c>
      <c r="H790" t="n">
        <v>0</v>
      </c>
      <c r="I790" t="n">
        <v>0</v>
      </c>
      <c r="J790" t="n">
        <v>0</v>
      </c>
      <c r="K790" t="n">
        <v>0</v>
      </c>
      <c r="L790" t="n">
        <v>0</v>
      </c>
      <c r="M790" t="n">
        <v>0</v>
      </c>
      <c r="N790" t="n">
        <v>0</v>
      </c>
      <c r="O790" t="n">
        <v>0</v>
      </c>
      <c r="P790" t="n">
        <v>0</v>
      </c>
      <c r="Q790" t="n">
        <v>0</v>
      </c>
      <c r="R790" s="2" t="inlineStr"/>
    </row>
    <row r="791" ht="15" customHeight="1">
      <c r="A791" t="inlineStr">
        <is>
          <t>A 17988-2025</t>
        </is>
      </c>
      <c r="B791" s="1" t="n">
        <v>45761.39600694444</v>
      </c>
      <c r="C791" s="1" t="n">
        <v>45901</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29350-2023</t>
        </is>
      </c>
      <c r="B792" s="1" t="n">
        <v>45106</v>
      </c>
      <c r="C792" s="1" t="n">
        <v>45901</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29351-2023</t>
        </is>
      </c>
      <c r="B793" s="1" t="n">
        <v>45106.2610300926</v>
      </c>
      <c r="C793" s="1" t="n">
        <v>45901</v>
      </c>
      <c r="D793" t="inlineStr">
        <is>
          <t>KALMAR LÄN</t>
        </is>
      </c>
      <c r="E793" t="inlineStr">
        <is>
          <t>VIMMERBY</t>
        </is>
      </c>
      <c r="G793" t="n">
        <v>0.4</v>
      </c>
      <c r="H793" t="n">
        <v>0</v>
      </c>
      <c r="I793" t="n">
        <v>0</v>
      </c>
      <c r="J793" t="n">
        <v>0</v>
      </c>
      <c r="K793" t="n">
        <v>0</v>
      </c>
      <c r="L793" t="n">
        <v>0</v>
      </c>
      <c r="M793" t="n">
        <v>0</v>
      </c>
      <c r="N793" t="n">
        <v>0</v>
      </c>
      <c r="O793" t="n">
        <v>0</v>
      </c>
      <c r="P793" t="n">
        <v>0</v>
      </c>
      <c r="Q793" t="n">
        <v>0</v>
      </c>
      <c r="R793" s="2" t="inlineStr"/>
    </row>
    <row r="794" ht="15" customHeight="1">
      <c r="A794" t="inlineStr">
        <is>
          <t>A 6474-2025</t>
        </is>
      </c>
      <c r="B794" s="1" t="n">
        <v>45699.60055555555</v>
      </c>
      <c r="C794" s="1" t="n">
        <v>45901</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17-2025</t>
        </is>
      </c>
      <c r="B795" s="1" t="n">
        <v>45658.78774305555</v>
      </c>
      <c r="C795" s="1" t="n">
        <v>45901</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57555-2024</t>
        </is>
      </c>
      <c r="B796" s="1" t="n">
        <v>45630.45069444444</v>
      </c>
      <c r="C796" s="1" t="n">
        <v>45901</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18411-2021</t>
        </is>
      </c>
      <c r="B797" s="1" t="n">
        <v>44302</v>
      </c>
      <c r="C797" s="1" t="n">
        <v>45901</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52279-2023</t>
        </is>
      </c>
      <c r="B798" s="1" t="n">
        <v>45224</v>
      </c>
      <c r="C798" s="1" t="n">
        <v>45901</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52324-2023</t>
        </is>
      </c>
      <c r="B799" s="1" t="n">
        <v>45224.64659722222</v>
      </c>
      <c r="C799" s="1" t="n">
        <v>45901</v>
      </c>
      <c r="D799" t="inlineStr">
        <is>
          <t>KALMAR LÄN</t>
        </is>
      </c>
      <c r="E799" t="inlineStr">
        <is>
          <t>VIMMERBY</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32639-2023</t>
        </is>
      </c>
      <c r="B800" s="1" t="n">
        <v>45121.5965162037</v>
      </c>
      <c r="C800" s="1" t="n">
        <v>45901</v>
      </c>
      <c r="D800" t="inlineStr">
        <is>
          <t>KALMAR LÄN</t>
        </is>
      </c>
      <c r="E800" t="inlineStr">
        <is>
          <t>VIMMERBY</t>
        </is>
      </c>
      <c r="F800" t="inlineStr">
        <is>
          <t>Sveaskog</t>
        </is>
      </c>
      <c r="G800" t="n">
        <v>1.7</v>
      </c>
      <c r="H800" t="n">
        <v>0</v>
      </c>
      <c r="I800" t="n">
        <v>0</v>
      </c>
      <c r="J800" t="n">
        <v>0</v>
      </c>
      <c r="K800" t="n">
        <v>0</v>
      </c>
      <c r="L800" t="n">
        <v>0</v>
      </c>
      <c r="M800" t="n">
        <v>0</v>
      </c>
      <c r="N800" t="n">
        <v>0</v>
      </c>
      <c r="O800" t="n">
        <v>0</v>
      </c>
      <c r="P800" t="n">
        <v>0</v>
      </c>
      <c r="Q800" t="n">
        <v>0</v>
      </c>
      <c r="R800" s="2" t="inlineStr"/>
    </row>
    <row r="801" ht="15" customHeight="1">
      <c r="A801" t="inlineStr">
        <is>
          <t>A 32642-2023</t>
        </is>
      </c>
      <c r="B801" s="1" t="n">
        <v>45121.59954861111</v>
      </c>
      <c r="C801" s="1" t="n">
        <v>45901</v>
      </c>
      <c r="D801" t="inlineStr">
        <is>
          <t>KALMAR LÄN</t>
        </is>
      </c>
      <c r="E801" t="inlineStr">
        <is>
          <t>VIMMERBY</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32651-2023</t>
        </is>
      </c>
      <c r="B802" s="1" t="n">
        <v>45121.6096875</v>
      </c>
      <c r="C802" s="1" t="n">
        <v>45901</v>
      </c>
      <c r="D802" t="inlineStr">
        <is>
          <t>KALMAR LÄN</t>
        </is>
      </c>
      <c r="E802" t="inlineStr">
        <is>
          <t>VIMMERBY</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40730-2024</t>
        </is>
      </c>
      <c r="B803" s="1" t="n">
        <v>45558.44914351852</v>
      </c>
      <c r="C803" s="1" t="n">
        <v>45901</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9643-2023</t>
        </is>
      </c>
      <c r="B804" s="1" t="n">
        <v>44984</v>
      </c>
      <c r="C804" s="1" t="n">
        <v>45901</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56213-2024</t>
        </is>
      </c>
      <c r="B805" s="1" t="n">
        <v>45624.60141203704</v>
      </c>
      <c r="C805" s="1" t="n">
        <v>45901</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20126-2024</t>
        </is>
      </c>
      <c r="B806" s="1" t="n">
        <v>45434.55471064815</v>
      </c>
      <c r="C806" s="1" t="n">
        <v>45901</v>
      </c>
      <c r="D806" t="inlineStr">
        <is>
          <t>KALMAR LÄN</t>
        </is>
      </c>
      <c r="E806" t="inlineStr">
        <is>
          <t>VIMMERBY</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19865-2021</t>
        </is>
      </c>
      <c r="B807" s="1" t="n">
        <v>44312</v>
      </c>
      <c r="C807" s="1" t="n">
        <v>45901</v>
      </c>
      <c r="D807" t="inlineStr">
        <is>
          <t>KALMAR LÄN</t>
        </is>
      </c>
      <c r="E807" t="inlineStr">
        <is>
          <t>VIMMERBY</t>
        </is>
      </c>
      <c r="G807" t="n">
        <v>8.6</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44984.45895833334</v>
      </c>
      <c r="C808" s="1" t="n">
        <v>45901</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45901</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6216-2025</t>
        </is>
      </c>
      <c r="B810" s="1" t="n">
        <v>45698.52806712963</v>
      </c>
      <c r="C810" s="1" t="n">
        <v>45901</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7944-2024</t>
        </is>
      </c>
      <c r="B811" s="1" t="n">
        <v>45350.53306712963</v>
      </c>
      <c r="C811" s="1" t="n">
        <v>45901</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598-2025</t>
        </is>
      </c>
      <c r="B812" s="1" t="n">
        <v>45660</v>
      </c>
      <c r="C812" s="1" t="n">
        <v>45901</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10674-2021</t>
        </is>
      </c>
      <c r="B813" s="1" t="n">
        <v>44258</v>
      </c>
      <c r="C813" s="1" t="n">
        <v>45901</v>
      </c>
      <c r="D813" t="inlineStr">
        <is>
          <t>KALMAR LÄN</t>
        </is>
      </c>
      <c r="E813" t="inlineStr">
        <is>
          <t>VIMMERBY</t>
        </is>
      </c>
      <c r="G813" t="n">
        <v>8.4</v>
      </c>
      <c r="H813" t="n">
        <v>0</v>
      </c>
      <c r="I813" t="n">
        <v>0</v>
      </c>
      <c r="J813" t="n">
        <v>0</v>
      </c>
      <c r="K813" t="n">
        <v>0</v>
      </c>
      <c r="L813" t="n">
        <v>0</v>
      </c>
      <c r="M813" t="n">
        <v>0</v>
      </c>
      <c r="N813" t="n">
        <v>0</v>
      </c>
      <c r="O813" t="n">
        <v>0</v>
      </c>
      <c r="P813" t="n">
        <v>0</v>
      </c>
      <c r="Q813" t="n">
        <v>0</v>
      </c>
      <c r="R813" s="2" t="inlineStr"/>
    </row>
    <row r="814" ht="15" customHeight="1">
      <c r="A814" t="inlineStr">
        <is>
          <t>A 10807-2024</t>
        </is>
      </c>
      <c r="B814" s="1" t="n">
        <v>45369.62780092593</v>
      </c>
      <c r="C814" s="1" t="n">
        <v>45901</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40260-2024</t>
        </is>
      </c>
      <c r="B815" s="1" t="n">
        <v>45554.63225694445</v>
      </c>
      <c r="C815" s="1" t="n">
        <v>45901</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10787-2025</t>
        </is>
      </c>
      <c r="B816" s="1" t="n">
        <v>45722.48915509259</v>
      </c>
      <c r="C816" s="1" t="n">
        <v>45901</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58577-2024</t>
        </is>
      </c>
      <c r="B817" s="1" t="n">
        <v>45635.4874537037</v>
      </c>
      <c r="C817" s="1" t="n">
        <v>45901</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38198-2024</t>
        </is>
      </c>
      <c r="B818" s="1" t="n">
        <v>45545.49508101852</v>
      </c>
      <c r="C818" s="1" t="n">
        <v>45901</v>
      </c>
      <c r="D818" t="inlineStr">
        <is>
          <t>KALMAR LÄN</t>
        </is>
      </c>
      <c r="E818" t="inlineStr">
        <is>
          <t>VIMMERBY</t>
        </is>
      </c>
      <c r="G818" t="n">
        <v>7.9</v>
      </c>
      <c r="H818" t="n">
        <v>0</v>
      </c>
      <c r="I818" t="n">
        <v>0</v>
      </c>
      <c r="J818" t="n">
        <v>0</v>
      </c>
      <c r="K818" t="n">
        <v>0</v>
      </c>
      <c r="L818" t="n">
        <v>0</v>
      </c>
      <c r="M818" t="n">
        <v>0</v>
      </c>
      <c r="N818" t="n">
        <v>0</v>
      </c>
      <c r="O818" t="n">
        <v>0</v>
      </c>
      <c r="P818" t="n">
        <v>0</v>
      </c>
      <c r="Q818" t="n">
        <v>0</v>
      </c>
      <c r="R818" s="2" t="inlineStr"/>
    </row>
    <row r="819" ht="15" customHeight="1">
      <c r="A819" t="inlineStr">
        <is>
          <t>A 43617-2024</t>
        </is>
      </c>
      <c r="B819" s="1" t="n">
        <v>45569.47494212963</v>
      </c>
      <c r="C819" s="1" t="n">
        <v>45901</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22264-2023</t>
        </is>
      </c>
      <c r="B820" s="1" t="n">
        <v>45070.3665625</v>
      </c>
      <c r="C820" s="1" t="n">
        <v>45901</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22266-2023</t>
        </is>
      </c>
      <c r="B821" s="1" t="n">
        <v>45070</v>
      </c>
      <c r="C821" s="1" t="n">
        <v>45901</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50091-2023</t>
        </is>
      </c>
      <c r="B822" s="1" t="n">
        <v>45215.60199074074</v>
      </c>
      <c r="C822" s="1" t="n">
        <v>45901</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10303-2025</t>
        </is>
      </c>
      <c r="B823" s="1" t="n">
        <v>45720.44217592593</v>
      </c>
      <c r="C823" s="1" t="n">
        <v>45901</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11027-2023</t>
        </is>
      </c>
      <c r="B824" s="1" t="n">
        <v>44991.89657407408</v>
      </c>
      <c r="C824" s="1" t="n">
        <v>45901</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11661-2023</t>
        </is>
      </c>
      <c r="B825" s="1" t="n">
        <v>44994.46908564815</v>
      </c>
      <c r="C825" s="1" t="n">
        <v>45901</v>
      </c>
      <c r="D825" t="inlineStr">
        <is>
          <t>KALMAR LÄN</t>
        </is>
      </c>
      <c r="E825" t="inlineStr">
        <is>
          <t>VIMMERBY</t>
        </is>
      </c>
      <c r="G825" t="n">
        <v>2.7</v>
      </c>
      <c r="H825" t="n">
        <v>0</v>
      </c>
      <c r="I825" t="n">
        <v>0</v>
      </c>
      <c r="J825" t="n">
        <v>0</v>
      </c>
      <c r="K825" t="n">
        <v>0</v>
      </c>
      <c r="L825" t="n">
        <v>0</v>
      </c>
      <c r="M825" t="n">
        <v>0</v>
      </c>
      <c r="N825" t="n">
        <v>0</v>
      </c>
      <c r="O825" t="n">
        <v>0</v>
      </c>
      <c r="P825" t="n">
        <v>0</v>
      </c>
      <c r="Q825" t="n">
        <v>0</v>
      </c>
      <c r="R825" s="2" t="inlineStr"/>
    </row>
    <row r="826" ht="15" customHeight="1">
      <c r="A826" t="inlineStr">
        <is>
          <t>A 36155-2023</t>
        </is>
      </c>
      <c r="B826" s="1" t="n">
        <v>45149.60917824074</v>
      </c>
      <c r="C826" s="1" t="n">
        <v>45901</v>
      </c>
      <c r="D826" t="inlineStr">
        <is>
          <t>KALMAR LÄN</t>
        </is>
      </c>
      <c r="E826" t="inlineStr">
        <is>
          <t>VIMMERBY</t>
        </is>
      </c>
      <c r="G826" t="n">
        <v>5</v>
      </c>
      <c r="H826" t="n">
        <v>0</v>
      </c>
      <c r="I826" t="n">
        <v>0</v>
      </c>
      <c r="J826" t="n">
        <v>0</v>
      </c>
      <c r="K826" t="n">
        <v>0</v>
      </c>
      <c r="L826" t="n">
        <v>0</v>
      </c>
      <c r="M826" t="n">
        <v>0</v>
      </c>
      <c r="N826" t="n">
        <v>0</v>
      </c>
      <c r="O826" t="n">
        <v>0</v>
      </c>
      <c r="P826" t="n">
        <v>0</v>
      </c>
      <c r="Q826" t="n">
        <v>0</v>
      </c>
      <c r="R826" s="2" t="inlineStr"/>
    </row>
    <row r="827" ht="15" customHeight="1">
      <c r="A827" t="inlineStr">
        <is>
          <t>A 40147-2023</t>
        </is>
      </c>
      <c r="B827" s="1" t="n">
        <v>45169</v>
      </c>
      <c r="C827" s="1" t="n">
        <v>45901</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63950-2023</t>
        </is>
      </c>
      <c r="B828" s="1" t="n">
        <v>45278</v>
      </c>
      <c r="C828" s="1" t="n">
        <v>45901</v>
      </c>
      <c r="D828" t="inlineStr">
        <is>
          <t>KALMAR LÄN</t>
        </is>
      </c>
      <c r="E828" t="inlineStr">
        <is>
          <t>VIMMERBY</t>
        </is>
      </c>
      <c r="F828" t="inlineStr">
        <is>
          <t>Kyrkan</t>
        </is>
      </c>
      <c r="G828" t="n">
        <v>2.7</v>
      </c>
      <c r="H828" t="n">
        <v>0</v>
      </c>
      <c r="I828" t="n">
        <v>0</v>
      </c>
      <c r="J828" t="n">
        <v>0</v>
      </c>
      <c r="K828" t="n">
        <v>0</v>
      </c>
      <c r="L828" t="n">
        <v>0</v>
      </c>
      <c r="M828" t="n">
        <v>0</v>
      </c>
      <c r="N828" t="n">
        <v>0</v>
      </c>
      <c r="O828" t="n">
        <v>0</v>
      </c>
      <c r="P828" t="n">
        <v>0</v>
      </c>
      <c r="Q828" t="n">
        <v>0</v>
      </c>
      <c r="R828" s="2" t="inlineStr"/>
    </row>
    <row r="829" ht="15" customHeight="1">
      <c r="A829" t="inlineStr">
        <is>
          <t>A 24096-2024</t>
        </is>
      </c>
      <c r="B829" s="1" t="n">
        <v>45456.59289351852</v>
      </c>
      <c r="C829" s="1" t="n">
        <v>45901</v>
      </c>
      <c r="D829" t="inlineStr">
        <is>
          <t>KALMAR LÄN</t>
        </is>
      </c>
      <c r="E829" t="inlineStr">
        <is>
          <t>VIMMERBY</t>
        </is>
      </c>
      <c r="G829" t="n">
        <v>2.3</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45901</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41199-2023</t>
        </is>
      </c>
      <c r="B831" s="1" t="n">
        <v>45174.40454861111</v>
      </c>
      <c r="C831" s="1" t="n">
        <v>45901</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36014-2024</t>
        </is>
      </c>
      <c r="B832" s="1" t="n">
        <v>45533.56108796296</v>
      </c>
      <c r="C832" s="1" t="n">
        <v>45901</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36030-2024</t>
        </is>
      </c>
      <c r="B833" s="1" t="n">
        <v>45533.58302083334</v>
      </c>
      <c r="C833" s="1" t="n">
        <v>45901</v>
      </c>
      <c r="D833" t="inlineStr">
        <is>
          <t>KALMAR LÄN</t>
        </is>
      </c>
      <c r="E833" t="inlineStr">
        <is>
          <t>VIMMERBY</t>
        </is>
      </c>
      <c r="F833" t="inlineStr">
        <is>
          <t>Kommuner</t>
        </is>
      </c>
      <c r="G833" t="n">
        <v>4</v>
      </c>
      <c r="H833" t="n">
        <v>0</v>
      </c>
      <c r="I833" t="n">
        <v>0</v>
      </c>
      <c r="J833" t="n">
        <v>0</v>
      </c>
      <c r="K833" t="n">
        <v>0</v>
      </c>
      <c r="L833" t="n">
        <v>0</v>
      </c>
      <c r="M833" t="n">
        <v>0</v>
      </c>
      <c r="N833" t="n">
        <v>0</v>
      </c>
      <c r="O833" t="n">
        <v>0</v>
      </c>
      <c r="P833" t="n">
        <v>0</v>
      </c>
      <c r="Q833" t="n">
        <v>0</v>
      </c>
      <c r="R833" s="2" t="inlineStr"/>
    </row>
    <row r="834" ht="15" customHeight="1">
      <c r="A834" t="inlineStr">
        <is>
          <t>A 7627-2025</t>
        </is>
      </c>
      <c r="B834" s="1" t="n">
        <v>45705.73300925926</v>
      </c>
      <c r="C834" s="1" t="n">
        <v>45901</v>
      </c>
      <c r="D834" t="inlineStr">
        <is>
          <t>KALMAR LÄN</t>
        </is>
      </c>
      <c r="E834" t="inlineStr">
        <is>
          <t>VIMMERBY</t>
        </is>
      </c>
      <c r="G834" t="n">
        <v>2.1</v>
      </c>
      <c r="H834" t="n">
        <v>0</v>
      </c>
      <c r="I834" t="n">
        <v>0</v>
      </c>
      <c r="J834" t="n">
        <v>0</v>
      </c>
      <c r="K834" t="n">
        <v>0</v>
      </c>
      <c r="L834" t="n">
        <v>0</v>
      </c>
      <c r="M834" t="n">
        <v>0</v>
      </c>
      <c r="N834" t="n">
        <v>0</v>
      </c>
      <c r="O834" t="n">
        <v>0</v>
      </c>
      <c r="P834" t="n">
        <v>0</v>
      </c>
      <c r="Q834" t="n">
        <v>0</v>
      </c>
      <c r="R834" s="2" t="inlineStr"/>
    </row>
    <row r="835" ht="15" customHeight="1">
      <c r="A835" t="inlineStr">
        <is>
          <t>A 6321-2023</t>
        </is>
      </c>
      <c r="B835" s="1" t="n">
        <v>44965.4815162037</v>
      </c>
      <c r="C835" s="1" t="n">
        <v>45901</v>
      </c>
      <c r="D835" t="inlineStr">
        <is>
          <t>KALMAR LÄN</t>
        </is>
      </c>
      <c r="E835" t="inlineStr">
        <is>
          <t>VIMMERBY</t>
        </is>
      </c>
      <c r="G835" t="n">
        <v>1.8</v>
      </c>
      <c r="H835" t="n">
        <v>0</v>
      </c>
      <c r="I835" t="n">
        <v>0</v>
      </c>
      <c r="J835" t="n">
        <v>0</v>
      </c>
      <c r="K835" t="n">
        <v>0</v>
      </c>
      <c r="L835" t="n">
        <v>0</v>
      </c>
      <c r="M835" t="n">
        <v>0</v>
      </c>
      <c r="N835" t="n">
        <v>0</v>
      </c>
      <c r="O835" t="n">
        <v>0</v>
      </c>
      <c r="P835" t="n">
        <v>0</v>
      </c>
      <c r="Q835" t="n">
        <v>0</v>
      </c>
      <c r="R835" s="2" t="inlineStr"/>
    </row>
    <row r="836" ht="15" customHeight="1">
      <c r="A836" t="inlineStr">
        <is>
          <t>A 52755-2022</t>
        </is>
      </c>
      <c r="B836" s="1" t="n">
        <v>44875.27736111111</v>
      </c>
      <c r="C836" s="1" t="n">
        <v>45901</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40823-2023</t>
        </is>
      </c>
      <c r="B837" s="1" t="n">
        <v>45171.77335648148</v>
      </c>
      <c r="C837" s="1" t="n">
        <v>45901</v>
      </c>
      <c r="D837" t="inlineStr">
        <is>
          <t>KALMAR LÄN</t>
        </is>
      </c>
      <c r="E837" t="inlineStr">
        <is>
          <t>VIMMERBY</t>
        </is>
      </c>
      <c r="G837" t="n">
        <v>2.7</v>
      </c>
      <c r="H837" t="n">
        <v>0</v>
      </c>
      <c r="I837" t="n">
        <v>0</v>
      </c>
      <c r="J837" t="n">
        <v>0</v>
      </c>
      <c r="K837" t="n">
        <v>0</v>
      </c>
      <c r="L837" t="n">
        <v>0</v>
      </c>
      <c r="M837" t="n">
        <v>0</v>
      </c>
      <c r="N837" t="n">
        <v>0</v>
      </c>
      <c r="O837" t="n">
        <v>0</v>
      </c>
      <c r="P837" t="n">
        <v>0</v>
      </c>
      <c r="Q837" t="n">
        <v>0</v>
      </c>
      <c r="R837" s="2" t="inlineStr"/>
    </row>
    <row r="838" ht="15" customHeight="1">
      <c r="A838" t="inlineStr">
        <is>
          <t>A 27761-2024</t>
        </is>
      </c>
      <c r="B838" s="1" t="n">
        <v>45475.49018518518</v>
      </c>
      <c r="C838" s="1" t="n">
        <v>45901</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21028-2023</t>
        </is>
      </c>
      <c r="B839" s="1" t="n">
        <v>45061</v>
      </c>
      <c r="C839" s="1" t="n">
        <v>45901</v>
      </c>
      <c r="D839" t="inlineStr">
        <is>
          <t>KALMAR LÄN</t>
        </is>
      </c>
      <c r="E839" t="inlineStr">
        <is>
          <t>VIMMERBY</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64203-2021</t>
        </is>
      </c>
      <c r="B840" s="1" t="n">
        <v>44510.60921296296</v>
      </c>
      <c r="C840" s="1" t="n">
        <v>45901</v>
      </c>
      <c r="D840" t="inlineStr">
        <is>
          <t>KALMAR LÄN</t>
        </is>
      </c>
      <c r="E840" t="inlineStr">
        <is>
          <t>VIMMERBY</t>
        </is>
      </c>
      <c r="F840" t="inlineStr">
        <is>
          <t>Övriga Aktiebolag</t>
        </is>
      </c>
      <c r="G840" t="n">
        <v>5.4</v>
      </c>
      <c r="H840" t="n">
        <v>0</v>
      </c>
      <c r="I840" t="n">
        <v>0</v>
      </c>
      <c r="J840" t="n">
        <v>0</v>
      </c>
      <c r="K840" t="n">
        <v>0</v>
      </c>
      <c r="L840" t="n">
        <v>0</v>
      </c>
      <c r="M840" t="n">
        <v>0</v>
      </c>
      <c r="N840" t="n">
        <v>0</v>
      </c>
      <c r="O840" t="n">
        <v>0</v>
      </c>
      <c r="P840" t="n">
        <v>0</v>
      </c>
      <c r="Q840" t="n">
        <v>0</v>
      </c>
      <c r="R840" s="2" t="inlineStr"/>
    </row>
    <row r="841" ht="15" customHeight="1">
      <c r="A841" t="inlineStr">
        <is>
          <t>A 1016-2024</t>
        </is>
      </c>
      <c r="B841" s="1" t="n">
        <v>45301</v>
      </c>
      <c r="C841" s="1" t="n">
        <v>45901</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1024-2024</t>
        </is>
      </c>
      <c r="B842" s="1" t="n">
        <v>45301.68237268519</v>
      </c>
      <c r="C842" s="1" t="n">
        <v>45901</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27758-2024</t>
        </is>
      </c>
      <c r="B843" s="1" t="n">
        <v>45475.48303240741</v>
      </c>
      <c r="C843" s="1" t="n">
        <v>45901</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32865-2023</t>
        </is>
      </c>
      <c r="B844" s="1" t="n">
        <v>45124</v>
      </c>
      <c r="C844" s="1" t="n">
        <v>45901</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22194-2024</t>
        </is>
      </c>
      <c r="B845" s="1" t="n">
        <v>45446.36482638889</v>
      </c>
      <c r="C845" s="1" t="n">
        <v>45901</v>
      </c>
      <c r="D845" t="inlineStr">
        <is>
          <t>KALMAR LÄN</t>
        </is>
      </c>
      <c r="E845" t="inlineStr">
        <is>
          <t>VIMMERBY</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17926-2025</t>
        </is>
      </c>
      <c r="B846" s="1" t="n">
        <v>45759.38987268518</v>
      </c>
      <c r="C846" s="1" t="n">
        <v>45901</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35127-2024</t>
        </is>
      </c>
      <c r="B847" s="1" t="n">
        <v>45530.33202546297</v>
      </c>
      <c r="C847" s="1" t="n">
        <v>45901</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1206-2025</t>
        </is>
      </c>
      <c r="B848" s="1" t="n">
        <v>45667.39670138889</v>
      </c>
      <c r="C848" s="1" t="n">
        <v>45901</v>
      </c>
      <c r="D848" t="inlineStr">
        <is>
          <t>KALMAR LÄN</t>
        </is>
      </c>
      <c r="E848" t="inlineStr">
        <is>
          <t>VIMMERBY</t>
        </is>
      </c>
      <c r="G848" t="n">
        <v>3.5</v>
      </c>
      <c r="H848" t="n">
        <v>0</v>
      </c>
      <c r="I848" t="n">
        <v>0</v>
      </c>
      <c r="J848" t="n">
        <v>0</v>
      </c>
      <c r="K848" t="n">
        <v>0</v>
      </c>
      <c r="L848" t="n">
        <v>0</v>
      </c>
      <c r="M848" t="n">
        <v>0</v>
      </c>
      <c r="N848" t="n">
        <v>0</v>
      </c>
      <c r="O848" t="n">
        <v>0</v>
      </c>
      <c r="P848" t="n">
        <v>0</v>
      </c>
      <c r="Q848" t="n">
        <v>0</v>
      </c>
      <c r="R848" s="2" t="inlineStr"/>
    </row>
    <row r="849" ht="15" customHeight="1">
      <c r="A849" t="inlineStr">
        <is>
          <t>A 33383-2023</t>
        </is>
      </c>
      <c r="B849" s="1" t="n">
        <v>45128.58414351852</v>
      </c>
      <c r="C849" s="1" t="n">
        <v>45901</v>
      </c>
      <c r="D849" t="inlineStr">
        <is>
          <t>KALMAR LÄN</t>
        </is>
      </c>
      <c r="E849" t="inlineStr">
        <is>
          <t>VIMMERBY</t>
        </is>
      </c>
      <c r="G849" t="n">
        <v>2.3</v>
      </c>
      <c r="H849" t="n">
        <v>0</v>
      </c>
      <c r="I849" t="n">
        <v>0</v>
      </c>
      <c r="J849" t="n">
        <v>0</v>
      </c>
      <c r="K849" t="n">
        <v>0</v>
      </c>
      <c r="L849" t="n">
        <v>0</v>
      </c>
      <c r="M849" t="n">
        <v>0</v>
      </c>
      <c r="N849" t="n">
        <v>0</v>
      </c>
      <c r="O849" t="n">
        <v>0</v>
      </c>
      <c r="P849" t="n">
        <v>0</v>
      </c>
      <c r="Q849" t="n">
        <v>0</v>
      </c>
      <c r="R849" s="2" t="inlineStr"/>
    </row>
    <row r="850">
      <c r="A850" t="inlineStr">
        <is>
          <t>A 4297-2022</t>
        </is>
      </c>
      <c r="B850" s="1" t="n">
        <v>44588</v>
      </c>
      <c r="C850" s="1" t="n">
        <v>45901</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2025-09-01T08:35:16Z</dcterms:created>
  <dcterms:modified xmlns:dcterms="http://purl.org/dc/terms/" xmlns:xsi="http://www.w3.org/2001/XMLSchema-instance" xsi:type="dcterms:W3CDTF">2025-09-01T08:35:17Z</dcterms:modified>
</cp:coreProperties>
</file>