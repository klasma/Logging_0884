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45911</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45911</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45911</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45911</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45911</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45911</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45911</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45911</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45911</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45911</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45911</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45911</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45911</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37667-2025</t>
        </is>
      </c>
      <c r="B26" s="1" t="n">
        <v>45880.51413194444</v>
      </c>
      <c r="C26" s="1" t="n">
        <v>45911</v>
      </c>
      <c r="D26" t="inlineStr">
        <is>
          <t>KALMAR LÄN</t>
        </is>
      </c>
      <c r="E26" t="inlineStr">
        <is>
          <t>VIMMERBY</t>
        </is>
      </c>
      <c r="F26" t="inlineStr">
        <is>
          <t>Sveaskog</t>
        </is>
      </c>
      <c r="G26" t="n">
        <v>2.1</v>
      </c>
      <c r="H26" t="n">
        <v>2</v>
      </c>
      <c r="I26" t="n">
        <v>0</v>
      </c>
      <c r="J26" t="n">
        <v>0</v>
      </c>
      <c r="K26" t="n">
        <v>1</v>
      </c>
      <c r="L26" t="n">
        <v>0</v>
      </c>
      <c r="M26" t="n">
        <v>0</v>
      </c>
      <c r="N26" t="n">
        <v>0</v>
      </c>
      <c r="O26" t="n">
        <v>1</v>
      </c>
      <c r="P26" t="n">
        <v>1</v>
      </c>
      <c r="Q26" t="n">
        <v>2</v>
      </c>
      <c r="R26" s="2" t="inlineStr">
        <is>
          <t>Knärot
Blåsippa</t>
        </is>
      </c>
      <c r="S26">
        <f>HYPERLINK("https://klasma.github.io/Logging_0884/artfynd/A 37667-2025 artfynd.xlsx", "A 37667-2025")</f>
        <v/>
      </c>
      <c r="T26">
        <f>HYPERLINK("https://klasma.github.io/Logging_0884/kartor/A 37667-2025 karta.png", "A 37667-2025")</f>
        <v/>
      </c>
      <c r="U26">
        <f>HYPERLINK("https://klasma.github.io/Logging_0884/knärot/A 37667-2025 karta knärot.png", "A 37667-2025")</f>
        <v/>
      </c>
      <c r="V26">
        <f>HYPERLINK("https://klasma.github.io/Logging_0884/klagomål/A 37667-2025 FSC-klagomål.docx", "A 37667-2025")</f>
        <v/>
      </c>
      <c r="W26">
        <f>HYPERLINK("https://klasma.github.io/Logging_0884/klagomålsmail/A 37667-2025 FSC-klagomål mail.docx", "A 37667-2025")</f>
        <v/>
      </c>
      <c r="X26">
        <f>HYPERLINK("https://klasma.github.io/Logging_0884/tillsyn/A 37667-2025 tillsynsbegäran.docx", "A 37667-2025")</f>
        <v/>
      </c>
      <c r="Y26">
        <f>HYPERLINK("https://klasma.github.io/Logging_0884/tillsynsmail/A 37667-2025 tillsynsbegäran mail.docx", "A 37667-2025")</f>
        <v/>
      </c>
    </row>
    <row r="27" ht="15" customHeight="1">
      <c r="A27" t="inlineStr">
        <is>
          <t>A 22825-2023</t>
        </is>
      </c>
      <c r="B27" s="1" t="n">
        <v>45072</v>
      </c>
      <c r="C27" s="1" t="n">
        <v>45911</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40684-2025</t>
        </is>
      </c>
      <c r="B28" s="1" t="n">
        <v>45896.86820601852</v>
      </c>
      <c r="C28" s="1" t="n">
        <v>45911</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19158-2023</t>
        </is>
      </c>
      <c r="B29" s="1" t="n">
        <v>45048</v>
      </c>
      <c r="C29" s="1" t="n">
        <v>45911</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32396-2021</t>
        </is>
      </c>
      <c r="B30" s="1" t="n">
        <v>44371</v>
      </c>
      <c r="C30" s="1" t="n">
        <v>45911</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45911</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15122-2024</t>
        </is>
      </c>
      <c r="B32" s="1" t="n">
        <v>45399.71412037037</v>
      </c>
      <c r="C32" s="1" t="n">
        <v>45911</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45911</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1201-2025</t>
        </is>
      </c>
      <c r="B34" s="1" t="n">
        <v>45667</v>
      </c>
      <c r="C34" s="1" t="n">
        <v>45911</v>
      </c>
      <c r="D34" t="inlineStr">
        <is>
          <t>KALMAR LÄN</t>
        </is>
      </c>
      <c r="E34" t="inlineStr">
        <is>
          <t>VIMMERBY</t>
        </is>
      </c>
      <c r="G34" t="n">
        <v>6.4</v>
      </c>
      <c r="H34" t="n">
        <v>1</v>
      </c>
      <c r="I34" t="n">
        <v>0</v>
      </c>
      <c r="J34" t="n">
        <v>0</v>
      </c>
      <c r="K34" t="n">
        <v>1</v>
      </c>
      <c r="L34" t="n">
        <v>0</v>
      </c>
      <c r="M34" t="n">
        <v>0</v>
      </c>
      <c r="N34" t="n">
        <v>0</v>
      </c>
      <c r="O34" t="n">
        <v>1</v>
      </c>
      <c r="P34" t="n">
        <v>1</v>
      </c>
      <c r="Q34" t="n">
        <v>1</v>
      </c>
      <c r="R34" s="2" t="inlineStr">
        <is>
          <t>Knärot</t>
        </is>
      </c>
      <c r="S34">
        <f>HYPERLINK("https://klasma.github.io/Logging_0884/artfynd/A 1201-2025 artfynd.xlsx", "A 1201-2025")</f>
        <v/>
      </c>
      <c r="T34">
        <f>HYPERLINK("https://klasma.github.io/Logging_0884/kartor/A 1201-2025 karta.png", "A 1201-2025")</f>
        <v/>
      </c>
      <c r="U34">
        <f>HYPERLINK("https://klasma.github.io/Logging_0884/knärot/A 1201-2025 karta knärot.png", "A 1201-2025")</f>
        <v/>
      </c>
      <c r="V34">
        <f>HYPERLINK("https://klasma.github.io/Logging_0884/klagomål/A 1201-2025 FSC-klagomål.docx", "A 1201-2025")</f>
        <v/>
      </c>
      <c r="W34">
        <f>HYPERLINK("https://klasma.github.io/Logging_0884/klagomålsmail/A 1201-2025 FSC-klagomål mail.docx", "A 1201-2025")</f>
        <v/>
      </c>
      <c r="X34">
        <f>HYPERLINK("https://klasma.github.io/Logging_0884/tillsyn/A 1201-2025 tillsynsbegäran.docx", "A 1201-2025")</f>
        <v/>
      </c>
      <c r="Y34">
        <f>HYPERLINK("https://klasma.github.io/Logging_0884/tillsynsmail/A 1201-2025 tillsynsbegäran mail.docx", "A 1201-2025")</f>
        <v/>
      </c>
    </row>
    <row r="35" ht="15" customHeight="1">
      <c r="A35" t="inlineStr">
        <is>
          <t>A 28852-2023</t>
        </is>
      </c>
      <c r="B35" s="1" t="n">
        <v>45104</v>
      </c>
      <c r="C35" s="1" t="n">
        <v>45911</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45911</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61860-2024</t>
        </is>
      </c>
      <c r="B37" s="1" t="n">
        <v>45649</v>
      </c>
      <c r="C37" s="1" t="n">
        <v>45911</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29183-2025</t>
        </is>
      </c>
      <c r="B38" s="1" t="n">
        <v>45821</v>
      </c>
      <c r="C38" s="1" t="n">
        <v>45911</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45911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45911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6841-2021</t>
        </is>
      </c>
      <c r="B41" s="1" t="n">
        <v>44236</v>
      </c>
      <c r="C41" s="1" t="n">
        <v>45911</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45911</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38602-2025</t>
        </is>
      </c>
      <c r="B43" s="1" t="n">
        <v>45884.50331018519</v>
      </c>
      <c r="C43" s="1" t="n">
        <v>45911</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38602-2025 artfynd.xlsx", "A 38602-2025")</f>
        <v/>
      </c>
      <c r="T43">
        <f>HYPERLINK("https://klasma.github.io/Logging_0884/kartor/A 38602-2025 karta.png", "A 38602-2025")</f>
        <v/>
      </c>
      <c r="U43">
        <f>HYPERLINK("https://klasma.github.io/Logging_0884/knärot/A 38602-2025 karta knärot.png", "A 38602-2025")</f>
        <v/>
      </c>
      <c r="V43">
        <f>HYPERLINK("https://klasma.github.io/Logging_0884/klagomål/A 38602-2025 FSC-klagomål.docx", "A 38602-2025")</f>
        <v/>
      </c>
      <c r="W43">
        <f>HYPERLINK("https://klasma.github.io/Logging_0884/klagomålsmail/A 38602-2025 FSC-klagomål mail.docx", "A 38602-2025")</f>
        <v/>
      </c>
      <c r="X43">
        <f>HYPERLINK("https://klasma.github.io/Logging_0884/tillsyn/A 38602-2025 tillsynsbegäran.docx", "A 38602-2025")</f>
        <v/>
      </c>
      <c r="Y43">
        <f>HYPERLINK("https://klasma.github.io/Logging_0884/tillsynsmail/A 38602-2025 tillsynsbegäran mail.docx", "A 38602-2025")</f>
        <v/>
      </c>
    </row>
    <row r="44" ht="15" customHeight="1">
      <c r="A44" t="inlineStr">
        <is>
          <t>A 23602-2023</t>
        </is>
      </c>
      <c r="B44" s="1" t="n">
        <v>45077</v>
      </c>
      <c r="C44" s="1" t="n">
        <v>45911</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52301-2023</t>
        </is>
      </c>
      <c r="B45" s="1" t="n">
        <v>45224</v>
      </c>
      <c r="C45" s="1" t="n">
        <v>45911</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33436-2021</t>
        </is>
      </c>
      <c r="B46" s="1" t="n">
        <v>44377.61104166666</v>
      </c>
      <c r="C46" s="1" t="n">
        <v>45911</v>
      </c>
      <c r="D46" t="inlineStr">
        <is>
          <t>KALMAR LÄN</t>
        </is>
      </c>
      <c r="E46" t="inlineStr">
        <is>
          <t>VIMMERBY</t>
        </is>
      </c>
      <c r="G46" t="n">
        <v>11.8</v>
      </c>
      <c r="H46" t="n">
        <v>1</v>
      </c>
      <c r="I46" t="n">
        <v>0</v>
      </c>
      <c r="J46" t="n">
        <v>0</v>
      </c>
      <c r="K46" t="n">
        <v>1</v>
      </c>
      <c r="L46" t="n">
        <v>0</v>
      </c>
      <c r="M46" t="n">
        <v>0</v>
      </c>
      <c r="N46" t="n">
        <v>0</v>
      </c>
      <c r="O46" t="n">
        <v>1</v>
      </c>
      <c r="P46" t="n">
        <v>1</v>
      </c>
      <c r="Q46" t="n">
        <v>1</v>
      </c>
      <c r="R46" s="2" t="inlineStr">
        <is>
          <t>Knärot</t>
        </is>
      </c>
      <c r="S46">
        <f>HYPERLINK("https://klasma.github.io/Logging_0884/artfynd/A 33436-2021 artfynd.xlsx", "A 33436-2021")</f>
        <v/>
      </c>
      <c r="T46">
        <f>HYPERLINK("https://klasma.github.io/Logging_0884/kartor/A 33436-2021 karta.png", "A 33436-2021")</f>
        <v/>
      </c>
      <c r="U46">
        <f>HYPERLINK("https://klasma.github.io/Logging_0884/knärot/A 33436-2021 karta knärot.png", "A 33436-2021")</f>
        <v/>
      </c>
      <c r="V46">
        <f>HYPERLINK("https://klasma.github.io/Logging_0884/klagomål/A 33436-2021 FSC-klagomål.docx", "A 33436-2021")</f>
        <v/>
      </c>
      <c r="W46">
        <f>HYPERLINK("https://klasma.github.io/Logging_0884/klagomålsmail/A 33436-2021 FSC-klagomål mail.docx", "A 33436-2021")</f>
        <v/>
      </c>
      <c r="X46">
        <f>HYPERLINK("https://klasma.github.io/Logging_0884/tillsyn/A 33436-2021 tillsynsbegäran.docx", "A 33436-2021")</f>
        <v/>
      </c>
      <c r="Y46">
        <f>HYPERLINK("https://klasma.github.io/Logging_0884/tillsynsmail/A 33436-2021 tillsynsbegäran mail.docx", "A 33436-2021")</f>
        <v/>
      </c>
    </row>
    <row r="47" ht="15" customHeight="1">
      <c r="A47" t="inlineStr">
        <is>
          <t>A 49059-2020</t>
        </is>
      </c>
      <c r="B47" s="1" t="n">
        <v>44102</v>
      </c>
      <c r="C47" s="1" t="n">
        <v>45911</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45911</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45911</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45911</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45911</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45911</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45911</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45911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45911</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45911</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45911</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45911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45911</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45911</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45911</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45911</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49186-2020</t>
        </is>
      </c>
      <c r="B63" s="1" t="n">
        <v>44105</v>
      </c>
      <c r="C63" s="1" t="n">
        <v>45911</v>
      </c>
      <c r="D63" t="inlineStr">
        <is>
          <t>KALMAR LÄN</t>
        </is>
      </c>
      <c r="E63" t="inlineStr">
        <is>
          <t>VIMMERBY</t>
        </is>
      </c>
      <c r="F63" t="inlineStr">
        <is>
          <t>Sveaskog</t>
        </is>
      </c>
      <c r="G63" t="n">
        <v>3.8</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45911</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45911</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45911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45911</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45911</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45911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45911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45911</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45911</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45911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45911</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45911</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45911</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45911</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45911</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45911</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45911</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45911</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45911</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45911</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45911</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45911</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45911</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45911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45911</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45911</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45911</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45911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45911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45911</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45911</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45911</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45911</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45911</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45911</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45911</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45911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45911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45911</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45911</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45911</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45911</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45911</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45911</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45911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45911</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45911</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45911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45911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45911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45911</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45911</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45911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45911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45911</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45911</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45911</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45911</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45911</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45911</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45911</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45911</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45911</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45911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45911</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45911</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45911</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45911</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45911</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45911</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45911</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46461-2020</t>
        </is>
      </c>
      <c r="B138" s="1" t="n">
        <v>44092</v>
      </c>
      <c r="C138" s="1" t="n">
        <v>45911</v>
      </c>
      <c r="D138" t="inlineStr">
        <is>
          <t>KALMAR LÄN</t>
        </is>
      </c>
      <c r="E138" t="inlineStr">
        <is>
          <t>VIMMERBY</t>
        </is>
      </c>
      <c r="G138" t="n">
        <v>2.4</v>
      </c>
      <c r="H138" t="n">
        <v>0</v>
      </c>
      <c r="I138" t="n">
        <v>0</v>
      </c>
      <c r="J138" t="n">
        <v>0</v>
      </c>
      <c r="K138" t="n">
        <v>0</v>
      </c>
      <c r="L138" t="n">
        <v>0</v>
      </c>
      <c r="M138" t="n">
        <v>0</v>
      </c>
      <c r="N138" t="n">
        <v>0</v>
      </c>
      <c r="O138" t="n">
        <v>0</v>
      </c>
      <c r="P138" t="n">
        <v>0</v>
      </c>
      <c r="Q138" t="n">
        <v>0</v>
      </c>
      <c r="R138" s="2" t="inlineStr"/>
    </row>
    <row r="139" ht="15" customHeight="1">
      <c r="A139" t="inlineStr">
        <is>
          <t>A 8454-2022</t>
        </is>
      </c>
      <c r="B139" s="1" t="n">
        <v>44612.86762731482</v>
      </c>
      <c r="C139" s="1" t="n">
        <v>45911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44605-2020</t>
        </is>
      </c>
      <c r="B140" s="1" t="n">
        <v>44085</v>
      </c>
      <c r="C140" s="1" t="n">
        <v>45911</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47473-2021</t>
        </is>
      </c>
      <c r="B141" s="1" t="n">
        <v>44447</v>
      </c>
      <c r="C141" s="1" t="n">
        <v>45911</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45911</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45911</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45911</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65887-2021</t>
        </is>
      </c>
      <c r="B145" s="1" t="n">
        <v>44517</v>
      </c>
      <c r="C145" s="1" t="n">
        <v>45911</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41056-2022</t>
        </is>
      </c>
      <c r="B146" s="1" t="n">
        <v>44824</v>
      </c>
      <c r="C146" s="1" t="n">
        <v>45911</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31660-2021</t>
        </is>
      </c>
      <c r="B147" s="1" t="n">
        <v>44369</v>
      </c>
      <c r="C147" s="1" t="n">
        <v>45911</v>
      </c>
      <c r="D147" t="inlineStr">
        <is>
          <t>KALMAR LÄN</t>
        </is>
      </c>
      <c r="E147" t="inlineStr">
        <is>
          <t>VIMMERBY</t>
        </is>
      </c>
      <c r="G147" t="n">
        <v>4.2</v>
      </c>
      <c r="H147" t="n">
        <v>0</v>
      </c>
      <c r="I147" t="n">
        <v>0</v>
      </c>
      <c r="J147" t="n">
        <v>0</v>
      </c>
      <c r="K147" t="n">
        <v>0</v>
      </c>
      <c r="L147" t="n">
        <v>0</v>
      </c>
      <c r="M147" t="n">
        <v>0</v>
      </c>
      <c r="N147" t="n">
        <v>0</v>
      </c>
      <c r="O147" t="n">
        <v>0</v>
      </c>
      <c r="P147" t="n">
        <v>0</v>
      </c>
      <c r="Q147" t="n">
        <v>0</v>
      </c>
      <c r="R147" s="2" t="inlineStr"/>
    </row>
    <row r="148" ht="15" customHeight="1">
      <c r="A148" t="inlineStr">
        <is>
          <t>A 27455-2022</t>
        </is>
      </c>
      <c r="B148" s="1" t="n">
        <v>44742</v>
      </c>
      <c r="C148" s="1" t="n">
        <v>45911</v>
      </c>
      <c r="D148" t="inlineStr">
        <is>
          <t>KALMAR LÄN</t>
        </is>
      </c>
      <c r="E148" t="inlineStr">
        <is>
          <t>VIMMERBY</t>
        </is>
      </c>
      <c r="G148" t="n">
        <v>1.6</v>
      </c>
      <c r="H148" t="n">
        <v>0</v>
      </c>
      <c r="I148" t="n">
        <v>0</v>
      </c>
      <c r="J148" t="n">
        <v>0</v>
      </c>
      <c r="K148" t="n">
        <v>0</v>
      </c>
      <c r="L148" t="n">
        <v>0</v>
      </c>
      <c r="M148" t="n">
        <v>0</v>
      </c>
      <c r="N148" t="n">
        <v>0</v>
      </c>
      <c r="O148" t="n">
        <v>0</v>
      </c>
      <c r="P148" t="n">
        <v>0</v>
      </c>
      <c r="Q148" t="n">
        <v>0</v>
      </c>
      <c r="R148" s="2" t="inlineStr"/>
    </row>
    <row r="149" ht="15" customHeight="1">
      <c r="A149" t="inlineStr">
        <is>
          <t>A 47769-2022</t>
        </is>
      </c>
      <c r="B149" s="1" t="n">
        <v>44854</v>
      </c>
      <c r="C149" s="1" t="n">
        <v>45911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42850-2022</t>
        </is>
      </c>
      <c r="B150" s="1" t="n">
        <v>44832.67608796297</v>
      </c>
      <c r="C150" s="1" t="n">
        <v>45911</v>
      </c>
      <c r="D150" t="inlineStr">
        <is>
          <t>KALMAR LÄN</t>
        </is>
      </c>
      <c r="E150" t="inlineStr">
        <is>
          <t>VIMMERBY</t>
        </is>
      </c>
      <c r="G150" t="n">
        <v>5.9</v>
      </c>
      <c r="H150" t="n">
        <v>0</v>
      </c>
      <c r="I150" t="n">
        <v>0</v>
      </c>
      <c r="J150" t="n">
        <v>0</v>
      </c>
      <c r="K150" t="n">
        <v>0</v>
      </c>
      <c r="L150" t="n">
        <v>0</v>
      </c>
      <c r="M150" t="n">
        <v>0</v>
      </c>
      <c r="N150" t="n">
        <v>0</v>
      </c>
      <c r="O150" t="n">
        <v>0</v>
      </c>
      <c r="P150" t="n">
        <v>0</v>
      </c>
      <c r="Q150" t="n">
        <v>0</v>
      </c>
      <c r="R150" s="2" t="inlineStr"/>
    </row>
    <row r="151" ht="15" customHeight="1">
      <c r="A151" t="inlineStr">
        <is>
          <t>A 39959-2022</t>
        </is>
      </c>
      <c r="B151" s="1" t="n">
        <v>44819</v>
      </c>
      <c r="C151" s="1" t="n">
        <v>45911</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3330-2021</t>
        </is>
      </c>
      <c r="B152" s="1" t="n">
        <v>44217.79856481482</v>
      </c>
      <c r="C152" s="1" t="n">
        <v>45911</v>
      </c>
      <c r="D152" t="inlineStr">
        <is>
          <t>KALMAR LÄN</t>
        </is>
      </c>
      <c r="E152" t="inlineStr">
        <is>
          <t>VIMMERBY</t>
        </is>
      </c>
      <c r="G152" t="n">
        <v>11.1</v>
      </c>
      <c r="H152" t="n">
        <v>0</v>
      </c>
      <c r="I152" t="n">
        <v>0</v>
      </c>
      <c r="J152" t="n">
        <v>0</v>
      </c>
      <c r="K152" t="n">
        <v>0</v>
      </c>
      <c r="L152" t="n">
        <v>0</v>
      </c>
      <c r="M152" t="n">
        <v>0</v>
      </c>
      <c r="N152" t="n">
        <v>0</v>
      </c>
      <c r="O152" t="n">
        <v>0</v>
      </c>
      <c r="P152" t="n">
        <v>0</v>
      </c>
      <c r="Q152" t="n">
        <v>0</v>
      </c>
      <c r="R152" s="2" t="inlineStr"/>
    </row>
    <row r="153" ht="15" customHeight="1">
      <c r="A153" t="inlineStr">
        <is>
          <t>A 48377-2021</t>
        </is>
      </c>
      <c r="B153" s="1" t="n">
        <v>44451.8375</v>
      </c>
      <c r="C153" s="1" t="n">
        <v>45911</v>
      </c>
      <c r="D153" t="inlineStr">
        <is>
          <t>KALMAR LÄN</t>
        </is>
      </c>
      <c r="E153" t="inlineStr">
        <is>
          <t>VIMMERBY</t>
        </is>
      </c>
      <c r="G153" t="n">
        <v>0.4</v>
      </c>
      <c r="H153" t="n">
        <v>0</v>
      </c>
      <c r="I153" t="n">
        <v>0</v>
      </c>
      <c r="J153" t="n">
        <v>0</v>
      </c>
      <c r="K153" t="n">
        <v>0</v>
      </c>
      <c r="L153" t="n">
        <v>0</v>
      </c>
      <c r="M153" t="n">
        <v>0</v>
      </c>
      <c r="N153" t="n">
        <v>0</v>
      </c>
      <c r="O153" t="n">
        <v>0</v>
      </c>
      <c r="P153" t="n">
        <v>0</v>
      </c>
      <c r="Q153" t="n">
        <v>0</v>
      </c>
      <c r="R153" s="2" t="inlineStr"/>
    </row>
    <row r="154" ht="15" customHeight="1">
      <c r="A154" t="inlineStr">
        <is>
          <t>A 40472-2022</t>
        </is>
      </c>
      <c r="B154" s="1" t="n">
        <v>44823</v>
      </c>
      <c r="C154" s="1" t="n">
        <v>45911</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10086-2022</t>
        </is>
      </c>
      <c r="B155" s="1" t="n">
        <v>44621</v>
      </c>
      <c r="C155" s="1" t="n">
        <v>45911</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45911</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45911</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45911</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45911</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7917-2022</t>
        </is>
      </c>
      <c r="B160" s="1" t="n">
        <v>44608</v>
      </c>
      <c r="C160" s="1" t="n">
        <v>45911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65564-2020</t>
        </is>
      </c>
      <c r="B161" s="1" t="n">
        <v>44172</v>
      </c>
      <c r="C161" s="1" t="n">
        <v>45911</v>
      </c>
      <c r="D161" t="inlineStr">
        <is>
          <t>KALMAR LÄN</t>
        </is>
      </c>
      <c r="E161" t="inlineStr">
        <is>
          <t>VIMMERBY</t>
        </is>
      </c>
      <c r="G161" t="n">
        <v>4.1</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45911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47208-2021</t>
        </is>
      </c>
      <c r="B163" s="1" t="n">
        <v>44447.34237268518</v>
      </c>
      <c r="C163" s="1" t="n">
        <v>45911</v>
      </c>
      <c r="D163" t="inlineStr">
        <is>
          <t>KALMAR LÄN</t>
        </is>
      </c>
      <c r="E163" t="inlineStr">
        <is>
          <t>VIMMERBY</t>
        </is>
      </c>
      <c r="G163" t="n">
        <v>1.4</v>
      </c>
      <c r="H163" t="n">
        <v>0</v>
      </c>
      <c r="I163" t="n">
        <v>0</v>
      </c>
      <c r="J163" t="n">
        <v>0</v>
      </c>
      <c r="K163" t="n">
        <v>0</v>
      </c>
      <c r="L163" t="n">
        <v>0</v>
      </c>
      <c r="M163" t="n">
        <v>0</v>
      </c>
      <c r="N163" t="n">
        <v>0</v>
      </c>
      <c r="O163" t="n">
        <v>0</v>
      </c>
      <c r="P163" t="n">
        <v>0</v>
      </c>
      <c r="Q163" t="n">
        <v>0</v>
      </c>
      <c r="R163" s="2" t="inlineStr"/>
    </row>
    <row r="164" ht="15" customHeight="1">
      <c r="A164" t="inlineStr">
        <is>
          <t>A 16705-2021</t>
        </is>
      </c>
      <c r="B164" s="1" t="n">
        <v>44294</v>
      </c>
      <c r="C164" s="1" t="n">
        <v>45911</v>
      </c>
      <c r="D164" t="inlineStr">
        <is>
          <t>KALMAR LÄN</t>
        </is>
      </c>
      <c r="E164" t="inlineStr">
        <is>
          <t>VIMMERBY</t>
        </is>
      </c>
      <c r="G164" t="n">
        <v>2.6</v>
      </c>
      <c r="H164" t="n">
        <v>0</v>
      </c>
      <c r="I164" t="n">
        <v>0</v>
      </c>
      <c r="J164" t="n">
        <v>0</v>
      </c>
      <c r="K164" t="n">
        <v>0</v>
      </c>
      <c r="L164" t="n">
        <v>0</v>
      </c>
      <c r="M164" t="n">
        <v>0</v>
      </c>
      <c r="N164" t="n">
        <v>0</v>
      </c>
      <c r="O164" t="n">
        <v>0</v>
      </c>
      <c r="P164" t="n">
        <v>0</v>
      </c>
      <c r="Q164" t="n">
        <v>0</v>
      </c>
      <c r="R164" s="2" t="inlineStr"/>
    </row>
    <row r="165" ht="15" customHeight="1">
      <c r="A165" t="inlineStr">
        <is>
          <t>A 51977-2020</t>
        </is>
      </c>
      <c r="B165" s="1" t="n">
        <v>44116</v>
      </c>
      <c r="C165" s="1" t="n">
        <v>45911</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9918-2022</t>
        </is>
      </c>
      <c r="B166" s="1" t="n">
        <v>44620</v>
      </c>
      <c r="C166" s="1" t="n">
        <v>45911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53145-2022</t>
        </is>
      </c>
      <c r="B167" s="1" t="n">
        <v>44876.48346064815</v>
      </c>
      <c r="C167" s="1" t="n">
        <v>45911</v>
      </c>
      <c r="D167" t="inlineStr">
        <is>
          <t>KALMAR LÄN</t>
        </is>
      </c>
      <c r="E167" t="inlineStr">
        <is>
          <t>VIMMERBY</t>
        </is>
      </c>
      <c r="G167" t="n">
        <v>0.4</v>
      </c>
      <c r="H167" t="n">
        <v>0</v>
      </c>
      <c r="I167" t="n">
        <v>0</v>
      </c>
      <c r="J167" t="n">
        <v>0</v>
      </c>
      <c r="K167" t="n">
        <v>0</v>
      </c>
      <c r="L167" t="n">
        <v>0</v>
      </c>
      <c r="M167" t="n">
        <v>0</v>
      </c>
      <c r="N167" t="n">
        <v>0</v>
      </c>
      <c r="O167" t="n">
        <v>0</v>
      </c>
      <c r="P167" t="n">
        <v>0</v>
      </c>
      <c r="Q167" t="n">
        <v>0</v>
      </c>
      <c r="R167" s="2" t="inlineStr"/>
    </row>
    <row r="168" ht="15" customHeight="1">
      <c r="A168" t="inlineStr">
        <is>
          <t>A 25738-2022</t>
        </is>
      </c>
      <c r="B168" s="1" t="n">
        <v>44733.43092592592</v>
      </c>
      <c r="C168" s="1" t="n">
        <v>45911</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56389-2021</t>
        </is>
      </c>
      <c r="B169" s="1" t="n">
        <v>44480</v>
      </c>
      <c r="C169" s="1" t="n">
        <v>45911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45528-2020</t>
        </is>
      </c>
      <c r="B170" s="1" t="n">
        <v>44089.78633101852</v>
      </c>
      <c r="C170" s="1" t="n">
        <v>45911</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618-2021</t>
        </is>
      </c>
      <c r="B171" s="1" t="n">
        <v>44203</v>
      </c>
      <c r="C171" s="1" t="n">
        <v>45911</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45911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67952-2021</t>
        </is>
      </c>
      <c r="B173" s="1" t="n">
        <v>44525.63913194444</v>
      </c>
      <c r="C173" s="1" t="n">
        <v>45911</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15191-2021</t>
        </is>
      </c>
      <c r="B174" s="1" t="n">
        <v>44284.42348379629</v>
      </c>
      <c r="C174" s="1" t="n">
        <v>45911</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45050-2020</t>
        </is>
      </c>
      <c r="B175" s="1" t="n">
        <v>44088</v>
      </c>
      <c r="C175" s="1" t="n">
        <v>45911</v>
      </c>
      <c r="D175" t="inlineStr">
        <is>
          <t>KALMAR LÄN</t>
        </is>
      </c>
      <c r="E175" t="inlineStr">
        <is>
          <t>VIMMERBY</t>
        </is>
      </c>
      <c r="G175" t="n">
        <v>1.7</v>
      </c>
      <c r="H175" t="n">
        <v>0</v>
      </c>
      <c r="I175" t="n">
        <v>0</v>
      </c>
      <c r="J175" t="n">
        <v>0</v>
      </c>
      <c r="K175" t="n">
        <v>0</v>
      </c>
      <c r="L175" t="n">
        <v>0</v>
      </c>
      <c r="M175" t="n">
        <v>0</v>
      </c>
      <c r="N175" t="n">
        <v>0</v>
      </c>
      <c r="O175" t="n">
        <v>0</v>
      </c>
      <c r="P175" t="n">
        <v>0</v>
      </c>
      <c r="Q175" t="n">
        <v>0</v>
      </c>
      <c r="R175" s="2" t="inlineStr"/>
    </row>
    <row r="176" ht="15" customHeight="1">
      <c r="A176" t="inlineStr">
        <is>
          <t>A 14521-2021</t>
        </is>
      </c>
      <c r="B176" s="1" t="n">
        <v>44279.64934027778</v>
      </c>
      <c r="C176" s="1" t="n">
        <v>45911</v>
      </c>
      <c r="D176" t="inlineStr">
        <is>
          <t>KALMAR LÄN</t>
        </is>
      </c>
      <c r="E176" t="inlineStr">
        <is>
          <t>VIMMERBY</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12241-2021</t>
        </is>
      </c>
      <c r="B177" s="1" t="n">
        <v>44266.7240625</v>
      </c>
      <c r="C177" s="1" t="n">
        <v>45911</v>
      </c>
      <c r="D177" t="inlineStr">
        <is>
          <t>KALMAR LÄN</t>
        </is>
      </c>
      <c r="E177" t="inlineStr">
        <is>
          <t>VIMMERBY</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15533-2022</t>
        </is>
      </c>
      <c r="B178" s="1" t="n">
        <v>44662</v>
      </c>
      <c r="C178" s="1" t="n">
        <v>45911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45054-2020</t>
        </is>
      </c>
      <c r="B179" s="1" t="n">
        <v>44088</v>
      </c>
      <c r="C179" s="1" t="n">
        <v>45911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46527-2020</t>
        </is>
      </c>
      <c r="B180" s="1" t="n">
        <v>44095</v>
      </c>
      <c r="C180" s="1" t="n">
        <v>45911</v>
      </c>
      <c r="D180" t="inlineStr">
        <is>
          <t>KALMAR LÄN</t>
        </is>
      </c>
      <c r="E180" t="inlineStr">
        <is>
          <t>VIMMERBY</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12662-2021</t>
        </is>
      </c>
      <c r="B181" s="1" t="n">
        <v>44270.49743055556</v>
      </c>
      <c r="C181" s="1" t="n">
        <v>45911</v>
      </c>
      <c r="D181" t="inlineStr">
        <is>
          <t>KALMAR LÄN</t>
        </is>
      </c>
      <c r="E181" t="inlineStr">
        <is>
          <t>VIMMERBY</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40971-2021</t>
        </is>
      </c>
      <c r="B182" s="1" t="n">
        <v>44421</v>
      </c>
      <c r="C182" s="1" t="n">
        <v>45911</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68744-2020</t>
        </is>
      </c>
      <c r="B183" s="1" t="n">
        <v>44186</v>
      </c>
      <c r="C183" s="1" t="n">
        <v>45911</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32603-2021</t>
        </is>
      </c>
      <c r="B184" s="1" t="n">
        <v>44375.38789351852</v>
      </c>
      <c r="C184" s="1" t="n">
        <v>45911</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45911</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165-2022</t>
        </is>
      </c>
      <c r="B186" s="1" t="n">
        <v>44564</v>
      </c>
      <c r="C186" s="1" t="n">
        <v>45911</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45911</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36117-2021</t>
        </is>
      </c>
      <c r="B188" s="1" t="n">
        <v>44386</v>
      </c>
      <c r="C188" s="1" t="n">
        <v>45911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42521-2021</t>
        </is>
      </c>
      <c r="B189" s="1" t="n">
        <v>44427</v>
      </c>
      <c r="C189" s="1" t="n">
        <v>45911</v>
      </c>
      <c r="D189" t="inlineStr">
        <is>
          <t>KALMAR LÄN</t>
        </is>
      </c>
      <c r="E189" t="inlineStr">
        <is>
          <t>VIMMERBY</t>
        </is>
      </c>
      <c r="G189" t="n">
        <v>5.4</v>
      </c>
      <c r="H189" t="n">
        <v>0</v>
      </c>
      <c r="I189" t="n">
        <v>0</v>
      </c>
      <c r="J189" t="n">
        <v>0</v>
      </c>
      <c r="K189" t="n">
        <v>0</v>
      </c>
      <c r="L189" t="n">
        <v>0</v>
      </c>
      <c r="M189" t="n">
        <v>0</v>
      </c>
      <c r="N189" t="n">
        <v>0</v>
      </c>
      <c r="O189" t="n">
        <v>0</v>
      </c>
      <c r="P189" t="n">
        <v>0</v>
      </c>
      <c r="Q189" t="n">
        <v>0</v>
      </c>
      <c r="R189" s="2" t="inlineStr"/>
    </row>
    <row r="190" ht="15" customHeight="1">
      <c r="A190" t="inlineStr">
        <is>
          <t>A 23825-2022</t>
        </is>
      </c>
      <c r="B190" s="1" t="n">
        <v>44722.48768518519</v>
      </c>
      <c r="C190" s="1" t="n">
        <v>45911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45911</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45911</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45911</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34040-2021</t>
        </is>
      </c>
      <c r="B194" s="1" t="n">
        <v>44379</v>
      </c>
      <c r="C194" s="1" t="n">
        <v>45911</v>
      </c>
      <c r="D194" t="inlineStr">
        <is>
          <t>KALMAR LÄN</t>
        </is>
      </c>
      <c r="E194" t="inlineStr">
        <is>
          <t>VIMMERBY</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15200-2021</t>
        </is>
      </c>
      <c r="B195" s="1" t="n">
        <v>44284.44574074074</v>
      </c>
      <c r="C195" s="1" t="n">
        <v>45911</v>
      </c>
      <c r="D195" t="inlineStr">
        <is>
          <t>KALMAR LÄN</t>
        </is>
      </c>
      <c r="E195" t="inlineStr">
        <is>
          <t>VIMMERBY</t>
        </is>
      </c>
      <c r="G195" t="n">
        <v>1.2</v>
      </c>
      <c r="H195" t="n">
        <v>0</v>
      </c>
      <c r="I195" t="n">
        <v>0</v>
      </c>
      <c r="J195" t="n">
        <v>0</v>
      </c>
      <c r="K195" t="n">
        <v>0</v>
      </c>
      <c r="L195" t="n">
        <v>0</v>
      </c>
      <c r="M195" t="n">
        <v>0</v>
      </c>
      <c r="N195" t="n">
        <v>0</v>
      </c>
      <c r="O195" t="n">
        <v>0</v>
      </c>
      <c r="P195" t="n">
        <v>0</v>
      </c>
      <c r="Q195" t="n">
        <v>0</v>
      </c>
      <c r="R195" s="2" t="inlineStr"/>
    </row>
    <row r="196" ht="15" customHeight="1">
      <c r="A196" t="inlineStr">
        <is>
          <t>A 54065-2021</t>
        </is>
      </c>
      <c r="B196" s="1" t="n">
        <v>44470.44232638889</v>
      </c>
      <c r="C196" s="1" t="n">
        <v>45911</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31824-2022</t>
        </is>
      </c>
      <c r="B197" s="1" t="n">
        <v>44776</v>
      </c>
      <c r="C197" s="1" t="n">
        <v>45911</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11733-2022</t>
        </is>
      </c>
      <c r="B198" s="1" t="n">
        <v>44634</v>
      </c>
      <c r="C198" s="1" t="n">
        <v>45911</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12107-2022</t>
        </is>
      </c>
      <c r="B199" s="1" t="n">
        <v>44636</v>
      </c>
      <c r="C199" s="1" t="n">
        <v>45911</v>
      </c>
      <c r="D199" t="inlineStr">
        <is>
          <t>KALMAR LÄN</t>
        </is>
      </c>
      <c r="E199" t="inlineStr">
        <is>
          <t>VIMMERBY</t>
        </is>
      </c>
      <c r="G199" t="n">
        <v>1.8</v>
      </c>
      <c r="H199" t="n">
        <v>0</v>
      </c>
      <c r="I199" t="n">
        <v>0</v>
      </c>
      <c r="J199" t="n">
        <v>0</v>
      </c>
      <c r="K199" t="n">
        <v>0</v>
      </c>
      <c r="L199" t="n">
        <v>0</v>
      </c>
      <c r="M199" t="n">
        <v>0</v>
      </c>
      <c r="N199" t="n">
        <v>0</v>
      </c>
      <c r="O199" t="n">
        <v>0</v>
      </c>
      <c r="P199" t="n">
        <v>0</v>
      </c>
      <c r="Q199" t="n">
        <v>0</v>
      </c>
      <c r="R199" s="2" t="inlineStr"/>
    </row>
    <row r="200" ht="15" customHeight="1">
      <c r="A200" t="inlineStr">
        <is>
          <t>A 46964-2022</t>
        </is>
      </c>
      <c r="B200" s="1" t="n">
        <v>44851.95016203704</v>
      </c>
      <c r="C200" s="1" t="n">
        <v>45911</v>
      </c>
      <c r="D200" t="inlineStr">
        <is>
          <t>KALMAR LÄN</t>
        </is>
      </c>
      <c r="E200" t="inlineStr">
        <is>
          <t>VIMMERBY</t>
        </is>
      </c>
      <c r="G200" t="n">
        <v>0.2</v>
      </c>
      <c r="H200" t="n">
        <v>0</v>
      </c>
      <c r="I200" t="n">
        <v>0</v>
      </c>
      <c r="J200" t="n">
        <v>0</v>
      </c>
      <c r="K200" t="n">
        <v>0</v>
      </c>
      <c r="L200" t="n">
        <v>0</v>
      </c>
      <c r="M200" t="n">
        <v>0</v>
      </c>
      <c r="N200" t="n">
        <v>0</v>
      </c>
      <c r="O200" t="n">
        <v>0</v>
      </c>
      <c r="P200" t="n">
        <v>0</v>
      </c>
      <c r="Q200" t="n">
        <v>0</v>
      </c>
      <c r="R200" s="2" t="inlineStr"/>
    </row>
    <row r="201" ht="15" customHeight="1">
      <c r="A201" t="inlineStr">
        <is>
          <t>A 7804-2022</t>
        </is>
      </c>
      <c r="B201" s="1" t="n">
        <v>44608.50458333334</v>
      </c>
      <c r="C201" s="1" t="n">
        <v>45911</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39225-2022</t>
        </is>
      </c>
      <c r="B202" s="1" t="n">
        <v>44817.57988425926</v>
      </c>
      <c r="C202" s="1" t="n">
        <v>45911</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39042-2022</t>
        </is>
      </c>
      <c r="B203" s="1" t="n">
        <v>44817</v>
      </c>
      <c r="C203" s="1" t="n">
        <v>45911</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16602-2021</t>
        </is>
      </c>
      <c r="B204" s="1" t="n">
        <v>44294</v>
      </c>
      <c r="C204" s="1" t="n">
        <v>45911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16607-2021</t>
        </is>
      </c>
      <c r="B205" s="1" t="n">
        <v>44294</v>
      </c>
      <c r="C205" s="1" t="n">
        <v>45911</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17029-2022</t>
        </is>
      </c>
      <c r="B206" s="1" t="n">
        <v>44676.85248842592</v>
      </c>
      <c r="C206" s="1" t="n">
        <v>45911</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7167-2022</t>
        </is>
      </c>
      <c r="B207" s="1" t="n">
        <v>44604</v>
      </c>
      <c r="C207" s="1" t="n">
        <v>45911</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16288-2021</t>
        </is>
      </c>
      <c r="B208" s="1" t="n">
        <v>44292</v>
      </c>
      <c r="C208" s="1" t="n">
        <v>45911</v>
      </c>
      <c r="D208" t="inlineStr">
        <is>
          <t>KALMAR LÄN</t>
        </is>
      </c>
      <c r="E208" t="inlineStr">
        <is>
          <t>VIMMERBY</t>
        </is>
      </c>
      <c r="F208" t="inlineStr">
        <is>
          <t>Övriga Aktiebolag</t>
        </is>
      </c>
      <c r="G208" t="n">
        <v>27.6</v>
      </c>
      <c r="H208" t="n">
        <v>0</v>
      </c>
      <c r="I208" t="n">
        <v>0</v>
      </c>
      <c r="J208" t="n">
        <v>0</v>
      </c>
      <c r="K208" t="n">
        <v>0</v>
      </c>
      <c r="L208" t="n">
        <v>0</v>
      </c>
      <c r="M208" t="n">
        <v>0</v>
      </c>
      <c r="N208" t="n">
        <v>0</v>
      </c>
      <c r="O208" t="n">
        <v>0</v>
      </c>
      <c r="P208" t="n">
        <v>0</v>
      </c>
      <c r="Q208" t="n">
        <v>0</v>
      </c>
      <c r="R208" s="2" t="inlineStr"/>
    </row>
    <row r="209" ht="15" customHeight="1">
      <c r="A209" t="inlineStr">
        <is>
          <t>A 57948-2020</t>
        </is>
      </c>
      <c r="B209" s="1" t="n">
        <v>44142</v>
      </c>
      <c r="C209" s="1" t="n">
        <v>45911</v>
      </c>
      <c r="D209" t="inlineStr">
        <is>
          <t>KALMAR LÄN</t>
        </is>
      </c>
      <c r="E209" t="inlineStr">
        <is>
          <t>VIMMERBY</t>
        </is>
      </c>
      <c r="G209" t="n">
        <v>7.1</v>
      </c>
      <c r="H209" t="n">
        <v>0</v>
      </c>
      <c r="I209" t="n">
        <v>0</v>
      </c>
      <c r="J209" t="n">
        <v>0</v>
      </c>
      <c r="K209" t="n">
        <v>0</v>
      </c>
      <c r="L209" t="n">
        <v>0</v>
      </c>
      <c r="M209" t="n">
        <v>0</v>
      </c>
      <c r="N209" t="n">
        <v>0</v>
      </c>
      <c r="O209" t="n">
        <v>0</v>
      </c>
      <c r="P209" t="n">
        <v>0</v>
      </c>
      <c r="Q209" t="n">
        <v>0</v>
      </c>
      <c r="R209" s="2" t="inlineStr"/>
    </row>
    <row r="210" ht="15" customHeight="1">
      <c r="A210" t="inlineStr">
        <is>
          <t>A 13180-2022</t>
        </is>
      </c>
      <c r="B210" s="1" t="n">
        <v>44644</v>
      </c>
      <c r="C210" s="1" t="n">
        <v>45911</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29441-2024</t>
        </is>
      </c>
      <c r="B211" s="1" t="n">
        <v>45483.82834490741</v>
      </c>
      <c r="C211" s="1" t="n">
        <v>45911</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25728-2023</t>
        </is>
      </c>
      <c r="B212" s="1" t="n">
        <v>45090.38012731481</v>
      </c>
      <c r="C212" s="1" t="n">
        <v>45911</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18356-2021</t>
        </is>
      </c>
      <c r="B213" s="1" t="n">
        <v>44305</v>
      </c>
      <c r="C213" s="1" t="n">
        <v>45911</v>
      </c>
      <c r="D213" t="inlineStr">
        <is>
          <t>KALMAR LÄN</t>
        </is>
      </c>
      <c r="E213" t="inlineStr">
        <is>
          <t>VIMMERBY</t>
        </is>
      </c>
      <c r="G213" t="n">
        <v>3.4</v>
      </c>
      <c r="H213" t="n">
        <v>0</v>
      </c>
      <c r="I213" t="n">
        <v>0</v>
      </c>
      <c r="J213" t="n">
        <v>0</v>
      </c>
      <c r="K213" t="n">
        <v>0</v>
      </c>
      <c r="L213" t="n">
        <v>0</v>
      </c>
      <c r="M213" t="n">
        <v>0</v>
      </c>
      <c r="N213" t="n">
        <v>0</v>
      </c>
      <c r="O213" t="n">
        <v>0</v>
      </c>
      <c r="P213" t="n">
        <v>0</v>
      </c>
      <c r="Q213" t="n">
        <v>0</v>
      </c>
      <c r="R213" s="2" t="inlineStr"/>
    </row>
    <row r="214" ht="15" customHeight="1">
      <c r="A214" t="inlineStr">
        <is>
          <t>A 18276-2021</t>
        </is>
      </c>
      <c r="B214" s="1" t="n">
        <v>44305.40046296296</v>
      </c>
      <c r="C214" s="1" t="n">
        <v>45911</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1987-2024</t>
        </is>
      </c>
      <c r="B215" s="1" t="n">
        <v>45308.61152777778</v>
      </c>
      <c r="C215" s="1" t="n">
        <v>45911</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527-2024</t>
        </is>
      </c>
      <c r="B216" s="1" t="n">
        <v>45299.47513888889</v>
      </c>
      <c r="C216" s="1" t="n">
        <v>45911</v>
      </c>
      <c r="D216" t="inlineStr">
        <is>
          <t>KALMAR LÄN</t>
        </is>
      </c>
      <c r="E216" t="inlineStr">
        <is>
          <t>VIMMERBY</t>
        </is>
      </c>
      <c r="G216" t="n">
        <v>2.2</v>
      </c>
      <c r="H216" t="n">
        <v>0</v>
      </c>
      <c r="I216" t="n">
        <v>0</v>
      </c>
      <c r="J216" t="n">
        <v>0</v>
      </c>
      <c r="K216" t="n">
        <v>0</v>
      </c>
      <c r="L216" t="n">
        <v>0</v>
      </c>
      <c r="M216" t="n">
        <v>0</v>
      </c>
      <c r="N216" t="n">
        <v>0</v>
      </c>
      <c r="O216" t="n">
        <v>0</v>
      </c>
      <c r="P216" t="n">
        <v>0</v>
      </c>
      <c r="Q216" t="n">
        <v>0</v>
      </c>
      <c r="R216" s="2" t="inlineStr"/>
    </row>
    <row r="217" ht="15" customHeight="1">
      <c r="A217" t="inlineStr">
        <is>
          <t>A 37192-2024</t>
        </is>
      </c>
      <c r="B217" s="1" t="n">
        <v>45539.66027777778</v>
      </c>
      <c r="C217" s="1" t="n">
        <v>45911</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37187-2024</t>
        </is>
      </c>
      <c r="B218" s="1" t="n">
        <v>45539.65212962963</v>
      </c>
      <c r="C218" s="1" t="n">
        <v>45911</v>
      </c>
      <c r="D218" t="inlineStr">
        <is>
          <t>KALMAR LÄN</t>
        </is>
      </c>
      <c r="E218" t="inlineStr">
        <is>
          <t>VIMMERBY</t>
        </is>
      </c>
      <c r="G218" t="n">
        <v>2.7</v>
      </c>
      <c r="H218" t="n">
        <v>0</v>
      </c>
      <c r="I218" t="n">
        <v>0</v>
      </c>
      <c r="J218" t="n">
        <v>0</v>
      </c>
      <c r="K218" t="n">
        <v>0</v>
      </c>
      <c r="L218" t="n">
        <v>0</v>
      </c>
      <c r="M218" t="n">
        <v>0</v>
      </c>
      <c r="N218" t="n">
        <v>0</v>
      </c>
      <c r="O218" t="n">
        <v>0</v>
      </c>
      <c r="P218" t="n">
        <v>0</v>
      </c>
      <c r="Q218" t="n">
        <v>0</v>
      </c>
      <c r="R218" s="2" t="inlineStr"/>
    </row>
    <row r="219" ht="15" customHeight="1">
      <c r="A219" t="inlineStr">
        <is>
          <t>A 47063-2022</t>
        </is>
      </c>
      <c r="B219" s="1" t="n">
        <v>44852</v>
      </c>
      <c r="C219" s="1" t="n">
        <v>45911</v>
      </c>
      <c r="D219" t="inlineStr">
        <is>
          <t>KALMAR LÄN</t>
        </is>
      </c>
      <c r="E219" t="inlineStr">
        <is>
          <t>VIMMERBY</t>
        </is>
      </c>
      <c r="G219" t="n">
        <v>2.5</v>
      </c>
      <c r="H219" t="n">
        <v>0</v>
      </c>
      <c r="I219" t="n">
        <v>0</v>
      </c>
      <c r="J219" t="n">
        <v>0</v>
      </c>
      <c r="K219" t="n">
        <v>0</v>
      </c>
      <c r="L219" t="n">
        <v>0</v>
      </c>
      <c r="M219" t="n">
        <v>0</v>
      </c>
      <c r="N219" t="n">
        <v>0</v>
      </c>
      <c r="O219" t="n">
        <v>0</v>
      </c>
      <c r="P219" t="n">
        <v>0</v>
      </c>
      <c r="Q219" t="n">
        <v>0</v>
      </c>
      <c r="R219" s="2" t="inlineStr"/>
    </row>
    <row r="220" ht="15" customHeight="1">
      <c r="A220" t="inlineStr">
        <is>
          <t>A 12819-2024</t>
        </is>
      </c>
      <c r="B220" s="1" t="n">
        <v>45384.66917824074</v>
      </c>
      <c r="C220" s="1" t="n">
        <v>45911</v>
      </c>
      <c r="D220" t="inlineStr">
        <is>
          <t>KALMAR LÄN</t>
        </is>
      </c>
      <c r="E220" t="inlineStr">
        <is>
          <t>VIMMERBY</t>
        </is>
      </c>
      <c r="G220" t="n">
        <v>5.1</v>
      </c>
      <c r="H220" t="n">
        <v>0</v>
      </c>
      <c r="I220" t="n">
        <v>0</v>
      </c>
      <c r="J220" t="n">
        <v>0</v>
      </c>
      <c r="K220" t="n">
        <v>0</v>
      </c>
      <c r="L220" t="n">
        <v>0</v>
      </c>
      <c r="M220" t="n">
        <v>0</v>
      </c>
      <c r="N220" t="n">
        <v>0</v>
      </c>
      <c r="O220" t="n">
        <v>0</v>
      </c>
      <c r="P220" t="n">
        <v>0</v>
      </c>
      <c r="Q220" t="n">
        <v>0</v>
      </c>
      <c r="R220" s="2" t="inlineStr"/>
    </row>
    <row r="221" ht="15" customHeight="1">
      <c r="A221" t="inlineStr">
        <is>
          <t>A 12630-2023</t>
        </is>
      </c>
      <c r="B221" s="1" t="n">
        <v>45000.47998842593</v>
      </c>
      <c r="C221" s="1" t="n">
        <v>45911</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22399-2025</t>
        </is>
      </c>
      <c r="B222" s="1" t="n">
        <v>45786.52996527778</v>
      </c>
      <c r="C222" s="1" t="n">
        <v>45911</v>
      </c>
      <c r="D222" t="inlineStr">
        <is>
          <t>KALMAR LÄN</t>
        </is>
      </c>
      <c r="E222" t="inlineStr">
        <is>
          <t>VIMMERBY</t>
        </is>
      </c>
      <c r="G222" t="n">
        <v>2.1</v>
      </c>
      <c r="H222" t="n">
        <v>0</v>
      </c>
      <c r="I222" t="n">
        <v>0</v>
      </c>
      <c r="J222" t="n">
        <v>0</v>
      </c>
      <c r="K222" t="n">
        <v>0</v>
      </c>
      <c r="L222" t="n">
        <v>0</v>
      </c>
      <c r="M222" t="n">
        <v>0</v>
      </c>
      <c r="N222" t="n">
        <v>0</v>
      </c>
      <c r="O222" t="n">
        <v>0</v>
      </c>
      <c r="P222" t="n">
        <v>0</v>
      </c>
      <c r="Q222" t="n">
        <v>0</v>
      </c>
      <c r="R222" s="2" t="inlineStr"/>
    </row>
    <row r="223" ht="15" customHeight="1">
      <c r="A223" t="inlineStr">
        <is>
          <t>A 39584-2024</t>
        </is>
      </c>
      <c r="B223" s="1" t="n">
        <v>45552.36759259259</v>
      </c>
      <c r="C223" s="1" t="n">
        <v>45911</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27705-2023</t>
        </is>
      </c>
      <c r="B224" s="1" t="n">
        <v>45098.30535879629</v>
      </c>
      <c r="C224" s="1" t="n">
        <v>45911</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45911</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52435-2021</t>
        </is>
      </c>
      <c r="B226" s="1" t="n">
        <v>44466.34962962963</v>
      </c>
      <c r="C226" s="1" t="n">
        <v>45911</v>
      </c>
      <c r="D226" t="inlineStr">
        <is>
          <t>KALMAR LÄN</t>
        </is>
      </c>
      <c r="E226" t="inlineStr">
        <is>
          <t>VIMMERBY</t>
        </is>
      </c>
      <c r="G226" t="n">
        <v>2.8</v>
      </c>
      <c r="H226" t="n">
        <v>0</v>
      </c>
      <c r="I226" t="n">
        <v>0</v>
      </c>
      <c r="J226" t="n">
        <v>0</v>
      </c>
      <c r="K226" t="n">
        <v>0</v>
      </c>
      <c r="L226" t="n">
        <v>0</v>
      </c>
      <c r="M226" t="n">
        <v>0</v>
      </c>
      <c r="N226" t="n">
        <v>0</v>
      </c>
      <c r="O226" t="n">
        <v>0</v>
      </c>
      <c r="P226" t="n">
        <v>0</v>
      </c>
      <c r="Q226" t="n">
        <v>0</v>
      </c>
      <c r="R226" s="2" t="inlineStr"/>
    </row>
    <row r="227" ht="15" customHeight="1">
      <c r="A227" t="inlineStr">
        <is>
          <t>A 11073-2023</t>
        </is>
      </c>
      <c r="B227" s="1" t="n">
        <v>44992</v>
      </c>
      <c r="C227" s="1" t="n">
        <v>45911</v>
      </c>
      <c r="D227" t="inlineStr">
        <is>
          <t>KALMAR LÄN</t>
        </is>
      </c>
      <c r="E227" t="inlineStr">
        <is>
          <t>VIMMERBY</t>
        </is>
      </c>
      <c r="F227" t="inlineStr">
        <is>
          <t>Sveaskog</t>
        </is>
      </c>
      <c r="G227" t="n">
        <v>1.2</v>
      </c>
      <c r="H227" t="n">
        <v>0</v>
      </c>
      <c r="I227" t="n">
        <v>0</v>
      </c>
      <c r="J227" t="n">
        <v>0</v>
      </c>
      <c r="K227" t="n">
        <v>0</v>
      </c>
      <c r="L227" t="n">
        <v>0</v>
      </c>
      <c r="M227" t="n">
        <v>0</v>
      </c>
      <c r="N227" t="n">
        <v>0</v>
      </c>
      <c r="O227" t="n">
        <v>0</v>
      </c>
      <c r="P227" t="n">
        <v>0</v>
      </c>
      <c r="Q227" t="n">
        <v>0</v>
      </c>
      <c r="R227" s="2" t="inlineStr"/>
    </row>
    <row r="228" ht="15" customHeight="1">
      <c r="A228" t="inlineStr">
        <is>
          <t>A 29093-2023</t>
        </is>
      </c>
      <c r="B228" s="1" t="n">
        <v>45105</v>
      </c>
      <c r="C228" s="1" t="n">
        <v>45911</v>
      </c>
      <c r="D228" t="inlineStr">
        <is>
          <t>KALMAR LÄN</t>
        </is>
      </c>
      <c r="E228" t="inlineStr">
        <is>
          <t>VIMMERBY</t>
        </is>
      </c>
      <c r="G228" t="n">
        <v>2.9</v>
      </c>
      <c r="H228" t="n">
        <v>0</v>
      </c>
      <c r="I228" t="n">
        <v>0</v>
      </c>
      <c r="J228" t="n">
        <v>0</v>
      </c>
      <c r="K228" t="n">
        <v>0</v>
      </c>
      <c r="L228" t="n">
        <v>0</v>
      </c>
      <c r="M228" t="n">
        <v>0</v>
      </c>
      <c r="N228" t="n">
        <v>0</v>
      </c>
      <c r="O228" t="n">
        <v>0</v>
      </c>
      <c r="P228" t="n">
        <v>0</v>
      </c>
      <c r="Q228" t="n">
        <v>0</v>
      </c>
      <c r="R228" s="2" t="inlineStr"/>
    </row>
    <row r="229" ht="15" customHeight="1">
      <c r="A229" t="inlineStr">
        <is>
          <t>A 14220-2021</t>
        </is>
      </c>
      <c r="B229" s="1" t="n">
        <v>44278.54855324074</v>
      </c>
      <c r="C229" s="1" t="n">
        <v>45911</v>
      </c>
      <c r="D229" t="inlineStr">
        <is>
          <t>KALMAR LÄN</t>
        </is>
      </c>
      <c r="E229" t="inlineStr">
        <is>
          <t>VIMMERBY</t>
        </is>
      </c>
      <c r="G229" t="n">
        <v>0.3</v>
      </c>
      <c r="H229" t="n">
        <v>0</v>
      </c>
      <c r="I229" t="n">
        <v>0</v>
      </c>
      <c r="J229" t="n">
        <v>0</v>
      </c>
      <c r="K229" t="n">
        <v>0</v>
      </c>
      <c r="L229" t="n">
        <v>0</v>
      </c>
      <c r="M229" t="n">
        <v>0</v>
      </c>
      <c r="N229" t="n">
        <v>0</v>
      </c>
      <c r="O229" t="n">
        <v>0</v>
      </c>
      <c r="P229" t="n">
        <v>0</v>
      </c>
      <c r="Q229" t="n">
        <v>0</v>
      </c>
      <c r="R229" s="2" t="inlineStr"/>
    </row>
    <row r="230" ht="15" customHeight="1">
      <c r="A230" t="inlineStr">
        <is>
          <t>A 31013-2023</t>
        </is>
      </c>
      <c r="B230" s="1" t="n">
        <v>45113.56574074074</v>
      </c>
      <c r="C230" s="1" t="n">
        <v>45911</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15388-2025</t>
        </is>
      </c>
      <c r="B231" s="1" t="n">
        <v>45747.42633101852</v>
      </c>
      <c r="C231" s="1" t="n">
        <v>45911</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15391-2025</t>
        </is>
      </c>
      <c r="B232" s="1" t="n">
        <v>45747.42958333333</v>
      </c>
      <c r="C232" s="1" t="n">
        <v>45911</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11303-2025</t>
        </is>
      </c>
      <c r="B233" s="1" t="n">
        <v>45726.44471064815</v>
      </c>
      <c r="C233" s="1" t="n">
        <v>45911</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59955-2023</t>
        </is>
      </c>
      <c r="B234" s="1" t="n">
        <v>45257.70313657408</v>
      </c>
      <c r="C234" s="1" t="n">
        <v>45911</v>
      </c>
      <c r="D234" t="inlineStr">
        <is>
          <t>KALMAR LÄN</t>
        </is>
      </c>
      <c r="E234" t="inlineStr">
        <is>
          <t>VIMMERBY</t>
        </is>
      </c>
      <c r="G234" t="n">
        <v>13.8</v>
      </c>
      <c r="H234" t="n">
        <v>0</v>
      </c>
      <c r="I234" t="n">
        <v>0</v>
      </c>
      <c r="J234" t="n">
        <v>0</v>
      </c>
      <c r="K234" t="n">
        <v>0</v>
      </c>
      <c r="L234" t="n">
        <v>0</v>
      </c>
      <c r="M234" t="n">
        <v>0</v>
      </c>
      <c r="N234" t="n">
        <v>0</v>
      </c>
      <c r="O234" t="n">
        <v>0</v>
      </c>
      <c r="P234" t="n">
        <v>0</v>
      </c>
      <c r="Q234" t="n">
        <v>0</v>
      </c>
      <c r="R234" s="2" t="inlineStr"/>
    </row>
    <row r="235" ht="15" customHeight="1">
      <c r="A235" t="inlineStr">
        <is>
          <t>A 33359-2021</t>
        </is>
      </c>
      <c r="B235" s="1" t="n">
        <v>44377.49684027778</v>
      </c>
      <c r="C235" s="1" t="n">
        <v>45911</v>
      </c>
      <c r="D235" t="inlineStr">
        <is>
          <t>KALMAR LÄN</t>
        </is>
      </c>
      <c r="E235" t="inlineStr">
        <is>
          <t>VIMMERBY</t>
        </is>
      </c>
      <c r="F235" t="inlineStr">
        <is>
          <t>Kommuner</t>
        </is>
      </c>
      <c r="G235" t="n">
        <v>8</v>
      </c>
      <c r="H235" t="n">
        <v>0</v>
      </c>
      <c r="I235" t="n">
        <v>0</v>
      </c>
      <c r="J235" t="n">
        <v>0</v>
      </c>
      <c r="K235" t="n">
        <v>0</v>
      </c>
      <c r="L235" t="n">
        <v>0</v>
      </c>
      <c r="M235" t="n">
        <v>0</v>
      </c>
      <c r="N235" t="n">
        <v>0</v>
      </c>
      <c r="O235" t="n">
        <v>0</v>
      </c>
      <c r="P235" t="n">
        <v>0</v>
      </c>
      <c r="Q235" t="n">
        <v>0</v>
      </c>
      <c r="R235" s="2" t="inlineStr"/>
    </row>
    <row r="236" ht="15" customHeight="1">
      <c r="A236" t="inlineStr">
        <is>
          <t>A 43038-2022</t>
        </is>
      </c>
      <c r="B236" s="1" t="n">
        <v>44833.60123842592</v>
      </c>
      <c r="C236" s="1" t="n">
        <v>45911</v>
      </c>
      <c r="D236" t="inlineStr">
        <is>
          <t>KALMAR LÄN</t>
        </is>
      </c>
      <c r="E236" t="inlineStr">
        <is>
          <t>VIMMERBY</t>
        </is>
      </c>
      <c r="G236" t="n">
        <v>4.2</v>
      </c>
      <c r="H236" t="n">
        <v>0</v>
      </c>
      <c r="I236" t="n">
        <v>0</v>
      </c>
      <c r="J236" t="n">
        <v>0</v>
      </c>
      <c r="K236" t="n">
        <v>0</v>
      </c>
      <c r="L236" t="n">
        <v>0</v>
      </c>
      <c r="M236" t="n">
        <v>0</v>
      </c>
      <c r="N236" t="n">
        <v>0</v>
      </c>
      <c r="O236" t="n">
        <v>0</v>
      </c>
      <c r="P236" t="n">
        <v>0</v>
      </c>
      <c r="Q236" t="n">
        <v>0</v>
      </c>
      <c r="R236" s="2" t="inlineStr"/>
    </row>
    <row r="237" ht="15" customHeight="1">
      <c r="A237" t="inlineStr">
        <is>
          <t>A 33352-2022</t>
        </is>
      </c>
      <c r="B237" s="1" t="n">
        <v>44788</v>
      </c>
      <c r="C237" s="1" t="n">
        <v>45911</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50087-2023</t>
        </is>
      </c>
      <c r="B238" s="1" t="n">
        <v>45215.59743055556</v>
      </c>
      <c r="C238" s="1" t="n">
        <v>45911</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33681-2022</t>
        </is>
      </c>
      <c r="B239" s="1" t="n">
        <v>44789</v>
      </c>
      <c r="C239" s="1" t="n">
        <v>45911</v>
      </c>
      <c r="D239" t="inlineStr">
        <is>
          <t>KALMAR LÄN</t>
        </is>
      </c>
      <c r="E239" t="inlineStr">
        <is>
          <t>VIMMERBY</t>
        </is>
      </c>
      <c r="G239" t="n">
        <v>3.2</v>
      </c>
      <c r="H239" t="n">
        <v>0</v>
      </c>
      <c r="I239" t="n">
        <v>0</v>
      </c>
      <c r="J239" t="n">
        <v>0</v>
      </c>
      <c r="K239" t="n">
        <v>0</v>
      </c>
      <c r="L239" t="n">
        <v>0</v>
      </c>
      <c r="M239" t="n">
        <v>0</v>
      </c>
      <c r="N239" t="n">
        <v>0</v>
      </c>
      <c r="O239" t="n">
        <v>0</v>
      </c>
      <c r="P239" t="n">
        <v>0</v>
      </c>
      <c r="Q239" t="n">
        <v>0</v>
      </c>
      <c r="R239" s="2" t="inlineStr"/>
    </row>
    <row r="240" ht="15" customHeight="1">
      <c r="A240" t="inlineStr">
        <is>
          <t>A 46234-2024</t>
        </is>
      </c>
      <c r="B240" s="1" t="n">
        <v>45581.57958333333</v>
      </c>
      <c r="C240" s="1" t="n">
        <v>45911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36802-2021</t>
        </is>
      </c>
      <c r="B241" s="1" t="n">
        <v>44392</v>
      </c>
      <c r="C241" s="1" t="n">
        <v>45911</v>
      </c>
      <c r="D241" t="inlineStr">
        <is>
          <t>KALMAR LÄN</t>
        </is>
      </c>
      <c r="E241" t="inlineStr">
        <is>
          <t>VIMMERBY</t>
        </is>
      </c>
      <c r="F241" t="inlineStr">
        <is>
          <t>Sveaskog</t>
        </is>
      </c>
      <c r="G241" t="n">
        <v>4.6</v>
      </c>
      <c r="H241" t="n">
        <v>0</v>
      </c>
      <c r="I241" t="n">
        <v>0</v>
      </c>
      <c r="J241" t="n">
        <v>0</v>
      </c>
      <c r="K241" t="n">
        <v>0</v>
      </c>
      <c r="L241" t="n">
        <v>0</v>
      </c>
      <c r="M241" t="n">
        <v>0</v>
      </c>
      <c r="N241" t="n">
        <v>0</v>
      </c>
      <c r="O241" t="n">
        <v>0</v>
      </c>
      <c r="P241" t="n">
        <v>0</v>
      </c>
      <c r="Q241" t="n">
        <v>0</v>
      </c>
      <c r="R241" s="2" t="inlineStr"/>
    </row>
    <row r="242" ht="15" customHeight="1">
      <c r="A242" t="inlineStr">
        <is>
          <t>A 39053-2024</t>
        </is>
      </c>
      <c r="B242" s="1" t="n">
        <v>45548</v>
      </c>
      <c r="C242" s="1" t="n">
        <v>45911</v>
      </c>
      <c r="D242" t="inlineStr">
        <is>
          <t>KALMAR LÄN</t>
        </is>
      </c>
      <c r="E242" t="inlineStr">
        <is>
          <t>VIMMERBY</t>
        </is>
      </c>
      <c r="G242" t="n">
        <v>5</v>
      </c>
      <c r="H242" t="n">
        <v>0</v>
      </c>
      <c r="I242" t="n">
        <v>0</v>
      </c>
      <c r="J242" t="n">
        <v>0</v>
      </c>
      <c r="K242" t="n">
        <v>0</v>
      </c>
      <c r="L242" t="n">
        <v>0</v>
      </c>
      <c r="M242" t="n">
        <v>0</v>
      </c>
      <c r="N242" t="n">
        <v>0</v>
      </c>
      <c r="O242" t="n">
        <v>0</v>
      </c>
      <c r="P242" t="n">
        <v>0</v>
      </c>
      <c r="Q242" t="n">
        <v>0</v>
      </c>
      <c r="R242" s="2" t="inlineStr"/>
    </row>
    <row r="243" ht="15" customHeight="1">
      <c r="A243" t="inlineStr">
        <is>
          <t>A 15449-2023</t>
        </is>
      </c>
      <c r="B243" s="1" t="n">
        <v>45020</v>
      </c>
      <c r="C243" s="1" t="n">
        <v>45911</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61820-2023</t>
        </is>
      </c>
      <c r="B244" s="1" t="n">
        <v>45266.32614583334</v>
      </c>
      <c r="C244" s="1" t="n">
        <v>45911</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22397-2025</t>
        </is>
      </c>
      <c r="B245" s="1" t="n">
        <v>45786.52878472222</v>
      </c>
      <c r="C245" s="1" t="n">
        <v>45911</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3269-2024</t>
        </is>
      </c>
      <c r="B246" s="1" t="n">
        <v>45317.40372685185</v>
      </c>
      <c r="C246" s="1" t="n">
        <v>45911</v>
      </c>
      <c r="D246" t="inlineStr">
        <is>
          <t>KALMAR LÄN</t>
        </is>
      </c>
      <c r="E246" t="inlineStr">
        <is>
          <t>VIMMERBY</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43594-2024</t>
        </is>
      </c>
      <c r="B247" s="1" t="n">
        <v>45569.44295138889</v>
      </c>
      <c r="C247" s="1" t="n">
        <v>45911</v>
      </c>
      <c r="D247" t="inlineStr">
        <is>
          <t>KALMAR LÄN</t>
        </is>
      </c>
      <c r="E247" t="inlineStr">
        <is>
          <t>VIMMERBY</t>
        </is>
      </c>
      <c r="G247" t="n">
        <v>3.9</v>
      </c>
      <c r="H247" t="n">
        <v>0</v>
      </c>
      <c r="I247" t="n">
        <v>0</v>
      </c>
      <c r="J247" t="n">
        <v>0</v>
      </c>
      <c r="K247" t="n">
        <v>0</v>
      </c>
      <c r="L247" t="n">
        <v>0</v>
      </c>
      <c r="M247" t="n">
        <v>0</v>
      </c>
      <c r="N247" t="n">
        <v>0</v>
      </c>
      <c r="O247" t="n">
        <v>0</v>
      </c>
      <c r="P247" t="n">
        <v>0</v>
      </c>
      <c r="Q247" t="n">
        <v>0</v>
      </c>
      <c r="R247" s="2" t="inlineStr"/>
    </row>
    <row r="248" ht="15" customHeight="1">
      <c r="A248" t="inlineStr">
        <is>
          <t>A 17486-2024</t>
        </is>
      </c>
      <c r="B248" s="1" t="n">
        <v>45415.48979166667</v>
      </c>
      <c r="C248" s="1" t="n">
        <v>45911</v>
      </c>
      <c r="D248" t="inlineStr">
        <is>
          <t>KALMAR LÄN</t>
        </is>
      </c>
      <c r="E248" t="inlineStr">
        <is>
          <t>VIMMERBY</t>
        </is>
      </c>
      <c r="G248" t="n">
        <v>2.6</v>
      </c>
      <c r="H248" t="n">
        <v>0</v>
      </c>
      <c r="I248" t="n">
        <v>0</v>
      </c>
      <c r="J248" t="n">
        <v>0</v>
      </c>
      <c r="K248" t="n">
        <v>0</v>
      </c>
      <c r="L248" t="n">
        <v>0</v>
      </c>
      <c r="M248" t="n">
        <v>0</v>
      </c>
      <c r="N248" t="n">
        <v>0</v>
      </c>
      <c r="O248" t="n">
        <v>0</v>
      </c>
      <c r="P248" t="n">
        <v>0</v>
      </c>
      <c r="Q248" t="n">
        <v>0</v>
      </c>
      <c r="R248" s="2" t="inlineStr"/>
    </row>
    <row r="249" ht="15" customHeight="1">
      <c r="A249" t="inlineStr">
        <is>
          <t>A 2157-2024</t>
        </is>
      </c>
      <c r="B249" s="1" t="n">
        <v>45309.59487268519</v>
      </c>
      <c r="C249" s="1" t="n">
        <v>45911</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9416-2024</t>
        </is>
      </c>
      <c r="B250" s="1" t="n">
        <v>45359.44837962963</v>
      </c>
      <c r="C250" s="1" t="n">
        <v>45911</v>
      </c>
      <c r="D250" t="inlineStr">
        <is>
          <t>KALMAR LÄN</t>
        </is>
      </c>
      <c r="E250" t="inlineStr">
        <is>
          <t>VIMMERBY</t>
        </is>
      </c>
      <c r="G250" t="n">
        <v>3.2</v>
      </c>
      <c r="H250" t="n">
        <v>0</v>
      </c>
      <c r="I250" t="n">
        <v>0</v>
      </c>
      <c r="J250" t="n">
        <v>0</v>
      </c>
      <c r="K250" t="n">
        <v>0</v>
      </c>
      <c r="L250" t="n">
        <v>0</v>
      </c>
      <c r="M250" t="n">
        <v>0</v>
      </c>
      <c r="N250" t="n">
        <v>0</v>
      </c>
      <c r="O250" t="n">
        <v>0</v>
      </c>
      <c r="P250" t="n">
        <v>0</v>
      </c>
      <c r="Q250" t="n">
        <v>0</v>
      </c>
      <c r="R250" s="2" t="inlineStr"/>
    </row>
    <row r="251" ht="15" customHeight="1">
      <c r="A251" t="inlineStr">
        <is>
          <t>A 58318-2021</t>
        </is>
      </c>
      <c r="B251" s="1" t="n">
        <v>44488.35878472222</v>
      </c>
      <c r="C251" s="1" t="n">
        <v>45911</v>
      </c>
      <c r="D251" t="inlineStr">
        <is>
          <t>KALMAR LÄN</t>
        </is>
      </c>
      <c r="E251" t="inlineStr">
        <is>
          <t>VIMMERBY</t>
        </is>
      </c>
      <c r="G251" t="n">
        <v>4</v>
      </c>
      <c r="H251" t="n">
        <v>0</v>
      </c>
      <c r="I251" t="n">
        <v>0</v>
      </c>
      <c r="J251" t="n">
        <v>0</v>
      </c>
      <c r="K251" t="n">
        <v>0</v>
      </c>
      <c r="L251" t="n">
        <v>0</v>
      </c>
      <c r="M251" t="n">
        <v>0</v>
      </c>
      <c r="N251" t="n">
        <v>0</v>
      </c>
      <c r="O251" t="n">
        <v>0</v>
      </c>
      <c r="P251" t="n">
        <v>0</v>
      </c>
      <c r="Q251" t="n">
        <v>0</v>
      </c>
      <c r="R251" s="2" t="inlineStr"/>
    </row>
    <row r="252" ht="15" customHeight="1">
      <c r="A252" t="inlineStr">
        <is>
          <t>A 14248-2023</t>
        </is>
      </c>
      <c r="B252" s="1" t="n">
        <v>45009</v>
      </c>
      <c r="C252" s="1" t="n">
        <v>45911</v>
      </c>
      <c r="D252" t="inlineStr">
        <is>
          <t>KALMAR LÄN</t>
        </is>
      </c>
      <c r="E252" t="inlineStr">
        <is>
          <t>VIMMERBY</t>
        </is>
      </c>
      <c r="G252" t="n">
        <v>2.6</v>
      </c>
      <c r="H252" t="n">
        <v>0</v>
      </c>
      <c r="I252" t="n">
        <v>0</v>
      </c>
      <c r="J252" t="n">
        <v>0</v>
      </c>
      <c r="K252" t="n">
        <v>0</v>
      </c>
      <c r="L252" t="n">
        <v>0</v>
      </c>
      <c r="M252" t="n">
        <v>0</v>
      </c>
      <c r="N252" t="n">
        <v>0</v>
      </c>
      <c r="O252" t="n">
        <v>0</v>
      </c>
      <c r="P252" t="n">
        <v>0</v>
      </c>
      <c r="Q252" t="n">
        <v>0</v>
      </c>
      <c r="R252" s="2" t="inlineStr"/>
    </row>
    <row r="253" ht="15" customHeight="1">
      <c r="A253" t="inlineStr">
        <is>
          <t>A 53083-2021</t>
        </is>
      </c>
      <c r="B253" s="1" t="n">
        <v>44467.83386574074</v>
      </c>
      <c r="C253" s="1" t="n">
        <v>45911</v>
      </c>
      <c r="D253" t="inlineStr">
        <is>
          <t>KALMAR LÄN</t>
        </is>
      </c>
      <c r="E253" t="inlineStr">
        <is>
          <t>VIMMERBY</t>
        </is>
      </c>
      <c r="G253" t="n">
        <v>6.8</v>
      </c>
      <c r="H253" t="n">
        <v>0</v>
      </c>
      <c r="I253" t="n">
        <v>0</v>
      </c>
      <c r="J253" t="n">
        <v>0</v>
      </c>
      <c r="K253" t="n">
        <v>0</v>
      </c>
      <c r="L253" t="n">
        <v>0</v>
      </c>
      <c r="M253" t="n">
        <v>0</v>
      </c>
      <c r="N253" t="n">
        <v>0</v>
      </c>
      <c r="O253" t="n">
        <v>0</v>
      </c>
      <c r="P253" t="n">
        <v>0</v>
      </c>
      <c r="Q253" t="n">
        <v>0</v>
      </c>
      <c r="R253" s="2" t="inlineStr"/>
    </row>
    <row r="254" ht="15" customHeight="1">
      <c r="A254" t="inlineStr">
        <is>
          <t>A 29173-2024</t>
        </is>
      </c>
      <c r="B254" s="1" t="n">
        <v>45482.52887731481</v>
      </c>
      <c r="C254" s="1" t="n">
        <v>45911</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11111-2024</t>
        </is>
      </c>
      <c r="B255" s="1" t="n">
        <v>45371.36359953704</v>
      </c>
      <c r="C255" s="1" t="n">
        <v>45911</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11141-2024</t>
        </is>
      </c>
      <c r="B256" s="1" t="n">
        <v>45371.45865740741</v>
      </c>
      <c r="C256" s="1" t="n">
        <v>45911</v>
      </c>
      <c r="D256" t="inlineStr">
        <is>
          <t>KALMAR LÄN</t>
        </is>
      </c>
      <c r="E256" t="inlineStr">
        <is>
          <t>VIMMERBY</t>
        </is>
      </c>
      <c r="G256" t="n">
        <v>0.7</v>
      </c>
      <c r="H256" t="n">
        <v>0</v>
      </c>
      <c r="I256" t="n">
        <v>0</v>
      </c>
      <c r="J256" t="n">
        <v>0</v>
      </c>
      <c r="K256" t="n">
        <v>0</v>
      </c>
      <c r="L256" t="n">
        <v>0</v>
      </c>
      <c r="M256" t="n">
        <v>0</v>
      </c>
      <c r="N256" t="n">
        <v>0</v>
      </c>
      <c r="O256" t="n">
        <v>0</v>
      </c>
      <c r="P256" t="n">
        <v>0</v>
      </c>
      <c r="Q256" t="n">
        <v>0</v>
      </c>
      <c r="R256" s="2" t="inlineStr"/>
    </row>
    <row r="257" ht="15" customHeight="1">
      <c r="A257" t="inlineStr">
        <is>
          <t>A 9418-2024</t>
        </is>
      </c>
      <c r="B257" s="1" t="n">
        <v>45359.45038194444</v>
      </c>
      <c r="C257" s="1" t="n">
        <v>45911</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16825-2024</t>
        </is>
      </c>
      <c r="B258" s="1" t="n">
        <v>45411.47335648148</v>
      </c>
      <c r="C258" s="1" t="n">
        <v>45911</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49313-2022</t>
        </is>
      </c>
      <c r="B259" s="1" t="n">
        <v>44861.52505787037</v>
      </c>
      <c r="C259" s="1" t="n">
        <v>45911</v>
      </c>
      <c r="D259" t="inlineStr">
        <is>
          <t>KALMAR LÄN</t>
        </is>
      </c>
      <c r="E259" t="inlineStr">
        <is>
          <t>VIMMERBY</t>
        </is>
      </c>
      <c r="G259" t="n">
        <v>1.9</v>
      </c>
      <c r="H259" t="n">
        <v>0</v>
      </c>
      <c r="I259" t="n">
        <v>0</v>
      </c>
      <c r="J259" t="n">
        <v>0</v>
      </c>
      <c r="K259" t="n">
        <v>0</v>
      </c>
      <c r="L259" t="n">
        <v>0</v>
      </c>
      <c r="M259" t="n">
        <v>0</v>
      </c>
      <c r="N259" t="n">
        <v>0</v>
      </c>
      <c r="O259" t="n">
        <v>0</v>
      </c>
      <c r="P259" t="n">
        <v>0</v>
      </c>
      <c r="Q259" t="n">
        <v>0</v>
      </c>
      <c r="R259" s="2" t="inlineStr"/>
    </row>
    <row r="260" ht="15" customHeight="1">
      <c r="A260" t="inlineStr">
        <is>
          <t>A 35998-2024</t>
        </is>
      </c>
      <c r="B260" s="1" t="n">
        <v>45533.54429398148</v>
      </c>
      <c r="C260" s="1" t="n">
        <v>45911</v>
      </c>
      <c r="D260" t="inlineStr">
        <is>
          <t>KALMAR LÄN</t>
        </is>
      </c>
      <c r="E260" t="inlineStr">
        <is>
          <t>VIMMERBY</t>
        </is>
      </c>
      <c r="G260" t="n">
        <v>8.6</v>
      </c>
      <c r="H260" t="n">
        <v>0</v>
      </c>
      <c r="I260" t="n">
        <v>0</v>
      </c>
      <c r="J260" t="n">
        <v>0</v>
      </c>
      <c r="K260" t="n">
        <v>0</v>
      </c>
      <c r="L260" t="n">
        <v>0</v>
      </c>
      <c r="M260" t="n">
        <v>0</v>
      </c>
      <c r="N260" t="n">
        <v>0</v>
      </c>
      <c r="O260" t="n">
        <v>0</v>
      </c>
      <c r="P260" t="n">
        <v>0</v>
      </c>
      <c r="Q260" t="n">
        <v>0</v>
      </c>
      <c r="R260" s="2" t="inlineStr"/>
    </row>
    <row r="261" ht="15" customHeight="1">
      <c r="A261" t="inlineStr">
        <is>
          <t>A 36040-2024</t>
        </is>
      </c>
      <c r="B261" s="1" t="n">
        <v>45533.60232638889</v>
      </c>
      <c r="C261" s="1" t="n">
        <v>45911</v>
      </c>
      <c r="D261" t="inlineStr">
        <is>
          <t>KALMAR LÄN</t>
        </is>
      </c>
      <c r="E261" t="inlineStr">
        <is>
          <t>VIMMERBY</t>
        </is>
      </c>
      <c r="F261" t="inlineStr">
        <is>
          <t>Kommuner</t>
        </is>
      </c>
      <c r="G261" t="n">
        <v>3.6</v>
      </c>
      <c r="H261" t="n">
        <v>0</v>
      </c>
      <c r="I261" t="n">
        <v>0</v>
      </c>
      <c r="J261" t="n">
        <v>0</v>
      </c>
      <c r="K261" t="n">
        <v>0</v>
      </c>
      <c r="L261" t="n">
        <v>0</v>
      </c>
      <c r="M261" t="n">
        <v>0</v>
      </c>
      <c r="N261" t="n">
        <v>0</v>
      </c>
      <c r="O261" t="n">
        <v>0</v>
      </c>
      <c r="P261" t="n">
        <v>0</v>
      </c>
      <c r="Q261" t="n">
        <v>0</v>
      </c>
      <c r="R261" s="2" t="inlineStr"/>
    </row>
    <row r="262" ht="15" customHeight="1">
      <c r="A262" t="inlineStr">
        <is>
          <t>A 36043-2024</t>
        </is>
      </c>
      <c r="B262" s="1" t="n">
        <v>45533.60770833334</v>
      </c>
      <c r="C262" s="1" t="n">
        <v>45911</v>
      </c>
      <c r="D262" t="inlineStr">
        <is>
          <t>KALMAR LÄN</t>
        </is>
      </c>
      <c r="E262" t="inlineStr">
        <is>
          <t>VIMMERBY</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12033-2024</t>
        </is>
      </c>
      <c r="B263" s="1" t="n">
        <v>45377.40043981482</v>
      </c>
      <c r="C263" s="1" t="n">
        <v>45911</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22197-2024</t>
        </is>
      </c>
      <c r="B264" s="1" t="n">
        <v>45446.36774305555</v>
      </c>
      <c r="C264" s="1" t="n">
        <v>45911</v>
      </c>
      <c r="D264" t="inlineStr">
        <is>
          <t>KALMAR LÄN</t>
        </is>
      </c>
      <c r="E264" t="inlineStr">
        <is>
          <t>VIMMERBY</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6214-2025</t>
        </is>
      </c>
      <c r="B265" s="1" t="n">
        <v>45698.51711805556</v>
      </c>
      <c r="C265" s="1" t="n">
        <v>45911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30400-2023</t>
        </is>
      </c>
      <c r="B266" s="1" t="n">
        <v>45111.48225694444</v>
      </c>
      <c r="C266" s="1" t="n">
        <v>45911</v>
      </c>
      <c r="D266" t="inlineStr">
        <is>
          <t>KALMAR LÄN</t>
        </is>
      </c>
      <c r="E266" t="inlineStr">
        <is>
          <t>VIMMERBY</t>
        </is>
      </c>
      <c r="G266" t="n">
        <v>2.7</v>
      </c>
      <c r="H266" t="n">
        <v>0</v>
      </c>
      <c r="I266" t="n">
        <v>0</v>
      </c>
      <c r="J266" t="n">
        <v>0</v>
      </c>
      <c r="K266" t="n">
        <v>0</v>
      </c>
      <c r="L266" t="n">
        <v>0</v>
      </c>
      <c r="M266" t="n">
        <v>0</v>
      </c>
      <c r="N266" t="n">
        <v>0</v>
      </c>
      <c r="O266" t="n">
        <v>0</v>
      </c>
      <c r="P266" t="n">
        <v>0</v>
      </c>
      <c r="Q266" t="n">
        <v>0</v>
      </c>
      <c r="R266" s="2" t="inlineStr"/>
    </row>
    <row r="267" ht="15" customHeight="1">
      <c r="A267" t="inlineStr">
        <is>
          <t>A 30404-2023</t>
        </is>
      </c>
      <c r="B267" s="1" t="n">
        <v>45111.48636574074</v>
      </c>
      <c r="C267" s="1" t="n">
        <v>45911</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55123-2024</t>
        </is>
      </c>
      <c r="B268" s="1" t="n">
        <v>45621.46103009259</v>
      </c>
      <c r="C268" s="1" t="n">
        <v>45911</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31405-2023</t>
        </is>
      </c>
      <c r="B269" s="1" t="n">
        <v>45114.58148148148</v>
      </c>
      <c r="C269" s="1" t="n">
        <v>45911</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35710-2023</t>
        </is>
      </c>
      <c r="B270" s="1" t="n">
        <v>45147.67096064815</v>
      </c>
      <c r="C270" s="1" t="n">
        <v>45911</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35711-2023</t>
        </is>
      </c>
      <c r="B271" s="1" t="n">
        <v>45147.67172453704</v>
      </c>
      <c r="C271" s="1" t="n">
        <v>45911</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49408-2023</t>
        </is>
      </c>
      <c r="B272" s="1" t="n">
        <v>45211.43555555555</v>
      </c>
      <c r="C272" s="1" t="n">
        <v>45911</v>
      </c>
      <c r="D272" t="inlineStr">
        <is>
          <t>KALMAR LÄN</t>
        </is>
      </c>
      <c r="E272" t="inlineStr">
        <is>
          <t>VIMMERBY</t>
        </is>
      </c>
      <c r="G272" t="n">
        <v>13.1</v>
      </c>
      <c r="H272" t="n">
        <v>0</v>
      </c>
      <c r="I272" t="n">
        <v>0</v>
      </c>
      <c r="J272" t="n">
        <v>0</v>
      </c>
      <c r="K272" t="n">
        <v>0</v>
      </c>
      <c r="L272" t="n">
        <v>0</v>
      </c>
      <c r="M272" t="n">
        <v>0</v>
      </c>
      <c r="N272" t="n">
        <v>0</v>
      </c>
      <c r="O272" t="n">
        <v>0</v>
      </c>
      <c r="P272" t="n">
        <v>0</v>
      </c>
      <c r="Q272" t="n">
        <v>0</v>
      </c>
      <c r="R272" s="2" t="inlineStr"/>
    </row>
    <row r="273" ht="15" customHeight="1">
      <c r="A273" t="inlineStr">
        <is>
          <t>A 24707-2024</t>
        </is>
      </c>
      <c r="B273" s="1" t="n">
        <v>45460.62172453704</v>
      </c>
      <c r="C273" s="1" t="n">
        <v>45911</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27443-2023</t>
        </is>
      </c>
      <c r="B274" s="1" t="n">
        <v>45097.40524305555</v>
      </c>
      <c r="C274" s="1" t="n">
        <v>45911</v>
      </c>
      <c r="D274" t="inlineStr">
        <is>
          <t>KALMAR LÄN</t>
        </is>
      </c>
      <c r="E274" t="inlineStr">
        <is>
          <t>VIMMERBY</t>
        </is>
      </c>
      <c r="F274" t="inlineStr">
        <is>
          <t>Övriga Aktiebolag</t>
        </is>
      </c>
      <c r="G274" t="n">
        <v>2.3</v>
      </c>
      <c r="H274" t="n">
        <v>0</v>
      </c>
      <c r="I274" t="n">
        <v>0</v>
      </c>
      <c r="J274" t="n">
        <v>0</v>
      </c>
      <c r="K274" t="n">
        <v>0</v>
      </c>
      <c r="L274" t="n">
        <v>0</v>
      </c>
      <c r="M274" t="n">
        <v>0</v>
      </c>
      <c r="N274" t="n">
        <v>0</v>
      </c>
      <c r="O274" t="n">
        <v>0</v>
      </c>
      <c r="P274" t="n">
        <v>0</v>
      </c>
      <c r="Q274" t="n">
        <v>0</v>
      </c>
      <c r="R274" s="2" t="inlineStr"/>
    </row>
    <row r="275" ht="15" customHeight="1">
      <c r="A275" t="inlineStr">
        <is>
          <t>A 28395-2023</t>
        </is>
      </c>
      <c r="B275" s="1" t="n">
        <v>45100.4062962963</v>
      </c>
      <c r="C275" s="1" t="n">
        <v>45911</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11442-2025</t>
        </is>
      </c>
      <c r="B276" s="1" t="n">
        <v>45726.62721064815</v>
      </c>
      <c r="C276" s="1" t="n">
        <v>45911</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6307-2025</t>
        </is>
      </c>
      <c r="B277" s="1" t="n">
        <v>45698.69016203703</v>
      </c>
      <c r="C277" s="1" t="n">
        <v>45911</v>
      </c>
      <c r="D277" t="inlineStr">
        <is>
          <t>KALMAR LÄN</t>
        </is>
      </c>
      <c r="E277" t="inlineStr">
        <is>
          <t>VIMMERBY</t>
        </is>
      </c>
      <c r="G277" t="n">
        <v>3</v>
      </c>
      <c r="H277" t="n">
        <v>0</v>
      </c>
      <c r="I277" t="n">
        <v>0</v>
      </c>
      <c r="J277" t="n">
        <v>0</v>
      </c>
      <c r="K277" t="n">
        <v>0</v>
      </c>
      <c r="L277" t="n">
        <v>0</v>
      </c>
      <c r="M277" t="n">
        <v>0</v>
      </c>
      <c r="N277" t="n">
        <v>0</v>
      </c>
      <c r="O277" t="n">
        <v>0</v>
      </c>
      <c r="P277" t="n">
        <v>0</v>
      </c>
      <c r="Q277" t="n">
        <v>0</v>
      </c>
      <c r="R277" s="2" t="inlineStr"/>
    </row>
    <row r="278" ht="15" customHeight="1">
      <c r="A278" t="inlineStr">
        <is>
          <t>A 18501-2024</t>
        </is>
      </c>
      <c r="B278" s="1" t="n">
        <v>45425.57538194444</v>
      </c>
      <c r="C278" s="1" t="n">
        <v>45911</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36049-2024</t>
        </is>
      </c>
      <c r="B279" s="1" t="n">
        <v>45533.61996527778</v>
      </c>
      <c r="C279" s="1" t="n">
        <v>45911</v>
      </c>
      <c r="D279" t="inlineStr">
        <is>
          <t>KALMAR LÄN</t>
        </is>
      </c>
      <c r="E279" t="inlineStr">
        <is>
          <t>VIMMERBY</t>
        </is>
      </c>
      <c r="F279" t="inlineStr">
        <is>
          <t>Kommuner</t>
        </is>
      </c>
      <c r="G279" t="n">
        <v>2.6</v>
      </c>
      <c r="H279" t="n">
        <v>0</v>
      </c>
      <c r="I279" t="n">
        <v>0</v>
      </c>
      <c r="J279" t="n">
        <v>0</v>
      </c>
      <c r="K279" t="n">
        <v>0</v>
      </c>
      <c r="L279" t="n">
        <v>0</v>
      </c>
      <c r="M279" t="n">
        <v>0</v>
      </c>
      <c r="N279" t="n">
        <v>0</v>
      </c>
      <c r="O279" t="n">
        <v>0</v>
      </c>
      <c r="P279" t="n">
        <v>0</v>
      </c>
      <c r="Q279" t="n">
        <v>0</v>
      </c>
      <c r="R279" s="2" t="inlineStr"/>
    </row>
    <row r="280" ht="15" customHeight="1">
      <c r="A280" t="inlineStr">
        <is>
          <t>A 25799-2023</t>
        </is>
      </c>
      <c r="B280" s="1" t="n">
        <v>45090</v>
      </c>
      <c r="C280" s="1" t="n">
        <v>45911</v>
      </c>
      <c r="D280" t="inlineStr">
        <is>
          <t>KALMAR LÄN</t>
        </is>
      </c>
      <c r="E280" t="inlineStr">
        <is>
          <t>VIMMERBY</t>
        </is>
      </c>
      <c r="G280" t="n">
        <v>7.7</v>
      </c>
      <c r="H280" t="n">
        <v>0</v>
      </c>
      <c r="I280" t="n">
        <v>0</v>
      </c>
      <c r="J280" t="n">
        <v>0</v>
      </c>
      <c r="K280" t="n">
        <v>0</v>
      </c>
      <c r="L280" t="n">
        <v>0</v>
      </c>
      <c r="M280" t="n">
        <v>0</v>
      </c>
      <c r="N280" t="n">
        <v>0</v>
      </c>
      <c r="O280" t="n">
        <v>0</v>
      </c>
      <c r="P280" t="n">
        <v>0</v>
      </c>
      <c r="Q280" t="n">
        <v>0</v>
      </c>
      <c r="R280" s="2" t="inlineStr"/>
    </row>
    <row r="281" ht="15" customHeight="1">
      <c r="A281" t="inlineStr">
        <is>
          <t>A 23394-2025</t>
        </is>
      </c>
      <c r="B281" s="1" t="n">
        <v>45791.89865740741</v>
      </c>
      <c r="C281" s="1" t="n">
        <v>45911</v>
      </c>
      <c r="D281" t="inlineStr">
        <is>
          <t>KALMAR LÄN</t>
        </is>
      </c>
      <c r="E281" t="inlineStr">
        <is>
          <t>VIMMERBY</t>
        </is>
      </c>
      <c r="G281" t="n">
        <v>3.1</v>
      </c>
      <c r="H281" t="n">
        <v>0</v>
      </c>
      <c r="I281" t="n">
        <v>0</v>
      </c>
      <c r="J281" t="n">
        <v>0</v>
      </c>
      <c r="K281" t="n">
        <v>0</v>
      </c>
      <c r="L281" t="n">
        <v>0</v>
      </c>
      <c r="M281" t="n">
        <v>0</v>
      </c>
      <c r="N281" t="n">
        <v>0</v>
      </c>
      <c r="O281" t="n">
        <v>0</v>
      </c>
      <c r="P281" t="n">
        <v>0</v>
      </c>
      <c r="Q281" t="n">
        <v>0</v>
      </c>
      <c r="R281" s="2" t="inlineStr"/>
    </row>
    <row r="282" ht="15" customHeight="1">
      <c r="A282" t="inlineStr">
        <is>
          <t>A 34588-2024</t>
        </is>
      </c>
      <c r="B282" s="1" t="n">
        <v>45526.3865625</v>
      </c>
      <c r="C282" s="1" t="n">
        <v>45911</v>
      </c>
      <c r="D282" t="inlineStr">
        <is>
          <t>KALMAR LÄN</t>
        </is>
      </c>
      <c r="E282" t="inlineStr">
        <is>
          <t>VIMMERBY</t>
        </is>
      </c>
      <c r="F282" t="inlineStr">
        <is>
          <t>Övriga Aktiebolag</t>
        </is>
      </c>
      <c r="G282" t="n">
        <v>3.3</v>
      </c>
      <c r="H282" t="n">
        <v>0</v>
      </c>
      <c r="I282" t="n">
        <v>0</v>
      </c>
      <c r="J282" t="n">
        <v>0</v>
      </c>
      <c r="K282" t="n">
        <v>0</v>
      </c>
      <c r="L282" t="n">
        <v>0</v>
      </c>
      <c r="M282" t="n">
        <v>0</v>
      </c>
      <c r="N282" t="n">
        <v>0</v>
      </c>
      <c r="O282" t="n">
        <v>0</v>
      </c>
      <c r="P282" t="n">
        <v>0</v>
      </c>
      <c r="Q282" t="n">
        <v>0</v>
      </c>
      <c r="R282" s="2" t="inlineStr"/>
    </row>
    <row r="283" ht="15" customHeight="1">
      <c r="A283" t="inlineStr">
        <is>
          <t>A 16015-2025</t>
        </is>
      </c>
      <c r="B283" s="1" t="n">
        <v>45749.60487268519</v>
      </c>
      <c r="C283" s="1" t="n">
        <v>45911</v>
      </c>
      <c r="D283" t="inlineStr">
        <is>
          <t>KALMAR LÄN</t>
        </is>
      </c>
      <c r="E283" t="inlineStr">
        <is>
          <t>VIMMERBY</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57256-2023</t>
        </is>
      </c>
      <c r="B284" s="1" t="n">
        <v>45245.5735300926</v>
      </c>
      <c r="C284" s="1" t="n">
        <v>45911</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23088-2024</t>
        </is>
      </c>
      <c r="B285" s="1" t="n">
        <v>45450.51092592593</v>
      </c>
      <c r="C285" s="1" t="n">
        <v>45911</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56659-2023</t>
        </is>
      </c>
      <c r="B286" s="1" t="n">
        <v>45243.84869212963</v>
      </c>
      <c r="C286" s="1" t="n">
        <v>45911</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58159-2024</t>
        </is>
      </c>
      <c r="B287" s="1" t="n">
        <v>45632.44886574074</v>
      </c>
      <c r="C287" s="1" t="n">
        <v>45911</v>
      </c>
      <c r="D287" t="inlineStr">
        <is>
          <t>KALMAR LÄN</t>
        </is>
      </c>
      <c r="E287" t="inlineStr">
        <is>
          <t>VIMMERBY</t>
        </is>
      </c>
      <c r="G287" t="n">
        <v>7.5</v>
      </c>
      <c r="H287" t="n">
        <v>0</v>
      </c>
      <c r="I287" t="n">
        <v>0</v>
      </c>
      <c r="J287" t="n">
        <v>0</v>
      </c>
      <c r="K287" t="n">
        <v>0</v>
      </c>
      <c r="L287" t="n">
        <v>0</v>
      </c>
      <c r="M287" t="n">
        <v>0</v>
      </c>
      <c r="N287" t="n">
        <v>0</v>
      </c>
      <c r="O287" t="n">
        <v>0</v>
      </c>
      <c r="P287" t="n">
        <v>0</v>
      </c>
      <c r="Q287" t="n">
        <v>0</v>
      </c>
      <c r="R287" s="2" t="inlineStr"/>
    </row>
    <row r="288" ht="15" customHeight="1">
      <c r="A288" t="inlineStr">
        <is>
          <t>A 57189-2022</t>
        </is>
      </c>
      <c r="B288" s="1" t="n">
        <v>44895.62296296296</v>
      </c>
      <c r="C288" s="1" t="n">
        <v>45911</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14359-2025</t>
        </is>
      </c>
      <c r="B289" s="1" t="n">
        <v>45741.37270833334</v>
      </c>
      <c r="C289" s="1" t="n">
        <v>45911</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23984-2025</t>
        </is>
      </c>
      <c r="B290" s="1" t="n">
        <v>45796</v>
      </c>
      <c r="C290" s="1" t="n">
        <v>45911</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39578-2024</t>
        </is>
      </c>
      <c r="B291" s="1" t="n">
        <v>45552.36484953704</v>
      </c>
      <c r="C291" s="1" t="n">
        <v>45911</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3331-2023</t>
        </is>
      </c>
      <c r="B292" s="1" t="n">
        <v>44949</v>
      </c>
      <c r="C292" s="1" t="n">
        <v>45911</v>
      </c>
      <c r="D292" t="inlineStr">
        <is>
          <t>KALMAR LÄN</t>
        </is>
      </c>
      <c r="E292" t="inlineStr">
        <is>
          <t>VIMMERBY</t>
        </is>
      </c>
      <c r="G292" t="n">
        <v>6.2</v>
      </c>
      <c r="H292" t="n">
        <v>0</v>
      </c>
      <c r="I292" t="n">
        <v>0</v>
      </c>
      <c r="J292" t="n">
        <v>0</v>
      </c>
      <c r="K292" t="n">
        <v>0</v>
      </c>
      <c r="L292" t="n">
        <v>0</v>
      </c>
      <c r="M292" t="n">
        <v>0</v>
      </c>
      <c r="N292" t="n">
        <v>0</v>
      </c>
      <c r="O292" t="n">
        <v>0</v>
      </c>
      <c r="P292" t="n">
        <v>0</v>
      </c>
      <c r="Q292" t="n">
        <v>0</v>
      </c>
      <c r="R292" s="2" t="inlineStr"/>
    </row>
    <row r="293" ht="15" customHeight="1">
      <c r="A293" t="inlineStr">
        <is>
          <t>A 51278-2024</t>
        </is>
      </c>
      <c r="B293" s="1" t="n">
        <v>45603.74959490741</v>
      </c>
      <c r="C293" s="1" t="n">
        <v>45911</v>
      </c>
      <c r="D293" t="inlineStr">
        <is>
          <t>KALMAR LÄN</t>
        </is>
      </c>
      <c r="E293" t="inlineStr">
        <is>
          <t>VIMMERBY</t>
        </is>
      </c>
      <c r="G293" t="n">
        <v>3.4</v>
      </c>
      <c r="H293" t="n">
        <v>0</v>
      </c>
      <c r="I293" t="n">
        <v>0</v>
      </c>
      <c r="J293" t="n">
        <v>0</v>
      </c>
      <c r="K293" t="n">
        <v>0</v>
      </c>
      <c r="L293" t="n">
        <v>0</v>
      </c>
      <c r="M293" t="n">
        <v>0</v>
      </c>
      <c r="N293" t="n">
        <v>0</v>
      </c>
      <c r="O293" t="n">
        <v>0</v>
      </c>
      <c r="P293" t="n">
        <v>0</v>
      </c>
      <c r="Q293" t="n">
        <v>0</v>
      </c>
      <c r="R293" s="2" t="inlineStr"/>
    </row>
    <row r="294" ht="15" customHeight="1">
      <c r="A294" t="inlineStr">
        <is>
          <t>A 62779-2023</t>
        </is>
      </c>
      <c r="B294" s="1" t="n">
        <v>45271.66576388889</v>
      </c>
      <c r="C294" s="1" t="n">
        <v>45911</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40828-2023</t>
        </is>
      </c>
      <c r="B295" s="1" t="n">
        <v>45171.96248842592</v>
      </c>
      <c r="C295" s="1" t="n">
        <v>45911</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35082-2024</t>
        </is>
      </c>
      <c r="B296" s="1" t="n">
        <v>45527.68784722222</v>
      </c>
      <c r="C296" s="1" t="n">
        <v>45911</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44582-2024</t>
        </is>
      </c>
      <c r="B297" s="1" t="n">
        <v>45574.49298611111</v>
      </c>
      <c r="C297" s="1" t="n">
        <v>45911</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9456-2025</t>
        </is>
      </c>
      <c r="B298" s="1" t="n">
        <v>45715.44159722222</v>
      </c>
      <c r="C298" s="1" t="n">
        <v>45911</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11111-2023</t>
        </is>
      </c>
      <c r="B299" s="1" t="n">
        <v>44992.4255787037</v>
      </c>
      <c r="C299" s="1" t="n">
        <v>45911</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46399-2024</t>
        </is>
      </c>
      <c r="B300" s="1" t="n">
        <v>45582.41200231481</v>
      </c>
      <c r="C300" s="1" t="n">
        <v>45911</v>
      </c>
      <c r="D300" t="inlineStr">
        <is>
          <t>KALMAR LÄN</t>
        </is>
      </c>
      <c r="E300" t="inlineStr">
        <is>
          <t>VIMMERBY</t>
        </is>
      </c>
      <c r="G300" t="n">
        <v>4.6</v>
      </c>
      <c r="H300" t="n">
        <v>0</v>
      </c>
      <c r="I300" t="n">
        <v>0</v>
      </c>
      <c r="J300" t="n">
        <v>0</v>
      </c>
      <c r="K300" t="n">
        <v>0</v>
      </c>
      <c r="L300" t="n">
        <v>0</v>
      </c>
      <c r="M300" t="n">
        <v>0</v>
      </c>
      <c r="N300" t="n">
        <v>0</v>
      </c>
      <c r="O300" t="n">
        <v>0</v>
      </c>
      <c r="P300" t="n">
        <v>0</v>
      </c>
      <c r="Q300" t="n">
        <v>0</v>
      </c>
      <c r="R300" s="2" t="inlineStr"/>
    </row>
    <row r="301" ht="15" customHeight="1">
      <c r="A301" t="inlineStr">
        <is>
          <t>A 16734-2023</t>
        </is>
      </c>
      <c r="B301" s="1" t="n">
        <v>45030.71012731481</v>
      </c>
      <c r="C301" s="1" t="n">
        <v>45911</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58724-2024</t>
        </is>
      </c>
      <c r="B302" s="1" t="n">
        <v>45635.66409722222</v>
      </c>
      <c r="C302" s="1" t="n">
        <v>45911</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15494-2024</t>
        </is>
      </c>
      <c r="B303" s="1" t="n">
        <v>45401.53033564815</v>
      </c>
      <c r="C303" s="1" t="n">
        <v>45911</v>
      </c>
      <c r="D303" t="inlineStr">
        <is>
          <t>KALMAR LÄN</t>
        </is>
      </c>
      <c r="E303" t="inlineStr">
        <is>
          <t>VIMMERBY</t>
        </is>
      </c>
      <c r="G303" t="n">
        <v>3.2</v>
      </c>
      <c r="H303" t="n">
        <v>0</v>
      </c>
      <c r="I303" t="n">
        <v>0</v>
      </c>
      <c r="J303" t="n">
        <v>0</v>
      </c>
      <c r="K303" t="n">
        <v>0</v>
      </c>
      <c r="L303" t="n">
        <v>0</v>
      </c>
      <c r="M303" t="n">
        <v>0</v>
      </c>
      <c r="N303" t="n">
        <v>0</v>
      </c>
      <c r="O303" t="n">
        <v>0</v>
      </c>
      <c r="P303" t="n">
        <v>0</v>
      </c>
      <c r="Q303" t="n">
        <v>0</v>
      </c>
      <c r="R303" s="2" t="inlineStr"/>
    </row>
    <row r="304" ht="15" customHeight="1">
      <c r="A304" t="inlineStr">
        <is>
          <t>A 26039-2025</t>
        </is>
      </c>
      <c r="B304" s="1" t="n">
        <v>45804.6953587963</v>
      </c>
      <c r="C304" s="1" t="n">
        <v>45911</v>
      </c>
      <c r="D304" t="inlineStr">
        <is>
          <t>KALMAR LÄN</t>
        </is>
      </c>
      <c r="E304" t="inlineStr">
        <is>
          <t>VIMMERBY</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26046-2025</t>
        </is>
      </c>
      <c r="B305" s="1" t="n">
        <v>45804.708125</v>
      </c>
      <c r="C305" s="1" t="n">
        <v>45911</v>
      </c>
      <c r="D305" t="inlineStr">
        <is>
          <t>KALMAR LÄN</t>
        </is>
      </c>
      <c r="E305" t="inlineStr">
        <is>
          <t>VIMMERBY</t>
        </is>
      </c>
      <c r="F305" t="inlineStr">
        <is>
          <t>Sveaskog</t>
        </is>
      </c>
      <c r="G305" t="n">
        <v>5.1</v>
      </c>
      <c r="H305" t="n">
        <v>0</v>
      </c>
      <c r="I305" t="n">
        <v>0</v>
      </c>
      <c r="J305" t="n">
        <v>0</v>
      </c>
      <c r="K305" t="n">
        <v>0</v>
      </c>
      <c r="L305" t="n">
        <v>0</v>
      </c>
      <c r="M305" t="n">
        <v>0</v>
      </c>
      <c r="N305" t="n">
        <v>0</v>
      </c>
      <c r="O305" t="n">
        <v>0</v>
      </c>
      <c r="P305" t="n">
        <v>0</v>
      </c>
      <c r="Q305" t="n">
        <v>0</v>
      </c>
      <c r="R305" s="2" t="inlineStr"/>
    </row>
    <row r="306" ht="15" customHeight="1">
      <c r="A306" t="inlineStr">
        <is>
          <t>A 3425-2022</t>
        </is>
      </c>
      <c r="B306" s="1" t="n">
        <v>44585.51060185185</v>
      </c>
      <c r="C306" s="1" t="n">
        <v>45911</v>
      </c>
      <c r="D306" t="inlineStr">
        <is>
          <t>KALMAR LÄN</t>
        </is>
      </c>
      <c r="E306" t="inlineStr">
        <is>
          <t>VIMMERBY</t>
        </is>
      </c>
      <c r="G306" t="n">
        <v>1.3</v>
      </c>
      <c r="H306" t="n">
        <v>0</v>
      </c>
      <c r="I306" t="n">
        <v>0</v>
      </c>
      <c r="J306" t="n">
        <v>0</v>
      </c>
      <c r="K306" t="n">
        <v>0</v>
      </c>
      <c r="L306" t="n">
        <v>0</v>
      </c>
      <c r="M306" t="n">
        <v>0</v>
      </c>
      <c r="N306" t="n">
        <v>0</v>
      </c>
      <c r="O306" t="n">
        <v>0</v>
      </c>
      <c r="P306" t="n">
        <v>0</v>
      </c>
      <c r="Q306" t="n">
        <v>0</v>
      </c>
      <c r="R306" s="2" t="inlineStr"/>
    </row>
    <row r="307" ht="15" customHeight="1">
      <c r="A307" t="inlineStr">
        <is>
          <t>A 43962-2024</t>
        </is>
      </c>
      <c r="B307" s="1" t="n">
        <v>45572.48293981481</v>
      </c>
      <c r="C307" s="1" t="n">
        <v>45911</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12810-2023</t>
        </is>
      </c>
      <c r="B308" s="1" t="n">
        <v>45001.43854166667</v>
      </c>
      <c r="C308" s="1" t="n">
        <v>45911</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64143-2021</t>
        </is>
      </c>
      <c r="B309" s="1" t="n">
        <v>44510.52157407408</v>
      </c>
      <c r="C309" s="1" t="n">
        <v>45911</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9720-2023</t>
        </is>
      </c>
      <c r="B310" s="1" t="n">
        <v>44984</v>
      </c>
      <c r="C310" s="1" t="n">
        <v>45911</v>
      </c>
      <c r="D310" t="inlineStr">
        <is>
          <t>KALMAR LÄN</t>
        </is>
      </c>
      <c r="E310" t="inlineStr">
        <is>
          <t>VIMMERBY</t>
        </is>
      </c>
      <c r="G310" t="n">
        <v>4.4</v>
      </c>
      <c r="H310" t="n">
        <v>0</v>
      </c>
      <c r="I310" t="n">
        <v>0</v>
      </c>
      <c r="J310" t="n">
        <v>0</v>
      </c>
      <c r="K310" t="n">
        <v>0</v>
      </c>
      <c r="L310" t="n">
        <v>0</v>
      </c>
      <c r="M310" t="n">
        <v>0</v>
      </c>
      <c r="N310" t="n">
        <v>0</v>
      </c>
      <c r="O310" t="n">
        <v>0</v>
      </c>
      <c r="P310" t="n">
        <v>0</v>
      </c>
      <c r="Q310" t="n">
        <v>0</v>
      </c>
      <c r="R310" s="2" t="inlineStr"/>
    </row>
    <row r="311" ht="15" customHeight="1">
      <c r="A311" t="inlineStr">
        <is>
          <t>A 25792-2025</t>
        </is>
      </c>
      <c r="B311" s="1" t="n">
        <v>45804.39141203704</v>
      </c>
      <c r="C311" s="1" t="n">
        <v>45911</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5938-2022</t>
        </is>
      </c>
      <c r="B312" s="1" t="n">
        <v>44598</v>
      </c>
      <c r="C312" s="1" t="n">
        <v>45911</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1687-2023</t>
        </is>
      </c>
      <c r="B313" s="1" t="n">
        <v>44938</v>
      </c>
      <c r="C313" s="1" t="n">
        <v>45911</v>
      </c>
      <c r="D313" t="inlineStr">
        <is>
          <t>KALMAR LÄN</t>
        </is>
      </c>
      <c r="E313" t="inlineStr">
        <is>
          <t>VIMMERBY</t>
        </is>
      </c>
      <c r="F313" t="inlineStr">
        <is>
          <t>Kommuner</t>
        </is>
      </c>
      <c r="G313" t="n">
        <v>2.5</v>
      </c>
      <c r="H313" t="n">
        <v>0</v>
      </c>
      <c r="I313" t="n">
        <v>0</v>
      </c>
      <c r="J313" t="n">
        <v>0</v>
      </c>
      <c r="K313" t="n">
        <v>0</v>
      </c>
      <c r="L313" t="n">
        <v>0</v>
      </c>
      <c r="M313" t="n">
        <v>0</v>
      </c>
      <c r="N313" t="n">
        <v>0</v>
      </c>
      <c r="O313" t="n">
        <v>0</v>
      </c>
      <c r="P313" t="n">
        <v>0</v>
      </c>
      <c r="Q313" t="n">
        <v>0</v>
      </c>
      <c r="R313" s="2" t="inlineStr"/>
    </row>
    <row r="314" ht="15" customHeight="1">
      <c r="A314" t="inlineStr">
        <is>
          <t>A 43068-2023</t>
        </is>
      </c>
      <c r="B314" s="1" t="n">
        <v>45182.78834490741</v>
      </c>
      <c r="C314" s="1" t="n">
        <v>45911</v>
      </c>
      <c r="D314" t="inlineStr">
        <is>
          <t>KALMAR LÄN</t>
        </is>
      </c>
      <c r="E314" t="inlineStr">
        <is>
          <t>VIMMERBY</t>
        </is>
      </c>
      <c r="G314" t="n">
        <v>1.5</v>
      </c>
      <c r="H314" t="n">
        <v>0</v>
      </c>
      <c r="I314" t="n">
        <v>0</v>
      </c>
      <c r="J314" t="n">
        <v>0</v>
      </c>
      <c r="K314" t="n">
        <v>0</v>
      </c>
      <c r="L314" t="n">
        <v>0</v>
      </c>
      <c r="M314" t="n">
        <v>0</v>
      </c>
      <c r="N314" t="n">
        <v>0</v>
      </c>
      <c r="O314" t="n">
        <v>0</v>
      </c>
      <c r="P314" t="n">
        <v>0</v>
      </c>
      <c r="Q314" t="n">
        <v>0</v>
      </c>
      <c r="R314" s="2" t="inlineStr"/>
    </row>
    <row r="315" ht="15" customHeight="1">
      <c r="A315" t="inlineStr">
        <is>
          <t>A 29440-2024</t>
        </is>
      </c>
      <c r="B315" s="1" t="n">
        <v>45483.82479166667</v>
      </c>
      <c r="C315" s="1" t="n">
        <v>45911</v>
      </c>
      <c r="D315" t="inlineStr">
        <is>
          <t>KALMAR LÄN</t>
        </is>
      </c>
      <c r="E315" t="inlineStr">
        <is>
          <t>VIMMERBY</t>
        </is>
      </c>
      <c r="G315" t="n">
        <v>4.5</v>
      </c>
      <c r="H315" t="n">
        <v>0</v>
      </c>
      <c r="I315" t="n">
        <v>0</v>
      </c>
      <c r="J315" t="n">
        <v>0</v>
      </c>
      <c r="K315" t="n">
        <v>0</v>
      </c>
      <c r="L315" t="n">
        <v>0</v>
      </c>
      <c r="M315" t="n">
        <v>0</v>
      </c>
      <c r="N315" t="n">
        <v>0</v>
      </c>
      <c r="O315" t="n">
        <v>0</v>
      </c>
      <c r="P315" t="n">
        <v>0</v>
      </c>
      <c r="Q315" t="n">
        <v>0</v>
      </c>
      <c r="R315" s="2" t="inlineStr"/>
    </row>
    <row r="316" ht="15" customHeight="1">
      <c r="A316" t="inlineStr">
        <is>
          <t>A 30921-2024</t>
        </is>
      </c>
      <c r="B316" s="1" t="n">
        <v>45498</v>
      </c>
      <c r="C316" s="1" t="n">
        <v>45911</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53482-2022</t>
        </is>
      </c>
      <c r="B317" s="1" t="n">
        <v>44879</v>
      </c>
      <c r="C317" s="1" t="n">
        <v>45911</v>
      </c>
      <c r="D317" t="inlineStr">
        <is>
          <t>KALMAR LÄN</t>
        </is>
      </c>
      <c r="E317" t="inlineStr">
        <is>
          <t>VIMMERBY</t>
        </is>
      </c>
      <c r="G317" t="n">
        <v>10.1</v>
      </c>
      <c r="H317" t="n">
        <v>0</v>
      </c>
      <c r="I317" t="n">
        <v>0</v>
      </c>
      <c r="J317" t="n">
        <v>0</v>
      </c>
      <c r="K317" t="n">
        <v>0</v>
      </c>
      <c r="L317" t="n">
        <v>0</v>
      </c>
      <c r="M317" t="n">
        <v>0</v>
      </c>
      <c r="N317" t="n">
        <v>0</v>
      </c>
      <c r="O317" t="n">
        <v>0</v>
      </c>
      <c r="P317" t="n">
        <v>0</v>
      </c>
      <c r="Q317" t="n">
        <v>0</v>
      </c>
      <c r="R317" s="2" t="inlineStr"/>
    </row>
    <row r="318" ht="15" customHeight="1">
      <c r="A318" t="inlineStr">
        <is>
          <t>A 26006-2025</t>
        </is>
      </c>
      <c r="B318" s="1" t="n">
        <v>45804.67065972222</v>
      </c>
      <c r="C318" s="1" t="n">
        <v>45911</v>
      </c>
      <c r="D318" t="inlineStr">
        <is>
          <t>KALMAR LÄN</t>
        </is>
      </c>
      <c r="E318" t="inlineStr">
        <is>
          <t>VIMMERBY</t>
        </is>
      </c>
      <c r="G318" t="n">
        <v>2.7</v>
      </c>
      <c r="H318" t="n">
        <v>0</v>
      </c>
      <c r="I318" t="n">
        <v>0</v>
      </c>
      <c r="J318" t="n">
        <v>0</v>
      </c>
      <c r="K318" t="n">
        <v>0</v>
      </c>
      <c r="L318" t="n">
        <v>0</v>
      </c>
      <c r="M318" t="n">
        <v>0</v>
      </c>
      <c r="N318" t="n">
        <v>0</v>
      </c>
      <c r="O318" t="n">
        <v>0</v>
      </c>
      <c r="P318" t="n">
        <v>0</v>
      </c>
      <c r="Q318" t="n">
        <v>0</v>
      </c>
      <c r="R318" s="2" t="inlineStr"/>
    </row>
    <row r="319" ht="15" customHeight="1">
      <c r="A319" t="inlineStr">
        <is>
          <t>A 25830-2025</t>
        </is>
      </c>
      <c r="B319" s="1" t="n">
        <v>45804.44519675926</v>
      </c>
      <c r="C319" s="1" t="n">
        <v>45911</v>
      </c>
      <c r="D319" t="inlineStr">
        <is>
          <t>KALMAR LÄN</t>
        </is>
      </c>
      <c r="E319" t="inlineStr">
        <is>
          <t>VIMMERBY</t>
        </is>
      </c>
      <c r="G319" t="n">
        <v>4.9</v>
      </c>
      <c r="H319" t="n">
        <v>0</v>
      </c>
      <c r="I319" t="n">
        <v>0</v>
      </c>
      <c r="J319" t="n">
        <v>0</v>
      </c>
      <c r="K319" t="n">
        <v>0</v>
      </c>
      <c r="L319" t="n">
        <v>0</v>
      </c>
      <c r="M319" t="n">
        <v>0</v>
      </c>
      <c r="N319" t="n">
        <v>0</v>
      </c>
      <c r="O319" t="n">
        <v>0</v>
      </c>
      <c r="P319" t="n">
        <v>0</v>
      </c>
      <c r="Q319" t="n">
        <v>0</v>
      </c>
      <c r="R319" s="2" t="inlineStr"/>
    </row>
    <row r="320" ht="15" customHeight="1">
      <c r="A320" t="inlineStr">
        <is>
          <t>A 12075-2024</t>
        </is>
      </c>
      <c r="B320" s="1" t="n">
        <v>45377</v>
      </c>
      <c r="C320" s="1" t="n">
        <v>45911</v>
      </c>
      <c r="D320" t="inlineStr">
        <is>
          <t>KALMAR LÄN</t>
        </is>
      </c>
      <c r="E320" t="inlineStr">
        <is>
          <t>VIMMERBY</t>
        </is>
      </c>
      <c r="G320" t="n">
        <v>3.7</v>
      </c>
      <c r="H320" t="n">
        <v>0</v>
      </c>
      <c r="I320" t="n">
        <v>0</v>
      </c>
      <c r="J320" t="n">
        <v>0</v>
      </c>
      <c r="K320" t="n">
        <v>0</v>
      </c>
      <c r="L320" t="n">
        <v>0</v>
      </c>
      <c r="M320" t="n">
        <v>0</v>
      </c>
      <c r="N320" t="n">
        <v>0</v>
      </c>
      <c r="O320" t="n">
        <v>0</v>
      </c>
      <c r="P320" t="n">
        <v>0</v>
      </c>
      <c r="Q320" t="n">
        <v>0</v>
      </c>
      <c r="R320" s="2" t="inlineStr"/>
    </row>
    <row r="321" ht="15" customHeight="1">
      <c r="A321" t="inlineStr">
        <is>
          <t>A 29180-2024</t>
        </is>
      </c>
      <c r="B321" s="1" t="n">
        <v>45482.54108796296</v>
      </c>
      <c r="C321" s="1" t="n">
        <v>45911</v>
      </c>
      <c r="D321" t="inlineStr">
        <is>
          <t>KALMAR LÄN</t>
        </is>
      </c>
      <c r="E321" t="inlineStr">
        <is>
          <t>VIMMERBY</t>
        </is>
      </c>
      <c r="G321" t="n">
        <v>3.8</v>
      </c>
      <c r="H321" t="n">
        <v>0</v>
      </c>
      <c r="I321" t="n">
        <v>0</v>
      </c>
      <c r="J321" t="n">
        <v>0</v>
      </c>
      <c r="K321" t="n">
        <v>0</v>
      </c>
      <c r="L321" t="n">
        <v>0</v>
      </c>
      <c r="M321" t="n">
        <v>0</v>
      </c>
      <c r="N321" t="n">
        <v>0</v>
      </c>
      <c r="O321" t="n">
        <v>0</v>
      </c>
      <c r="P321" t="n">
        <v>0</v>
      </c>
      <c r="Q321" t="n">
        <v>0</v>
      </c>
      <c r="R321" s="2" t="inlineStr"/>
    </row>
    <row r="322" ht="15" customHeight="1">
      <c r="A322" t="inlineStr">
        <is>
          <t>A 26124-2025</t>
        </is>
      </c>
      <c r="B322" s="1" t="n">
        <v>45805.39247685186</v>
      </c>
      <c r="C322" s="1" t="n">
        <v>45911</v>
      </c>
      <c r="D322" t="inlineStr">
        <is>
          <t>KALMAR LÄN</t>
        </is>
      </c>
      <c r="E322" t="inlineStr">
        <is>
          <t>VIMMERBY</t>
        </is>
      </c>
      <c r="G322" t="n">
        <v>6.6</v>
      </c>
      <c r="H322" t="n">
        <v>0</v>
      </c>
      <c r="I322" t="n">
        <v>0</v>
      </c>
      <c r="J322" t="n">
        <v>0</v>
      </c>
      <c r="K322" t="n">
        <v>0</v>
      </c>
      <c r="L322" t="n">
        <v>0</v>
      </c>
      <c r="M322" t="n">
        <v>0</v>
      </c>
      <c r="N322" t="n">
        <v>0</v>
      </c>
      <c r="O322" t="n">
        <v>0</v>
      </c>
      <c r="P322" t="n">
        <v>0</v>
      </c>
      <c r="Q322" t="n">
        <v>0</v>
      </c>
      <c r="R322" s="2" t="inlineStr"/>
    </row>
    <row r="323" ht="15" customHeight="1">
      <c r="A323" t="inlineStr">
        <is>
          <t>A 1799-2025</t>
        </is>
      </c>
      <c r="B323" s="1" t="n">
        <v>45671.46746527778</v>
      </c>
      <c r="C323" s="1" t="n">
        <v>45911</v>
      </c>
      <c r="D323" t="inlineStr">
        <is>
          <t>KALMAR LÄN</t>
        </is>
      </c>
      <c r="E323" t="inlineStr">
        <is>
          <t>VIMMERBY</t>
        </is>
      </c>
      <c r="G323" t="n">
        <v>3.3</v>
      </c>
      <c r="H323" t="n">
        <v>0</v>
      </c>
      <c r="I323" t="n">
        <v>0</v>
      </c>
      <c r="J323" t="n">
        <v>0</v>
      </c>
      <c r="K323" t="n">
        <v>0</v>
      </c>
      <c r="L323" t="n">
        <v>0</v>
      </c>
      <c r="M323" t="n">
        <v>0</v>
      </c>
      <c r="N323" t="n">
        <v>0</v>
      </c>
      <c r="O323" t="n">
        <v>0</v>
      </c>
      <c r="P323" t="n">
        <v>0</v>
      </c>
      <c r="Q323" t="n">
        <v>0</v>
      </c>
      <c r="R323" s="2" t="inlineStr"/>
    </row>
    <row r="324" ht="15" customHeight="1">
      <c r="A324" t="inlineStr">
        <is>
          <t>A 29783-2024</t>
        </is>
      </c>
      <c r="B324" s="1" t="n">
        <v>45485.45778935185</v>
      </c>
      <c r="C324" s="1" t="n">
        <v>45911</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26254-2025</t>
        </is>
      </c>
      <c r="B325" s="1" t="n">
        <v>45805</v>
      </c>
      <c r="C325" s="1" t="n">
        <v>45911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54838-2024</t>
        </is>
      </c>
      <c r="B326" s="1" t="n">
        <v>45618.56787037037</v>
      </c>
      <c r="C326" s="1" t="n">
        <v>45911</v>
      </c>
      <c r="D326" t="inlineStr">
        <is>
          <t>KALMAR LÄN</t>
        </is>
      </c>
      <c r="E326" t="inlineStr">
        <is>
          <t>VIMMERBY</t>
        </is>
      </c>
      <c r="G326" t="n">
        <v>3.3</v>
      </c>
      <c r="H326" t="n">
        <v>0</v>
      </c>
      <c r="I326" t="n">
        <v>0</v>
      </c>
      <c r="J326" t="n">
        <v>0</v>
      </c>
      <c r="K326" t="n">
        <v>0</v>
      </c>
      <c r="L326" t="n">
        <v>0</v>
      </c>
      <c r="M326" t="n">
        <v>0</v>
      </c>
      <c r="N326" t="n">
        <v>0</v>
      </c>
      <c r="O326" t="n">
        <v>0</v>
      </c>
      <c r="P326" t="n">
        <v>0</v>
      </c>
      <c r="Q326" t="n">
        <v>0</v>
      </c>
      <c r="R326" s="2" t="inlineStr"/>
    </row>
    <row r="327" ht="15" customHeight="1">
      <c r="A327" t="inlineStr">
        <is>
          <t>A 2462-2022</t>
        </is>
      </c>
      <c r="B327" s="1" t="n">
        <v>44579.62225694444</v>
      </c>
      <c r="C327" s="1" t="n">
        <v>45911</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25987-2024</t>
        </is>
      </c>
      <c r="B328" s="1" t="n">
        <v>45467.74417824074</v>
      </c>
      <c r="C328" s="1" t="n">
        <v>45911</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25109-2023</t>
        </is>
      </c>
      <c r="B329" s="1" t="n">
        <v>45086</v>
      </c>
      <c r="C329" s="1" t="n">
        <v>45911</v>
      </c>
      <c r="D329" t="inlineStr">
        <is>
          <t>KALMAR LÄN</t>
        </is>
      </c>
      <c r="E329" t="inlineStr">
        <is>
          <t>VIMMERBY</t>
        </is>
      </c>
      <c r="G329" t="n">
        <v>1.5</v>
      </c>
      <c r="H329" t="n">
        <v>0</v>
      </c>
      <c r="I329" t="n">
        <v>0</v>
      </c>
      <c r="J329" t="n">
        <v>0</v>
      </c>
      <c r="K329" t="n">
        <v>0</v>
      </c>
      <c r="L329" t="n">
        <v>0</v>
      </c>
      <c r="M329" t="n">
        <v>0</v>
      </c>
      <c r="N329" t="n">
        <v>0</v>
      </c>
      <c r="O329" t="n">
        <v>0</v>
      </c>
      <c r="P329" t="n">
        <v>0</v>
      </c>
      <c r="Q329" t="n">
        <v>0</v>
      </c>
      <c r="R329" s="2" t="inlineStr"/>
    </row>
    <row r="330" ht="15" customHeight="1">
      <c r="A330" t="inlineStr">
        <is>
          <t>A 61878-2020</t>
        </is>
      </c>
      <c r="B330" s="1" t="n">
        <v>44159</v>
      </c>
      <c r="C330" s="1" t="n">
        <v>45911</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62023-2022</t>
        </is>
      </c>
      <c r="B331" s="1" t="n">
        <v>44918.50106481482</v>
      </c>
      <c r="C331" s="1" t="n">
        <v>45911</v>
      </c>
      <c r="D331" t="inlineStr">
        <is>
          <t>KALMAR LÄN</t>
        </is>
      </c>
      <c r="E331" t="inlineStr">
        <is>
          <t>VIMMERBY</t>
        </is>
      </c>
      <c r="G331" t="n">
        <v>0.3</v>
      </c>
      <c r="H331" t="n">
        <v>0</v>
      </c>
      <c r="I331" t="n">
        <v>0</v>
      </c>
      <c r="J331" t="n">
        <v>0</v>
      </c>
      <c r="K331" t="n">
        <v>0</v>
      </c>
      <c r="L331" t="n">
        <v>0</v>
      </c>
      <c r="M331" t="n">
        <v>0</v>
      </c>
      <c r="N331" t="n">
        <v>0</v>
      </c>
      <c r="O331" t="n">
        <v>0</v>
      </c>
      <c r="P331" t="n">
        <v>0</v>
      </c>
      <c r="Q331" t="n">
        <v>0</v>
      </c>
      <c r="R331" s="2" t="inlineStr"/>
    </row>
    <row r="332" ht="15" customHeight="1">
      <c r="A332" t="inlineStr">
        <is>
          <t>A 58104-2024</t>
        </is>
      </c>
      <c r="B332" s="1" t="n">
        <v>45632.37459490741</v>
      </c>
      <c r="C332" s="1" t="n">
        <v>45911</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12215-2024</t>
        </is>
      </c>
      <c r="B333" s="1" t="n">
        <v>45378.32185185186</v>
      </c>
      <c r="C333" s="1" t="n">
        <v>45911</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30920-2024</t>
        </is>
      </c>
      <c r="B334" s="1" t="n">
        <v>45498.673125</v>
      </c>
      <c r="C334" s="1" t="n">
        <v>45911</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56536-2022</t>
        </is>
      </c>
      <c r="B335" s="1" t="n">
        <v>44893</v>
      </c>
      <c r="C335" s="1" t="n">
        <v>45911</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13015-2022</t>
        </is>
      </c>
      <c r="B336" s="1" t="n">
        <v>44643</v>
      </c>
      <c r="C336" s="1" t="n">
        <v>45911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63541-2023</t>
        </is>
      </c>
      <c r="B337" s="1" t="n">
        <v>45275.32266203704</v>
      </c>
      <c r="C337" s="1" t="n">
        <v>45911</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37323-2024</t>
        </is>
      </c>
      <c r="B338" s="1" t="n">
        <v>45540.50098379629</v>
      </c>
      <c r="C338" s="1" t="n">
        <v>45911</v>
      </c>
      <c r="D338" t="inlineStr">
        <is>
          <t>KALMAR LÄN</t>
        </is>
      </c>
      <c r="E338" t="inlineStr">
        <is>
          <t>VIMMERBY</t>
        </is>
      </c>
      <c r="G338" t="n">
        <v>1.2</v>
      </c>
      <c r="H338" t="n">
        <v>0</v>
      </c>
      <c r="I338" t="n">
        <v>0</v>
      </c>
      <c r="J338" t="n">
        <v>0</v>
      </c>
      <c r="K338" t="n">
        <v>0</v>
      </c>
      <c r="L338" t="n">
        <v>0</v>
      </c>
      <c r="M338" t="n">
        <v>0</v>
      </c>
      <c r="N338" t="n">
        <v>0</v>
      </c>
      <c r="O338" t="n">
        <v>0</v>
      </c>
      <c r="P338" t="n">
        <v>0</v>
      </c>
      <c r="Q338" t="n">
        <v>0</v>
      </c>
      <c r="R338" s="2" t="inlineStr"/>
    </row>
    <row r="339" ht="15" customHeight="1">
      <c r="A339" t="inlineStr">
        <is>
          <t>A 4624-2024</t>
        </is>
      </c>
      <c r="B339" s="1" t="n">
        <v>45328.38755787037</v>
      </c>
      <c r="C339" s="1" t="n">
        <v>45911</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26207-2025</t>
        </is>
      </c>
      <c r="B340" s="1" t="n">
        <v>45805.52983796296</v>
      </c>
      <c r="C340" s="1" t="n">
        <v>45911</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9129-2025</t>
        </is>
      </c>
      <c r="B341" s="1" t="n">
        <v>45713.92412037037</v>
      </c>
      <c r="C341" s="1" t="n">
        <v>45911</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54917-2020</t>
        </is>
      </c>
      <c r="B342" s="1" t="n">
        <v>44127</v>
      </c>
      <c r="C342" s="1" t="n">
        <v>45911</v>
      </c>
      <c r="D342" t="inlineStr">
        <is>
          <t>KALMAR LÄN</t>
        </is>
      </c>
      <c r="E342" t="inlineStr">
        <is>
          <t>VIMMERBY</t>
        </is>
      </c>
      <c r="G342" t="n">
        <v>9.5</v>
      </c>
      <c r="H342" t="n">
        <v>0</v>
      </c>
      <c r="I342" t="n">
        <v>0</v>
      </c>
      <c r="J342" t="n">
        <v>0</v>
      </c>
      <c r="K342" t="n">
        <v>0</v>
      </c>
      <c r="L342" t="n">
        <v>0</v>
      </c>
      <c r="M342" t="n">
        <v>0</v>
      </c>
      <c r="N342" t="n">
        <v>0</v>
      </c>
      <c r="O342" t="n">
        <v>0</v>
      </c>
      <c r="P342" t="n">
        <v>0</v>
      </c>
      <c r="Q342" t="n">
        <v>0</v>
      </c>
      <c r="R342" s="2" t="inlineStr"/>
    </row>
    <row r="343" ht="15" customHeight="1">
      <c r="A343" t="inlineStr">
        <is>
          <t>A 22643-2023</t>
        </is>
      </c>
      <c r="B343" s="1" t="n">
        <v>45071</v>
      </c>
      <c r="C343" s="1" t="n">
        <v>45911</v>
      </c>
      <c r="D343" t="inlineStr">
        <is>
          <t>KALMAR LÄN</t>
        </is>
      </c>
      <c r="E343" t="inlineStr">
        <is>
          <t>VIMMERBY</t>
        </is>
      </c>
      <c r="G343" t="n">
        <v>3.9</v>
      </c>
      <c r="H343" t="n">
        <v>0</v>
      </c>
      <c r="I343" t="n">
        <v>0</v>
      </c>
      <c r="J343" t="n">
        <v>0</v>
      </c>
      <c r="K343" t="n">
        <v>0</v>
      </c>
      <c r="L343" t="n">
        <v>0</v>
      </c>
      <c r="M343" t="n">
        <v>0</v>
      </c>
      <c r="N343" t="n">
        <v>0</v>
      </c>
      <c r="O343" t="n">
        <v>0</v>
      </c>
      <c r="P343" t="n">
        <v>0</v>
      </c>
      <c r="Q343" t="n">
        <v>0</v>
      </c>
      <c r="R343" s="2" t="inlineStr"/>
    </row>
    <row r="344" ht="15" customHeight="1">
      <c r="A344" t="inlineStr">
        <is>
          <t>A 11429-2022</t>
        </is>
      </c>
      <c r="B344" s="1" t="n">
        <v>44630</v>
      </c>
      <c r="C344" s="1" t="n">
        <v>45911</v>
      </c>
      <c r="D344" t="inlineStr">
        <is>
          <t>KALMAR LÄN</t>
        </is>
      </c>
      <c r="E344" t="inlineStr">
        <is>
          <t>VIMMERBY</t>
        </is>
      </c>
      <c r="G344" t="n">
        <v>2.6</v>
      </c>
      <c r="H344" t="n">
        <v>0</v>
      </c>
      <c r="I344" t="n">
        <v>0</v>
      </c>
      <c r="J344" t="n">
        <v>0</v>
      </c>
      <c r="K344" t="n">
        <v>0</v>
      </c>
      <c r="L344" t="n">
        <v>0</v>
      </c>
      <c r="M344" t="n">
        <v>0</v>
      </c>
      <c r="N344" t="n">
        <v>0</v>
      </c>
      <c r="O344" t="n">
        <v>0</v>
      </c>
      <c r="P344" t="n">
        <v>0</v>
      </c>
      <c r="Q344" t="n">
        <v>0</v>
      </c>
      <c r="R344" s="2" t="inlineStr"/>
    </row>
    <row r="345" ht="15" customHeight="1">
      <c r="A345" t="inlineStr">
        <is>
          <t>A 56582-2022</t>
        </is>
      </c>
      <c r="B345" s="1" t="n">
        <v>44893</v>
      </c>
      <c r="C345" s="1" t="n">
        <v>45911</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6408-2025</t>
        </is>
      </c>
      <c r="B346" s="1" t="n">
        <v>45699.45671296296</v>
      </c>
      <c r="C346" s="1" t="n">
        <v>45911</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11609-2023</t>
        </is>
      </c>
      <c r="B347" s="1" t="n">
        <v>44994.40635416667</v>
      </c>
      <c r="C347" s="1" t="n">
        <v>45911</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34597-2022</t>
        </is>
      </c>
      <c r="B348" s="1" t="n">
        <v>44795</v>
      </c>
      <c r="C348" s="1" t="n">
        <v>45911</v>
      </c>
      <c r="D348" t="inlineStr">
        <is>
          <t>KALMAR LÄN</t>
        </is>
      </c>
      <c r="E348" t="inlineStr">
        <is>
          <t>VIMMERBY</t>
        </is>
      </c>
      <c r="G348" t="n">
        <v>2.2</v>
      </c>
      <c r="H348" t="n">
        <v>0</v>
      </c>
      <c r="I348" t="n">
        <v>0</v>
      </c>
      <c r="J348" t="n">
        <v>0</v>
      </c>
      <c r="K348" t="n">
        <v>0</v>
      </c>
      <c r="L348" t="n">
        <v>0</v>
      </c>
      <c r="M348" t="n">
        <v>0</v>
      </c>
      <c r="N348" t="n">
        <v>0</v>
      </c>
      <c r="O348" t="n">
        <v>0</v>
      </c>
      <c r="P348" t="n">
        <v>0</v>
      </c>
      <c r="Q348" t="n">
        <v>0</v>
      </c>
      <c r="R348" s="2" t="inlineStr"/>
    </row>
    <row r="349" ht="15" customHeight="1">
      <c r="A349" t="inlineStr">
        <is>
          <t>A 44464-2024</t>
        </is>
      </c>
      <c r="B349" s="1" t="n">
        <v>45574.35809027778</v>
      </c>
      <c r="C349" s="1" t="n">
        <v>45911</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40079-2023</t>
        </is>
      </c>
      <c r="B350" s="1" t="n">
        <v>45168.89298611111</v>
      </c>
      <c r="C350" s="1" t="n">
        <v>45911</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41066-2024</t>
        </is>
      </c>
      <c r="B351" s="1" t="n">
        <v>45559.38876157408</v>
      </c>
      <c r="C351" s="1" t="n">
        <v>45911</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19833-2023</t>
        </is>
      </c>
      <c r="B352" s="1" t="n">
        <v>45052</v>
      </c>
      <c r="C352" s="1" t="n">
        <v>45911</v>
      </c>
      <c r="D352" t="inlineStr">
        <is>
          <t>KALMAR LÄN</t>
        </is>
      </c>
      <c r="E352" t="inlineStr">
        <is>
          <t>VIMMERBY</t>
        </is>
      </c>
      <c r="G352" t="n">
        <v>6.7</v>
      </c>
      <c r="H352" t="n">
        <v>0</v>
      </c>
      <c r="I352" t="n">
        <v>0</v>
      </c>
      <c r="J352" t="n">
        <v>0</v>
      </c>
      <c r="K352" t="n">
        <v>0</v>
      </c>
      <c r="L352" t="n">
        <v>0</v>
      </c>
      <c r="M352" t="n">
        <v>0</v>
      </c>
      <c r="N352" t="n">
        <v>0</v>
      </c>
      <c r="O352" t="n">
        <v>0</v>
      </c>
      <c r="P352" t="n">
        <v>0</v>
      </c>
      <c r="Q352" t="n">
        <v>0</v>
      </c>
      <c r="R352" s="2" t="inlineStr"/>
    </row>
    <row r="353" ht="15" customHeight="1">
      <c r="A353" t="inlineStr">
        <is>
          <t>A 3816-2022</t>
        </is>
      </c>
      <c r="B353" s="1" t="n">
        <v>44587</v>
      </c>
      <c r="C353" s="1" t="n">
        <v>45911</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1081-2023</t>
        </is>
      </c>
      <c r="B354" s="1" t="n">
        <v>44935</v>
      </c>
      <c r="C354" s="1" t="n">
        <v>45911</v>
      </c>
      <c r="D354" t="inlineStr">
        <is>
          <t>KALMAR LÄN</t>
        </is>
      </c>
      <c r="E354" t="inlineStr">
        <is>
          <t>VIMMERBY</t>
        </is>
      </c>
      <c r="G354" t="n">
        <v>1.3</v>
      </c>
      <c r="H354" t="n">
        <v>0</v>
      </c>
      <c r="I354" t="n">
        <v>0</v>
      </c>
      <c r="J354" t="n">
        <v>0</v>
      </c>
      <c r="K354" t="n">
        <v>0</v>
      </c>
      <c r="L354" t="n">
        <v>0</v>
      </c>
      <c r="M354" t="n">
        <v>0</v>
      </c>
      <c r="N354" t="n">
        <v>0</v>
      </c>
      <c r="O354" t="n">
        <v>0</v>
      </c>
      <c r="P354" t="n">
        <v>0</v>
      </c>
      <c r="Q354" t="n">
        <v>0</v>
      </c>
      <c r="R354" s="2" t="inlineStr"/>
    </row>
    <row r="355" ht="15" customHeight="1">
      <c r="A355" t="inlineStr">
        <is>
          <t>A 7047-2022</t>
        </is>
      </c>
      <c r="B355" s="1" t="n">
        <v>44603</v>
      </c>
      <c r="C355" s="1" t="n">
        <v>45911</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12499-2023</t>
        </is>
      </c>
      <c r="B356" s="1" t="n">
        <v>44999.86172453704</v>
      </c>
      <c r="C356" s="1" t="n">
        <v>45911</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12500-2023</t>
        </is>
      </c>
      <c r="B357" s="1" t="n">
        <v>44999.8625</v>
      </c>
      <c r="C357" s="1" t="n">
        <v>45911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17084-2025</t>
        </is>
      </c>
      <c r="B358" s="1" t="n">
        <v>45755.64450231481</v>
      </c>
      <c r="C358" s="1" t="n">
        <v>45911</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6066-2023</t>
        </is>
      </c>
      <c r="B359" s="1" t="n">
        <v>44964.50894675926</v>
      </c>
      <c r="C359" s="1" t="n">
        <v>45911</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56022-2024</t>
        </is>
      </c>
      <c r="B360" s="1" t="n">
        <v>45623.95947916667</v>
      </c>
      <c r="C360" s="1" t="n">
        <v>45911</v>
      </c>
      <c r="D360" t="inlineStr">
        <is>
          <t>KALMAR LÄN</t>
        </is>
      </c>
      <c r="E360" t="inlineStr">
        <is>
          <t>VIMMERBY</t>
        </is>
      </c>
      <c r="G360" t="n">
        <v>0.3</v>
      </c>
      <c r="H360" t="n">
        <v>0</v>
      </c>
      <c r="I360" t="n">
        <v>0</v>
      </c>
      <c r="J360" t="n">
        <v>0</v>
      </c>
      <c r="K360" t="n">
        <v>0</v>
      </c>
      <c r="L360" t="n">
        <v>0</v>
      </c>
      <c r="M360" t="n">
        <v>0</v>
      </c>
      <c r="N360" t="n">
        <v>0</v>
      </c>
      <c r="O360" t="n">
        <v>0</v>
      </c>
      <c r="P360" t="n">
        <v>0</v>
      </c>
      <c r="Q360" t="n">
        <v>0</v>
      </c>
      <c r="R360" s="2" t="inlineStr"/>
    </row>
    <row r="361" ht="15" customHeight="1">
      <c r="A361" t="inlineStr">
        <is>
          <t>A 11928-2022</t>
        </is>
      </c>
      <c r="B361" s="1" t="n">
        <v>44635</v>
      </c>
      <c r="C361" s="1" t="n">
        <v>45911</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33103-2024</t>
        </is>
      </c>
      <c r="B362" s="1" t="n">
        <v>45517.8162037037</v>
      </c>
      <c r="C362" s="1" t="n">
        <v>45911</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33161-2024</t>
        </is>
      </c>
      <c r="B363" s="1" t="n">
        <v>45518.40657407408</v>
      </c>
      <c r="C363" s="1" t="n">
        <v>45911</v>
      </c>
      <c r="D363" t="inlineStr">
        <is>
          <t>KALMAR LÄN</t>
        </is>
      </c>
      <c r="E363" t="inlineStr">
        <is>
          <t>VIMMERBY</t>
        </is>
      </c>
      <c r="G363" t="n">
        <v>4.7</v>
      </c>
      <c r="H363" t="n">
        <v>0</v>
      </c>
      <c r="I363" t="n">
        <v>0</v>
      </c>
      <c r="J363" t="n">
        <v>0</v>
      </c>
      <c r="K363" t="n">
        <v>0</v>
      </c>
      <c r="L363" t="n">
        <v>0</v>
      </c>
      <c r="M363" t="n">
        <v>0</v>
      </c>
      <c r="N363" t="n">
        <v>0</v>
      </c>
      <c r="O363" t="n">
        <v>0</v>
      </c>
      <c r="P363" t="n">
        <v>0</v>
      </c>
      <c r="Q363" t="n">
        <v>0</v>
      </c>
      <c r="R363" s="2" t="inlineStr"/>
    </row>
    <row r="364" ht="15" customHeight="1">
      <c r="A364" t="inlineStr">
        <is>
          <t>A 12510-2022</t>
        </is>
      </c>
      <c r="B364" s="1" t="n">
        <v>44638.55256944444</v>
      </c>
      <c r="C364" s="1" t="n">
        <v>45911</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1146-2025</t>
        </is>
      </c>
      <c r="B365" s="1" t="n">
        <v>45666</v>
      </c>
      <c r="C365" s="1" t="n">
        <v>45911</v>
      </c>
      <c r="D365" t="inlineStr">
        <is>
          <t>KALMAR LÄN</t>
        </is>
      </c>
      <c r="E365" t="inlineStr">
        <is>
          <t>VIMMERBY</t>
        </is>
      </c>
      <c r="G365" t="n">
        <v>4</v>
      </c>
      <c r="H365" t="n">
        <v>0</v>
      </c>
      <c r="I365" t="n">
        <v>0</v>
      </c>
      <c r="J365" t="n">
        <v>0</v>
      </c>
      <c r="K365" t="n">
        <v>0</v>
      </c>
      <c r="L365" t="n">
        <v>0</v>
      </c>
      <c r="M365" t="n">
        <v>0</v>
      </c>
      <c r="N365" t="n">
        <v>0</v>
      </c>
      <c r="O365" t="n">
        <v>0</v>
      </c>
      <c r="P365" t="n">
        <v>0</v>
      </c>
      <c r="Q365" t="n">
        <v>0</v>
      </c>
      <c r="R365" s="2" t="inlineStr"/>
    </row>
    <row r="366" ht="15" customHeight="1">
      <c r="A366" t="inlineStr">
        <is>
          <t>A 5527-2022</t>
        </is>
      </c>
      <c r="B366" s="1" t="n">
        <v>44595.583125</v>
      </c>
      <c r="C366" s="1" t="n">
        <v>45911</v>
      </c>
      <c r="D366" t="inlineStr">
        <is>
          <t>KALMAR LÄN</t>
        </is>
      </c>
      <c r="E366" t="inlineStr">
        <is>
          <t>VIMMERBY</t>
        </is>
      </c>
      <c r="G366" t="n">
        <v>3.6</v>
      </c>
      <c r="H366" t="n">
        <v>0</v>
      </c>
      <c r="I366" t="n">
        <v>0</v>
      </c>
      <c r="J366" t="n">
        <v>0</v>
      </c>
      <c r="K366" t="n">
        <v>0</v>
      </c>
      <c r="L366" t="n">
        <v>0</v>
      </c>
      <c r="M366" t="n">
        <v>0</v>
      </c>
      <c r="N366" t="n">
        <v>0</v>
      </c>
      <c r="O366" t="n">
        <v>0</v>
      </c>
      <c r="P366" t="n">
        <v>0</v>
      </c>
      <c r="Q366" t="n">
        <v>0</v>
      </c>
      <c r="R366" s="2" t="inlineStr"/>
    </row>
    <row r="367" ht="15" customHeight="1">
      <c r="A367" t="inlineStr">
        <is>
          <t>A 12890-2023</t>
        </is>
      </c>
      <c r="B367" s="1" t="n">
        <v>45001.59209490741</v>
      </c>
      <c r="C367" s="1" t="n">
        <v>45911</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3902-2022</t>
        </is>
      </c>
      <c r="B368" s="1" t="n">
        <v>44587.48847222222</v>
      </c>
      <c r="C368" s="1" t="n">
        <v>45911</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49461-2023</t>
        </is>
      </c>
      <c r="B369" s="1" t="n">
        <v>45211.52642361111</v>
      </c>
      <c r="C369" s="1" t="n">
        <v>45911</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49474-2023</t>
        </is>
      </c>
      <c r="B370" s="1" t="n">
        <v>45211.541875</v>
      </c>
      <c r="C370" s="1" t="n">
        <v>45911</v>
      </c>
      <c r="D370" t="inlineStr">
        <is>
          <t>KALMAR LÄN</t>
        </is>
      </c>
      <c r="E370" t="inlineStr">
        <is>
          <t>VIMMERBY</t>
        </is>
      </c>
      <c r="G370" t="n">
        <v>3.6</v>
      </c>
      <c r="H370" t="n">
        <v>0</v>
      </c>
      <c r="I370" t="n">
        <v>0</v>
      </c>
      <c r="J370" t="n">
        <v>0</v>
      </c>
      <c r="K370" t="n">
        <v>0</v>
      </c>
      <c r="L370" t="n">
        <v>0</v>
      </c>
      <c r="M370" t="n">
        <v>0</v>
      </c>
      <c r="N370" t="n">
        <v>0</v>
      </c>
      <c r="O370" t="n">
        <v>0</v>
      </c>
      <c r="P370" t="n">
        <v>0</v>
      </c>
      <c r="Q370" t="n">
        <v>0</v>
      </c>
      <c r="R370" s="2" t="inlineStr"/>
    </row>
    <row r="371" ht="15" customHeight="1">
      <c r="A371" t="inlineStr">
        <is>
          <t>A 89-2023</t>
        </is>
      </c>
      <c r="B371" s="1" t="n">
        <v>44918</v>
      </c>
      <c r="C371" s="1" t="n">
        <v>45911</v>
      </c>
      <c r="D371" t="inlineStr">
        <is>
          <t>KALMAR LÄN</t>
        </is>
      </c>
      <c r="E371" t="inlineStr">
        <is>
          <t>VIMMERBY</t>
        </is>
      </c>
      <c r="G371" t="n">
        <v>16.1</v>
      </c>
      <c r="H371" t="n">
        <v>0</v>
      </c>
      <c r="I371" t="n">
        <v>0</v>
      </c>
      <c r="J371" t="n">
        <v>0</v>
      </c>
      <c r="K371" t="n">
        <v>0</v>
      </c>
      <c r="L371" t="n">
        <v>0</v>
      </c>
      <c r="M371" t="n">
        <v>0</v>
      </c>
      <c r="N371" t="n">
        <v>0</v>
      </c>
      <c r="O371" t="n">
        <v>0</v>
      </c>
      <c r="P371" t="n">
        <v>0</v>
      </c>
      <c r="Q371" t="n">
        <v>0</v>
      </c>
      <c r="R371" s="2" t="inlineStr"/>
    </row>
    <row r="372" ht="15" customHeight="1">
      <c r="A372" t="inlineStr">
        <is>
          <t>A 27719-2025</t>
        </is>
      </c>
      <c r="B372" s="1" t="n">
        <v>45814.3865625</v>
      </c>
      <c r="C372" s="1" t="n">
        <v>45911</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61861-2024</t>
        </is>
      </c>
      <c r="B373" s="1" t="n">
        <v>45650.37370370371</v>
      </c>
      <c r="C373" s="1" t="n">
        <v>45911</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27718-2025</t>
        </is>
      </c>
      <c r="B374" s="1" t="n">
        <v>45814.38221064815</v>
      </c>
      <c r="C374" s="1" t="n">
        <v>45911</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5382-2023</t>
        </is>
      </c>
      <c r="B375" s="1" t="n">
        <v>44959.66407407408</v>
      </c>
      <c r="C375" s="1" t="n">
        <v>45911</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6668-2023</t>
        </is>
      </c>
      <c r="B376" s="1" t="n">
        <v>44966</v>
      </c>
      <c r="C376" s="1" t="n">
        <v>45911</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45846-2023</t>
        </is>
      </c>
      <c r="B377" s="1" t="n">
        <v>45195.58452546296</v>
      </c>
      <c r="C377" s="1" t="n">
        <v>45911</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172-2022</t>
        </is>
      </c>
      <c r="B378" s="1" t="n">
        <v>44564.62598379629</v>
      </c>
      <c r="C378" s="1" t="n">
        <v>45911</v>
      </c>
      <c r="D378" t="inlineStr">
        <is>
          <t>KALMAR LÄN</t>
        </is>
      </c>
      <c r="E378" t="inlineStr">
        <is>
          <t>VIMMERBY</t>
        </is>
      </c>
      <c r="G378" t="n">
        <v>2.1</v>
      </c>
      <c r="H378" t="n">
        <v>0</v>
      </c>
      <c r="I378" t="n">
        <v>0</v>
      </c>
      <c r="J378" t="n">
        <v>0</v>
      </c>
      <c r="K378" t="n">
        <v>0</v>
      </c>
      <c r="L378" t="n">
        <v>0</v>
      </c>
      <c r="M378" t="n">
        <v>0</v>
      </c>
      <c r="N378" t="n">
        <v>0</v>
      </c>
      <c r="O378" t="n">
        <v>0</v>
      </c>
      <c r="P378" t="n">
        <v>0</v>
      </c>
      <c r="Q378" t="n">
        <v>0</v>
      </c>
      <c r="R378" s="2" t="inlineStr"/>
    </row>
    <row r="379" ht="15" customHeight="1">
      <c r="A379" t="inlineStr">
        <is>
          <t>A 8167-2024</t>
        </is>
      </c>
      <c r="B379" s="1" t="n">
        <v>45351.6062962963</v>
      </c>
      <c r="C379" s="1" t="n">
        <v>45911</v>
      </c>
      <c r="D379" t="inlineStr">
        <is>
          <t>KALMAR LÄN</t>
        </is>
      </c>
      <c r="E379" t="inlineStr">
        <is>
          <t>VIMMERBY</t>
        </is>
      </c>
      <c r="G379" t="n">
        <v>3.8</v>
      </c>
      <c r="H379" t="n">
        <v>0</v>
      </c>
      <c r="I379" t="n">
        <v>0</v>
      </c>
      <c r="J379" t="n">
        <v>0</v>
      </c>
      <c r="K379" t="n">
        <v>0</v>
      </c>
      <c r="L379" t="n">
        <v>0</v>
      </c>
      <c r="M379" t="n">
        <v>0</v>
      </c>
      <c r="N379" t="n">
        <v>0</v>
      </c>
      <c r="O379" t="n">
        <v>0</v>
      </c>
      <c r="P379" t="n">
        <v>0</v>
      </c>
      <c r="Q379" t="n">
        <v>0</v>
      </c>
      <c r="R379" s="2" t="inlineStr"/>
    </row>
    <row r="380" ht="15" customHeight="1">
      <c r="A380" t="inlineStr">
        <is>
          <t>A 30634-2024</t>
        </is>
      </c>
      <c r="B380" s="1" t="n">
        <v>45495</v>
      </c>
      <c r="C380" s="1" t="n">
        <v>45911</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6355-2022</t>
        </is>
      </c>
      <c r="B381" s="1" t="n">
        <v>44600</v>
      </c>
      <c r="C381" s="1" t="n">
        <v>45911</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28290-2025</t>
        </is>
      </c>
      <c r="B382" s="1" t="n">
        <v>45818.59261574074</v>
      </c>
      <c r="C382" s="1" t="n">
        <v>45911</v>
      </c>
      <c r="D382" t="inlineStr">
        <is>
          <t>KALMAR LÄN</t>
        </is>
      </c>
      <c r="E382" t="inlineStr">
        <is>
          <t>VIMMERBY</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49382-2023</t>
        </is>
      </c>
      <c r="B383" s="1" t="n">
        <v>45208</v>
      </c>
      <c r="C383" s="1" t="n">
        <v>45911</v>
      </c>
      <c r="D383" t="inlineStr">
        <is>
          <t>KALMAR LÄN</t>
        </is>
      </c>
      <c r="E383" t="inlineStr">
        <is>
          <t>VIMMERBY</t>
        </is>
      </c>
      <c r="G383" t="n">
        <v>2.2</v>
      </c>
      <c r="H383" t="n">
        <v>0</v>
      </c>
      <c r="I383" t="n">
        <v>0</v>
      </c>
      <c r="J383" t="n">
        <v>0</v>
      </c>
      <c r="K383" t="n">
        <v>0</v>
      </c>
      <c r="L383" t="n">
        <v>0</v>
      </c>
      <c r="M383" t="n">
        <v>0</v>
      </c>
      <c r="N383" t="n">
        <v>0</v>
      </c>
      <c r="O383" t="n">
        <v>0</v>
      </c>
      <c r="P383" t="n">
        <v>0</v>
      </c>
      <c r="Q383" t="n">
        <v>0</v>
      </c>
      <c r="R383" s="2" t="inlineStr"/>
    </row>
    <row r="384" ht="15" customHeight="1">
      <c r="A384" t="inlineStr">
        <is>
          <t>A 12121-2025</t>
        </is>
      </c>
      <c r="B384" s="1" t="n">
        <v>45729.36868055556</v>
      </c>
      <c r="C384" s="1" t="n">
        <v>45911</v>
      </c>
      <c r="D384" t="inlineStr">
        <is>
          <t>KALMAR LÄN</t>
        </is>
      </c>
      <c r="E384" t="inlineStr">
        <is>
          <t>VIMMERBY</t>
        </is>
      </c>
      <c r="G384" t="n">
        <v>4.3</v>
      </c>
      <c r="H384" t="n">
        <v>0</v>
      </c>
      <c r="I384" t="n">
        <v>0</v>
      </c>
      <c r="J384" t="n">
        <v>0</v>
      </c>
      <c r="K384" t="n">
        <v>0</v>
      </c>
      <c r="L384" t="n">
        <v>0</v>
      </c>
      <c r="M384" t="n">
        <v>0</v>
      </c>
      <c r="N384" t="n">
        <v>0</v>
      </c>
      <c r="O384" t="n">
        <v>0</v>
      </c>
      <c r="P384" t="n">
        <v>0</v>
      </c>
      <c r="Q384" t="n">
        <v>0</v>
      </c>
      <c r="R384" s="2" t="inlineStr"/>
    </row>
    <row r="385" ht="15" customHeight="1">
      <c r="A385" t="inlineStr">
        <is>
          <t>A 16020-2023</t>
        </is>
      </c>
      <c r="B385" s="1" t="n">
        <v>45026.82216435186</v>
      </c>
      <c r="C385" s="1" t="n">
        <v>45911</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28280-2025</t>
        </is>
      </c>
      <c r="B386" s="1" t="n">
        <v>45818.5862037037</v>
      </c>
      <c r="C386" s="1" t="n">
        <v>45911</v>
      </c>
      <c r="D386" t="inlineStr">
        <is>
          <t>KALMAR LÄN</t>
        </is>
      </c>
      <c r="E386" t="inlineStr">
        <is>
          <t>VIMMERBY</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28286-2025</t>
        </is>
      </c>
      <c r="B387" s="1" t="n">
        <v>45818.58993055556</v>
      </c>
      <c r="C387" s="1" t="n">
        <v>45911</v>
      </c>
      <c r="D387" t="inlineStr">
        <is>
          <t>KALMAR LÄN</t>
        </is>
      </c>
      <c r="E387" t="inlineStr">
        <is>
          <t>VIMMERBY</t>
        </is>
      </c>
      <c r="F387" t="inlineStr">
        <is>
          <t>Sveaskog</t>
        </is>
      </c>
      <c r="G387" t="n">
        <v>8</v>
      </c>
      <c r="H387" t="n">
        <v>0</v>
      </c>
      <c r="I387" t="n">
        <v>0</v>
      </c>
      <c r="J387" t="n">
        <v>0</v>
      </c>
      <c r="K387" t="n">
        <v>0</v>
      </c>
      <c r="L387" t="n">
        <v>0</v>
      </c>
      <c r="M387" t="n">
        <v>0</v>
      </c>
      <c r="N387" t="n">
        <v>0</v>
      </c>
      <c r="O387" t="n">
        <v>0</v>
      </c>
      <c r="P387" t="n">
        <v>0</v>
      </c>
      <c r="Q387" t="n">
        <v>0</v>
      </c>
      <c r="R387" s="2" t="inlineStr"/>
    </row>
    <row r="388" ht="15" customHeight="1">
      <c r="A388" t="inlineStr">
        <is>
          <t>A 35846-2023</t>
        </is>
      </c>
      <c r="B388" s="1" t="n">
        <v>45148</v>
      </c>
      <c r="C388" s="1" t="n">
        <v>45911</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60292-2022</t>
        </is>
      </c>
      <c r="B389" s="1" t="n">
        <v>44910.54231481482</v>
      </c>
      <c r="C389" s="1" t="n">
        <v>45911</v>
      </c>
      <c r="D389" t="inlineStr">
        <is>
          <t>KALMAR LÄN</t>
        </is>
      </c>
      <c r="E389" t="inlineStr">
        <is>
          <t>VIMMERBY</t>
        </is>
      </c>
      <c r="G389" t="n">
        <v>4.4</v>
      </c>
      <c r="H389" t="n">
        <v>0</v>
      </c>
      <c r="I389" t="n">
        <v>0</v>
      </c>
      <c r="J389" t="n">
        <v>0</v>
      </c>
      <c r="K389" t="n">
        <v>0</v>
      </c>
      <c r="L389" t="n">
        <v>0</v>
      </c>
      <c r="M389" t="n">
        <v>0</v>
      </c>
      <c r="N389" t="n">
        <v>0</v>
      </c>
      <c r="O389" t="n">
        <v>0</v>
      </c>
      <c r="P389" t="n">
        <v>0</v>
      </c>
      <c r="Q389" t="n">
        <v>0</v>
      </c>
      <c r="R389" s="2" t="inlineStr"/>
    </row>
    <row r="390" ht="15" customHeight="1">
      <c r="A390" t="inlineStr">
        <is>
          <t>A 35913-2023</t>
        </is>
      </c>
      <c r="B390" s="1" t="n">
        <v>45148</v>
      </c>
      <c r="C390" s="1" t="n">
        <v>45911</v>
      </c>
      <c r="D390" t="inlineStr">
        <is>
          <t>KALMAR LÄN</t>
        </is>
      </c>
      <c r="E390" t="inlineStr">
        <is>
          <t>VIMMERBY</t>
        </is>
      </c>
      <c r="G390" t="n">
        <v>6.9</v>
      </c>
      <c r="H390" t="n">
        <v>0</v>
      </c>
      <c r="I390" t="n">
        <v>0</v>
      </c>
      <c r="J390" t="n">
        <v>0</v>
      </c>
      <c r="K390" t="n">
        <v>0</v>
      </c>
      <c r="L390" t="n">
        <v>0</v>
      </c>
      <c r="M390" t="n">
        <v>0</v>
      </c>
      <c r="N390" t="n">
        <v>0</v>
      </c>
      <c r="O390" t="n">
        <v>0</v>
      </c>
      <c r="P390" t="n">
        <v>0</v>
      </c>
      <c r="Q390" t="n">
        <v>0</v>
      </c>
      <c r="R390" s="2" t="inlineStr"/>
    </row>
    <row r="391" ht="15" customHeight="1">
      <c r="A391" t="inlineStr">
        <is>
          <t>A 43034-2024</t>
        </is>
      </c>
      <c r="B391" s="1" t="n">
        <v>45567.42011574074</v>
      </c>
      <c r="C391" s="1" t="n">
        <v>45911</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40256-2024</t>
        </is>
      </c>
      <c r="B392" s="1" t="n">
        <v>45554.62944444444</v>
      </c>
      <c r="C392" s="1" t="n">
        <v>45911</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38757-2023</t>
        </is>
      </c>
      <c r="B393" s="1" t="n">
        <v>45163.41376157408</v>
      </c>
      <c r="C393" s="1" t="n">
        <v>45911</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20136-2024</t>
        </is>
      </c>
      <c r="B394" s="1" t="n">
        <v>45434.56291666667</v>
      </c>
      <c r="C394" s="1" t="n">
        <v>45911</v>
      </c>
      <c r="D394" t="inlineStr">
        <is>
          <t>KALMAR LÄN</t>
        </is>
      </c>
      <c r="E394" t="inlineStr">
        <is>
          <t>VIMMERBY</t>
        </is>
      </c>
      <c r="F394" t="inlineStr">
        <is>
          <t>Sveaskog</t>
        </is>
      </c>
      <c r="G394" t="n">
        <v>8.4</v>
      </c>
      <c r="H394" t="n">
        <v>0</v>
      </c>
      <c r="I394" t="n">
        <v>0</v>
      </c>
      <c r="J394" t="n">
        <v>0</v>
      </c>
      <c r="K394" t="n">
        <v>0</v>
      </c>
      <c r="L394" t="n">
        <v>0</v>
      </c>
      <c r="M394" t="n">
        <v>0</v>
      </c>
      <c r="N394" t="n">
        <v>0</v>
      </c>
      <c r="O394" t="n">
        <v>0</v>
      </c>
      <c r="P394" t="n">
        <v>0</v>
      </c>
      <c r="Q394" t="n">
        <v>0</v>
      </c>
      <c r="R394" s="2" t="inlineStr"/>
    </row>
    <row r="395" ht="15" customHeight="1">
      <c r="A395" t="inlineStr">
        <is>
          <t>A 24283-2023</t>
        </is>
      </c>
      <c r="B395" s="1" t="n">
        <v>45079.87827546296</v>
      </c>
      <c r="C395" s="1" t="n">
        <v>45911</v>
      </c>
      <c r="D395" t="inlineStr">
        <is>
          <t>KALMAR LÄN</t>
        </is>
      </c>
      <c r="E395" t="inlineStr">
        <is>
          <t>VIMMERBY</t>
        </is>
      </c>
      <c r="G395" t="n">
        <v>2</v>
      </c>
      <c r="H395" t="n">
        <v>0</v>
      </c>
      <c r="I395" t="n">
        <v>0</v>
      </c>
      <c r="J395" t="n">
        <v>0</v>
      </c>
      <c r="K395" t="n">
        <v>0</v>
      </c>
      <c r="L395" t="n">
        <v>0</v>
      </c>
      <c r="M395" t="n">
        <v>0</v>
      </c>
      <c r="N395" t="n">
        <v>0</v>
      </c>
      <c r="O395" t="n">
        <v>0</v>
      </c>
      <c r="P395" t="n">
        <v>0</v>
      </c>
      <c r="Q395" t="n">
        <v>0</v>
      </c>
      <c r="R395" s="2" t="inlineStr"/>
    </row>
    <row r="396" ht="15" customHeight="1">
      <c r="A396" t="inlineStr">
        <is>
          <t>A 28282-2025</t>
        </is>
      </c>
      <c r="B396" s="1" t="n">
        <v>45818.58769675926</v>
      </c>
      <c r="C396" s="1" t="n">
        <v>45911</v>
      </c>
      <c r="D396" t="inlineStr">
        <is>
          <t>KALMAR LÄN</t>
        </is>
      </c>
      <c r="E396" t="inlineStr">
        <is>
          <t>VIMMERBY</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28294-2025</t>
        </is>
      </c>
      <c r="B397" s="1" t="n">
        <v>45818.595625</v>
      </c>
      <c r="C397" s="1" t="n">
        <v>45911</v>
      </c>
      <c r="D397" t="inlineStr">
        <is>
          <t>KALMAR LÄN</t>
        </is>
      </c>
      <c r="E397" t="inlineStr">
        <is>
          <t>VIMMERBY</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43093-2024</t>
        </is>
      </c>
      <c r="B398" s="1" t="n">
        <v>45567</v>
      </c>
      <c r="C398" s="1" t="n">
        <v>45911</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35198-2023</t>
        </is>
      </c>
      <c r="B399" s="1" t="n">
        <v>45145</v>
      </c>
      <c r="C399" s="1" t="n">
        <v>45911</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59598-2023</t>
        </is>
      </c>
      <c r="B400" s="1" t="n">
        <v>45254.62489583333</v>
      </c>
      <c r="C400" s="1" t="n">
        <v>45911</v>
      </c>
      <c r="D400" t="inlineStr">
        <is>
          <t>KALMAR LÄN</t>
        </is>
      </c>
      <c r="E400" t="inlineStr">
        <is>
          <t>VIMMERBY</t>
        </is>
      </c>
      <c r="F400" t="inlineStr">
        <is>
          <t>Övriga Aktiebolag</t>
        </is>
      </c>
      <c r="G400" t="n">
        <v>4</v>
      </c>
      <c r="H400" t="n">
        <v>0</v>
      </c>
      <c r="I400" t="n">
        <v>0</v>
      </c>
      <c r="J400" t="n">
        <v>0</v>
      </c>
      <c r="K400" t="n">
        <v>0</v>
      </c>
      <c r="L400" t="n">
        <v>0</v>
      </c>
      <c r="M400" t="n">
        <v>0</v>
      </c>
      <c r="N400" t="n">
        <v>0</v>
      </c>
      <c r="O400" t="n">
        <v>0</v>
      </c>
      <c r="P400" t="n">
        <v>0</v>
      </c>
      <c r="Q400" t="n">
        <v>0</v>
      </c>
      <c r="R400" s="2" t="inlineStr"/>
    </row>
    <row r="401" ht="15" customHeight="1">
      <c r="A401" t="inlineStr">
        <is>
          <t>A 30920-2023</t>
        </is>
      </c>
      <c r="B401" s="1" t="n">
        <v>45113.43921296296</v>
      </c>
      <c r="C401" s="1" t="n">
        <v>45911</v>
      </c>
      <c r="D401" t="inlineStr">
        <is>
          <t>KALMAR LÄN</t>
        </is>
      </c>
      <c r="E401" t="inlineStr">
        <is>
          <t>VIMMERBY</t>
        </is>
      </c>
      <c r="G401" t="n">
        <v>3.1</v>
      </c>
      <c r="H401" t="n">
        <v>0</v>
      </c>
      <c r="I401" t="n">
        <v>0</v>
      </c>
      <c r="J401" t="n">
        <v>0</v>
      </c>
      <c r="K401" t="n">
        <v>0</v>
      </c>
      <c r="L401" t="n">
        <v>0</v>
      </c>
      <c r="M401" t="n">
        <v>0</v>
      </c>
      <c r="N401" t="n">
        <v>0</v>
      </c>
      <c r="O401" t="n">
        <v>0</v>
      </c>
      <c r="P401" t="n">
        <v>0</v>
      </c>
      <c r="Q401" t="n">
        <v>0</v>
      </c>
      <c r="R401" s="2" t="inlineStr"/>
    </row>
    <row r="402" ht="15" customHeight="1">
      <c r="A402" t="inlineStr">
        <is>
          <t>A 28713-2025</t>
        </is>
      </c>
      <c r="B402" s="1" t="n">
        <v>45820.33930555556</v>
      </c>
      <c r="C402" s="1" t="n">
        <v>45911</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58374-2024</t>
        </is>
      </c>
      <c r="B403" s="1" t="n">
        <v>45632.72635416667</v>
      </c>
      <c r="C403" s="1" t="n">
        <v>45911</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28712-2025</t>
        </is>
      </c>
      <c r="B404" s="1" t="n">
        <v>45820.33708333333</v>
      </c>
      <c r="C404" s="1" t="n">
        <v>45911</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28714-2025</t>
        </is>
      </c>
      <c r="B405" s="1" t="n">
        <v>45820.34128472222</v>
      </c>
      <c r="C405" s="1" t="n">
        <v>45911</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28620-2025</t>
        </is>
      </c>
      <c r="B406" s="1" t="n">
        <v>45819.61060185185</v>
      </c>
      <c r="C406" s="1" t="n">
        <v>45911</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55300-2021</t>
        </is>
      </c>
      <c r="B407" s="1" t="n">
        <v>44475</v>
      </c>
      <c r="C407" s="1" t="n">
        <v>45911</v>
      </c>
      <c r="D407" t="inlineStr">
        <is>
          <t>KALMAR LÄN</t>
        </is>
      </c>
      <c r="E407" t="inlineStr">
        <is>
          <t>VIMMERBY</t>
        </is>
      </c>
      <c r="G407" t="n">
        <v>3.4</v>
      </c>
      <c r="H407" t="n">
        <v>0</v>
      </c>
      <c r="I407" t="n">
        <v>0</v>
      </c>
      <c r="J407" t="n">
        <v>0</v>
      </c>
      <c r="K407" t="n">
        <v>0</v>
      </c>
      <c r="L407" t="n">
        <v>0</v>
      </c>
      <c r="M407" t="n">
        <v>0</v>
      </c>
      <c r="N407" t="n">
        <v>0</v>
      </c>
      <c r="O407" t="n">
        <v>0</v>
      </c>
      <c r="P407" t="n">
        <v>0</v>
      </c>
      <c r="Q407" t="n">
        <v>0</v>
      </c>
      <c r="R407" s="2" t="inlineStr"/>
    </row>
    <row r="408" ht="15" customHeight="1">
      <c r="A408" t="inlineStr">
        <is>
          <t>A 40929-2022</t>
        </is>
      </c>
      <c r="B408" s="1" t="n">
        <v>44825.4336574074</v>
      </c>
      <c r="C408" s="1" t="n">
        <v>45911</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47263-2023</t>
        </is>
      </c>
      <c r="B409" s="1" t="n">
        <v>45202.4209837963</v>
      </c>
      <c r="C409" s="1" t="n">
        <v>45911</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33380-2023</t>
        </is>
      </c>
      <c r="B410" s="1" t="n">
        <v>45128</v>
      </c>
      <c r="C410" s="1" t="n">
        <v>45911</v>
      </c>
      <c r="D410" t="inlineStr">
        <is>
          <t>KALMAR LÄN</t>
        </is>
      </c>
      <c r="E410" t="inlineStr">
        <is>
          <t>VIMMERBY</t>
        </is>
      </c>
      <c r="G410" t="n">
        <v>5.2</v>
      </c>
      <c r="H410" t="n">
        <v>0</v>
      </c>
      <c r="I410" t="n">
        <v>0</v>
      </c>
      <c r="J410" t="n">
        <v>0</v>
      </c>
      <c r="K410" t="n">
        <v>0</v>
      </c>
      <c r="L410" t="n">
        <v>0</v>
      </c>
      <c r="M410" t="n">
        <v>0</v>
      </c>
      <c r="N410" t="n">
        <v>0</v>
      </c>
      <c r="O410" t="n">
        <v>0</v>
      </c>
      <c r="P410" t="n">
        <v>0</v>
      </c>
      <c r="Q410" t="n">
        <v>0</v>
      </c>
      <c r="R410" s="2" t="inlineStr"/>
    </row>
    <row r="411" ht="15" customHeight="1">
      <c r="A411" t="inlineStr">
        <is>
          <t>A 46144-2023</t>
        </is>
      </c>
      <c r="B411" s="1" t="n">
        <v>45196.57247685185</v>
      </c>
      <c r="C411" s="1" t="n">
        <v>45911</v>
      </c>
      <c r="D411" t="inlineStr">
        <is>
          <t>KALMAR LÄN</t>
        </is>
      </c>
      <c r="E411" t="inlineStr">
        <is>
          <t>VIMMERBY</t>
        </is>
      </c>
      <c r="G411" t="n">
        <v>6.5</v>
      </c>
      <c r="H411" t="n">
        <v>0</v>
      </c>
      <c r="I411" t="n">
        <v>0</v>
      </c>
      <c r="J411" t="n">
        <v>0</v>
      </c>
      <c r="K411" t="n">
        <v>0</v>
      </c>
      <c r="L411" t="n">
        <v>0</v>
      </c>
      <c r="M411" t="n">
        <v>0</v>
      </c>
      <c r="N411" t="n">
        <v>0</v>
      </c>
      <c r="O411" t="n">
        <v>0</v>
      </c>
      <c r="P411" t="n">
        <v>0</v>
      </c>
      <c r="Q411" t="n">
        <v>0</v>
      </c>
      <c r="R411" s="2" t="inlineStr"/>
    </row>
    <row r="412" ht="15" customHeight="1">
      <c r="A412" t="inlineStr">
        <is>
          <t>A 54787-2023</t>
        </is>
      </c>
      <c r="B412" s="1" t="n">
        <v>45236</v>
      </c>
      <c r="C412" s="1" t="n">
        <v>45911</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15715-2022</t>
        </is>
      </c>
      <c r="B413" s="1" t="n">
        <v>44663</v>
      </c>
      <c r="C413" s="1" t="n">
        <v>45911</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43774-2023</t>
        </is>
      </c>
      <c r="B414" s="1" t="n">
        <v>45187</v>
      </c>
      <c r="C414" s="1" t="n">
        <v>45911</v>
      </c>
      <c r="D414" t="inlineStr">
        <is>
          <t>KALMAR LÄN</t>
        </is>
      </c>
      <c r="E414" t="inlineStr">
        <is>
          <t>VIMMERBY</t>
        </is>
      </c>
      <c r="G414" t="n">
        <v>3.4</v>
      </c>
      <c r="H414" t="n">
        <v>0</v>
      </c>
      <c r="I414" t="n">
        <v>0</v>
      </c>
      <c r="J414" t="n">
        <v>0</v>
      </c>
      <c r="K414" t="n">
        <v>0</v>
      </c>
      <c r="L414" t="n">
        <v>0</v>
      </c>
      <c r="M414" t="n">
        <v>0</v>
      </c>
      <c r="N414" t="n">
        <v>0</v>
      </c>
      <c r="O414" t="n">
        <v>0</v>
      </c>
      <c r="P414" t="n">
        <v>0</v>
      </c>
      <c r="Q414" t="n">
        <v>0</v>
      </c>
      <c r="R414" s="2" t="inlineStr"/>
    </row>
    <row r="415" ht="15" customHeight="1">
      <c r="A415" t="inlineStr">
        <is>
          <t>A 29727-2025</t>
        </is>
      </c>
      <c r="B415" s="1" t="n">
        <v>45825.5796875</v>
      </c>
      <c r="C415" s="1" t="n">
        <v>45911</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43705-2023</t>
        </is>
      </c>
      <c r="B416" s="1" t="n">
        <v>45187.42854166667</v>
      </c>
      <c r="C416" s="1" t="n">
        <v>45911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7932-2025</t>
        </is>
      </c>
      <c r="B417" s="1" t="n">
        <v>45707.3793287037</v>
      </c>
      <c r="C417" s="1" t="n">
        <v>45911</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29737-2025</t>
        </is>
      </c>
      <c r="B418" s="1" t="n">
        <v>45825.58672453704</v>
      </c>
      <c r="C418" s="1" t="n">
        <v>45911</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2536-2023</t>
        </is>
      </c>
      <c r="B419" s="1" t="n">
        <v>44943.62954861111</v>
      </c>
      <c r="C419" s="1" t="n">
        <v>45911</v>
      </c>
      <c r="D419" t="inlineStr">
        <is>
          <t>KALMAR LÄN</t>
        </is>
      </c>
      <c r="E419" t="inlineStr">
        <is>
          <t>VIMMERBY</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13532-2025</t>
        </is>
      </c>
      <c r="B420" s="1" t="n">
        <v>45736.50743055555</v>
      </c>
      <c r="C420" s="1" t="n">
        <v>45911</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65049-2020</t>
        </is>
      </c>
      <c r="B421" s="1" t="n">
        <v>44172</v>
      </c>
      <c r="C421" s="1" t="n">
        <v>45911</v>
      </c>
      <c r="D421" t="inlineStr">
        <is>
          <t>KALMAR LÄN</t>
        </is>
      </c>
      <c r="E421" t="inlineStr">
        <is>
          <t>VIMMERBY</t>
        </is>
      </c>
      <c r="G421" t="n">
        <v>2.3</v>
      </c>
      <c r="H421" t="n">
        <v>0</v>
      </c>
      <c r="I421" t="n">
        <v>0</v>
      </c>
      <c r="J421" t="n">
        <v>0</v>
      </c>
      <c r="K421" t="n">
        <v>0</v>
      </c>
      <c r="L421" t="n">
        <v>0</v>
      </c>
      <c r="M421" t="n">
        <v>0</v>
      </c>
      <c r="N421" t="n">
        <v>0</v>
      </c>
      <c r="O421" t="n">
        <v>0</v>
      </c>
      <c r="P421" t="n">
        <v>0</v>
      </c>
      <c r="Q421" t="n">
        <v>0</v>
      </c>
      <c r="R421" s="2" t="inlineStr"/>
    </row>
    <row r="422" ht="15" customHeight="1">
      <c r="A422" t="inlineStr">
        <is>
          <t>A 2801-2023</t>
        </is>
      </c>
      <c r="B422" s="1" t="n">
        <v>44944.73487268519</v>
      </c>
      <c r="C422" s="1" t="n">
        <v>45911</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17968-2025</t>
        </is>
      </c>
      <c r="B423" s="1" t="n">
        <v>45761.35990740741</v>
      </c>
      <c r="C423" s="1" t="n">
        <v>45911</v>
      </c>
      <c r="D423" t="inlineStr">
        <is>
          <t>KALMAR LÄN</t>
        </is>
      </c>
      <c r="E423" t="inlineStr">
        <is>
          <t>VIMMERBY</t>
        </is>
      </c>
      <c r="G423" t="n">
        <v>3.3</v>
      </c>
      <c r="H423" t="n">
        <v>0</v>
      </c>
      <c r="I423" t="n">
        <v>0</v>
      </c>
      <c r="J423" t="n">
        <v>0</v>
      </c>
      <c r="K423" t="n">
        <v>0</v>
      </c>
      <c r="L423" t="n">
        <v>0</v>
      </c>
      <c r="M423" t="n">
        <v>0</v>
      </c>
      <c r="N423" t="n">
        <v>0</v>
      </c>
      <c r="O423" t="n">
        <v>0</v>
      </c>
      <c r="P423" t="n">
        <v>0</v>
      </c>
      <c r="Q423" t="n">
        <v>0</v>
      </c>
      <c r="R423" s="2" t="inlineStr"/>
    </row>
    <row r="424" ht="15" customHeight="1">
      <c r="A424" t="inlineStr">
        <is>
          <t>A 29726-2025</t>
        </is>
      </c>
      <c r="B424" s="1" t="n">
        <v>45825.57805555555</v>
      </c>
      <c r="C424" s="1" t="n">
        <v>45911</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29724-2025</t>
        </is>
      </c>
      <c r="B425" s="1" t="n">
        <v>45825.57680555555</v>
      </c>
      <c r="C425" s="1" t="n">
        <v>45911</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14451-2024</t>
        </is>
      </c>
      <c r="B426" s="1" t="n">
        <v>45394.50028935185</v>
      </c>
      <c r="C426" s="1" t="n">
        <v>45911</v>
      </c>
      <c r="D426" t="inlineStr">
        <is>
          <t>KALMAR LÄN</t>
        </is>
      </c>
      <c r="E426" t="inlineStr">
        <is>
          <t>VIMMERBY</t>
        </is>
      </c>
      <c r="G426" t="n">
        <v>1.9</v>
      </c>
      <c r="H426" t="n">
        <v>0</v>
      </c>
      <c r="I426" t="n">
        <v>0</v>
      </c>
      <c r="J426" t="n">
        <v>0</v>
      </c>
      <c r="K426" t="n">
        <v>0</v>
      </c>
      <c r="L426" t="n">
        <v>0</v>
      </c>
      <c r="M426" t="n">
        <v>0</v>
      </c>
      <c r="N426" t="n">
        <v>0</v>
      </c>
      <c r="O426" t="n">
        <v>0</v>
      </c>
      <c r="P426" t="n">
        <v>0</v>
      </c>
      <c r="Q426" t="n">
        <v>0</v>
      </c>
      <c r="R426" s="2" t="inlineStr"/>
    </row>
    <row r="427" ht="15" customHeight="1">
      <c r="A427" t="inlineStr">
        <is>
          <t>A 1978-2024</t>
        </is>
      </c>
      <c r="B427" s="1" t="n">
        <v>45308.59001157407</v>
      </c>
      <c r="C427" s="1" t="n">
        <v>45911</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6399-2025</t>
        </is>
      </c>
      <c r="B428" s="1" t="n">
        <v>45699.44291666667</v>
      </c>
      <c r="C428" s="1" t="n">
        <v>45911</v>
      </c>
      <c r="D428" t="inlineStr">
        <is>
          <t>KALMAR LÄN</t>
        </is>
      </c>
      <c r="E428" t="inlineStr">
        <is>
          <t>VIMMERBY</t>
        </is>
      </c>
      <c r="G428" t="n">
        <v>3.1</v>
      </c>
      <c r="H428" t="n">
        <v>0</v>
      </c>
      <c r="I428" t="n">
        <v>0</v>
      </c>
      <c r="J428" t="n">
        <v>0</v>
      </c>
      <c r="K428" t="n">
        <v>0</v>
      </c>
      <c r="L428" t="n">
        <v>0</v>
      </c>
      <c r="M428" t="n">
        <v>0</v>
      </c>
      <c r="N428" t="n">
        <v>0</v>
      </c>
      <c r="O428" t="n">
        <v>0</v>
      </c>
      <c r="P428" t="n">
        <v>0</v>
      </c>
      <c r="Q428" t="n">
        <v>0</v>
      </c>
      <c r="R428" s="2" t="inlineStr"/>
    </row>
    <row r="429" ht="15" customHeight="1">
      <c r="A429" t="inlineStr">
        <is>
          <t>A 41311-2023</t>
        </is>
      </c>
      <c r="B429" s="1" t="n">
        <v>45174</v>
      </c>
      <c r="C429" s="1" t="n">
        <v>45911</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46238-2024</t>
        </is>
      </c>
      <c r="B430" s="1" t="n">
        <v>45581.58418981481</v>
      </c>
      <c r="C430" s="1" t="n">
        <v>45911</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50993-2022</t>
        </is>
      </c>
      <c r="B431" s="1" t="n">
        <v>44867</v>
      </c>
      <c r="C431" s="1" t="n">
        <v>45911</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46225-2024</t>
        </is>
      </c>
      <c r="B432" s="1" t="n">
        <v>45581.57333333333</v>
      </c>
      <c r="C432" s="1" t="n">
        <v>45911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30293-2025</t>
        </is>
      </c>
      <c r="B433" s="1" t="n">
        <v>45827</v>
      </c>
      <c r="C433" s="1" t="n">
        <v>45911</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36055-2024</t>
        </is>
      </c>
      <c r="B434" s="1" t="n">
        <v>45533.63056712963</v>
      </c>
      <c r="C434" s="1" t="n">
        <v>45911</v>
      </c>
      <c r="D434" t="inlineStr">
        <is>
          <t>KALMAR LÄN</t>
        </is>
      </c>
      <c r="E434" t="inlineStr">
        <is>
          <t>VIMMERBY</t>
        </is>
      </c>
      <c r="F434" t="inlineStr">
        <is>
          <t>Kommuner</t>
        </is>
      </c>
      <c r="G434" t="n">
        <v>1.9</v>
      </c>
      <c r="H434" t="n">
        <v>0</v>
      </c>
      <c r="I434" t="n">
        <v>0</v>
      </c>
      <c r="J434" t="n">
        <v>0</v>
      </c>
      <c r="K434" t="n">
        <v>0</v>
      </c>
      <c r="L434" t="n">
        <v>0</v>
      </c>
      <c r="M434" t="n">
        <v>0</v>
      </c>
      <c r="N434" t="n">
        <v>0</v>
      </c>
      <c r="O434" t="n">
        <v>0</v>
      </c>
      <c r="P434" t="n">
        <v>0</v>
      </c>
      <c r="Q434" t="n">
        <v>0</v>
      </c>
      <c r="R434" s="2" t="inlineStr"/>
    </row>
    <row r="435" ht="15" customHeight="1">
      <c r="A435" t="inlineStr">
        <is>
          <t>A 36602-2025</t>
        </is>
      </c>
      <c r="B435" s="1" t="n">
        <v>45870.52111111111</v>
      </c>
      <c r="C435" s="1" t="n">
        <v>45911</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36598-2025</t>
        </is>
      </c>
      <c r="B436" s="1" t="n">
        <v>45870.51708333333</v>
      </c>
      <c r="C436" s="1" t="n">
        <v>45911</v>
      </c>
      <c r="D436" t="inlineStr">
        <is>
          <t>KALMAR LÄN</t>
        </is>
      </c>
      <c r="E436" t="inlineStr">
        <is>
          <t>VIMMERBY</t>
        </is>
      </c>
      <c r="G436" t="n">
        <v>3.7</v>
      </c>
      <c r="H436" t="n">
        <v>0</v>
      </c>
      <c r="I436" t="n">
        <v>0</v>
      </c>
      <c r="J436" t="n">
        <v>0</v>
      </c>
      <c r="K436" t="n">
        <v>0</v>
      </c>
      <c r="L436" t="n">
        <v>0</v>
      </c>
      <c r="M436" t="n">
        <v>0</v>
      </c>
      <c r="N436" t="n">
        <v>0</v>
      </c>
      <c r="O436" t="n">
        <v>0</v>
      </c>
      <c r="P436" t="n">
        <v>0</v>
      </c>
      <c r="Q436" t="n">
        <v>0</v>
      </c>
      <c r="R436" s="2" t="inlineStr"/>
    </row>
    <row r="437" ht="15" customHeight="1">
      <c r="A437" t="inlineStr">
        <is>
          <t>A 36601-2025</t>
        </is>
      </c>
      <c r="B437" s="1" t="n">
        <v>45870.52005787037</v>
      </c>
      <c r="C437" s="1" t="n">
        <v>45911</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36603-2025</t>
        </is>
      </c>
      <c r="B438" s="1" t="n">
        <v>45870.52142361111</v>
      </c>
      <c r="C438" s="1" t="n">
        <v>45911</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47859-2024</t>
        </is>
      </c>
      <c r="B439" s="1" t="n">
        <v>45588.67070601852</v>
      </c>
      <c r="C439" s="1" t="n">
        <v>45911</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10785-2025</t>
        </is>
      </c>
      <c r="B440" s="1" t="n">
        <v>45722.48634259259</v>
      </c>
      <c r="C440" s="1" t="n">
        <v>45911</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32835-2022</t>
        </is>
      </c>
      <c r="B441" s="1" t="n">
        <v>44784.42528935185</v>
      </c>
      <c r="C441" s="1" t="n">
        <v>45911</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36600-2025</t>
        </is>
      </c>
      <c r="B442" s="1" t="n">
        <v>45870.51958333333</v>
      </c>
      <c r="C442" s="1" t="n">
        <v>45911</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10211-2025</t>
        </is>
      </c>
      <c r="B443" s="1" t="n">
        <v>45719.84378472222</v>
      </c>
      <c r="C443" s="1" t="n">
        <v>45911</v>
      </c>
      <c r="D443" t="inlineStr">
        <is>
          <t>KALMAR LÄN</t>
        </is>
      </c>
      <c r="E443" t="inlineStr">
        <is>
          <t>VIMMERBY</t>
        </is>
      </c>
      <c r="G443" t="n">
        <v>1.7</v>
      </c>
      <c r="H443" t="n">
        <v>0</v>
      </c>
      <c r="I443" t="n">
        <v>0</v>
      </c>
      <c r="J443" t="n">
        <v>0</v>
      </c>
      <c r="K443" t="n">
        <v>0</v>
      </c>
      <c r="L443" t="n">
        <v>0</v>
      </c>
      <c r="M443" t="n">
        <v>0</v>
      </c>
      <c r="N443" t="n">
        <v>0</v>
      </c>
      <c r="O443" t="n">
        <v>0</v>
      </c>
      <c r="P443" t="n">
        <v>0</v>
      </c>
      <c r="Q443" t="n">
        <v>0</v>
      </c>
      <c r="R443" s="2" t="inlineStr"/>
    </row>
    <row r="444" ht="15" customHeight="1">
      <c r="A444" t="inlineStr">
        <is>
          <t>A 36538-2025</t>
        </is>
      </c>
      <c r="B444" s="1" t="n">
        <v>45869.62276620371</v>
      </c>
      <c r="C444" s="1" t="n">
        <v>45911</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30290-2025</t>
        </is>
      </c>
      <c r="B445" s="1" t="n">
        <v>45827</v>
      </c>
      <c r="C445" s="1" t="n">
        <v>45911</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41896-2023</t>
        </is>
      </c>
      <c r="B446" s="1" t="n">
        <v>45176.72427083334</v>
      </c>
      <c r="C446" s="1" t="n">
        <v>45911</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18020-2025</t>
        </is>
      </c>
      <c r="B447" s="1" t="n">
        <v>45761.4437962963</v>
      </c>
      <c r="C447" s="1" t="n">
        <v>45911</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585-2024</t>
        </is>
      </c>
      <c r="B448" s="1" t="n">
        <v>45299.62576388889</v>
      </c>
      <c r="C448" s="1" t="n">
        <v>45911</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43606-2024</t>
        </is>
      </c>
      <c r="B449" s="1" t="n">
        <v>45569.45017361111</v>
      </c>
      <c r="C449" s="1" t="n">
        <v>45911</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6802-2025</t>
        </is>
      </c>
      <c r="B450" s="1" t="n">
        <v>45700.68289351852</v>
      </c>
      <c r="C450" s="1" t="n">
        <v>45911</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12325-2023</t>
        </is>
      </c>
      <c r="B451" s="1" t="n">
        <v>44999.35858796296</v>
      </c>
      <c r="C451" s="1" t="n">
        <v>45911</v>
      </c>
      <c r="D451" t="inlineStr">
        <is>
          <t>KALMAR LÄN</t>
        </is>
      </c>
      <c r="E451" t="inlineStr">
        <is>
          <t>VIMMERBY</t>
        </is>
      </c>
      <c r="G451" t="n">
        <v>3.4</v>
      </c>
      <c r="H451" t="n">
        <v>0</v>
      </c>
      <c r="I451" t="n">
        <v>0</v>
      </c>
      <c r="J451" t="n">
        <v>0</v>
      </c>
      <c r="K451" t="n">
        <v>0</v>
      </c>
      <c r="L451" t="n">
        <v>0</v>
      </c>
      <c r="M451" t="n">
        <v>0</v>
      </c>
      <c r="N451" t="n">
        <v>0</v>
      </c>
      <c r="O451" t="n">
        <v>0</v>
      </c>
      <c r="P451" t="n">
        <v>0</v>
      </c>
      <c r="Q451" t="n">
        <v>0</v>
      </c>
      <c r="R451" s="2" t="inlineStr"/>
    </row>
    <row r="452" ht="15" customHeight="1">
      <c r="A452" t="inlineStr">
        <is>
          <t>A 30850-2025</t>
        </is>
      </c>
      <c r="B452" s="1" t="n">
        <v>45831</v>
      </c>
      <c r="C452" s="1" t="n">
        <v>45911</v>
      </c>
      <c r="D452" t="inlineStr">
        <is>
          <t>KALMAR LÄN</t>
        </is>
      </c>
      <c r="E452" t="inlineStr">
        <is>
          <t>VIMMERBY</t>
        </is>
      </c>
      <c r="G452" t="n">
        <v>2.7</v>
      </c>
      <c r="H452" t="n">
        <v>0</v>
      </c>
      <c r="I452" t="n">
        <v>0</v>
      </c>
      <c r="J452" t="n">
        <v>0</v>
      </c>
      <c r="K452" t="n">
        <v>0</v>
      </c>
      <c r="L452" t="n">
        <v>0</v>
      </c>
      <c r="M452" t="n">
        <v>0</v>
      </c>
      <c r="N452" t="n">
        <v>0</v>
      </c>
      <c r="O452" t="n">
        <v>0</v>
      </c>
      <c r="P452" t="n">
        <v>0</v>
      </c>
      <c r="Q452" t="n">
        <v>0</v>
      </c>
      <c r="R452" s="2" t="inlineStr"/>
    </row>
    <row r="453" ht="15" customHeight="1">
      <c r="A453" t="inlineStr">
        <is>
          <t>A 8945-2025</t>
        </is>
      </c>
      <c r="B453" s="1" t="n">
        <v>45713.45311342592</v>
      </c>
      <c r="C453" s="1" t="n">
        <v>45911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56020-2024</t>
        </is>
      </c>
      <c r="B454" s="1" t="n">
        <v>45623.9525462963</v>
      </c>
      <c r="C454" s="1" t="n">
        <v>45911</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33842-2022</t>
        </is>
      </c>
      <c r="B455" s="1" t="n">
        <v>44790.49523148148</v>
      </c>
      <c r="C455" s="1" t="n">
        <v>45911</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60675-2023</t>
        </is>
      </c>
      <c r="B456" s="1" t="n">
        <v>45260.4716550926</v>
      </c>
      <c r="C456" s="1" t="n">
        <v>45911</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40095-2022</t>
        </is>
      </c>
      <c r="B457" s="1" t="n">
        <v>44820</v>
      </c>
      <c r="C457" s="1" t="n">
        <v>45911</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40665-2023</t>
        </is>
      </c>
      <c r="B458" s="1" t="n">
        <v>45170</v>
      </c>
      <c r="C458" s="1" t="n">
        <v>45911</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13307-2025</t>
        </is>
      </c>
      <c r="B459" s="1" t="n">
        <v>45735.58024305556</v>
      </c>
      <c r="C459" s="1" t="n">
        <v>45911</v>
      </c>
      <c r="D459" t="inlineStr">
        <is>
          <t>KALMAR LÄN</t>
        </is>
      </c>
      <c r="E459" t="inlineStr">
        <is>
          <t>VIMMERBY</t>
        </is>
      </c>
      <c r="G459" t="n">
        <v>0.8</v>
      </c>
      <c r="H459" t="n">
        <v>0</v>
      </c>
      <c r="I459" t="n">
        <v>0</v>
      </c>
      <c r="J459" t="n">
        <v>0</v>
      </c>
      <c r="K459" t="n">
        <v>0</v>
      </c>
      <c r="L459" t="n">
        <v>0</v>
      </c>
      <c r="M459" t="n">
        <v>0</v>
      </c>
      <c r="N459" t="n">
        <v>0</v>
      </c>
      <c r="O459" t="n">
        <v>0</v>
      </c>
      <c r="P459" t="n">
        <v>0</v>
      </c>
      <c r="Q459" t="n">
        <v>0</v>
      </c>
      <c r="R459" s="2" t="inlineStr"/>
    </row>
    <row r="460" ht="15" customHeight="1">
      <c r="A460" t="inlineStr">
        <is>
          <t>A 19537-2022</t>
        </is>
      </c>
      <c r="B460" s="1" t="n">
        <v>44693.62822916666</v>
      </c>
      <c r="C460" s="1" t="n">
        <v>45911</v>
      </c>
      <c r="D460" t="inlineStr">
        <is>
          <t>KALMAR LÄN</t>
        </is>
      </c>
      <c r="E460" t="inlineStr">
        <is>
          <t>VIMMERBY</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28034-2022</t>
        </is>
      </c>
      <c r="B461" s="1" t="n">
        <v>44746.38834490741</v>
      </c>
      <c r="C461" s="1" t="n">
        <v>45911</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36934-2025</t>
        </is>
      </c>
      <c r="B462" s="1" t="n">
        <v>45874.57109953704</v>
      </c>
      <c r="C462" s="1" t="n">
        <v>45911</v>
      </c>
      <c r="D462" t="inlineStr">
        <is>
          <t>KALMAR LÄN</t>
        </is>
      </c>
      <c r="E462" t="inlineStr">
        <is>
          <t>VIMMERBY</t>
        </is>
      </c>
      <c r="G462" t="n">
        <v>4.2</v>
      </c>
      <c r="H462" t="n">
        <v>0</v>
      </c>
      <c r="I462" t="n">
        <v>0</v>
      </c>
      <c r="J462" t="n">
        <v>0</v>
      </c>
      <c r="K462" t="n">
        <v>0</v>
      </c>
      <c r="L462" t="n">
        <v>0</v>
      </c>
      <c r="M462" t="n">
        <v>0</v>
      </c>
      <c r="N462" t="n">
        <v>0</v>
      </c>
      <c r="O462" t="n">
        <v>0</v>
      </c>
      <c r="P462" t="n">
        <v>0</v>
      </c>
      <c r="Q462" t="n">
        <v>0</v>
      </c>
      <c r="R462" s="2" t="inlineStr"/>
    </row>
    <row r="463" ht="15" customHeight="1">
      <c r="A463" t="inlineStr">
        <is>
          <t>A 55605-2024</t>
        </is>
      </c>
      <c r="B463" s="1" t="n">
        <v>45622</v>
      </c>
      <c r="C463" s="1" t="n">
        <v>45911</v>
      </c>
      <c r="D463" t="inlineStr">
        <is>
          <t>KALMAR LÄN</t>
        </is>
      </c>
      <c r="E463" t="inlineStr">
        <is>
          <t>VIMMERBY</t>
        </is>
      </c>
      <c r="G463" t="n">
        <v>1.1</v>
      </c>
      <c r="H463" t="n">
        <v>0</v>
      </c>
      <c r="I463" t="n">
        <v>0</v>
      </c>
      <c r="J463" t="n">
        <v>0</v>
      </c>
      <c r="K463" t="n">
        <v>0</v>
      </c>
      <c r="L463" t="n">
        <v>0</v>
      </c>
      <c r="M463" t="n">
        <v>0</v>
      </c>
      <c r="N463" t="n">
        <v>0</v>
      </c>
      <c r="O463" t="n">
        <v>0</v>
      </c>
      <c r="P463" t="n">
        <v>0</v>
      </c>
      <c r="Q463" t="n">
        <v>0</v>
      </c>
      <c r="R463" s="2" t="inlineStr"/>
    </row>
    <row r="464" ht="15" customHeight="1">
      <c r="A464" t="inlineStr">
        <is>
          <t>A 42165-2024</t>
        </is>
      </c>
      <c r="B464" s="1" t="n">
        <v>45562.46342592593</v>
      </c>
      <c r="C464" s="1" t="n">
        <v>45911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30882-2025</t>
        </is>
      </c>
      <c r="B465" s="1" t="n">
        <v>45832.34540509259</v>
      </c>
      <c r="C465" s="1" t="n">
        <v>45911</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30971-2025</t>
        </is>
      </c>
      <c r="B466" s="1" t="n">
        <v>45832.46146990741</v>
      </c>
      <c r="C466" s="1" t="n">
        <v>45911</v>
      </c>
      <c r="D466" t="inlineStr">
        <is>
          <t>KALMAR LÄN</t>
        </is>
      </c>
      <c r="E466" t="inlineStr">
        <is>
          <t>VIMMERBY</t>
        </is>
      </c>
      <c r="G466" t="n">
        <v>1.2</v>
      </c>
      <c r="H466" t="n">
        <v>0</v>
      </c>
      <c r="I466" t="n">
        <v>0</v>
      </c>
      <c r="J466" t="n">
        <v>0</v>
      </c>
      <c r="K466" t="n">
        <v>0</v>
      </c>
      <c r="L466" t="n">
        <v>0</v>
      </c>
      <c r="M466" t="n">
        <v>0</v>
      </c>
      <c r="N466" t="n">
        <v>0</v>
      </c>
      <c r="O466" t="n">
        <v>0</v>
      </c>
      <c r="P466" t="n">
        <v>0</v>
      </c>
      <c r="Q466" t="n">
        <v>0</v>
      </c>
      <c r="R466" s="2" t="inlineStr"/>
    </row>
    <row r="467" ht="15" customHeight="1">
      <c r="A467" t="inlineStr">
        <is>
          <t>A 20129-2024</t>
        </is>
      </c>
      <c r="B467" s="1" t="n">
        <v>45434.55831018519</v>
      </c>
      <c r="C467" s="1" t="n">
        <v>45911</v>
      </c>
      <c r="D467" t="inlineStr">
        <is>
          <t>KALMAR LÄN</t>
        </is>
      </c>
      <c r="E467" t="inlineStr">
        <is>
          <t>VIMMERBY</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20137-2024</t>
        </is>
      </c>
      <c r="B468" s="1" t="n">
        <v>45434.56398148148</v>
      </c>
      <c r="C468" s="1" t="n">
        <v>45911</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57311-2023</t>
        </is>
      </c>
      <c r="B469" s="1" t="n">
        <v>45245.63574074074</v>
      </c>
      <c r="C469" s="1" t="n">
        <v>45911</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64428-2023</t>
        </is>
      </c>
      <c r="B470" s="1" t="n">
        <v>45280.66769675926</v>
      </c>
      <c r="C470" s="1" t="n">
        <v>45911</v>
      </c>
      <c r="D470" t="inlineStr">
        <is>
          <t>KALMAR LÄN</t>
        </is>
      </c>
      <c r="E470" t="inlineStr">
        <is>
          <t>VIMMERBY</t>
        </is>
      </c>
      <c r="G470" t="n">
        <v>1.2</v>
      </c>
      <c r="H470" t="n">
        <v>0</v>
      </c>
      <c r="I470" t="n">
        <v>0</v>
      </c>
      <c r="J470" t="n">
        <v>0</v>
      </c>
      <c r="K470" t="n">
        <v>0</v>
      </c>
      <c r="L470" t="n">
        <v>0</v>
      </c>
      <c r="M470" t="n">
        <v>0</v>
      </c>
      <c r="N470" t="n">
        <v>0</v>
      </c>
      <c r="O470" t="n">
        <v>0</v>
      </c>
      <c r="P470" t="n">
        <v>0</v>
      </c>
      <c r="Q470" t="n">
        <v>0</v>
      </c>
      <c r="R470" s="2" t="inlineStr"/>
    </row>
    <row r="471" ht="15" customHeight="1">
      <c r="A471" t="inlineStr">
        <is>
          <t>A 23095-2023</t>
        </is>
      </c>
      <c r="B471" s="1" t="n">
        <v>45075.43059027778</v>
      </c>
      <c r="C471" s="1" t="n">
        <v>45911</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4527-2023</t>
        </is>
      </c>
      <c r="B472" s="1" t="n">
        <v>44956</v>
      </c>
      <c r="C472" s="1" t="n">
        <v>45911</v>
      </c>
      <c r="D472" t="inlineStr">
        <is>
          <t>KALMAR LÄN</t>
        </is>
      </c>
      <c r="E472" t="inlineStr">
        <is>
          <t>VIMMERBY</t>
        </is>
      </c>
      <c r="F472" t="inlineStr">
        <is>
          <t>Kommuner</t>
        </is>
      </c>
      <c r="G472" t="n">
        <v>8.5</v>
      </c>
      <c r="H472" t="n">
        <v>0</v>
      </c>
      <c r="I472" t="n">
        <v>0</v>
      </c>
      <c r="J472" t="n">
        <v>0</v>
      </c>
      <c r="K472" t="n">
        <v>0</v>
      </c>
      <c r="L472" t="n">
        <v>0</v>
      </c>
      <c r="M472" t="n">
        <v>0</v>
      </c>
      <c r="N472" t="n">
        <v>0</v>
      </c>
      <c r="O472" t="n">
        <v>0</v>
      </c>
      <c r="P472" t="n">
        <v>0</v>
      </c>
      <c r="Q472" t="n">
        <v>0</v>
      </c>
      <c r="R472" s="2" t="inlineStr"/>
    </row>
    <row r="473" ht="15" customHeight="1">
      <c r="A473" t="inlineStr">
        <is>
          <t>A 32919-2022</t>
        </is>
      </c>
      <c r="B473" s="1" t="n">
        <v>44784.62724537037</v>
      </c>
      <c r="C473" s="1" t="n">
        <v>45911</v>
      </c>
      <c r="D473" t="inlineStr">
        <is>
          <t>KALMAR LÄN</t>
        </is>
      </c>
      <c r="E473" t="inlineStr">
        <is>
          <t>VIMMERBY</t>
        </is>
      </c>
      <c r="G473" t="n">
        <v>1.7</v>
      </c>
      <c r="H473" t="n">
        <v>0</v>
      </c>
      <c r="I473" t="n">
        <v>0</v>
      </c>
      <c r="J473" t="n">
        <v>0</v>
      </c>
      <c r="K473" t="n">
        <v>0</v>
      </c>
      <c r="L473" t="n">
        <v>0</v>
      </c>
      <c r="M473" t="n">
        <v>0</v>
      </c>
      <c r="N473" t="n">
        <v>0</v>
      </c>
      <c r="O473" t="n">
        <v>0</v>
      </c>
      <c r="P473" t="n">
        <v>0</v>
      </c>
      <c r="Q473" t="n">
        <v>0</v>
      </c>
      <c r="R473" s="2" t="inlineStr"/>
    </row>
    <row r="474" ht="15" customHeight="1">
      <c r="A474" t="inlineStr">
        <is>
          <t>A 3268-2024</t>
        </is>
      </c>
      <c r="B474" s="1" t="n">
        <v>45317</v>
      </c>
      <c r="C474" s="1" t="n">
        <v>45911</v>
      </c>
      <c r="D474" t="inlineStr">
        <is>
          <t>KALMAR LÄN</t>
        </is>
      </c>
      <c r="E474" t="inlineStr">
        <is>
          <t>VIMMERBY</t>
        </is>
      </c>
      <c r="F474" t="inlineStr">
        <is>
          <t>Övriga Aktiebolag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51408-2023</t>
        </is>
      </c>
      <c r="B475" s="1" t="n">
        <v>45219.69356481481</v>
      </c>
      <c r="C475" s="1" t="n">
        <v>45911</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7068-2024</t>
        </is>
      </c>
      <c r="B476" s="1" t="n">
        <v>45343.68038194445</v>
      </c>
      <c r="C476" s="1" t="n">
        <v>45911</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12480-2024</t>
        </is>
      </c>
      <c r="B477" s="1" t="n">
        <v>45379</v>
      </c>
      <c r="C477" s="1" t="n">
        <v>45911</v>
      </c>
      <c r="D477" t="inlineStr">
        <is>
          <t>KALMAR LÄN</t>
        </is>
      </c>
      <c r="E477" t="inlineStr">
        <is>
          <t>VIMMERBY</t>
        </is>
      </c>
      <c r="G477" t="n">
        <v>2.8</v>
      </c>
      <c r="H477" t="n">
        <v>0</v>
      </c>
      <c r="I477" t="n">
        <v>0</v>
      </c>
      <c r="J477" t="n">
        <v>0</v>
      </c>
      <c r="K477" t="n">
        <v>0</v>
      </c>
      <c r="L477" t="n">
        <v>0</v>
      </c>
      <c r="M477" t="n">
        <v>0</v>
      </c>
      <c r="N477" t="n">
        <v>0</v>
      </c>
      <c r="O477" t="n">
        <v>0</v>
      </c>
      <c r="P477" t="n">
        <v>0</v>
      </c>
      <c r="Q477" t="n">
        <v>0</v>
      </c>
      <c r="R477" s="2" t="inlineStr"/>
    </row>
    <row r="478" ht="15" customHeight="1">
      <c r="A478" t="inlineStr">
        <is>
          <t>A 31552-2025</t>
        </is>
      </c>
      <c r="B478" s="1" t="n">
        <v>45833.64563657407</v>
      </c>
      <c r="C478" s="1" t="n">
        <v>45911</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31555-2025</t>
        </is>
      </c>
      <c r="B479" s="1" t="n">
        <v>45833.64814814815</v>
      </c>
      <c r="C479" s="1" t="n">
        <v>45911</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52588-2023</t>
        </is>
      </c>
      <c r="B480" s="1" t="n">
        <v>45225.60192129629</v>
      </c>
      <c r="C480" s="1" t="n">
        <v>45911</v>
      </c>
      <c r="D480" t="inlineStr">
        <is>
          <t>KALMAR LÄN</t>
        </is>
      </c>
      <c r="E480" t="inlineStr">
        <is>
          <t>VIMMERBY</t>
        </is>
      </c>
      <c r="G480" t="n">
        <v>2.9</v>
      </c>
      <c r="H480" t="n">
        <v>0</v>
      </c>
      <c r="I480" t="n">
        <v>0</v>
      </c>
      <c r="J480" t="n">
        <v>0</v>
      </c>
      <c r="K480" t="n">
        <v>0</v>
      </c>
      <c r="L480" t="n">
        <v>0</v>
      </c>
      <c r="M480" t="n">
        <v>0</v>
      </c>
      <c r="N480" t="n">
        <v>0</v>
      </c>
      <c r="O480" t="n">
        <v>0</v>
      </c>
      <c r="P480" t="n">
        <v>0</v>
      </c>
      <c r="Q480" t="n">
        <v>0</v>
      </c>
      <c r="R480" s="2" t="inlineStr"/>
    </row>
    <row r="481" ht="15" customHeight="1">
      <c r="A481" t="inlineStr">
        <is>
          <t>A 12596-2021</t>
        </is>
      </c>
      <c r="B481" s="1" t="n">
        <v>44270.39765046296</v>
      </c>
      <c r="C481" s="1" t="n">
        <v>45911</v>
      </c>
      <c r="D481" t="inlineStr">
        <is>
          <t>KALMAR LÄN</t>
        </is>
      </c>
      <c r="E481" t="inlineStr">
        <is>
          <t>VIMMERBY</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55236-2023</t>
        </is>
      </c>
      <c r="B482" s="1" t="n">
        <v>45237.63225694445</v>
      </c>
      <c r="C482" s="1" t="n">
        <v>45911</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55245-2023</t>
        </is>
      </c>
      <c r="B483" s="1" t="n">
        <v>45237.64408564815</v>
      </c>
      <c r="C483" s="1" t="n">
        <v>45911</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37102-2025</t>
        </is>
      </c>
      <c r="B484" s="1" t="n">
        <v>45875.47454861111</v>
      </c>
      <c r="C484" s="1" t="n">
        <v>45911</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32655-2023</t>
        </is>
      </c>
      <c r="B485" s="1" t="n">
        <v>45121.61318287037</v>
      </c>
      <c r="C485" s="1" t="n">
        <v>45911</v>
      </c>
      <c r="D485" t="inlineStr">
        <is>
          <t>KALMAR LÄN</t>
        </is>
      </c>
      <c r="E485" t="inlineStr">
        <is>
          <t>VIMMERBY</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37088-2025</t>
        </is>
      </c>
      <c r="B486" s="1" t="n">
        <v>45875.45716435185</v>
      </c>
      <c r="C486" s="1" t="n">
        <v>45911</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19111-2025</t>
        </is>
      </c>
      <c r="B487" s="1" t="n">
        <v>45768.65611111111</v>
      </c>
      <c r="C487" s="1" t="n">
        <v>45911</v>
      </c>
      <c r="D487" t="inlineStr">
        <is>
          <t>KALMAR LÄN</t>
        </is>
      </c>
      <c r="E487" t="inlineStr">
        <is>
          <t>VIMMERBY</t>
        </is>
      </c>
      <c r="G487" t="n">
        <v>6.2</v>
      </c>
      <c r="H487" t="n">
        <v>0</v>
      </c>
      <c r="I487" t="n">
        <v>0</v>
      </c>
      <c r="J487" t="n">
        <v>0</v>
      </c>
      <c r="K487" t="n">
        <v>0</v>
      </c>
      <c r="L487" t="n">
        <v>0</v>
      </c>
      <c r="M487" t="n">
        <v>0</v>
      </c>
      <c r="N487" t="n">
        <v>0</v>
      </c>
      <c r="O487" t="n">
        <v>0</v>
      </c>
      <c r="P487" t="n">
        <v>0</v>
      </c>
      <c r="Q487" t="n">
        <v>0</v>
      </c>
      <c r="R487" s="2" t="inlineStr"/>
    </row>
    <row r="488" ht="15" customHeight="1">
      <c r="A488" t="inlineStr">
        <is>
          <t>A 31870-2025</t>
        </is>
      </c>
      <c r="B488" s="1" t="n">
        <v>45834.64667824074</v>
      </c>
      <c r="C488" s="1" t="n">
        <v>45911</v>
      </c>
      <c r="D488" t="inlineStr">
        <is>
          <t>KALMAR LÄN</t>
        </is>
      </c>
      <c r="E488" t="inlineStr">
        <is>
          <t>VIMMERBY</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54409-2024</t>
        </is>
      </c>
      <c r="B489" s="1" t="n">
        <v>45617.47570601852</v>
      </c>
      <c r="C489" s="1" t="n">
        <v>45911</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25370-2022</t>
        </is>
      </c>
      <c r="B490" s="1" t="n">
        <v>44732.3659837963</v>
      </c>
      <c r="C490" s="1" t="n">
        <v>45911</v>
      </c>
      <c r="D490" t="inlineStr">
        <is>
          <t>KALMAR LÄN</t>
        </is>
      </c>
      <c r="E490" t="inlineStr">
        <is>
          <t>VIMMERBY</t>
        </is>
      </c>
      <c r="G490" t="n">
        <v>1.2</v>
      </c>
      <c r="H490" t="n">
        <v>0</v>
      </c>
      <c r="I490" t="n">
        <v>0</v>
      </c>
      <c r="J490" t="n">
        <v>0</v>
      </c>
      <c r="K490" t="n">
        <v>0</v>
      </c>
      <c r="L490" t="n">
        <v>0</v>
      </c>
      <c r="M490" t="n">
        <v>0</v>
      </c>
      <c r="N490" t="n">
        <v>0</v>
      </c>
      <c r="O490" t="n">
        <v>0</v>
      </c>
      <c r="P490" t="n">
        <v>0</v>
      </c>
      <c r="Q490" t="n">
        <v>0</v>
      </c>
      <c r="R490" s="2" t="inlineStr"/>
    </row>
    <row r="491" ht="15" customHeight="1">
      <c r="A491" t="inlineStr">
        <is>
          <t>A 37079-2025</t>
        </is>
      </c>
      <c r="B491" s="1" t="n">
        <v>45875.42716435185</v>
      </c>
      <c r="C491" s="1" t="n">
        <v>45911</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8559-2025</t>
        </is>
      </c>
      <c r="B492" s="1" t="n">
        <v>45709.62280092593</v>
      </c>
      <c r="C492" s="1" t="n">
        <v>45911</v>
      </c>
      <c r="D492" t="inlineStr">
        <is>
          <t>KALMAR LÄN</t>
        </is>
      </c>
      <c r="E492" t="inlineStr">
        <is>
          <t>VIMMERBY</t>
        </is>
      </c>
      <c r="G492" t="n">
        <v>8.9</v>
      </c>
      <c r="H492" t="n">
        <v>0</v>
      </c>
      <c r="I492" t="n">
        <v>0</v>
      </c>
      <c r="J492" t="n">
        <v>0</v>
      </c>
      <c r="K492" t="n">
        <v>0</v>
      </c>
      <c r="L492" t="n">
        <v>0</v>
      </c>
      <c r="M492" t="n">
        <v>0</v>
      </c>
      <c r="N492" t="n">
        <v>0</v>
      </c>
      <c r="O492" t="n">
        <v>0</v>
      </c>
      <c r="P492" t="n">
        <v>0</v>
      </c>
      <c r="Q492" t="n">
        <v>0</v>
      </c>
      <c r="R492" s="2" t="inlineStr"/>
    </row>
    <row r="493" ht="15" customHeight="1">
      <c r="A493" t="inlineStr">
        <is>
          <t>A 31872-2025</t>
        </is>
      </c>
      <c r="B493" s="1" t="n">
        <v>45834.65040509259</v>
      </c>
      <c r="C493" s="1" t="n">
        <v>45911</v>
      </c>
      <c r="D493" t="inlineStr">
        <is>
          <t>KALMAR LÄN</t>
        </is>
      </c>
      <c r="E493" t="inlineStr">
        <is>
          <t>VIMMERBY</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31876-2025</t>
        </is>
      </c>
      <c r="B494" s="1" t="n">
        <v>45834.65197916667</v>
      </c>
      <c r="C494" s="1" t="n">
        <v>45911</v>
      </c>
      <c r="D494" t="inlineStr">
        <is>
          <t>KALMAR LÄN</t>
        </is>
      </c>
      <c r="E494" t="inlineStr">
        <is>
          <t>VIMMERBY</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9475-2023</t>
        </is>
      </c>
      <c r="B495" s="1" t="n">
        <v>44981.58834490741</v>
      </c>
      <c r="C495" s="1" t="n">
        <v>45911</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33838-2022</t>
        </is>
      </c>
      <c r="B496" s="1" t="n">
        <v>44790.49040509259</v>
      </c>
      <c r="C496" s="1" t="n">
        <v>45911</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31551-2025</t>
        </is>
      </c>
      <c r="B497" s="1" t="n">
        <v>45833.64237268519</v>
      </c>
      <c r="C497" s="1" t="n">
        <v>45911</v>
      </c>
      <c r="D497" t="inlineStr">
        <is>
          <t>KALMAR LÄN</t>
        </is>
      </c>
      <c r="E497" t="inlineStr">
        <is>
          <t>VIMMERBY</t>
        </is>
      </c>
      <c r="G497" t="n">
        <v>1.9</v>
      </c>
      <c r="H497" t="n">
        <v>0</v>
      </c>
      <c r="I497" t="n">
        <v>0</v>
      </c>
      <c r="J497" t="n">
        <v>0</v>
      </c>
      <c r="K497" t="n">
        <v>0</v>
      </c>
      <c r="L497" t="n">
        <v>0</v>
      </c>
      <c r="M497" t="n">
        <v>0</v>
      </c>
      <c r="N497" t="n">
        <v>0</v>
      </c>
      <c r="O497" t="n">
        <v>0</v>
      </c>
      <c r="P497" t="n">
        <v>0</v>
      </c>
      <c r="Q497" t="n">
        <v>0</v>
      </c>
      <c r="R497" s="2" t="inlineStr"/>
    </row>
    <row r="498" ht="15" customHeight="1">
      <c r="A498" t="inlineStr">
        <is>
          <t>A 4058-2024</t>
        </is>
      </c>
      <c r="B498" s="1" t="n">
        <v>45323.53744212963</v>
      </c>
      <c r="C498" s="1" t="n">
        <v>45911</v>
      </c>
      <c r="D498" t="inlineStr">
        <is>
          <t>KALMAR LÄN</t>
        </is>
      </c>
      <c r="E498" t="inlineStr">
        <is>
          <t>VIMMERBY</t>
        </is>
      </c>
      <c r="G498" t="n">
        <v>6.5</v>
      </c>
      <c r="H498" t="n">
        <v>0</v>
      </c>
      <c r="I498" t="n">
        <v>0</v>
      </c>
      <c r="J498" t="n">
        <v>0</v>
      </c>
      <c r="K498" t="n">
        <v>0</v>
      </c>
      <c r="L498" t="n">
        <v>0</v>
      </c>
      <c r="M498" t="n">
        <v>0</v>
      </c>
      <c r="N498" t="n">
        <v>0</v>
      </c>
      <c r="O498" t="n">
        <v>0</v>
      </c>
      <c r="P498" t="n">
        <v>0</v>
      </c>
      <c r="Q498" t="n">
        <v>0</v>
      </c>
      <c r="R498" s="2" t="inlineStr"/>
    </row>
    <row r="499" ht="15" customHeight="1">
      <c r="A499" t="inlineStr">
        <is>
          <t>A 36008-2024</t>
        </is>
      </c>
      <c r="B499" s="1" t="n">
        <v>45533.55362268518</v>
      </c>
      <c r="C499" s="1" t="n">
        <v>45911</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31987-2025</t>
        </is>
      </c>
      <c r="B500" s="1" t="n">
        <v>45835.36229166666</v>
      </c>
      <c r="C500" s="1" t="n">
        <v>45911</v>
      </c>
      <c r="D500" t="inlineStr">
        <is>
          <t>KALMAR LÄN</t>
        </is>
      </c>
      <c r="E500" t="inlineStr">
        <is>
          <t>VIMMERBY</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18669-2025</t>
        </is>
      </c>
      <c r="B501" s="1" t="n">
        <v>45763.59436342592</v>
      </c>
      <c r="C501" s="1" t="n">
        <v>45911</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8540-2024</t>
        </is>
      </c>
      <c r="B502" s="1" t="n">
        <v>45355.54138888889</v>
      </c>
      <c r="C502" s="1" t="n">
        <v>45911</v>
      </c>
      <c r="D502" t="inlineStr">
        <is>
          <t>KALMAR LÄN</t>
        </is>
      </c>
      <c r="E502" t="inlineStr">
        <is>
          <t>VIMMERBY</t>
        </is>
      </c>
      <c r="G502" t="n">
        <v>1.9</v>
      </c>
      <c r="H502" t="n">
        <v>0</v>
      </c>
      <c r="I502" t="n">
        <v>0</v>
      </c>
      <c r="J502" t="n">
        <v>0</v>
      </c>
      <c r="K502" t="n">
        <v>0</v>
      </c>
      <c r="L502" t="n">
        <v>0</v>
      </c>
      <c r="M502" t="n">
        <v>0</v>
      </c>
      <c r="N502" t="n">
        <v>0</v>
      </c>
      <c r="O502" t="n">
        <v>0</v>
      </c>
      <c r="P502" t="n">
        <v>0</v>
      </c>
      <c r="Q502" t="n">
        <v>0</v>
      </c>
      <c r="R502" s="2" t="inlineStr"/>
    </row>
    <row r="503" ht="15" customHeight="1">
      <c r="A503" t="inlineStr">
        <is>
          <t>A 32120-2025</t>
        </is>
      </c>
      <c r="B503" s="1" t="n">
        <v>45835.4924537037</v>
      </c>
      <c r="C503" s="1" t="n">
        <v>45911</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9623-2024</t>
        </is>
      </c>
      <c r="B504" s="1" t="n">
        <v>45361.87975694444</v>
      </c>
      <c r="C504" s="1" t="n">
        <v>45911</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5146-2024</t>
        </is>
      </c>
      <c r="B505" s="1" t="n">
        <v>45330</v>
      </c>
      <c r="C505" s="1" t="n">
        <v>45911</v>
      </c>
      <c r="D505" t="inlineStr">
        <is>
          <t>KALMAR LÄN</t>
        </is>
      </c>
      <c r="E505" t="inlineStr">
        <is>
          <t>VIMMERBY</t>
        </is>
      </c>
      <c r="G505" t="n">
        <v>5.3</v>
      </c>
      <c r="H505" t="n">
        <v>0</v>
      </c>
      <c r="I505" t="n">
        <v>0</v>
      </c>
      <c r="J505" t="n">
        <v>0</v>
      </c>
      <c r="K505" t="n">
        <v>0</v>
      </c>
      <c r="L505" t="n">
        <v>0</v>
      </c>
      <c r="M505" t="n">
        <v>0</v>
      </c>
      <c r="N505" t="n">
        <v>0</v>
      </c>
      <c r="O505" t="n">
        <v>0</v>
      </c>
      <c r="P505" t="n">
        <v>0</v>
      </c>
      <c r="Q505" t="n">
        <v>0</v>
      </c>
      <c r="R505" s="2" t="inlineStr"/>
    </row>
    <row r="506" ht="15" customHeight="1">
      <c r="A506" t="inlineStr">
        <is>
          <t>A 5148-2024</t>
        </is>
      </c>
      <c r="B506" s="1" t="n">
        <v>45330</v>
      </c>
      <c r="C506" s="1" t="n">
        <v>45911</v>
      </c>
      <c r="D506" t="inlineStr">
        <is>
          <t>KALMAR LÄN</t>
        </is>
      </c>
      <c r="E506" t="inlineStr">
        <is>
          <t>VIMMERBY</t>
        </is>
      </c>
      <c r="G506" t="n">
        <v>5.6</v>
      </c>
      <c r="H506" t="n">
        <v>0</v>
      </c>
      <c r="I506" t="n">
        <v>0</v>
      </c>
      <c r="J506" t="n">
        <v>0</v>
      </c>
      <c r="K506" t="n">
        <v>0</v>
      </c>
      <c r="L506" t="n">
        <v>0</v>
      </c>
      <c r="M506" t="n">
        <v>0</v>
      </c>
      <c r="N506" t="n">
        <v>0</v>
      </c>
      <c r="O506" t="n">
        <v>0</v>
      </c>
      <c r="P506" t="n">
        <v>0</v>
      </c>
      <c r="Q506" t="n">
        <v>0</v>
      </c>
      <c r="R506" s="2" t="inlineStr"/>
    </row>
    <row r="507" ht="15" customHeight="1">
      <c r="A507" t="inlineStr">
        <is>
          <t>A 44179-2022</t>
        </is>
      </c>
      <c r="B507" s="1" t="n">
        <v>44839.4528125</v>
      </c>
      <c r="C507" s="1" t="n">
        <v>45911</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43092-2024</t>
        </is>
      </c>
      <c r="B508" s="1" t="n">
        <v>45567</v>
      </c>
      <c r="C508" s="1" t="n">
        <v>45911</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50648-2023</t>
        </is>
      </c>
      <c r="B509" s="1" t="n">
        <v>45217.47834490741</v>
      </c>
      <c r="C509" s="1" t="n">
        <v>45911</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11619-2023</t>
        </is>
      </c>
      <c r="B510" s="1" t="n">
        <v>44994.42113425926</v>
      </c>
      <c r="C510" s="1" t="n">
        <v>45911</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5074-2023</t>
        </is>
      </c>
      <c r="B511" s="1" t="n">
        <v>44958.61047453704</v>
      </c>
      <c r="C511" s="1" t="n">
        <v>45911</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2121-2022</t>
        </is>
      </c>
      <c r="B512" s="1" t="n">
        <v>44578.32717592592</v>
      </c>
      <c r="C512" s="1" t="n">
        <v>45911</v>
      </c>
      <c r="D512" t="inlineStr">
        <is>
          <t>KALMAR LÄN</t>
        </is>
      </c>
      <c r="E512" t="inlineStr">
        <is>
          <t>VIMMERBY</t>
        </is>
      </c>
      <c r="G512" t="n">
        <v>2</v>
      </c>
      <c r="H512" t="n">
        <v>0</v>
      </c>
      <c r="I512" t="n">
        <v>0</v>
      </c>
      <c r="J512" t="n">
        <v>0</v>
      </c>
      <c r="K512" t="n">
        <v>0</v>
      </c>
      <c r="L512" t="n">
        <v>0</v>
      </c>
      <c r="M512" t="n">
        <v>0</v>
      </c>
      <c r="N512" t="n">
        <v>0</v>
      </c>
      <c r="O512" t="n">
        <v>0</v>
      </c>
      <c r="P512" t="n">
        <v>0</v>
      </c>
      <c r="Q512" t="n">
        <v>0</v>
      </c>
      <c r="R512" s="2" t="inlineStr"/>
    </row>
    <row r="513" ht="15" customHeight="1">
      <c r="A513" t="inlineStr">
        <is>
          <t>A 6368-2023</t>
        </is>
      </c>
      <c r="B513" s="1" t="n">
        <v>44965</v>
      </c>
      <c r="C513" s="1" t="n">
        <v>45911</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32116-2025</t>
        </is>
      </c>
      <c r="B514" s="1" t="n">
        <v>45835.48862268519</v>
      </c>
      <c r="C514" s="1" t="n">
        <v>45911</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5701-2024</t>
        </is>
      </c>
      <c r="B515" s="1" t="n">
        <v>45334.78826388889</v>
      </c>
      <c r="C515" s="1" t="n">
        <v>45911</v>
      </c>
      <c r="D515" t="inlineStr">
        <is>
          <t>KALMAR LÄN</t>
        </is>
      </c>
      <c r="E515" t="inlineStr">
        <is>
          <t>VIMMERBY</t>
        </is>
      </c>
      <c r="G515" t="n">
        <v>2.3</v>
      </c>
      <c r="H515" t="n">
        <v>0</v>
      </c>
      <c r="I515" t="n">
        <v>0</v>
      </c>
      <c r="J515" t="n">
        <v>0</v>
      </c>
      <c r="K515" t="n">
        <v>0</v>
      </c>
      <c r="L515" t="n">
        <v>0</v>
      </c>
      <c r="M515" t="n">
        <v>0</v>
      </c>
      <c r="N515" t="n">
        <v>0</v>
      </c>
      <c r="O515" t="n">
        <v>0</v>
      </c>
      <c r="P515" t="n">
        <v>0</v>
      </c>
      <c r="Q515" t="n">
        <v>0</v>
      </c>
      <c r="R515" s="2" t="inlineStr"/>
    </row>
    <row r="516" ht="15" customHeight="1">
      <c r="A516" t="inlineStr">
        <is>
          <t>A 37578-2025</t>
        </is>
      </c>
      <c r="B516" s="1" t="n">
        <v>45880.38380787037</v>
      </c>
      <c r="C516" s="1" t="n">
        <v>45911</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57799-2022</t>
        </is>
      </c>
      <c r="B517" s="1" t="n">
        <v>44897</v>
      </c>
      <c r="C517" s="1" t="n">
        <v>45911</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15394-2025</t>
        </is>
      </c>
      <c r="B518" s="1" t="n">
        <v>45747.43196759259</v>
      </c>
      <c r="C518" s="1" t="n">
        <v>45911</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26318-2023</t>
        </is>
      </c>
      <c r="B519" s="1" t="n">
        <v>45091.67936342592</v>
      </c>
      <c r="C519" s="1" t="n">
        <v>45911</v>
      </c>
      <c r="D519" t="inlineStr">
        <is>
          <t>KALMAR LÄN</t>
        </is>
      </c>
      <c r="E519" t="inlineStr">
        <is>
          <t>VIMMERBY</t>
        </is>
      </c>
      <c r="G519" t="n">
        <v>3.8</v>
      </c>
      <c r="H519" t="n">
        <v>0</v>
      </c>
      <c r="I519" t="n">
        <v>0</v>
      </c>
      <c r="J519" t="n">
        <v>0</v>
      </c>
      <c r="K519" t="n">
        <v>0</v>
      </c>
      <c r="L519" t="n">
        <v>0</v>
      </c>
      <c r="M519" t="n">
        <v>0</v>
      </c>
      <c r="N519" t="n">
        <v>0</v>
      </c>
      <c r="O519" t="n">
        <v>0</v>
      </c>
      <c r="P519" t="n">
        <v>0</v>
      </c>
      <c r="Q519" t="n">
        <v>0</v>
      </c>
      <c r="R519" s="2" t="inlineStr"/>
    </row>
    <row r="520" ht="15" customHeight="1">
      <c r="A520" t="inlineStr">
        <is>
          <t>A 60437-2023</t>
        </is>
      </c>
      <c r="B520" s="1" t="n">
        <v>45259.51916666667</v>
      </c>
      <c r="C520" s="1" t="n">
        <v>45911</v>
      </c>
      <c r="D520" t="inlineStr">
        <is>
          <t>KALMAR LÄN</t>
        </is>
      </c>
      <c r="E520" t="inlineStr">
        <is>
          <t>VIMMERBY</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60438-2023</t>
        </is>
      </c>
      <c r="B521" s="1" t="n">
        <v>45259.52020833334</v>
      </c>
      <c r="C521" s="1" t="n">
        <v>45911</v>
      </c>
      <c r="D521" t="inlineStr">
        <is>
          <t>KALMAR LÄN</t>
        </is>
      </c>
      <c r="E521" t="inlineStr">
        <is>
          <t>VIMMERBY</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7797-2023</t>
        </is>
      </c>
      <c r="B522" s="1" t="n">
        <v>44973.43075231482</v>
      </c>
      <c r="C522" s="1" t="n">
        <v>45911</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13076-2025</t>
        </is>
      </c>
      <c r="B523" s="1" t="n">
        <v>45734.62017361111</v>
      </c>
      <c r="C523" s="1" t="n">
        <v>45911</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37668-2025</t>
        </is>
      </c>
      <c r="B524" s="1" t="n">
        <v>45880.51550925926</v>
      </c>
      <c r="C524" s="1" t="n">
        <v>45911</v>
      </c>
      <c r="D524" t="inlineStr">
        <is>
          <t>KALMAR LÄN</t>
        </is>
      </c>
      <c r="E524" t="inlineStr">
        <is>
          <t>VIMMERBY</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32380-2025</t>
        </is>
      </c>
      <c r="B525" s="1" t="n">
        <v>45837.77701388889</v>
      </c>
      <c r="C525" s="1" t="n">
        <v>45911</v>
      </c>
      <c r="D525" t="inlineStr">
        <is>
          <t>KALMAR LÄN</t>
        </is>
      </c>
      <c r="E525" t="inlineStr">
        <is>
          <t>VIMMERBY</t>
        </is>
      </c>
      <c r="G525" t="n">
        <v>3.1</v>
      </c>
      <c r="H525" t="n">
        <v>0</v>
      </c>
      <c r="I525" t="n">
        <v>0</v>
      </c>
      <c r="J525" t="n">
        <v>0</v>
      </c>
      <c r="K525" t="n">
        <v>0</v>
      </c>
      <c r="L525" t="n">
        <v>0</v>
      </c>
      <c r="M525" t="n">
        <v>0</v>
      </c>
      <c r="N525" t="n">
        <v>0</v>
      </c>
      <c r="O525" t="n">
        <v>0</v>
      </c>
      <c r="P525" t="n">
        <v>0</v>
      </c>
      <c r="Q525" t="n">
        <v>0</v>
      </c>
      <c r="R525" s="2" t="inlineStr"/>
    </row>
    <row r="526" ht="15" customHeight="1">
      <c r="A526" t="inlineStr">
        <is>
          <t>A 24655-2021</t>
        </is>
      </c>
      <c r="B526" s="1" t="n">
        <v>44340</v>
      </c>
      <c r="C526" s="1" t="n">
        <v>45911</v>
      </c>
      <c r="D526" t="inlineStr">
        <is>
          <t>KALMAR LÄN</t>
        </is>
      </c>
      <c r="E526" t="inlineStr">
        <is>
          <t>VIMMERBY</t>
        </is>
      </c>
      <c r="G526" t="n">
        <v>14.9</v>
      </c>
      <c r="H526" t="n">
        <v>0</v>
      </c>
      <c r="I526" t="n">
        <v>0</v>
      </c>
      <c r="J526" t="n">
        <v>0</v>
      </c>
      <c r="K526" t="n">
        <v>0</v>
      </c>
      <c r="L526" t="n">
        <v>0</v>
      </c>
      <c r="M526" t="n">
        <v>0</v>
      </c>
      <c r="N526" t="n">
        <v>0</v>
      </c>
      <c r="O526" t="n">
        <v>0</v>
      </c>
      <c r="P526" t="n">
        <v>0</v>
      </c>
      <c r="Q526" t="n">
        <v>0</v>
      </c>
      <c r="R526" s="2" t="inlineStr"/>
    </row>
    <row r="527" ht="15" customHeight="1">
      <c r="A527" t="inlineStr">
        <is>
          <t>A 32109-2025</t>
        </is>
      </c>
      <c r="B527" s="1" t="n">
        <v>45835.48267361111</v>
      </c>
      <c r="C527" s="1" t="n">
        <v>45911</v>
      </c>
      <c r="D527" t="inlineStr">
        <is>
          <t>KALMAR LÄN</t>
        </is>
      </c>
      <c r="E527" t="inlineStr">
        <is>
          <t>VIMMERBY</t>
        </is>
      </c>
      <c r="G527" t="n">
        <v>2.5</v>
      </c>
      <c r="H527" t="n">
        <v>0</v>
      </c>
      <c r="I527" t="n">
        <v>0</v>
      </c>
      <c r="J527" t="n">
        <v>0</v>
      </c>
      <c r="K527" t="n">
        <v>0</v>
      </c>
      <c r="L527" t="n">
        <v>0</v>
      </c>
      <c r="M527" t="n">
        <v>0</v>
      </c>
      <c r="N527" t="n">
        <v>0</v>
      </c>
      <c r="O527" t="n">
        <v>0</v>
      </c>
      <c r="P527" t="n">
        <v>0</v>
      </c>
      <c r="Q527" t="n">
        <v>0</v>
      </c>
      <c r="R527" s="2" t="inlineStr"/>
    </row>
    <row r="528" ht="15" customHeight="1">
      <c r="A528" t="inlineStr">
        <is>
          <t>A 32113-2025</t>
        </is>
      </c>
      <c r="B528" s="1" t="n">
        <v>45835.48445601852</v>
      </c>
      <c r="C528" s="1" t="n">
        <v>45911</v>
      </c>
      <c r="D528" t="inlineStr">
        <is>
          <t>KALMAR LÄN</t>
        </is>
      </c>
      <c r="E528" t="inlineStr">
        <is>
          <t>VIMMERBY</t>
        </is>
      </c>
      <c r="G528" t="n">
        <v>3.5</v>
      </c>
      <c r="H528" t="n">
        <v>0</v>
      </c>
      <c r="I528" t="n">
        <v>0</v>
      </c>
      <c r="J528" t="n">
        <v>0</v>
      </c>
      <c r="K528" t="n">
        <v>0</v>
      </c>
      <c r="L528" t="n">
        <v>0</v>
      </c>
      <c r="M528" t="n">
        <v>0</v>
      </c>
      <c r="N528" t="n">
        <v>0</v>
      </c>
      <c r="O528" t="n">
        <v>0</v>
      </c>
      <c r="P528" t="n">
        <v>0</v>
      </c>
      <c r="Q528" t="n">
        <v>0</v>
      </c>
      <c r="R528" s="2" t="inlineStr"/>
    </row>
    <row r="529" ht="15" customHeight="1">
      <c r="A529" t="inlineStr">
        <is>
          <t>A 32077-2025</t>
        </is>
      </c>
      <c r="B529" s="1" t="n">
        <v>45835.45099537037</v>
      </c>
      <c r="C529" s="1" t="n">
        <v>45911</v>
      </c>
      <c r="D529" t="inlineStr">
        <is>
          <t>KALMAR LÄN</t>
        </is>
      </c>
      <c r="E529" t="inlineStr">
        <is>
          <t>VIMMERBY</t>
        </is>
      </c>
      <c r="G529" t="n">
        <v>1.8</v>
      </c>
      <c r="H529" t="n">
        <v>0</v>
      </c>
      <c r="I529" t="n">
        <v>0</v>
      </c>
      <c r="J529" t="n">
        <v>0</v>
      </c>
      <c r="K529" t="n">
        <v>0</v>
      </c>
      <c r="L529" t="n">
        <v>0</v>
      </c>
      <c r="M529" t="n">
        <v>0</v>
      </c>
      <c r="N529" t="n">
        <v>0</v>
      </c>
      <c r="O529" t="n">
        <v>0</v>
      </c>
      <c r="P529" t="n">
        <v>0</v>
      </c>
      <c r="Q529" t="n">
        <v>0</v>
      </c>
      <c r="R529" s="2" t="inlineStr"/>
    </row>
    <row r="530" ht="15" customHeight="1">
      <c r="A530" t="inlineStr">
        <is>
          <t>A 7758-2024</t>
        </is>
      </c>
      <c r="B530" s="1" t="n">
        <v>45349.54434027777</v>
      </c>
      <c r="C530" s="1" t="n">
        <v>45911</v>
      </c>
      <c r="D530" t="inlineStr">
        <is>
          <t>KALMAR LÄN</t>
        </is>
      </c>
      <c r="E530" t="inlineStr">
        <is>
          <t>VIMMERBY</t>
        </is>
      </c>
      <c r="G530" t="n">
        <v>3.5</v>
      </c>
      <c r="H530" t="n">
        <v>0</v>
      </c>
      <c r="I530" t="n">
        <v>0</v>
      </c>
      <c r="J530" t="n">
        <v>0</v>
      </c>
      <c r="K530" t="n">
        <v>0</v>
      </c>
      <c r="L530" t="n">
        <v>0</v>
      </c>
      <c r="M530" t="n">
        <v>0</v>
      </c>
      <c r="N530" t="n">
        <v>0</v>
      </c>
      <c r="O530" t="n">
        <v>0</v>
      </c>
      <c r="P530" t="n">
        <v>0</v>
      </c>
      <c r="Q530" t="n">
        <v>0</v>
      </c>
      <c r="R530" s="2" t="inlineStr"/>
    </row>
    <row r="531" ht="15" customHeight="1">
      <c r="A531" t="inlineStr">
        <is>
          <t>A 32382-2025</t>
        </is>
      </c>
      <c r="B531" s="1" t="n">
        <v>45837.77916666667</v>
      </c>
      <c r="C531" s="1" t="n">
        <v>45911</v>
      </c>
      <c r="D531" t="inlineStr">
        <is>
          <t>KALMAR LÄN</t>
        </is>
      </c>
      <c r="E531" t="inlineStr">
        <is>
          <t>VIMMERBY</t>
        </is>
      </c>
      <c r="G531" t="n">
        <v>4.6</v>
      </c>
      <c r="H531" t="n">
        <v>0</v>
      </c>
      <c r="I531" t="n">
        <v>0</v>
      </c>
      <c r="J531" t="n">
        <v>0</v>
      </c>
      <c r="K531" t="n">
        <v>0</v>
      </c>
      <c r="L531" t="n">
        <v>0</v>
      </c>
      <c r="M531" t="n">
        <v>0</v>
      </c>
      <c r="N531" t="n">
        <v>0</v>
      </c>
      <c r="O531" t="n">
        <v>0</v>
      </c>
      <c r="P531" t="n">
        <v>0</v>
      </c>
      <c r="Q531" t="n">
        <v>0</v>
      </c>
      <c r="R531" s="2" t="inlineStr"/>
    </row>
    <row r="532" ht="15" customHeight="1">
      <c r="A532" t="inlineStr">
        <is>
          <t>A 7456-2024</t>
        </is>
      </c>
      <c r="B532" s="1" t="n">
        <v>45345.83557870371</v>
      </c>
      <c r="C532" s="1" t="n">
        <v>45911</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8410-2023</t>
        </is>
      </c>
      <c r="B533" s="1" t="n">
        <v>44977</v>
      </c>
      <c r="C533" s="1" t="n">
        <v>45911</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6082-2022</t>
        </is>
      </c>
      <c r="B534" s="1" t="n">
        <v>44599</v>
      </c>
      <c r="C534" s="1" t="n">
        <v>45911</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32064-2025</t>
        </is>
      </c>
      <c r="B535" s="1" t="n">
        <v>45835.44709490741</v>
      </c>
      <c r="C535" s="1" t="n">
        <v>45911</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32065-2025</t>
        </is>
      </c>
      <c r="B536" s="1" t="n">
        <v>45835.44732638889</v>
      </c>
      <c r="C536" s="1" t="n">
        <v>45911</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46979-2023</t>
        </is>
      </c>
      <c r="B537" s="1" t="n">
        <v>45201</v>
      </c>
      <c r="C537" s="1" t="n">
        <v>45911</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2596-2025</t>
        </is>
      </c>
      <c r="B538" s="1" t="n">
        <v>45674.71810185185</v>
      </c>
      <c r="C538" s="1" t="n">
        <v>45911</v>
      </c>
      <c r="D538" t="inlineStr">
        <is>
          <t>KALMAR LÄN</t>
        </is>
      </c>
      <c r="E538" t="inlineStr">
        <is>
          <t>VIMMERBY</t>
        </is>
      </c>
      <c r="G538" t="n">
        <v>9</v>
      </c>
      <c r="H538" t="n">
        <v>0</v>
      </c>
      <c r="I538" t="n">
        <v>0</v>
      </c>
      <c r="J538" t="n">
        <v>0</v>
      </c>
      <c r="K538" t="n">
        <v>0</v>
      </c>
      <c r="L538" t="n">
        <v>0</v>
      </c>
      <c r="M538" t="n">
        <v>0</v>
      </c>
      <c r="N538" t="n">
        <v>0</v>
      </c>
      <c r="O538" t="n">
        <v>0</v>
      </c>
      <c r="P538" t="n">
        <v>0</v>
      </c>
      <c r="Q538" t="n">
        <v>0</v>
      </c>
      <c r="R538" s="2" t="inlineStr"/>
    </row>
    <row r="539" ht="15" customHeight="1">
      <c r="A539" t="inlineStr">
        <is>
          <t>A 47855-2024</t>
        </is>
      </c>
      <c r="B539" s="1" t="n">
        <v>45588.66457175926</v>
      </c>
      <c r="C539" s="1" t="n">
        <v>45911</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63583-2023</t>
        </is>
      </c>
      <c r="B540" s="1" t="n">
        <v>45275.41833333333</v>
      </c>
      <c r="C540" s="1" t="n">
        <v>45911</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37866-2025</t>
        </is>
      </c>
      <c r="B541" s="1" t="n">
        <v>45881</v>
      </c>
      <c r="C541" s="1" t="n">
        <v>45911</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60228-2021</t>
        </is>
      </c>
      <c r="B542" s="1" t="n">
        <v>44495</v>
      </c>
      <c r="C542" s="1" t="n">
        <v>45911</v>
      </c>
      <c r="D542" t="inlineStr">
        <is>
          <t>KALMAR LÄN</t>
        </is>
      </c>
      <c r="E542" t="inlineStr">
        <is>
          <t>VIMMERBY</t>
        </is>
      </c>
      <c r="G542" t="n">
        <v>4.1</v>
      </c>
      <c r="H542" t="n">
        <v>0</v>
      </c>
      <c r="I542" t="n">
        <v>0</v>
      </c>
      <c r="J542" t="n">
        <v>0</v>
      </c>
      <c r="K542" t="n">
        <v>0</v>
      </c>
      <c r="L542" t="n">
        <v>0</v>
      </c>
      <c r="M542" t="n">
        <v>0</v>
      </c>
      <c r="N542" t="n">
        <v>0</v>
      </c>
      <c r="O542" t="n">
        <v>0</v>
      </c>
      <c r="P542" t="n">
        <v>0</v>
      </c>
      <c r="Q542" t="n">
        <v>0</v>
      </c>
      <c r="R542" s="2" t="inlineStr"/>
    </row>
    <row r="543" ht="15" customHeight="1">
      <c r="A543" t="inlineStr">
        <is>
          <t>A 46522-2022</t>
        </is>
      </c>
      <c r="B543" s="1" t="n">
        <v>44848.59133101852</v>
      </c>
      <c r="C543" s="1" t="n">
        <v>45911</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21109-2024</t>
        </is>
      </c>
      <c r="B544" s="1" t="n">
        <v>45440.28329861111</v>
      </c>
      <c r="C544" s="1" t="n">
        <v>45911</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33186-2025</t>
        </is>
      </c>
      <c r="B545" s="1" t="n">
        <v>45840.59474537037</v>
      </c>
      <c r="C545" s="1" t="n">
        <v>45911</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33188-2025</t>
        </is>
      </c>
      <c r="B546" s="1" t="n">
        <v>45840.59853009259</v>
      </c>
      <c r="C546" s="1" t="n">
        <v>45911</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33815-2022</t>
        </is>
      </c>
      <c r="B547" s="1" t="n">
        <v>44790.45876157407</v>
      </c>
      <c r="C547" s="1" t="n">
        <v>45911</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6028-2023</t>
        </is>
      </c>
      <c r="B548" s="1" t="n">
        <v>44964.44356481481</v>
      </c>
      <c r="C548" s="1" t="n">
        <v>45911</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49461-2022</t>
        </is>
      </c>
      <c r="B549" s="1" t="n">
        <v>44861</v>
      </c>
      <c r="C549" s="1" t="n">
        <v>45911</v>
      </c>
      <c r="D549" t="inlineStr">
        <is>
          <t>KALMAR LÄN</t>
        </is>
      </c>
      <c r="E549" t="inlineStr">
        <is>
          <t>VIMMERBY</t>
        </is>
      </c>
      <c r="G549" t="n">
        <v>3.2</v>
      </c>
      <c r="H549" t="n">
        <v>0</v>
      </c>
      <c r="I549" t="n">
        <v>0</v>
      </c>
      <c r="J549" t="n">
        <v>0</v>
      </c>
      <c r="K549" t="n">
        <v>0</v>
      </c>
      <c r="L549" t="n">
        <v>0</v>
      </c>
      <c r="M549" t="n">
        <v>0</v>
      </c>
      <c r="N549" t="n">
        <v>0</v>
      </c>
      <c r="O549" t="n">
        <v>0</v>
      </c>
      <c r="P549" t="n">
        <v>0</v>
      </c>
      <c r="Q549" t="n">
        <v>0</v>
      </c>
      <c r="R549" s="2" t="inlineStr"/>
    </row>
    <row r="550" ht="15" customHeight="1">
      <c r="A550" t="inlineStr">
        <is>
          <t>A 53542-2022</t>
        </is>
      </c>
      <c r="B550" s="1" t="n">
        <v>44879.62173611111</v>
      </c>
      <c r="C550" s="1" t="n">
        <v>45911</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35713-2023</t>
        </is>
      </c>
      <c r="B551" s="1" t="n">
        <v>45147</v>
      </c>
      <c r="C551" s="1" t="n">
        <v>45911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52823-2024</t>
        </is>
      </c>
      <c r="B552" s="1" t="n">
        <v>45610.59094907407</v>
      </c>
      <c r="C552" s="1" t="n">
        <v>45911</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30977-2025</t>
        </is>
      </c>
      <c r="B553" s="1" t="n">
        <v>45832.46649305556</v>
      </c>
      <c r="C553" s="1" t="n">
        <v>45911</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10424-2023</t>
        </is>
      </c>
      <c r="B554" s="1" t="n">
        <v>44987.54104166666</v>
      </c>
      <c r="C554" s="1" t="n">
        <v>45911</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56853-2022</t>
        </is>
      </c>
      <c r="B555" s="1" t="n">
        <v>44894.49538194444</v>
      </c>
      <c r="C555" s="1" t="n">
        <v>45911</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11152-2023</t>
        </is>
      </c>
      <c r="B556" s="1" t="n">
        <v>44992</v>
      </c>
      <c r="C556" s="1" t="n">
        <v>45911</v>
      </c>
      <c r="D556" t="inlineStr">
        <is>
          <t>KALMAR LÄN</t>
        </is>
      </c>
      <c r="E556" t="inlineStr">
        <is>
          <t>VIMMERBY</t>
        </is>
      </c>
      <c r="G556" t="n">
        <v>10.6</v>
      </c>
      <c r="H556" t="n">
        <v>0</v>
      </c>
      <c r="I556" t="n">
        <v>0</v>
      </c>
      <c r="J556" t="n">
        <v>0</v>
      </c>
      <c r="K556" t="n">
        <v>0</v>
      </c>
      <c r="L556" t="n">
        <v>0</v>
      </c>
      <c r="M556" t="n">
        <v>0</v>
      </c>
      <c r="N556" t="n">
        <v>0</v>
      </c>
      <c r="O556" t="n">
        <v>0</v>
      </c>
      <c r="P556" t="n">
        <v>0</v>
      </c>
      <c r="Q556" t="n">
        <v>0</v>
      </c>
      <c r="R556" s="2" t="inlineStr"/>
    </row>
    <row r="557" ht="15" customHeight="1">
      <c r="A557" t="inlineStr">
        <is>
          <t>A 15550-2023</t>
        </is>
      </c>
      <c r="B557" s="1" t="n">
        <v>45020</v>
      </c>
      <c r="C557" s="1" t="n">
        <v>45911</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37939-2025</t>
        </is>
      </c>
      <c r="B558" s="1" t="n">
        <v>45881.59877314815</v>
      </c>
      <c r="C558" s="1" t="n">
        <v>45911</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38604-2025</t>
        </is>
      </c>
      <c r="B559" s="1" t="n">
        <v>45884.50613425926</v>
      </c>
      <c r="C559" s="1" t="n">
        <v>45911</v>
      </c>
      <c r="D559" t="inlineStr">
        <is>
          <t>KALMAR LÄN</t>
        </is>
      </c>
      <c r="E559" t="inlineStr">
        <is>
          <t>VIMMERBY</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33695-2025</t>
        </is>
      </c>
      <c r="B560" s="1" t="n">
        <v>45841.70569444444</v>
      </c>
      <c r="C560" s="1" t="n">
        <v>45911</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33698-2025</t>
        </is>
      </c>
      <c r="B561" s="1" t="n">
        <v>45841.70868055556</v>
      </c>
      <c r="C561" s="1" t="n">
        <v>45911</v>
      </c>
      <c r="D561" t="inlineStr">
        <is>
          <t>KALMAR LÄN</t>
        </is>
      </c>
      <c r="E561" t="inlineStr">
        <is>
          <t>VIMMERBY</t>
        </is>
      </c>
      <c r="G561" t="n">
        <v>3.7</v>
      </c>
      <c r="H561" t="n">
        <v>0</v>
      </c>
      <c r="I561" t="n">
        <v>0</v>
      </c>
      <c r="J561" t="n">
        <v>0</v>
      </c>
      <c r="K561" t="n">
        <v>0</v>
      </c>
      <c r="L561" t="n">
        <v>0</v>
      </c>
      <c r="M561" t="n">
        <v>0</v>
      </c>
      <c r="N561" t="n">
        <v>0</v>
      </c>
      <c r="O561" t="n">
        <v>0</v>
      </c>
      <c r="P561" t="n">
        <v>0</v>
      </c>
      <c r="Q561" t="n">
        <v>0</v>
      </c>
      <c r="R561" s="2" t="inlineStr"/>
    </row>
    <row r="562" ht="15" customHeight="1">
      <c r="A562" t="inlineStr">
        <is>
          <t>A 31355-2023</t>
        </is>
      </c>
      <c r="B562" s="1" t="n">
        <v>45114.49505787037</v>
      </c>
      <c r="C562" s="1" t="n">
        <v>45911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18330-2023</t>
        </is>
      </c>
      <c r="B563" s="1" t="n">
        <v>45041</v>
      </c>
      <c r="C563" s="1" t="n">
        <v>45911</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33340-2023</t>
        </is>
      </c>
      <c r="B564" s="1" t="n">
        <v>45128.37305555555</v>
      </c>
      <c r="C564" s="1" t="n">
        <v>45911</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29017-2024</t>
        </is>
      </c>
      <c r="B565" s="1" t="n">
        <v>45481.56722222222</v>
      </c>
      <c r="C565" s="1" t="n">
        <v>45911</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58046-2022</t>
        </is>
      </c>
      <c r="B566" s="1" t="n">
        <v>44900.57393518519</v>
      </c>
      <c r="C566" s="1" t="n">
        <v>45911</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14548-2024</t>
        </is>
      </c>
      <c r="B567" s="1" t="n">
        <v>45394.66887731481</v>
      </c>
      <c r="C567" s="1" t="n">
        <v>45911</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58100-2024</t>
        </is>
      </c>
      <c r="B568" s="1" t="n">
        <v>45632.36706018518</v>
      </c>
      <c r="C568" s="1" t="n">
        <v>45911</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27993-2022</t>
        </is>
      </c>
      <c r="B569" s="1" t="n">
        <v>44745.84396990741</v>
      </c>
      <c r="C569" s="1" t="n">
        <v>45911</v>
      </c>
      <c r="D569" t="inlineStr">
        <is>
          <t>KALMAR LÄN</t>
        </is>
      </c>
      <c r="E569" t="inlineStr">
        <is>
          <t>VIMMERBY</t>
        </is>
      </c>
      <c r="G569" t="n">
        <v>2.8</v>
      </c>
      <c r="H569" t="n">
        <v>0</v>
      </c>
      <c r="I569" t="n">
        <v>0</v>
      </c>
      <c r="J569" t="n">
        <v>0</v>
      </c>
      <c r="K569" t="n">
        <v>0</v>
      </c>
      <c r="L569" t="n">
        <v>0</v>
      </c>
      <c r="M569" t="n">
        <v>0</v>
      </c>
      <c r="N569" t="n">
        <v>0</v>
      </c>
      <c r="O569" t="n">
        <v>0</v>
      </c>
      <c r="P569" t="n">
        <v>0</v>
      </c>
      <c r="Q569" t="n">
        <v>0</v>
      </c>
      <c r="R569" s="2" t="inlineStr"/>
    </row>
    <row r="570" ht="15" customHeight="1">
      <c r="A570" t="inlineStr">
        <is>
          <t>A 33696-2025</t>
        </is>
      </c>
      <c r="B570" s="1" t="n">
        <v>45841.7072337963</v>
      </c>
      <c r="C570" s="1" t="n">
        <v>45911</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38969-2023</t>
        </is>
      </c>
      <c r="B571" s="1" t="n">
        <v>45163.63621527778</v>
      </c>
      <c r="C571" s="1" t="n">
        <v>45911</v>
      </c>
      <c r="D571" t="inlineStr">
        <is>
          <t>KALMAR LÄN</t>
        </is>
      </c>
      <c r="E571" t="inlineStr">
        <is>
          <t>VIMMERBY</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53752-2024</t>
        </is>
      </c>
      <c r="B572" s="1" t="n">
        <v>45615.48927083334</v>
      </c>
      <c r="C572" s="1" t="n">
        <v>45911</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48120-2022</t>
        </is>
      </c>
      <c r="B573" s="1" t="n">
        <v>44857.65989583333</v>
      </c>
      <c r="C573" s="1" t="n">
        <v>45911</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44585.50431712963</v>
      </c>
      <c r="C574" s="1" t="n">
        <v>45911</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11074-2023</t>
        </is>
      </c>
      <c r="B575" s="1" t="n">
        <v>44992.34151620371</v>
      </c>
      <c r="C575" s="1" t="n">
        <v>45911</v>
      </c>
      <c r="D575" t="inlineStr">
        <is>
          <t>KALMAR LÄN</t>
        </is>
      </c>
      <c r="E575" t="inlineStr">
        <is>
          <t>VIMMERBY</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71631-2021</t>
        </is>
      </c>
      <c r="B576" s="1" t="n">
        <v>44542.90072916666</v>
      </c>
      <c r="C576" s="1" t="n">
        <v>45911</v>
      </c>
      <c r="D576" t="inlineStr">
        <is>
          <t>KALMAR LÄN</t>
        </is>
      </c>
      <c r="E576" t="inlineStr">
        <is>
          <t>VIMMERBY</t>
        </is>
      </c>
      <c r="G576" t="n">
        <v>0.9</v>
      </c>
      <c r="H576" t="n">
        <v>0</v>
      </c>
      <c r="I576" t="n">
        <v>0</v>
      </c>
      <c r="J576" t="n">
        <v>0</v>
      </c>
      <c r="K576" t="n">
        <v>0</v>
      </c>
      <c r="L576" t="n">
        <v>0</v>
      </c>
      <c r="M576" t="n">
        <v>0</v>
      </c>
      <c r="N576" t="n">
        <v>0</v>
      </c>
      <c r="O576" t="n">
        <v>0</v>
      </c>
      <c r="P576" t="n">
        <v>0</v>
      </c>
      <c r="Q576" t="n">
        <v>0</v>
      </c>
      <c r="R576" s="2" t="inlineStr"/>
    </row>
    <row r="577" ht="15" customHeight="1">
      <c r="A577" t="inlineStr">
        <is>
          <t>A 28702-2025</t>
        </is>
      </c>
      <c r="B577" s="1" t="n">
        <v>45820.03976851852</v>
      </c>
      <c r="C577" s="1" t="n">
        <v>45911</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49039-2021</t>
        </is>
      </c>
      <c r="B578" s="1" t="n">
        <v>44453.56578703703</v>
      </c>
      <c r="C578" s="1" t="n">
        <v>45911</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38964-2025</t>
        </is>
      </c>
      <c r="B579" s="1" t="n">
        <v>45887.68759259259</v>
      </c>
      <c r="C579" s="1" t="n">
        <v>45911</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42918-2021</t>
        </is>
      </c>
      <c r="B580" s="1" t="n">
        <v>44431</v>
      </c>
      <c r="C580" s="1" t="n">
        <v>45911</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58728-2024</t>
        </is>
      </c>
      <c r="B581" s="1" t="n">
        <v>45635.66695601852</v>
      </c>
      <c r="C581" s="1" t="n">
        <v>45911</v>
      </c>
      <c r="D581" t="inlineStr">
        <is>
          <t>KALMAR LÄN</t>
        </is>
      </c>
      <c r="E581" t="inlineStr">
        <is>
          <t>VIMMERBY</t>
        </is>
      </c>
      <c r="G581" t="n">
        <v>0.4</v>
      </c>
      <c r="H581" t="n">
        <v>0</v>
      </c>
      <c r="I581" t="n">
        <v>0</v>
      </c>
      <c r="J581" t="n">
        <v>0</v>
      </c>
      <c r="K581" t="n">
        <v>0</v>
      </c>
      <c r="L581" t="n">
        <v>0</v>
      </c>
      <c r="M581" t="n">
        <v>0</v>
      </c>
      <c r="N581" t="n">
        <v>0</v>
      </c>
      <c r="O581" t="n">
        <v>0</v>
      </c>
      <c r="P581" t="n">
        <v>0</v>
      </c>
      <c r="Q581" t="n">
        <v>0</v>
      </c>
      <c r="R581" s="2" t="inlineStr"/>
    </row>
    <row r="582" ht="15" customHeight="1">
      <c r="A582" t="inlineStr">
        <is>
          <t>A 43242-2024</t>
        </is>
      </c>
      <c r="B582" s="1" t="n">
        <v>45568.30189814815</v>
      </c>
      <c r="C582" s="1" t="n">
        <v>45911</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16983-2023</t>
        </is>
      </c>
      <c r="B583" s="1" t="n">
        <v>45033.76043981482</v>
      </c>
      <c r="C583" s="1" t="n">
        <v>45911</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529-2022</t>
        </is>
      </c>
      <c r="B584" s="1" t="n">
        <v>44566</v>
      </c>
      <c r="C584" s="1" t="n">
        <v>45911</v>
      </c>
      <c r="D584" t="inlineStr">
        <is>
          <t>KALMAR LÄN</t>
        </is>
      </c>
      <c r="E584" t="inlineStr">
        <is>
          <t>VIMMERBY</t>
        </is>
      </c>
      <c r="G584" t="n">
        <v>1.5</v>
      </c>
      <c r="H584" t="n">
        <v>0</v>
      </c>
      <c r="I584" t="n">
        <v>0</v>
      </c>
      <c r="J584" t="n">
        <v>0</v>
      </c>
      <c r="K584" t="n">
        <v>0</v>
      </c>
      <c r="L584" t="n">
        <v>0</v>
      </c>
      <c r="M584" t="n">
        <v>0</v>
      </c>
      <c r="N584" t="n">
        <v>0</v>
      </c>
      <c r="O584" t="n">
        <v>0</v>
      </c>
      <c r="P584" t="n">
        <v>0</v>
      </c>
      <c r="Q584" t="n">
        <v>0</v>
      </c>
      <c r="R584" s="2" t="inlineStr"/>
    </row>
    <row r="585" ht="15" customHeight="1">
      <c r="A585" t="inlineStr">
        <is>
          <t>A 6405-2025</t>
        </is>
      </c>
      <c r="B585" s="1" t="n">
        <v>45699.45392361111</v>
      </c>
      <c r="C585" s="1" t="n">
        <v>45911</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36843-2023</t>
        </is>
      </c>
      <c r="B586" s="1" t="n">
        <v>45154.49831018518</v>
      </c>
      <c r="C586" s="1" t="n">
        <v>45911</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34060-2025</t>
        </is>
      </c>
      <c r="B587" s="1" t="n">
        <v>45845.42015046296</v>
      </c>
      <c r="C587" s="1" t="n">
        <v>45911</v>
      </c>
      <c r="D587" t="inlineStr">
        <is>
          <t>KALMAR LÄN</t>
        </is>
      </c>
      <c r="E587" t="inlineStr">
        <is>
          <t>VIMMERBY</t>
        </is>
      </c>
      <c r="G587" t="n">
        <v>5.7</v>
      </c>
      <c r="H587" t="n">
        <v>0</v>
      </c>
      <c r="I587" t="n">
        <v>0</v>
      </c>
      <c r="J587" t="n">
        <v>0</v>
      </c>
      <c r="K587" t="n">
        <v>0</v>
      </c>
      <c r="L587" t="n">
        <v>0</v>
      </c>
      <c r="M587" t="n">
        <v>0</v>
      </c>
      <c r="N587" t="n">
        <v>0</v>
      </c>
      <c r="O587" t="n">
        <v>0</v>
      </c>
      <c r="P587" t="n">
        <v>0</v>
      </c>
      <c r="Q587" t="n">
        <v>0</v>
      </c>
      <c r="R587" s="2" t="inlineStr"/>
    </row>
    <row r="588" ht="15" customHeight="1">
      <c r="A588" t="inlineStr">
        <is>
          <t>A 34071-2025</t>
        </is>
      </c>
      <c r="B588" s="1" t="n">
        <v>45845.43803240741</v>
      </c>
      <c r="C588" s="1" t="n">
        <v>45911</v>
      </c>
      <c r="D588" t="inlineStr">
        <is>
          <t>KALMAR LÄN</t>
        </is>
      </c>
      <c r="E588" t="inlineStr">
        <is>
          <t>VIMMERBY</t>
        </is>
      </c>
      <c r="G588" t="n">
        <v>6.8</v>
      </c>
      <c r="H588" t="n">
        <v>0</v>
      </c>
      <c r="I588" t="n">
        <v>0</v>
      </c>
      <c r="J588" t="n">
        <v>0</v>
      </c>
      <c r="K588" t="n">
        <v>0</v>
      </c>
      <c r="L588" t="n">
        <v>0</v>
      </c>
      <c r="M588" t="n">
        <v>0</v>
      </c>
      <c r="N588" t="n">
        <v>0</v>
      </c>
      <c r="O588" t="n">
        <v>0</v>
      </c>
      <c r="P588" t="n">
        <v>0</v>
      </c>
      <c r="Q588" t="n">
        <v>0</v>
      </c>
      <c r="R588" s="2" t="inlineStr"/>
    </row>
    <row r="589" ht="15" customHeight="1">
      <c r="A589" t="inlineStr">
        <is>
          <t>A 34106-2025</t>
        </is>
      </c>
      <c r="B589" s="1" t="n">
        <v>45845.49414351852</v>
      </c>
      <c r="C589" s="1" t="n">
        <v>45911</v>
      </c>
      <c r="D589" t="inlineStr">
        <is>
          <t>KALMAR LÄN</t>
        </is>
      </c>
      <c r="E589" t="inlineStr">
        <is>
          <t>VIMMERBY</t>
        </is>
      </c>
      <c r="G589" t="n">
        <v>6</v>
      </c>
      <c r="H589" t="n">
        <v>0</v>
      </c>
      <c r="I589" t="n">
        <v>0</v>
      </c>
      <c r="J589" t="n">
        <v>0</v>
      </c>
      <c r="K589" t="n">
        <v>0</v>
      </c>
      <c r="L589" t="n">
        <v>0</v>
      </c>
      <c r="M589" t="n">
        <v>0</v>
      </c>
      <c r="N589" t="n">
        <v>0</v>
      </c>
      <c r="O589" t="n">
        <v>0</v>
      </c>
      <c r="P589" t="n">
        <v>0</v>
      </c>
      <c r="Q589" t="n">
        <v>0</v>
      </c>
      <c r="R589" s="2" t="inlineStr"/>
    </row>
    <row r="590" ht="15" customHeight="1">
      <c r="A590" t="inlineStr">
        <is>
          <t>A 14855-2025</t>
        </is>
      </c>
      <c r="B590" s="1" t="n">
        <v>45743.41148148148</v>
      </c>
      <c r="C590" s="1" t="n">
        <v>45911</v>
      </c>
      <c r="D590" t="inlineStr">
        <is>
          <t>KALMAR LÄN</t>
        </is>
      </c>
      <c r="E590" t="inlineStr">
        <is>
          <t>VIMMERBY</t>
        </is>
      </c>
      <c r="G590" t="n">
        <v>1.2</v>
      </c>
      <c r="H590" t="n">
        <v>0</v>
      </c>
      <c r="I590" t="n">
        <v>0</v>
      </c>
      <c r="J590" t="n">
        <v>0</v>
      </c>
      <c r="K590" t="n">
        <v>0</v>
      </c>
      <c r="L590" t="n">
        <v>0</v>
      </c>
      <c r="M590" t="n">
        <v>0</v>
      </c>
      <c r="N590" t="n">
        <v>0</v>
      </c>
      <c r="O590" t="n">
        <v>0</v>
      </c>
      <c r="P590" t="n">
        <v>0</v>
      </c>
      <c r="Q590" t="n">
        <v>0</v>
      </c>
      <c r="R590" s="2" t="inlineStr"/>
    </row>
    <row r="591" ht="15" customHeight="1">
      <c r="A591" t="inlineStr">
        <is>
          <t>A 57486-2024</t>
        </is>
      </c>
      <c r="B591" s="1" t="n">
        <v>45630.35827546296</v>
      </c>
      <c r="C591" s="1" t="n">
        <v>45911</v>
      </c>
      <c r="D591" t="inlineStr">
        <is>
          <t>KALMAR LÄN</t>
        </is>
      </c>
      <c r="E591" t="inlineStr">
        <is>
          <t>VIMMERBY</t>
        </is>
      </c>
      <c r="G591" t="n">
        <v>0.4</v>
      </c>
      <c r="H591" t="n">
        <v>0</v>
      </c>
      <c r="I591" t="n">
        <v>0</v>
      </c>
      <c r="J591" t="n">
        <v>0</v>
      </c>
      <c r="K591" t="n">
        <v>0</v>
      </c>
      <c r="L591" t="n">
        <v>0</v>
      </c>
      <c r="M591" t="n">
        <v>0</v>
      </c>
      <c r="N591" t="n">
        <v>0</v>
      </c>
      <c r="O591" t="n">
        <v>0</v>
      </c>
      <c r="P591" t="n">
        <v>0</v>
      </c>
      <c r="Q591" t="n">
        <v>0</v>
      </c>
      <c r="R591" s="2" t="inlineStr"/>
    </row>
    <row r="592" ht="15" customHeight="1">
      <c r="A592" t="inlineStr">
        <is>
          <t>A 60951-2023</t>
        </is>
      </c>
      <c r="B592" s="1" t="n">
        <v>45261.44914351852</v>
      </c>
      <c r="C592" s="1" t="n">
        <v>45911</v>
      </c>
      <c r="D592" t="inlineStr">
        <is>
          <t>KALMAR LÄN</t>
        </is>
      </c>
      <c r="E592" t="inlineStr">
        <is>
          <t>VIMMERBY</t>
        </is>
      </c>
      <c r="G592" t="n">
        <v>4.3</v>
      </c>
      <c r="H592" t="n">
        <v>0</v>
      </c>
      <c r="I592" t="n">
        <v>0</v>
      </c>
      <c r="J592" t="n">
        <v>0</v>
      </c>
      <c r="K592" t="n">
        <v>0</v>
      </c>
      <c r="L592" t="n">
        <v>0</v>
      </c>
      <c r="M592" t="n">
        <v>0</v>
      </c>
      <c r="N592" t="n">
        <v>0</v>
      </c>
      <c r="O592" t="n">
        <v>0</v>
      </c>
      <c r="P592" t="n">
        <v>0</v>
      </c>
      <c r="Q592" t="n">
        <v>0</v>
      </c>
      <c r="R592" s="2" t="inlineStr"/>
    </row>
    <row r="593" ht="15" customHeight="1">
      <c r="A593" t="inlineStr">
        <is>
          <t>A 26956-2025</t>
        </is>
      </c>
      <c r="B593" s="1" t="n">
        <v>45811.45460648148</v>
      </c>
      <c r="C593" s="1" t="n">
        <v>45911</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66295-2020</t>
        </is>
      </c>
      <c r="B594" s="1" t="n">
        <v>44176</v>
      </c>
      <c r="C594" s="1" t="n">
        <v>45911</v>
      </c>
      <c r="D594" t="inlineStr">
        <is>
          <t>KALMAR LÄN</t>
        </is>
      </c>
      <c r="E594" t="inlineStr">
        <is>
          <t>VIMMERBY</t>
        </is>
      </c>
      <c r="G594" t="n">
        <v>4.1</v>
      </c>
      <c r="H594" t="n">
        <v>0</v>
      </c>
      <c r="I594" t="n">
        <v>0</v>
      </c>
      <c r="J594" t="n">
        <v>0</v>
      </c>
      <c r="K594" t="n">
        <v>0</v>
      </c>
      <c r="L594" t="n">
        <v>0</v>
      </c>
      <c r="M594" t="n">
        <v>0</v>
      </c>
      <c r="N594" t="n">
        <v>0</v>
      </c>
      <c r="O594" t="n">
        <v>0</v>
      </c>
      <c r="P594" t="n">
        <v>0</v>
      </c>
      <c r="Q594" t="n">
        <v>0</v>
      </c>
      <c r="R594" s="2" t="inlineStr"/>
    </row>
    <row r="595" ht="15" customHeight="1">
      <c r="A595" t="inlineStr">
        <is>
          <t>A 44423-2023</t>
        </is>
      </c>
      <c r="B595" s="1" t="n">
        <v>45189</v>
      </c>
      <c r="C595" s="1" t="n">
        <v>45911</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20-2025</t>
        </is>
      </c>
      <c r="B596" s="1" t="n">
        <v>45658.80232638889</v>
      </c>
      <c r="C596" s="1" t="n">
        <v>45911</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23-2025</t>
        </is>
      </c>
      <c r="B597" s="1" t="n">
        <v>45658.80827546296</v>
      </c>
      <c r="C597" s="1" t="n">
        <v>45911</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19162-2023</t>
        </is>
      </c>
      <c r="B598" s="1" t="n">
        <v>45048.59699074074</v>
      </c>
      <c r="C598" s="1" t="n">
        <v>45911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21496-2023</t>
        </is>
      </c>
      <c r="B599" s="1" t="n">
        <v>45063.49936342592</v>
      </c>
      <c r="C599" s="1" t="n">
        <v>45911</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31056-2022</t>
        </is>
      </c>
      <c r="B600" s="1" t="n">
        <v>44769.45805555556</v>
      </c>
      <c r="C600" s="1" t="n">
        <v>45911</v>
      </c>
      <c r="D600" t="inlineStr">
        <is>
          <t>KALMAR LÄN</t>
        </is>
      </c>
      <c r="E600" t="inlineStr">
        <is>
          <t>VIMMERBY</t>
        </is>
      </c>
      <c r="G600" t="n">
        <v>2</v>
      </c>
      <c r="H600" t="n">
        <v>0</v>
      </c>
      <c r="I600" t="n">
        <v>0</v>
      </c>
      <c r="J600" t="n">
        <v>0</v>
      </c>
      <c r="K600" t="n">
        <v>0</v>
      </c>
      <c r="L600" t="n">
        <v>0</v>
      </c>
      <c r="M600" t="n">
        <v>0</v>
      </c>
      <c r="N600" t="n">
        <v>0</v>
      </c>
      <c r="O600" t="n">
        <v>0</v>
      </c>
      <c r="P600" t="n">
        <v>0</v>
      </c>
      <c r="Q600" t="n">
        <v>0</v>
      </c>
      <c r="R600" s="2" t="inlineStr"/>
    </row>
    <row r="601" ht="15" customHeight="1">
      <c r="A601" t="inlineStr">
        <is>
          <t>A 31209-2024</t>
        </is>
      </c>
      <c r="B601" s="1" t="n">
        <v>45503.5658912037</v>
      </c>
      <c r="C601" s="1" t="n">
        <v>45911</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5864-2022</t>
        </is>
      </c>
      <c r="B602" s="1" t="n">
        <v>44596</v>
      </c>
      <c r="C602" s="1" t="n">
        <v>45911</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34628-2025</t>
        </is>
      </c>
      <c r="B603" s="1" t="n">
        <v>45847.91280092593</v>
      </c>
      <c r="C603" s="1" t="n">
        <v>45911</v>
      </c>
      <c r="D603" t="inlineStr">
        <is>
          <t>KALMAR LÄN</t>
        </is>
      </c>
      <c r="E603" t="inlineStr">
        <is>
          <t>VIMMERBY</t>
        </is>
      </c>
      <c r="G603" t="n">
        <v>4.2</v>
      </c>
      <c r="H603" t="n">
        <v>0</v>
      </c>
      <c r="I603" t="n">
        <v>0</v>
      </c>
      <c r="J603" t="n">
        <v>0</v>
      </c>
      <c r="K603" t="n">
        <v>0</v>
      </c>
      <c r="L603" t="n">
        <v>0</v>
      </c>
      <c r="M603" t="n">
        <v>0</v>
      </c>
      <c r="N603" t="n">
        <v>0</v>
      </c>
      <c r="O603" t="n">
        <v>0</v>
      </c>
      <c r="P603" t="n">
        <v>0</v>
      </c>
      <c r="Q603" t="n">
        <v>0</v>
      </c>
      <c r="R603" s="2" t="inlineStr"/>
    </row>
    <row r="604" ht="15" customHeight="1">
      <c r="A604" t="inlineStr">
        <is>
          <t>A 72701-2021</t>
        </is>
      </c>
      <c r="B604" s="1" t="n">
        <v>44546</v>
      </c>
      <c r="C604" s="1" t="n">
        <v>45911</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52294-2023</t>
        </is>
      </c>
      <c r="B605" s="1" t="n">
        <v>45224.60075231481</v>
      </c>
      <c r="C605" s="1" t="n">
        <v>45911</v>
      </c>
      <c r="D605" t="inlineStr">
        <is>
          <t>KALMAR LÄN</t>
        </is>
      </c>
      <c r="E605" t="inlineStr">
        <is>
          <t>VIMMERBY</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3938-2023</t>
        </is>
      </c>
      <c r="B606" s="1" t="n">
        <v>44952.35775462963</v>
      </c>
      <c r="C606" s="1" t="n">
        <v>45911</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61355-2024</t>
        </is>
      </c>
      <c r="B607" s="1" t="n">
        <v>45646.38200231481</v>
      </c>
      <c r="C607" s="1" t="n">
        <v>45911</v>
      </c>
      <c r="D607" t="inlineStr">
        <is>
          <t>KALMAR LÄN</t>
        </is>
      </c>
      <c r="E607" t="inlineStr">
        <is>
          <t>VIMMERBY</t>
        </is>
      </c>
      <c r="G607" t="n">
        <v>2.7</v>
      </c>
      <c r="H607" t="n">
        <v>0</v>
      </c>
      <c r="I607" t="n">
        <v>0</v>
      </c>
      <c r="J607" t="n">
        <v>0</v>
      </c>
      <c r="K607" t="n">
        <v>0</v>
      </c>
      <c r="L607" t="n">
        <v>0</v>
      </c>
      <c r="M607" t="n">
        <v>0</v>
      </c>
      <c r="N607" t="n">
        <v>0</v>
      </c>
      <c r="O607" t="n">
        <v>0</v>
      </c>
      <c r="P607" t="n">
        <v>0</v>
      </c>
      <c r="Q607" t="n">
        <v>0</v>
      </c>
      <c r="R607" s="2" t="inlineStr"/>
    </row>
    <row r="608" ht="15" customHeight="1">
      <c r="A608" t="inlineStr">
        <is>
          <t>A 26937-2023</t>
        </is>
      </c>
      <c r="B608" s="1" t="n">
        <v>45093.62777777778</v>
      </c>
      <c r="C608" s="1" t="n">
        <v>45911</v>
      </c>
      <c r="D608" t="inlineStr">
        <is>
          <t>KALMAR LÄN</t>
        </is>
      </c>
      <c r="E608" t="inlineStr">
        <is>
          <t>VIMMERBY</t>
        </is>
      </c>
      <c r="F608" t="inlineStr">
        <is>
          <t>Sveaskog</t>
        </is>
      </c>
      <c r="G608" t="n">
        <v>14.5</v>
      </c>
      <c r="H608" t="n">
        <v>0</v>
      </c>
      <c r="I608" t="n">
        <v>0</v>
      </c>
      <c r="J608" t="n">
        <v>0</v>
      </c>
      <c r="K608" t="n">
        <v>0</v>
      </c>
      <c r="L608" t="n">
        <v>0</v>
      </c>
      <c r="M608" t="n">
        <v>0</v>
      </c>
      <c r="N608" t="n">
        <v>0</v>
      </c>
      <c r="O608" t="n">
        <v>0</v>
      </c>
      <c r="P608" t="n">
        <v>0</v>
      </c>
      <c r="Q608" t="n">
        <v>0</v>
      </c>
      <c r="R608" s="2" t="inlineStr"/>
    </row>
    <row r="609" ht="15" customHeight="1">
      <c r="A609" t="inlineStr">
        <is>
          <t>A 50085-2023</t>
        </is>
      </c>
      <c r="B609" s="1" t="n">
        <v>45215.5959375</v>
      </c>
      <c r="C609" s="1" t="n">
        <v>45911</v>
      </c>
      <c r="D609" t="inlineStr">
        <is>
          <t>KALMAR LÄN</t>
        </is>
      </c>
      <c r="E609" t="inlineStr">
        <is>
          <t>VIMMERBY</t>
        </is>
      </c>
      <c r="G609" t="n">
        <v>1.1</v>
      </c>
      <c r="H609" t="n">
        <v>0</v>
      </c>
      <c r="I609" t="n">
        <v>0</v>
      </c>
      <c r="J609" t="n">
        <v>0</v>
      </c>
      <c r="K609" t="n">
        <v>0</v>
      </c>
      <c r="L609" t="n">
        <v>0</v>
      </c>
      <c r="M609" t="n">
        <v>0</v>
      </c>
      <c r="N609" t="n">
        <v>0</v>
      </c>
      <c r="O609" t="n">
        <v>0</v>
      </c>
      <c r="P609" t="n">
        <v>0</v>
      </c>
      <c r="Q609" t="n">
        <v>0</v>
      </c>
      <c r="R609" s="2" t="inlineStr"/>
    </row>
    <row r="610" ht="15" customHeight="1">
      <c r="A610" t="inlineStr">
        <is>
          <t>A 33374-2021</t>
        </is>
      </c>
      <c r="B610" s="1" t="n">
        <v>44377</v>
      </c>
      <c r="C610" s="1" t="n">
        <v>45911</v>
      </c>
      <c r="D610" t="inlineStr">
        <is>
          <t>KALMAR LÄN</t>
        </is>
      </c>
      <c r="E610" t="inlineStr">
        <is>
          <t>VIMMERBY</t>
        </is>
      </c>
      <c r="G610" t="n">
        <v>3.3</v>
      </c>
      <c r="H610" t="n">
        <v>0</v>
      </c>
      <c r="I610" t="n">
        <v>0</v>
      </c>
      <c r="J610" t="n">
        <v>0</v>
      </c>
      <c r="K610" t="n">
        <v>0</v>
      </c>
      <c r="L610" t="n">
        <v>0</v>
      </c>
      <c r="M610" t="n">
        <v>0</v>
      </c>
      <c r="N610" t="n">
        <v>0</v>
      </c>
      <c r="O610" t="n">
        <v>0</v>
      </c>
      <c r="P610" t="n">
        <v>0</v>
      </c>
      <c r="Q610" t="n">
        <v>0</v>
      </c>
      <c r="R610" s="2" t="inlineStr"/>
    </row>
    <row r="611" ht="15" customHeight="1">
      <c r="A611" t="inlineStr">
        <is>
          <t>A 11219-2023</t>
        </is>
      </c>
      <c r="B611" s="1" t="n">
        <v>44992.62498842592</v>
      </c>
      <c r="C611" s="1" t="n">
        <v>45911</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39736-2025</t>
        </is>
      </c>
      <c r="B612" s="1" t="n">
        <v>45891</v>
      </c>
      <c r="C612" s="1" t="n">
        <v>45911</v>
      </c>
      <c r="D612" t="inlineStr">
        <is>
          <t>KALMAR LÄN</t>
        </is>
      </c>
      <c r="E612" t="inlineStr">
        <is>
          <t>VIMMERBY</t>
        </is>
      </c>
      <c r="G612" t="n">
        <v>12.8</v>
      </c>
      <c r="H612" t="n">
        <v>0</v>
      </c>
      <c r="I612" t="n">
        <v>0</v>
      </c>
      <c r="J612" t="n">
        <v>0</v>
      </c>
      <c r="K612" t="n">
        <v>0</v>
      </c>
      <c r="L612" t="n">
        <v>0</v>
      </c>
      <c r="M612" t="n">
        <v>0</v>
      </c>
      <c r="N612" t="n">
        <v>0</v>
      </c>
      <c r="O612" t="n">
        <v>0</v>
      </c>
      <c r="P612" t="n">
        <v>0</v>
      </c>
      <c r="Q612" t="n">
        <v>0</v>
      </c>
      <c r="R612" s="2" t="inlineStr"/>
    </row>
    <row r="613" ht="15" customHeight="1">
      <c r="A613" t="inlineStr">
        <is>
          <t>A 39803-2025</t>
        </is>
      </c>
      <c r="B613" s="1" t="n">
        <v>45891.50525462963</v>
      </c>
      <c r="C613" s="1" t="n">
        <v>45911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39807-2025</t>
        </is>
      </c>
      <c r="B614" s="1" t="n">
        <v>45891.50986111111</v>
      </c>
      <c r="C614" s="1" t="n">
        <v>45911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10759-2023</t>
        </is>
      </c>
      <c r="B615" s="1" t="n">
        <v>44988</v>
      </c>
      <c r="C615" s="1" t="n">
        <v>45911</v>
      </c>
      <c r="D615" t="inlineStr">
        <is>
          <t>KALMAR LÄN</t>
        </is>
      </c>
      <c r="E615" t="inlineStr">
        <is>
          <t>VIMMERBY</t>
        </is>
      </c>
      <c r="G615" t="n">
        <v>0.4</v>
      </c>
      <c r="H615" t="n">
        <v>0</v>
      </c>
      <c r="I615" t="n">
        <v>0</v>
      </c>
      <c r="J615" t="n">
        <v>0</v>
      </c>
      <c r="K615" t="n">
        <v>0</v>
      </c>
      <c r="L615" t="n">
        <v>0</v>
      </c>
      <c r="M615" t="n">
        <v>0</v>
      </c>
      <c r="N615" t="n">
        <v>0</v>
      </c>
      <c r="O615" t="n">
        <v>0</v>
      </c>
      <c r="P615" t="n">
        <v>0</v>
      </c>
      <c r="Q615" t="n">
        <v>0</v>
      </c>
      <c r="R615" s="2" t="inlineStr"/>
    </row>
    <row r="616" ht="15" customHeight="1">
      <c r="A616" t="inlineStr">
        <is>
          <t>A 18899-2025</t>
        </is>
      </c>
      <c r="B616" s="1" t="n">
        <v>45764.44931712963</v>
      </c>
      <c r="C616" s="1" t="n">
        <v>45911</v>
      </c>
      <c r="D616" t="inlineStr">
        <is>
          <t>KALMAR LÄN</t>
        </is>
      </c>
      <c r="E616" t="inlineStr">
        <is>
          <t>VIMMERBY</t>
        </is>
      </c>
      <c r="F616" t="inlineStr">
        <is>
          <t>Kommuner</t>
        </is>
      </c>
      <c r="G616" t="n">
        <v>4</v>
      </c>
      <c r="H616" t="n">
        <v>0</v>
      </c>
      <c r="I616" t="n">
        <v>0</v>
      </c>
      <c r="J616" t="n">
        <v>0</v>
      </c>
      <c r="K616" t="n">
        <v>0</v>
      </c>
      <c r="L616" t="n">
        <v>0</v>
      </c>
      <c r="M616" t="n">
        <v>0</v>
      </c>
      <c r="N616" t="n">
        <v>0</v>
      </c>
      <c r="O616" t="n">
        <v>0</v>
      </c>
      <c r="P616" t="n">
        <v>0</v>
      </c>
      <c r="Q616" t="n">
        <v>0</v>
      </c>
      <c r="R616" s="2" t="inlineStr"/>
    </row>
    <row r="617" ht="15" customHeight="1">
      <c r="A617" t="inlineStr">
        <is>
          <t>A 12586-2021</t>
        </is>
      </c>
      <c r="B617" s="1" t="n">
        <v>44270.38002314815</v>
      </c>
      <c r="C617" s="1" t="n">
        <v>45911</v>
      </c>
      <c r="D617" t="inlineStr">
        <is>
          <t>KALMAR LÄN</t>
        </is>
      </c>
      <c r="E617" t="inlineStr">
        <is>
          <t>VIMMERBY</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6850-2023</t>
        </is>
      </c>
      <c r="B618" s="1" t="n">
        <v>44967.44255787037</v>
      </c>
      <c r="C618" s="1" t="n">
        <v>45911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32614-2023</t>
        </is>
      </c>
      <c r="B619" s="1" t="n">
        <v>45121</v>
      </c>
      <c r="C619" s="1" t="n">
        <v>45911</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39801-2025</t>
        </is>
      </c>
      <c r="B620" s="1" t="n">
        <v>45891.50216435185</v>
      </c>
      <c r="C620" s="1" t="n">
        <v>45911</v>
      </c>
      <c r="D620" t="inlineStr">
        <is>
          <t>KALMAR LÄN</t>
        </is>
      </c>
      <c r="E620" t="inlineStr">
        <is>
          <t>VIMMERBY</t>
        </is>
      </c>
      <c r="G620" t="n">
        <v>2</v>
      </c>
      <c r="H620" t="n">
        <v>0</v>
      </c>
      <c r="I620" t="n">
        <v>0</v>
      </c>
      <c r="J620" t="n">
        <v>0</v>
      </c>
      <c r="K620" t="n">
        <v>0</v>
      </c>
      <c r="L620" t="n">
        <v>0</v>
      </c>
      <c r="M620" t="n">
        <v>0</v>
      </c>
      <c r="N620" t="n">
        <v>0</v>
      </c>
      <c r="O620" t="n">
        <v>0</v>
      </c>
      <c r="P620" t="n">
        <v>0</v>
      </c>
      <c r="Q620" t="n">
        <v>0</v>
      </c>
      <c r="R620" s="2" t="inlineStr"/>
    </row>
    <row r="621" ht="15" customHeight="1">
      <c r="A621" t="inlineStr">
        <is>
          <t>A 61939-2021</t>
        </is>
      </c>
      <c r="B621" s="1" t="n">
        <v>44502</v>
      </c>
      <c r="C621" s="1" t="n">
        <v>45911</v>
      </c>
      <c r="D621" t="inlineStr">
        <is>
          <t>KALMAR LÄN</t>
        </is>
      </c>
      <c r="E621" t="inlineStr">
        <is>
          <t>VIMMERBY</t>
        </is>
      </c>
      <c r="G621" t="n">
        <v>2.7</v>
      </c>
      <c r="H621" t="n">
        <v>0</v>
      </c>
      <c r="I621" t="n">
        <v>0</v>
      </c>
      <c r="J621" t="n">
        <v>0</v>
      </c>
      <c r="K621" t="n">
        <v>0</v>
      </c>
      <c r="L621" t="n">
        <v>0</v>
      </c>
      <c r="M621" t="n">
        <v>0</v>
      </c>
      <c r="N621" t="n">
        <v>0</v>
      </c>
      <c r="O621" t="n">
        <v>0</v>
      </c>
      <c r="P621" t="n">
        <v>0</v>
      </c>
      <c r="Q621" t="n">
        <v>0</v>
      </c>
      <c r="R621" s="2" t="inlineStr"/>
    </row>
    <row r="622" ht="15" customHeight="1">
      <c r="A622" t="inlineStr">
        <is>
          <t>A 6358-2022</t>
        </is>
      </c>
      <c r="B622" s="1" t="n">
        <v>44600</v>
      </c>
      <c r="C622" s="1" t="n">
        <v>45911</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43853-2023</t>
        </is>
      </c>
      <c r="B623" s="1" t="n">
        <v>45187.60813657408</v>
      </c>
      <c r="C623" s="1" t="n">
        <v>45911</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7075-2021</t>
        </is>
      </c>
      <c r="B624" s="1" t="n">
        <v>44237</v>
      </c>
      <c r="C624" s="1" t="n">
        <v>45911</v>
      </c>
      <c r="D624" t="inlineStr">
        <is>
          <t>KALMAR LÄN</t>
        </is>
      </c>
      <c r="E624" t="inlineStr">
        <is>
          <t>VIMMERBY</t>
        </is>
      </c>
      <c r="G624" t="n">
        <v>3.6</v>
      </c>
      <c r="H624" t="n">
        <v>0</v>
      </c>
      <c r="I624" t="n">
        <v>0</v>
      </c>
      <c r="J624" t="n">
        <v>0</v>
      </c>
      <c r="K624" t="n">
        <v>0</v>
      </c>
      <c r="L624" t="n">
        <v>0</v>
      </c>
      <c r="M624" t="n">
        <v>0</v>
      </c>
      <c r="N624" t="n">
        <v>0</v>
      </c>
      <c r="O624" t="n">
        <v>0</v>
      </c>
      <c r="P624" t="n">
        <v>0</v>
      </c>
      <c r="Q624" t="n">
        <v>0</v>
      </c>
      <c r="R624" s="2" t="inlineStr"/>
    </row>
    <row r="625" ht="15" customHeight="1">
      <c r="A625" t="inlineStr">
        <is>
          <t>A 35270-2025</t>
        </is>
      </c>
      <c r="B625" s="1" t="n">
        <v>45853.87112268519</v>
      </c>
      <c r="C625" s="1" t="n">
        <v>45911</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45911</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35271-2025</t>
        </is>
      </c>
      <c r="B627" s="1" t="n">
        <v>45853.87599537037</v>
      </c>
      <c r="C627" s="1" t="n">
        <v>45911</v>
      </c>
      <c r="D627" t="inlineStr">
        <is>
          <t>KALMAR LÄN</t>
        </is>
      </c>
      <c r="E627" t="inlineStr">
        <is>
          <t>VIMMERBY</t>
        </is>
      </c>
      <c r="G627" t="n">
        <v>0.4</v>
      </c>
      <c r="H627" t="n">
        <v>0</v>
      </c>
      <c r="I627" t="n">
        <v>0</v>
      </c>
      <c r="J627" t="n">
        <v>0</v>
      </c>
      <c r="K627" t="n">
        <v>0</v>
      </c>
      <c r="L627" t="n">
        <v>0</v>
      </c>
      <c r="M627" t="n">
        <v>0</v>
      </c>
      <c r="N627" t="n">
        <v>0</v>
      </c>
      <c r="O627" t="n">
        <v>0</v>
      </c>
      <c r="P627" t="n">
        <v>0</v>
      </c>
      <c r="Q627" t="n">
        <v>0</v>
      </c>
      <c r="R627" s="2" t="inlineStr"/>
    </row>
    <row r="628" ht="15" customHeight="1">
      <c r="A628" t="inlineStr">
        <is>
          <t>A 35272-2025</t>
        </is>
      </c>
      <c r="B628" s="1" t="n">
        <v>45853.88070601852</v>
      </c>
      <c r="C628" s="1" t="n">
        <v>45911</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14137-2023</t>
        </is>
      </c>
      <c r="B629" s="1" t="n">
        <v>45009.4671875</v>
      </c>
      <c r="C629" s="1" t="n">
        <v>45911</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7630-2025</t>
        </is>
      </c>
      <c r="B630" s="1" t="n">
        <v>45705.74418981482</v>
      </c>
      <c r="C630" s="1" t="n">
        <v>45911</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16953-2025</t>
        </is>
      </c>
      <c r="B631" s="1" t="n">
        <v>45755.44333333334</v>
      </c>
      <c r="C631" s="1" t="n">
        <v>45911</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39889-2025</t>
        </is>
      </c>
      <c r="B632" s="1" t="n">
        <v>45891</v>
      </c>
      <c r="C632" s="1" t="n">
        <v>45911</v>
      </c>
      <c r="D632" t="inlineStr">
        <is>
          <t>KALMAR LÄN</t>
        </is>
      </c>
      <c r="E632" t="inlineStr">
        <is>
          <t>VIMMERBY</t>
        </is>
      </c>
      <c r="G632" t="n">
        <v>4.5</v>
      </c>
      <c r="H632" t="n">
        <v>0</v>
      </c>
      <c r="I632" t="n">
        <v>0</v>
      </c>
      <c r="J632" t="n">
        <v>0</v>
      </c>
      <c r="K632" t="n">
        <v>0</v>
      </c>
      <c r="L632" t="n">
        <v>0</v>
      </c>
      <c r="M632" t="n">
        <v>0</v>
      </c>
      <c r="N632" t="n">
        <v>0</v>
      </c>
      <c r="O632" t="n">
        <v>0</v>
      </c>
      <c r="P632" t="n">
        <v>0</v>
      </c>
      <c r="Q632" t="n">
        <v>0</v>
      </c>
      <c r="R632" s="2" t="inlineStr"/>
    </row>
    <row r="633" ht="15" customHeight="1">
      <c r="A633" t="inlineStr">
        <is>
          <t>A 6218-2025</t>
        </is>
      </c>
      <c r="B633" s="1" t="n">
        <v>45698.53336805556</v>
      </c>
      <c r="C633" s="1" t="n">
        <v>45911</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40076-2021</t>
        </is>
      </c>
      <c r="B634" s="1" t="n">
        <v>44418</v>
      </c>
      <c r="C634" s="1" t="n">
        <v>45911</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38780-2021</t>
        </is>
      </c>
      <c r="B635" s="1" t="n">
        <v>44410</v>
      </c>
      <c r="C635" s="1" t="n">
        <v>45911</v>
      </c>
      <c r="D635" t="inlineStr">
        <is>
          <t>KALMAR LÄN</t>
        </is>
      </c>
      <c r="E635" t="inlineStr">
        <is>
          <t>VIMMERBY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30503-2023</t>
        </is>
      </c>
      <c r="B636" s="1" t="n">
        <v>45111</v>
      </c>
      <c r="C636" s="1" t="n">
        <v>45911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60110-2022</t>
        </is>
      </c>
      <c r="B637" s="1" t="n">
        <v>44909</v>
      </c>
      <c r="C637" s="1" t="n">
        <v>45911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59300-2024</t>
        </is>
      </c>
      <c r="B638" s="1" t="n">
        <v>45637.66542824074</v>
      </c>
      <c r="C638" s="1" t="n">
        <v>45911</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40921-2025</t>
        </is>
      </c>
      <c r="B639" s="1" t="n">
        <v>45897.63520833333</v>
      </c>
      <c r="C639" s="1" t="n">
        <v>45911</v>
      </c>
      <c r="D639" t="inlineStr">
        <is>
          <t>KALMAR LÄN</t>
        </is>
      </c>
      <c r="E639" t="inlineStr">
        <is>
          <t>VIMMERBY</t>
        </is>
      </c>
      <c r="G639" t="n">
        <v>4.2</v>
      </c>
      <c r="H639" t="n">
        <v>0</v>
      </c>
      <c r="I639" t="n">
        <v>0</v>
      </c>
      <c r="J639" t="n">
        <v>0</v>
      </c>
      <c r="K639" t="n">
        <v>0</v>
      </c>
      <c r="L639" t="n">
        <v>0</v>
      </c>
      <c r="M639" t="n">
        <v>0</v>
      </c>
      <c r="N639" t="n">
        <v>0</v>
      </c>
      <c r="O639" t="n">
        <v>0</v>
      </c>
      <c r="P639" t="n">
        <v>0</v>
      </c>
      <c r="Q639" t="n">
        <v>0</v>
      </c>
      <c r="R639" s="2" t="inlineStr"/>
    </row>
    <row r="640" ht="15" customHeight="1">
      <c r="A640" t="inlineStr">
        <is>
          <t>A 15976-2025</t>
        </is>
      </c>
      <c r="B640" s="1" t="n">
        <v>45749.56196759259</v>
      </c>
      <c r="C640" s="1" t="n">
        <v>45911</v>
      </c>
      <c r="D640" t="inlineStr">
        <is>
          <t>KALMAR LÄN</t>
        </is>
      </c>
      <c r="E640" t="inlineStr">
        <is>
          <t>VIMMERBY</t>
        </is>
      </c>
      <c r="F640" t="inlineStr">
        <is>
          <t>Kommuner</t>
        </is>
      </c>
      <c r="G640" t="n">
        <v>2.5</v>
      </c>
      <c r="H640" t="n">
        <v>0</v>
      </c>
      <c r="I640" t="n">
        <v>0</v>
      </c>
      <c r="J640" t="n">
        <v>0</v>
      </c>
      <c r="K640" t="n">
        <v>0</v>
      </c>
      <c r="L640" t="n">
        <v>0</v>
      </c>
      <c r="M640" t="n">
        <v>0</v>
      </c>
      <c r="N640" t="n">
        <v>0</v>
      </c>
      <c r="O640" t="n">
        <v>0</v>
      </c>
      <c r="P640" t="n">
        <v>0</v>
      </c>
      <c r="Q640" t="n">
        <v>0</v>
      </c>
      <c r="R640" s="2" t="inlineStr"/>
    </row>
    <row r="641" ht="15" customHeight="1">
      <c r="A641" t="inlineStr">
        <is>
          <t>A 40971-2025</t>
        </is>
      </c>
      <c r="B641" s="1" t="n">
        <v>45897.88836805556</v>
      </c>
      <c r="C641" s="1" t="n">
        <v>45911</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19445-2021</t>
        </is>
      </c>
      <c r="B642" s="1" t="n">
        <v>44310</v>
      </c>
      <c r="C642" s="1" t="n">
        <v>45911</v>
      </c>
      <c r="D642" t="inlineStr">
        <is>
          <t>KALMAR LÄN</t>
        </is>
      </c>
      <c r="E642" t="inlineStr">
        <is>
          <t>VIMMERBY</t>
        </is>
      </c>
      <c r="G642" t="n">
        <v>6.8</v>
      </c>
      <c r="H642" t="n">
        <v>0</v>
      </c>
      <c r="I642" t="n">
        <v>0</v>
      </c>
      <c r="J642" t="n">
        <v>0</v>
      </c>
      <c r="K642" t="n">
        <v>0</v>
      </c>
      <c r="L642" t="n">
        <v>0</v>
      </c>
      <c r="M642" t="n">
        <v>0</v>
      </c>
      <c r="N642" t="n">
        <v>0</v>
      </c>
      <c r="O642" t="n">
        <v>0</v>
      </c>
      <c r="P642" t="n">
        <v>0</v>
      </c>
      <c r="Q642" t="n">
        <v>0</v>
      </c>
      <c r="R642" s="2" t="inlineStr"/>
    </row>
    <row r="643" ht="15" customHeight="1">
      <c r="A643" t="inlineStr">
        <is>
          <t>A 40925-2025</t>
        </is>
      </c>
      <c r="B643" s="1" t="n">
        <v>45897.64208333333</v>
      </c>
      <c r="C643" s="1" t="n">
        <v>45911</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18329-2023</t>
        </is>
      </c>
      <c r="B644" s="1" t="n">
        <v>45041.63380787037</v>
      </c>
      <c r="C644" s="1" t="n">
        <v>45911</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12588-2025</t>
        </is>
      </c>
      <c r="B645" s="1" t="n">
        <v>45732.76936342593</v>
      </c>
      <c r="C645" s="1" t="n">
        <v>45911</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25979-2023</t>
        </is>
      </c>
      <c r="B646" s="1" t="n">
        <v>45090.89653935185</v>
      </c>
      <c r="C646" s="1" t="n">
        <v>45911</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25980-2023</t>
        </is>
      </c>
      <c r="B647" s="1" t="n">
        <v>45090.89880787037</v>
      </c>
      <c r="C647" s="1" t="n">
        <v>45911</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5720-2023</t>
        </is>
      </c>
      <c r="B648" s="1" t="n">
        <v>44961</v>
      </c>
      <c r="C648" s="1" t="n">
        <v>45911</v>
      </c>
      <c r="D648" t="inlineStr">
        <is>
          <t>KALMAR LÄN</t>
        </is>
      </c>
      <c r="E648" t="inlineStr">
        <is>
          <t>VIMMERBY</t>
        </is>
      </c>
      <c r="G648" t="n">
        <v>1.4</v>
      </c>
      <c r="H648" t="n">
        <v>0</v>
      </c>
      <c r="I648" t="n">
        <v>0</v>
      </c>
      <c r="J648" t="n">
        <v>0</v>
      </c>
      <c r="K648" t="n">
        <v>0</v>
      </c>
      <c r="L648" t="n">
        <v>0</v>
      </c>
      <c r="M648" t="n">
        <v>0</v>
      </c>
      <c r="N648" t="n">
        <v>0</v>
      </c>
      <c r="O648" t="n">
        <v>0</v>
      </c>
      <c r="P648" t="n">
        <v>0</v>
      </c>
      <c r="Q648" t="n">
        <v>0</v>
      </c>
      <c r="R648" s="2" t="inlineStr"/>
    </row>
    <row r="649" ht="15" customHeight="1">
      <c r="A649" t="inlineStr">
        <is>
          <t>A 61538-2022</t>
        </is>
      </c>
      <c r="B649" s="1" t="n">
        <v>44916.55414351852</v>
      </c>
      <c r="C649" s="1" t="n">
        <v>45911</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41224-2025</t>
        </is>
      </c>
      <c r="B650" s="1" t="n">
        <v>45898.58861111111</v>
      </c>
      <c r="C650" s="1" t="n">
        <v>45911</v>
      </c>
      <c r="D650" t="inlineStr">
        <is>
          <t>KALMAR LÄN</t>
        </is>
      </c>
      <c r="E650" t="inlineStr">
        <is>
          <t>VIMMERBY</t>
        </is>
      </c>
      <c r="G650" t="n">
        <v>4.4</v>
      </c>
      <c r="H650" t="n">
        <v>0</v>
      </c>
      <c r="I650" t="n">
        <v>0</v>
      </c>
      <c r="J650" t="n">
        <v>0</v>
      </c>
      <c r="K650" t="n">
        <v>0</v>
      </c>
      <c r="L650" t="n">
        <v>0</v>
      </c>
      <c r="M650" t="n">
        <v>0</v>
      </c>
      <c r="N650" t="n">
        <v>0</v>
      </c>
      <c r="O650" t="n">
        <v>0</v>
      </c>
      <c r="P650" t="n">
        <v>0</v>
      </c>
      <c r="Q650" t="n">
        <v>0</v>
      </c>
      <c r="R650" s="2" t="inlineStr"/>
    </row>
    <row r="651" ht="15" customHeight="1">
      <c r="A651" t="inlineStr">
        <is>
          <t>A 40973-2025</t>
        </is>
      </c>
      <c r="B651" s="1" t="n">
        <v>45897.89737268518</v>
      </c>
      <c r="C651" s="1" t="n">
        <v>45911</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46921-2023</t>
        </is>
      </c>
      <c r="B652" s="1" t="n">
        <v>45201.39996527778</v>
      </c>
      <c r="C652" s="1" t="n">
        <v>45911</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40970-2025</t>
        </is>
      </c>
      <c r="B653" s="1" t="n">
        <v>45897.88706018519</v>
      </c>
      <c r="C653" s="1" t="n">
        <v>45911</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10837-2023</t>
        </is>
      </c>
      <c r="B654" s="1" t="n">
        <v>44991.30547453704</v>
      </c>
      <c r="C654" s="1" t="n">
        <v>45911</v>
      </c>
      <c r="D654" t="inlineStr">
        <is>
          <t>KALMAR LÄN</t>
        </is>
      </c>
      <c r="E654" t="inlineStr">
        <is>
          <t>VIMMERBY</t>
        </is>
      </c>
      <c r="G654" t="n">
        <v>7.3</v>
      </c>
      <c r="H654" t="n">
        <v>0</v>
      </c>
      <c r="I654" t="n">
        <v>0</v>
      </c>
      <c r="J654" t="n">
        <v>0</v>
      </c>
      <c r="K654" t="n">
        <v>0</v>
      </c>
      <c r="L654" t="n">
        <v>0</v>
      </c>
      <c r="M654" t="n">
        <v>0</v>
      </c>
      <c r="N654" t="n">
        <v>0</v>
      </c>
      <c r="O654" t="n">
        <v>0</v>
      </c>
      <c r="P654" t="n">
        <v>0</v>
      </c>
      <c r="Q654" t="n">
        <v>0</v>
      </c>
      <c r="R654" s="2" t="inlineStr"/>
    </row>
    <row r="655" ht="15" customHeight="1">
      <c r="A655" t="inlineStr">
        <is>
          <t>A 10838-2023</t>
        </is>
      </c>
      <c r="B655" s="1" t="n">
        <v>44991</v>
      </c>
      <c r="C655" s="1" t="n">
        <v>45911</v>
      </c>
      <c r="D655" t="inlineStr">
        <is>
          <t>KALMAR LÄN</t>
        </is>
      </c>
      <c r="E655" t="inlineStr">
        <is>
          <t>VIMMERBY</t>
        </is>
      </c>
      <c r="G655" t="n">
        <v>5.1</v>
      </c>
      <c r="H655" t="n">
        <v>0</v>
      </c>
      <c r="I655" t="n">
        <v>0</v>
      </c>
      <c r="J655" t="n">
        <v>0</v>
      </c>
      <c r="K655" t="n">
        <v>0</v>
      </c>
      <c r="L655" t="n">
        <v>0</v>
      </c>
      <c r="M655" t="n">
        <v>0</v>
      </c>
      <c r="N655" t="n">
        <v>0</v>
      </c>
      <c r="O655" t="n">
        <v>0</v>
      </c>
      <c r="P655" t="n">
        <v>0</v>
      </c>
      <c r="Q655" t="n">
        <v>0</v>
      </c>
      <c r="R655" s="2" t="inlineStr"/>
    </row>
    <row r="656" ht="15" customHeight="1">
      <c r="A656" t="inlineStr">
        <is>
          <t>A 30912-2023</t>
        </is>
      </c>
      <c r="B656" s="1" t="n">
        <v>45113.41633101852</v>
      </c>
      <c r="C656" s="1" t="n">
        <v>45911</v>
      </c>
      <c r="D656" t="inlineStr">
        <is>
          <t>KALMAR LÄN</t>
        </is>
      </c>
      <c r="E656" t="inlineStr">
        <is>
          <t>VIMMERBY</t>
        </is>
      </c>
      <c r="G656" t="n">
        <v>5</v>
      </c>
      <c r="H656" t="n">
        <v>0</v>
      </c>
      <c r="I656" t="n">
        <v>0</v>
      </c>
      <c r="J656" t="n">
        <v>0</v>
      </c>
      <c r="K656" t="n">
        <v>0</v>
      </c>
      <c r="L656" t="n">
        <v>0</v>
      </c>
      <c r="M656" t="n">
        <v>0</v>
      </c>
      <c r="N656" t="n">
        <v>0</v>
      </c>
      <c r="O656" t="n">
        <v>0</v>
      </c>
      <c r="P656" t="n">
        <v>0</v>
      </c>
      <c r="Q656" t="n">
        <v>0</v>
      </c>
      <c r="R656" s="2" t="inlineStr"/>
    </row>
    <row r="657" ht="15" customHeight="1">
      <c r="A657" t="inlineStr">
        <is>
          <t>A 694-2024</t>
        </is>
      </c>
      <c r="B657" s="1" t="n">
        <v>45300.3794212963</v>
      </c>
      <c r="C657" s="1" t="n">
        <v>45911</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57114-2023</t>
        </is>
      </c>
      <c r="B658" s="1" t="n">
        <v>45245.36174768519</v>
      </c>
      <c r="C658" s="1" t="n">
        <v>45911</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55436-2023</t>
        </is>
      </c>
      <c r="B659" s="1" t="n">
        <v>45238.4328587963</v>
      </c>
      <c r="C659" s="1" t="n">
        <v>45911</v>
      </c>
      <c r="D659" t="inlineStr">
        <is>
          <t>KALMAR LÄN</t>
        </is>
      </c>
      <c r="E659" t="inlineStr">
        <is>
          <t>VIMMERBY</t>
        </is>
      </c>
      <c r="G659" t="n">
        <v>5.6</v>
      </c>
      <c r="H659" t="n">
        <v>0</v>
      </c>
      <c r="I659" t="n">
        <v>0</v>
      </c>
      <c r="J659" t="n">
        <v>0</v>
      </c>
      <c r="K659" t="n">
        <v>0</v>
      </c>
      <c r="L659" t="n">
        <v>0</v>
      </c>
      <c r="M659" t="n">
        <v>0</v>
      </c>
      <c r="N659" t="n">
        <v>0</v>
      </c>
      <c r="O659" t="n">
        <v>0</v>
      </c>
      <c r="P659" t="n">
        <v>0</v>
      </c>
      <c r="Q659" t="n">
        <v>0</v>
      </c>
      <c r="R659" s="2" t="inlineStr"/>
    </row>
    <row r="660" ht="15" customHeight="1">
      <c r="A660" t="inlineStr">
        <is>
          <t>A 41589-2025</t>
        </is>
      </c>
      <c r="B660" s="1" t="n">
        <v>45901.63219907408</v>
      </c>
      <c r="C660" s="1" t="n">
        <v>45911</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41591-2025</t>
        </is>
      </c>
      <c r="B661" s="1" t="n">
        <v>45901.6327662037</v>
      </c>
      <c r="C661" s="1" t="n">
        <v>45911</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21507-2023</t>
        </is>
      </c>
      <c r="B662" s="1" t="n">
        <v>45063.508125</v>
      </c>
      <c r="C662" s="1" t="n">
        <v>45911</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51187-2023</t>
        </is>
      </c>
      <c r="B663" s="1" t="n">
        <v>45219.40528935185</v>
      </c>
      <c r="C663" s="1" t="n">
        <v>45911</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35597-2025</t>
        </is>
      </c>
      <c r="B664" s="1" t="n">
        <v>45858.66019675926</v>
      </c>
      <c r="C664" s="1" t="n">
        <v>45911</v>
      </c>
      <c r="D664" t="inlineStr">
        <is>
          <t>KALMAR LÄN</t>
        </is>
      </c>
      <c r="E664" t="inlineStr">
        <is>
          <t>VIMMERBY</t>
        </is>
      </c>
      <c r="G664" t="n">
        <v>6.4</v>
      </c>
      <c r="H664" t="n">
        <v>0</v>
      </c>
      <c r="I664" t="n">
        <v>0</v>
      </c>
      <c r="J664" t="n">
        <v>0</v>
      </c>
      <c r="K664" t="n">
        <v>0</v>
      </c>
      <c r="L664" t="n">
        <v>0</v>
      </c>
      <c r="M664" t="n">
        <v>0</v>
      </c>
      <c r="N664" t="n">
        <v>0</v>
      </c>
      <c r="O664" t="n">
        <v>0</v>
      </c>
      <c r="P664" t="n">
        <v>0</v>
      </c>
      <c r="Q664" t="n">
        <v>0</v>
      </c>
      <c r="R664" s="2" t="inlineStr"/>
    </row>
    <row r="665" ht="15" customHeight="1">
      <c r="A665" t="inlineStr">
        <is>
          <t>A 12327-2023</t>
        </is>
      </c>
      <c r="B665" s="1" t="n">
        <v>44999.36081018519</v>
      </c>
      <c r="C665" s="1" t="n">
        <v>45911</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13290-2025</t>
        </is>
      </c>
      <c r="B666" s="1" t="n">
        <v>45735.56751157407</v>
      </c>
      <c r="C666" s="1" t="n">
        <v>45911</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45560-2021</t>
        </is>
      </c>
      <c r="B667" s="1" t="n">
        <v>44440</v>
      </c>
      <c r="C667" s="1" t="n">
        <v>45911</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30633-2024</t>
        </is>
      </c>
      <c r="B668" s="1" t="n">
        <v>45495</v>
      </c>
      <c r="C668" s="1" t="n">
        <v>45911</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33424-2023</t>
        </is>
      </c>
      <c r="B669" s="1" t="n">
        <v>45128.9325</v>
      </c>
      <c r="C669" s="1" t="n">
        <v>45911</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33425-2023</t>
        </is>
      </c>
      <c r="B670" s="1" t="n">
        <v>45128.93540509259</v>
      </c>
      <c r="C670" s="1" t="n">
        <v>45911</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3609-2024</t>
        </is>
      </c>
      <c r="B671" s="1" t="n">
        <v>45320.89128472222</v>
      </c>
      <c r="C671" s="1" t="n">
        <v>45911</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35596-2025</t>
        </is>
      </c>
      <c r="B672" s="1" t="n">
        <v>45858.60641203704</v>
      </c>
      <c r="C672" s="1" t="n">
        <v>45911</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41735-2025</t>
        </is>
      </c>
      <c r="B673" s="1" t="n">
        <v>45902.47164351852</v>
      </c>
      <c r="C673" s="1" t="n">
        <v>45911</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16622-2025</t>
        </is>
      </c>
      <c r="B674" s="1" t="n">
        <v>45754.33641203704</v>
      </c>
      <c r="C674" s="1" t="n">
        <v>45911</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31340-2023</t>
        </is>
      </c>
      <c r="B675" s="1" t="n">
        <v>45114.47895833333</v>
      </c>
      <c r="C675" s="1" t="n">
        <v>45911</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29168-2024</t>
        </is>
      </c>
      <c r="B676" s="1" t="n">
        <v>45482.49870370371</v>
      </c>
      <c r="C676" s="1" t="n">
        <v>45911</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29186-2024</t>
        </is>
      </c>
      <c r="B677" s="1" t="n">
        <v>45482.54844907407</v>
      </c>
      <c r="C677" s="1" t="n">
        <v>45911</v>
      </c>
      <c r="D677" t="inlineStr">
        <is>
          <t>KALMAR LÄN</t>
        </is>
      </c>
      <c r="E677" t="inlineStr">
        <is>
          <t>VIMMERBY</t>
        </is>
      </c>
      <c r="G677" t="n">
        <v>2.6</v>
      </c>
      <c r="H677" t="n">
        <v>0</v>
      </c>
      <c r="I677" t="n">
        <v>0</v>
      </c>
      <c r="J677" t="n">
        <v>0</v>
      </c>
      <c r="K677" t="n">
        <v>0</v>
      </c>
      <c r="L677" t="n">
        <v>0</v>
      </c>
      <c r="M677" t="n">
        <v>0</v>
      </c>
      <c r="N677" t="n">
        <v>0</v>
      </c>
      <c r="O677" t="n">
        <v>0</v>
      </c>
      <c r="P677" t="n">
        <v>0</v>
      </c>
      <c r="Q677" t="n">
        <v>0</v>
      </c>
      <c r="R677" s="2" t="inlineStr"/>
    </row>
    <row r="678" ht="15" customHeight="1">
      <c r="A678" t="inlineStr">
        <is>
          <t>A 35895-2024</t>
        </is>
      </c>
      <c r="B678" s="1" t="n">
        <v>45533.38870370371</v>
      </c>
      <c r="C678" s="1" t="n">
        <v>45911</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12590-2025</t>
        </is>
      </c>
      <c r="B679" s="1" t="n">
        <v>45732.79925925926</v>
      </c>
      <c r="C679" s="1" t="n">
        <v>45911</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30318-2023</t>
        </is>
      </c>
      <c r="B680" s="1" t="n">
        <v>45111.30824074074</v>
      </c>
      <c r="C680" s="1" t="n">
        <v>45911</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8650-2022</t>
        </is>
      </c>
      <c r="B681" s="1" t="n">
        <v>44613</v>
      </c>
      <c r="C681" s="1" t="n">
        <v>45911</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43186-2021</t>
        </is>
      </c>
      <c r="B682" s="1" t="n">
        <v>44431.84840277778</v>
      </c>
      <c r="C682" s="1" t="n">
        <v>45911</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60215-2022</t>
        </is>
      </c>
      <c r="B683" s="1" t="n">
        <v>44910.41346064815</v>
      </c>
      <c r="C683" s="1" t="n">
        <v>45911</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60230-2022</t>
        </is>
      </c>
      <c r="B684" s="1" t="n">
        <v>44910</v>
      </c>
      <c r="C684" s="1" t="n">
        <v>45911</v>
      </c>
      <c r="D684" t="inlineStr">
        <is>
          <t>KALMAR LÄN</t>
        </is>
      </c>
      <c r="E684" t="inlineStr">
        <is>
          <t>VIMMERBY</t>
        </is>
      </c>
      <c r="G684" t="n">
        <v>11.3</v>
      </c>
      <c r="H684" t="n">
        <v>0</v>
      </c>
      <c r="I684" t="n">
        <v>0</v>
      </c>
      <c r="J684" t="n">
        <v>0</v>
      </c>
      <c r="K684" t="n">
        <v>0</v>
      </c>
      <c r="L684" t="n">
        <v>0</v>
      </c>
      <c r="M684" t="n">
        <v>0</v>
      </c>
      <c r="N684" t="n">
        <v>0</v>
      </c>
      <c r="O684" t="n">
        <v>0</v>
      </c>
      <c r="P684" t="n">
        <v>0</v>
      </c>
      <c r="Q684" t="n">
        <v>0</v>
      </c>
      <c r="R684" s="2" t="inlineStr"/>
    </row>
    <row r="685" ht="15" customHeight="1">
      <c r="A685" t="inlineStr">
        <is>
          <t>A 41896-2025</t>
        </is>
      </c>
      <c r="B685" s="1" t="n">
        <v>45903.38800925926</v>
      </c>
      <c r="C685" s="1" t="n">
        <v>45911</v>
      </c>
      <c r="D685" t="inlineStr">
        <is>
          <t>KALMAR LÄN</t>
        </is>
      </c>
      <c r="E685" t="inlineStr">
        <is>
          <t>VIMMERBY</t>
        </is>
      </c>
      <c r="G685" t="n">
        <v>2.9</v>
      </c>
      <c r="H685" t="n">
        <v>0</v>
      </c>
      <c r="I685" t="n">
        <v>0</v>
      </c>
      <c r="J685" t="n">
        <v>0</v>
      </c>
      <c r="K685" t="n">
        <v>0</v>
      </c>
      <c r="L685" t="n">
        <v>0</v>
      </c>
      <c r="M685" t="n">
        <v>0</v>
      </c>
      <c r="N685" t="n">
        <v>0</v>
      </c>
      <c r="O685" t="n">
        <v>0</v>
      </c>
      <c r="P685" t="n">
        <v>0</v>
      </c>
      <c r="Q685" t="n">
        <v>0</v>
      </c>
      <c r="R685" s="2" t="inlineStr"/>
    </row>
    <row r="686" ht="15" customHeight="1">
      <c r="A686" t="inlineStr">
        <is>
          <t>A 5925-2022</t>
        </is>
      </c>
      <c r="B686" s="1" t="n">
        <v>44598.7384837963</v>
      </c>
      <c r="C686" s="1" t="n">
        <v>45911</v>
      </c>
      <c r="D686" t="inlineStr">
        <is>
          <t>KALMAR LÄN</t>
        </is>
      </c>
      <c r="E686" t="inlineStr">
        <is>
          <t>VIMMERBY</t>
        </is>
      </c>
      <c r="G686" t="n">
        <v>2.1</v>
      </c>
      <c r="H686" t="n">
        <v>0</v>
      </c>
      <c r="I686" t="n">
        <v>0</v>
      </c>
      <c r="J686" t="n">
        <v>0</v>
      </c>
      <c r="K686" t="n">
        <v>0</v>
      </c>
      <c r="L686" t="n">
        <v>0</v>
      </c>
      <c r="M686" t="n">
        <v>0</v>
      </c>
      <c r="N686" t="n">
        <v>0</v>
      </c>
      <c r="O686" t="n">
        <v>0</v>
      </c>
      <c r="P686" t="n">
        <v>0</v>
      </c>
      <c r="Q686" t="n">
        <v>0</v>
      </c>
      <c r="R686" s="2" t="inlineStr"/>
    </row>
    <row r="687" ht="15" customHeight="1">
      <c r="A687" t="inlineStr">
        <is>
          <t>A 845-2023</t>
        </is>
      </c>
      <c r="B687" s="1" t="n">
        <v>44931</v>
      </c>
      <c r="C687" s="1" t="n">
        <v>45911</v>
      </c>
      <c r="D687" t="inlineStr">
        <is>
          <t>KALMAR LÄN</t>
        </is>
      </c>
      <c r="E687" t="inlineStr">
        <is>
          <t>VIMMERBY</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11147-2023</t>
        </is>
      </c>
      <c r="B688" s="1" t="n">
        <v>44992</v>
      </c>
      <c r="C688" s="1" t="n">
        <v>45911</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16119-2023</t>
        </is>
      </c>
      <c r="B689" s="1" t="n">
        <v>45027.59450231482</v>
      </c>
      <c r="C689" s="1" t="n">
        <v>45911</v>
      </c>
      <c r="D689" t="inlineStr">
        <is>
          <t>KALMAR LÄN</t>
        </is>
      </c>
      <c r="E689" t="inlineStr">
        <is>
          <t>VIMMERBY</t>
        </is>
      </c>
      <c r="F689" t="inlineStr">
        <is>
          <t>Kommuner</t>
        </is>
      </c>
      <c r="G689" t="n">
        <v>4.4</v>
      </c>
      <c r="H689" t="n">
        <v>0</v>
      </c>
      <c r="I689" t="n">
        <v>0</v>
      </c>
      <c r="J689" t="n">
        <v>0</v>
      </c>
      <c r="K689" t="n">
        <v>0</v>
      </c>
      <c r="L689" t="n">
        <v>0</v>
      </c>
      <c r="M689" t="n">
        <v>0</v>
      </c>
      <c r="N689" t="n">
        <v>0</v>
      </c>
      <c r="O689" t="n">
        <v>0</v>
      </c>
      <c r="P689" t="n">
        <v>0</v>
      </c>
      <c r="Q689" t="n">
        <v>0</v>
      </c>
      <c r="R689" s="2" t="inlineStr"/>
    </row>
    <row r="690" ht="15" customHeight="1">
      <c r="A690" t="inlineStr">
        <is>
          <t>A 30588-2023</t>
        </is>
      </c>
      <c r="B690" s="1" t="n">
        <v>45112.33599537037</v>
      </c>
      <c r="C690" s="1" t="n">
        <v>45911</v>
      </c>
      <c r="D690" t="inlineStr">
        <is>
          <t>KALMAR LÄN</t>
        </is>
      </c>
      <c r="E690" t="inlineStr">
        <is>
          <t>VIMMERBY</t>
        </is>
      </c>
      <c r="G690" t="n">
        <v>2.7</v>
      </c>
      <c r="H690" t="n">
        <v>0</v>
      </c>
      <c r="I690" t="n">
        <v>0</v>
      </c>
      <c r="J690" t="n">
        <v>0</v>
      </c>
      <c r="K690" t="n">
        <v>0</v>
      </c>
      <c r="L690" t="n">
        <v>0</v>
      </c>
      <c r="M690" t="n">
        <v>0</v>
      </c>
      <c r="N690" t="n">
        <v>0</v>
      </c>
      <c r="O690" t="n">
        <v>0</v>
      </c>
      <c r="P690" t="n">
        <v>0</v>
      </c>
      <c r="Q690" t="n">
        <v>0</v>
      </c>
      <c r="R690" s="2" t="inlineStr"/>
    </row>
    <row r="691" ht="15" customHeight="1">
      <c r="A691" t="inlineStr">
        <is>
          <t>A 50764-2020</t>
        </is>
      </c>
      <c r="B691" s="1" t="n">
        <v>44111</v>
      </c>
      <c r="C691" s="1" t="n">
        <v>45911</v>
      </c>
      <c r="D691" t="inlineStr">
        <is>
          <t>KALMAR LÄN</t>
        </is>
      </c>
      <c r="E691" t="inlineStr">
        <is>
          <t>VIMMERBY</t>
        </is>
      </c>
      <c r="G691" t="n">
        <v>2.3</v>
      </c>
      <c r="H691" t="n">
        <v>0</v>
      </c>
      <c r="I691" t="n">
        <v>0</v>
      </c>
      <c r="J691" t="n">
        <v>0</v>
      </c>
      <c r="K691" t="n">
        <v>0</v>
      </c>
      <c r="L691" t="n">
        <v>0</v>
      </c>
      <c r="M691" t="n">
        <v>0</v>
      </c>
      <c r="N691" t="n">
        <v>0</v>
      </c>
      <c r="O691" t="n">
        <v>0</v>
      </c>
      <c r="P691" t="n">
        <v>0</v>
      </c>
      <c r="Q691" t="n">
        <v>0</v>
      </c>
      <c r="R691" s="2" t="inlineStr"/>
    </row>
    <row r="692" ht="15" customHeight="1">
      <c r="A692" t="inlineStr">
        <is>
          <t>A 45528-2021</t>
        </is>
      </c>
      <c r="B692" s="1" t="n">
        <v>44440.60415509259</v>
      </c>
      <c r="C692" s="1" t="n">
        <v>45911</v>
      </c>
      <c r="D692" t="inlineStr">
        <is>
          <t>KALMAR LÄN</t>
        </is>
      </c>
      <c r="E692" t="inlineStr">
        <is>
          <t>VIMMERBY</t>
        </is>
      </c>
      <c r="G692" t="n">
        <v>2.2</v>
      </c>
      <c r="H692" t="n">
        <v>0</v>
      </c>
      <c r="I692" t="n">
        <v>0</v>
      </c>
      <c r="J692" t="n">
        <v>0</v>
      </c>
      <c r="K692" t="n">
        <v>0</v>
      </c>
      <c r="L692" t="n">
        <v>0</v>
      </c>
      <c r="M692" t="n">
        <v>0</v>
      </c>
      <c r="N692" t="n">
        <v>0</v>
      </c>
      <c r="O692" t="n">
        <v>0</v>
      </c>
      <c r="P692" t="n">
        <v>0</v>
      </c>
      <c r="Q692" t="n">
        <v>0</v>
      </c>
      <c r="R692" s="2" t="inlineStr"/>
    </row>
    <row r="693" ht="15" customHeight="1">
      <c r="A693" t="inlineStr">
        <is>
          <t>A 16676-2023</t>
        </is>
      </c>
      <c r="B693" s="1" t="n">
        <v>45028</v>
      </c>
      <c r="C693" s="1" t="n">
        <v>45911</v>
      </c>
      <c r="D693" t="inlineStr">
        <is>
          <t>KALMAR LÄN</t>
        </is>
      </c>
      <c r="E693" t="inlineStr">
        <is>
          <t>VIMMERBY</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34090-2025</t>
        </is>
      </c>
      <c r="B694" s="1" t="n">
        <v>45845</v>
      </c>
      <c r="C694" s="1" t="n">
        <v>45911</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42820-2025</t>
        </is>
      </c>
      <c r="B695" s="1" t="n">
        <v>45908.5666550926</v>
      </c>
      <c r="C695" s="1" t="n">
        <v>45911</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16516-2023</t>
        </is>
      </c>
      <c r="B696" s="1" t="n">
        <v>45029</v>
      </c>
      <c r="C696" s="1" t="n">
        <v>45911</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2510-2023</t>
        </is>
      </c>
      <c r="B697" s="1" t="n">
        <v>44943.57309027778</v>
      </c>
      <c r="C697" s="1" t="n">
        <v>45911</v>
      </c>
      <c r="D697" t="inlineStr">
        <is>
          <t>KALMAR LÄN</t>
        </is>
      </c>
      <c r="E697" t="inlineStr">
        <is>
          <t>VIMMERBY</t>
        </is>
      </c>
      <c r="G697" t="n">
        <v>8.6</v>
      </c>
      <c r="H697" t="n">
        <v>0</v>
      </c>
      <c r="I697" t="n">
        <v>0</v>
      </c>
      <c r="J697" t="n">
        <v>0</v>
      </c>
      <c r="K697" t="n">
        <v>0</v>
      </c>
      <c r="L697" t="n">
        <v>0</v>
      </c>
      <c r="M697" t="n">
        <v>0</v>
      </c>
      <c r="N697" t="n">
        <v>0</v>
      </c>
      <c r="O697" t="n">
        <v>0</v>
      </c>
      <c r="P697" t="n">
        <v>0</v>
      </c>
      <c r="Q697" t="n">
        <v>0</v>
      </c>
      <c r="R697" s="2" t="inlineStr"/>
    </row>
    <row r="698" ht="15" customHeight="1">
      <c r="A698" t="inlineStr">
        <is>
          <t>A 42828-2025</t>
        </is>
      </c>
      <c r="B698" s="1" t="n">
        <v>45908.57716435185</v>
      </c>
      <c r="C698" s="1" t="n">
        <v>45911</v>
      </c>
      <c r="D698" t="inlineStr">
        <is>
          <t>KALMAR LÄN</t>
        </is>
      </c>
      <c r="E698" t="inlineStr">
        <is>
          <t>VIMMERBY</t>
        </is>
      </c>
      <c r="G698" t="n">
        <v>5.2</v>
      </c>
      <c r="H698" t="n">
        <v>0</v>
      </c>
      <c r="I698" t="n">
        <v>0</v>
      </c>
      <c r="J698" t="n">
        <v>0</v>
      </c>
      <c r="K698" t="n">
        <v>0</v>
      </c>
      <c r="L698" t="n">
        <v>0</v>
      </c>
      <c r="M698" t="n">
        <v>0</v>
      </c>
      <c r="N698" t="n">
        <v>0</v>
      </c>
      <c r="O698" t="n">
        <v>0</v>
      </c>
      <c r="P698" t="n">
        <v>0</v>
      </c>
      <c r="Q698" t="n">
        <v>0</v>
      </c>
      <c r="R698" s="2" t="inlineStr"/>
    </row>
    <row r="699" ht="15" customHeight="1">
      <c r="A699" t="inlineStr">
        <is>
          <t>A 23263-2024</t>
        </is>
      </c>
      <c r="B699" s="1" t="n">
        <v>45453.36854166666</v>
      </c>
      <c r="C699" s="1" t="n">
        <v>45911</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19502-2025</t>
        </is>
      </c>
      <c r="B700" s="1" t="n">
        <v>45769</v>
      </c>
      <c r="C700" s="1" t="n">
        <v>45911</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48373-2021</t>
        </is>
      </c>
      <c r="B701" s="1" t="n">
        <v>44451</v>
      </c>
      <c r="C701" s="1" t="n">
        <v>45911</v>
      </c>
      <c r="D701" t="inlineStr">
        <is>
          <t>KALMAR LÄN</t>
        </is>
      </c>
      <c r="E701" t="inlineStr">
        <is>
          <t>VIMMERBY</t>
        </is>
      </c>
      <c r="G701" t="n">
        <v>2.2</v>
      </c>
      <c r="H701" t="n">
        <v>0</v>
      </c>
      <c r="I701" t="n">
        <v>0</v>
      </c>
      <c r="J701" t="n">
        <v>0</v>
      </c>
      <c r="K701" t="n">
        <v>0</v>
      </c>
      <c r="L701" t="n">
        <v>0</v>
      </c>
      <c r="M701" t="n">
        <v>0</v>
      </c>
      <c r="N701" t="n">
        <v>0</v>
      </c>
      <c r="O701" t="n">
        <v>0</v>
      </c>
      <c r="P701" t="n">
        <v>0</v>
      </c>
      <c r="Q701" t="n">
        <v>0</v>
      </c>
      <c r="R701" s="2" t="inlineStr"/>
    </row>
    <row r="702" ht="15" customHeight="1">
      <c r="A702" t="inlineStr">
        <is>
          <t>A 49488-2023</t>
        </is>
      </c>
      <c r="B702" s="1" t="n">
        <v>45211.55472222222</v>
      </c>
      <c r="C702" s="1" t="n">
        <v>45911</v>
      </c>
      <c r="D702" t="inlineStr">
        <is>
          <t>KALMAR LÄN</t>
        </is>
      </c>
      <c r="E702" t="inlineStr">
        <is>
          <t>VIMMERBY</t>
        </is>
      </c>
      <c r="F702" t="inlineStr">
        <is>
          <t>Sveaskog</t>
        </is>
      </c>
      <c r="G702" t="n">
        <v>6.2</v>
      </c>
      <c r="H702" t="n">
        <v>0</v>
      </c>
      <c r="I702" t="n">
        <v>0</v>
      </c>
      <c r="J702" t="n">
        <v>0</v>
      </c>
      <c r="K702" t="n">
        <v>0</v>
      </c>
      <c r="L702" t="n">
        <v>0</v>
      </c>
      <c r="M702" t="n">
        <v>0</v>
      </c>
      <c r="N702" t="n">
        <v>0</v>
      </c>
      <c r="O702" t="n">
        <v>0</v>
      </c>
      <c r="P702" t="n">
        <v>0</v>
      </c>
      <c r="Q702" t="n">
        <v>0</v>
      </c>
      <c r="R702" s="2" t="inlineStr"/>
    </row>
    <row r="703" ht="15" customHeight="1">
      <c r="A703" t="inlineStr">
        <is>
          <t>A 7485-2024</t>
        </is>
      </c>
      <c r="B703" s="1" t="n">
        <v>45346.67184027778</v>
      </c>
      <c r="C703" s="1" t="n">
        <v>45911</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59768-2024</t>
        </is>
      </c>
      <c r="B704" s="1" t="n">
        <v>45639.56185185185</v>
      </c>
      <c r="C704" s="1" t="n">
        <v>45911</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6574-2023</t>
        </is>
      </c>
      <c r="B705" s="1" t="n">
        <v>44966</v>
      </c>
      <c r="C705" s="1" t="n">
        <v>45911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72067-2021</t>
        </is>
      </c>
      <c r="B706" s="1" t="n">
        <v>44540</v>
      </c>
      <c r="C706" s="1" t="n">
        <v>45911</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41158-2023</t>
        </is>
      </c>
      <c r="B707" s="1" t="n">
        <v>45174.31395833333</v>
      </c>
      <c r="C707" s="1" t="n">
        <v>45911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20054-2023</t>
        </is>
      </c>
      <c r="B708" s="1" t="n">
        <v>45054.6750462963</v>
      </c>
      <c r="C708" s="1" t="n">
        <v>45911</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22198-2024</t>
        </is>
      </c>
      <c r="B709" s="1" t="n">
        <v>45446.36865740741</v>
      </c>
      <c r="C709" s="1" t="n">
        <v>45911</v>
      </c>
      <c r="D709" t="inlineStr">
        <is>
          <t>KALMAR LÄN</t>
        </is>
      </c>
      <c r="E709" t="inlineStr">
        <is>
          <t>VIMMERBY</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9511-2023</t>
        </is>
      </c>
      <c r="B710" s="1" t="n">
        <v>44981.64725694444</v>
      </c>
      <c r="C710" s="1" t="n">
        <v>45911</v>
      </c>
      <c r="D710" t="inlineStr">
        <is>
          <t>KALMAR LÄN</t>
        </is>
      </c>
      <c r="E710" t="inlineStr">
        <is>
          <t>VIMMERBY</t>
        </is>
      </c>
      <c r="G710" t="n">
        <v>3.5</v>
      </c>
      <c r="H710" t="n">
        <v>0</v>
      </c>
      <c r="I710" t="n">
        <v>0</v>
      </c>
      <c r="J710" t="n">
        <v>0</v>
      </c>
      <c r="K710" t="n">
        <v>0</v>
      </c>
      <c r="L710" t="n">
        <v>0</v>
      </c>
      <c r="M710" t="n">
        <v>0</v>
      </c>
      <c r="N710" t="n">
        <v>0</v>
      </c>
      <c r="O710" t="n">
        <v>0</v>
      </c>
      <c r="P710" t="n">
        <v>0</v>
      </c>
      <c r="Q710" t="n">
        <v>0</v>
      </c>
      <c r="R710" s="2" t="inlineStr"/>
    </row>
    <row r="711" ht="15" customHeight="1">
      <c r="A711" t="inlineStr">
        <is>
          <t>A 36273-2025</t>
        </is>
      </c>
      <c r="B711" s="1" t="n">
        <v>45867.63094907408</v>
      </c>
      <c r="C711" s="1" t="n">
        <v>45911</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58750-2022</t>
        </is>
      </c>
      <c r="B712" s="1" t="n">
        <v>44903.33363425926</v>
      </c>
      <c r="C712" s="1" t="n">
        <v>45911</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36299-2025</t>
        </is>
      </c>
      <c r="B713" s="1" t="n">
        <v>45867.69346064814</v>
      </c>
      <c r="C713" s="1" t="n">
        <v>45911</v>
      </c>
      <c r="D713" t="inlineStr">
        <is>
          <t>KALMAR LÄN</t>
        </is>
      </c>
      <c r="E713" t="inlineStr">
        <is>
          <t>VIMMERBY</t>
        </is>
      </c>
      <c r="G713" t="n">
        <v>7.6</v>
      </c>
      <c r="H713" t="n">
        <v>0</v>
      </c>
      <c r="I713" t="n">
        <v>0</v>
      </c>
      <c r="J713" t="n">
        <v>0</v>
      </c>
      <c r="K713" t="n">
        <v>0</v>
      </c>
      <c r="L713" t="n">
        <v>0</v>
      </c>
      <c r="M713" t="n">
        <v>0</v>
      </c>
      <c r="N713" t="n">
        <v>0</v>
      </c>
      <c r="O713" t="n">
        <v>0</v>
      </c>
      <c r="P713" t="n">
        <v>0</v>
      </c>
      <c r="Q713" t="n">
        <v>0</v>
      </c>
      <c r="R713" s="2" t="inlineStr"/>
    </row>
    <row r="714" ht="15" customHeight="1">
      <c r="A714" t="inlineStr">
        <is>
          <t>A 36221-2025</t>
        </is>
      </c>
      <c r="B714" s="1" t="n">
        <v>45867.50792824074</v>
      </c>
      <c r="C714" s="1" t="n">
        <v>45911</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36226-2025</t>
        </is>
      </c>
      <c r="B715" s="1" t="n">
        <v>45867.51630787037</v>
      </c>
      <c r="C715" s="1" t="n">
        <v>45911</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36297-2025</t>
        </is>
      </c>
      <c r="B716" s="1" t="n">
        <v>45867.68625</v>
      </c>
      <c r="C716" s="1" t="n">
        <v>45911</v>
      </c>
      <c r="D716" t="inlineStr">
        <is>
          <t>KALMAR LÄN</t>
        </is>
      </c>
      <c r="E716" t="inlineStr">
        <is>
          <t>VIMMERBY</t>
        </is>
      </c>
      <c r="G716" t="n">
        <v>4.9</v>
      </c>
      <c r="H716" t="n">
        <v>0</v>
      </c>
      <c r="I716" t="n">
        <v>0</v>
      </c>
      <c r="J716" t="n">
        <v>0</v>
      </c>
      <c r="K716" t="n">
        <v>0</v>
      </c>
      <c r="L716" t="n">
        <v>0</v>
      </c>
      <c r="M716" t="n">
        <v>0</v>
      </c>
      <c r="N716" t="n">
        <v>0</v>
      </c>
      <c r="O716" t="n">
        <v>0</v>
      </c>
      <c r="P716" t="n">
        <v>0</v>
      </c>
      <c r="Q716" t="n">
        <v>0</v>
      </c>
      <c r="R716" s="2" t="inlineStr"/>
    </row>
    <row r="717" ht="15" customHeight="1">
      <c r="A717" t="inlineStr">
        <is>
          <t>A 36246-2025</t>
        </is>
      </c>
      <c r="B717" s="1" t="n">
        <v>45867.56320601852</v>
      </c>
      <c r="C717" s="1" t="n">
        <v>45911</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2260-2022</t>
        </is>
      </c>
      <c r="B718" s="1" t="n">
        <v>44578.62943287037</v>
      </c>
      <c r="C718" s="1" t="n">
        <v>45911</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34205-2023</t>
        </is>
      </c>
      <c r="B719" s="1" t="n">
        <v>45138</v>
      </c>
      <c r="C719" s="1" t="n">
        <v>45911</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36282-2025</t>
        </is>
      </c>
      <c r="B720" s="1" t="n">
        <v>45867.64663194444</v>
      </c>
      <c r="C720" s="1" t="n">
        <v>45911</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45911</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44895.46524305556</v>
      </c>
      <c r="C722" s="1" t="n">
        <v>45911</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53483-2022</t>
        </is>
      </c>
      <c r="B723" s="1" t="n">
        <v>44879.55940972222</v>
      </c>
      <c r="C723" s="1" t="n">
        <v>45911</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45911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2604-2025</t>
        </is>
      </c>
      <c r="B725" s="1" t="n">
        <v>45674.74094907408</v>
      </c>
      <c r="C725" s="1" t="n">
        <v>45911</v>
      </c>
      <c r="D725" t="inlineStr">
        <is>
          <t>KALMAR LÄN</t>
        </is>
      </c>
      <c r="E725" t="inlineStr">
        <is>
          <t>VIMMERBY</t>
        </is>
      </c>
      <c r="G725" t="n">
        <v>7.6</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45911</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45911</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6807-2025</t>
        </is>
      </c>
      <c r="B728" s="1" t="n">
        <v>45700.68672453704</v>
      </c>
      <c r="C728" s="1" t="n">
        <v>45911</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38851-2023</t>
        </is>
      </c>
      <c r="B729" s="1" t="n">
        <v>45163</v>
      </c>
      <c r="C729" s="1" t="n">
        <v>45911</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23252-2024</t>
        </is>
      </c>
      <c r="B730" s="1" t="n">
        <v>45453.36067129629</v>
      </c>
      <c r="C730" s="1" t="n">
        <v>45911</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4076-2022</t>
        </is>
      </c>
      <c r="B731" s="1" t="n">
        <v>44588.37998842593</v>
      </c>
      <c r="C731" s="1" t="n">
        <v>45911</v>
      </c>
      <c r="D731" t="inlineStr">
        <is>
          <t>KALMAR LÄN</t>
        </is>
      </c>
      <c r="E731" t="inlineStr">
        <is>
          <t>VIMMERBY</t>
        </is>
      </c>
      <c r="G731" t="n">
        <v>3</v>
      </c>
      <c r="H731" t="n">
        <v>0</v>
      </c>
      <c r="I731" t="n">
        <v>0</v>
      </c>
      <c r="J731" t="n">
        <v>0</v>
      </c>
      <c r="K731" t="n">
        <v>0</v>
      </c>
      <c r="L731" t="n">
        <v>0</v>
      </c>
      <c r="M731" t="n">
        <v>0</v>
      </c>
      <c r="N731" t="n">
        <v>0</v>
      </c>
      <c r="O731" t="n">
        <v>0</v>
      </c>
      <c r="P731" t="n">
        <v>0</v>
      </c>
      <c r="Q731" t="n">
        <v>0</v>
      </c>
      <c r="R731" s="2" t="inlineStr"/>
    </row>
    <row r="732" ht="15" customHeight="1">
      <c r="A732" t="inlineStr">
        <is>
          <t>A 4122-2022</t>
        </is>
      </c>
      <c r="B732" s="1" t="n">
        <v>44588</v>
      </c>
      <c r="C732" s="1" t="n">
        <v>45911</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65961-2020</t>
        </is>
      </c>
      <c r="B733" s="1" t="n">
        <v>44175.39748842592</v>
      </c>
      <c r="C733" s="1" t="n">
        <v>45911</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5792-2023</t>
        </is>
      </c>
      <c r="B734" s="1" t="n">
        <v>44963.44769675926</v>
      </c>
      <c r="C734" s="1" t="n">
        <v>45911</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2797-2023</t>
        </is>
      </c>
      <c r="B735" s="1" t="n">
        <v>44944.71386574074</v>
      </c>
      <c r="C735" s="1" t="n">
        <v>45911</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2799-2023</t>
        </is>
      </c>
      <c r="B736" s="1" t="n">
        <v>44944.72100694444</v>
      </c>
      <c r="C736" s="1" t="n">
        <v>45911</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6220-2025</t>
        </is>
      </c>
      <c r="B737" s="1" t="n">
        <v>45698.53725694444</v>
      </c>
      <c r="C737" s="1" t="n">
        <v>45911</v>
      </c>
      <c r="D737" t="inlineStr">
        <is>
          <t>KALMAR LÄN</t>
        </is>
      </c>
      <c r="E737" t="inlineStr">
        <is>
          <t>VIMMERBY</t>
        </is>
      </c>
      <c r="G737" t="n">
        <v>0.6</v>
      </c>
      <c r="H737" t="n">
        <v>0</v>
      </c>
      <c r="I737" t="n">
        <v>0</v>
      </c>
      <c r="J737" t="n">
        <v>0</v>
      </c>
      <c r="K737" t="n">
        <v>0</v>
      </c>
      <c r="L737" t="n">
        <v>0</v>
      </c>
      <c r="M737" t="n">
        <v>0</v>
      </c>
      <c r="N737" t="n">
        <v>0</v>
      </c>
      <c r="O737" t="n">
        <v>0</v>
      </c>
      <c r="P737" t="n">
        <v>0</v>
      </c>
      <c r="Q737" t="n">
        <v>0</v>
      </c>
      <c r="R737" s="2" t="inlineStr"/>
    </row>
    <row r="738" ht="15" customHeight="1">
      <c r="A738" t="inlineStr">
        <is>
          <t>A 9624-2024</t>
        </is>
      </c>
      <c r="B738" s="1" t="n">
        <v>45361.90282407407</v>
      </c>
      <c r="C738" s="1" t="n">
        <v>45911</v>
      </c>
      <c r="D738" t="inlineStr">
        <is>
          <t>KALMAR LÄN</t>
        </is>
      </c>
      <c r="E738" t="inlineStr">
        <is>
          <t>VIMMERBY</t>
        </is>
      </c>
      <c r="G738" t="n">
        <v>3.8</v>
      </c>
      <c r="H738" t="n">
        <v>0</v>
      </c>
      <c r="I738" t="n">
        <v>0</v>
      </c>
      <c r="J738" t="n">
        <v>0</v>
      </c>
      <c r="K738" t="n">
        <v>0</v>
      </c>
      <c r="L738" t="n">
        <v>0</v>
      </c>
      <c r="M738" t="n">
        <v>0</v>
      </c>
      <c r="N738" t="n">
        <v>0</v>
      </c>
      <c r="O738" t="n">
        <v>0</v>
      </c>
      <c r="P738" t="n">
        <v>0</v>
      </c>
      <c r="Q738" t="n">
        <v>0</v>
      </c>
      <c r="R738" s="2" t="inlineStr"/>
    </row>
    <row r="739" ht="15" customHeight="1">
      <c r="A739" t="inlineStr">
        <is>
          <t>A 58278-2023</t>
        </is>
      </c>
      <c r="B739" s="1" t="n">
        <v>45250.5278587963</v>
      </c>
      <c r="C739" s="1" t="n">
        <v>45911</v>
      </c>
      <c r="D739" t="inlineStr">
        <is>
          <t>KALMAR LÄN</t>
        </is>
      </c>
      <c r="E739" t="inlineStr">
        <is>
          <t>VIMMERBY</t>
        </is>
      </c>
      <c r="G739" t="n">
        <v>1.8</v>
      </c>
      <c r="H739" t="n">
        <v>0</v>
      </c>
      <c r="I739" t="n">
        <v>0</v>
      </c>
      <c r="J739" t="n">
        <v>0</v>
      </c>
      <c r="K739" t="n">
        <v>0</v>
      </c>
      <c r="L739" t="n">
        <v>0</v>
      </c>
      <c r="M739" t="n">
        <v>0</v>
      </c>
      <c r="N739" t="n">
        <v>0</v>
      </c>
      <c r="O739" t="n">
        <v>0</v>
      </c>
      <c r="P739" t="n">
        <v>0</v>
      </c>
      <c r="Q739" t="n">
        <v>0</v>
      </c>
      <c r="R739" s="2" t="inlineStr"/>
    </row>
    <row r="740" ht="15" customHeight="1">
      <c r="A740" t="inlineStr">
        <is>
          <t>A 52327-2023</t>
        </is>
      </c>
      <c r="B740" s="1" t="n">
        <v>45224.6515162037</v>
      </c>
      <c r="C740" s="1" t="n">
        <v>45911</v>
      </c>
      <c r="D740" t="inlineStr">
        <is>
          <t>KALMAR LÄN</t>
        </is>
      </c>
      <c r="E740" t="inlineStr">
        <is>
          <t>VIMMERBY</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36259-2022</t>
        </is>
      </c>
      <c r="B741" s="1" t="n">
        <v>44803.59118055556</v>
      </c>
      <c r="C741" s="1" t="n">
        <v>45911</v>
      </c>
      <c r="D741" t="inlineStr">
        <is>
          <t>KALMAR LÄN</t>
        </is>
      </c>
      <c r="E741" t="inlineStr">
        <is>
          <t>VIMMERBY</t>
        </is>
      </c>
      <c r="G741" t="n">
        <v>3.9</v>
      </c>
      <c r="H741" t="n">
        <v>0</v>
      </c>
      <c r="I741" t="n">
        <v>0</v>
      </c>
      <c r="J741" t="n">
        <v>0</v>
      </c>
      <c r="K741" t="n">
        <v>0</v>
      </c>
      <c r="L741" t="n">
        <v>0</v>
      </c>
      <c r="M741" t="n">
        <v>0</v>
      </c>
      <c r="N741" t="n">
        <v>0</v>
      </c>
      <c r="O741" t="n">
        <v>0</v>
      </c>
      <c r="P741" t="n">
        <v>0</v>
      </c>
      <c r="Q741" t="n">
        <v>0</v>
      </c>
      <c r="R741" s="2" t="inlineStr"/>
    </row>
    <row r="742" ht="15" customHeight="1">
      <c r="A742" t="inlineStr">
        <is>
          <t>A 36526-2023</t>
        </is>
      </c>
      <c r="B742" s="1" t="n">
        <v>45153.32778935185</v>
      </c>
      <c r="C742" s="1" t="n">
        <v>45911</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17988-2025</t>
        </is>
      </c>
      <c r="B743" s="1" t="n">
        <v>45761.39600694444</v>
      </c>
      <c r="C743" s="1" t="n">
        <v>45911</v>
      </c>
      <c r="D743" t="inlineStr">
        <is>
          <t>KALMAR LÄN</t>
        </is>
      </c>
      <c r="E743" t="inlineStr">
        <is>
          <t>VIMMERBY</t>
        </is>
      </c>
      <c r="G743" t="n">
        <v>2.8</v>
      </c>
      <c r="H743" t="n">
        <v>0</v>
      </c>
      <c r="I743" t="n">
        <v>0</v>
      </c>
      <c r="J743" t="n">
        <v>0</v>
      </c>
      <c r="K743" t="n">
        <v>0</v>
      </c>
      <c r="L743" t="n">
        <v>0</v>
      </c>
      <c r="M743" t="n">
        <v>0</v>
      </c>
      <c r="N743" t="n">
        <v>0</v>
      </c>
      <c r="O743" t="n">
        <v>0</v>
      </c>
      <c r="P743" t="n">
        <v>0</v>
      </c>
      <c r="Q743" t="n">
        <v>0</v>
      </c>
      <c r="R743" s="2" t="inlineStr"/>
    </row>
    <row r="744" ht="15" customHeight="1">
      <c r="A744" t="inlineStr">
        <is>
          <t>A 29616-2022</t>
        </is>
      </c>
      <c r="B744" s="1" t="n">
        <v>44754</v>
      </c>
      <c r="C744" s="1" t="n">
        <v>45911</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29348-2023</t>
        </is>
      </c>
      <c r="B745" s="1" t="n">
        <v>45106.25025462963</v>
      </c>
      <c r="C745" s="1" t="n">
        <v>45911</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28403-2023</t>
        </is>
      </c>
      <c r="B746" s="1" t="n">
        <v>45100.85270833333</v>
      </c>
      <c r="C746" s="1" t="n">
        <v>45911</v>
      </c>
      <c r="D746" t="inlineStr">
        <is>
          <t>KALMAR LÄN</t>
        </is>
      </c>
      <c r="E746" t="inlineStr">
        <is>
          <t>VIMMERBY</t>
        </is>
      </c>
      <c r="G746" t="n">
        <v>1.8</v>
      </c>
      <c r="H746" t="n">
        <v>0</v>
      </c>
      <c r="I746" t="n">
        <v>0</v>
      </c>
      <c r="J746" t="n">
        <v>0</v>
      </c>
      <c r="K746" t="n">
        <v>0</v>
      </c>
      <c r="L746" t="n">
        <v>0</v>
      </c>
      <c r="M746" t="n">
        <v>0</v>
      </c>
      <c r="N746" t="n">
        <v>0</v>
      </c>
      <c r="O746" t="n">
        <v>0</v>
      </c>
      <c r="P746" t="n">
        <v>0</v>
      </c>
      <c r="Q746" t="n">
        <v>0</v>
      </c>
      <c r="R746" s="2" t="inlineStr"/>
    </row>
    <row r="747" ht="15" customHeight="1">
      <c r="A747" t="inlineStr">
        <is>
          <t>A 17511-2024</t>
        </is>
      </c>
      <c r="B747" s="1" t="n">
        <v>45415.57682870371</v>
      </c>
      <c r="C747" s="1" t="n">
        <v>45911</v>
      </c>
      <c r="D747" t="inlineStr">
        <is>
          <t>KALMAR LÄN</t>
        </is>
      </c>
      <c r="E747" t="inlineStr">
        <is>
          <t>VIMMERBY</t>
        </is>
      </c>
      <c r="G747" t="n">
        <v>5.3</v>
      </c>
      <c r="H747" t="n">
        <v>0</v>
      </c>
      <c r="I747" t="n">
        <v>0</v>
      </c>
      <c r="J747" t="n">
        <v>0</v>
      </c>
      <c r="K747" t="n">
        <v>0</v>
      </c>
      <c r="L747" t="n">
        <v>0</v>
      </c>
      <c r="M747" t="n">
        <v>0</v>
      </c>
      <c r="N747" t="n">
        <v>0</v>
      </c>
      <c r="O747" t="n">
        <v>0</v>
      </c>
      <c r="P747" t="n">
        <v>0</v>
      </c>
      <c r="Q747" t="n">
        <v>0</v>
      </c>
      <c r="R747" s="2" t="inlineStr"/>
    </row>
    <row r="748" ht="15" customHeight="1">
      <c r="A748" t="inlineStr">
        <is>
          <t>A 29350-2023</t>
        </is>
      </c>
      <c r="B748" s="1" t="n">
        <v>45106</v>
      </c>
      <c r="C748" s="1" t="n">
        <v>45911</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29351-2023</t>
        </is>
      </c>
      <c r="B749" s="1" t="n">
        <v>45106.2610300926</v>
      </c>
      <c r="C749" s="1" t="n">
        <v>45911</v>
      </c>
      <c r="D749" t="inlineStr">
        <is>
          <t>KALMAR LÄN</t>
        </is>
      </c>
      <c r="E749" t="inlineStr">
        <is>
          <t>VIMMERBY</t>
        </is>
      </c>
      <c r="G749" t="n">
        <v>0.4</v>
      </c>
      <c r="H749" t="n">
        <v>0</v>
      </c>
      <c r="I749" t="n">
        <v>0</v>
      </c>
      <c r="J749" t="n">
        <v>0</v>
      </c>
      <c r="K749" t="n">
        <v>0</v>
      </c>
      <c r="L749" t="n">
        <v>0</v>
      </c>
      <c r="M749" t="n">
        <v>0</v>
      </c>
      <c r="N749" t="n">
        <v>0</v>
      </c>
      <c r="O749" t="n">
        <v>0</v>
      </c>
      <c r="P749" t="n">
        <v>0</v>
      </c>
      <c r="Q749" t="n">
        <v>0</v>
      </c>
      <c r="R749" s="2" t="inlineStr"/>
    </row>
    <row r="750" ht="15" customHeight="1">
      <c r="A750" t="inlineStr">
        <is>
          <t>A 6474-2025</t>
        </is>
      </c>
      <c r="B750" s="1" t="n">
        <v>45699.60055555555</v>
      </c>
      <c r="C750" s="1" t="n">
        <v>45911</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66022-2021</t>
        </is>
      </c>
      <c r="B751" s="1" t="n">
        <v>44517</v>
      </c>
      <c r="C751" s="1" t="n">
        <v>45911</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29973-2023</t>
        </is>
      </c>
      <c r="B752" s="1" t="n">
        <v>45108.703125</v>
      </c>
      <c r="C752" s="1" t="n">
        <v>45911</v>
      </c>
      <c r="D752" t="inlineStr">
        <is>
          <t>KALMAR LÄN</t>
        </is>
      </c>
      <c r="E752" t="inlineStr">
        <is>
          <t>VIMMERBY</t>
        </is>
      </c>
      <c r="G752" t="n">
        <v>4</v>
      </c>
      <c r="H752" t="n">
        <v>0</v>
      </c>
      <c r="I752" t="n">
        <v>0</v>
      </c>
      <c r="J752" t="n">
        <v>0</v>
      </c>
      <c r="K752" t="n">
        <v>0</v>
      </c>
      <c r="L752" t="n">
        <v>0</v>
      </c>
      <c r="M752" t="n">
        <v>0</v>
      </c>
      <c r="N752" t="n">
        <v>0</v>
      </c>
      <c r="O752" t="n">
        <v>0</v>
      </c>
      <c r="P752" t="n">
        <v>0</v>
      </c>
      <c r="Q752" t="n">
        <v>0</v>
      </c>
      <c r="R752" s="2" t="inlineStr"/>
    </row>
    <row r="753" ht="15" customHeight="1">
      <c r="A753" t="inlineStr">
        <is>
          <t>A 17-2025</t>
        </is>
      </c>
      <c r="B753" s="1" t="n">
        <v>45658.78774305555</v>
      </c>
      <c r="C753" s="1" t="n">
        <v>45911</v>
      </c>
      <c r="D753" t="inlineStr">
        <is>
          <t>KALMAR LÄN</t>
        </is>
      </c>
      <c r="E753" t="inlineStr">
        <is>
          <t>VIMMERBY</t>
        </is>
      </c>
      <c r="G753" t="n">
        <v>4.4</v>
      </c>
      <c r="H753" t="n">
        <v>0</v>
      </c>
      <c r="I753" t="n">
        <v>0</v>
      </c>
      <c r="J753" t="n">
        <v>0</v>
      </c>
      <c r="K753" t="n">
        <v>0</v>
      </c>
      <c r="L753" t="n">
        <v>0</v>
      </c>
      <c r="M753" t="n">
        <v>0</v>
      </c>
      <c r="N753" t="n">
        <v>0</v>
      </c>
      <c r="O753" t="n">
        <v>0</v>
      </c>
      <c r="P753" t="n">
        <v>0</v>
      </c>
      <c r="Q753" t="n">
        <v>0</v>
      </c>
      <c r="R753" s="2" t="inlineStr"/>
    </row>
    <row r="754" ht="15" customHeight="1">
      <c r="A754" t="inlineStr">
        <is>
          <t>A 57555-2024</t>
        </is>
      </c>
      <c r="B754" s="1" t="n">
        <v>45630.45069444444</v>
      </c>
      <c r="C754" s="1" t="n">
        <v>45911</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30070-2023</t>
        </is>
      </c>
      <c r="B755" s="1" t="n">
        <v>45110.4275</v>
      </c>
      <c r="C755" s="1" t="n">
        <v>45911</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18411-2021</t>
        </is>
      </c>
      <c r="B756" s="1" t="n">
        <v>44302</v>
      </c>
      <c r="C756" s="1" t="n">
        <v>45911</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52279-2023</t>
        </is>
      </c>
      <c r="B757" s="1" t="n">
        <v>45224</v>
      </c>
      <c r="C757" s="1" t="n">
        <v>45911</v>
      </c>
      <c r="D757" t="inlineStr">
        <is>
          <t>KALMAR LÄN</t>
        </is>
      </c>
      <c r="E757" t="inlineStr">
        <is>
          <t>VIMMERBY</t>
        </is>
      </c>
      <c r="G757" t="n">
        <v>1.8</v>
      </c>
      <c r="H757" t="n">
        <v>0</v>
      </c>
      <c r="I757" t="n">
        <v>0</v>
      </c>
      <c r="J757" t="n">
        <v>0</v>
      </c>
      <c r="K757" t="n">
        <v>0</v>
      </c>
      <c r="L757" t="n">
        <v>0</v>
      </c>
      <c r="M757" t="n">
        <v>0</v>
      </c>
      <c r="N757" t="n">
        <v>0</v>
      </c>
      <c r="O757" t="n">
        <v>0</v>
      </c>
      <c r="P757" t="n">
        <v>0</v>
      </c>
      <c r="Q757" t="n">
        <v>0</v>
      </c>
      <c r="R757" s="2" t="inlineStr"/>
    </row>
    <row r="758" ht="15" customHeight="1">
      <c r="A758" t="inlineStr">
        <is>
          <t>A 52324-2023</t>
        </is>
      </c>
      <c r="B758" s="1" t="n">
        <v>45224.64659722222</v>
      </c>
      <c r="C758" s="1" t="n">
        <v>45911</v>
      </c>
      <c r="D758" t="inlineStr">
        <is>
          <t>KALMAR LÄN</t>
        </is>
      </c>
      <c r="E758" t="inlineStr">
        <is>
          <t>VIMMERBY</t>
        </is>
      </c>
      <c r="F758" t="inlineStr">
        <is>
          <t>Sveaskog</t>
        </is>
      </c>
      <c r="G758" t="n">
        <v>2.9</v>
      </c>
      <c r="H758" t="n">
        <v>0</v>
      </c>
      <c r="I758" t="n">
        <v>0</v>
      </c>
      <c r="J758" t="n">
        <v>0</v>
      </c>
      <c r="K758" t="n">
        <v>0</v>
      </c>
      <c r="L758" t="n">
        <v>0</v>
      </c>
      <c r="M758" t="n">
        <v>0</v>
      </c>
      <c r="N758" t="n">
        <v>0</v>
      </c>
      <c r="O758" t="n">
        <v>0</v>
      </c>
      <c r="P758" t="n">
        <v>0</v>
      </c>
      <c r="Q758" t="n">
        <v>0</v>
      </c>
      <c r="R758" s="2" t="inlineStr"/>
    </row>
    <row r="759" ht="15" customHeight="1">
      <c r="A759" t="inlineStr">
        <is>
          <t>A 46078-2023</t>
        </is>
      </c>
      <c r="B759" s="1" t="n">
        <v>45196</v>
      </c>
      <c r="C759" s="1" t="n">
        <v>45911</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7643-2022</t>
        </is>
      </c>
      <c r="B760" s="1" t="n">
        <v>44607</v>
      </c>
      <c r="C760" s="1" t="n">
        <v>45911</v>
      </c>
      <c r="D760" t="inlineStr">
        <is>
          <t>KALMAR LÄN</t>
        </is>
      </c>
      <c r="E760" t="inlineStr">
        <is>
          <t>VIMMERBY</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3494-2023</t>
        </is>
      </c>
      <c r="B761" s="1" t="n">
        <v>44949</v>
      </c>
      <c r="C761" s="1" t="n">
        <v>45911</v>
      </c>
      <c r="D761" t="inlineStr">
        <is>
          <t>KALMAR LÄN</t>
        </is>
      </c>
      <c r="E761" t="inlineStr">
        <is>
          <t>VIMMERBY</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32639-2023</t>
        </is>
      </c>
      <c r="B762" s="1" t="n">
        <v>45121.5965162037</v>
      </c>
      <c r="C762" s="1" t="n">
        <v>45911</v>
      </c>
      <c r="D762" t="inlineStr">
        <is>
          <t>KALMAR LÄN</t>
        </is>
      </c>
      <c r="E762" t="inlineStr">
        <is>
          <t>VIMMERBY</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32642-2023</t>
        </is>
      </c>
      <c r="B763" s="1" t="n">
        <v>45121.59954861111</v>
      </c>
      <c r="C763" s="1" t="n">
        <v>45911</v>
      </c>
      <c r="D763" t="inlineStr">
        <is>
          <t>KALMAR LÄN</t>
        </is>
      </c>
      <c r="E763" t="inlineStr">
        <is>
          <t>VIMMERBY</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32651-2023</t>
        </is>
      </c>
      <c r="B764" s="1" t="n">
        <v>45121.6096875</v>
      </c>
      <c r="C764" s="1" t="n">
        <v>45911</v>
      </c>
      <c r="D764" t="inlineStr">
        <is>
          <t>KALMAR LÄN</t>
        </is>
      </c>
      <c r="E764" t="inlineStr">
        <is>
          <t>VIMMERBY</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40730-2024</t>
        </is>
      </c>
      <c r="B765" s="1" t="n">
        <v>45558.44914351852</v>
      </c>
      <c r="C765" s="1" t="n">
        <v>45911</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32633-2023</t>
        </is>
      </c>
      <c r="B766" s="1" t="n">
        <v>45121.58699074074</v>
      </c>
      <c r="C766" s="1" t="n">
        <v>45911</v>
      </c>
      <c r="D766" t="inlineStr">
        <is>
          <t>KALMAR LÄN</t>
        </is>
      </c>
      <c r="E766" t="inlineStr">
        <is>
          <t>VIMMERBY</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9643-2023</t>
        </is>
      </c>
      <c r="B767" s="1" t="n">
        <v>44984</v>
      </c>
      <c r="C767" s="1" t="n">
        <v>45911</v>
      </c>
      <c r="D767" t="inlineStr">
        <is>
          <t>KALMAR LÄN</t>
        </is>
      </c>
      <c r="E767" t="inlineStr">
        <is>
          <t>VIMMERBY</t>
        </is>
      </c>
      <c r="G767" t="n">
        <v>2</v>
      </c>
      <c r="H767" t="n">
        <v>0</v>
      </c>
      <c r="I767" t="n">
        <v>0</v>
      </c>
      <c r="J767" t="n">
        <v>0</v>
      </c>
      <c r="K767" t="n">
        <v>0</v>
      </c>
      <c r="L767" t="n">
        <v>0</v>
      </c>
      <c r="M767" t="n">
        <v>0</v>
      </c>
      <c r="N767" t="n">
        <v>0</v>
      </c>
      <c r="O767" t="n">
        <v>0</v>
      </c>
      <c r="P767" t="n">
        <v>0</v>
      </c>
      <c r="Q767" t="n">
        <v>0</v>
      </c>
      <c r="R767" s="2" t="inlineStr"/>
    </row>
    <row r="768" ht="15" customHeight="1">
      <c r="A768" t="inlineStr">
        <is>
          <t>A 43601-2024</t>
        </is>
      </c>
      <c r="B768" s="1" t="n">
        <v>45569.44684027778</v>
      </c>
      <c r="C768" s="1" t="n">
        <v>45911</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56213-2024</t>
        </is>
      </c>
      <c r="B769" s="1" t="n">
        <v>45624.60141203704</v>
      </c>
      <c r="C769" s="1" t="n">
        <v>45911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20126-2024</t>
        </is>
      </c>
      <c r="B770" s="1" t="n">
        <v>45434.55471064815</v>
      </c>
      <c r="C770" s="1" t="n">
        <v>45911</v>
      </c>
      <c r="D770" t="inlineStr">
        <is>
          <t>KALMAR LÄN</t>
        </is>
      </c>
      <c r="E770" t="inlineStr">
        <is>
          <t>VIMMERBY</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19865-2021</t>
        </is>
      </c>
      <c r="B771" s="1" t="n">
        <v>44312</v>
      </c>
      <c r="C771" s="1" t="n">
        <v>45911</v>
      </c>
      <c r="D771" t="inlineStr">
        <is>
          <t>KALMAR LÄN</t>
        </is>
      </c>
      <c r="E771" t="inlineStr">
        <is>
          <t>VIMMERBY</t>
        </is>
      </c>
      <c r="G771" t="n">
        <v>8.6</v>
      </c>
      <c r="H771" t="n">
        <v>0</v>
      </c>
      <c r="I771" t="n">
        <v>0</v>
      </c>
      <c r="J771" t="n">
        <v>0</v>
      </c>
      <c r="K771" t="n">
        <v>0</v>
      </c>
      <c r="L771" t="n">
        <v>0</v>
      </c>
      <c r="M771" t="n">
        <v>0</v>
      </c>
      <c r="N771" t="n">
        <v>0</v>
      </c>
      <c r="O771" t="n">
        <v>0</v>
      </c>
      <c r="P771" t="n">
        <v>0</v>
      </c>
      <c r="Q771" t="n">
        <v>0</v>
      </c>
      <c r="R771" s="2" t="inlineStr"/>
    </row>
    <row r="772" ht="15" customHeight="1">
      <c r="A772" t="inlineStr">
        <is>
          <t>A 9694-2023</t>
        </is>
      </c>
      <c r="B772" s="1" t="n">
        <v>44984.45895833334</v>
      </c>
      <c r="C772" s="1" t="n">
        <v>45911</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9710-2023</t>
        </is>
      </c>
      <c r="B773" s="1" t="n">
        <v>44984</v>
      </c>
      <c r="C773" s="1" t="n">
        <v>45911</v>
      </c>
      <c r="D773" t="inlineStr">
        <is>
          <t>KALMAR LÄN</t>
        </is>
      </c>
      <c r="E773" t="inlineStr">
        <is>
          <t>VIMMERBY</t>
        </is>
      </c>
      <c r="G773" t="n">
        <v>3.7</v>
      </c>
      <c r="H773" t="n">
        <v>0</v>
      </c>
      <c r="I773" t="n">
        <v>0</v>
      </c>
      <c r="J773" t="n">
        <v>0</v>
      </c>
      <c r="K773" t="n">
        <v>0</v>
      </c>
      <c r="L773" t="n">
        <v>0</v>
      </c>
      <c r="M773" t="n">
        <v>0</v>
      </c>
      <c r="N773" t="n">
        <v>0</v>
      </c>
      <c r="O773" t="n">
        <v>0</v>
      </c>
      <c r="P773" t="n">
        <v>0</v>
      </c>
      <c r="Q773" t="n">
        <v>0</v>
      </c>
      <c r="R773" s="2" t="inlineStr"/>
    </row>
    <row r="774" ht="15" customHeight="1">
      <c r="A774" t="inlineStr">
        <is>
          <t>A 6216-2025</t>
        </is>
      </c>
      <c r="B774" s="1" t="n">
        <v>45698.52806712963</v>
      </c>
      <c r="C774" s="1" t="n">
        <v>45911</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13813-2024</t>
        </is>
      </c>
      <c r="B775" s="1" t="n">
        <v>45391.41310185185</v>
      </c>
      <c r="C775" s="1" t="n">
        <v>45911</v>
      </c>
      <c r="D775" t="inlineStr">
        <is>
          <t>KALMAR LÄN</t>
        </is>
      </c>
      <c r="E775" t="inlineStr">
        <is>
          <t>VIMMERBY</t>
        </is>
      </c>
      <c r="G775" t="n">
        <v>0.4</v>
      </c>
      <c r="H775" t="n">
        <v>0</v>
      </c>
      <c r="I775" t="n">
        <v>0</v>
      </c>
      <c r="J775" t="n">
        <v>0</v>
      </c>
      <c r="K775" t="n">
        <v>0</v>
      </c>
      <c r="L775" t="n">
        <v>0</v>
      </c>
      <c r="M775" t="n">
        <v>0</v>
      </c>
      <c r="N775" t="n">
        <v>0</v>
      </c>
      <c r="O775" t="n">
        <v>0</v>
      </c>
      <c r="P775" t="n">
        <v>0</v>
      </c>
      <c r="Q775" t="n">
        <v>0</v>
      </c>
      <c r="R775" s="2" t="inlineStr"/>
    </row>
    <row r="776" ht="15" customHeight="1">
      <c r="A776" t="inlineStr">
        <is>
          <t>A 25234-2023</t>
        </is>
      </c>
      <c r="B776" s="1" t="n">
        <v>45086.63194444445</v>
      </c>
      <c r="C776" s="1" t="n">
        <v>45911</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25236-2023</t>
        </is>
      </c>
      <c r="B777" s="1" t="n">
        <v>45086.63334490741</v>
      </c>
      <c r="C777" s="1" t="n">
        <v>45911</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25244-2023</t>
        </is>
      </c>
      <c r="B778" s="1" t="n">
        <v>45086</v>
      </c>
      <c r="C778" s="1" t="n">
        <v>45911</v>
      </c>
      <c r="D778" t="inlineStr">
        <is>
          <t>KALMAR LÄN</t>
        </is>
      </c>
      <c r="E778" t="inlineStr">
        <is>
          <t>VIMMERBY</t>
        </is>
      </c>
      <c r="G778" t="n">
        <v>4.7</v>
      </c>
      <c r="H778" t="n">
        <v>0</v>
      </c>
      <c r="I778" t="n">
        <v>0</v>
      </c>
      <c r="J778" t="n">
        <v>0</v>
      </c>
      <c r="K778" t="n">
        <v>0</v>
      </c>
      <c r="L778" t="n">
        <v>0</v>
      </c>
      <c r="M778" t="n">
        <v>0</v>
      </c>
      <c r="N778" t="n">
        <v>0</v>
      </c>
      <c r="O778" t="n">
        <v>0</v>
      </c>
      <c r="P778" t="n">
        <v>0</v>
      </c>
      <c r="Q778" t="n">
        <v>0</v>
      </c>
      <c r="R778" s="2" t="inlineStr"/>
    </row>
    <row r="779" ht="15" customHeight="1">
      <c r="A779" t="inlineStr">
        <is>
          <t>A 23341-2022</t>
        </is>
      </c>
      <c r="B779" s="1" t="n">
        <v>44720.53898148148</v>
      </c>
      <c r="C779" s="1" t="n">
        <v>45911</v>
      </c>
      <c r="D779" t="inlineStr">
        <is>
          <t>KALMAR LÄN</t>
        </is>
      </c>
      <c r="E779" t="inlineStr">
        <is>
          <t>VIMMERBY</t>
        </is>
      </c>
      <c r="G779" t="n">
        <v>0.8</v>
      </c>
      <c r="H779" t="n">
        <v>0</v>
      </c>
      <c r="I779" t="n">
        <v>0</v>
      </c>
      <c r="J779" t="n">
        <v>0</v>
      </c>
      <c r="K779" t="n">
        <v>0</v>
      </c>
      <c r="L779" t="n">
        <v>0</v>
      </c>
      <c r="M779" t="n">
        <v>0</v>
      </c>
      <c r="N779" t="n">
        <v>0</v>
      </c>
      <c r="O779" t="n">
        <v>0</v>
      </c>
      <c r="P779" t="n">
        <v>0</v>
      </c>
      <c r="Q779" t="n">
        <v>0</v>
      </c>
      <c r="R779" s="2" t="inlineStr"/>
    </row>
    <row r="780" ht="15" customHeight="1">
      <c r="A780" t="inlineStr">
        <is>
          <t>A 8086-2021</t>
        </is>
      </c>
      <c r="B780" s="1" t="n">
        <v>44243</v>
      </c>
      <c r="C780" s="1" t="n">
        <v>45911</v>
      </c>
      <c r="D780" t="inlineStr">
        <is>
          <t>KALMAR LÄN</t>
        </is>
      </c>
      <c r="E780" t="inlineStr">
        <is>
          <t>VIMMERBY</t>
        </is>
      </c>
      <c r="G780" t="n">
        <v>4.1</v>
      </c>
      <c r="H780" t="n">
        <v>0</v>
      </c>
      <c r="I780" t="n">
        <v>0</v>
      </c>
      <c r="J780" t="n">
        <v>0</v>
      </c>
      <c r="K780" t="n">
        <v>0</v>
      </c>
      <c r="L780" t="n">
        <v>0</v>
      </c>
      <c r="M780" t="n">
        <v>0</v>
      </c>
      <c r="N780" t="n">
        <v>0</v>
      </c>
      <c r="O780" t="n">
        <v>0</v>
      </c>
      <c r="P780" t="n">
        <v>0</v>
      </c>
      <c r="Q780" t="n">
        <v>0</v>
      </c>
      <c r="R780" s="2" t="inlineStr"/>
    </row>
    <row r="781" ht="15" customHeight="1">
      <c r="A781" t="inlineStr">
        <is>
          <t>A 7944-2024</t>
        </is>
      </c>
      <c r="B781" s="1" t="n">
        <v>45350.53306712963</v>
      </c>
      <c r="C781" s="1" t="n">
        <v>45911</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598-2025</t>
        </is>
      </c>
      <c r="B782" s="1" t="n">
        <v>45660</v>
      </c>
      <c r="C782" s="1" t="n">
        <v>45911</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71793-2021</t>
        </is>
      </c>
      <c r="B783" s="1" t="n">
        <v>44539</v>
      </c>
      <c r="C783" s="1" t="n">
        <v>45911</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10674-2021</t>
        </is>
      </c>
      <c r="B784" s="1" t="n">
        <v>44258</v>
      </c>
      <c r="C784" s="1" t="n">
        <v>45911</v>
      </c>
      <c r="D784" t="inlineStr">
        <is>
          <t>KALMAR LÄN</t>
        </is>
      </c>
      <c r="E784" t="inlineStr">
        <is>
          <t>VIMMERBY</t>
        </is>
      </c>
      <c r="G784" t="n">
        <v>8.4</v>
      </c>
      <c r="H784" t="n">
        <v>0</v>
      </c>
      <c r="I784" t="n">
        <v>0</v>
      </c>
      <c r="J784" t="n">
        <v>0</v>
      </c>
      <c r="K784" t="n">
        <v>0</v>
      </c>
      <c r="L784" t="n">
        <v>0</v>
      </c>
      <c r="M784" t="n">
        <v>0</v>
      </c>
      <c r="N784" t="n">
        <v>0</v>
      </c>
      <c r="O784" t="n">
        <v>0</v>
      </c>
      <c r="P784" t="n">
        <v>0</v>
      </c>
      <c r="Q784" t="n">
        <v>0</v>
      </c>
      <c r="R784" s="2" t="inlineStr"/>
    </row>
    <row r="785" ht="15" customHeight="1">
      <c r="A785" t="inlineStr">
        <is>
          <t>A 10807-2024</t>
        </is>
      </c>
      <c r="B785" s="1" t="n">
        <v>45369.62780092593</v>
      </c>
      <c r="C785" s="1" t="n">
        <v>45911</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73938-2021</t>
        </is>
      </c>
      <c r="B786" s="1" t="n">
        <v>44553</v>
      </c>
      <c r="C786" s="1" t="n">
        <v>45911</v>
      </c>
      <c r="D786" t="inlineStr">
        <is>
          <t>KALMAR LÄN</t>
        </is>
      </c>
      <c r="E786" t="inlineStr">
        <is>
          <t>VIMMERBY</t>
        </is>
      </c>
      <c r="G786" t="n">
        <v>3.2</v>
      </c>
      <c r="H786" t="n">
        <v>0</v>
      </c>
      <c r="I786" t="n">
        <v>0</v>
      </c>
      <c r="J786" t="n">
        <v>0</v>
      </c>
      <c r="K786" t="n">
        <v>0</v>
      </c>
      <c r="L786" t="n">
        <v>0</v>
      </c>
      <c r="M786" t="n">
        <v>0</v>
      </c>
      <c r="N786" t="n">
        <v>0</v>
      </c>
      <c r="O786" t="n">
        <v>0</v>
      </c>
      <c r="P786" t="n">
        <v>0</v>
      </c>
      <c r="Q786" t="n">
        <v>0</v>
      </c>
      <c r="R786" s="2" t="inlineStr"/>
    </row>
    <row r="787" ht="15" customHeight="1">
      <c r="A787" t="inlineStr">
        <is>
          <t>A 6069-2023</t>
        </is>
      </c>
      <c r="B787" s="1" t="n">
        <v>44964.5115162037</v>
      </c>
      <c r="C787" s="1" t="n">
        <v>45911</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40260-2024</t>
        </is>
      </c>
      <c r="B788" s="1" t="n">
        <v>45554.63225694445</v>
      </c>
      <c r="C788" s="1" t="n">
        <v>45911</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10787-2025</t>
        </is>
      </c>
      <c r="B789" s="1" t="n">
        <v>45722.48915509259</v>
      </c>
      <c r="C789" s="1" t="n">
        <v>45911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58577-2024</t>
        </is>
      </c>
      <c r="B790" s="1" t="n">
        <v>45635.4874537037</v>
      </c>
      <c r="C790" s="1" t="n">
        <v>45911</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38198-2024</t>
        </is>
      </c>
      <c r="B791" s="1" t="n">
        <v>45545.49508101852</v>
      </c>
      <c r="C791" s="1" t="n">
        <v>45911</v>
      </c>
      <c r="D791" t="inlineStr">
        <is>
          <t>KALMAR LÄN</t>
        </is>
      </c>
      <c r="E791" t="inlineStr">
        <is>
          <t>VIMMERBY</t>
        </is>
      </c>
      <c r="G791" t="n">
        <v>7.9</v>
      </c>
      <c r="H791" t="n">
        <v>0</v>
      </c>
      <c r="I791" t="n">
        <v>0</v>
      </c>
      <c r="J791" t="n">
        <v>0</v>
      </c>
      <c r="K791" t="n">
        <v>0</v>
      </c>
      <c r="L791" t="n">
        <v>0</v>
      </c>
      <c r="M791" t="n">
        <v>0</v>
      </c>
      <c r="N791" t="n">
        <v>0</v>
      </c>
      <c r="O791" t="n">
        <v>0</v>
      </c>
      <c r="P791" t="n">
        <v>0</v>
      </c>
      <c r="Q791" t="n">
        <v>0</v>
      </c>
      <c r="R791" s="2" t="inlineStr"/>
    </row>
    <row r="792" ht="15" customHeight="1">
      <c r="A792" t="inlineStr">
        <is>
          <t>A 43617-2024</t>
        </is>
      </c>
      <c r="B792" s="1" t="n">
        <v>45569.47494212963</v>
      </c>
      <c r="C792" s="1" t="n">
        <v>45911</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50995-2022</t>
        </is>
      </c>
      <c r="B793" s="1" t="n">
        <v>44867</v>
      </c>
      <c r="C793" s="1" t="n">
        <v>45911</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27122-2023</t>
        </is>
      </c>
      <c r="B794" s="1" t="n">
        <v>45096.45247685185</v>
      </c>
      <c r="C794" s="1" t="n">
        <v>45911</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30402-2023</t>
        </is>
      </c>
      <c r="B795" s="1" t="n">
        <v>45111.48395833333</v>
      </c>
      <c r="C795" s="1" t="n">
        <v>45911</v>
      </c>
      <c r="D795" t="inlineStr">
        <is>
          <t>KALMAR LÄN</t>
        </is>
      </c>
      <c r="E795" t="inlineStr">
        <is>
          <t>VIMMERBY</t>
        </is>
      </c>
      <c r="G795" t="n">
        <v>0.7</v>
      </c>
      <c r="H795" t="n">
        <v>0</v>
      </c>
      <c r="I795" t="n">
        <v>0</v>
      </c>
      <c r="J795" t="n">
        <v>0</v>
      </c>
      <c r="K795" t="n">
        <v>0</v>
      </c>
      <c r="L795" t="n">
        <v>0</v>
      </c>
      <c r="M795" t="n">
        <v>0</v>
      </c>
      <c r="N795" t="n">
        <v>0</v>
      </c>
      <c r="O795" t="n">
        <v>0</v>
      </c>
      <c r="P795" t="n">
        <v>0</v>
      </c>
      <c r="Q795" t="n">
        <v>0</v>
      </c>
      <c r="R795" s="2" t="inlineStr"/>
    </row>
    <row r="796" ht="15" customHeight="1">
      <c r="A796" t="inlineStr">
        <is>
          <t>A 22264-2023</t>
        </is>
      </c>
      <c r="B796" s="1" t="n">
        <v>45070.3665625</v>
      </c>
      <c r="C796" s="1" t="n">
        <v>45911</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22266-2023</t>
        </is>
      </c>
      <c r="B797" s="1" t="n">
        <v>45070</v>
      </c>
      <c r="C797" s="1" t="n">
        <v>45911</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50091-2023</t>
        </is>
      </c>
      <c r="B798" s="1" t="n">
        <v>45215.60199074074</v>
      </c>
      <c r="C798" s="1" t="n">
        <v>45911</v>
      </c>
      <c r="D798" t="inlineStr">
        <is>
          <t>KALMAR LÄN</t>
        </is>
      </c>
      <c r="E798" t="inlineStr">
        <is>
          <t>VIMMERBY</t>
        </is>
      </c>
      <c r="G798" t="n">
        <v>1.7</v>
      </c>
      <c r="H798" t="n">
        <v>0</v>
      </c>
      <c r="I798" t="n">
        <v>0</v>
      </c>
      <c r="J798" t="n">
        <v>0</v>
      </c>
      <c r="K798" t="n">
        <v>0</v>
      </c>
      <c r="L798" t="n">
        <v>0</v>
      </c>
      <c r="M798" t="n">
        <v>0</v>
      </c>
      <c r="N798" t="n">
        <v>0</v>
      </c>
      <c r="O798" t="n">
        <v>0</v>
      </c>
      <c r="P798" t="n">
        <v>0</v>
      </c>
      <c r="Q798" t="n">
        <v>0</v>
      </c>
      <c r="R798" s="2" t="inlineStr"/>
    </row>
    <row r="799" ht="15" customHeight="1">
      <c r="A799" t="inlineStr">
        <is>
          <t>A 10303-2025</t>
        </is>
      </c>
      <c r="B799" s="1" t="n">
        <v>45720.44217592593</v>
      </c>
      <c r="C799" s="1" t="n">
        <v>45911</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11027-2023</t>
        </is>
      </c>
      <c r="B800" s="1" t="n">
        <v>44991.89657407408</v>
      </c>
      <c r="C800" s="1" t="n">
        <v>45911</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47842-2024</t>
        </is>
      </c>
      <c r="B801" s="1" t="n">
        <v>45588.65545138889</v>
      </c>
      <c r="C801" s="1" t="n">
        <v>45911</v>
      </c>
      <c r="D801" t="inlineStr">
        <is>
          <t>KALMAR LÄN</t>
        </is>
      </c>
      <c r="E801" t="inlineStr">
        <is>
          <t>VIMMERBY</t>
        </is>
      </c>
      <c r="G801" t="n">
        <v>2.4</v>
      </c>
      <c r="H801" t="n">
        <v>0</v>
      </c>
      <c r="I801" t="n">
        <v>0</v>
      </c>
      <c r="J801" t="n">
        <v>0</v>
      </c>
      <c r="K801" t="n">
        <v>0</v>
      </c>
      <c r="L801" t="n">
        <v>0</v>
      </c>
      <c r="M801" t="n">
        <v>0</v>
      </c>
      <c r="N801" t="n">
        <v>0</v>
      </c>
      <c r="O801" t="n">
        <v>0</v>
      </c>
      <c r="P801" t="n">
        <v>0</v>
      </c>
      <c r="Q801" t="n">
        <v>0</v>
      </c>
      <c r="R801" s="2" t="inlineStr"/>
    </row>
    <row r="802" ht="15" customHeight="1">
      <c r="A802" t="inlineStr">
        <is>
          <t>A 6857-2023</t>
        </is>
      </c>
      <c r="B802" s="1" t="n">
        <v>44967.45122685185</v>
      </c>
      <c r="C802" s="1" t="n">
        <v>45911</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11661-2023</t>
        </is>
      </c>
      <c r="B803" s="1" t="n">
        <v>44994.46908564815</v>
      </c>
      <c r="C803" s="1" t="n">
        <v>45911</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36155-2023</t>
        </is>
      </c>
      <c r="B804" s="1" t="n">
        <v>45149.60917824074</v>
      </c>
      <c r="C804" s="1" t="n">
        <v>45911</v>
      </c>
      <c r="D804" t="inlineStr">
        <is>
          <t>KALMAR LÄN</t>
        </is>
      </c>
      <c r="E804" t="inlineStr">
        <is>
          <t>VIMMERBY</t>
        </is>
      </c>
      <c r="G804" t="n">
        <v>5</v>
      </c>
      <c r="H804" t="n">
        <v>0</v>
      </c>
      <c r="I804" t="n">
        <v>0</v>
      </c>
      <c r="J804" t="n">
        <v>0</v>
      </c>
      <c r="K804" t="n">
        <v>0</v>
      </c>
      <c r="L804" t="n">
        <v>0</v>
      </c>
      <c r="M804" t="n">
        <v>0</v>
      </c>
      <c r="N804" t="n">
        <v>0</v>
      </c>
      <c r="O804" t="n">
        <v>0</v>
      </c>
      <c r="P804" t="n">
        <v>0</v>
      </c>
      <c r="Q804" t="n">
        <v>0</v>
      </c>
      <c r="R804" s="2" t="inlineStr"/>
    </row>
    <row r="805" ht="15" customHeight="1">
      <c r="A805" t="inlineStr">
        <is>
          <t>A 40147-2023</t>
        </is>
      </c>
      <c r="B805" s="1" t="n">
        <v>45169</v>
      </c>
      <c r="C805" s="1" t="n">
        <v>45911</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46224-2024</t>
        </is>
      </c>
      <c r="B806" s="1" t="n">
        <v>45581.57016203704</v>
      </c>
      <c r="C806" s="1" t="n">
        <v>45911</v>
      </c>
      <c r="D806" t="inlineStr">
        <is>
          <t>KALMAR LÄN</t>
        </is>
      </c>
      <c r="E806" t="inlineStr">
        <is>
          <t>VIMMERBY</t>
        </is>
      </c>
      <c r="G806" t="n">
        <v>3.1</v>
      </c>
      <c r="H806" t="n">
        <v>0</v>
      </c>
      <c r="I806" t="n">
        <v>0</v>
      </c>
      <c r="J806" t="n">
        <v>0</v>
      </c>
      <c r="K806" t="n">
        <v>0</v>
      </c>
      <c r="L806" t="n">
        <v>0</v>
      </c>
      <c r="M806" t="n">
        <v>0</v>
      </c>
      <c r="N806" t="n">
        <v>0</v>
      </c>
      <c r="O806" t="n">
        <v>0</v>
      </c>
      <c r="P806" t="n">
        <v>0</v>
      </c>
      <c r="Q806" t="n">
        <v>0</v>
      </c>
      <c r="R806" s="2" t="inlineStr"/>
    </row>
    <row r="807" ht="15" customHeight="1">
      <c r="A807" t="inlineStr">
        <is>
          <t>A 63950-2023</t>
        </is>
      </c>
      <c r="B807" s="1" t="n">
        <v>45278</v>
      </c>
      <c r="C807" s="1" t="n">
        <v>45911</v>
      </c>
      <c r="D807" t="inlineStr">
        <is>
          <t>KALMAR LÄN</t>
        </is>
      </c>
      <c r="E807" t="inlineStr">
        <is>
          <t>VIMMERBY</t>
        </is>
      </c>
      <c r="F807" t="inlineStr">
        <is>
          <t>Kyrkan</t>
        </is>
      </c>
      <c r="G807" t="n">
        <v>2.7</v>
      </c>
      <c r="H807" t="n">
        <v>0</v>
      </c>
      <c r="I807" t="n">
        <v>0</v>
      </c>
      <c r="J807" t="n">
        <v>0</v>
      </c>
      <c r="K807" t="n">
        <v>0</v>
      </c>
      <c r="L807" t="n">
        <v>0</v>
      </c>
      <c r="M807" t="n">
        <v>0</v>
      </c>
      <c r="N807" t="n">
        <v>0</v>
      </c>
      <c r="O807" t="n">
        <v>0</v>
      </c>
      <c r="P807" t="n">
        <v>0</v>
      </c>
      <c r="Q807" t="n">
        <v>0</v>
      </c>
      <c r="R807" s="2" t="inlineStr"/>
    </row>
    <row r="808" ht="15" customHeight="1">
      <c r="A808" t="inlineStr">
        <is>
          <t>A 24096-2024</t>
        </is>
      </c>
      <c r="B808" s="1" t="n">
        <v>45456.59289351852</v>
      </c>
      <c r="C808" s="1" t="n">
        <v>45911</v>
      </c>
      <c r="D808" t="inlineStr">
        <is>
          <t>KALMAR LÄN</t>
        </is>
      </c>
      <c r="E808" t="inlineStr">
        <is>
          <t>VIMMERBY</t>
        </is>
      </c>
      <c r="G808" t="n">
        <v>2.3</v>
      </c>
      <c r="H808" t="n">
        <v>0</v>
      </c>
      <c r="I808" t="n">
        <v>0</v>
      </c>
      <c r="J808" t="n">
        <v>0</v>
      </c>
      <c r="K808" t="n">
        <v>0</v>
      </c>
      <c r="L808" t="n">
        <v>0</v>
      </c>
      <c r="M808" t="n">
        <v>0</v>
      </c>
      <c r="N808" t="n">
        <v>0</v>
      </c>
      <c r="O808" t="n">
        <v>0</v>
      </c>
      <c r="P808" t="n">
        <v>0</v>
      </c>
      <c r="Q808" t="n">
        <v>0</v>
      </c>
      <c r="R808" s="2" t="inlineStr"/>
    </row>
    <row r="809" ht="15" customHeight="1">
      <c r="A809" t="inlineStr">
        <is>
          <t>A 13015-2023</t>
        </is>
      </c>
      <c r="B809" s="1" t="n">
        <v>45002</v>
      </c>
      <c r="C809" s="1" t="n">
        <v>45911</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29013-2024</t>
        </is>
      </c>
      <c r="B810" s="1" t="n">
        <v>45481.55984953704</v>
      </c>
      <c r="C810" s="1" t="n">
        <v>45911</v>
      </c>
      <c r="D810" t="inlineStr">
        <is>
          <t>KALMAR LÄN</t>
        </is>
      </c>
      <c r="E810" t="inlineStr">
        <is>
          <t>VIMMERBY</t>
        </is>
      </c>
      <c r="G810" t="n">
        <v>3.4</v>
      </c>
      <c r="H810" t="n">
        <v>0</v>
      </c>
      <c r="I810" t="n">
        <v>0</v>
      </c>
      <c r="J810" t="n">
        <v>0</v>
      </c>
      <c r="K810" t="n">
        <v>0</v>
      </c>
      <c r="L810" t="n">
        <v>0</v>
      </c>
      <c r="M810" t="n">
        <v>0</v>
      </c>
      <c r="N810" t="n">
        <v>0</v>
      </c>
      <c r="O810" t="n">
        <v>0</v>
      </c>
      <c r="P810" t="n">
        <v>0</v>
      </c>
      <c r="Q810" t="n">
        <v>0</v>
      </c>
      <c r="R810" s="2" t="inlineStr"/>
    </row>
    <row r="811" ht="15" customHeight="1">
      <c r="A811" t="inlineStr">
        <is>
          <t>A 41199-2023</t>
        </is>
      </c>
      <c r="B811" s="1" t="n">
        <v>45174.40454861111</v>
      </c>
      <c r="C811" s="1" t="n">
        <v>45911</v>
      </c>
      <c r="D811" t="inlineStr">
        <is>
          <t>KALMAR LÄN</t>
        </is>
      </c>
      <c r="E811" t="inlineStr">
        <is>
          <t>VIMMERBY</t>
        </is>
      </c>
      <c r="G811" t="n">
        <v>1.3</v>
      </c>
      <c r="H811" t="n">
        <v>0</v>
      </c>
      <c r="I811" t="n">
        <v>0</v>
      </c>
      <c r="J811" t="n">
        <v>0</v>
      </c>
      <c r="K811" t="n">
        <v>0</v>
      </c>
      <c r="L811" t="n">
        <v>0</v>
      </c>
      <c r="M811" t="n">
        <v>0</v>
      </c>
      <c r="N811" t="n">
        <v>0</v>
      </c>
      <c r="O811" t="n">
        <v>0</v>
      </c>
      <c r="P811" t="n">
        <v>0</v>
      </c>
      <c r="Q811" t="n">
        <v>0</v>
      </c>
      <c r="R811" s="2" t="inlineStr"/>
    </row>
    <row r="812" ht="15" customHeight="1">
      <c r="A812" t="inlineStr">
        <is>
          <t>A 37028-2024</t>
        </is>
      </c>
      <c r="B812" s="1" t="n">
        <v>45539.38744212963</v>
      </c>
      <c r="C812" s="1" t="n">
        <v>45911</v>
      </c>
      <c r="D812" t="inlineStr">
        <is>
          <t>KALMAR LÄN</t>
        </is>
      </c>
      <c r="E812" t="inlineStr">
        <is>
          <t>VIMMERBY</t>
        </is>
      </c>
      <c r="G812" t="n">
        <v>5.2</v>
      </c>
      <c r="H812" t="n">
        <v>0</v>
      </c>
      <c r="I812" t="n">
        <v>0</v>
      </c>
      <c r="J812" t="n">
        <v>0</v>
      </c>
      <c r="K812" t="n">
        <v>0</v>
      </c>
      <c r="L812" t="n">
        <v>0</v>
      </c>
      <c r="M812" t="n">
        <v>0</v>
      </c>
      <c r="N812" t="n">
        <v>0</v>
      </c>
      <c r="O812" t="n">
        <v>0</v>
      </c>
      <c r="P812" t="n">
        <v>0</v>
      </c>
      <c r="Q812" t="n">
        <v>0</v>
      </c>
      <c r="R812" s="2" t="inlineStr"/>
    </row>
    <row r="813" ht="15" customHeight="1">
      <c r="A813" t="inlineStr">
        <is>
          <t>A 36014-2024</t>
        </is>
      </c>
      <c r="B813" s="1" t="n">
        <v>45533.56108796296</v>
      </c>
      <c r="C813" s="1" t="n">
        <v>45911</v>
      </c>
      <c r="D813" t="inlineStr">
        <is>
          <t>KALMAR LÄN</t>
        </is>
      </c>
      <c r="E813" t="inlineStr">
        <is>
          <t>VIMMERBY</t>
        </is>
      </c>
      <c r="G813" t="n">
        <v>2.3</v>
      </c>
      <c r="H813" t="n">
        <v>0</v>
      </c>
      <c r="I813" t="n">
        <v>0</v>
      </c>
      <c r="J813" t="n">
        <v>0</v>
      </c>
      <c r="K813" t="n">
        <v>0</v>
      </c>
      <c r="L813" t="n">
        <v>0</v>
      </c>
      <c r="M813" t="n">
        <v>0</v>
      </c>
      <c r="N813" t="n">
        <v>0</v>
      </c>
      <c r="O813" t="n">
        <v>0</v>
      </c>
      <c r="P813" t="n">
        <v>0</v>
      </c>
      <c r="Q813" t="n">
        <v>0</v>
      </c>
      <c r="R813" s="2" t="inlineStr"/>
    </row>
    <row r="814" ht="15" customHeight="1">
      <c r="A814" t="inlineStr">
        <is>
          <t>A 36030-2024</t>
        </is>
      </c>
      <c r="B814" s="1" t="n">
        <v>45533.58302083334</v>
      </c>
      <c r="C814" s="1" t="n">
        <v>45911</v>
      </c>
      <c r="D814" t="inlineStr">
        <is>
          <t>KALMAR LÄN</t>
        </is>
      </c>
      <c r="E814" t="inlineStr">
        <is>
          <t>VIMMERBY</t>
        </is>
      </c>
      <c r="F814" t="inlineStr">
        <is>
          <t>Kommuner</t>
        </is>
      </c>
      <c r="G814" t="n">
        <v>4</v>
      </c>
      <c r="H814" t="n">
        <v>0</v>
      </c>
      <c r="I814" t="n">
        <v>0</v>
      </c>
      <c r="J814" t="n">
        <v>0</v>
      </c>
      <c r="K814" t="n">
        <v>0</v>
      </c>
      <c r="L814" t="n">
        <v>0</v>
      </c>
      <c r="M814" t="n">
        <v>0</v>
      </c>
      <c r="N814" t="n">
        <v>0</v>
      </c>
      <c r="O814" t="n">
        <v>0</v>
      </c>
      <c r="P814" t="n">
        <v>0</v>
      </c>
      <c r="Q814" t="n">
        <v>0</v>
      </c>
      <c r="R814" s="2" t="inlineStr"/>
    </row>
    <row r="815" ht="15" customHeight="1">
      <c r="A815" t="inlineStr">
        <is>
          <t>A 7627-2025</t>
        </is>
      </c>
      <c r="B815" s="1" t="n">
        <v>45705.73300925926</v>
      </c>
      <c r="C815" s="1" t="n">
        <v>45911</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6321-2023</t>
        </is>
      </c>
      <c r="B816" s="1" t="n">
        <v>44965.4815162037</v>
      </c>
      <c r="C816" s="1" t="n">
        <v>45911</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52755-2022</t>
        </is>
      </c>
      <c r="B817" s="1" t="n">
        <v>44875.27736111111</v>
      </c>
      <c r="C817" s="1" t="n">
        <v>45911</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40823-2023</t>
        </is>
      </c>
      <c r="B818" s="1" t="n">
        <v>45171.77335648148</v>
      </c>
      <c r="C818" s="1" t="n">
        <v>45911</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27761-2024</t>
        </is>
      </c>
      <c r="B819" s="1" t="n">
        <v>45475.49018518518</v>
      </c>
      <c r="C819" s="1" t="n">
        <v>45911</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21028-2023</t>
        </is>
      </c>
      <c r="B820" s="1" t="n">
        <v>45061</v>
      </c>
      <c r="C820" s="1" t="n">
        <v>45911</v>
      </c>
      <c r="D820" t="inlineStr">
        <is>
          <t>KALMAR LÄN</t>
        </is>
      </c>
      <c r="E820" t="inlineStr">
        <is>
          <t>VIMMERBY</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64203-2021</t>
        </is>
      </c>
      <c r="B821" s="1" t="n">
        <v>44510.60921296296</v>
      </c>
      <c r="C821" s="1" t="n">
        <v>45911</v>
      </c>
      <c r="D821" t="inlineStr">
        <is>
          <t>KALMAR LÄN</t>
        </is>
      </c>
      <c r="E821" t="inlineStr">
        <is>
          <t>VIMMERBY</t>
        </is>
      </c>
      <c r="F821" t="inlineStr">
        <is>
          <t>Övriga Aktiebolag</t>
        </is>
      </c>
      <c r="G821" t="n">
        <v>5.4</v>
      </c>
      <c r="H821" t="n">
        <v>0</v>
      </c>
      <c r="I821" t="n">
        <v>0</v>
      </c>
      <c r="J821" t="n">
        <v>0</v>
      </c>
      <c r="K821" t="n">
        <v>0</v>
      </c>
      <c r="L821" t="n">
        <v>0</v>
      </c>
      <c r="M821" t="n">
        <v>0</v>
      </c>
      <c r="N821" t="n">
        <v>0</v>
      </c>
      <c r="O821" t="n">
        <v>0</v>
      </c>
      <c r="P821" t="n">
        <v>0</v>
      </c>
      <c r="Q821" t="n">
        <v>0</v>
      </c>
      <c r="R821" s="2" t="inlineStr"/>
    </row>
    <row r="822" ht="15" customHeight="1">
      <c r="A822" t="inlineStr">
        <is>
          <t>A 1016-2024</t>
        </is>
      </c>
      <c r="B822" s="1" t="n">
        <v>45301</v>
      </c>
      <c r="C822" s="1" t="n">
        <v>45911</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1024-2024</t>
        </is>
      </c>
      <c r="B823" s="1" t="n">
        <v>45301.68237268519</v>
      </c>
      <c r="C823" s="1" t="n">
        <v>45911</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27758-2024</t>
        </is>
      </c>
      <c r="B824" s="1" t="n">
        <v>45475.48303240741</v>
      </c>
      <c r="C824" s="1" t="n">
        <v>45911</v>
      </c>
      <c r="D824" t="inlineStr">
        <is>
          <t>KALMAR LÄN</t>
        </is>
      </c>
      <c r="E824" t="inlineStr">
        <is>
          <t>VIMMERBY</t>
        </is>
      </c>
      <c r="G824" t="n">
        <v>2.6</v>
      </c>
      <c r="H824" t="n">
        <v>0</v>
      </c>
      <c r="I824" t="n">
        <v>0</v>
      </c>
      <c r="J824" t="n">
        <v>0</v>
      </c>
      <c r="K824" t="n">
        <v>0</v>
      </c>
      <c r="L824" t="n">
        <v>0</v>
      </c>
      <c r="M824" t="n">
        <v>0</v>
      </c>
      <c r="N824" t="n">
        <v>0</v>
      </c>
      <c r="O824" t="n">
        <v>0</v>
      </c>
      <c r="P824" t="n">
        <v>0</v>
      </c>
      <c r="Q824" t="n">
        <v>0</v>
      </c>
      <c r="R824" s="2" t="inlineStr"/>
    </row>
    <row r="825" ht="15" customHeight="1">
      <c r="A825" t="inlineStr">
        <is>
          <t>A 32865-2023</t>
        </is>
      </c>
      <c r="B825" s="1" t="n">
        <v>45124</v>
      </c>
      <c r="C825" s="1" t="n">
        <v>45911</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22194-2024</t>
        </is>
      </c>
      <c r="B826" s="1" t="n">
        <v>45446.36482638889</v>
      </c>
      <c r="C826" s="1" t="n">
        <v>45911</v>
      </c>
      <c r="D826" t="inlineStr">
        <is>
          <t>KALMAR LÄN</t>
        </is>
      </c>
      <c r="E826" t="inlineStr">
        <is>
          <t>VIMMERBY</t>
        </is>
      </c>
      <c r="F826" t="inlineStr">
        <is>
          <t>Sveaskog</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17926-2025</t>
        </is>
      </c>
      <c r="B827" s="1" t="n">
        <v>45759.38987268518</v>
      </c>
      <c r="C827" s="1" t="n">
        <v>45911</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35127-2024</t>
        </is>
      </c>
      <c r="B828" s="1" t="n">
        <v>45530.33202546297</v>
      </c>
      <c r="C828" s="1" t="n">
        <v>45911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33383-2023</t>
        </is>
      </c>
      <c r="B829" s="1" t="n">
        <v>45128.58414351852</v>
      </c>
      <c r="C829" s="1" t="n">
        <v>45911</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4297-2022</t>
        </is>
      </c>
      <c r="B830" s="1" t="n">
        <v>44588</v>
      </c>
      <c r="C830" s="1" t="n">
        <v>45911</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55716-2023</t>
        </is>
      </c>
      <c r="B831" s="1" t="n">
        <v>45232</v>
      </c>
      <c r="C831" s="1" t="n">
        <v>45911</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34386-2024</t>
        </is>
      </c>
      <c r="B832" s="1" t="n">
        <v>45525.41762731481</v>
      </c>
      <c r="C832" s="1" t="n">
        <v>45911</v>
      </c>
      <c r="D832" t="inlineStr">
        <is>
          <t>KALMAR LÄN</t>
        </is>
      </c>
      <c r="E832" t="inlineStr">
        <is>
          <t>VIMMERBY</t>
        </is>
      </c>
      <c r="G832" t="n">
        <v>0.3</v>
      </c>
      <c r="H832" t="n">
        <v>0</v>
      </c>
      <c r="I832" t="n">
        <v>0</v>
      </c>
      <c r="J832" t="n">
        <v>0</v>
      </c>
      <c r="K832" t="n">
        <v>0</v>
      </c>
      <c r="L832" t="n">
        <v>0</v>
      </c>
      <c r="M832" t="n">
        <v>0</v>
      </c>
      <c r="N832" t="n">
        <v>0</v>
      </c>
      <c r="O832" t="n">
        <v>0</v>
      </c>
      <c r="P832" t="n">
        <v>0</v>
      </c>
      <c r="Q832" t="n">
        <v>0</v>
      </c>
      <c r="R832" s="2" t="inlineStr"/>
    </row>
    <row r="833" ht="15" customHeight="1">
      <c r="A833" t="inlineStr">
        <is>
          <t>A 42429-2024</t>
        </is>
      </c>
      <c r="B833" s="1" t="n">
        <v>45565.40657407408</v>
      </c>
      <c r="C833" s="1" t="n">
        <v>45911</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11946-2025</t>
        </is>
      </c>
      <c r="B834" s="1" t="n">
        <v>45728.54832175926</v>
      </c>
      <c r="C834" s="1" t="n">
        <v>45911</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59943-2023</t>
        </is>
      </c>
      <c r="B835" s="1" t="n">
        <v>45257.67958333333</v>
      </c>
      <c r="C835" s="1" t="n">
        <v>45911</v>
      </c>
      <c r="D835" t="inlineStr">
        <is>
          <t>KALMAR LÄN</t>
        </is>
      </c>
      <c r="E835" t="inlineStr">
        <is>
          <t>VIMMERBY</t>
        </is>
      </c>
      <c r="G835" t="n">
        <v>6.4</v>
      </c>
      <c r="H835" t="n">
        <v>0</v>
      </c>
      <c r="I835" t="n">
        <v>0</v>
      </c>
      <c r="J835" t="n">
        <v>0</v>
      </c>
      <c r="K835" t="n">
        <v>0</v>
      </c>
      <c r="L835" t="n">
        <v>0</v>
      </c>
      <c r="M835" t="n">
        <v>0</v>
      </c>
      <c r="N835" t="n">
        <v>0</v>
      </c>
      <c r="O835" t="n">
        <v>0</v>
      </c>
      <c r="P835" t="n">
        <v>0</v>
      </c>
      <c r="Q835" t="n">
        <v>0</v>
      </c>
      <c r="R835" s="2" t="inlineStr"/>
    </row>
    <row r="836" ht="15" customHeight="1">
      <c r="A836" t="inlineStr">
        <is>
          <t>A 15493-2023</t>
        </is>
      </c>
      <c r="B836" s="1" t="n">
        <v>45018</v>
      </c>
      <c r="C836" s="1" t="n">
        <v>45911</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51881-2024</t>
        </is>
      </c>
      <c r="B837" s="1" t="n">
        <v>45607.56773148148</v>
      </c>
      <c r="C837" s="1" t="n">
        <v>45911</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1021-2024</t>
        </is>
      </c>
      <c r="B838" s="1" t="n">
        <v>45301.67736111111</v>
      </c>
      <c r="C838" s="1" t="n">
        <v>45911</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32569-2024</t>
        </is>
      </c>
      <c r="B839" s="1" t="n">
        <v>45513.55840277778</v>
      </c>
      <c r="C839" s="1" t="n">
        <v>45911</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32575-2024</t>
        </is>
      </c>
      <c r="B840" s="1" t="n">
        <v>45513.56527777778</v>
      </c>
      <c r="C840" s="1" t="n">
        <v>45911</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30063-2023</t>
        </is>
      </c>
      <c r="B841" s="1" t="n">
        <v>45110.4184375</v>
      </c>
      <c r="C841" s="1" t="n">
        <v>45911</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17482-2024</t>
        </is>
      </c>
      <c r="B842" s="1" t="n">
        <v>45415.47848379629</v>
      </c>
      <c r="C842" s="1" t="n">
        <v>45911</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13817-2024</t>
        </is>
      </c>
      <c r="B843" s="1" t="n">
        <v>45391.41976851852</v>
      </c>
      <c r="C843" s="1" t="n">
        <v>45911</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30406-2023</t>
        </is>
      </c>
      <c r="B844" s="1" t="n">
        <v>45111.48787037037</v>
      </c>
      <c r="C844" s="1" t="n">
        <v>45911</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29020-2024</t>
        </is>
      </c>
      <c r="B845" s="1" t="n">
        <v>45481.58048611111</v>
      </c>
      <c r="C845" s="1" t="n">
        <v>45911</v>
      </c>
      <c r="D845" t="inlineStr">
        <is>
          <t>KALMAR LÄN</t>
        </is>
      </c>
      <c r="E845" t="inlineStr">
        <is>
          <t>VIMMERBY</t>
        </is>
      </c>
      <c r="G845" t="n">
        <v>2.3</v>
      </c>
      <c r="H845" t="n">
        <v>0</v>
      </c>
      <c r="I845" t="n">
        <v>0</v>
      </c>
      <c r="J845" t="n">
        <v>0</v>
      </c>
      <c r="K845" t="n">
        <v>0</v>
      </c>
      <c r="L845" t="n">
        <v>0</v>
      </c>
      <c r="M845" t="n">
        <v>0</v>
      </c>
      <c r="N845" t="n">
        <v>0</v>
      </c>
      <c r="O845" t="n">
        <v>0</v>
      </c>
      <c r="P845" t="n">
        <v>0</v>
      </c>
      <c r="Q845" t="n">
        <v>0</v>
      </c>
      <c r="R845" s="2" t="inlineStr"/>
    </row>
    <row r="846" ht="15" customHeight="1">
      <c r="A846" t="inlineStr">
        <is>
          <t>A 22014-2025</t>
        </is>
      </c>
      <c r="B846" s="1" t="n">
        <v>45784.74996527778</v>
      </c>
      <c r="C846" s="1" t="n">
        <v>45911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25582-2024</t>
        </is>
      </c>
      <c r="B847" s="1" t="n">
        <v>45463</v>
      </c>
      <c r="C847" s="1" t="n">
        <v>45911</v>
      </c>
      <c r="D847" t="inlineStr">
        <is>
          <t>KALMAR LÄN</t>
        </is>
      </c>
      <c r="E847" t="inlineStr">
        <is>
          <t>VIMMERBY</t>
        </is>
      </c>
      <c r="G847" t="n">
        <v>1.4</v>
      </c>
      <c r="H847" t="n">
        <v>0</v>
      </c>
      <c r="I847" t="n">
        <v>0</v>
      </c>
      <c r="J847" t="n">
        <v>0</v>
      </c>
      <c r="K847" t="n">
        <v>0</v>
      </c>
      <c r="L847" t="n">
        <v>0</v>
      </c>
      <c r="M847" t="n">
        <v>0</v>
      </c>
      <c r="N847" t="n">
        <v>0</v>
      </c>
      <c r="O847" t="n">
        <v>0</v>
      </c>
      <c r="P847" t="n">
        <v>0</v>
      </c>
      <c r="Q847" t="n">
        <v>0</v>
      </c>
      <c r="R847" s="2" t="inlineStr"/>
    </row>
    <row r="848">
      <c r="A848" t="inlineStr">
        <is>
          <t>A 57578-2024</t>
        </is>
      </c>
      <c r="B848" s="1" t="n">
        <v>45630.47564814815</v>
      </c>
      <c r="C848" s="1" t="n">
        <v>45911</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2025-09-11T08:52:46Z</dcterms:created>
  <dcterms:modified xmlns:dcterms="http://purl.org/dc/terms/" xmlns:xsi="http://www.w3.org/2001/XMLSchema-instance" xsi:type="dcterms:W3CDTF">2025-09-11T08:52:47Z</dcterms:modified>
</cp:coreProperties>
</file>