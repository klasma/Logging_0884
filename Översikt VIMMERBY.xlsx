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2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37896-2022</t>
        </is>
      </c>
      <c r="B2" s="1" t="n">
        <v>44811</v>
      </c>
      <c r="C2" s="1" t="n">
        <v>45294</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row>
    <row r="3" ht="15" customHeight="1">
      <c r="A3" t="inlineStr">
        <is>
          <t>A 37886-2022</t>
        </is>
      </c>
      <c r="B3" s="1" t="n">
        <v>44811</v>
      </c>
      <c r="C3" s="1" t="n">
        <v>45294</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row>
    <row r="4" ht="15" customHeight="1">
      <c r="A4" t="inlineStr">
        <is>
          <t>A 13629-2019</t>
        </is>
      </c>
      <c r="B4" s="1" t="n">
        <v>43530</v>
      </c>
      <c r="C4" s="1" t="n">
        <v>45294</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45294</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45294</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row>
    <row r="7" ht="15" customHeight="1">
      <c r="A7" t="inlineStr">
        <is>
          <t>A 37906-2022</t>
        </is>
      </c>
      <c r="B7" s="1" t="n">
        <v>44811</v>
      </c>
      <c r="C7" s="1" t="n">
        <v>45294</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45294</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1960-2023</t>
        </is>
      </c>
      <c r="B9" s="1" t="n">
        <v>44939</v>
      </c>
      <c r="C9" s="1" t="n">
        <v>45294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19978-2019</t>
        </is>
      </c>
      <c r="B10" s="1" t="n">
        <v>43566</v>
      </c>
      <c r="C10" s="1" t="n">
        <v>45294</v>
      </c>
      <c r="D10" t="inlineStr">
        <is>
          <t>KALMAR LÄN</t>
        </is>
      </c>
      <c r="E10" t="inlineStr">
        <is>
          <t>VIMMERBY</t>
        </is>
      </c>
      <c r="G10" t="n">
        <v>3.5</v>
      </c>
      <c r="H10" t="n">
        <v>2</v>
      </c>
      <c r="I10" t="n">
        <v>0</v>
      </c>
      <c r="J10" t="n">
        <v>1</v>
      </c>
      <c r="K10" t="n">
        <v>1</v>
      </c>
      <c r="L10" t="n">
        <v>0</v>
      </c>
      <c r="M10" t="n">
        <v>0</v>
      </c>
      <c r="N10" t="n">
        <v>0</v>
      </c>
      <c r="O10" t="n">
        <v>2</v>
      </c>
      <c r="P10" t="n">
        <v>1</v>
      </c>
      <c r="Q10" t="n">
        <v>4</v>
      </c>
      <c r="R10" s="2" t="inlineStr">
        <is>
          <t>Slåttergubbe
Sommarfibbla
Blåsippa
Revlummer</t>
        </is>
      </c>
      <c r="S10">
        <f>HYPERLINK("https://klasma.github.io/Logging_0884/artfynd/A 19978-2019 artfynd.xlsx", "A 19978-2019")</f>
        <v/>
      </c>
      <c r="T10">
        <f>HYPERLINK("https://klasma.github.io/Logging_0884/kartor/A 19978-2019 karta.png", "A 19978-2019")</f>
        <v/>
      </c>
      <c r="V10">
        <f>HYPERLINK("https://klasma.github.io/Logging_0884/klagomål/A 19978-2019 FSC-klagomål.docx", "A 19978-2019")</f>
        <v/>
      </c>
      <c r="W10">
        <f>HYPERLINK("https://klasma.github.io/Logging_0884/klagomålsmail/A 19978-2019 FSC-klagomål mail.docx", "A 19978-2019")</f>
        <v/>
      </c>
      <c r="X10">
        <f>HYPERLINK("https://klasma.github.io/Logging_0884/tillsyn/A 19978-2019 tillsynsbegäran.docx", "A 19978-2019")</f>
        <v/>
      </c>
      <c r="Y10">
        <f>HYPERLINK("https://klasma.github.io/Logging_0884/tillsynsmail/A 19978-2019 tillsynsbegäran mail.docx", "A 19978-2019")</f>
        <v/>
      </c>
    </row>
    <row r="11" ht="15" customHeight="1">
      <c r="A11" t="inlineStr">
        <is>
          <t>A 62797-2019</t>
        </is>
      </c>
      <c r="B11" s="1" t="n">
        <v>43790</v>
      </c>
      <c r="C11" s="1" t="n">
        <v>45294</v>
      </c>
      <c r="D11" t="inlineStr">
        <is>
          <t>KALMAR LÄN</t>
        </is>
      </c>
      <c r="E11" t="inlineStr">
        <is>
          <t>VIMMERBY</t>
        </is>
      </c>
      <c r="G11" t="n">
        <v>1.5</v>
      </c>
      <c r="H11" t="n">
        <v>1</v>
      </c>
      <c r="I11" t="n">
        <v>2</v>
      </c>
      <c r="J11" t="n">
        <v>1</v>
      </c>
      <c r="K11" t="n">
        <v>0</v>
      </c>
      <c r="L11" t="n">
        <v>0</v>
      </c>
      <c r="M11" t="n">
        <v>0</v>
      </c>
      <c r="N11" t="n">
        <v>0</v>
      </c>
      <c r="O11" t="n">
        <v>1</v>
      </c>
      <c r="P11" t="n">
        <v>0</v>
      </c>
      <c r="Q11" t="n">
        <v>4</v>
      </c>
      <c r="R11" s="2" t="inlineStr">
        <is>
          <t>Gransotdyna
Bårdlav
Vätteros
Blåsippa</t>
        </is>
      </c>
      <c r="S11">
        <f>HYPERLINK("https://klasma.github.io/Logging_0884/artfynd/A 62797-2019 artfynd.xlsx", "A 62797-2019")</f>
        <v/>
      </c>
      <c r="T11">
        <f>HYPERLINK("https://klasma.github.io/Logging_0884/kartor/A 62797-2019 karta.png", "A 62797-2019")</f>
        <v/>
      </c>
      <c r="V11">
        <f>HYPERLINK("https://klasma.github.io/Logging_0884/klagomål/A 62797-2019 FSC-klagomål.docx", "A 62797-2019")</f>
        <v/>
      </c>
      <c r="W11">
        <f>HYPERLINK("https://klasma.github.io/Logging_0884/klagomålsmail/A 62797-2019 FSC-klagomål mail.docx", "A 62797-2019")</f>
        <v/>
      </c>
      <c r="X11">
        <f>HYPERLINK("https://klasma.github.io/Logging_0884/tillsyn/A 62797-2019 tillsynsbegäran.docx", "A 62797-2019")</f>
        <v/>
      </c>
      <c r="Y11">
        <f>HYPERLINK("https://klasma.github.io/Logging_0884/tillsynsmail/A 62797-2019 tillsynsbegäran mail.docx", "A 62797-2019")</f>
        <v/>
      </c>
    </row>
    <row r="12" ht="15" customHeight="1">
      <c r="A12" t="inlineStr">
        <is>
          <t>A 31588-2020</t>
        </is>
      </c>
      <c r="B12" s="1" t="n">
        <v>44013</v>
      </c>
      <c r="C12" s="1" t="n">
        <v>45294</v>
      </c>
      <c r="D12" t="inlineStr">
        <is>
          <t>KALMAR LÄN</t>
        </is>
      </c>
      <c r="E12" t="inlineStr">
        <is>
          <t>VIMMERBY</t>
        </is>
      </c>
      <c r="G12" t="n">
        <v>7.3</v>
      </c>
      <c r="H12" t="n">
        <v>4</v>
      </c>
      <c r="I12" t="n">
        <v>0</v>
      </c>
      <c r="J12" t="n">
        <v>3</v>
      </c>
      <c r="K12" t="n">
        <v>1</v>
      </c>
      <c r="L12" t="n">
        <v>0</v>
      </c>
      <c r="M12" t="n">
        <v>0</v>
      </c>
      <c r="N12" t="n">
        <v>0</v>
      </c>
      <c r="O12" t="n">
        <v>4</v>
      </c>
      <c r="P12" t="n">
        <v>1</v>
      </c>
      <c r="Q12" t="n">
        <v>4</v>
      </c>
      <c r="R12" s="2" t="inlineStr">
        <is>
          <t>Rödstrupig piplärka
Blå kärrhök
Dubbelbeckasin
Fjällvråk</t>
        </is>
      </c>
      <c r="S12">
        <f>HYPERLINK("https://klasma.github.io/Logging_0884/artfynd/A 31588-2020 artfynd.xlsx", "A 31588-2020")</f>
        <v/>
      </c>
      <c r="T12">
        <f>HYPERLINK("https://klasma.github.io/Logging_0884/kartor/A 31588-2020 karta.png", "A 31588-2020")</f>
        <v/>
      </c>
      <c r="V12">
        <f>HYPERLINK("https://klasma.github.io/Logging_0884/klagomål/A 31588-2020 FSC-klagomål.docx", "A 31588-2020")</f>
        <v/>
      </c>
      <c r="W12">
        <f>HYPERLINK("https://klasma.github.io/Logging_0884/klagomålsmail/A 31588-2020 FSC-klagomål mail.docx", "A 31588-2020")</f>
        <v/>
      </c>
      <c r="X12">
        <f>HYPERLINK("https://klasma.github.io/Logging_0884/tillsyn/A 31588-2020 tillsynsbegäran.docx", "A 31588-2020")</f>
        <v/>
      </c>
      <c r="Y12">
        <f>HYPERLINK("https://klasma.github.io/Logging_0884/tillsynsmail/A 31588-2020 tillsynsbegäran mail.docx", "A 31588-2020")</f>
        <v/>
      </c>
    </row>
    <row r="13" ht="15" customHeight="1">
      <c r="A13" t="inlineStr">
        <is>
          <t>A 35331-2022</t>
        </is>
      </c>
      <c r="B13" s="1" t="n">
        <v>44798</v>
      </c>
      <c r="C13" s="1" t="n">
        <v>45294</v>
      </c>
      <c r="D13" t="inlineStr">
        <is>
          <t>KALMAR LÄN</t>
        </is>
      </c>
      <c r="E13" t="inlineStr">
        <is>
          <t>VIMMERBY</t>
        </is>
      </c>
      <c r="G13" t="n">
        <v>2.4</v>
      </c>
      <c r="H13" t="n">
        <v>1</v>
      </c>
      <c r="I13" t="n">
        <v>2</v>
      </c>
      <c r="J13" t="n">
        <v>2</v>
      </c>
      <c r="K13" t="n">
        <v>0</v>
      </c>
      <c r="L13" t="n">
        <v>0</v>
      </c>
      <c r="M13" t="n">
        <v>0</v>
      </c>
      <c r="N13" t="n">
        <v>0</v>
      </c>
      <c r="O13" t="n">
        <v>2</v>
      </c>
      <c r="P13" t="n">
        <v>0</v>
      </c>
      <c r="Q13" t="n">
        <v>4</v>
      </c>
      <c r="R13" s="2" t="inlineStr">
        <is>
          <t>Tallticka
Talltita
Bårdlav
Jättesvampmal</t>
        </is>
      </c>
      <c r="S13">
        <f>HYPERLINK("https://klasma.github.io/Logging_0884/artfynd/A 35331-2022 artfynd.xlsx", "A 35331-2022")</f>
        <v/>
      </c>
      <c r="T13">
        <f>HYPERLINK("https://klasma.github.io/Logging_0884/kartor/A 35331-2022 karta.png", "A 35331-2022")</f>
        <v/>
      </c>
      <c r="V13">
        <f>HYPERLINK("https://klasma.github.io/Logging_0884/klagomål/A 35331-2022 FSC-klagomål.docx", "A 35331-2022")</f>
        <v/>
      </c>
      <c r="W13">
        <f>HYPERLINK("https://klasma.github.io/Logging_0884/klagomålsmail/A 35331-2022 FSC-klagomål mail.docx", "A 35331-2022")</f>
        <v/>
      </c>
      <c r="X13">
        <f>HYPERLINK("https://klasma.github.io/Logging_0884/tillsyn/A 35331-2022 tillsynsbegäran.docx", "A 35331-2022")</f>
        <v/>
      </c>
      <c r="Y13">
        <f>HYPERLINK("https://klasma.github.io/Logging_0884/tillsynsmail/A 35331-2022 tillsynsbegäran mail.docx", "A 35331-2022")</f>
        <v/>
      </c>
    </row>
    <row r="14" ht="15" customHeight="1">
      <c r="A14" t="inlineStr">
        <is>
          <t>A 61232-2023</t>
        </is>
      </c>
      <c r="B14" s="1" t="n">
        <v>45264</v>
      </c>
      <c r="C14" s="1" t="n">
        <v>45294</v>
      </c>
      <c r="D14" t="inlineStr">
        <is>
          <t>KALMAR LÄN</t>
        </is>
      </c>
      <c r="E14" t="inlineStr">
        <is>
          <t>VIMMERBY</t>
        </is>
      </c>
      <c r="G14" t="n">
        <v>2.3</v>
      </c>
      <c r="H14" t="n">
        <v>4</v>
      </c>
      <c r="I14" t="n">
        <v>0</v>
      </c>
      <c r="J14" t="n">
        <v>1</v>
      </c>
      <c r="K14" t="n">
        <v>1</v>
      </c>
      <c r="L14" t="n">
        <v>0</v>
      </c>
      <c r="M14" t="n">
        <v>0</v>
      </c>
      <c r="N14" t="n">
        <v>0</v>
      </c>
      <c r="O14" t="n">
        <v>2</v>
      </c>
      <c r="P14" t="n">
        <v>1</v>
      </c>
      <c r="Q14" t="n">
        <v>4</v>
      </c>
      <c r="R14" s="2" t="inlineStr">
        <is>
          <t>Knärot
Talltita
Tjäder
Revlummer</t>
        </is>
      </c>
      <c r="S14">
        <f>HYPERLINK("https://klasma.github.io/Logging_0884/artfynd/A 61232-2023 artfynd.xlsx", "A 61232-2023")</f>
        <v/>
      </c>
      <c r="T14">
        <f>HYPERLINK("https://klasma.github.io/Logging_0884/kartor/A 61232-2023 karta.png", "A 61232-2023")</f>
        <v/>
      </c>
      <c r="U14">
        <f>HYPERLINK("https://klasma.github.io/Logging_0884/knärot/A 61232-2023 karta knärot.png", "A 61232-2023")</f>
        <v/>
      </c>
      <c r="V14">
        <f>HYPERLINK("https://klasma.github.io/Logging_0884/klagomål/A 61232-2023 FSC-klagomål.docx", "A 61232-2023")</f>
        <v/>
      </c>
      <c r="W14">
        <f>HYPERLINK("https://klasma.github.io/Logging_0884/klagomålsmail/A 61232-2023 FSC-klagomål mail.docx", "A 61232-2023")</f>
        <v/>
      </c>
      <c r="X14">
        <f>HYPERLINK("https://klasma.github.io/Logging_0884/tillsyn/A 61232-2023 tillsynsbegäran.docx", "A 61232-2023")</f>
        <v/>
      </c>
      <c r="Y14">
        <f>HYPERLINK("https://klasma.github.io/Logging_0884/tillsynsmail/A 61232-2023 tillsynsbegäran mail.docx", "A 61232-2023")</f>
        <v/>
      </c>
    </row>
    <row r="15" ht="15" customHeight="1">
      <c r="A15" t="inlineStr">
        <is>
          <t>A 71226-2018</t>
        </is>
      </c>
      <c r="B15" s="1" t="n">
        <v>43453</v>
      </c>
      <c r="C15" s="1" t="n">
        <v>45294</v>
      </c>
      <c r="D15" t="inlineStr">
        <is>
          <t>KALMAR LÄN</t>
        </is>
      </c>
      <c r="E15" t="inlineStr">
        <is>
          <t>VIMMERBY</t>
        </is>
      </c>
      <c r="G15" t="n">
        <v>2.2</v>
      </c>
      <c r="H15" t="n">
        <v>2</v>
      </c>
      <c r="I15" t="n">
        <v>0</v>
      </c>
      <c r="J15" t="n">
        <v>0</v>
      </c>
      <c r="K15" t="n">
        <v>0</v>
      </c>
      <c r="L15" t="n">
        <v>1</v>
      </c>
      <c r="M15" t="n">
        <v>0</v>
      </c>
      <c r="N15" t="n">
        <v>0</v>
      </c>
      <c r="O15" t="n">
        <v>1</v>
      </c>
      <c r="P15" t="n">
        <v>1</v>
      </c>
      <c r="Q15" t="n">
        <v>3</v>
      </c>
      <c r="R15" s="2" t="inlineStr">
        <is>
          <t>Ask
Lopplummer
Mattlummer</t>
        </is>
      </c>
      <c r="S15">
        <f>HYPERLINK("https://klasma.github.io/Logging_0884/artfynd/A 71226-2018 artfynd.xlsx", "A 71226-2018")</f>
        <v/>
      </c>
      <c r="T15">
        <f>HYPERLINK("https://klasma.github.io/Logging_0884/kartor/A 71226-2018 karta.png", "A 71226-2018")</f>
        <v/>
      </c>
      <c r="V15">
        <f>HYPERLINK("https://klasma.github.io/Logging_0884/klagomål/A 71226-2018 FSC-klagomål.docx", "A 71226-2018")</f>
        <v/>
      </c>
      <c r="W15">
        <f>HYPERLINK("https://klasma.github.io/Logging_0884/klagomålsmail/A 71226-2018 FSC-klagomål mail.docx", "A 71226-2018")</f>
        <v/>
      </c>
      <c r="X15">
        <f>HYPERLINK("https://klasma.github.io/Logging_0884/tillsyn/A 71226-2018 tillsynsbegäran.docx", "A 71226-2018")</f>
        <v/>
      </c>
      <c r="Y15">
        <f>HYPERLINK("https://klasma.github.io/Logging_0884/tillsynsmail/A 71226-2018 tillsynsbegäran mail.docx", "A 71226-2018")</f>
        <v/>
      </c>
    </row>
    <row r="16" ht="15" customHeight="1">
      <c r="A16" t="inlineStr">
        <is>
          <t>A 36349-2019</t>
        </is>
      </c>
      <c r="B16" s="1" t="n">
        <v>43670</v>
      </c>
      <c r="C16" s="1" t="n">
        <v>45294</v>
      </c>
      <c r="D16" t="inlineStr">
        <is>
          <t>KALMAR LÄN</t>
        </is>
      </c>
      <c r="E16" t="inlineStr">
        <is>
          <t>VIMMERBY</t>
        </is>
      </c>
      <c r="G16" t="n">
        <v>2.6</v>
      </c>
      <c r="H16" t="n">
        <v>1</v>
      </c>
      <c r="I16" t="n">
        <v>2</v>
      </c>
      <c r="J16" t="n">
        <v>0</v>
      </c>
      <c r="K16" t="n">
        <v>0</v>
      </c>
      <c r="L16" t="n">
        <v>0</v>
      </c>
      <c r="M16" t="n">
        <v>0</v>
      </c>
      <c r="N16" t="n">
        <v>0</v>
      </c>
      <c r="O16" t="n">
        <v>0</v>
      </c>
      <c r="P16" t="n">
        <v>0</v>
      </c>
      <c r="Q16" t="n">
        <v>3</v>
      </c>
      <c r="R16" s="2" t="inlineStr">
        <is>
          <t>Fällmossa
Guldlockmossa
Blåsippa</t>
        </is>
      </c>
      <c r="S16">
        <f>HYPERLINK("https://klasma.github.io/Logging_0884/artfynd/A 36349-2019 artfynd.xlsx", "A 36349-2019")</f>
        <v/>
      </c>
      <c r="T16">
        <f>HYPERLINK("https://klasma.github.io/Logging_0884/kartor/A 36349-2019 karta.png", "A 36349-2019")</f>
        <v/>
      </c>
      <c r="V16">
        <f>HYPERLINK("https://klasma.github.io/Logging_0884/klagomål/A 36349-2019 FSC-klagomål.docx", "A 36349-2019")</f>
        <v/>
      </c>
      <c r="W16">
        <f>HYPERLINK("https://klasma.github.io/Logging_0884/klagomålsmail/A 36349-2019 FSC-klagomål mail.docx", "A 36349-2019")</f>
        <v/>
      </c>
      <c r="X16">
        <f>HYPERLINK("https://klasma.github.io/Logging_0884/tillsyn/A 36349-2019 tillsynsbegäran.docx", "A 36349-2019")</f>
        <v/>
      </c>
      <c r="Y16">
        <f>HYPERLINK("https://klasma.github.io/Logging_0884/tillsynsmail/A 36349-2019 tillsynsbegäran mail.docx", "A 36349-2019")</f>
        <v/>
      </c>
    </row>
    <row r="17" ht="15" customHeight="1">
      <c r="A17" t="inlineStr">
        <is>
          <t>A 8411-2021</t>
        </is>
      </c>
      <c r="B17" s="1" t="n">
        <v>44245</v>
      </c>
      <c r="C17" s="1" t="n">
        <v>45294</v>
      </c>
      <c r="D17" t="inlineStr">
        <is>
          <t>KALMAR LÄN</t>
        </is>
      </c>
      <c r="E17" t="inlineStr">
        <is>
          <t>VIMMERBY</t>
        </is>
      </c>
      <c r="G17" t="n">
        <v>12.5</v>
      </c>
      <c r="H17" t="n">
        <v>1</v>
      </c>
      <c r="I17" t="n">
        <v>1</v>
      </c>
      <c r="J17" t="n">
        <v>1</v>
      </c>
      <c r="K17" t="n">
        <v>0</v>
      </c>
      <c r="L17" t="n">
        <v>0</v>
      </c>
      <c r="M17" t="n">
        <v>0</v>
      </c>
      <c r="N17" t="n">
        <v>0</v>
      </c>
      <c r="O17" t="n">
        <v>1</v>
      </c>
      <c r="P17" t="n">
        <v>0</v>
      </c>
      <c r="Q17" t="n">
        <v>3</v>
      </c>
      <c r="R17" s="2" t="inlineStr">
        <is>
          <t>Motaggsvamp
Svart trolldruva
Revlummer</t>
        </is>
      </c>
      <c r="S17">
        <f>HYPERLINK("https://klasma.github.io/Logging_0884/artfynd/A 8411-2021 artfynd.xlsx", "A 8411-2021")</f>
        <v/>
      </c>
      <c r="T17">
        <f>HYPERLINK("https://klasma.github.io/Logging_0884/kartor/A 8411-2021 karta.png", "A 8411-2021")</f>
        <v/>
      </c>
      <c r="V17">
        <f>HYPERLINK("https://klasma.github.io/Logging_0884/klagomål/A 8411-2021 FSC-klagomål.docx", "A 8411-2021")</f>
        <v/>
      </c>
      <c r="W17">
        <f>HYPERLINK("https://klasma.github.io/Logging_0884/klagomålsmail/A 8411-2021 FSC-klagomål mail.docx", "A 8411-2021")</f>
        <v/>
      </c>
      <c r="X17">
        <f>HYPERLINK("https://klasma.github.io/Logging_0884/tillsyn/A 8411-2021 tillsynsbegäran.docx", "A 8411-2021")</f>
        <v/>
      </c>
      <c r="Y17">
        <f>HYPERLINK("https://klasma.github.io/Logging_0884/tillsynsmail/A 8411-2021 tillsynsbegäran mail.docx", "A 8411-2021")</f>
        <v/>
      </c>
    </row>
    <row r="18" ht="15" customHeight="1">
      <c r="A18" t="inlineStr">
        <is>
          <t>A 37901-2022</t>
        </is>
      </c>
      <c r="B18" s="1" t="n">
        <v>44811</v>
      </c>
      <c r="C18" s="1" t="n">
        <v>45294</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8214-2023</t>
        </is>
      </c>
      <c r="B19" s="1" t="n">
        <v>44974</v>
      </c>
      <c r="C19" s="1" t="n">
        <v>45294</v>
      </c>
      <c r="D19" t="inlineStr">
        <is>
          <t>KALMAR LÄN</t>
        </is>
      </c>
      <c r="E19" t="inlineStr">
        <is>
          <t>VIMMERBY</t>
        </is>
      </c>
      <c r="G19" t="n">
        <v>4.7</v>
      </c>
      <c r="H19" t="n">
        <v>1</v>
      </c>
      <c r="I19" t="n">
        <v>1</v>
      </c>
      <c r="J19" t="n">
        <v>1</v>
      </c>
      <c r="K19" t="n">
        <v>1</v>
      </c>
      <c r="L19" t="n">
        <v>0</v>
      </c>
      <c r="M19" t="n">
        <v>0</v>
      </c>
      <c r="N19" t="n">
        <v>0</v>
      </c>
      <c r="O19" t="n">
        <v>2</v>
      </c>
      <c r="P19" t="n">
        <v>1</v>
      </c>
      <c r="Q19" t="n">
        <v>3</v>
      </c>
      <c r="R19" s="2" t="inlineStr">
        <is>
          <t>Knärot
Åkerkål
Grönpyrola</t>
        </is>
      </c>
      <c r="S19">
        <f>HYPERLINK("https://klasma.github.io/Logging_0884/artfynd/A 8214-2023 artfynd.xlsx", "A 8214-2023")</f>
        <v/>
      </c>
      <c r="T19">
        <f>HYPERLINK("https://klasma.github.io/Logging_0884/kartor/A 8214-2023 karta.png", "A 8214-2023")</f>
        <v/>
      </c>
      <c r="U19">
        <f>HYPERLINK("https://klasma.github.io/Logging_0884/knärot/A 8214-2023 karta knärot.png", "A 8214-2023")</f>
        <v/>
      </c>
      <c r="V19">
        <f>HYPERLINK("https://klasma.github.io/Logging_0884/klagomål/A 8214-2023 FSC-klagomål.docx", "A 8214-2023")</f>
        <v/>
      </c>
      <c r="W19">
        <f>HYPERLINK("https://klasma.github.io/Logging_0884/klagomålsmail/A 8214-2023 FSC-klagomål mail.docx", "A 8214-2023")</f>
        <v/>
      </c>
      <c r="X19">
        <f>HYPERLINK("https://klasma.github.io/Logging_0884/tillsyn/A 8214-2023 tillsynsbegäran.docx", "A 8214-2023")</f>
        <v/>
      </c>
      <c r="Y19">
        <f>HYPERLINK("https://klasma.github.io/Logging_0884/tillsynsmail/A 8214-2023 tillsynsbegäran mail.docx", "A 8214-2023")</f>
        <v/>
      </c>
    </row>
    <row r="20" ht="15" customHeight="1">
      <c r="A20" t="inlineStr">
        <is>
          <t>A 15427-2023</t>
        </is>
      </c>
      <c r="B20" s="1" t="n">
        <v>45020</v>
      </c>
      <c r="C20" s="1" t="n">
        <v>45294</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41034-2023</t>
        </is>
      </c>
      <c r="B21" s="1" t="n">
        <v>45173</v>
      </c>
      <c r="C21" s="1" t="n">
        <v>45294</v>
      </c>
      <c r="D21" t="inlineStr">
        <is>
          <t>KALMAR LÄN</t>
        </is>
      </c>
      <c r="E21" t="inlineStr">
        <is>
          <t>VIMMERBY</t>
        </is>
      </c>
      <c r="G21" t="n">
        <v>3.8</v>
      </c>
      <c r="H21" t="n">
        <v>0</v>
      </c>
      <c r="I21" t="n">
        <v>2</v>
      </c>
      <c r="J21" t="n">
        <v>1</v>
      </c>
      <c r="K21" t="n">
        <v>0</v>
      </c>
      <c r="L21" t="n">
        <v>0</v>
      </c>
      <c r="M21" t="n">
        <v>0</v>
      </c>
      <c r="N21" t="n">
        <v>0</v>
      </c>
      <c r="O21" t="n">
        <v>1</v>
      </c>
      <c r="P21" t="n">
        <v>0</v>
      </c>
      <c r="Q21" t="n">
        <v>3</v>
      </c>
      <c r="R21" s="2" t="inlineStr">
        <is>
          <t>Dofttaggsvamp
Blåmossa
Grönpyrola</t>
        </is>
      </c>
      <c r="S21">
        <f>HYPERLINK("https://klasma.github.io/Logging_0884/artfynd/A 41034-2023 artfynd.xlsx", "A 41034-2023")</f>
        <v/>
      </c>
      <c r="T21">
        <f>HYPERLINK("https://klasma.github.io/Logging_0884/kartor/A 41034-2023 karta.png", "A 41034-2023")</f>
        <v/>
      </c>
      <c r="U21">
        <f>HYPERLINK("https://klasma.github.io/Logging_0884/knärot/A 41034-2023 karta knärot.png", "A 41034-2023")</f>
        <v/>
      </c>
      <c r="V21">
        <f>HYPERLINK("https://klasma.github.io/Logging_0884/klagomål/A 41034-2023 FSC-klagomål.docx", "A 41034-2023")</f>
        <v/>
      </c>
      <c r="W21">
        <f>HYPERLINK("https://klasma.github.io/Logging_0884/klagomålsmail/A 41034-2023 FSC-klagomål mail.docx", "A 41034-2023")</f>
        <v/>
      </c>
      <c r="X21">
        <f>HYPERLINK("https://klasma.github.io/Logging_0884/tillsyn/A 41034-2023 tillsynsbegäran.docx", "A 41034-2023")</f>
        <v/>
      </c>
      <c r="Y21">
        <f>HYPERLINK("https://klasma.github.io/Logging_0884/tillsynsmail/A 41034-2023 tillsynsbegäran mail.docx", "A 41034-2023")</f>
        <v/>
      </c>
    </row>
    <row r="22" ht="15" customHeight="1">
      <c r="A22" t="inlineStr">
        <is>
          <t>A 70416-2018</t>
        </is>
      </c>
      <c r="B22" s="1" t="n">
        <v>43447</v>
      </c>
      <c r="C22" s="1" t="n">
        <v>45294</v>
      </c>
      <c r="D22" t="inlineStr">
        <is>
          <t>KALMAR LÄN</t>
        </is>
      </c>
      <c r="E22" t="inlineStr">
        <is>
          <t>VIMMERBY</t>
        </is>
      </c>
      <c r="G22" t="n">
        <v>2.3</v>
      </c>
      <c r="H22" t="n">
        <v>1</v>
      </c>
      <c r="I22" t="n">
        <v>0</v>
      </c>
      <c r="J22" t="n">
        <v>1</v>
      </c>
      <c r="K22" t="n">
        <v>0</v>
      </c>
      <c r="L22" t="n">
        <v>0</v>
      </c>
      <c r="M22" t="n">
        <v>0</v>
      </c>
      <c r="N22" t="n">
        <v>0</v>
      </c>
      <c r="O22" t="n">
        <v>1</v>
      </c>
      <c r="P22" t="n">
        <v>0</v>
      </c>
      <c r="Q22" t="n">
        <v>2</v>
      </c>
      <c r="R22" s="2" t="inlineStr">
        <is>
          <t>Sommarfibbla
Fläcknycklar</t>
        </is>
      </c>
      <c r="S22">
        <f>HYPERLINK("https://klasma.github.io/Logging_0884/artfynd/A 70416-2018 artfynd.xlsx", "A 70416-2018")</f>
        <v/>
      </c>
      <c r="T22">
        <f>HYPERLINK("https://klasma.github.io/Logging_0884/kartor/A 70416-2018 karta.png", "A 70416-2018")</f>
        <v/>
      </c>
      <c r="V22">
        <f>HYPERLINK("https://klasma.github.io/Logging_0884/klagomål/A 70416-2018 FSC-klagomål.docx", "A 70416-2018")</f>
        <v/>
      </c>
      <c r="W22">
        <f>HYPERLINK("https://klasma.github.io/Logging_0884/klagomålsmail/A 70416-2018 FSC-klagomål mail.docx", "A 70416-2018")</f>
        <v/>
      </c>
      <c r="X22">
        <f>HYPERLINK("https://klasma.github.io/Logging_0884/tillsyn/A 70416-2018 tillsynsbegäran.docx", "A 70416-2018")</f>
        <v/>
      </c>
      <c r="Y22">
        <f>HYPERLINK("https://klasma.github.io/Logging_0884/tillsynsmail/A 70416-2018 tillsynsbegäran mail.docx", "A 70416-2018")</f>
        <v/>
      </c>
    </row>
    <row r="23" ht="15" customHeight="1">
      <c r="A23" t="inlineStr">
        <is>
          <t>A 71214-2018</t>
        </is>
      </c>
      <c r="B23" s="1" t="n">
        <v>43453</v>
      </c>
      <c r="C23" s="1" t="n">
        <v>45294</v>
      </c>
      <c r="D23" t="inlineStr">
        <is>
          <t>KALMAR LÄN</t>
        </is>
      </c>
      <c r="E23" t="inlineStr">
        <is>
          <t>VIMMERBY</t>
        </is>
      </c>
      <c r="G23" t="n">
        <v>3.7</v>
      </c>
      <c r="H23" t="n">
        <v>1</v>
      </c>
      <c r="I23" t="n">
        <v>1</v>
      </c>
      <c r="J23" t="n">
        <v>0</v>
      </c>
      <c r="K23" t="n">
        <v>0</v>
      </c>
      <c r="L23" t="n">
        <v>0</v>
      </c>
      <c r="M23" t="n">
        <v>0</v>
      </c>
      <c r="N23" t="n">
        <v>0</v>
      </c>
      <c r="O23" t="n">
        <v>0</v>
      </c>
      <c r="P23" t="n">
        <v>0</v>
      </c>
      <c r="Q23" t="n">
        <v>2</v>
      </c>
      <c r="R23" s="2" t="inlineStr">
        <is>
          <t>Svavelriska
Revlummer</t>
        </is>
      </c>
      <c r="S23">
        <f>HYPERLINK("https://klasma.github.io/Logging_0884/artfynd/A 71214-2018 artfynd.xlsx", "A 71214-2018")</f>
        <v/>
      </c>
      <c r="T23">
        <f>HYPERLINK("https://klasma.github.io/Logging_0884/kartor/A 71214-2018 karta.png", "A 71214-2018")</f>
        <v/>
      </c>
      <c r="V23">
        <f>HYPERLINK("https://klasma.github.io/Logging_0884/klagomål/A 71214-2018 FSC-klagomål.docx", "A 71214-2018")</f>
        <v/>
      </c>
      <c r="W23">
        <f>HYPERLINK("https://klasma.github.io/Logging_0884/klagomålsmail/A 71214-2018 FSC-klagomål mail.docx", "A 71214-2018")</f>
        <v/>
      </c>
      <c r="X23">
        <f>HYPERLINK("https://klasma.github.io/Logging_0884/tillsyn/A 71214-2018 tillsynsbegäran.docx", "A 71214-2018")</f>
        <v/>
      </c>
      <c r="Y23">
        <f>HYPERLINK("https://klasma.github.io/Logging_0884/tillsynsmail/A 71214-2018 tillsynsbegäran mail.docx", "A 71214-2018")</f>
        <v/>
      </c>
    </row>
    <row r="24" ht="15" customHeight="1">
      <c r="A24" t="inlineStr">
        <is>
          <t>A 13596-2019</t>
        </is>
      </c>
      <c r="B24" s="1" t="n">
        <v>43530</v>
      </c>
      <c r="C24" s="1" t="n">
        <v>45294</v>
      </c>
      <c r="D24" t="inlineStr">
        <is>
          <t>KALMAR LÄN</t>
        </is>
      </c>
      <c r="E24" t="inlineStr">
        <is>
          <t>VIMMERBY</t>
        </is>
      </c>
      <c r="G24" t="n">
        <v>9.6</v>
      </c>
      <c r="H24" t="n">
        <v>1</v>
      </c>
      <c r="I24" t="n">
        <v>1</v>
      </c>
      <c r="J24" t="n">
        <v>0</v>
      </c>
      <c r="K24" t="n">
        <v>0</v>
      </c>
      <c r="L24" t="n">
        <v>0</v>
      </c>
      <c r="M24" t="n">
        <v>0</v>
      </c>
      <c r="N24" t="n">
        <v>0</v>
      </c>
      <c r="O24" t="n">
        <v>0</v>
      </c>
      <c r="P24" t="n">
        <v>0</v>
      </c>
      <c r="Q24" t="n">
        <v>2</v>
      </c>
      <c r="R24" s="2" t="inlineStr">
        <is>
          <t>Kamjordstjärna
Blåsippa</t>
        </is>
      </c>
      <c r="S24">
        <f>HYPERLINK("https://klasma.github.io/Logging_0884/artfynd/A 13596-2019 artfynd.xlsx", "A 13596-2019")</f>
        <v/>
      </c>
      <c r="T24">
        <f>HYPERLINK("https://klasma.github.io/Logging_0884/kartor/A 13596-2019 karta.png", "A 13596-2019")</f>
        <v/>
      </c>
      <c r="V24">
        <f>HYPERLINK("https://klasma.github.io/Logging_0884/klagomål/A 13596-2019 FSC-klagomål.docx", "A 13596-2019")</f>
        <v/>
      </c>
      <c r="W24">
        <f>HYPERLINK("https://klasma.github.io/Logging_0884/klagomålsmail/A 13596-2019 FSC-klagomål mail.docx", "A 13596-2019")</f>
        <v/>
      </c>
      <c r="X24">
        <f>HYPERLINK("https://klasma.github.io/Logging_0884/tillsyn/A 13596-2019 tillsynsbegäran.docx", "A 13596-2019")</f>
        <v/>
      </c>
      <c r="Y24">
        <f>HYPERLINK("https://klasma.github.io/Logging_0884/tillsynsmail/A 13596-2019 tillsynsbegäran mail.docx", "A 13596-2019")</f>
        <v/>
      </c>
    </row>
    <row r="25" ht="15" customHeight="1">
      <c r="A25" t="inlineStr">
        <is>
          <t>A 13588-2019</t>
        </is>
      </c>
      <c r="B25" s="1" t="n">
        <v>43530</v>
      </c>
      <c r="C25" s="1" t="n">
        <v>45294</v>
      </c>
      <c r="D25" t="inlineStr">
        <is>
          <t>KALMAR LÄN</t>
        </is>
      </c>
      <c r="E25" t="inlineStr">
        <is>
          <t>VIMMERBY</t>
        </is>
      </c>
      <c r="G25" t="n">
        <v>9.6</v>
      </c>
      <c r="H25" t="n">
        <v>1</v>
      </c>
      <c r="I25" t="n">
        <v>1</v>
      </c>
      <c r="J25" t="n">
        <v>0</v>
      </c>
      <c r="K25" t="n">
        <v>0</v>
      </c>
      <c r="L25" t="n">
        <v>0</v>
      </c>
      <c r="M25" t="n">
        <v>0</v>
      </c>
      <c r="N25" t="n">
        <v>0</v>
      </c>
      <c r="O25" t="n">
        <v>0</v>
      </c>
      <c r="P25" t="n">
        <v>0</v>
      </c>
      <c r="Q25" t="n">
        <v>2</v>
      </c>
      <c r="R25" s="2" t="inlineStr">
        <is>
          <t>Kamjordstjärna
Blåsippa</t>
        </is>
      </c>
      <c r="S25">
        <f>HYPERLINK("https://klasma.github.io/Logging_0884/artfynd/A 13588-2019 artfynd.xlsx", "A 13588-2019")</f>
        <v/>
      </c>
      <c r="T25">
        <f>HYPERLINK("https://klasma.github.io/Logging_0884/kartor/A 13588-2019 karta.png", "A 13588-2019")</f>
        <v/>
      </c>
      <c r="V25">
        <f>HYPERLINK("https://klasma.github.io/Logging_0884/klagomål/A 13588-2019 FSC-klagomål.docx", "A 13588-2019")</f>
        <v/>
      </c>
      <c r="W25">
        <f>HYPERLINK("https://klasma.github.io/Logging_0884/klagomålsmail/A 13588-2019 FSC-klagomål mail.docx", "A 13588-2019")</f>
        <v/>
      </c>
      <c r="X25">
        <f>HYPERLINK("https://klasma.github.io/Logging_0884/tillsyn/A 13588-2019 tillsynsbegäran.docx", "A 13588-2019")</f>
        <v/>
      </c>
      <c r="Y25">
        <f>HYPERLINK("https://klasma.github.io/Logging_0884/tillsynsmail/A 13588-2019 tillsynsbegäran mail.docx", "A 13588-2019")</f>
        <v/>
      </c>
    </row>
    <row r="26" ht="15" customHeight="1">
      <c r="A26" t="inlineStr">
        <is>
          <t>A 36803-2019</t>
        </is>
      </c>
      <c r="B26" s="1" t="n">
        <v>43672</v>
      </c>
      <c r="C26" s="1" t="n">
        <v>45294</v>
      </c>
      <c r="D26" t="inlineStr">
        <is>
          <t>KALMAR LÄN</t>
        </is>
      </c>
      <c r="E26" t="inlineStr">
        <is>
          <t>VIMMERBY</t>
        </is>
      </c>
      <c r="G26" t="n">
        <v>3.8</v>
      </c>
      <c r="H26" t="n">
        <v>0</v>
      </c>
      <c r="I26" t="n">
        <v>1</v>
      </c>
      <c r="J26" t="n">
        <v>1</v>
      </c>
      <c r="K26" t="n">
        <v>0</v>
      </c>
      <c r="L26" t="n">
        <v>0</v>
      </c>
      <c r="M26" t="n">
        <v>0</v>
      </c>
      <c r="N26" t="n">
        <v>0</v>
      </c>
      <c r="O26" t="n">
        <v>1</v>
      </c>
      <c r="P26" t="n">
        <v>0</v>
      </c>
      <c r="Q26" t="n">
        <v>2</v>
      </c>
      <c r="R26" s="2" t="inlineStr">
        <is>
          <t>Tallticka
Dropptaggsvamp</t>
        </is>
      </c>
      <c r="S26">
        <f>HYPERLINK("https://klasma.github.io/Logging_0884/artfynd/A 36803-2019 artfynd.xlsx", "A 36803-2019")</f>
        <v/>
      </c>
      <c r="T26">
        <f>HYPERLINK("https://klasma.github.io/Logging_0884/kartor/A 36803-2019 karta.png", "A 36803-2019")</f>
        <v/>
      </c>
      <c r="V26">
        <f>HYPERLINK("https://klasma.github.io/Logging_0884/klagomål/A 36803-2019 FSC-klagomål.docx", "A 36803-2019")</f>
        <v/>
      </c>
      <c r="W26">
        <f>HYPERLINK("https://klasma.github.io/Logging_0884/klagomålsmail/A 36803-2019 FSC-klagomål mail.docx", "A 36803-2019")</f>
        <v/>
      </c>
      <c r="X26">
        <f>HYPERLINK("https://klasma.github.io/Logging_0884/tillsyn/A 36803-2019 tillsynsbegäran.docx", "A 36803-2019")</f>
        <v/>
      </c>
      <c r="Y26">
        <f>HYPERLINK("https://klasma.github.io/Logging_0884/tillsynsmail/A 36803-2019 tillsynsbegäran mail.docx", "A 36803-2019")</f>
        <v/>
      </c>
    </row>
    <row r="27" ht="15" customHeight="1">
      <c r="A27" t="inlineStr">
        <is>
          <t>A 38921-2019</t>
        </is>
      </c>
      <c r="B27" s="1" t="n">
        <v>43689</v>
      </c>
      <c r="C27" s="1" t="n">
        <v>45294</v>
      </c>
      <c r="D27" t="inlineStr">
        <is>
          <t>KALMAR LÄN</t>
        </is>
      </c>
      <c r="E27" t="inlineStr">
        <is>
          <t>VIMMERBY</t>
        </is>
      </c>
      <c r="G27" t="n">
        <v>1.4</v>
      </c>
      <c r="H27" t="n">
        <v>2</v>
      </c>
      <c r="I27" t="n">
        <v>0</v>
      </c>
      <c r="J27" t="n">
        <v>2</v>
      </c>
      <c r="K27" t="n">
        <v>0</v>
      </c>
      <c r="L27" t="n">
        <v>0</v>
      </c>
      <c r="M27" t="n">
        <v>0</v>
      </c>
      <c r="N27" t="n">
        <v>0</v>
      </c>
      <c r="O27" t="n">
        <v>2</v>
      </c>
      <c r="P27" t="n">
        <v>0</v>
      </c>
      <c r="Q27" t="n">
        <v>2</v>
      </c>
      <c r="R27" s="2" t="inlineStr">
        <is>
          <t>Barbastell
Nordfladdermus</t>
        </is>
      </c>
      <c r="S27">
        <f>HYPERLINK("https://klasma.github.io/Logging_0884/artfynd/A 38921-2019 artfynd.xlsx", "A 38921-2019")</f>
        <v/>
      </c>
      <c r="T27">
        <f>HYPERLINK("https://klasma.github.io/Logging_0884/kartor/A 38921-2019 karta.png", "A 38921-2019")</f>
        <v/>
      </c>
      <c r="V27">
        <f>HYPERLINK("https://klasma.github.io/Logging_0884/klagomål/A 38921-2019 FSC-klagomål.docx", "A 38921-2019")</f>
        <v/>
      </c>
      <c r="W27">
        <f>HYPERLINK("https://klasma.github.io/Logging_0884/klagomålsmail/A 38921-2019 FSC-klagomål mail.docx", "A 38921-2019")</f>
        <v/>
      </c>
      <c r="X27">
        <f>HYPERLINK("https://klasma.github.io/Logging_0884/tillsyn/A 38921-2019 tillsynsbegäran.docx", "A 38921-2019")</f>
        <v/>
      </c>
      <c r="Y27">
        <f>HYPERLINK("https://klasma.github.io/Logging_0884/tillsynsmail/A 38921-2019 tillsynsbegäran mail.docx", "A 38921-2019")</f>
        <v/>
      </c>
    </row>
    <row r="28" ht="15" customHeight="1">
      <c r="A28" t="inlineStr">
        <is>
          <t>A 41398-2021</t>
        </is>
      </c>
      <c r="B28" s="1" t="n">
        <v>44424</v>
      </c>
      <c r="C28" s="1" t="n">
        <v>45294</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41398-2021 artfynd.xlsx", "A 41398-2021")</f>
        <v/>
      </c>
      <c r="T28">
        <f>HYPERLINK("https://klasma.github.io/Logging_0884/kartor/A 41398-2021 karta.png", "A 41398-2021")</f>
        <v/>
      </c>
      <c r="V28">
        <f>HYPERLINK("https://klasma.github.io/Logging_0884/klagomål/A 41398-2021 FSC-klagomål.docx", "A 41398-2021")</f>
        <v/>
      </c>
      <c r="W28">
        <f>HYPERLINK("https://klasma.github.io/Logging_0884/klagomålsmail/A 41398-2021 FSC-klagomål mail.docx", "A 41398-2021")</f>
        <v/>
      </c>
      <c r="X28">
        <f>HYPERLINK("https://klasma.github.io/Logging_0884/tillsyn/A 41398-2021 tillsynsbegäran.docx", "A 41398-2021")</f>
        <v/>
      </c>
      <c r="Y28">
        <f>HYPERLINK("https://klasma.github.io/Logging_0884/tillsynsmail/A 41398-2021 tillsynsbegäran mail.docx", "A 41398-2021")</f>
        <v/>
      </c>
    </row>
    <row r="29" ht="15" customHeight="1">
      <c r="A29" t="inlineStr">
        <is>
          <t>A 42141-2021</t>
        </is>
      </c>
      <c r="B29" s="1" t="n">
        <v>44426</v>
      </c>
      <c r="C29" s="1" t="n">
        <v>45294</v>
      </c>
      <c r="D29" t="inlineStr">
        <is>
          <t>KALMAR LÄN</t>
        </is>
      </c>
      <c r="E29" t="inlineStr">
        <is>
          <t>VIMMERBY</t>
        </is>
      </c>
      <c r="G29" t="n">
        <v>6.8</v>
      </c>
      <c r="H29" t="n">
        <v>2</v>
      </c>
      <c r="I29" t="n">
        <v>0</v>
      </c>
      <c r="J29" t="n">
        <v>0</v>
      </c>
      <c r="K29" t="n">
        <v>0</v>
      </c>
      <c r="L29" t="n">
        <v>0</v>
      </c>
      <c r="M29" t="n">
        <v>0</v>
      </c>
      <c r="N29" t="n">
        <v>0</v>
      </c>
      <c r="O29" t="n">
        <v>0</v>
      </c>
      <c r="P29" t="n">
        <v>0</v>
      </c>
      <c r="Q29" t="n">
        <v>2</v>
      </c>
      <c r="R29" s="2" t="inlineStr">
        <is>
          <t>Grönvit nattviol
Nattviol</t>
        </is>
      </c>
      <c r="S29">
        <f>HYPERLINK("https://klasma.github.io/Logging_0884/artfynd/A 42141-2021 artfynd.xlsx", "A 42141-2021")</f>
        <v/>
      </c>
      <c r="T29">
        <f>HYPERLINK("https://klasma.github.io/Logging_0884/kartor/A 42141-2021 karta.png", "A 42141-2021")</f>
        <v/>
      </c>
      <c r="V29">
        <f>HYPERLINK("https://klasma.github.io/Logging_0884/klagomål/A 42141-2021 FSC-klagomål.docx", "A 42141-2021")</f>
        <v/>
      </c>
      <c r="W29">
        <f>HYPERLINK("https://klasma.github.io/Logging_0884/klagomålsmail/A 42141-2021 FSC-klagomål mail.docx", "A 42141-2021")</f>
        <v/>
      </c>
      <c r="X29">
        <f>HYPERLINK("https://klasma.github.io/Logging_0884/tillsyn/A 42141-2021 tillsynsbegäran.docx", "A 42141-2021")</f>
        <v/>
      </c>
      <c r="Y29">
        <f>HYPERLINK("https://klasma.github.io/Logging_0884/tillsynsmail/A 42141-2021 tillsynsbegäran mail.docx", "A 42141-2021")</f>
        <v/>
      </c>
    </row>
    <row r="30" ht="15" customHeight="1">
      <c r="A30" t="inlineStr">
        <is>
          <t>A 2518-2023</t>
        </is>
      </c>
      <c r="B30" s="1" t="n">
        <v>44943</v>
      </c>
      <c r="C30" s="1" t="n">
        <v>45294</v>
      </c>
      <c r="D30" t="inlineStr">
        <is>
          <t>KALMAR LÄN</t>
        </is>
      </c>
      <c r="E30" t="inlineStr">
        <is>
          <t>VIMMERBY</t>
        </is>
      </c>
      <c r="G30" t="n">
        <v>6.1</v>
      </c>
      <c r="H30" t="n">
        <v>1</v>
      </c>
      <c r="I30" t="n">
        <v>1</v>
      </c>
      <c r="J30" t="n">
        <v>0</v>
      </c>
      <c r="K30" t="n">
        <v>1</v>
      </c>
      <c r="L30" t="n">
        <v>0</v>
      </c>
      <c r="M30" t="n">
        <v>0</v>
      </c>
      <c r="N30" t="n">
        <v>0</v>
      </c>
      <c r="O30" t="n">
        <v>1</v>
      </c>
      <c r="P30" t="n">
        <v>1</v>
      </c>
      <c r="Q30" t="n">
        <v>2</v>
      </c>
      <c r="R30" s="2" t="inlineStr">
        <is>
          <t>Knärot
Grönpyrola</t>
        </is>
      </c>
      <c r="S30">
        <f>HYPERLINK("https://klasma.github.io/Logging_0884/artfynd/A 2518-2023 artfynd.xlsx", "A 2518-2023")</f>
        <v/>
      </c>
      <c r="T30">
        <f>HYPERLINK("https://klasma.github.io/Logging_0884/kartor/A 2518-2023 karta.png", "A 2518-2023")</f>
        <v/>
      </c>
      <c r="U30">
        <f>HYPERLINK("https://klasma.github.io/Logging_0884/knärot/A 2518-2023 karta knärot.png", "A 2518-2023")</f>
        <v/>
      </c>
      <c r="V30">
        <f>HYPERLINK("https://klasma.github.io/Logging_0884/klagomål/A 2518-2023 FSC-klagomål.docx", "A 2518-2023")</f>
        <v/>
      </c>
      <c r="W30">
        <f>HYPERLINK("https://klasma.github.io/Logging_0884/klagomålsmail/A 2518-2023 FSC-klagomål mail.docx", "A 2518-2023")</f>
        <v/>
      </c>
      <c r="X30">
        <f>HYPERLINK("https://klasma.github.io/Logging_0884/tillsyn/A 2518-2023 tillsynsbegäran.docx", "A 2518-2023")</f>
        <v/>
      </c>
      <c r="Y30">
        <f>HYPERLINK("https://klasma.github.io/Logging_0884/tillsynsmail/A 2518-2023 tillsynsbegäran mail.docx", "A 2518-2023")</f>
        <v/>
      </c>
    </row>
    <row r="31" ht="15" customHeight="1">
      <c r="A31" t="inlineStr">
        <is>
          <t>A 14024-2023</t>
        </is>
      </c>
      <c r="B31" s="1" t="n">
        <v>45008</v>
      </c>
      <c r="C31" s="1" t="n">
        <v>45294</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22825-2023</t>
        </is>
      </c>
      <c r="B32" s="1" t="n">
        <v>45072</v>
      </c>
      <c r="C32" s="1" t="n">
        <v>45294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32657-2023</t>
        </is>
      </c>
      <c r="B33" s="1" t="n">
        <v>45121</v>
      </c>
      <c r="C33" s="1" t="n">
        <v>45294</v>
      </c>
      <c r="D33" t="inlineStr">
        <is>
          <t>KALMAR LÄN</t>
        </is>
      </c>
      <c r="E33" t="inlineStr">
        <is>
          <t>VIMMERBY</t>
        </is>
      </c>
      <c r="G33" t="n">
        <v>1.6</v>
      </c>
      <c r="H33" t="n">
        <v>0</v>
      </c>
      <c r="I33" t="n">
        <v>0</v>
      </c>
      <c r="J33" t="n">
        <v>1</v>
      </c>
      <c r="K33" t="n">
        <v>0</v>
      </c>
      <c r="L33" t="n">
        <v>1</v>
      </c>
      <c r="M33" t="n">
        <v>0</v>
      </c>
      <c r="N33" t="n">
        <v>0</v>
      </c>
      <c r="O33" t="n">
        <v>2</v>
      </c>
      <c r="P33" t="n">
        <v>1</v>
      </c>
      <c r="Q33" t="n">
        <v>2</v>
      </c>
      <c r="R33" s="2" t="inlineStr">
        <is>
          <t>Bredgentiana
Sandviol</t>
        </is>
      </c>
      <c r="S33">
        <f>HYPERLINK("https://klasma.github.io/Logging_0884/artfynd/A 32657-2023 artfynd.xlsx", "A 32657-2023")</f>
        <v/>
      </c>
      <c r="T33">
        <f>HYPERLINK("https://klasma.github.io/Logging_0884/kartor/A 32657-2023 karta.png", "A 32657-2023")</f>
        <v/>
      </c>
      <c r="V33">
        <f>HYPERLINK("https://klasma.github.io/Logging_0884/klagomål/A 32657-2023 FSC-klagomål.docx", "A 32657-2023")</f>
        <v/>
      </c>
      <c r="W33">
        <f>HYPERLINK("https://klasma.github.io/Logging_0884/klagomålsmail/A 32657-2023 FSC-klagomål mail.docx", "A 32657-2023")</f>
        <v/>
      </c>
      <c r="X33">
        <f>HYPERLINK("https://klasma.github.io/Logging_0884/tillsyn/A 32657-2023 tillsynsbegäran.docx", "A 32657-2023")</f>
        <v/>
      </c>
      <c r="Y33">
        <f>HYPERLINK("https://klasma.github.io/Logging_0884/tillsynsmail/A 32657-2023 tillsynsbegäran mail.docx", "A 32657-2023")</f>
        <v/>
      </c>
    </row>
    <row r="34" ht="15" customHeight="1">
      <c r="A34" t="inlineStr">
        <is>
          <t>A 46598-2018</t>
        </is>
      </c>
      <c r="B34" s="1" t="n">
        <v>43368</v>
      </c>
      <c r="C34" s="1" t="n">
        <v>45294</v>
      </c>
      <c r="D34" t="inlineStr">
        <is>
          <t>KALMAR LÄN</t>
        </is>
      </c>
      <c r="E34" t="inlineStr">
        <is>
          <t>VIMMERBY</t>
        </is>
      </c>
      <c r="G34" t="n">
        <v>3.9</v>
      </c>
      <c r="H34" t="n">
        <v>0</v>
      </c>
      <c r="I34" t="n">
        <v>1</v>
      </c>
      <c r="J34" t="n">
        <v>0</v>
      </c>
      <c r="K34" t="n">
        <v>0</v>
      </c>
      <c r="L34" t="n">
        <v>0</v>
      </c>
      <c r="M34" t="n">
        <v>0</v>
      </c>
      <c r="N34" t="n">
        <v>0</v>
      </c>
      <c r="O34" t="n">
        <v>0</v>
      </c>
      <c r="P34" t="n">
        <v>0</v>
      </c>
      <c r="Q34" t="n">
        <v>1</v>
      </c>
      <c r="R34" s="2" t="inlineStr">
        <is>
          <t>Ögonpyrola</t>
        </is>
      </c>
      <c r="S34">
        <f>HYPERLINK("https://klasma.github.io/Logging_0884/artfynd/A 46598-2018 artfynd.xlsx", "A 46598-2018")</f>
        <v/>
      </c>
      <c r="T34">
        <f>HYPERLINK("https://klasma.github.io/Logging_0884/kartor/A 46598-2018 karta.png", "A 46598-2018")</f>
        <v/>
      </c>
      <c r="V34">
        <f>HYPERLINK("https://klasma.github.io/Logging_0884/klagomål/A 46598-2018 FSC-klagomål.docx", "A 46598-2018")</f>
        <v/>
      </c>
      <c r="W34">
        <f>HYPERLINK("https://klasma.github.io/Logging_0884/klagomålsmail/A 46598-2018 FSC-klagomål mail.docx", "A 46598-2018")</f>
        <v/>
      </c>
      <c r="X34">
        <f>HYPERLINK("https://klasma.github.io/Logging_0884/tillsyn/A 46598-2018 tillsynsbegäran.docx", "A 46598-2018")</f>
        <v/>
      </c>
      <c r="Y34">
        <f>HYPERLINK("https://klasma.github.io/Logging_0884/tillsynsmail/A 46598-2018 tillsynsbegäran mail.docx", "A 46598-2018")</f>
        <v/>
      </c>
    </row>
    <row r="35" ht="15" customHeight="1">
      <c r="A35" t="inlineStr">
        <is>
          <t>A 59892-2018</t>
        </is>
      </c>
      <c r="B35" s="1" t="n">
        <v>43419</v>
      </c>
      <c r="C35" s="1" t="n">
        <v>45294</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Revlummer</t>
        </is>
      </c>
      <c r="S35">
        <f>HYPERLINK("https://klasma.github.io/Logging_0884/artfynd/A 59892-2018 artfynd.xlsx", "A 59892-2018")</f>
        <v/>
      </c>
      <c r="T35">
        <f>HYPERLINK("https://klasma.github.io/Logging_0884/kartor/A 59892-2018 karta.png", "A 59892-2018")</f>
        <v/>
      </c>
      <c r="V35">
        <f>HYPERLINK("https://klasma.github.io/Logging_0884/klagomål/A 59892-2018 FSC-klagomål.docx", "A 59892-2018")</f>
        <v/>
      </c>
      <c r="W35">
        <f>HYPERLINK("https://klasma.github.io/Logging_0884/klagomålsmail/A 59892-2018 FSC-klagomål mail.docx", "A 59892-2018")</f>
        <v/>
      </c>
      <c r="X35">
        <f>HYPERLINK("https://klasma.github.io/Logging_0884/tillsyn/A 59892-2018 tillsynsbegäran.docx", "A 59892-2018")</f>
        <v/>
      </c>
      <c r="Y35">
        <f>HYPERLINK("https://klasma.github.io/Logging_0884/tillsynsmail/A 59892-2018 tillsynsbegäran mail.docx", "A 59892-2018")</f>
        <v/>
      </c>
    </row>
    <row r="36" ht="15" customHeight="1">
      <c r="A36" t="inlineStr">
        <is>
          <t>A 1303-2019</t>
        </is>
      </c>
      <c r="B36" s="1" t="n">
        <v>43473</v>
      </c>
      <c r="C36" s="1" t="n">
        <v>45294</v>
      </c>
      <c r="D36" t="inlineStr">
        <is>
          <t>KALMAR LÄN</t>
        </is>
      </c>
      <c r="E36" t="inlineStr">
        <is>
          <t>VIMMERBY</t>
        </is>
      </c>
      <c r="G36" t="n">
        <v>4.1</v>
      </c>
      <c r="H36" t="n">
        <v>0</v>
      </c>
      <c r="I36" t="n">
        <v>0</v>
      </c>
      <c r="J36" t="n">
        <v>1</v>
      </c>
      <c r="K36" t="n">
        <v>0</v>
      </c>
      <c r="L36" t="n">
        <v>0</v>
      </c>
      <c r="M36" t="n">
        <v>0</v>
      </c>
      <c r="N36" t="n">
        <v>0</v>
      </c>
      <c r="O36" t="n">
        <v>1</v>
      </c>
      <c r="P36" t="n">
        <v>0</v>
      </c>
      <c r="Q36" t="n">
        <v>1</v>
      </c>
      <c r="R36" s="2" t="inlineStr">
        <is>
          <t>Svedjenäva</t>
        </is>
      </c>
      <c r="S36">
        <f>HYPERLINK("https://klasma.github.io/Logging_0884/artfynd/A 1303-2019 artfynd.xlsx", "A 1303-2019")</f>
        <v/>
      </c>
      <c r="T36">
        <f>HYPERLINK("https://klasma.github.io/Logging_0884/kartor/A 1303-2019 karta.png", "A 1303-2019")</f>
        <v/>
      </c>
      <c r="V36">
        <f>HYPERLINK("https://klasma.github.io/Logging_0884/klagomål/A 1303-2019 FSC-klagomål.docx", "A 1303-2019")</f>
        <v/>
      </c>
      <c r="W36">
        <f>HYPERLINK("https://klasma.github.io/Logging_0884/klagomålsmail/A 1303-2019 FSC-klagomål mail.docx", "A 1303-2019")</f>
        <v/>
      </c>
      <c r="X36">
        <f>HYPERLINK("https://klasma.github.io/Logging_0884/tillsyn/A 1303-2019 tillsynsbegäran.docx", "A 1303-2019")</f>
        <v/>
      </c>
      <c r="Y36">
        <f>HYPERLINK("https://klasma.github.io/Logging_0884/tillsynsmail/A 1303-2019 tillsynsbegäran mail.docx", "A 1303-2019")</f>
        <v/>
      </c>
    </row>
    <row r="37" ht="15" customHeight="1">
      <c r="A37" t="inlineStr">
        <is>
          <t>A 4895-2019</t>
        </is>
      </c>
      <c r="B37" s="1" t="n">
        <v>43487</v>
      </c>
      <c r="C37" s="1" t="n">
        <v>45294</v>
      </c>
      <c r="D37" t="inlineStr">
        <is>
          <t>KALMAR LÄN</t>
        </is>
      </c>
      <c r="E37" t="inlineStr">
        <is>
          <t>VIMMERBY</t>
        </is>
      </c>
      <c r="G37" t="n">
        <v>1.7</v>
      </c>
      <c r="H37" t="n">
        <v>0</v>
      </c>
      <c r="I37" t="n">
        <v>1</v>
      </c>
      <c r="J37" t="n">
        <v>0</v>
      </c>
      <c r="K37" t="n">
        <v>0</v>
      </c>
      <c r="L37" t="n">
        <v>0</v>
      </c>
      <c r="M37" t="n">
        <v>0</v>
      </c>
      <c r="N37" t="n">
        <v>0</v>
      </c>
      <c r="O37" t="n">
        <v>0</v>
      </c>
      <c r="P37" t="n">
        <v>0</v>
      </c>
      <c r="Q37" t="n">
        <v>1</v>
      </c>
      <c r="R37" s="2" t="inlineStr">
        <is>
          <t>Gräsull</t>
        </is>
      </c>
      <c r="S37">
        <f>HYPERLINK("https://klasma.github.io/Logging_0884/artfynd/A 4895-2019 artfynd.xlsx", "A 4895-2019")</f>
        <v/>
      </c>
      <c r="T37">
        <f>HYPERLINK("https://klasma.github.io/Logging_0884/kartor/A 4895-2019 karta.png", "A 4895-2019")</f>
        <v/>
      </c>
      <c r="V37">
        <f>HYPERLINK("https://klasma.github.io/Logging_0884/klagomål/A 4895-2019 FSC-klagomål.docx", "A 4895-2019")</f>
        <v/>
      </c>
      <c r="W37">
        <f>HYPERLINK("https://klasma.github.io/Logging_0884/klagomålsmail/A 4895-2019 FSC-klagomål mail.docx", "A 4895-2019")</f>
        <v/>
      </c>
      <c r="X37">
        <f>HYPERLINK("https://klasma.github.io/Logging_0884/tillsyn/A 4895-2019 tillsynsbegäran.docx", "A 4895-2019")</f>
        <v/>
      </c>
      <c r="Y37">
        <f>HYPERLINK("https://klasma.github.io/Logging_0884/tillsynsmail/A 4895-2019 tillsynsbegäran mail.docx", "A 4895-2019")</f>
        <v/>
      </c>
    </row>
    <row r="38" ht="15" customHeight="1">
      <c r="A38" t="inlineStr">
        <is>
          <t>A 19055-2019</t>
        </is>
      </c>
      <c r="B38" s="1" t="n">
        <v>43563</v>
      </c>
      <c r="C38" s="1" t="n">
        <v>45294</v>
      </c>
      <c r="D38" t="inlineStr">
        <is>
          <t>KALMAR LÄN</t>
        </is>
      </c>
      <c r="E38" t="inlineStr">
        <is>
          <t>VIMMERBY</t>
        </is>
      </c>
      <c r="G38" t="n">
        <v>1</v>
      </c>
      <c r="H38" t="n">
        <v>1</v>
      </c>
      <c r="I38" t="n">
        <v>1</v>
      </c>
      <c r="J38" t="n">
        <v>0</v>
      </c>
      <c r="K38" t="n">
        <v>0</v>
      </c>
      <c r="L38" t="n">
        <v>0</v>
      </c>
      <c r="M38" t="n">
        <v>0</v>
      </c>
      <c r="N38" t="n">
        <v>0</v>
      </c>
      <c r="O38" t="n">
        <v>0</v>
      </c>
      <c r="P38" t="n">
        <v>0</v>
      </c>
      <c r="Q38" t="n">
        <v>1</v>
      </c>
      <c r="R38" s="2" t="inlineStr">
        <is>
          <t>Korallrot</t>
        </is>
      </c>
      <c r="S38">
        <f>HYPERLINK("https://klasma.github.io/Logging_0884/artfynd/A 19055-2019 artfynd.xlsx", "A 19055-2019")</f>
        <v/>
      </c>
      <c r="T38">
        <f>HYPERLINK("https://klasma.github.io/Logging_0884/kartor/A 19055-2019 karta.png", "A 19055-2019")</f>
        <v/>
      </c>
      <c r="V38">
        <f>HYPERLINK("https://klasma.github.io/Logging_0884/klagomål/A 19055-2019 FSC-klagomål.docx", "A 19055-2019")</f>
        <v/>
      </c>
      <c r="W38">
        <f>HYPERLINK("https://klasma.github.io/Logging_0884/klagomålsmail/A 19055-2019 FSC-klagomål mail.docx", "A 19055-2019")</f>
        <v/>
      </c>
      <c r="X38">
        <f>HYPERLINK("https://klasma.github.io/Logging_0884/tillsyn/A 19055-2019 tillsynsbegäran.docx", "A 19055-2019")</f>
        <v/>
      </c>
      <c r="Y38">
        <f>HYPERLINK("https://klasma.github.io/Logging_0884/tillsynsmail/A 19055-2019 tillsynsbegäran mail.docx", "A 19055-2019")</f>
        <v/>
      </c>
    </row>
    <row r="39" ht="15" customHeight="1">
      <c r="A39" t="inlineStr">
        <is>
          <t>A 32602-2019</t>
        </is>
      </c>
      <c r="B39" s="1" t="n">
        <v>43647</v>
      </c>
      <c r="C39" s="1" t="n">
        <v>45294</v>
      </c>
      <c r="D39" t="inlineStr">
        <is>
          <t>KALMAR LÄN</t>
        </is>
      </c>
      <c r="E39" t="inlineStr">
        <is>
          <t>VIMMERBY</t>
        </is>
      </c>
      <c r="G39" t="n">
        <v>3.4</v>
      </c>
      <c r="H39" t="n">
        <v>0</v>
      </c>
      <c r="I39" t="n">
        <v>0</v>
      </c>
      <c r="J39" t="n">
        <v>1</v>
      </c>
      <c r="K39" t="n">
        <v>0</v>
      </c>
      <c r="L39" t="n">
        <v>0</v>
      </c>
      <c r="M39" t="n">
        <v>0</v>
      </c>
      <c r="N39" t="n">
        <v>0</v>
      </c>
      <c r="O39" t="n">
        <v>1</v>
      </c>
      <c r="P39" t="n">
        <v>0</v>
      </c>
      <c r="Q39" t="n">
        <v>1</v>
      </c>
      <c r="R39" s="2" t="inlineStr">
        <is>
          <t>Vedskivlav</t>
        </is>
      </c>
      <c r="S39">
        <f>HYPERLINK("https://klasma.github.io/Logging_0884/artfynd/A 32602-2019 artfynd.xlsx", "A 32602-2019")</f>
        <v/>
      </c>
      <c r="T39">
        <f>HYPERLINK("https://klasma.github.io/Logging_0884/kartor/A 32602-2019 karta.png", "A 32602-2019")</f>
        <v/>
      </c>
      <c r="V39">
        <f>HYPERLINK("https://klasma.github.io/Logging_0884/klagomål/A 32602-2019 FSC-klagomål.docx", "A 32602-2019")</f>
        <v/>
      </c>
      <c r="W39">
        <f>HYPERLINK("https://klasma.github.io/Logging_0884/klagomålsmail/A 32602-2019 FSC-klagomål mail.docx", "A 32602-2019")</f>
        <v/>
      </c>
      <c r="X39">
        <f>HYPERLINK("https://klasma.github.io/Logging_0884/tillsyn/A 32602-2019 tillsynsbegäran.docx", "A 32602-2019")</f>
        <v/>
      </c>
      <c r="Y39">
        <f>HYPERLINK("https://klasma.github.io/Logging_0884/tillsynsmail/A 32602-2019 tillsynsbegäran mail.docx", "A 32602-2019")</f>
        <v/>
      </c>
    </row>
    <row r="40" ht="15" customHeight="1">
      <c r="A40" t="inlineStr">
        <is>
          <t>A 52156-2019</t>
        </is>
      </c>
      <c r="B40" s="1" t="n">
        <v>43742</v>
      </c>
      <c r="C40" s="1" t="n">
        <v>45294</v>
      </c>
      <c r="D40" t="inlineStr">
        <is>
          <t>KALMAR LÄN</t>
        </is>
      </c>
      <c r="E40" t="inlineStr">
        <is>
          <t>VIMMERBY</t>
        </is>
      </c>
      <c r="G40" t="n">
        <v>3.7</v>
      </c>
      <c r="H40" t="n">
        <v>1</v>
      </c>
      <c r="I40" t="n">
        <v>0</v>
      </c>
      <c r="J40" t="n">
        <v>0</v>
      </c>
      <c r="K40" t="n">
        <v>0</v>
      </c>
      <c r="L40" t="n">
        <v>0</v>
      </c>
      <c r="M40" t="n">
        <v>0</v>
      </c>
      <c r="N40" t="n">
        <v>0</v>
      </c>
      <c r="O40" t="n">
        <v>0</v>
      </c>
      <c r="P40" t="n">
        <v>0</v>
      </c>
      <c r="Q40" t="n">
        <v>1</v>
      </c>
      <c r="R40" s="2" t="inlineStr">
        <is>
          <t>Blåsippa</t>
        </is>
      </c>
      <c r="S40">
        <f>HYPERLINK("https://klasma.github.io/Logging_0884/artfynd/A 52156-2019 artfynd.xlsx", "A 52156-2019")</f>
        <v/>
      </c>
      <c r="T40">
        <f>HYPERLINK("https://klasma.github.io/Logging_0884/kartor/A 52156-2019 karta.png", "A 52156-2019")</f>
        <v/>
      </c>
      <c r="U40">
        <f>HYPERLINK("https://klasma.github.io/Logging_0884/knärot/A 52156-2019 karta knärot.png", "A 52156-2019")</f>
        <v/>
      </c>
      <c r="V40">
        <f>HYPERLINK("https://klasma.github.io/Logging_0884/klagomål/A 52156-2019 FSC-klagomål.docx", "A 52156-2019")</f>
        <v/>
      </c>
      <c r="W40">
        <f>HYPERLINK("https://klasma.github.io/Logging_0884/klagomålsmail/A 52156-2019 FSC-klagomål mail.docx", "A 52156-2019")</f>
        <v/>
      </c>
      <c r="X40">
        <f>HYPERLINK("https://klasma.github.io/Logging_0884/tillsyn/A 52156-2019 tillsynsbegäran.docx", "A 52156-2019")</f>
        <v/>
      </c>
      <c r="Y40">
        <f>HYPERLINK("https://klasma.github.io/Logging_0884/tillsynsmail/A 52156-2019 tillsynsbegäran mail.docx", "A 52156-2019")</f>
        <v/>
      </c>
    </row>
    <row r="41" ht="15" customHeight="1">
      <c r="A41" t="inlineStr">
        <is>
          <t>A 64356-2019</t>
        </is>
      </c>
      <c r="B41" s="1" t="n">
        <v>43797</v>
      </c>
      <c r="C41" s="1" t="n">
        <v>45294</v>
      </c>
      <c r="D41" t="inlineStr">
        <is>
          <t>KALMAR LÄN</t>
        </is>
      </c>
      <c r="E41" t="inlineStr">
        <is>
          <t>VIMMERBY</t>
        </is>
      </c>
      <c r="G41" t="n">
        <v>1.4</v>
      </c>
      <c r="H41" t="n">
        <v>0</v>
      </c>
      <c r="I41" t="n">
        <v>1</v>
      </c>
      <c r="J41" t="n">
        <v>0</v>
      </c>
      <c r="K41" t="n">
        <v>0</v>
      </c>
      <c r="L41" t="n">
        <v>0</v>
      </c>
      <c r="M41" t="n">
        <v>0</v>
      </c>
      <c r="N41" t="n">
        <v>0</v>
      </c>
      <c r="O41" t="n">
        <v>0</v>
      </c>
      <c r="P41" t="n">
        <v>0</v>
      </c>
      <c r="Q41" t="n">
        <v>1</v>
      </c>
      <c r="R41" s="2" t="inlineStr">
        <is>
          <t>Fällmossa</t>
        </is>
      </c>
      <c r="S41">
        <f>HYPERLINK("https://klasma.github.io/Logging_0884/artfynd/A 64356-2019 artfynd.xlsx", "A 64356-2019")</f>
        <v/>
      </c>
      <c r="T41">
        <f>HYPERLINK("https://klasma.github.io/Logging_0884/kartor/A 64356-2019 karta.png", "A 64356-2019")</f>
        <v/>
      </c>
      <c r="V41">
        <f>HYPERLINK("https://klasma.github.io/Logging_0884/klagomål/A 64356-2019 FSC-klagomål.docx", "A 64356-2019")</f>
        <v/>
      </c>
      <c r="W41">
        <f>HYPERLINK("https://klasma.github.io/Logging_0884/klagomålsmail/A 64356-2019 FSC-klagomål mail.docx", "A 64356-2019")</f>
        <v/>
      </c>
      <c r="X41">
        <f>HYPERLINK("https://klasma.github.io/Logging_0884/tillsyn/A 64356-2019 tillsynsbegäran.docx", "A 64356-2019")</f>
        <v/>
      </c>
      <c r="Y41">
        <f>HYPERLINK("https://klasma.github.io/Logging_0884/tillsynsmail/A 64356-2019 tillsynsbegäran mail.docx", "A 64356-2019")</f>
        <v/>
      </c>
    </row>
    <row r="42" ht="15" customHeight="1">
      <c r="A42" t="inlineStr">
        <is>
          <t>A 35462-2020</t>
        </is>
      </c>
      <c r="B42" s="1" t="n">
        <v>44042</v>
      </c>
      <c r="C42" s="1" t="n">
        <v>45294</v>
      </c>
      <c r="D42" t="inlineStr">
        <is>
          <t>KALMAR LÄN</t>
        </is>
      </c>
      <c r="E42" t="inlineStr">
        <is>
          <t>VIMMERBY</t>
        </is>
      </c>
      <c r="G42" t="n">
        <v>4.3</v>
      </c>
      <c r="H42" t="n">
        <v>1</v>
      </c>
      <c r="I42" t="n">
        <v>0</v>
      </c>
      <c r="J42" t="n">
        <v>0</v>
      </c>
      <c r="K42" t="n">
        <v>0</v>
      </c>
      <c r="L42" t="n">
        <v>0</v>
      </c>
      <c r="M42" t="n">
        <v>0</v>
      </c>
      <c r="N42" t="n">
        <v>0</v>
      </c>
      <c r="O42" t="n">
        <v>0</v>
      </c>
      <c r="P42" t="n">
        <v>0</v>
      </c>
      <c r="Q42" t="n">
        <v>1</v>
      </c>
      <c r="R42" s="2" t="inlineStr">
        <is>
          <t>Lopplummer</t>
        </is>
      </c>
      <c r="S42">
        <f>HYPERLINK("https://klasma.github.io/Logging_0884/artfynd/A 35462-2020 artfynd.xlsx", "A 35462-2020")</f>
        <v/>
      </c>
      <c r="T42">
        <f>HYPERLINK("https://klasma.github.io/Logging_0884/kartor/A 35462-2020 karta.png", "A 35462-2020")</f>
        <v/>
      </c>
      <c r="V42">
        <f>HYPERLINK("https://klasma.github.io/Logging_0884/klagomål/A 35462-2020 FSC-klagomål.docx", "A 35462-2020")</f>
        <v/>
      </c>
      <c r="W42">
        <f>HYPERLINK("https://klasma.github.io/Logging_0884/klagomålsmail/A 35462-2020 FSC-klagomål mail.docx", "A 35462-2020")</f>
        <v/>
      </c>
      <c r="X42">
        <f>HYPERLINK("https://klasma.github.io/Logging_0884/tillsyn/A 35462-2020 tillsynsbegäran.docx", "A 35462-2020")</f>
        <v/>
      </c>
      <c r="Y42">
        <f>HYPERLINK("https://klasma.github.io/Logging_0884/tillsynsmail/A 35462-2020 tillsynsbegäran mail.docx", "A 35462-2020")</f>
        <v/>
      </c>
    </row>
    <row r="43" ht="15" customHeight="1">
      <c r="A43" t="inlineStr">
        <is>
          <t>A 42097-2020</t>
        </is>
      </c>
      <c r="B43" s="1" t="n">
        <v>44075</v>
      </c>
      <c r="C43" s="1" t="n">
        <v>45294</v>
      </c>
      <c r="D43" t="inlineStr">
        <is>
          <t>KALMAR LÄN</t>
        </is>
      </c>
      <c r="E43" t="inlineStr">
        <is>
          <t>VIMMERBY</t>
        </is>
      </c>
      <c r="G43" t="n">
        <v>5.5</v>
      </c>
      <c r="H43" t="n">
        <v>0</v>
      </c>
      <c r="I43" t="n">
        <v>0</v>
      </c>
      <c r="J43" t="n">
        <v>1</v>
      </c>
      <c r="K43" t="n">
        <v>0</v>
      </c>
      <c r="L43" t="n">
        <v>0</v>
      </c>
      <c r="M43" t="n">
        <v>0</v>
      </c>
      <c r="N43" t="n">
        <v>0</v>
      </c>
      <c r="O43" t="n">
        <v>1</v>
      </c>
      <c r="P43" t="n">
        <v>0</v>
      </c>
      <c r="Q43" t="n">
        <v>1</v>
      </c>
      <c r="R43" s="2" t="inlineStr">
        <is>
          <t>Mjukdån</t>
        </is>
      </c>
      <c r="S43">
        <f>HYPERLINK("https://klasma.github.io/Logging_0884/artfynd/A 42097-2020 artfynd.xlsx", "A 42097-2020")</f>
        <v/>
      </c>
      <c r="T43">
        <f>HYPERLINK("https://klasma.github.io/Logging_0884/kartor/A 42097-2020 karta.png", "A 42097-2020")</f>
        <v/>
      </c>
      <c r="V43">
        <f>HYPERLINK("https://klasma.github.io/Logging_0884/klagomål/A 42097-2020 FSC-klagomål.docx", "A 42097-2020")</f>
        <v/>
      </c>
      <c r="W43">
        <f>HYPERLINK("https://klasma.github.io/Logging_0884/klagomålsmail/A 42097-2020 FSC-klagomål mail.docx", "A 42097-2020")</f>
        <v/>
      </c>
      <c r="X43">
        <f>HYPERLINK("https://klasma.github.io/Logging_0884/tillsyn/A 42097-2020 tillsynsbegäran.docx", "A 42097-2020")</f>
        <v/>
      </c>
      <c r="Y43">
        <f>HYPERLINK("https://klasma.github.io/Logging_0884/tillsynsmail/A 42097-2020 tillsynsbegäran mail.docx", "A 42097-2020")</f>
        <v/>
      </c>
    </row>
    <row r="44" ht="15" customHeight="1">
      <c r="A44" t="inlineStr">
        <is>
          <t>A 44306-2020</t>
        </is>
      </c>
      <c r="B44" s="1" t="n">
        <v>44082</v>
      </c>
      <c r="C44" s="1" t="n">
        <v>45294</v>
      </c>
      <c r="D44" t="inlineStr">
        <is>
          <t>KALMAR LÄN</t>
        </is>
      </c>
      <c r="E44" t="inlineStr">
        <is>
          <t>VIMMERBY</t>
        </is>
      </c>
      <c r="G44" t="n">
        <v>16.4</v>
      </c>
      <c r="H44" t="n">
        <v>1</v>
      </c>
      <c r="I44" t="n">
        <v>1</v>
      </c>
      <c r="J44" t="n">
        <v>0</v>
      </c>
      <c r="K44" t="n">
        <v>0</v>
      </c>
      <c r="L44" t="n">
        <v>0</v>
      </c>
      <c r="M44" t="n">
        <v>0</v>
      </c>
      <c r="N44" t="n">
        <v>0</v>
      </c>
      <c r="O44" t="n">
        <v>0</v>
      </c>
      <c r="P44" t="n">
        <v>0</v>
      </c>
      <c r="Q44" t="n">
        <v>1</v>
      </c>
      <c r="R44" s="2" t="inlineStr">
        <is>
          <t>Plattlummer</t>
        </is>
      </c>
      <c r="S44">
        <f>HYPERLINK("https://klasma.github.io/Logging_0884/artfynd/A 44306-2020 artfynd.xlsx", "A 44306-2020")</f>
        <v/>
      </c>
      <c r="T44">
        <f>HYPERLINK("https://klasma.github.io/Logging_0884/kartor/A 44306-2020 karta.png", "A 44306-2020")</f>
        <v/>
      </c>
      <c r="V44">
        <f>HYPERLINK("https://klasma.github.io/Logging_0884/klagomål/A 44306-2020 FSC-klagomål.docx", "A 44306-2020")</f>
        <v/>
      </c>
      <c r="W44">
        <f>HYPERLINK("https://klasma.github.io/Logging_0884/klagomålsmail/A 44306-2020 FSC-klagomål mail.docx", "A 44306-2020")</f>
        <v/>
      </c>
      <c r="X44">
        <f>HYPERLINK("https://klasma.github.io/Logging_0884/tillsyn/A 44306-2020 tillsynsbegäran.docx", "A 44306-2020")</f>
        <v/>
      </c>
      <c r="Y44">
        <f>HYPERLINK("https://klasma.github.io/Logging_0884/tillsynsmail/A 44306-2020 tillsynsbegäran mail.docx", "A 44306-2020")</f>
        <v/>
      </c>
    </row>
    <row r="45" ht="15" customHeight="1">
      <c r="A45" t="inlineStr">
        <is>
          <t>A 57949-2020</t>
        </is>
      </c>
      <c r="B45" s="1" t="n">
        <v>44142</v>
      </c>
      <c r="C45" s="1" t="n">
        <v>45294</v>
      </c>
      <c r="D45" t="inlineStr">
        <is>
          <t>KALMAR LÄN</t>
        </is>
      </c>
      <c r="E45" t="inlineStr">
        <is>
          <t>VIMMERBY</t>
        </is>
      </c>
      <c r="G45" t="n">
        <v>3.4</v>
      </c>
      <c r="H45" t="n">
        <v>0</v>
      </c>
      <c r="I45" t="n">
        <v>1</v>
      </c>
      <c r="J45" t="n">
        <v>0</v>
      </c>
      <c r="K45" t="n">
        <v>0</v>
      </c>
      <c r="L45" t="n">
        <v>0</v>
      </c>
      <c r="M45" t="n">
        <v>0</v>
      </c>
      <c r="N45" t="n">
        <v>0</v>
      </c>
      <c r="O45" t="n">
        <v>0</v>
      </c>
      <c r="P45" t="n">
        <v>0</v>
      </c>
      <c r="Q45" t="n">
        <v>1</v>
      </c>
      <c r="R45" s="2" t="inlineStr">
        <is>
          <t>Vårärt</t>
        </is>
      </c>
      <c r="S45">
        <f>HYPERLINK("https://klasma.github.io/Logging_0884/artfynd/A 57949-2020 artfynd.xlsx", "A 57949-2020")</f>
        <v/>
      </c>
      <c r="T45">
        <f>HYPERLINK("https://klasma.github.io/Logging_0884/kartor/A 57949-2020 karta.png", "A 57949-2020")</f>
        <v/>
      </c>
      <c r="V45">
        <f>HYPERLINK("https://klasma.github.io/Logging_0884/klagomål/A 57949-2020 FSC-klagomål.docx", "A 57949-2020")</f>
        <v/>
      </c>
      <c r="W45">
        <f>HYPERLINK("https://klasma.github.io/Logging_0884/klagomålsmail/A 57949-2020 FSC-klagomål mail.docx", "A 57949-2020")</f>
        <v/>
      </c>
      <c r="X45">
        <f>HYPERLINK("https://klasma.github.io/Logging_0884/tillsyn/A 57949-2020 tillsynsbegäran.docx", "A 57949-2020")</f>
        <v/>
      </c>
      <c r="Y45">
        <f>HYPERLINK("https://klasma.github.io/Logging_0884/tillsynsmail/A 57949-2020 tillsynsbegäran mail.docx", "A 57949-2020")</f>
        <v/>
      </c>
    </row>
    <row r="46" ht="15" customHeight="1">
      <c r="A46" t="inlineStr">
        <is>
          <t>A 64674-2020</t>
        </is>
      </c>
      <c r="B46" s="1" t="n">
        <v>44169</v>
      </c>
      <c r="C46" s="1" t="n">
        <v>45294</v>
      </c>
      <c r="D46" t="inlineStr">
        <is>
          <t>KALMAR LÄN</t>
        </is>
      </c>
      <c r="E46" t="inlineStr">
        <is>
          <t>VIMMERBY</t>
        </is>
      </c>
      <c r="G46" t="n">
        <v>7.4</v>
      </c>
      <c r="H46" t="n">
        <v>0</v>
      </c>
      <c r="I46" t="n">
        <v>0</v>
      </c>
      <c r="J46" t="n">
        <v>0</v>
      </c>
      <c r="K46" t="n">
        <v>1</v>
      </c>
      <c r="L46" t="n">
        <v>0</v>
      </c>
      <c r="M46" t="n">
        <v>0</v>
      </c>
      <c r="N46" t="n">
        <v>0</v>
      </c>
      <c r="O46" t="n">
        <v>1</v>
      </c>
      <c r="P46" t="n">
        <v>1</v>
      </c>
      <c r="Q46" t="n">
        <v>1</v>
      </c>
      <c r="R46" s="2" t="inlineStr">
        <is>
          <t>Lansettfibbla</t>
        </is>
      </c>
      <c r="S46">
        <f>HYPERLINK("https://klasma.github.io/Logging_0884/artfynd/A 64674-2020 artfynd.xlsx", "A 64674-2020")</f>
        <v/>
      </c>
      <c r="T46">
        <f>HYPERLINK("https://klasma.github.io/Logging_0884/kartor/A 64674-2020 karta.png", "A 64674-2020")</f>
        <v/>
      </c>
      <c r="V46">
        <f>HYPERLINK("https://klasma.github.io/Logging_0884/klagomål/A 64674-2020 FSC-klagomål.docx", "A 64674-2020")</f>
        <v/>
      </c>
      <c r="W46">
        <f>HYPERLINK("https://klasma.github.io/Logging_0884/klagomålsmail/A 64674-2020 FSC-klagomål mail.docx", "A 64674-2020")</f>
        <v/>
      </c>
      <c r="X46">
        <f>HYPERLINK("https://klasma.github.io/Logging_0884/tillsyn/A 64674-2020 tillsynsbegäran.docx", "A 64674-2020")</f>
        <v/>
      </c>
      <c r="Y46">
        <f>HYPERLINK("https://klasma.github.io/Logging_0884/tillsynsmail/A 64674-2020 tillsynsbegäran mail.docx", "A 64674-2020")</f>
        <v/>
      </c>
    </row>
    <row r="47" ht="15" customHeight="1">
      <c r="A47" t="inlineStr">
        <is>
          <t>A 68851-2020</t>
        </is>
      </c>
      <c r="B47" s="1" t="n">
        <v>44187</v>
      </c>
      <c r="C47" s="1" t="n">
        <v>45294</v>
      </c>
      <c r="D47" t="inlineStr">
        <is>
          <t>KALMAR LÄN</t>
        </is>
      </c>
      <c r="E47" t="inlineStr">
        <is>
          <t>VIMMERBY</t>
        </is>
      </c>
      <c r="G47" t="n">
        <v>7.4</v>
      </c>
      <c r="H47" t="n">
        <v>0</v>
      </c>
      <c r="I47" t="n">
        <v>0</v>
      </c>
      <c r="J47" t="n">
        <v>0</v>
      </c>
      <c r="K47" t="n">
        <v>1</v>
      </c>
      <c r="L47" t="n">
        <v>0</v>
      </c>
      <c r="M47" t="n">
        <v>0</v>
      </c>
      <c r="N47" t="n">
        <v>0</v>
      </c>
      <c r="O47" t="n">
        <v>1</v>
      </c>
      <c r="P47" t="n">
        <v>1</v>
      </c>
      <c r="Q47" t="n">
        <v>1</v>
      </c>
      <c r="R47" s="2" t="inlineStr">
        <is>
          <t>Lansettfibbla</t>
        </is>
      </c>
      <c r="S47">
        <f>HYPERLINK("https://klasma.github.io/Logging_0884/artfynd/A 68851-2020 artfynd.xlsx", "A 68851-2020")</f>
        <v/>
      </c>
      <c r="T47">
        <f>HYPERLINK("https://klasma.github.io/Logging_0884/kartor/A 68851-2020 karta.png", "A 68851-2020")</f>
        <v/>
      </c>
      <c r="V47">
        <f>HYPERLINK("https://klasma.github.io/Logging_0884/klagomål/A 68851-2020 FSC-klagomål.docx", "A 68851-2020")</f>
        <v/>
      </c>
      <c r="W47">
        <f>HYPERLINK("https://klasma.github.io/Logging_0884/klagomålsmail/A 68851-2020 FSC-klagomål mail.docx", "A 68851-2020")</f>
        <v/>
      </c>
      <c r="X47">
        <f>HYPERLINK("https://klasma.github.io/Logging_0884/tillsyn/A 68851-2020 tillsynsbegäran.docx", "A 68851-2020")</f>
        <v/>
      </c>
      <c r="Y47">
        <f>HYPERLINK("https://klasma.github.io/Logging_0884/tillsynsmail/A 68851-2020 tillsynsbegäran mail.docx", "A 68851-2020")</f>
        <v/>
      </c>
    </row>
    <row r="48" ht="15" customHeight="1">
      <c r="A48" t="inlineStr">
        <is>
          <t>A 32396-2021</t>
        </is>
      </c>
      <c r="B48" s="1" t="n">
        <v>44371</v>
      </c>
      <c r="C48" s="1" t="n">
        <v>45294</v>
      </c>
      <c r="D48" t="inlineStr">
        <is>
          <t>KALMAR LÄN</t>
        </is>
      </c>
      <c r="E48" t="inlineStr">
        <is>
          <t>VIMMERBY</t>
        </is>
      </c>
      <c r="G48" t="n">
        <v>2.8</v>
      </c>
      <c r="H48" t="n">
        <v>1</v>
      </c>
      <c r="I48" t="n">
        <v>0</v>
      </c>
      <c r="J48" t="n">
        <v>0</v>
      </c>
      <c r="K48" t="n">
        <v>0</v>
      </c>
      <c r="L48" t="n">
        <v>0</v>
      </c>
      <c r="M48" t="n">
        <v>0</v>
      </c>
      <c r="N48" t="n">
        <v>0</v>
      </c>
      <c r="O48" t="n">
        <v>0</v>
      </c>
      <c r="P48" t="n">
        <v>0</v>
      </c>
      <c r="Q48" t="n">
        <v>1</v>
      </c>
      <c r="R48" s="2" t="inlineStr">
        <is>
          <t>Blåsippa</t>
        </is>
      </c>
      <c r="S48">
        <f>HYPERLINK("https://klasma.github.io/Logging_0884/artfynd/A 32396-2021 artfynd.xlsx", "A 32396-2021")</f>
        <v/>
      </c>
      <c r="T48">
        <f>HYPERLINK("https://klasma.github.io/Logging_0884/kartor/A 32396-2021 karta.png", "A 32396-2021")</f>
        <v/>
      </c>
      <c r="V48">
        <f>HYPERLINK("https://klasma.github.io/Logging_0884/klagomål/A 32396-2021 FSC-klagomål.docx", "A 32396-2021")</f>
        <v/>
      </c>
      <c r="W48">
        <f>HYPERLINK("https://klasma.github.io/Logging_0884/klagomålsmail/A 32396-2021 FSC-klagomål mail.docx", "A 32396-2021")</f>
        <v/>
      </c>
      <c r="X48">
        <f>HYPERLINK("https://klasma.github.io/Logging_0884/tillsyn/A 32396-2021 tillsynsbegäran.docx", "A 32396-2021")</f>
        <v/>
      </c>
      <c r="Y48">
        <f>HYPERLINK("https://klasma.github.io/Logging_0884/tillsynsmail/A 32396-2021 tillsynsbegäran mail.docx", "A 32396-2021")</f>
        <v/>
      </c>
    </row>
    <row r="49" ht="15" customHeight="1">
      <c r="A49" t="inlineStr">
        <is>
          <t>A 33436-2021</t>
        </is>
      </c>
      <c r="B49" s="1" t="n">
        <v>44377</v>
      </c>
      <c r="C49" s="1" t="n">
        <v>45294</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37930-2021</t>
        </is>
      </c>
      <c r="B50" s="1" t="n">
        <v>44403</v>
      </c>
      <c r="C50" s="1" t="n">
        <v>45294</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71785-2021</t>
        </is>
      </c>
      <c r="B51" s="1" t="n">
        <v>44539</v>
      </c>
      <c r="C51" s="1" t="n">
        <v>45294</v>
      </c>
      <c r="D51" t="inlineStr">
        <is>
          <t>KALMAR LÄN</t>
        </is>
      </c>
      <c r="E51" t="inlineStr">
        <is>
          <t>VIMMERBY</t>
        </is>
      </c>
      <c r="G51" t="n">
        <v>1.1</v>
      </c>
      <c r="H51" t="n">
        <v>0</v>
      </c>
      <c r="I51" t="n">
        <v>0</v>
      </c>
      <c r="J51" t="n">
        <v>0</v>
      </c>
      <c r="K51" t="n">
        <v>0</v>
      </c>
      <c r="L51" t="n">
        <v>1</v>
      </c>
      <c r="M51" t="n">
        <v>0</v>
      </c>
      <c r="N51" t="n">
        <v>0</v>
      </c>
      <c r="O51" t="n">
        <v>1</v>
      </c>
      <c r="P51" t="n">
        <v>1</v>
      </c>
      <c r="Q51" t="n">
        <v>1</v>
      </c>
      <c r="R51" s="2" t="inlineStr">
        <is>
          <t>Ryl</t>
        </is>
      </c>
      <c r="S51">
        <f>HYPERLINK("https://klasma.github.io/Logging_0884/artfynd/A 71785-2021 artfynd.xlsx", "A 71785-2021")</f>
        <v/>
      </c>
      <c r="T51">
        <f>HYPERLINK("https://klasma.github.io/Logging_0884/kartor/A 71785-2021 karta.png", "A 71785-2021")</f>
        <v/>
      </c>
      <c r="V51">
        <f>HYPERLINK("https://klasma.github.io/Logging_0884/klagomål/A 71785-2021 FSC-klagomål.docx", "A 71785-2021")</f>
        <v/>
      </c>
      <c r="W51">
        <f>HYPERLINK("https://klasma.github.io/Logging_0884/klagomålsmail/A 71785-2021 FSC-klagomål mail.docx", "A 71785-2021")</f>
        <v/>
      </c>
      <c r="X51">
        <f>HYPERLINK("https://klasma.github.io/Logging_0884/tillsyn/A 71785-2021 tillsynsbegäran.docx", "A 71785-2021")</f>
        <v/>
      </c>
      <c r="Y51">
        <f>HYPERLINK("https://klasma.github.io/Logging_0884/tillsynsmail/A 71785-2021 tillsynsbegäran mail.docx", "A 71785-2021")</f>
        <v/>
      </c>
    </row>
    <row r="52" ht="15" customHeight="1">
      <c r="A52" t="inlineStr">
        <is>
          <t>A 21489-2022</t>
        </is>
      </c>
      <c r="B52" s="1" t="n">
        <v>44706</v>
      </c>
      <c r="C52" s="1" t="n">
        <v>45294</v>
      </c>
      <c r="D52" t="inlineStr">
        <is>
          <t>KALMAR LÄN</t>
        </is>
      </c>
      <c r="E52" t="inlineStr">
        <is>
          <t>VIMMERBY</t>
        </is>
      </c>
      <c r="G52" t="n">
        <v>4.8</v>
      </c>
      <c r="H52" t="n">
        <v>0</v>
      </c>
      <c r="I52" t="n">
        <v>0</v>
      </c>
      <c r="J52" t="n">
        <v>0</v>
      </c>
      <c r="K52" t="n">
        <v>1</v>
      </c>
      <c r="L52" t="n">
        <v>0</v>
      </c>
      <c r="M52" t="n">
        <v>0</v>
      </c>
      <c r="N52" t="n">
        <v>0</v>
      </c>
      <c r="O52" t="n">
        <v>1</v>
      </c>
      <c r="P52" t="n">
        <v>1</v>
      </c>
      <c r="Q52" t="n">
        <v>1</v>
      </c>
      <c r="R52" s="2" t="inlineStr">
        <is>
          <t>Späd fetfibbla</t>
        </is>
      </c>
      <c r="S52">
        <f>HYPERLINK("https://klasma.github.io/Logging_0884/artfynd/A 21489-2022 artfynd.xlsx", "A 21489-2022")</f>
        <v/>
      </c>
      <c r="T52">
        <f>HYPERLINK("https://klasma.github.io/Logging_0884/kartor/A 21489-2022 karta.png", "A 21489-2022")</f>
        <v/>
      </c>
      <c r="V52">
        <f>HYPERLINK("https://klasma.github.io/Logging_0884/klagomål/A 21489-2022 FSC-klagomål.docx", "A 21489-2022")</f>
        <v/>
      </c>
      <c r="W52">
        <f>HYPERLINK("https://klasma.github.io/Logging_0884/klagomålsmail/A 21489-2022 FSC-klagomål mail.docx", "A 21489-2022")</f>
        <v/>
      </c>
      <c r="X52">
        <f>HYPERLINK("https://klasma.github.io/Logging_0884/tillsyn/A 21489-2022 tillsynsbegäran.docx", "A 21489-2022")</f>
        <v/>
      </c>
      <c r="Y52">
        <f>HYPERLINK("https://klasma.github.io/Logging_0884/tillsynsmail/A 21489-2022 tillsynsbegäran mail.docx", "A 21489-2022")</f>
        <v/>
      </c>
    </row>
    <row r="53" ht="15" customHeight="1">
      <c r="A53" t="inlineStr">
        <is>
          <t>A 30473-2022</t>
        </is>
      </c>
      <c r="B53" s="1" t="n">
        <v>44761</v>
      </c>
      <c r="C53" s="1" t="n">
        <v>45294</v>
      </c>
      <c r="D53" t="inlineStr">
        <is>
          <t>KALMAR LÄN</t>
        </is>
      </c>
      <c r="E53" t="inlineStr">
        <is>
          <t>VIMMERBY</t>
        </is>
      </c>
      <c r="G53" t="n">
        <v>4.2</v>
      </c>
      <c r="H53" t="n">
        <v>1</v>
      </c>
      <c r="I53" t="n">
        <v>0</v>
      </c>
      <c r="J53" t="n">
        <v>1</v>
      </c>
      <c r="K53" t="n">
        <v>0</v>
      </c>
      <c r="L53" t="n">
        <v>0</v>
      </c>
      <c r="M53" t="n">
        <v>0</v>
      </c>
      <c r="N53" t="n">
        <v>0</v>
      </c>
      <c r="O53" t="n">
        <v>1</v>
      </c>
      <c r="P53" t="n">
        <v>0</v>
      </c>
      <c r="Q53" t="n">
        <v>1</v>
      </c>
      <c r="R53" s="2" t="inlineStr">
        <is>
          <t>Talltita</t>
        </is>
      </c>
      <c r="S53">
        <f>HYPERLINK("https://klasma.github.io/Logging_0884/artfynd/A 30473-2022 artfynd.xlsx", "A 30473-2022")</f>
        <v/>
      </c>
      <c r="T53">
        <f>HYPERLINK("https://klasma.github.io/Logging_0884/kartor/A 30473-2022 karta.png", "A 30473-2022")</f>
        <v/>
      </c>
      <c r="V53">
        <f>HYPERLINK("https://klasma.github.io/Logging_0884/klagomål/A 30473-2022 FSC-klagomål.docx", "A 30473-2022")</f>
        <v/>
      </c>
      <c r="W53">
        <f>HYPERLINK("https://klasma.github.io/Logging_0884/klagomålsmail/A 30473-2022 FSC-klagomål mail.docx", "A 30473-2022")</f>
        <v/>
      </c>
      <c r="X53">
        <f>HYPERLINK("https://klasma.github.io/Logging_0884/tillsyn/A 30473-2022 tillsynsbegäran.docx", "A 30473-2022")</f>
        <v/>
      </c>
      <c r="Y53">
        <f>HYPERLINK("https://klasma.github.io/Logging_0884/tillsynsmail/A 30473-2022 tillsynsbegäran mail.docx", "A 30473-2022")</f>
        <v/>
      </c>
    </row>
    <row r="54" ht="15" customHeight="1">
      <c r="A54" t="inlineStr">
        <is>
          <t>A 9638-2023</t>
        </is>
      </c>
      <c r="B54" s="1" t="n">
        <v>44984</v>
      </c>
      <c r="C54" s="1" t="n">
        <v>45294</v>
      </c>
      <c r="D54" t="inlineStr">
        <is>
          <t>KALMAR LÄN</t>
        </is>
      </c>
      <c r="E54" t="inlineStr">
        <is>
          <t>VIMMERBY</t>
        </is>
      </c>
      <c r="G54" t="n">
        <v>6.3</v>
      </c>
      <c r="H54" t="n">
        <v>0</v>
      </c>
      <c r="I54" t="n">
        <v>1</v>
      </c>
      <c r="J54" t="n">
        <v>0</v>
      </c>
      <c r="K54" t="n">
        <v>0</v>
      </c>
      <c r="L54" t="n">
        <v>0</v>
      </c>
      <c r="M54" t="n">
        <v>0</v>
      </c>
      <c r="N54" t="n">
        <v>0</v>
      </c>
      <c r="O54" t="n">
        <v>0</v>
      </c>
      <c r="P54" t="n">
        <v>0</v>
      </c>
      <c r="Q54" t="n">
        <v>1</v>
      </c>
      <c r="R54" s="2" t="inlineStr">
        <is>
          <t>Fällmossa</t>
        </is>
      </c>
      <c r="S54">
        <f>HYPERLINK("https://klasma.github.io/Logging_0884/artfynd/A 9638-2023 artfynd.xlsx", "A 9638-2023")</f>
        <v/>
      </c>
      <c r="T54">
        <f>HYPERLINK("https://klasma.github.io/Logging_0884/kartor/A 9638-2023 karta.png", "A 9638-2023")</f>
        <v/>
      </c>
      <c r="V54">
        <f>HYPERLINK("https://klasma.github.io/Logging_0884/klagomål/A 9638-2023 FSC-klagomål.docx", "A 9638-2023")</f>
        <v/>
      </c>
      <c r="W54">
        <f>HYPERLINK("https://klasma.github.io/Logging_0884/klagomålsmail/A 9638-2023 FSC-klagomål mail.docx", "A 9638-2023")</f>
        <v/>
      </c>
      <c r="X54">
        <f>HYPERLINK("https://klasma.github.io/Logging_0884/tillsyn/A 9638-2023 tillsynsbegäran.docx", "A 9638-2023")</f>
        <v/>
      </c>
      <c r="Y54">
        <f>HYPERLINK("https://klasma.github.io/Logging_0884/tillsynsmail/A 9638-2023 tillsynsbegäran mail.docx", "A 9638-2023")</f>
        <v/>
      </c>
    </row>
    <row r="55" ht="15" customHeight="1">
      <c r="A55" t="inlineStr">
        <is>
          <t>A 9642-2023</t>
        </is>
      </c>
      <c r="B55" s="1" t="n">
        <v>44984</v>
      </c>
      <c r="C55" s="1" t="n">
        <v>45294</v>
      </c>
      <c r="D55" t="inlineStr">
        <is>
          <t>KALMAR LÄN</t>
        </is>
      </c>
      <c r="E55" t="inlineStr">
        <is>
          <t>VIMMERBY</t>
        </is>
      </c>
      <c r="G55" t="n">
        <v>4</v>
      </c>
      <c r="H55" t="n">
        <v>1</v>
      </c>
      <c r="I55" t="n">
        <v>0</v>
      </c>
      <c r="J55" t="n">
        <v>1</v>
      </c>
      <c r="K55" t="n">
        <v>0</v>
      </c>
      <c r="L55" t="n">
        <v>0</v>
      </c>
      <c r="M55" t="n">
        <v>0</v>
      </c>
      <c r="N55" t="n">
        <v>0</v>
      </c>
      <c r="O55" t="n">
        <v>1</v>
      </c>
      <c r="P55" t="n">
        <v>0</v>
      </c>
      <c r="Q55" t="n">
        <v>1</v>
      </c>
      <c r="R55" s="2" t="inlineStr">
        <is>
          <t>Spillkråka</t>
        </is>
      </c>
      <c r="S55">
        <f>HYPERLINK("https://klasma.github.io/Logging_0884/artfynd/A 9642-2023 artfynd.xlsx", "A 9642-2023")</f>
        <v/>
      </c>
      <c r="T55">
        <f>HYPERLINK("https://klasma.github.io/Logging_0884/kartor/A 9642-2023 karta.png", "A 9642-2023")</f>
        <v/>
      </c>
      <c r="V55">
        <f>HYPERLINK("https://klasma.github.io/Logging_0884/klagomål/A 9642-2023 FSC-klagomål.docx", "A 9642-2023")</f>
        <v/>
      </c>
      <c r="W55">
        <f>HYPERLINK("https://klasma.github.io/Logging_0884/klagomålsmail/A 9642-2023 FSC-klagomål mail.docx", "A 9642-2023")</f>
        <v/>
      </c>
      <c r="X55">
        <f>HYPERLINK("https://klasma.github.io/Logging_0884/tillsyn/A 9642-2023 tillsynsbegäran.docx", "A 9642-2023")</f>
        <v/>
      </c>
      <c r="Y55">
        <f>HYPERLINK("https://klasma.github.io/Logging_0884/tillsynsmail/A 9642-2023 tillsynsbegäran mail.docx", "A 9642-2023")</f>
        <v/>
      </c>
    </row>
    <row r="56" ht="15" customHeight="1">
      <c r="A56" t="inlineStr">
        <is>
          <t>A 23602-2023</t>
        </is>
      </c>
      <c r="B56" s="1" t="n">
        <v>45077</v>
      </c>
      <c r="C56" s="1" t="n">
        <v>45294</v>
      </c>
      <c r="D56" t="inlineStr">
        <is>
          <t>KALMAR LÄN</t>
        </is>
      </c>
      <c r="E56" t="inlineStr">
        <is>
          <t>VIMMERBY</t>
        </is>
      </c>
      <c r="G56" t="n">
        <v>1.6</v>
      </c>
      <c r="H56" t="n">
        <v>0</v>
      </c>
      <c r="I56" t="n">
        <v>0</v>
      </c>
      <c r="J56" t="n">
        <v>1</v>
      </c>
      <c r="K56" t="n">
        <v>0</v>
      </c>
      <c r="L56" t="n">
        <v>0</v>
      </c>
      <c r="M56" t="n">
        <v>0</v>
      </c>
      <c r="N56" t="n">
        <v>0</v>
      </c>
      <c r="O56" t="n">
        <v>1</v>
      </c>
      <c r="P56" t="n">
        <v>0</v>
      </c>
      <c r="Q56" t="n">
        <v>1</v>
      </c>
      <c r="R56" s="2" t="inlineStr">
        <is>
          <t>Vedtrappmossa</t>
        </is>
      </c>
      <c r="S56">
        <f>HYPERLINK("https://klasma.github.io/Logging_0884/artfynd/A 23602-2023 artfynd.xlsx", "A 23602-2023")</f>
        <v/>
      </c>
      <c r="T56">
        <f>HYPERLINK("https://klasma.github.io/Logging_0884/kartor/A 23602-2023 karta.png", "A 23602-2023")</f>
        <v/>
      </c>
      <c r="V56">
        <f>HYPERLINK("https://klasma.github.io/Logging_0884/klagomål/A 23602-2023 FSC-klagomål.docx", "A 23602-2023")</f>
        <v/>
      </c>
      <c r="W56">
        <f>HYPERLINK("https://klasma.github.io/Logging_0884/klagomålsmail/A 23602-2023 FSC-klagomål mail.docx", "A 23602-2023")</f>
        <v/>
      </c>
      <c r="X56">
        <f>HYPERLINK("https://klasma.github.io/Logging_0884/tillsyn/A 23602-2023 tillsynsbegäran.docx", "A 23602-2023")</f>
        <v/>
      </c>
      <c r="Y56">
        <f>HYPERLINK("https://klasma.github.io/Logging_0884/tillsynsmail/A 23602-2023 tillsynsbegäran mail.docx", "A 23602-2023")</f>
        <v/>
      </c>
    </row>
    <row r="57" ht="15" customHeight="1">
      <c r="A57" t="inlineStr">
        <is>
          <t>A 28852-2023</t>
        </is>
      </c>
      <c r="B57" s="1" t="n">
        <v>45104</v>
      </c>
      <c r="C57" s="1" t="n">
        <v>45294</v>
      </c>
      <c r="D57" t="inlineStr">
        <is>
          <t>KALMAR LÄN</t>
        </is>
      </c>
      <c r="E57" t="inlineStr">
        <is>
          <t>VIMMERBY</t>
        </is>
      </c>
      <c r="G57" t="n">
        <v>0.7</v>
      </c>
      <c r="H57" t="n">
        <v>0</v>
      </c>
      <c r="I57" t="n">
        <v>1</v>
      </c>
      <c r="J57" t="n">
        <v>0</v>
      </c>
      <c r="K57" t="n">
        <v>0</v>
      </c>
      <c r="L57" t="n">
        <v>0</v>
      </c>
      <c r="M57" t="n">
        <v>0</v>
      </c>
      <c r="N57" t="n">
        <v>0</v>
      </c>
      <c r="O57" t="n">
        <v>0</v>
      </c>
      <c r="P57" t="n">
        <v>0</v>
      </c>
      <c r="Q57" t="n">
        <v>1</v>
      </c>
      <c r="R57" s="2" t="inlineStr">
        <is>
          <t>Tibast</t>
        </is>
      </c>
      <c r="S57">
        <f>HYPERLINK("https://klasma.github.io/Logging_0884/artfynd/A 28852-2023 artfynd.xlsx", "A 28852-2023")</f>
        <v/>
      </c>
      <c r="T57">
        <f>HYPERLINK("https://klasma.github.io/Logging_0884/kartor/A 28852-2023 karta.png", "A 28852-2023")</f>
        <v/>
      </c>
      <c r="V57">
        <f>HYPERLINK("https://klasma.github.io/Logging_0884/klagomål/A 28852-2023 FSC-klagomål.docx", "A 28852-2023")</f>
        <v/>
      </c>
      <c r="W57">
        <f>HYPERLINK("https://klasma.github.io/Logging_0884/klagomålsmail/A 28852-2023 FSC-klagomål mail.docx", "A 28852-2023")</f>
        <v/>
      </c>
      <c r="X57">
        <f>HYPERLINK("https://klasma.github.io/Logging_0884/tillsyn/A 28852-2023 tillsynsbegäran.docx", "A 28852-2023")</f>
        <v/>
      </c>
      <c r="Y57">
        <f>HYPERLINK("https://klasma.github.io/Logging_0884/tillsynsmail/A 28852-2023 tillsynsbegäran mail.docx", "A 28852-2023")</f>
        <v/>
      </c>
    </row>
    <row r="58" ht="15" customHeight="1">
      <c r="A58" t="inlineStr">
        <is>
          <t>A 32985-2023</t>
        </is>
      </c>
      <c r="B58" s="1" t="n">
        <v>45125</v>
      </c>
      <c r="C58" s="1" t="n">
        <v>45294</v>
      </c>
      <c r="D58" t="inlineStr">
        <is>
          <t>KALMAR LÄN</t>
        </is>
      </c>
      <c r="E58" t="inlineStr">
        <is>
          <t>VIMMERBY</t>
        </is>
      </c>
      <c r="G58" t="n">
        <v>1.9</v>
      </c>
      <c r="H58" t="n">
        <v>0</v>
      </c>
      <c r="I58" t="n">
        <v>0</v>
      </c>
      <c r="J58" t="n">
        <v>0</v>
      </c>
      <c r="K58" t="n">
        <v>0</v>
      </c>
      <c r="L58" t="n">
        <v>1</v>
      </c>
      <c r="M58" t="n">
        <v>0</v>
      </c>
      <c r="N58" t="n">
        <v>0</v>
      </c>
      <c r="O58" t="n">
        <v>1</v>
      </c>
      <c r="P58" t="n">
        <v>1</v>
      </c>
      <c r="Q58" t="n">
        <v>1</v>
      </c>
      <c r="R58" s="2" t="inlineStr">
        <is>
          <t>Ryl</t>
        </is>
      </c>
      <c r="S58">
        <f>HYPERLINK("https://klasma.github.io/Logging_0884/artfynd/A 32985-2023 artfynd.xlsx", "A 32985-2023")</f>
        <v/>
      </c>
      <c r="T58">
        <f>HYPERLINK("https://klasma.github.io/Logging_0884/kartor/A 32985-2023 karta.png", "A 32985-2023")</f>
        <v/>
      </c>
      <c r="V58">
        <f>HYPERLINK("https://klasma.github.io/Logging_0884/klagomål/A 32985-2023 FSC-klagomål.docx", "A 32985-2023")</f>
        <v/>
      </c>
      <c r="W58">
        <f>HYPERLINK("https://klasma.github.io/Logging_0884/klagomålsmail/A 32985-2023 FSC-klagomål mail.docx", "A 32985-2023")</f>
        <v/>
      </c>
      <c r="X58">
        <f>HYPERLINK("https://klasma.github.io/Logging_0884/tillsyn/A 32985-2023 tillsynsbegäran.docx", "A 32985-2023")</f>
        <v/>
      </c>
      <c r="Y58">
        <f>HYPERLINK("https://klasma.github.io/Logging_0884/tillsynsmail/A 32985-2023 tillsynsbegäran mail.docx", "A 32985-2023")</f>
        <v/>
      </c>
    </row>
    <row r="59" ht="15" customHeight="1">
      <c r="A59" t="inlineStr">
        <is>
          <t>A 44633-2023</t>
        </is>
      </c>
      <c r="B59" s="1" t="n">
        <v>45189</v>
      </c>
      <c r="C59" s="1" t="n">
        <v>45294</v>
      </c>
      <c r="D59" t="inlineStr">
        <is>
          <t>KALMAR LÄN</t>
        </is>
      </c>
      <c r="E59" t="inlineStr">
        <is>
          <t>VIMMERBY</t>
        </is>
      </c>
      <c r="G59" t="n">
        <v>2.4</v>
      </c>
      <c r="H59" t="n">
        <v>0</v>
      </c>
      <c r="I59" t="n">
        <v>1</v>
      </c>
      <c r="J59" t="n">
        <v>0</v>
      </c>
      <c r="K59" t="n">
        <v>0</v>
      </c>
      <c r="L59" t="n">
        <v>0</v>
      </c>
      <c r="M59" t="n">
        <v>0</v>
      </c>
      <c r="N59" t="n">
        <v>0</v>
      </c>
      <c r="O59" t="n">
        <v>0</v>
      </c>
      <c r="P59" t="n">
        <v>0</v>
      </c>
      <c r="Q59" t="n">
        <v>1</v>
      </c>
      <c r="R59" s="2" t="inlineStr">
        <is>
          <t>Sårläka</t>
        </is>
      </c>
      <c r="S59">
        <f>HYPERLINK("https://klasma.github.io/Logging_0884/artfynd/A 44633-2023 artfynd.xlsx", "A 44633-2023")</f>
        <v/>
      </c>
      <c r="T59">
        <f>HYPERLINK("https://klasma.github.io/Logging_0884/kartor/A 44633-2023 karta.png", "A 44633-2023")</f>
        <v/>
      </c>
      <c r="V59">
        <f>HYPERLINK("https://klasma.github.io/Logging_0884/klagomål/A 44633-2023 FSC-klagomål.docx", "A 44633-2023")</f>
        <v/>
      </c>
      <c r="W59">
        <f>HYPERLINK("https://klasma.github.io/Logging_0884/klagomålsmail/A 44633-2023 FSC-klagomål mail.docx", "A 44633-2023")</f>
        <v/>
      </c>
      <c r="X59">
        <f>HYPERLINK("https://klasma.github.io/Logging_0884/tillsyn/A 44633-2023 tillsynsbegäran.docx", "A 44633-2023")</f>
        <v/>
      </c>
      <c r="Y59">
        <f>HYPERLINK("https://klasma.github.io/Logging_0884/tillsynsmail/A 44633-2023 tillsynsbegäran mail.docx", "A 44633-2023")</f>
        <v/>
      </c>
    </row>
    <row r="60" ht="15" customHeight="1">
      <c r="A60" t="inlineStr">
        <is>
          <t>A 52301-2023</t>
        </is>
      </c>
      <c r="B60" s="1" t="n">
        <v>45224</v>
      </c>
      <c r="C60" s="1" t="n">
        <v>45294</v>
      </c>
      <c r="D60" t="inlineStr">
        <is>
          <t>KALMAR LÄN</t>
        </is>
      </c>
      <c r="E60" t="inlineStr">
        <is>
          <t>VIMMERBY</t>
        </is>
      </c>
      <c r="G60" t="n">
        <v>5.3</v>
      </c>
      <c r="H60" t="n">
        <v>0</v>
      </c>
      <c r="I60" t="n">
        <v>0</v>
      </c>
      <c r="J60" t="n">
        <v>0</v>
      </c>
      <c r="K60" t="n">
        <v>0</v>
      </c>
      <c r="L60" t="n">
        <v>1</v>
      </c>
      <c r="M60" t="n">
        <v>0</v>
      </c>
      <c r="N60" t="n">
        <v>0</v>
      </c>
      <c r="O60" t="n">
        <v>1</v>
      </c>
      <c r="P60" t="n">
        <v>1</v>
      </c>
      <c r="Q60" t="n">
        <v>1</v>
      </c>
      <c r="R60" s="2" t="inlineStr">
        <is>
          <t>Ask</t>
        </is>
      </c>
      <c r="S60">
        <f>HYPERLINK("https://klasma.github.io/Logging_0884/artfynd/A 52301-2023 artfynd.xlsx", "A 52301-2023")</f>
        <v/>
      </c>
      <c r="T60">
        <f>HYPERLINK("https://klasma.github.io/Logging_0884/kartor/A 52301-2023 karta.png", "A 52301-2023")</f>
        <v/>
      </c>
      <c r="V60">
        <f>HYPERLINK("https://klasma.github.io/Logging_0884/klagomål/A 52301-2023 FSC-klagomål.docx", "A 52301-2023")</f>
        <v/>
      </c>
      <c r="W60">
        <f>HYPERLINK("https://klasma.github.io/Logging_0884/klagomålsmail/A 52301-2023 FSC-klagomål mail.docx", "A 52301-2023")</f>
        <v/>
      </c>
      <c r="X60">
        <f>HYPERLINK("https://klasma.github.io/Logging_0884/tillsyn/A 52301-2023 tillsynsbegäran.docx", "A 52301-2023")</f>
        <v/>
      </c>
      <c r="Y60">
        <f>HYPERLINK("https://klasma.github.io/Logging_0884/tillsynsmail/A 52301-2023 tillsynsbegäran mail.docx", "A 52301-2023")</f>
        <v/>
      </c>
    </row>
    <row r="61" ht="15" customHeight="1">
      <c r="A61" t="inlineStr">
        <is>
          <t>A 57038-2023</t>
        </is>
      </c>
      <c r="B61" s="1" t="n">
        <v>45244</v>
      </c>
      <c r="C61" s="1" t="n">
        <v>45294</v>
      </c>
      <c r="D61" t="inlineStr">
        <is>
          <t>KALMAR LÄN</t>
        </is>
      </c>
      <c r="E61" t="inlineStr">
        <is>
          <t>VIMMERBY</t>
        </is>
      </c>
      <c r="G61" t="n">
        <v>4.6</v>
      </c>
      <c r="H61" t="n">
        <v>1</v>
      </c>
      <c r="I61" t="n">
        <v>0</v>
      </c>
      <c r="J61" t="n">
        <v>1</v>
      </c>
      <c r="K61" t="n">
        <v>0</v>
      </c>
      <c r="L61" t="n">
        <v>0</v>
      </c>
      <c r="M61" t="n">
        <v>0</v>
      </c>
      <c r="N61" t="n">
        <v>0</v>
      </c>
      <c r="O61" t="n">
        <v>1</v>
      </c>
      <c r="P61" t="n">
        <v>0</v>
      </c>
      <c r="Q61" t="n">
        <v>1</v>
      </c>
      <c r="R61" s="2" t="inlineStr">
        <is>
          <t>Talltita</t>
        </is>
      </c>
      <c r="S61">
        <f>HYPERLINK("https://klasma.github.io/Logging_0884/artfynd/A 57038-2023 artfynd.xlsx", "A 57038-2023")</f>
        <v/>
      </c>
      <c r="T61">
        <f>HYPERLINK("https://klasma.github.io/Logging_0884/kartor/A 57038-2023 karta.png", "A 57038-2023")</f>
        <v/>
      </c>
      <c r="V61">
        <f>HYPERLINK("https://klasma.github.io/Logging_0884/klagomål/A 57038-2023 FSC-klagomål.docx", "A 57038-2023")</f>
        <v/>
      </c>
      <c r="W61">
        <f>HYPERLINK("https://klasma.github.io/Logging_0884/klagomålsmail/A 57038-2023 FSC-klagomål mail.docx", "A 57038-2023")</f>
        <v/>
      </c>
      <c r="X61">
        <f>HYPERLINK("https://klasma.github.io/Logging_0884/tillsyn/A 57038-2023 tillsynsbegäran.docx", "A 57038-2023")</f>
        <v/>
      </c>
      <c r="Y61">
        <f>HYPERLINK("https://klasma.github.io/Logging_0884/tillsynsmail/A 57038-2023 tillsynsbegäran mail.docx", "A 57038-2023")</f>
        <v/>
      </c>
    </row>
    <row r="62" ht="15" customHeight="1">
      <c r="A62" t="inlineStr">
        <is>
          <t>A 36040-2018</t>
        </is>
      </c>
      <c r="B62" s="1" t="n">
        <v>43327</v>
      </c>
      <c r="C62" s="1" t="n">
        <v>45294</v>
      </c>
      <c r="D62" t="inlineStr">
        <is>
          <t>KALMAR LÄN</t>
        </is>
      </c>
      <c r="E62" t="inlineStr">
        <is>
          <t>VIMMERBY</t>
        </is>
      </c>
      <c r="F62" t="inlineStr">
        <is>
          <t>Kyrkan</t>
        </is>
      </c>
      <c r="G62" t="n">
        <v>2.1</v>
      </c>
      <c r="H62" t="n">
        <v>0</v>
      </c>
      <c r="I62" t="n">
        <v>0</v>
      </c>
      <c r="J62" t="n">
        <v>0</v>
      </c>
      <c r="K62" t="n">
        <v>0</v>
      </c>
      <c r="L62" t="n">
        <v>0</v>
      </c>
      <c r="M62" t="n">
        <v>0</v>
      </c>
      <c r="N62" t="n">
        <v>0</v>
      </c>
      <c r="O62" t="n">
        <v>0</v>
      </c>
      <c r="P62" t="n">
        <v>0</v>
      </c>
      <c r="Q62" t="n">
        <v>0</v>
      </c>
      <c r="R62" s="2" t="inlineStr"/>
    </row>
    <row r="63" ht="15" customHeight="1">
      <c r="A63" t="inlineStr">
        <is>
          <t>A 36047-2018</t>
        </is>
      </c>
      <c r="B63" s="1" t="n">
        <v>43327</v>
      </c>
      <c r="C63" s="1" t="n">
        <v>45294</v>
      </c>
      <c r="D63" t="inlineStr">
        <is>
          <t>KALMAR LÄN</t>
        </is>
      </c>
      <c r="E63" t="inlineStr">
        <is>
          <t>VIMMERBY</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36058-2018</t>
        </is>
      </c>
      <c r="B64" s="1" t="n">
        <v>43327</v>
      </c>
      <c r="C64" s="1" t="n">
        <v>45294</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36030-2018</t>
        </is>
      </c>
      <c r="B65" s="1" t="n">
        <v>43327</v>
      </c>
      <c r="C65" s="1" t="n">
        <v>45294</v>
      </c>
      <c r="D65" t="inlineStr">
        <is>
          <t>KALMAR LÄN</t>
        </is>
      </c>
      <c r="E65" t="inlineStr">
        <is>
          <t>VIMMERBY</t>
        </is>
      </c>
      <c r="F65" t="inlineStr">
        <is>
          <t>Kyrkan</t>
        </is>
      </c>
      <c r="G65" t="n">
        <v>0.7</v>
      </c>
      <c r="H65" t="n">
        <v>0</v>
      </c>
      <c r="I65" t="n">
        <v>0</v>
      </c>
      <c r="J65" t="n">
        <v>0</v>
      </c>
      <c r="K65" t="n">
        <v>0</v>
      </c>
      <c r="L65" t="n">
        <v>0</v>
      </c>
      <c r="M65" t="n">
        <v>0</v>
      </c>
      <c r="N65" t="n">
        <v>0</v>
      </c>
      <c r="O65" t="n">
        <v>0</v>
      </c>
      <c r="P65" t="n">
        <v>0</v>
      </c>
      <c r="Q65" t="n">
        <v>0</v>
      </c>
      <c r="R65" s="2" t="inlineStr"/>
    </row>
    <row r="66" ht="15" customHeight="1">
      <c r="A66" t="inlineStr">
        <is>
          <t>A 36060-2018</t>
        </is>
      </c>
      <c r="B66" s="1" t="n">
        <v>43327</v>
      </c>
      <c r="C66" s="1" t="n">
        <v>45294</v>
      </c>
      <c r="D66" t="inlineStr">
        <is>
          <t>KALMAR LÄN</t>
        </is>
      </c>
      <c r="E66" t="inlineStr">
        <is>
          <t>VIMMERBY</t>
        </is>
      </c>
      <c r="G66" t="n">
        <v>2.1</v>
      </c>
      <c r="H66" t="n">
        <v>0</v>
      </c>
      <c r="I66" t="n">
        <v>0</v>
      </c>
      <c r="J66" t="n">
        <v>0</v>
      </c>
      <c r="K66" t="n">
        <v>0</v>
      </c>
      <c r="L66" t="n">
        <v>0</v>
      </c>
      <c r="M66" t="n">
        <v>0</v>
      </c>
      <c r="N66" t="n">
        <v>0</v>
      </c>
      <c r="O66" t="n">
        <v>0</v>
      </c>
      <c r="P66" t="n">
        <v>0</v>
      </c>
      <c r="Q66" t="n">
        <v>0</v>
      </c>
      <c r="R66" s="2" t="inlineStr"/>
    </row>
    <row r="67" ht="15" customHeight="1">
      <c r="A67" t="inlineStr">
        <is>
          <t>A 36933-2018</t>
        </is>
      </c>
      <c r="B67" s="1" t="n">
        <v>43332</v>
      </c>
      <c r="C67" s="1" t="n">
        <v>45294</v>
      </c>
      <c r="D67" t="inlineStr">
        <is>
          <t>KALMAR LÄN</t>
        </is>
      </c>
      <c r="E67" t="inlineStr">
        <is>
          <t>VIMMERBY</t>
        </is>
      </c>
      <c r="G67" t="n">
        <v>0.9</v>
      </c>
      <c r="H67" t="n">
        <v>0</v>
      </c>
      <c r="I67" t="n">
        <v>0</v>
      </c>
      <c r="J67" t="n">
        <v>0</v>
      </c>
      <c r="K67" t="n">
        <v>0</v>
      </c>
      <c r="L67" t="n">
        <v>0</v>
      </c>
      <c r="M67" t="n">
        <v>0</v>
      </c>
      <c r="N67" t="n">
        <v>0</v>
      </c>
      <c r="O67" t="n">
        <v>0</v>
      </c>
      <c r="P67" t="n">
        <v>0</v>
      </c>
      <c r="Q67" t="n">
        <v>0</v>
      </c>
      <c r="R67" s="2" t="inlineStr"/>
    </row>
    <row r="68" ht="15" customHeight="1">
      <c r="A68" t="inlineStr">
        <is>
          <t>A 44825-2018</t>
        </is>
      </c>
      <c r="B68" s="1" t="n">
        <v>43357</v>
      </c>
      <c r="C68" s="1" t="n">
        <v>45294</v>
      </c>
      <c r="D68" t="inlineStr">
        <is>
          <t>KALMAR LÄN</t>
        </is>
      </c>
      <c r="E68" t="inlineStr">
        <is>
          <t>VIMMERBY</t>
        </is>
      </c>
      <c r="G68" t="n">
        <v>1.8</v>
      </c>
      <c r="H68" t="n">
        <v>0</v>
      </c>
      <c r="I68" t="n">
        <v>0</v>
      </c>
      <c r="J68" t="n">
        <v>0</v>
      </c>
      <c r="K68" t="n">
        <v>0</v>
      </c>
      <c r="L68" t="n">
        <v>0</v>
      </c>
      <c r="M68" t="n">
        <v>0</v>
      </c>
      <c r="N68" t="n">
        <v>0</v>
      </c>
      <c r="O68" t="n">
        <v>0</v>
      </c>
      <c r="P68" t="n">
        <v>0</v>
      </c>
      <c r="Q68" t="n">
        <v>0</v>
      </c>
      <c r="R68" s="2" t="inlineStr"/>
    </row>
    <row r="69" ht="15" customHeight="1">
      <c r="A69" t="inlineStr">
        <is>
          <t>A 46830-2018</t>
        </is>
      </c>
      <c r="B69" s="1" t="n">
        <v>43367</v>
      </c>
      <c r="C69" s="1" t="n">
        <v>45294</v>
      </c>
      <c r="D69" t="inlineStr">
        <is>
          <t>KALMAR LÄN</t>
        </is>
      </c>
      <c r="E69" t="inlineStr">
        <is>
          <t>VIMMERBY</t>
        </is>
      </c>
      <c r="G69" t="n">
        <v>1.2</v>
      </c>
      <c r="H69" t="n">
        <v>0</v>
      </c>
      <c r="I69" t="n">
        <v>0</v>
      </c>
      <c r="J69" t="n">
        <v>0</v>
      </c>
      <c r="K69" t="n">
        <v>0</v>
      </c>
      <c r="L69" t="n">
        <v>0</v>
      </c>
      <c r="M69" t="n">
        <v>0</v>
      </c>
      <c r="N69" t="n">
        <v>0</v>
      </c>
      <c r="O69" t="n">
        <v>0</v>
      </c>
      <c r="P69" t="n">
        <v>0</v>
      </c>
      <c r="Q69" t="n">
        <v>0</v>
      </c>
      <c r="R69" s="2" t="inlineStr"/>
    </row>
    <row r="70" ht="15" customHeight="1">
      <c r="A70" t="inlineStr">
        <is>
          <t>A 46665-2018</t>
        </is>
      </c>
      <c r="B70" s="1" t="n">
        <v>43368</v>
      </c>
      <c r="C70" s="1" t="n">
        <v>45294</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46663-2018</t>
        </is>
      </c>
      <c r="B71" s="1" t="n">
        <v>43368</v>
      </c>
      <c r="C71" s="1" t="n">
        <v>45294</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50198-2018</t>
        </is>
      </c>
      <c r="B72" s="1" t="n">
        <v>43377</v>
      </c>
      <c r="C72" s="1" t="n">
        <v>45294</v>
      </c>
      <c r="D72" t="inlineStr">
        <is>
          <t>KALMAR LÄN</t>
        </is>
      </c>
      <c r="E72" t="inlineStr">
        <is>
          <t>VIMMERBY</t>
        </is>
      </c>
      <c r="F72" t="inlineStr">
        <is>
          <t>Övriga statliga verk och myndigheter</t>
        </is>
      </c>
      <c r="G72" t="n">
        <v>2.2</v>
      </c>
      <c r="H72" t="n">
        <v>0</v>
      </c>
      <c r="I72" t="n">
        <v>0</v>
      </c>
      <c r="J72" t="n">
        <v>0</v>
      </c>
      <c r="K72" t="n">
        <v>0</v>
      </c>
      <c r="L72" t="n">
        <v>0</v>
      </c>
      <c r="M72" t="n">
        <v>0</v>
      </c>
      <c r="N72" t="n">
        <v>0</v>
      </c>
      <c r="O72" t="n">
        <v>0</v>
      </c>
      <c r="P72" t="n">
        <v>0</v>
      </c>
      <c r="Q72" t="n">
        <v>0</v>
      </c>
      <c r="R72" s="2" t="inlineStr"/>
    </row>
    <row r="73" ht="15" customHeight="1">
      <c r="A73" t="inlineStr">
        <is>
          <t>A 51149-2018</t>
        </is>
      </c>
      <c r="B73" s="1" t="n">
        <v>43377</v>
      </c>
      <c r="C73" s="1" t="n">
        <v>45294</v>
      </c>
      <c r="D73" t="inlineStr">
        <is>
          <t>KALMAR LÄN</t>
        </is>
      </c>
      <c r="E73" t="inlineStr">
        <is>
          <t>VIMMERBY</t>
        </is>
      </c>
      <c r="G73" t="n">
        <v>2.4</v>
      </c>
      <c r="H73" t="n">
        <v>0</v>
      </c>
      <c r="I73" t="n">
        <v>0</v>
      </c>
      <c r="J73" t="n">
        <v>0</v>
      </c>
      <c r="K73" t="n">
        <v>0</v>
      </c>
      <c r="L73" t="n">
        <v>0</v>
      </c>
      <c r="M73" t="n">
        <v>0</v>
      </c>
      <c r="N73" t="n">
        <v>0</v>
      </c>
      <c r="O73" t="n">
        <v>0</v>
      </c>
      <c r="P73" t="n">
        <v>0</v>
      </c>
      <c r="Q73" t="n">
        <v>0</v>
      </c>
      <c r="R73" s="2" t="inlineStr"/>
    </row>
    <row r="74" ht="15" customHeight="1">
      <c r="A74" t="inlineStr">
        <is>
          <t>A 51093-2018</t>
        </is>
      </c>
      <c r="B74" s="1" t="n">
        <v>43377</v>
      </c>
      <c r="C74" s="1" t="n">
        <v>45294</v>
      </c>
      <c r="D74" t="inlineStr">
        <is>
          <t>KALMAR LÄN</t>
        </is>
      </c>
      <c r="E74" t="inlineStr">
        <is>
          <t>VIMMERBY</t>
        </is>
      </c>
      <c r="G74" t="n">
        <v>0.6</v>
      </c>
      <c r="H74" t="n">
        <v>0</v>
      </c>
      <c r="I74" t="n">
        <v>0</v>
      </c>
      <c r="J74" t="n">
        <v>0</v>
      </c>
      <c r="K74" t="n">
        <v>0</v>
      </c>
      <c r="L74" t="n">
        <v>0</v>
      </c>
      <c r="M74" t="n">
        <v>0</v>
      </c>
      <c r="N74" t="n">
        <v>0</v>
      </c>
      <c r="O74" t="n">
        <v>0</v>
      </c>
      <c r="P74" t="n">
        <v>0</v>
      </c>
      <c r="Q74" t="n">
        <v>0</v>
      </c>
      <c r="R74" s="2" t="inlineStr"/>
    </row>
    <row r="75" ht="15" customHeight="1">
      <c r="A75" t="inlineStr">
        <is>
          <t>A 51172-2018</t>
        </is>
      </c>
      <c r="B75" s="1" t="n">
        <v>43382</v>
      </c>
      <c r="C75" s="1" t="n">
        <v>45294</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51791-2018</t>
        </is>
      </c>
      <c r="B76" s="1" t="n">
        <v>43384</v>
      </c>
      <c r="C76" s="1" t="n">
        <v>45294</v>
      </c>
      <c r="D76" t="inlineStr">
        <is>
          <t>KALMAR LÄN</t>
        </is>
      </c>
      <c r="E76" t="inlineStr">
        <is>
          <t>VIMMERBY</t>
        </is>
      </c>
      <c r="G76" t="n">
        <v>35.5</v>
      </c>
      <c r="H76" t="n">
        <v>0</v>
      </c>
      <c r="I76" t="n">
        <v>0</v>
      </c>
      <c r="J76" t="n">
        <v>0</v>
      </c>
      <c r="K76" t="n">
        <v>0</v>
      </c>
      <c r="L76" t="n">
        <v>0</v>
      </c>
      <c r="M76" t="n">
        <v>0</v>
      </c>
      <c r="N76" t="n">
        <v>0</v>
      </c>
      <c r="O76" t="n">
        <v>0</v>
      </c>
      <c r="P76" t="n">
        <v>0</v>
      </c>
      <c r="Q76" t="n">
        <v>0</v>
      </c>
      <c r="R76" s="2" t="inlineStr"/>
    </row>
    <row r="77" ht="15" customHeight="1">
      <c r="A77" t="inlineStr">
        <is>
          <t>A 52087-2018</t>
        </is>
      </c>
      <c r="B77" s="1" t="n">
        <v>43385</v>
      </c>
      <c r="C77" s="1" t="n">
        <v>45294</v>
      </c>
      <c r="D77" t="inlineStr">
        <is>
          <t>KALMAR LÄN</t>
        </is>
      </c>
      <c r="E77" t="inlineStr">
        <is>
          <t>VIMMERBY</t>
        </is>
      </c>
      <c r="G77" t="n">
        <v>0.7</v>
      </c>
      <c r="H77" t="n">
        <v>0</v>
      </c>
      <c r="I77" t="n">
        <v>0</v>
      </c>
      <c r="J77" t="n">
        <v>0</v>
      </c>
      <c r="K77" t="n">
        <v>0</v>
      </c>
      <c r="L77" t="n">
        <v>0</v>
      </c>
      <c r="M77" t="n">
        <v>0</v>
      </c>
      <c r="N77" t="n">
        <v>0</v>
      </c>
      <c r="O77" t="n">
        <v>0</v>
      </c>
      <c r="P77" t="n">
        <v>0</v>
      </c>
      <c r="Q77" t="n">
        <v>0</v>
      </c>
      <c r="R77" s="2" t="inlineStr"/>
    </row>
    <row r="78" ht="15" customHeight="1">
      <c r="A78" t="inlineStr">
        <is>
          <t>A 55817-2018</t>
        </is>
      </c>
      <c r="B78" s="1" t="n">
        <v>43398</v>
      </c>
      <c r="C78" s="1" t="n">
        <v>45294</v>
      </c>
      <c r="D78" t="inlineStr">
        <is>
          <t>KALMAR LÄN</t>
        </is>
      </c>
      <c r="E78" t="inlineStr">
        <is>
          <t>VIMMERBY</t>
        </is>
      </c>
      <c r="G78" t="n">
        <v>3.2</v>
      </c>
      <c r="H78" t="n">
        <v>0</v>
      </c>
      <c r="I78" t="n">
        <v>0</v>
      </c>
      <c r="J78" t="n">
        <v>0</v>
      </c>
      <c r="K78" t="n">
        <v>0</v>
      </c>
      <c r="L78" t="n">
        <v>0</v>
      </c>
      <c r="M78" t="n">
        <v>0</v>
      </c>
      <c r="N78" t="n">
        <v>0</v>
      </c>
      <c r="O78" t="n">
        <v>0</v>
      </c>
      <c r="P78" t="n">
        <v>0</v>
      </c>
      <c r="Q78" t="n">
        <v>0</v>
      </c>
      <c r="R78" s="2" t="inlineStr"/>
    </row>
    <row r="79" ht="15" customHeight="1">
      <c r="A79" t="inlineStr">
        <is>
          <t>A 55842-2018</t>
        </is>
      </c>
      <c r="B79" s="1" t="n">
        <v>43398</v>
      </c>
      <c r="C79" s="1" t="n">
        <v>45294</v>
      </c>
      <c r="D79" t="inlineStr">
        <is>
          <t>KALMAR LÄN</t>
        </is>
      </c>
      <c r="E79" t="inlineStr">
        <is>
          <t>VIMMERBY</t>
        </is>
      </c>
      <c r="G79" t="n">
        <v>5.9</v>
      </c>
      <c r="H79" t="n">
        <v>0</v>
      </c>
      <c r="I79" t="n">
        <v>0</v>
      </c>
      <c r="J79" t="n">
        <v>0</v>
      </c>
      <c r="K79" t="n">
        <v>0</v>
      </c>
      <c r="L79" t="n">
        <v>0</v>
      </c>
      <c r="M79" t="n">
        <v>0</v>
      </c>
      <c r="N79" t="n">
        <v>0</v>
      </c>
      <c r="O79" t="n">
        <v>0</v>
      </c>
      <c r="P79" t="n">
        <v>0</v>
      </c>
      <c r="Q79" t="n">
        <v>0</v>
      </c>
      <c r="R79" s="2" t="inlineStr"/>
    </row>
    <row r="80" ht="15" customHeight="1">
      <c r="A80" t="inlineStr">
        <is>
          <t>A 57145-2018</t>
        </is>
      </c>
      <c r="B80" s="1" t="n">
        <v>43403</v>
      </c>
      <c r="C80" s="1" t="n">
        <v>45294</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57029-2018</t>
        </is>
      </c>
      <c r="B81" s="1" t="n">
        <v>43403</v>
      </c>
      <c r="C81" s="1" t="n">
        <v>45294</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57503-2018</t>
        </is>
      </c>
      <c r="B82" s="1" t="n">
        <v>43404</v>
      </c>
      <c r="C82" s="1" t="n">
        <v>45294</v>
      </c>
      <c r="D82" t="inlineStr">
        <is>
          <t>KALMAR LÄN</t>
        </is>
      </c>
      <c r="E82" t="inlineStr">
        <is>
          <t>VIMMERBY</t>
        </is>
      </c>
      <c r="G82" t="n">
        <v>5.4</v>
      </c>
      <c r="H82" t="n">
        <v>0</v>
      </c>
      <c r="I82" t="n">
        <v>0</v>
      </c>
      <c r="J82" t="n">
        <v>0</v>
      </c>
      <c r="K82" t="n">
        <v>0</v>
      </c>
      <c r="L82" t="n">
        <v>0</v>
      </c>
      <c r="M82" t="n">
        <v>0</v>
      </c>
      <c r="N82" t="n">
        <v>0</v>
      </c>
      <c r="O82" t="n">
        <v>0</v>
      </c>
      <c r="P82" t="n">
        <v>0</v>
      </c>
      <c r="Q82" t="n">
        <v>0</v>
      </c>
      <c r="R82" s="2" t="inlineStr"/>
    </row>
    <row r="83" ht="15" customHeight="1">
      <c r="A83" t="inlineStr">
        <is>
          <t>A 57719-2018</t>
        </is>
      </c>
      <c r="B83" s="1" t="n">
        <v>43405</v>
      </c>
      <c r="C83" s="1" t="n">
        <v>45294</v>
      </c>
      <c r="D83" t="inlineStr">
        <is>
          <t>KALMAR LÄN</t>
        </is>
      </c>
      <c r="E83" t="inlineStr">
        <is>
          <t>VIMMERBY</t>
        </is>
      </c>
      <c r="G83" t="n">
        <v>0.6</v>
      </c>
      <c r="H83" t="n">
        <v>0</v>
      </c>
      <c r="I83" t="n">
        <v>0</v>
      </c>
      <c r="J83" t="n">
        <v>0</v>
      </c>
      <c r="K83" t="n">
        <v>0</v>
      </c>
      <c r="L83" t="n">
        <v>0</v>
      </c>
      <c r="M83" t="n">
        <v>0</v>
      </c>
      <c r="N83" t="n">
        <v>0</v>
      </c>
      <c r="O83" t="n">
        <v>0</v>
      </c>
      <c r="P83" t="n">
        <v>0</v>
      </c>
      <c r="Q83" t="n">
        <v>0</v>
      </c>
      <c r="R83" s="2" t="inlineStr"/>
    </row>
    <row r="84" ht="15" customHeight="1">
      <c r="A84" t="inlineStr">
        <is>
          <t>A 58519-2018</t>
        </is>
      </c>
      <c r="B84" s="1" t="n">
        <v>43409</v>
      </c>
      <c r="C84" s="1" t="n">
        <v>45294</v>
      </c>
      <c r="D84" t="inlineStr">
        <is>
          <t>KALMAR LÄN</t>
        </is>
      </c>
      <c r="E84" t="inlineStr">
        <is>
          <t>VIMMERBY</t>
        </is>
      </c>
      <c r="G84" t="n">
        <v>5</v>
      </c>
      <c r="H84" t="n">
        <v>0</v>
      </c>
      <c r="I84" t="n">
        <v>0</v>
      </c>
      <c r="J84" t="n">
        <v>0</v>
      </c>
      <c r="K84" t="n">
        <v>0</v>
      </c>
      <c r="L84" t="n">
        <v>0</v>
      </c>
      <c r="M84" t="n">
        <v>0</v>
      </c>
      <c r="N84" t="n">
        <v>0</v>
      </c>
      <c r="O84" t="n">
        <v>0</v>
      </c>
      <c r="P84" t="n">
        <v>0</v>
      </c>
      <c r="Q84" t="n">
        <v>0</v>
      </c>
      <c r="R84" s="2" t="inlineStr"/>
    </row>
    <row r="85" ht="15" customHeight="1">
      <c r="A85" t="inlineStr">
        <is>
          <t>A 58787-2018</t>
        </is>
      </c>
      <c r="B85" s="1" t="n">
        <v>43410</v>
      </c>
      <c r="C85" s="1" t="n">
        <v>45294</v>
      </c>
      <c r="D85" t="inlineStr">
        <is>
          <t>KALMAR LÄN</t>
        </is>
      </c>
      <c r="E85" t="inlineStr">
        <is>
          <t>VIMMERBY</t>
        </is>
      </c>
      <c r="G85" t="n">
        <v>5</v>
      </c>
      <c r="H85" t="n">
        <v>0</v>
      </c>
      <c r="I85" t="n">
        <v>0</v>
      </c>
      <c r="J85" t="n">
        <v>0</v>
      </c>
      <c r="K85" t="n">
        <v>0</v>
      </c>
      <c r="L85" t="n">
        <v>0</v>
      </c>
      <c r="M85" t="n">
        <v>0</v>
      </c>
      <c r="N85" t="n">
        <v>0</v>
      </c>
      <c r="O85" t="n">
        <v>0</v>
      </c>
      <c r="P85" t="n">
        <v>0</v>
      </c>
      <c r="Q85" t="n">
        <v>0</v>
      </c>
      <c r="R85" s="2" t="inlineStr"/>
    </row>
    <row r="86" ht="15" customHeight="1">
      <c r="A86" t="inlineStr">
        <is>
          <t>A 58834-2018</t>
        </is>
      </c>
      <c r="B86" s="1" t="n">
        <v>43410</v>
      </c>
      <c r="C86" s="1" t="n">
        <v>45294</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61688-2018</t>
        </is>
      </c>
      <c r="B87" s="1" t="n">
        <v>43413</v>
      </c>
      <c r="C87" s="1" t="n">
        <v>45294</v>
      </c>
      <c r="D87" t="inlineStr">
        <is>
          <t>KALMAR LÄN</t>
        </is>
      </c>
      <c r="E87" t="inlineStr">
        <is>
          <t>VIMMERBY</t>
        </is>
      </c>
      <c r="G87" t="n">
        <v>1.8</v>
      </c>
      <c r="H87" t="n">
        <v>0</v>
      </c>
      <c r="I87" t="n">
        <v>0</v>
      </c>
      <c r="J87" t="n">
        <v>0</v>
      </c>
      <c r="K87" t="n">
        <v>0</v>
      </c>
      <c r="L87" t="n">
        <v>0</v>
      </c>
      <c r="M87" t="n">
        <v>0</v>
      </c>
      <c r="N87" t="n">
        <v>0</v>
      </c>
      <c r="O87" t="n">
        <v>0</v>
      </c>
      <c r="P87" t="n">
        <v>0</v>
      </c>
      <c r="Q87" t="n">
        <v>0</v>
      </c>
      <c r="R87" s="2" t="inlineStr"/>
    </row>
    <row r="88" ht="15" customHeight="1">
      <c r="A88" t="inlineStr">
        <is>
          <t>A 60278-2018</t>
        </is>
      </c>
      <c r="B88" s="1" t="n">
        <v>43413</v>
      </c>
      <c r="C88" s="1" t="n">
        <v>45294</v>
      </c>
      <c r="D88" t="inlineStr">
        <is>
          <t>KALMAR LÄN</t>
        </is>
      </c>
      <c r="E88" t="inlineStr">
        <is>
          <t>VIMMERBY</t>
        </is>
      </c>
      <c r="G88" t="n">
        <v>1.8</v>
      </c>
      <c r="H88" t="n">
        <v>0</v>
      </c>
      <c r="I88" t="n">
        <v>0</v>
      </c>
      <c r="J88" t="n">
        <v>0</v>
      </c>
      <c r="K88" t="n">
        <v>0</v>
      </c>
      <c r="L88" t="n">
        <v>0</v>
      </c>
      <c r="M88" t="n">
        <v>0</v>
      </c>
      <c r="N88" t="n">
        <v>0</v>
      </c>
      <c r="O88" t="n">
        <v>0</v>
      </c>
      <c r="P88" t="n">
        <v>0</v>
      </c>
      <c r="Q88" t="n">
        <v>0</v>
      </c>
      <c r="R88" s="2" t="inlineStr"/>
    </row>
    <row r="89" ht="15" customHeight="1">
      <c r="A89" t="inlineStr">
        <is>
          <t>A 62481-2018</t>
        </is>
      </c>
      <c r="B89" s="1" t="n">
        <v>43415</v>
      </c>
      <c r="C89" s="1" t="n">
        <v>45294</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63151-2018</t>
        </is>
      </c>
      <c r="B90" s="1" t="n">
        <v>43418</v>
      </c>
      <c r="C90" s="1" t="n">
        <v>45294</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64185-2018</t>
        </is>
      </c>
      <c r="B91" s="1" t="n">
        <v>43419</v>
      </c>
      <c r="C91" s="1" t="n">
        <v>45294</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59888-2018</t>
        </is>
      </c>
      <c r="B92" s="1" t="n">
        <v>43419</v>
      </c>
      <c r="C92" s="1" t="n">
        <v>45294</v>
      </c>
      <c r="D92" t="inlineStr">
        <is>
          <t>KALMAR LÄN</t>
        </is>
      </c>
      <c r="E92" t="inlineStr">
        <is>
          <t>VIMMERBY</t>
        </is>
      </c>
      <c r="G92" t="n">
        <v>1.9</v>
      </c>
      <c r="H92" t="n">
        <v>0</v>
      </c>
      <c r="I92" t="n">
        <v>0</v>
      </c>
      <c r="J92" t="n">
        <v>0</v>
      </c>
      <c r="K92" t="n">
        <v>0</v>
      </c>
      <c r="L92" t="n">
        <v>0</v>
      </c>
      <c r="M92" t="n">
        <v>0</v>
      </c>
      <c r="N92" t="n">
        <v>0</v>
      </c>
      <c r="O92" t="n">
        <v>0</v>
      </c>
      <c r="P92" t="n">
        <v>0</v>
      </c>
      <c r="Q92" t="n">
        <v>0</v>
      </c>
      <c r="R92" s="2" t="inlineStr"/>
    </row>
    <row r="93" ht="15" customHeight="1">
      <c r="A93" t="inlineStr">
        <is>
          <t>A 64170-2018</t>
        </is>
      </c>
      <c r="B93" s="1" t="n">
        <v>43419</v>
      </c>
      <c r="C93" s="1" t="n">
        <v>45294</v>
      </c>
      <c r="D93" t="inlineStr">
        <is>
          <t>KALMAR LÄN</t>
        </is>
      </c>
      <c r="E93" t="inlineStr">
        <is>
          <t>VIMMERBY</t>
        </is>
      </c>
      <c r="G93" t="n">
        <v>2.6</v>
      </c>
      <c r="H93" t="n">
        <v>0</v>
      </c>
      <c r="I93" t="n">
        <v>0</v>
      </c>
      <c r="J93" t="n">
        <v>0</v>
      </c>
      <c r="K93" t="n">
        <v>0</v>
      </c>
      <c r="L93" t="n">
        <v>0</v>
      </c>
      <c r="M93" t="n">
        <v>0</v>
      </c>
      <c r="N93" t="n">
        <v>0</v>
      </c>
      <c r="O93" t="n">
        <v>0</v>
      </c>
      <c r="P93" t="n">
        <v>0</v>
      </c>
      <c r="Q93" t="n">
        <v>0</v>
      </c>
      <c r="R93" s="2" t="inlineStr"/>
    </row>
    <row r="94" ht="15" customHeight="1">
      <c r="A94" t="inlineStr">
        <is>
          <t>A 64175-2018</t>
        </is>
      </c>
      <c r="B94" s="1" t="n">
        <v>43419</v>
      </c>
      <c r="C94" s="1" t="n">
        <v>45294</v>
      </c>
      <c r="D94" t="inlineStr">
        <is>
          <t>KALMAR LÄN</t>
        </is>
      </c>
      <c r="E94" t="inlineStr">
        <is>
          <t>VIMMERBY</t>
        </is>
      </c>
      <c r="G94" t="n">
        <v>6.9</v>
      </c>
      <c r="H94" t="n">
        <v>0</v>
      </c>
      <c r="I94" t="n">
        <v>0</v>
      </c>
      <c r="J94" t="n">
        <v>0</v>
      </c>
      <c r="K94" t="n">
        <v>0</v>
      </c>
      <c r="L94" t="n">
        <v>0</v>
      </c>
      <c r="M94" t="n">
        <v>0</v>
      </c>
      <c r="N94" t="n">
        <v>0</v>
      </c>
      <c r="O94" t="n">
        <v>0</v>
      </c>
      <c r="P94" t="n">
        <v>0</v>
      </c>
      <c r="Q94" t="n">
        <v>0</v>
      </c>
      <c r="R94" s="2" t="inlineStr"/>
    </row>
    <row r="95" ht="15" customHeight="1">
      <c r="A95" t="inlineStr">
        <is>
          <t>A 61629-2018</t>
        </is>
      </c>
      <c r="B95" s="1" t="n">
        <v>43424</v>
      </c>
      <c r="C95" s="1" t="n">
        <v>45294</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61626-2018</t>
        </is>
      </c>
      <c r="B96" s="1" t="n">
        <v>43424</v>
      </c>
      <c r="C96" s="1" t="n">
        <v>45294</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62288-2018</t>
        </is>
      </c>
      <c r="B97" s="1" t="n">
        <v>43426</v>
      </c>
      <c r="C97" s="1" t="n">
        <v>45294</v>
      </c>
      <c r="D97" t="inlineStr">
        <is>
          <t>KALMAR LÄN</t>
        </is>
      </c>
      <c r="E97" t="inlineStr">
        <is>
          <t>VIMMERBY</t>
        </is>
      </c>
      <c r="F97" t="inlineStr">
        <is>
          <t>Kyrkan</t>
        </is>
      </c>
      <c r="G97" t="n">
        <v>3.8</v>
      </c>
      <c r="H97" t="n">
        <v>0</v>
      </c>
      <c r="I97" t="n">
        <v>0</v>
      </c>
      <c r="J97" t="n">
        <v>0</v>
      </c>
      <c r="K97" t="n">
        <v>0</v>
      </c>
      <c r="L97" t="n">
        <v>0</v>
      </c>
      <c r="M97" t="n">
        <v>0</v>
      </c>
      <c r="N97" t="n">
        <v>0</v>
      </c>
      <c r="O97" t="n">
        <v>0</v>
      </c>
      <c r="P97" t="n">
        <v>0</v>
      </c>
      <c r="Q97" t="n">
        <v>0</v>
      </c>
      <c r="R97" s="2" t="inlineStr"/>
    </row>
    <row r="98" ht="15" customHeight="1">
      <c r="A98" t="inlineStr">
        <is>
          <t>A 62601-2018</t>
        </is>
      </c>
      <c r="B98" s="1" t="n">
        <v>43426</v>
      </c>
      <c r="C98" s="1" t="n">
        <v>45294</v>
      </c>
      <c r="D98" t="inlineStr">
        <is>
          <t>KALMAR LÄN</t>
        </is>
      </c>
      <c r="E98" t="inlineStr">
        <is>
          <t>VIMMERBY</t>
        </is>
      </c>
      <c r="G98" t="n">
        <v>0.8</v>
      </c>
      <c r="H98" t="n">
        <v>0</v>
      </c>
      <c r="I98" t="n">
        <v>0</v>
      </c>
      <c r="J98" t="n">
        <v>0</v>
      </c>
      <c r="K98" t="n">
        <v>0</v>
      </c>
      <c r="L98" t="n">
        <v>0</v>
      </c>
      <c r="M98" t="n">
        <v>0</v>
      </c>
      <c r="N98" t="n">
        <v>0</v>
      </c>
      <c r="O98" t="n">
        <v>0</v>
      </c>
      <c r="P98" t="n">
        <v>0</v>
      </c>
      <c r="Q98" t="n">
        <v>0</v>
      </c>
      <c r="R98" s="2" t="inlineStr"/>
    </row>
    <row r="99" ht="15" customHeight="1">
      <c r="A99" t="inlineStr">
        <is>
          <t>A 62593-2018</t>
        </is>
      </c>
      <c r="B99" s="1" t="n">
        <v>43426</v>
      </c>
      <c r="C99" s="1" t="n">
        <v>45294</v>
      </c>
      <c r="D99" t="inlineStr">
        <is>
          <t>KALMAR LÄN</t>
        </is>
      </c>
      <c r="E99" t="inlineStr">
        <is>
          <t>VIMMERBY</t>
        </is>
      </c>
      <c r="G99" t="n">
        <v>2.3</v>
      </c>
      <c r="H99" t="n">
        <v>0</v>
      </c>
      <c r="I99" t="n">
        <v>0</v>
      </c>
      <c r="J99" t="n">
        <v>0</v>
      </c>
      <c r="K99" t="n">
        <v>0</v>
      </c>
      <c r="L99" t="n">
        <v>0</v>
      </c>
      <c r="M99" t="n">
        <v>0</v>
      </c>
      <c r="N99" t="n">
        <v>0</v>
      </c>
      <c r="O99" t="n">
        <v>0</v>
      </c>
      <c r="P99" t="n">
        <v>0</v>
      </c>
      <c r="Q99" t="n">
        <v>0</v>
      </c>
      <c r="R99" s="2" t="inlineStr"/>
    </row>
    <row r="100" ht="15" customHeight="1">
      <c r="A100" t="inlineStr">
        <is>
          <t>A 62598-2018</t>
        </is>
      </c>
      <c r="B100" s="1" t="n">
        <v>43426</v>
      </c>
      <c r="C100" s="1" t="n">
        <v>45294</v>
      </c>
      <c r="D100" t="inlineStr">
        <is>
          <t>KALMAR LÄN</t>
        </is>
      </c>
      <c r="E100" t="inlineStr">
        <is>
          <t>VIMMERBY</t>
        </is>
      </c>
      <c r="G100" t="n">
        <v>2.7</v>
      </c>
      <c r="H100" t="n">
        <v>0</v>
      </c>
      <c r="I100" t="n">
        <v>0</v>
      </c>
      <c r="J100" t="n">
        <v>0</v>
      </c>
      <c r="K100" t="n">
        <v>0</v>
      </c>
      <c r="L100" t="n">
        <v>0</v>
      </c>
      <c r="M100" t="n">
        <v>0</v>
      </c>
      <c r="N100" t="n">
        <v>0</v>
      </c>
      <c r="O100" t="n">
        <v>0</v>
      </c>
      <c r="P100" t="n">
        <v>0</v>
      </c>
      <c r="Q100" t="n">
        <v>0</v>
      </c>
      <c r="R100" s="2" t="inlineStr"/>
    </row>
    <row r="101" ht="15" customHeight="1">
      <c r="A101" t="inlineStr">
        <is>
          <t>A 62607-2018</t>
        </is>
      </c>
      <c r="B101" s="1" t="n">
        <v>43426</v>
      </c>
      <c r="C101" s="1" t="n">
        <v>45294</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66710-2018</t>
        </is>
      </c>
      <c r="B102" s="1" t="n">
        <v>43430</v>
      </c>
      <c r="C102" s="1" t="n">
        <v>45294</v>
      </c>
      <c r="D102" t="inlineStr">
        <is>
          <t>KALMAR LÄN</t>
        </is>
      </c>
      <c r="E102" t="inlineStr">
        <is>
          <t>VIMMERBY</t>
        </is>
      </c>
      <c r="G102" t="n">
        <v>1.8</v>
      </c>
      <c r="H102" t="n">
        <v>0</v>
      </c>
      <c r="I102" t="n">
        <v>0</v>
      </c>
      <c r="J102" t="n">
        <v>0</v>
      </c>
      <c r="K102" t="n">
        <v>0</v>
      </c>
      <c r="L102" t="n">
        <v>0</v>
      </c>
      <c r="M102" t="n">
        <v>0</v>
      </c>
      <c r="N102" t="n">
        <v>0</v>
      </c>
      <c r="O102" t="n">
        <v>0</v>
      </c>
      <c r="P102" t="n">
        <v>0</v>
      </c>
      <c r="Q102" t="n">
        <v>0</v>
      </c>
      <c r="R102" s="2" t="inlineStr"/>
    </row>
    <row r="103" ht="15" customHeight="1">
      <c r="A103" t="inlineStr">
        <is>
          <t>A 66718-2018</t>
        </is>
      </c>
      <c r="B103" s="1" t="n">
        <v>43430</v>
      </c>
      <c r="C103" s="1" t="n">
        <v>45294</v>
      </c>
      <c r="D103" t="inlineStr">
        <is>
          <t>KALMAR LÄN</t>
        </is>
      </c>
      <c r="E103" t="inlineStr">
        <is>
          <t>VIMMERBY</t>
        </is>
      </c>
      <c r="G103" t="n">
        <v>2.5</v>
      </c>
      <c r="H103" t="n">
        <v>0</v>
      </c>
      <c r="I103" t="n">
        <v>0</v>
      </c>
      <c r="J103" t="n">
        <v>0</v>
      </c>
      <c r="K103" t="n">
        <v>0</v>
      </c>
      <c r="L103" t="n">
        <v>0</v>
      </c>
      <c r="M103" t="n">
        <v>0</v>
      </c>
      <c r="N103" t="n">
        <v>0</v>
      </c>
      <c r="O103" t="n">
        <v>0</v>
      </c>
      <c r="P103" t="n">
        <v>0</v>
      </c>
      <c r="Q103" t="n">
        <v>0</v>
      </c>
      <c r="R103" s="2" t="inlineStr"/>
    </row>
    <row r="104" ht="15" customHeight="1">
      <c r="A104" t="inlineStr">
        <is>
          <t>A 63934-2018</t>
        </is>
      </c>
      <c r="B104" s="1" t="n">
        <v>43430</v>
      </c>
      <c r="C104" s="1" t="n">
        <v>45294</v>
      </c>
      <c r="D104" t="inlineStr">
        <is>
          <t>KALMAR LÄN</t>
        </is>
      </c>
      <c r="E104" t="inlineStr">
        <is>
          <t>VIMMERBY</t>
        </is>
      </c>
      <c r="G104" t="n">
        <v>2.9</v>
      </c>
      <c r="H104" t="n">
        <v>0</v>
      </c>
      <c r="I104" t="n">
        <v>0</v>
      </c>
      <c r="J104" t="n">
        <v>0</v>
      </c>
      <c r="K104" t="n">
        <v>0</v>
      </c>
      <c r="L104" t="n">
        <v>0</v>
      </c>
      <c r="M104" t="n">
        <v>0</v>
      </c>
      <c r="N104" t="n">
        <v>0</v>
      </c>
      <c r="O104" t="n">
        <v>0</v>
      </c>
      <c r="P104" t="n">
        <v>0</v>
      </c>
      <c r="Q104" t="n">
        <v>0</v>
      </c>
      <c r="R104" s="2" t="inlineStr"/>
    </row>
    <row r="105" ht="15" customHeight="1">
      <c r="A105" t="inlineStr">
        <is>
          <t>A 64568-2018</t>
        </is>
      </c>
      <c r="B105" s="1" t="n">
        <v>43431</v>
      </c>
      <c r="C105" s="1" t="n">
        <v>45294</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64829-2018</t>
        </is>
      </c>
      <c r="B106" s="1" t="n">
        <v>43431</v>
      </c>
      <c r="C106" s="1" t="n">
        <v>45294</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65752-2018</t>
        </is>
      </c>
      <c r="B107" s="1" t="n">
        <v>43433</v>
      </c>
      <c r="C107" s="1" t="n">
        <v>45294</v>
      </c>
      <c r="D107" t="inlineStr">
        <is>
          <t>KALMAR LÄN</t>
        </is>
      </c>
      <c r="E107" t="inlineStr">
        <is>
          <t>VIMMERBY</t>
        </is>
      </c>
      <c r="G107" t="n">
        <v>6.2</v>
      </c>
      <c r="H107" t="n">
        <v>0</v>
      </c>
      <c r="I107" t="n">
        <v>0</v>
      </c>
      <c r="J107" t="n">
        <v>0</v>
      </c>
      <c r="K107" t="n">
        <v>0</v>
      </c>
      <c r="L107" t="n">
        <v>0</v>
      </c>
      <c r="M107" t="n">
        <v>0</v>
      </c>
      <c r="N107" t="n">
        <v>0</v>
      </c>
      <c r="O107" t="n">
        <v>0</v>
      </c>
      <c r="P107" t="n">
        <v>0</v>
      </c>
      <c r="Q107" t="n">
        <v>0</v>
      </c>
      <c r="R107" s="2" t="inlineStr"/>
    </row>
    <row r="108" ht="15" customHeight="1">
      <c r="A108" t="inlineStr">
        <is>
          <t>A 66086-2018</t>
        </is>
      </c>
      <c r="B108" s="1" t="n">
        <v>43434</v>
      </c>
      <c r="C108" s="1" t="n">
        <v>45294</v>
      </c>
      <c r="D108" t="inlineStr">
        <is>
          <t>KALMAR LÄN</t>
        </is>
      </c>
      <c r="E108" t="inlineStr">
        <is>
          <t>VIMMERBY</t>
        </is>
      </c>
      <c r="G108" t="n">
        <v>14.4</v>
      </c>
      <c r="H108" t="n">
        <v>0</v>
      </c>
      <c r="I108" t="n">
        <v>0</v>
      </c>
      <c r="J108" t="n">
        <v>0</v>
      </c>
      <c r="K108" t="n">
        <v>0</v>
      </c>
      <c r="L108" t="n">
        <v>0</v>
      </c>
      <c r="M108" t="n">
        <v>0</v>
      </c>
      <c r="N108" t="n">
        <v>0</v>
      </c>
      <c r="O108" t="n">
        <v>0</v>
      </c>
      <c r="P108" t="n">
        <v>0</v>
      </c>
      <c r="Q108" t="n">
        <v>0</v>
      </c>
      <c r="R108" s="2" t="inlineStr"/>
    </row>
    <row r="109" ht="15" customHeight="1">
      <c r="A109" t="inlineStr">
        <is>
          <t>A 66114-2018</t>
        </is>
      </c>
      <c r="B109" s="1" t="n">
        <v>43434</v>
      </c>
      <c r="C109" s="1" t="n">
        <v>45294</v>
      </c>
      <c r="D109" t="inlineStr">
        <is>
          <t>KALMAR LÄN</t>
        </is>
      </c>
      <c r="E109" t="inlineStr">
        <is>
          <t>VIMMERBY</t>
        </is>
      </c>
      <c r="G109" t="n">
        <v>7.4</v>
      </c>
      <c r="H109" t="n">
        <v>0</v>
      </c>
      <c r="I109" t="n">
        <v>0</v>
      </c>
      <c r="J109" t="n">
        <v>0</v>
      </c>
      <c r="K109" t="n">
        <v>0</v>
      </c>
      <c r="L109" t="n">
        <v>0</v>
      </c>
      <c r="M109" t="n">
        <v>0</v>
      </c>
      <c r="N109" t="n">
        <v>0</v>
      </c>
      <c r="O109" t="n">
        <v>0</v>
      </c>
      <c r="P109" t="n">
        <v>0</v>
      </c>
      <c r="Q109" t="n">
        <v>0</v>
      </c>
      <c r="R109" s="2" t="inlineStr"/>
    </row>
    <row r="110" ht="15" customHeight="1">
      <c r="A110" t="inlineStr">
        <is>
          <t>A 66378-2018</t>
        </is>
      </c>
      <c r="B110" s="1" t="n">
        <v>43436</v>
      </c>
      <c r="C110" s="1" t="n">
        <v>45294</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66957-2018</t>
        </is>
      </c>
      <c r="B111" s="1" t="n">
        <v>43438</v>
      </c>
      <c r="C111" s="1" t="n">
        <v>45294</v>
      </c>
      <c r="D111" t="inlineStr">
        <is>
          <t>KALMAR LÄN</t>
        </is>
      </c>
      <c r="E111" t="inlineStr">
        <is>
          <t>VIMMERBY</t>
        </is>
      </c>
      <c r="F111" t="inlineStr">
        <is>
          <t>Sveaskog</t>
        </is>
      </c>
      <c r="G111" t="n">
        <v>2.4</v>
      </c>
      <c r="H111" t="n">
        <v>0</v>
      </c>
      <c r="I111" t="n">
        <v>0</v>
      </c>
      <c r="J111" t="n">
        <v>0</v>
      </c>
      <c r="K111" t="n">
        <v>0</v>
      </c>
      <c r="L111" t="n">
        <v>0</v>
      </c>
      <c r="M111" t="n">
        <v>0</v>
      </c>
      <c r="N111" t="n">
        <v>0</v>
      </c>
      <c r="O111" t="n">
        <v>0</v>
      </c>
      <c r="P111" t="n">
        <v>0</v>
      </c>
      <c r="Q111" t="n">
        <v>0</v>
      </c>
      <c r="R111" s="2" t="inlineStr"/>
    </row>
    <row r="112" ht="15" customHeight="1">
      <c r="A112" t="inlineStr">
        <is>
          <t>A 66954-2018</t>
        </is>
      </c>
      <c r="B112" s="1" t="n">
        <v>43438</v>
      </c>
      <c r="C112" s="1" t="n">
        <v>45294</v>
      </c>
      <c r="D112" t="inlineStr">
        <is>
          <t>KALMAR LÄN</t>
        </is>
      </c>
      <c r="E112" t="inlineStr">
        <is>
          <t>VIMMERBY</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68818-2018</t>
        </is>
      </c>
      <c r="B113" s="1" t="n">
        <v>43439</v>
      </c>
      <c r="C113" s="1" t="n">
        <v>45294</v>
      </c>
      <c r="D113" t="inlineStr">
        <is>
          <t>KALMAR LÄN</t>
        </is>
      </c>
      <c r="E113" t="inlineStr">
        <is>
          <t>VIMMERBY</t>
        </is>
      </c>
      <c r="G113" t="n">
        <v>1.8</v>
      </c>
      <c r="H113" t="n">
        <v>0</v>
      </c>
      <c r="I113" t="n">
        <v>0</v>
      </c>
      <c r="J113" t="n">
        <v>0</v>
      </c>
      <c r="K113" t="n">
        <v>0</v>
      </c>
      <c r="L113" t="n">
        <v>0</v>
      </c>
      <c r="M113" t="n">
        <v>0</v>
      </c>
      <c r="N113" t="n">
        <v>0</v>
      </c>
      <c r="O113" t="n">
        <v>0</v>
      </c>
      <c r="P113" t="n">
        <v>0</v>
      </c>
      <c r="Q113" t="n">
        <v>0</v>
      </c>
      <c r="R113" s="2" t="inlineStr"/>
    </row>
    <row r="114" ht="15" customHeight="1">
      <c r="A114" t="inlineStr">
        <is>
          <t>A 68822-2018</t>
        </is>
      </c>
      <c r="B114" s="1" t="n">
        <v>43439</v>
      </c>
      <c r="C114" s="1" t="n">
        <v>45294</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70413-2018</t>
        </is>
      </c>
      <c r="B115" s="1" t="n">
        <v>43447</v>
      </c>
      <c r="C115" s="1" t="n">
        <v>45294</v>
      </c>
      <c r="D115" t="inlineStr">
        <is>
          <t>KALMAR LÄN</t>
        </is>
      </c>
      <c r="E115" t="inlineStr">
        <is>
          <t>VIMMERBY</t>
        </is>
      </c>
      <c r="G115" t="n">
        <v>1.3</v>
      </c>
      <c r="H115" t="n">
        <v>0</v>
      </c>
      <c r="I115" t="n">
        <v>0</v>
      </c>
      <c r="J115" t="n">
        <v>0</v>
      </c>
      <c r="K115" t="n">
        <v>0</v>
      </c>
      <c r="L115" t="n">
        <v>0</v>
      </c>
      <c r="M115" t="n">
        <v>0</v>
      </c>
      <c r="N115" t="n">
        <v>0</v>
      </c>
      <c r="O115" t="n">
        <v>0</v>
      </c>
      <c r="P115" t="n">
        <v>0</v>
      </c>
      <c r="Q115" t="n">
        <v>0</v>
      </c>
      <c r="R115" s="2" t="inlineStr"/>
    </row>
    <row r="116" ht="15" customHeight="1">
      <c r="A116" t="inlineStr">
        <is>
          <t>A 70414-2018</t>
        </is>
      </c>
      <c r="B116" s="1" t="n">
        <v>43447</v>
      </c>
      <c r="C116" s="1" t="n">
        <v>45294</v>
      </c>
      <c r="D116" t="inlineStr">
        <is>
          <t>KALMAR LÄN</t>
        </is>
      </c>
      <c r="E116" t="inlineStr">
        <is>
          <t>VIMMERBY</t>
        </is>
      </c>
      <c r="G116" t="n">
        <v>1.2</v>
      </c>
      <c r="H116" t="n">
        <v>0</v>
      </c>
      <c r="I116" t="n">
        <v>0</v>
      </c>
      <c r="J116" t="n">
        <v>0</v>
      </c>
      <c r="K116" t="n">
        <v>0</v>
      </c>
      <c r="L116" t="n">
        <v>0</v>
      </c>
      <c r="M116" t="n">
        <v>0</v>
      </c>
      <c r="N116" t="n">
        <v>0</v>
      </c>
      <c r="O116" t="n">
        <v>0</v>
      </c>
      <c r="P116" t="n">
        <v>0</v>
      </c>
      <c r="Q116" t="n">
        <v>0</v>
      </c>
      <c r="R116" s="2" t="inlineStr"/>
    </row>
    <row r="117" ht="15" customHeight="1">
      <c r="A117" t="inlineStr">
        <is>
          <t>A 69857-2018</t>
        </is>
      </c>
      <c r="B117" s="1" t="n">
        <v>43447</v>
      </c>
      <c r="C117" s="1" t="n">
        <v>45294</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70563-2018</t>
        </is>
      </c>
      <c r="B118" s="1" t="n">
        <v>43451</v>
      </c>
      <c r="C118" s="1" t="n">
        <v>45294</v>
      </c>
      <c r="D118" t="inlineStr">
        <is>
          <t>KALMAR LÄN</t>
        </is>
      </c>
      <c r="E118" t="inlineStr">
        <is>
          <t>VIMMERBY</t>
        </is>
      </c>
      <c r="G118" t="n">
        <v>7.1</v>
      </c>
      <c r="H118" t="n">
        <v>0</v>
      </c>
      <c r="I118" t="n">
        <v>0</v>
      </c>
      <c r="J118" t="n">
        <v>0</v>
      </c>
      <c r="K118" t="n">
        <v>0</v>
      </c>
      <c r="L118" t="n">
        <v>0</v>
      </c>
      <c r="M118" t="n">
        <v>0</v>
      </c>
      <c r="N118" t="n">
        <v>0</v>
      </c>
      <c r="O118" t="n">
        <v>0</v>
      </c>
      <c r="P118" t="n">
        <v>0</v>
      </c>
      <c r="Q118" t="n">
        <v>0</v>
      </c>
      <c r="R118" s="2" t="inlineStr"/>
    </row>
    <row r="119" ht="15" customHeight="1">
      <c r="A119" t="inlineStr">
        <is>
          <t>A 71003-2018</t>
        </is>
      </c>
      <c r="B119" s="1" t="n">
        <v>43452</v>
      </c>
      <c r="C119" s="1" t="n">
        <v>45294</v>
      </c>
      <c r="D119" t="inlineStr">
        <is>
          <t>KALMAR LÄN</t>
        </is>
      </c>
      <c r="E119" t="inlineStr">
        <is>
          <t>VIMMERBY</t>
        </is>
      </c>
      <c r="G119" t="n">
        <v>3.8</v>
      </c>
      <c r="H119" t="n">
        <v>0</v>
      </c>
      <c r="I119" t="n">
        <v>0</v>
      </c>
      <c r="J119" t="n">
        <v>0</v>
      </c>
      <c r="K119" t="n">
        <v>0</v>
      </c>
      <c r="L119" t="n">
        <v>0</v>
      </c>
      <c r="M119" t="n">
        <v>0</v>
      </c>
      <c r="N119" t="n">
        <v>0</v>
      </c>
      <c r="O119" t="n">
        <v>0</v>
      </c>
      <c r="P119" t="n">
        <v>0</v>
      </c>
      <c r="Q119" t="n">
        <v>0</v>
      </c>
      <c r="R119" s="2" t="inlineStr"/>
    </row>
    <row r="120" ht="15" customHeight="1">
      <c r="A120" t="inlineStr">
        <is>
          <t>A 72073-2018</t>
        </is>
      </c>
      <c r="B120" s="1" t="n">
        <v>43455</v>
      </c>
      <c r="C120" s="1" t="n">
        <v>45294</v>
      </c>
      <c r="D120" t="inlineStr">
        <is>
          <t>KALMAR LÄN</t>
        </is>
      </c>
      <c r="E120" t="inlineStr">
        <is>
          <t>VIMMERBY</t>
        </is>
      </c>
      <c r="G120" t="n">
        <v>9.1</v>
      </c>
      <c r="H120" t="n">
        <v>0</v>
      </c>
      <c r="I120" t="n">
        <v>0</v>
      </c>
      <c r="J120" t="n">
        <v>0</v>
      </c>
      <c r="K120" t="n">
        <v>0</v>
      </c>
      <c r="L120" t="n">
        <v>0</v>
      </c>
      <c r="M120" t="n">
        <v>0</v>
      </c>
      <c r="N120" t="n">
        <v>0</v>
      </c>
      <c r="O120" t="n">
        <v>0</v>
      </c>
      <c r="P120" t="n">
        <v>0</v>
      </c>
      <c r="Q120" t="n">
        <v>0</v>
      </c>
      <c r="R120" s="2" t="inlineStr"/>
    </row>
    <row r="121" ht="15" customHeight="1">
      <c r="A121" t="inlineStr">
        <is>
          <t>A 1410-2019</t>
        </is>
      </c>
      <c r="B121" s="1" t="n">
        <v>43461</v>
      </c>
      <c r="C121" s="1" t="n">
        <v>45294</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72534-2018</t>
        </is>
      </c>
      <c r="B122" s="1" t="n">
        <v>43462</v>
      </c>
      <c r="C122" s="1" t="n">
        <v>45294</v>
      </c>
      <c r="D122" t="inlineStr">
        <is>
          <t>KALMAR LÄN</t>
        </is>
      </c>
      <c r="E122" t="inlineStr">
        <is>
          <t>VIMMERBY</t>
        </is>
      </c>
      <c r="G122" t="n">
        <v>8.6</v>
      </c>
      <c r="H122" t="n">
        <v>0</v>
      </c>
      <c r="I122" t="n">
        <v>0</v>
      </c>
      <c r="J122" t="n">
        <v>0</v>
      </c>
      <c r="K122" t="n">
        <v>0</v>
      </c>
      <c r="L122" t="n">
        <v>0</v>
      </c>
      <c r="M122" t="n">
        <v>0</v>
      </c>
      <c r="N122" t="n">
        <v>0</v>
      </c>
      <c r="O122" t="n">
        <v>0</v>
      </c>
      <c r="P122" t="n">
        <v>0</v>
      </c>
      <c r="Q122" t="n">
        <v>0</v>
      </c>
      <c r="R122" s="2" t="inlineStr"/>
    </row>
    <row r="123" ht="15" customHeight="1">
      <c r="A123" t="inlineStr">
        <is>
          <t>A 72568-2018</t>
        </is>
      </c>
      <c r="B123" s="1" t="n">
        <v>43462</v>
      </c>
      <c r="C123" s="1" t="n">
        <v>45294</v>
      </c>
      <c r="D123" t="inlineStr">
        <is>
          <t>KALMAR LÄN</t>
        </is>
      </c>
      <c r="E123" t="inlineStr">
        <is>
          <t>VIMMERBY</t>
        </is>
      </c>
      <c r="G123" t="n">
        <v>7.8</v>
      </c>
      <c r="H123" t="n">
        <v>0</v>
      </c>
      <c r="I123" t="n">
        <v>0</v>
      </c>
      <c r="J123" t="n">
        <v>0</v>
      </c>
      <c r="K123" t="n">
        <v>0</v>
      </c>
      <c r="L123" t="n">
        <v>0</v>
      </c>
      <c r="M123" t="n">
        <v>0</v>
      </c>
      <c r="N123" t="n">
        <v>0</v>
      </c>
      <c r="O123" t="n">
        <v>0</v>
      </c>
      <c r="P123" t="n">
        <v>0</v>
      </c>
      <c r="Q123" t="n">
        <v>0</v>
      </c>
      <c r="R123" s="2" t="inlineStr"/>
    </row>
    <row r="124" ht="15" customHeight="1">
      <c r="A124" t="inlineStr">
        <is>
          <t>A 72570-2018</t>
        </is>
      </c>
      <c r="B124" s="1" t="n">
        <v>43462</v>
      </c>
      <c r="C124" s="1" t="n">
        <v>45294</v>
      </c>
      <c r="D124" t="inlineStr">
        <is>
          <t>KALMAR LÄN</t>
        </is>
      </c>
      <c r="E124" t="inlineStr">
        <is>
          <t>VIMMERBY</t>
        </is>
      </c>
      <c r="G124" t="n">
        <v>3</v>
      </c>
      <c r="H124" t="n">
        <v>0</v>
      </c>
      <c r="I124" t="n">
        <v>0</v>
      </c>
      <c r="J124" t="n">
        <v>0</v>
      </c>
      <c r="K124" t="n">
        <v>0</v>
      </c>
      <c r="L124" t="n">
        <v>0</v>
      </c>
      <c r="M124" t="n">
        <v>0</v>
      </c>
      <c r="N124" t="n">
        <v>0</v>
      </c>
      <c r="O124" t="n">
        <v>0</v>
      </c>
      <c r="P124" t="n">
        <v>0</v>
      </c>
      <c r="Q124" t="n">
        <v>0</v>
      </c>
      <c r="R124" s="2" t="inlineStr"/>
    </row>
    <row r="125" ht="15" customHeight="1">
      <c r="A125" t="inlineStr">
        <is>
          <t>A 583-2019</t>
        </is>
      </c>
      <c r="B125" s="1" t="n">
        <v>43469</v>
      </c>
      <c r="C125" s="1" t="n">
        <v>45294</v>
      </c>
      <c r="D125" t="inlineStr">
        <is>
          <t>KALMAR LÄN</t>
        </is>
      </c>
      <c r="E125" t="inlineStr">
        <is>
          <t>VIMMERBY</t>
        </is>
      </c>
      <c r="G125" t="n">
        <v>2.9</v>
      </c>
      <c r="H125" t="n">
        <v>0</v>
      </c>
      <c r="I125" t="n">
        <v>0</v>
      </c>
      <c r="J125" t="n">
        <v>0</v>
      </c>
      <c r="K125" t="n">
        <v>0</v>
      </c>
      <c r="L125" t="n">
        <v>0</v>
      </c>
      <c r="M125" t="n">
        <v>0</v>
      </c>
      <c r="N125" t="n">
        <v>0</v>
      </c>
      <c r="O125" t="n">
        <v>0</v>
      </c>
      <c r="P125" t="n">
        <v>0</v>
      </c>
      <c r="Q125" t="n">
        <v>0</v>
      </c>
      <c r="R125" s="2" t="inlineStr"/>
    </row>
    <row r="126" ht="15" customHeight="1">
      <c r="A126" t="inlineStr">
        <is>
          <t>A 3131-2019</t>
        </is>
      </c>
      <c r="B126" s="1" t="n">
        <v>43473</v>
      </c>
      <c r="C126" s="1" t="n">
        <v>45294</v>
      </c>
      <c r="D126" t="inlineStr">
        <is>
          <t>KALMAR LÄN</t>
        </is>
      </c>
      <c r="E126" t="inlineStr">
        <is>
          <t>VIMMERBY</t>
        </is>
      </c>
      <c r="G126" t="n">
        <v>2.6</v>
      </c>
      <c r="H126" t="n">
        <v>0</v>
      </c>
      <c r="I126" t="n">
        <v>0</v>
      </c>
      <c r="J126" t="n">
        <v>0</v>
      </c>
      <c r="K126" t="n">
        <v>0</v>
      </c>
      <c r="L126" t="n">
        <v>0</v>
      </c>
      <c r="M126" t="n">
        <v>0</v>
      </c>
      <c r="N126" t="n">
        <v>0</v>
      </c>
      <c r="O126" t="n">
        <v>0</v>
      </c>
      <c r="P126" t="n">
        <v>0</v>
      </c>
      <c r="Q126" t="n">
        <v>0</v>
      </c>
      <c r="R126" s="2" t="inlineStr"/>
    </row>
    <row r="127" ht="15" customHeight="1">
      <c r="A127" t="inlineStr">
        <is>
          <t>A 1579-2019</t>
        </is>
      </c>
      <c r="B127" s="1" t="n">
        <v>43474</v>
      </c>
      <c r="C127" s="1" t="n">
        <v>45294</v>
      </c>
      <c r="D127" t="inlineStr">
        <is>
          <t>KALMAR LÄN</t>
        </is>
      </c>
      <c r="E127" t="inlineStr">
        <is>
          <t>VIMMERBY</t>
        </is>
      </c>
      <c r="G127" t="n">
        <v>2.5</v>
      </c>
      <c r="H127" t="n">
        <v>0</v>
      </c>
      <c r="I127" t="n">
        <v>0</v>
      </c>
      <c r="J127" t="n">
        <v>0</v>
      </c>
      <c r="K127" t="n">
        <v>0</v>
      </c>
      <c r="L127" t="n">
        <v>0</v>
      </c>
      <c r="M127" t="n">
        <v>0</v>
      </c>
      <c r="N127" t="n">
        <v>0</v>
      </c>
      <c r="O127" t="n">
        <v>0</v>
      </c>
      <c r="P127" t="n">
        <v>0</v>
      </c>
      <c r="Q127" t="n">
        <v>0</v>
      </c>
      <c r="R127" s="2" t="inlineStr"/>
    </row>
    <row r="128" ht="15" customHeight="1">
      <c r="A128" t="inlineStr">
        <is>
          <t>A 2170-2019</t>
        </is>
      </c>
      <c r="B128" s="1" t="n">
        <v>43475</v>
      </c>
      <c r="C128" s="1" t="n">
        <v>45294</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2165-2019</t>
        </is>
      </c>
      <c r="B129" s="1" t="n">
        <v>43475</v>
      </c>
      <c r="C129" s="1" t="n">
        <v>45294</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2112-2019</t>
        </is>
      </c>
      <c r="B130" s="1" t="n">
        <v>43475</v>
      </c>
      <c r="C130" s="1" t="n">
        <v>45294</v>
      </c>
      <c r="D130" t="inlineStr">
        <is>
          <t>KALMAR LÄN</t>
        </is>
      </c>
      <c r="E130" t="inlineStr">
        <is>
          <t>VIMMERBY</t>
        </is>
      </c>
      <c r="G130" t="n">
        <v>2.3</v>
      </c>
      <c r="H130" t="n">
        <v>0</v>
      </c>
      <c r="I130" t="n">
        <v>0</v>
      </c>
      <c r="J130" t="n">
        <v>0</v>
      </c>
      <c r="K130" t="n">
        <v>0</v>
      </c>
      <c r="L130" t="n">
        <v>0</v>
      </c>
      <c r="M130" t="n">
        <v>0</v>
      </c>
      <c r="N130" t="n">
        <v>0</v>
      </c>
      <c r="O130" t="n">
        <v>0</v>
      </c>
      <c r="P130" t="n">
        <v>0</v>
      </c>
      <c r="Q130" t="n">
        <v>0</v>
      </c>
      <c r="R130" s="2" t="inlineStr"/>
    </row>
    <row r="131" ht="15" customHeight="1">
      <c r="A131" t="inlineStr">
        <is>
          <t>A 2545-2019</t>
        </is>
      </c>
      <c r="B131" s="1" t="n">
        <v>43476</v>
      </c>
      <c r="C131" s="1" t="n">
        <v>45294</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2856-2019</t>
        </is>
      </c>
      <c r="B132" s="1" t="n">
        <v>43479</v>
      </c>
      <c r="C132" s="1" t="n">
        <v>45294</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2864-2019</t>
        </is>
      </c>
      <c r="B133" s="1" t="n">
        <v>43479</v>
      </c>
      <c r="C133" s="1" t="n">
        <v>45294</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3095-2019</t>
        </is>
      </c>
      <c r="B134" s="1" t="n">
        <v>43479</v>
      </c>
      <c r="C134" s="1" t="n">
        <v>45294</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5249-2019</t>
        </is>
      </c>
      <c r="B135" s="1" t="n">
        <v>43480</v>
      </c>
      <c r="C135" s="1" t="n">
        <v>45294</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3615-2019</t>
        </is>
      </c>
      <c r="B136" s="1" t="n">
        <v>43481</v>
      </c>
      <c r="C136" s="1" t="n">
        <v>45294</v>
      </c>
      <c r="D136" t="inlineStr">
        <is>
          <t>KALMAR LÄN</t>
        </is>
      </c>
      <c r="E136" t="inlineStr">
        <is>
          <t>VIMMERBY</t>
        </is>
      </c>
      <c r="G136" t="n">
        <v>0.7</v>
      </c>
      <c r="H136" t="n">
        <v>0</v>
      </c>
      <c r="I136" t="n">
        <v>0</v>
      </c>
      <c r="J136" t="n">
        <v>0</v>
      </c>
      <c r="K136" t="n">
        <v>0</v>
      </c>
      <c r="L136" t="n">
        <v>0</v>
      </c>
      <c r="M136" t="n">
        <v>0</v>
      </c>
      <c r="N136" t="n">
        <v>0</v>
      </c>
      <c r="O136" t="n">
        <v>0</v>
      </c>
      <c r="P136" t="n">
        <v>0</v>
      </c>
      <c r="Q136" t="n">
        <v>0</v>
      </c>
      <c r="R136" s="2" t="inlineStr"/>
    </row>
    <row r="137" ht="15" customHeight="1">
      <c r="A137" t="inlineStr">
        <is>
          <t>A 4288-2019</t>
        </is>
      </c>
      <c r="B137" s="1" t="n">
        <v>43483</v>
      </c>
      <c r="C137" s="1" t="n">
        <v>45294</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4460-2019</t>
        </is>
      </c>
      <c r="B138" s="1" t="n">
        <v>43485</v>
      </c>
      <c r="C138" s="1" t="n">
        <v>45294</v>
      </c>
      <c r="D138" t="inlineStr">
        <is>
          <t>KALMAR LÄN</t>
        </is>
      </c>
      <c r="E138" t="inlineStr">
        <is>
          <t>VIMMERBY</t>
        </is>
      </c>
      <c r="G138" t="n">
        <v>1</v>
      </c>
      <c r="H138" t="n">
        <v>0</v>
      </c>
      <c r="I138" t="n">
        <v>0</v>
      </c>
      <c r="J138" t="n">
        <v>0</v>
      </c>
      <c r="K138" t="n">
        <v>0</v>
      </c>
      <c r="L138" t="n">
        <v>0</v>
      </c>
      <c r="M138" t="n">
        <v>0</v>
      </c>
      <c r="N138" t="n">
        <v>0</v>
      </c>
      <c r="O138" t="n">
        <v>0</v>
      </c>
      <c r="P138" t="n">
        <v>0</v>
      </c>
      <c r="Q138" t="n">
        <v>0</v>
      </c>
      <c r="R138" s="2" t="inlineStr"/>
    </row>
    <row r="139" ht="15" customHeight="1">
      <c r="A139" t="inlineStr">
        <is>
          <t>A 4669-2019</t>
        </is>
      </c>
      <c r="B139" s="1" t="n">
        <v>43486</v>
      </c>
      <c r="C139" s="1" t="n">
        <v>45294</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4675-2019</t>
        </is>
      </c>
      <c r="B140" s="1" t="n">
        <v>43486</v>
      </c>
      <c r="C140" s="1" t="n">
        <v>45294</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4677-2019</t>
        </is>
      </c>
      <c r="B141" s="1" t="n">
        <v>43486</v>
      </c>
      <c r="C141" s="1" t="n">
        <v>45294</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6415-2019</t>
        </is>
      </c>
      <c r="B142" s="1" t="n">
        <v>43487</v>
      </c>
      <c r="C142" s="1" t="n">
        <v>45294</v>
      </c>
      <c r="D142" t="inlineStr">
        <is>
          <t>KALMAR LÄN</t>
        </is>
      </c>
      <c r="E142" t="inlineStr">
        <is>
          <t>VIMMERBY</t>
        </is>
      </c>
      <c r="G142" t="n">
        <v>2.3</v>
      </c>
      <c r="H142" t="n">
        <v>0</v>
      </c>
      <c r="I142" t="n">
        <v>0</v>
      </c>
      <c r="J142" t="n">
        <v>0</v>
      </c>
      <c r="K142" t="n">
        <v>0</v>
      </c>
      <c r="L142" t="n">
        <v>0</v>
      </c>
      <c r="M142" t="n">
        <v>0</v>
      </c>
      <c r="N142" t="n">
        <v>0</v>
      </c>
      <c r="O142" t="n">
        <v>0</v>
      </c>
      <c r="P142" t="n">
        <v>0</v>
      </c>
      <c r="Q142" t="n">
        <v>0</v>
      </c>
      <c r="R142" s="2" t="inlineStr"/>
    </row>
    <row r="143" ht="15" customHeight="1">
      <c r="A143" t="inlineStr">
        <is>
          <t>A 5201-2019</t>
        </is>
      </c>
      <c r="B143" s="1" t="n">
        <v>43488</v>
      </c>
      <c r="C143" s="1" t="n">
        <v>45294</v>
      </c>
      <c r="D143" t="inlineStr">
        <is>
          <t>KALMAR LÄN</t>
        </is>
      </c>
      <c r="E143" t="inlineStr">
        <is>
          <t>VIMMERBY</t>
        </is>
      </c>
      <c r="G143" t="n">
        <v>3.2</v>
      </c>
      <c r="H143" t="n">
        <v>0</v>
      </c>
      <c r="I143" t="n">
        <v>0</v>
      </c>
      <c r="J143" t="n">
        <v>0</v>
      </c>
      <c r="K143" t="n">
        <v>0</v>
      </c>
      <c r="L143" t="n">
        <v>0</v>
      </c>
      <c r="M143" t="n">
        <v>0</v>
      </c>
      <c r="N143" t="n">
        <v>0</v>
      </c>
      <c r="O143" t="n">
        <v>0</v>
      </c>
      <c r="P143" t="n">
        <v>0</v>
      </c>
      <c r="Q143" t="n">
        <v>0</v>
      </c>
      <c r="R143" s="2" t="inlineStr"/>
    </row>
    <row r="144" ht="15" customHeight="1">
      <c r="A144" t="inlineStr">
        <is>
          <t>A 5329-2019</t>
        </is>
      </c>
      <c r="B144" s="1" t="n">
        <v>43488</v>
      </c>
      <c r="C144" s="1" t="n">
        <v>45294</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5439-2019</t>
        </is>
      </c>
      <c r="B145" s="1" t="n">
        <v>43489</v>
      </c>
      <c r="C145" s="1" t="n">
        <v>45294</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5589-2019</t>
        </is>
      </c>
      <c r="B146" s="1" t="n">
        <v>43489</v>
      </c>
      <c r="C146" s="1" t="n">
        <v>45294</v>
      </c>
      <c r="D146" t="inlineStr">
        <is>
          <t>KALMAR LÄN</t>
        </is>
      </c>
      <c r="E146" t="inlineStr">
        <is>
          <t>VIMMERBY</t>
        </is>
      </c>
      <c r="G146" t="n">
        <v>4.1</v>
      </c>
      <c r="H146" t="n">
        <v>0</v>
      </c>
      <c r="I146" t="n">
        <v>0</v>
      </c>
      <c r="J146" t="n">
        <v>0</v>
      </c>
      <c r="K146" t="n">
        <v>0</v>
      </c>
      <c r="L146" t="n">
        <v>0</v>
      </c>
      <c r="M146" t="n">
        <v>0</v>
      </c>
      <c r="N146" t="n">
        <v>0</v>
      </c>
      <c r="O146" t="n">
        <v>0</v>
      </c>
      <c r="P146" t="n">
        <v>0</v>
      </c>
      <c r="Q146" t="n">
        <v>0</v>
      </c>
      <c r="R146" s="2" t="inlineStr"/>
    </row>
    <row r="147" ht="15" customHeight="1">
      <c r="A147" t="inlineStr">
        <is>
          <t>A 5637-2019</t>
        </is>
      </c>
      <c r="B147" s="1" t="n">
        <v>43489</v>
      </c>
      <c r="C147" s="1" t="n">
        <v>45294</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5453-2019</t>
        </is>
      </c>
      <c r="B148" s="1" t="n">
        <v>43489</v>
      </c>
      <c r="C148" s="1" t="n">
        <v>45294</v>
      </c>
      <c r="D148" t="inlineStr">
        <is>
          <t>KALMAR LÄN</t>
        </is>
      </c>
      <c r="E148" t="inlineStr">
        <is>
          <t>VIMMERBY</t>
        </is>
      </c>
      <c r="G148" t="n">
        <v>1.5</v>
      </c>
      <c r="H148" t="n">
        <v>0</v>
      </c>
      <c r="I148" t="n">
        <v>0</v>
      </c>
      <c r="J148" t="n">
        <v>0</v>
      </c>
      <c r="K148" t="n">
        <v>0</v>
      </c>
      <c r="L148" t="n">
        <v>0</v>
      </c>
      <c r="M148" t="n">
        <v>0</v>
      </c>
      <c r="N148" t="n">
        <v>0</v>
      </c>
      <c r="O148" t="n">
        <v>0</v>
      </c>
      <c r="P148" t="n">
        <v>0</v>
      </c>
      <c r="Q148" t="n">
        <v>0</v>
      </c>
      <c r="R148" s="2" t="inlineStr"/>
    </row>
    <row r="149" ht="15" customHeight="1">
      <c r="A149" t="inlineStr">
        <is>
          <t>A 6419-2019</t>
        </is>
      </c>
      <c r="B149" s="1" t="n">
        <v>43494</v>
      </c>
      <c r="C149" s="1" t="n">
        <v>45294</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6519-2019</t>
        </is>
      </c>
      <c r="B150" s="1" t="n">
        <v>43494</v>
      </c>
      <c r="C150" s="1" t="n">
        <v>45294</v>
      </c>
      <c r="D150" t="inlineStr">
        <is>
          <t>KALMAR LÄN</t>
        </is>
      </c>
      <c r="E150" t="inlineStr">
        <is>
          <t>VIMMERBY</t>
        </is>
      </c>
      <c r="G150" t="n">
        <v>1.6</v>
      </c>
      <c r="H150" t="n">
        <v>0</v>
      </c>
      <c r="I150" t="n">
        <v>0</v>
      </c>
      <c r="J150" t="n">
        <v>0</v>
      </c>
      <c r="K150" t="n">
        <v>0</v>
      </c>
      <c r="L150" t="n">
        <v>0</v>
      </c>
      <c r="M150" t="n">
        <v>0</v>
      </c>
      <c r="N150" t="n">
        <v>0</v>
      </c>
      <c r="O150" t="n">
        <v>0</v>
      </c>
      <c r="P150" t="n">
        <v>0</v>
      </c>
      <c r="Q150" t="n">
        <v>0</v>
      </c>
      <c r="R150" s="2" t="inlineStr"/>
    </row>
    <row r="151" ht="15" customHeight="1">
      <c r="A151" t="inlineStr">
        <is>
          <t>A 6568-2019</t>
        </is>
      </c>
      <c r="B151" s="1" t="n">
        <v>43494</v>
      </c>
      <c r="C151" s="1" t="n">
        <v>45294</v>
      </c>
      <c r="D151" t="inlineStr">
        <is>
          <t>KALMAR LÄN</t>
        </is>
      </c>
      <c r="E151" t="inlineStr">
        <is>
          <t>VIMMERBY</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6518-2019</t>
        </is>
      </c>
      <c r="B152" s="1" t="n">
        <v>43494</v>
      </c>
      <c r="C152" s="1" t="n">
        <v>45294</v>
      </c>
      <c r="D152" t="inlineStr">
        <is>
          <t>KALMAR LÄN</t>
        </is>
      </c>
      <c r="E152" t="inlineStr">
        <is>
          <t>VIMMERBY</t>
        </is>
      </c>
      <c r="G152" t="n">
        <v>1.8</v>
      </c>
      <c r="H152" t="n">
        <v>0</v>
      </c>
      <c r="I152" t="n">
        <v>0</v>
      </c>
      <c r="J152" t="n">
        <v>0</v>
      </c>
      <c r="K152" t="n">
        <v>0</v>
      </c>
      <c r="L152" t="n">
        <v>0</v>
      </c>
      <c r="M152" t="n">
        <v>0</v>
      </c>
      <c r="N152" t="n">
        <v>0</v>
      </c>
      <c r="O152" t="n">
        <v>0</v>
      </c>
      <c r="P152" t="n">
        <v>0</v>
      </c>
      <c r="Q152" t="n">
        <v>0</v>
      </c>
      <c r="R152" s="2" t="inlineStr"/>
    </row>
    <row r="153" ht="15" customHeight="1">
      <c r="A153" t="inlineStr">
        <is>
          <t>A 8644-2019</t>
        </is>
      </c>
      <c r="B153" s="1" t="n">
        <v>43501</v>
      </c>
      <c r="C153" s="1" t="n">
        <v>45294</v>
      </c>
      <c r="D153" t="inlineStr">
        <is>
          <t>KALMAR LÄN</t>
        </is>
      </c>
      <c r="E153" t="inlineStr">
        <is>
          <t>VIMMERBY</t>
        </is>
      </c>
      <c r="G153" t="n">
        <v>2.4</v>
      </c>
      <c r="H153" t="n">
        <v>0</v>
      </c>
      <c r="I153" t="n">
        <v>0</v>
      </c>
      <c r="J153" t="n">
        <v>0</v>
      </c>
      <c r="K153" t="n">
        <v>0</v>
      </c>
      <c r="L153" t="n">
        <v>0</v>
      </c>
      <c r="M153" t="n">
        <v>0</v>
      </c>
      <c r="N153" t="n">
        <v>0</v>
      </c>
      <c r="O153" t="n">
        <v>0</v>
      </c>
      <c r="P153" t="n">
        <v>0</v>
      </c>
      <c r="Q153" t="n">
        <v>0</v>
      </c>
      <c r="R153" s="2" t="inlineStr"/>
    </row>
    <row r="154" ht="15" customHeight="1">
      <c r="A154" t="inlineStr">
        <is>
          <t>A 9223-2019</t>
        </is>
      </c>
      <c r="B154" s="1" t="n">
        <v>43506</v>
      </c>
      <c r="C154" s="1" t="n">
        <v>45294</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9863-2019</t>
        </is>
      </c>
      <c r="B155" s="1" t="n">
        <v>43509</v>
      </c>
      <c r="C155" s="1" t="n">
        <v>45294</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9841-2019</t>
        </is>
      </c>
      <c r="B156" s="1" t="n">
        <v>43509</v>
      </c>
      <c r="C156" s="1" t="n">
        <v>45294</v>
      </c>
      <c r="D156" t="inlineStr">
        <is>
          <t>KALMAR LÄN</t>
        </is>
      </c>
      <c r="E156" t="inlineStr">
        <is>
          <t>VIMMERBY</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10352-2019</t>
        </is>
      </c>
      <c r="B157" s="1" t="n">
        <v>43511</v>
      </c>
      <c r="C157" s="1" t="n">
        <v>45294</v>
      </c>
      <c r="D157" t="inlineStr">
        <is>
          <t>KALMAR LÄN</t>
        </is>
      </c>
      <c r="E157" t="inlineStr">
        <is>
          <t>VIMMERBY</t>
        </is>
      </c>
      <c r="G157" t="n">
        <v>9.9</v>
      </c>
      <c r="H157" t="n">
        <v>0</v>
      </c>
      <c r="I157" t="n">
        <v>0</v>
      </c>
      <c r="J157" t="n">
        <v>0</v>
      </c>
      <c r="K157" t="n">
        <v>0</v>
      </c>
      <c r="L157" t="n">
        <v>0</v>
      </c>
      <c r="M157" t="n">
        <v>0</v>
      </c>
      <c r="N157" t="n">
        <v>0</v>
      </c>
      <c r="O157" t="n">
        <v>0</v>
      </c>
      <c r="P157" t="n">
        <v>0</v>
      </c>
      <c r="Q157" t="n">
        <v>0</v>
      </c>
      <c r="R157" s="2" t="inlineStr"/>
    </row>
    <row r="158" ht="15" customHeight="1">
      <c r="A158" t="inlineStr">
        <is>
          <t>A 10429-2019</t>
        </is>
      </c>
      <c r="B158" s="1" t="n">
        <v>43511</v>
      </c>
      <c r="C158" s="1" t="n">
        <v>45294</v>
      </c>
      <c r="D158" t="inlineStr">
        <is>
          <t>KALMAR LÄN</t>
        </is>
      </c>
      <c r="E158" t="inlineStr">
        <is>
          <t>VIMMERBY</t>
        </is>
      </c>
      <c r="G158" t="n">
        <v>4.2</v>
      </c>
      <c r="H158" t="n">
        <v>0</v>
      </c>
      <c r="I158" t="n">
        <v>0</v>
      </c>
      <c r="J158" t="n">
        <v>0</v>
      </c>
      <c r="K158" t="n">
        <v>0</v>
      </c>
      <c r="L158" t="n">
        <v>0</v>
      </c>
      <c r="M158" t="n">
        <v>0</v>
      </c>
      <c r="N158" t="n">
        <v>0</v>
      </c>
      <c r="O158" t="n">
        <v>0</v>
      </c>
      <c r="P158" t="n">
        <v>0</v>
      </c>
      <c r="Q158" t="n">
        <v>0</v>
      </c>
      <c r="R158" s="2" t="inlineStr"/>
    </row>
    <row r="159" ht="15" customHeight="1">
      <c r="A159" t="inlineStr">
        <is>
          <t>A 10354-2019</t>
        </is>
      </c>
      <c r="B159" s="1" t="n">
        <v>43511</v>
      </c>
      <c r="C159" s="1" t="n">
        <v>45294</v>
      </c>
      <c r="D159" t="inlineStr">
        <is>
          <t>KALMAR LÄN</t>
        </is>
      </c>
      <c r="E159" t="inlineStr">
        <is>
          <t>VIMMERBY</t>
        </is>
      </c>
      <c r="G159" t="n">
        <v>1.3</v>
      </c>
      <c r="H159" t="n">
        <v>0</v>
      </c>
      <c r="I159" t="n">
        <v>0</v>
      </c>
      <c r="J159" t="n">
        <v>0</v>
      </c>
      <c r="K159" t="n">
        <v>0</v>
      </c>
      <c r="L159" t="n">
        <v>0</v>
      </c>
      <c r="M159" t="n">
        <v>0</v>
      </c>
      <c r="N159" t="n">
        <v>0</v>
      </c>
      <c r="O159" t="n">
        <v>0</v>
      </c>
      <c r="P159" t="n">
        <v>0</v>
      </c>
      <c r="Q159" t="n">
        <v>0</v>
      </c>
      <c r="R159" s="2" t="inlineStr"/>
    </row>
    <row r="160" ht="15" customHeight="1">
      <c r="A160" t="inlineStr">
        <is>
          <t>A 10349-2019</t>
        </is>
      </c>
      <c r="B160" s="1" t="n">
        <v>43511</v>
      </c>
      <c r="C160" s="1" t="n">
        <v>45294</v>
      </c>
      <c r="D160" t="inlineStr">
        <is>
          <t>KALMAR LÄN</t>
        </is>
      </c>
      <c r="E160" t="inlineStr">
        <is>
          <t>VIMMERBY</t>
        </is>
      </c>
      <c r="G160" t="n">
        <v>9.1</v>
      </c>
      <c r="H160" t="n">
        <v>0</v>
      </c>
      <c r="I160" t="n">
        <v>0</v>
      </c>
      <c r="J160" t="n">
        <v>0</v>
      </c>
      <c r="K160" t="n">
        <v>0</v>
      </c>
      <c r="L160" t="n">
        <v>0</v>
      </c>
      <c r="M160" t="n">
        <v>0</v>
      </c>
      <c r="N160" t="n">
        <v>0</v>
      </c>
      <c r="O160" t="n">
        <v>0</v>
      </c>
      <c r="P160" t="n">
        <v>0</v>
      </c>
      <c r="Q160" t="n">
        <v>0</v>
      </c>
      <c r="R160" s="2" t="inlineStr"/>
    </row>
    <row r="161" ht="15" customHeight="1">
      <c r="A161" t="inlineStr">
        <is>
          <t>A 11374-2019</t>
        </is>
      </c>
      <c r="B161" s="1" t="n">
        <v>43517</v>
      </c>
      <c r="C161" s="1" t="n">
        <v>45294</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12192-2019</t>
        </is>
      </c>
      <c r="B162" s="1" t="n">
        <v>43522</v>
      </c>
      <c r="C162" s="1" t="n">
        <v>45294</v>
      </c>
      <c r="D162" t="inlineStr">
        <is>
          <t>KALMAR LÄN</t>
        </is>
      </c>
      <c r="E162" t="inlineStr">
        <is>
          <t>VIMMERBY</t>
        </is>
      </c>
      <c r="G162" t="n">
        <v>2</v>
      </c>
      <c r="H162" t="n">
        <v>0</v>
      </c>
      <c r="I162" t="n">
        <v>0</v>
      </c>
      <c r="J162" t="n">
        <v>0</v>
      </c>
      <c r="K162" t="n">
        <v>0</v>
      </c>
      <c r="L162" t="n">
        <v>0</v>
      </c>
      <c r="M162" t="n">
        <v>0</v>
      </c>
      <c r="N162" t="n">
        <v>0</v>
      </c>
      <c r="O162" t="n">
        <v>0</v>
      </c>
      <c r="P162" t="n">
        <v>0</v>
      </c>
      <c r="Q162" t="n">
        <v>0</v>
      </c>
      <c r="R162" s="2" t="inlineStr"/>
    </row>
    <row r="163" ht="15" customHeight="1">
      <c r="A163" t="inlineStr">
        <is>
          <t>A 12112-2019</t>
        </is>
      </c>
      <c r="B163" s="1" t="n">
        <v>43522</v>
      </c>
      <c r="C163" s="1" t="n">
        <v>45294</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12365-2019</t>
        </is>
      </c>
      <c r="B164" s="1" t="n">
        <v>43523</v>
      </c>
      <c r="C164" s="1" t="n">
        <v>45294</v>
      </c>
      <c r="D164" t="inlineStr">
        <is>
          <t>KALMAR LÄN</t>
        </is>
      </c>
      <c r="E164" t="inlineStr">
        <is>
          <t>VIMMERBY</t>
        </is>
      </c>
      <c r="G164" t="n">
        <v>6.1</v>
      </c>
      <c r="H164" t="n">
        <v>0</v>
      </c>
      <c r="I164" t="n">
        <v>0</v>
      </c>
      <c r="J164" t="n">
        <v>0</v>
      </c>
      <c r="K164" t="n">
        <v>0</v>
      </c>
      <c r="L164" t="n">
        <v>0</v>
      </c>
      <c r="M164" t="n">
        <v>0</v>
      </c>
      <c r="N164" t="n">
        <v>0</v>
      </c>
      <c r="O164" t="n">
        <v>0</v>
      </c>
      <c r="P164" t="n">
        <v>0</v>
      </c>
      <c r="Q164" t="n">
        <v>0</v>
      </c>
      <c r="R164" s="2" t="inlineStr"/>
    </row>
    <row r="165" ht="15" customHeight="1">
      <c r="A165" t="inlineStr">
        <is>
          <t>A 12339-2019</t>
        </is>
      </c>
      <c r="B165" s="1" t="n">
        <v>43523</v>
      </c>
      <c r="C165" s="1" t="n">
        <v>45294</v>
      </c>
      <c r="D165" t="inlineStr">
        <is>
          <t>KALMAR LÄN</t>
        </is>
      </c>
      <c r="E165" t="inlineStr">
        <is>
          <t>VIMMERBY</t>
        </is>
      </c>
      <c r="G165" t="n">
        <v>2.7</v>
      </c>
      <c r="H165" t="n">
        <v>0</v>
      </c>
      <c r="I165" t="n">
        <v>0</v>
      </c>
      <c r="J165" t="n">
        <v>0</v>
      </c>
      <c r="K165" t="n">
        <v>0</v>
      </c>
      <c r="L165" t="n">
        <v>0</v>
      </c>
      <c r="M165" t="n">
        <v>0</v>
      </c>
      <c r="N165" t="n">
        <v>0</v>
      </c>
      <c r="O165" t="n">
        <v>0</v>
      </c>
      <c r="P165" t="n">
        <v>0</v>
      </c>
      <c r="Q165" t="n">
        <v>0</v>
      </c>
      <c r="R165" s="2" t="inlineStr"/>
    </row>
    <row r="166" ht="15" customHeight="1">
      <c r="A166" t="inlineStr">
        <is>
          <t>A 12969-2019</t>
        </is>
      </c>
      <c r="B166" s="1" t="n">
        <v>43527</v>
      </c>
      <c r="C166" s="1" t="n">
        <v>45294</v>
      </c>
      <c r="D166" t="inlineStr">
        <is>
          <t>KALMAR LÄN</t>
        </is>
      </c>
      <c r="E166" t="inlineStr">
        <is>
          <t>VIMMERBY</t>
        </is>
      </c>
      <c r="G166" t="n">
        <v>1.6</v>
      </c>
      <c r="H166" t="n">
        <v>0</v>
      </c>
      <c r="I166" t="n">
        <v>0</v>
      </c>
      <c r="J166" t="n">
        <v>0</v>
      </c>
      <c r="K166" t="n">
        <v>0</v>
      </c>
      <c r="L166" t="n">
        <v>0</v>
      </c>
      <c r="M166" t="n">
        <v>0</v>
      </c>
      <c r="N166" t="n">
        <v>0</v>
      </c>
      <c r="O166" t="n">
        <v>0</v>
      </c>
      <c r="P166" t="n">
        <v>0</v>
      </c>
      <c r="Q166" t="n">
        <v>0</v>
      </c>
      <c r="R166" s="2" t="inlineStr"/>
    </row>
    <row r="167" ht="15" customHeight="1">
      <c r="A167" t="inlineStr">
        <is>
          <t>A 13135-2019</t>
        </is>
      </c>
      <c r="B167" s="1" t="n">
        <v>43528</v>
      </c>
      <c r="C167" s="1" t="n">
        <v>45294</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13178-2019</t>
        </is>
      </c>
      <c r="B168" s="1" t="n">
        <v>43528</v>
      </c>
      <c r="C168" s="1" t="n">
        <v>45294</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13797-2019</t>
        </is>
      </c>
      <c r="B169" s="1" t="n">
        <v>43530</v>
      </c>
      <c r="C169" s="1" t="n">
        <v>45294</v>
      </c>
      <c r="D169" t="inlineStr">
        <is>
          <t>KALMAR LÄN</t>
        </is>
      </c>
      <c r="E169" t="inlineStr">
        <is>
          <t>VIMMERBY</t>
        </is>
      </c>
      <c r="G169" t="n">
        <v>6.5</v>
      </c>
      <c r="H169" t="n">
        <v>0</v>
      </c>
      <c r="I169" t="n">
        <v>0</v>
      </c>
      <c r="J169" t="n">
        <v>0</v>
      </c>
      <c r="K169" t="n">
        <v>0</v>
      </c>
      <c r="L169" t="n">
        <v>0</v>
      </c>
      <c r="M169" t="n">
        <v>0</v>
      </c>
      <c r="N169" t="n">
        <v>0</v>
      </c>
      <c r="O169" t="n">
        <v>0</v>
      </c>
      <c r="P169" t="n">
        <v>0</v>
      </c>
      <c r="Q169" t="n">
        <v>0</v>
      </c>
      <c r="R169" s="2" t="inlineStr"/>
    </row>
    <row r="170" ht="15" customHeight="1">
      <c r="A170" t="inlineStr">
        <is>
          <t>A 13522-2019</t>
        </is>
      </c>
      <c r="B170" s="1" t="n">
        <v>43530</v>
      </c>
      <c r="C170" s="1" t="n">
        <v>45294</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13841-2019</t>
        </is>
      </c>
      <c r="B171" s="1" t="n">
        <v>43531</v>
      </c>
      <c r="C171" s="1" t="n">
        <v>45294</v>
      </c>
      <c r="D171" t="inlineStr">
        <is>
          <t>KALMAR LÄN</t>
        </is>
      </c>
      <c r="E171" t="inlineStr">
        <is>
          <t>VIMMERBY</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13892-2019</t>
        </is>
      </c>
      <c r="B172" s="1" t="n">
        <v>43531</v>
      </c>
      <c r="C172" s="1" t="n">
        <v>45294</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14108-2019</t>
        </is>
      </c>
      <c r="B173" s="1" t="n">
        <v>43532</v>
      </c>
      <c r="C173" s="1" t="n">
        <v>45294</v>
      </c>
      <c r="D173" t="inlineStr">
        <is>
          <t>KALMAR LÄN</t>
        </is>
      </c>
      <c r="E173" t="inlineStr">
        <is>
          <t>VIMMERBY</t>
        </is>
      </c>
      <c r="G173" t="n">
        <v>3.6</v>
      </c>
      <c r="H173" t="n">
        <v>0</v>
      </c>
      <c r="I173" t="n">
        <v>0</v>
      </c>
      <c r="J173" t="n">
        <v>0</v>
      </c>
      <c r="K173" t="n">
        <v>0</v>
      </c>
      <c r="L173" t="n">
        <v>0</v>
      </c>
      <c r="M173" t="n">
        <v>0</v>
      </c>
      <c r="N173" t="n">
        <v>0</v>
      </c>
      <c r="O173" t="n">
        <v>0</v>
      </c>
      <c r="P173" t="n">
        <v>0</v>
      </c>
      <c r="Q173" t="n">
        <v>0</v>
      </c>
      <c r="R173" s="2" t="inlineStr"/>
    </row>
    <row r="174" ht="15" customHeight="1">
      <c r="A174" t="inlineStr">
        <is>
          <t>A 14106-2019</t>
        </is>
      </c>
      <c r="B174" s="1" t="n">
        <v>43532</v>
      </c>
      <c r="C174" s="1" t="n">
        <v>45294</v>
      </c>
      <c r="D174" t="inlineStr">
        <is>
          <t>KALMAR LÄN</t>
        </is>
      </c>
      <c r="E174" t="inlineStr">
        <is>
          <t>VIMMERBY</t>
        </is>
      </c>
      <c r="G174" t="n">
        <v>2.8</v>
      </c>
      <c r="H174" t="n">
        <v>0</v>
      </c>
      <c r="I174" t="n">
        <v>0</v>
      </c>
      <c r="J174" t="n">
        <v>0</v>
      </c>
      <c r="K174" t="n">
        <v>0</v>
      </c>
      <c r="L174" t="n">
        <v>0</v>
      </c>
      <c r="M174" t="n">
        <v>0</v>
      </c>
      <c r="N174" t="n">
        <v>0</v>
      </c>
      <c r="O174" t="n">
        <v>0</v>
      </c>
      <c r="P174" t="n">
        <v>0</v>
      </c>
      <c r="Q174" t="n">
        <v>0</v>
      </c>
      <c r="R174" s="2" t="inlineStr"/>
    </row>
    <row r="175" ht="15" customHeight="1">
      <c r="A175" t="inlineStr">
        <is>
          <t>A 14102-2019</t>
        </is>
      </c>
      <c r="B175" s="1" t="n">
        <v>43532</v>
      </c>
      <c r="C175" s="1" t="n">
        <v>45294</v>
      </c>
      <c r="D175" t="inlineStr">
        <is>
          <t>KALMAR LÄN</t>
        </is>
      </c>
      <c r="E175" t="inlineStr">
        <is>
          <t>VIMMERBY</t>
        </is>
      </c>
      <c r="G175" t="n">
        <v>7.4</v>
      </c>
      <c r="H175" t="n">
        <v>0</v>
      </c>
      <c r="I175" t="n">
        <v>0</v>
      </c>
      <c r="J175" t="n">
        <v>0</v>
      </c>
      <c r="K175" t="n">
        <v>0</v>
      </c>
      <c r="L175" t="n">
        <v>0</v>
      </c>
      <c r="M175" t="n">
        <v>0</v>
      </c>
      <c r="N175" t="n">
        <v>0</v>
      </c>
      <c r="O175" t="n">
        <v>0</v>
      </c>
      <c r="P175" t="n">
        <v>0</v>
      </c>
      <c r="Q175" t="n">
        <v>0</v>
      </c>
      <c r="R175" s="2" t="inlineStr"/>
    </row>
    <row r="176" ht="15" customHeight="1">
      <c r="A176" t="inlineStr">
        <is>
          <t>A 14097-2019</t>
        </is>
      </c>
      <c r="B176" s="1" t="n">
        <v>43532</v>
      </c>
      <c r="C176" s="1" t="n">
        <v>45294</v>
      </c>
      <c r="D176" t="inlineStr">
        <is>
          <t>KALMAR LÄN</t>
        </is>
      </c>
      <c r="E176" t="inlineStr">
        <is>
          <t>VIMMERBY</t>
        </is>
      </c>
      <c r="G176" t="n">
        <v>7.5</v>
      </c>
      <c r="H176" t="n">
        <v>0</v>
      </c>
      <c r="I176" t="n">
        <v>0</v>
      </c>
      <c r="J176" t="n">
        <v>0</v>
      </c>
      <c r="K176" t="n">
        <v>0</v>
      </c>
      <c r="L176" t="n">
        <v>0</v>
      </c>
      <c r="M176" t="n">
        <v>0</v>
      </c>
      <c r="N176" t="n">
        <v>0</v>
      </c>
      <c r="O176" t="n">
        <v>0</v>
      </c>
      <c r="P176" t="n">
        <v>0</v>
      </c>
      <c r="Q176" t="n">
        <v>0</v>
      </c>
      <c r="R176" s="2" t="inlineStr"/>
    </row>
    <row r="177" ht="15" customHeight="1">
      <c r="A177" t="inlineStr">
        <is>
          <t>A 14173-2019</t>
        </is>
      </c>
      <c r="B177" s="1" t="n">
        <v>43534</v>
      </c>
      <c r="C177" s="1" t="n">
        <v>45294</v>
      </c>
      <c r="D177" t="inlineStr">
        <is>
          <t>KALMAR LÄN</t>
        </is>
      </c>
      <c r="E177" t="inlineStr">
        <is>
          <t>VIMMERBY</t>
        </is>
      </c>
      <c r="G177" t="n">
        <v>5.6</v>
      </c>
      <c r="H177" t="n">
        <v>0</v>
      </c>
      <c r="I177" t="n">
        <v>0</v>
      </c>
      <c r="J177" t="n">
        <v>0</v>
      </c>
      <c r="K177" t="n">
        <v>0</v>
      </c>
      <c r="L177" t="n">
        <v>0</v>
      </c>
      <c r="M177" t="n">
        <v>0</v>
      </c>
      <c r="N177" t="n">
        <v>0</v>
      </c>
      <c r="O177" t="n">
        <v>0</v>
      </c>
      <c r="P177" t="n">
        <v>0</v>
      </c>
      <c r="Q177" t="n">
        <v>0</v>
      </c>
      <c r="R177" s="2" t="inlineStr"/>
    </row>
    <row r="178" ht="15" customHeight="1">
      <c r="A178" t="inlineStr">
        <is>
          <t>A 14767-2019</t>
        </is>
      </c>
      <c r="B178" s="1" t="n">
        <v>43536</v>
      </c>
      <c r="C178" s="1" t="n">
        <v>45294</v>
      </c>
      <c r="D178" t="inlineStr">
        <is>
          <t>KALMAR LÄN</t>
        </is>
      </c>
      <c r="E178" t="inlineStr">
        <is>
          <t>VIMMERBY</t>
        </is>
      </c>
      <c r="G178" t="n">
        <v>4.3</v>
      </c>
      <c r="H178" t="n">
        <v>0</v>
      </c>
      <c r="I178" t="n">
        <v>0</v>
      </c>
      <c r="J178" t="n">
        <v>0</v>
      </c>
      <c r="K178" t="n">
        <v>0</v>
      </c>
      <c r="L178" t="n">
        <v>0</v>
      </c>
      <c r="M178" t="n">
        <v>0</v>
      </c>
      <c r="N178" t="n">
        <v>0</v>
      </c>
      <c r="O178" t="n">
        <v>0</v>
      </c>
      <c r="P178" t="n">
        <v>0</v>
      </c>
      <c r="Q178" t="n">
        <v>0</v>
      </c>
      <c r="R178" s="2" t="inlineStr"/>
    </row>
    <row r="179" ht="15" customHeight="1">
      <c r="A179" t="inlineStr">
        <is>
          <t>A 14500-2019</t>
        </is>
      </c>
      <c r="B179" s="1" t="n">
        <v>43537</v>
      </c>
      <c r="C179" s="1" t="n">
        <v>45294</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15264-2019</t>
        </is>
      </c>
      <c r="B180" s="1" t="n">
        <v>43539</v>
      </c>
      <c r="C180" s="1" t="n">
        <v>45294</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15261-2019</t>
        </is>
      </c>
      <c r="B181" s="1" t="n">
        <v>43539</v>
      </c>
      <c r="C181" s="1" t="n">
        <v>45294</v>
      </c>
      <c r="D181" t="inlineStr">
        <is>
          <t>KALMAR LÄN</t>
        </is>
      </c>
      <c r="E181" t="inlineStr">
        <is>
          <t>VIMMERBY</t>
        </is>
      </c>
      <c r="G181" t="n">
        <v>1.6</v>
      </c>
      <c r="H181" t="n">
        <v>0</v>
      </c>
      <c r="I181" t="n">
        <v>0</v>
      </c>
      <c r="J181" t="n">
        <v>0</v>
      </c>
      <c r="K181" t="n">
        <v>0</v>
      </c>
      <c r="L181" t="n">
        <v>0</v>
      </c>
      <c r="M181" t="n">
        <v>0</v>
      </c>
      <c r="N181" t="n">
        <v>0</v>
      </c>
      <c r="O181" t="n">
        <v>0</v>
      </c>
      <c r="P181" t="n">
        <v>0</v>
      </c>
      <c r="Q181" t="n">
        <v>0</v>
      </c>
      <c r="R181" s="2" t="inlineStr"/>
    </row>
    <row r="182" ht="15" customHeight="1">
      <c r="A182" t="inlineStr">
        <is>
          <t>A 15259-2019</t>
        </is>
      </c>
      <c r="B182" s="1" t="n">
        <v>43539</v>
      </c>
      <c r="C182" s="1" t="n">
        <v>45294</v>
      </c>
      <c r="D182" t="inlineStr">
        <is>
          <t>KALMAR LÄN</t>
        </is>
      </c>
      <c r="E182" t="inlineStr">
        <is>
          <t>VIMMERBY</t>
        </is>
      </c>
      <c r="G182" t="n">
        <v>2.9</v>
      </c>
      <c r="H182" t="n">
        <v>0</v>
      </c>
      <c r="I182" t="n">
        <v>0</v>
      </c>
      <c r="J182" t="n">
        <v>0</v>
      </c>
      <c r="K182" t="n">
        <v>0</v>
      </c>
      <c r="L182" t="n">
        <v>0</v>
      </c>
      <c r="M182" t="n">
        <v>0</v>
      </c>
      <c r="N182" t="n">
        <v>0</v>
      </c>
      <c r="O182" t="n">
        <v>0</v>
      </c>
      <c r="P182" t="n">
        <v>0</v>
      </c>
      <c r="Q182" t="n">
        <v>0</v>
      </c>
      <c r="R182" s="2" t="inlineStr"/>
    </row>
    <row r="183" ht="15" customHeight="1">
      <c r="A183" t="inlineStr">
        <is>
          <t>A 15454-2019</t>
        </is>
      </c>
      <c r="B183" s="1" t="n">
        <v>43542</v>
      </c>
      <c r="C183" s="1" t="n">
        <v>45294</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17242-2019</t>
        </is>
      </c>
      <c r="B184" s="1" t="n">
        <v>43552</v>
      </c>
      <c r="C184" s="1" t="n">
        <v>45294</v>
      </c>
      <c r="D184" t="inlineStr">
        <is>
          <t>KALMAR LÄN</t>
        </is>
      </c>
      <c r="E184" t="inlineStr">
        <is>
          <t>VIMMERBY</t>
        </is>
      </c>
      <c r="G184" t="n">
        <v>0.4</v>
      </c>
      <c r="H184" t="n">
        <v>0</v>
      </c>
      <c r="I184" t="n">
        <v>0</v>
      </c>
      <c r="J184" t="n">
        <v>0</v>
      </c>
      <c r="K184" t="n">
        <v>0</v>
      </c>
      <c r="L184" t="n">
        <v>0</v>
      </c>
      <c r="M184" t="n">
        <v>0</v>
      </c>
      <c r="N184" t="n">
        <v>0</v>
      </c>
      <c r="O184" t="n">
        <v>0</v>
      </c>
      <c r="P184" t="n">
        <v>0</v>
      </c>
      <c r="Q184" t="n">
        <v>0</v>
      </c>
      <c r="R184" s="2" t="inlineStr"/>
    </row>
    <row r="185" ht="15" customHeight="1">
      <c r="A185" t="inlineStr">
        <is>
          <t>A 17395-2019</t>
        </is>
      </c>
      <c r="B185" s="1" t="n">
        <v>43552</v>
      </c>
      <c r="C185" s="1" t="n">
        <v>45294</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17398-2019</t>
        </is>
      </c>
      <c r="B186" s="1" t="n">
        <v>43552</v>
      </c>
      <c r="C186" s="1" t="n">
        <v>45294</v>
      </c>
      <c r="D186" t="inlineStr">
        <is>
          <t>KALMAR LÄN</t>
        </is>
      </c>
      <c r="E186" t="inlineStr">
        <is>
          <t>VIMMERBY</t>
        </is>
      </c>
      <c r="G186" t="n">
        <v>3.2</v>
      </c>
      <c r="H186" t="n">
        <v>0</v>
      </c>
      <c r="I186" t="n">
        <v>0</v>
      </c>
      <c r="J186" t="n">
        <v>0</v>
      </c>
      <c r="K186" t="n">
        <v>0</v>
      </c>
      <c r="L186" t="n">
        <v>0</v>
      </c>
      <c r="M186" t="n">
        <v>0</v>
      </c>
      <c r="N186" t="n">
        <v>0</v>
      </c>
      <c r="O186" t="n">
        <v>0</v>
      </c>
      <c r="P186" t="n">
        <v>0</v>
      </c>
      <c r="Q186" t="n">
        <v>0</v>
      </c>
      <c r="R186" s="2" t="inlineStr"/>
    </row>
    <row r="187" ht="15" customHeight="1">
      <c r="A187" t="inlineStr">
        <is>
          <t>A 17394-2019</t>
        </is>
      </c>
      <c r="B187" s="1" t="n">
        <v>43552</v>
      </c>
      <c r="C187" s="1" t="n">
        <v>45294</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17397-2019</t>
        </is>
      </c>
      <c r="B188" s="1" t="n">
        <v>43552</v>
      </c>
      <c r="C188" s="1" t="n">
        <v>45294</v>
      </c>
      <c r="D188" t="inlineStr">
        <is>
          <t>KALMAR LÄN</t>
        </is>
      </c>
      <c r="E188" t="inlineStr">
        <is>
          <t>VIMMERBY</t>
        </is>
      </c>
      <c r="G188" t="n">
        <v>2.1</v>
      </c>
      <c r="H188" t="n">
        <v>0</v>
      </c>
      <c r="I188" t="n">
        <v>0</v>
      </c>
      <c r="J188" t="n">
        <v>0</v>
      </c>
      <c r="K188" t="n">
        <v>0</v>
      </c>
      <c r="L188" t="n">
        <v>0</v>
      </c>
      <c r="M188" t="n">
        <v>0</v>
      </c>
      <c r="N188" t="n">
        <v>0</v>
      </c>
      <c r="O188" t="n">
        <v>0</v>
      </c>
      <c r="P188" t="n">
        <v>0</v>
      </c>
      <c r="Q188" t="n">
        <v>0</v>
      </c>
      <c r="R188" s="2" t="inlineStr"/>
    </row>
    <row r="189" ht="15" customHeight="1">
      <c r="A189" t="inlineStr">
        <is>
          <t>A 17396-2019</t>
        </is>
      </c>
      <c r="B189" s="1" t="n">
        <v>43552</v>
      </c>
      <c r="C189" s="1" t="n">
        <v>45294</v>
      </c>
      <c r="D189" t="inlineStr">
        <is>
          <t>KALMAR LÄN</t>
        </is>
      </c>
      <c r="E189" t="inlineStr">
        <is>
          <t>VIMMERBY</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17447-2019</t>
        </is>
      </c>
      <c r="B190" s="1" t="n">
        <v>43553</v>
      </c>
      <c r="C190" s="1" t="n">
        <v>45294</v>
      </c>
      <c r="D190" t="inlineStr">
        <is>
          <t>KALMAR LÄN</t>
        </is>
      </c>
      <c r="E190" t="inlineStr">
        <is>
          <t>VIMMERBY</t>
        </is>
      </c>
      <c r="G190" t="n">
        <v>1.4</v>
      </c>
      <c r="H190" t="n">
        <v>0</v>
      </c>
      <c r="I190" t="n">
        <v>0</v>
      </c>
      <c r="J190" t="n">
        <v>0</v>
      </c>
      <c r="K190" t="n">
        <v>0</v>
      </c>
      <c r="L190" t="n">
        <v>0</v>
      </c>
      <c r="M190" t="n">
        <v>0</v>
      </c>
      <c r="N190" t="n">
        <v>0</v>
      </c>
      <c r="O190" t="n">
        <v>0</v>
      </c>
      <c r="P190" t="n">
        <v>0</v>
      </c>
      <c r="Q190" t="n">
        <v>0</v>
      </c>
      <c r="R190" s="2" t="inlineStr"/>
    </row>
    <row r="191" ht="15" customHeight="1">
      <c r="A191" t="inlineStr">
        <is>
          <t>A 18658-2019</t>
        </is>
      </c>
      <c r="B191" s="1" t="n">
        <v>43559</v>
      </c>
      <c r="C191" s="1" t="n">
        <v>45294</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18656-2019</t>
        </is>
      </c>
      <c r="B192" s="1" t="n">
        <v>43559</v>
      </c>
      <c r="C192" s="1" t="n">
        <v>45294</v>
      </c>
      <c r="D192" t="inlineStr">
        <is>
          <t>KALMAR LÄN</t>
        </is>
      </c>
      <c r="E192" t="inlineStr">
        <is>
          <t>VIMMERBY</t>
        </is>
      </c>
      <c r="G192" t="n">
        <v>2.1</v>
      </c>
      <c r="H192" t="n">
        <v>0</v>
      </c>
      <c r="I192" t="n">
        <v>0</v>
      </c>
      <c r="J192" t="n">
        <v>0</v>
      </c>
      <c r="K192" t="n">
        <v>0</v>
      </c>
      <c r="L192" t="n">
        <v>0</v>
      </c>
      <c r="M192" t="n">
        <v>0</v>
      </c>
      <c r="N192" t="n">
        <v>0</v>
      </c>
      <c r="O192" t="n">
        <v>0</v>
      </c>
      <c r="P192" t="n">
        <v>0</v>
      </c>
      <c r="Q192" t="n">
        <v>0</v>
      </c>
      <c r="R192" s="2" t="inlineStr"/>
    </row>
    <row r="193" ht="15" customHeight="1">
      <c r="A193" t="inlineStr">
        <is>
          <t>A 18755-2019</t>
        </is>
      </c>
      <c r="B193" s="1" t="n">
        <v>43560</v>
      </c>
      <c r="C193" s="1" t="n">
        <v>45294</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19057-2019</t>
        </is>
      </c>
      <c r="B194" s="1" t="n">
        <v>43563</v>
      </c>
      <c r="C194" s="1" t="n">
        <v>45294</v>
      </c>
      <c r="D194" t="inlineStr">
        <is>
          <t>KALMAR LÄN</t>
        </is>
      </c>
      <c r="E194" t="inlineStr">
        <is>
          <t>VIMMERBY</t>
        </is>
      </c>
      <c r="G194" t="n">
        <v>10.1</v>
      </c>
      <c r="H194" t="n">
        <v>0</v>
      </c>
      <c r="I194" t="n">
        <v>0</v>
      </c>
      <c r="J194" t="n">
        <v>0</v>
      </c>
      <c r="K194" t="n">
        <v>0</v>
      </c>
      <c r="L194" t="n">
        <v>0</v>
      </c>
      <c r="M194" t="n">
        <v>0</v>
      </c>
      <c r="N194" t="n">
        <v>0</v>
      </c>
      <c r="O194" t="n">
        <v>0</v>
      </c>
      <c r="P194" t="n">
        <v>0</v>
      </c>
      <c r="Q194" t="n">
        <v>0</v>
      </c>
      <c r="R194" s="2" t="inlineStr"/>
    </row>
    <row r="195" ht="15" customHeight="1">
      <c r="A195" t="inlineStr">
        <is>
          <t>A 19056-2019</t>
        </is>
      </c>
      <c r="B195" s="1" t="n">
        <v>43563</v>
      </c>
      <c r="C195" s="1" t="n">
        <v>45294</v>
      </c>
      <c r="D195" t="inlineStr">
        <is>
          <t>KALMAR LÄN</t>
        </is>
      </c>
      <c r="E195" t="inlineStr">
        <is>
          <t>VIMMERBY</t>
        </is>
      </c>
      <c r="G195" t="n">
        <v>3.2</v>
      </c>
      <c r="H195" t="n">
        <v>0</v>
      </c>
      <c r="I195" t="n">
        <v>0</v>
      </c>
      <c r="J195" t="n">
        <v>0</v>
      </c>
      <c r="K195" t="n">
        <v>0</v>
      </c>
      <c r="L195" t="n">
        <v>0</v>
      </c>
      <c r="M195" t="n">
        <v>0</v>
      </c>
      <c r="N195" t="n">
        <v>0</v>
      </c>
      <c r="O195" t="n">
        <v>0</v>
      </c>
      <c r="P195" t="n">
        <v>0</v>
      </c>
      <c r="Q195" t="n">
        <v>0</v>
      </c>
      <c r="R195" s="2" t="inlineStr"/>
    </row>
    <row r="196" ht="15" customHeight="1">
      <c r="A196" t="inlineStr">
        <is>
          <t>A 19054-2019</t>
        </is>
      </c>
      <c r="B196" s="1" t="n">
        <v>43563</v>
      </c>
      <c r="C196" s="1" t="n">
        <v>45294</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19616-2019</t>
        </is>
      </c>
      <c r="B197" s="1" t="n">
        <v>43566</v>
      </c>
      <c r="C197" s="1" t="n">
        <v>45294</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19632-2019</t>
        </is>
      </c>
      <c r="B198" s="1" t="n">
        <v>43566</v>
      </c>
      <c r="C198" s="1" t="n">
        <v>45294</v>
      </c>
      <c r="D198" t="inlineStr">
        <is>
          <t>KALMAR LÄN</t>
        </is>
      </c>
      <c r="E198" t="inlineStr">
        <is>
          <t>VIMMERBY</t>
        </is>
      </c>
      <c r="G198" t="n">
        <v>4.1</v>
      </c>
      <c r="H198" t="n">
        <v>0</v>
      </c>
      <c r="I198" t="n">
        <v>0</v>
      </c>
      <c r="J198" t="n">
        <v>0</v>
      </c>
      <c r="K198" t="n">
        <v>0</v>
      </c>
      <c r="L198" t="n">
        <v>0</v>
      </c>
      <c r="M198" t="n">
        <v>0</v>
      </c>
      <c r="N198" t="n">
        <v>0</v>
      </c>
      <c r="O198" t="n">
        <v>0</v>
      </c>
      <c r="P198" t="n">
        <v>0</v>
      </c>
      <c r="Q198" t="n">
        <v>0</v>
      </c>
      <c r="R198" s="2" t="inlineStr"/>
    </row>
    <row r="199" ht="15" customHeight="1">
      <c r="A199" t="inlineStr">
        <is>
          <t>A 19899-2019</t>
        </is>
      </c>
      <c r="B199" s="1" t="n">
        <v>43567</v>
      </c>
      <c r="C199" s="1" t="n">
        <v>45294</v>
      </c>
      <c r="D199" t="inlineStr">
        <is>
          <t>KALMAR LÄN</t>
        </is>
      </c>
      <c r="E199" t="inlineStr">
        <is>
          <t>VIMMERBY</t>
        </is>
      </c>
      <c r="F199" t="inlineStr">
        <is>
          <t>Övriga Aktiebolag</t>
        </is>
      </c>
      <c r="G199" t="n">
        <v>2.6</v>
      </c>
      <c r="H199" t="n">
        <v>0</v>
      </c>
      <c r="I199" t="n">
        <v>0</v>
      </c>
      <c r="J199" t="n">
        <v>0</v>
      </c>
      <c r="K199" t="n">
        <v>0</v>
      </c>
      <c r="L199" t="n">
        <v>0</v>
      </c>
      <c r="M199" t="n">
        <v>0</v>
      </c>
      <c r="N199" t="n">
        <v>0</v>
      </c>
      <c r="O199" t="n">
        <v>0</v>
      </c>
      <c r="P199" t="n">
        <v>0</v>
      </c>
      <c r="Q199" t="n">
        <v>0</v>
      </c>
      <c r="R199" s="2" t="inlineStr"/>
    </row>
    <row r="200" ht="15" customHeight="1">
      <c r="A200" t="inlineStr">
        <is>
          <t>A 20035-2019</t>
        </is>
      </c>
      <c r="B200" s="1" t="n">
        <v>43570</v>
      </c>
      <c r="C200" s="1" t="n">
        <v>45294</v>
      </c>
      <c r="D200" t="inlineStr">
        <is>
          <t>KALMAR LÄN</t>
        </is>
      </c>
      <c r="E200" t="inlineStr">
        <is>
          <t>VIMMERBY</t>
        </is>
      </c>
      <c r="G200" t="n">
        <v>1.5</v>
      </c>
      <c r="H200" t="n">
        <v>0</v>
      </c>
      <c r="I200" t="n">
        <v>0</v>
      </c>
      <c r="J200" t="n">
        <v>0</v>
      </c>
      <c r="K200" t="n">
        <v>0</v>
      </c>
      <c r="L200" t="n">
        <v>0</v>
      </c>
      <c r="M200" t="n">
        <v>0</v>
      </c>
      <c r="N200" t="n">
        <v>0</v>
      </c>
      <c r="O200" t="n">
        <v>0</v>
      </c>
      <c r="P200" t="n">
        <v>0</v>
      </c>
      <c r="Q200" t="n">
        <v>0</v>
      </c>
      <c r="R200" s="2" t="inlineStr"/>
    </row>
    <row r="201" ht="15" customHeight="1">
      <c r="A201" t="inlineStr">
        <is>
          <t>A 19983-2019</t>
        </is>
      </c>
      <c r="B201" s="1" t="n">
        <v>43570</v>
      </c>
      <c r="C201" s="1" t="n">
        <v>45294</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20080-2019</t>
        </is>
      </c>
      <c r="B202" s="1" t="n">
        <v>43570</v>
      </c>
      <c r="C202" s="1" t="n">
        <v>45294</v>
      </c>
      <c r="D202" t="inlineStr">
        <is>
          <t>KALMAR LÄN</t>
        </is>
      </c>
      <c r="E202" t="inlineStr">
        <is>
          <t>VIMMERBY</t>
        </is>
      </c>
      <c r="G202" t="n">
        <v>1.5</v>
      </c>
      <c r="H202" t="n">
        <v>0</v>
      </c>
      <c r="I202" t="n">
        <v>0</v>
      </c>
      <c r="J202" t="n">
        <v>0</v>
      </c>
      <c r="K202" t="n">
        <v>0</v>
      </c>
      <c r="L202" t="n">
        <v>0</v>
      </c>
      <c r="M202" t="n">
        <v>0</v>
      </c>
      <c r="N202" t="n">
        <v>0</v>
      </c>
      <c r="O202" t="n">
        <v>0</v>
      </c>
      <c r="P202" t="n">
        <v>0</v>
      </c>
      <c r="Q202" t="n">
        <v>0</v>
      </c>
      <c r="R202" s="2" t="inlineStr"/>
    </row>
    <row r="203" ht="15" customHeight="1">
      <c r="A203" t="inlineStr">
        <is>
          <t>A 20069-2019</t>
        </is>
      </c>
      <c r="B203" s="1" t="n">
        <v>43570</v>
      </c>
      <c r="C203" s="1" t="n">
        <v>45294</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20314-2019</t>
        </is>
      </c>
      <c r="B204" s="1" t="n">
        <v>43571</v>
      </c>
      <c r="C204" s="1" t="n">
        <v>45294</v>
      </c>
      <c r="D204" t="inlineStr">
        <is>
          <t>KALMAR LÄN</t>
        </is>
      </c>
      <c r="E204" t="inlineStr">
        <is>
          <t>VIMMERBY</t>
        </is>
      </c>
      <c r="G204" t="n">
        <v>2.2</v>
      </c>
      <c r="H204" t="n">
        <v>0</v>
      </c>
      <c r="I204" t="n">
        <v>0</v>
      </c>
      <c r="J204" t="n">
        <v>0</v>
      </c>
      <c r="K204" t="n">
        <v>0</v>
      </c>
      <c r="L204" t="n">
        <v>0</v>
      </c>
      <c r="M204" t="n">
        <v>0</v>
      </c>
      <c r="N204" t="n">
        <v>0</v>
      </c>
      <c r="O204" t="n">
        <v>0</v>
      </c>
      <c r="P204" t="n">
        <v>0</v>
      </c>
      <c r="Q204" t="n">
        <v>0</v>
      </c>
      <c r="R204" s="2" t="inlineStr"/>
    </row>
    <row r="205" ht="15" customHeight="1">
      <c r="A205" t="inlineStr">
        <is>
          <t>A 20312-2019</t>
        </is>
      </c>
      <c r="B205" s="1" t="n">
        <v>43571</v>
      </c>
      <c r="C205" s="1" t="n">
        <v>45294</v>
      </c>
      <c r="D205" t="inlineStr">
        <is>
          <t>KALMAR LÄN</t>
        </is>
      </c>
      <c r="E205" t="inlineStr">
        <is>
          <t>VIMMERBY</t>
        </is>
      </c>
      <c r="G205" t="n">
        <v>4.2</v>
      </c>
      <c r="H205" t="n">
        <v>0</v>
      </c>
      <c r="I205" t="n">
        <v>0</v>
      </c>
      <c r="J205" t="n">
        <v>0</v>
      </c>
      <c r="K205" t="n">
        <v>0</v>
      </c>
      <c r="L205" t="n">
        <v>0</v>
      </c>
      <c r="M205" t="n">
        <v>0</v>
      </c>
      <c r="N205" t="n">
        <v>0</v>
      </c>
      <c r="O205" t="n">
        <v>0</v>
      </c>
      <c r="P205" t="n">
        <v>0</v>
      </c>
      <c r="Q205" t="n">
        <v>0</v>
      </c>
      <c r="R205" s="2" t="inlineStr"/>
    </row>
    <row r="206" ht="15" customHeight="1">
      <c r="A206" t="inlineStr">
        <is>
          <t>A 20565-2019</t>
        </is>
      </c>
      <c r="B206" s="1" t="n">
        <v>43572</v>
      </c>
      <c r="C206" s="1" t="n">
        <v>45294</v>
      </c>
      <c r="D206" t="inlineStr">
        <is>
          <t>KALMAR LÄN</t>
        </is>
      </c>
      <c r="E206" t="inlineStr">
        <is>
          <t>VIMMERBY</t>
        </is>
      </c>
      <c r="G206" t="n">
        <v>5.5</v>
      </c>
      <c r="H206" t="n">
        <v>0</v>
      </c>
      <c r="I206" t="n">
        <v>0</v>
      </c>
      <c r="J206" t="n">
        <v>0</v>
      </c>
      <c r="K206" t="n">
        <v>0</v>
      </c>
      <c r="L206" t="n">
        <v>0</v>
      </c>
      <c r="M206" t="n">
        <v>0</v>
      </c>
      <c r="N206" t="n">
        <v>0</v>
      </c>
      <c r="O206" t="n">
        <v>0</v>
      </c>
      <c r="P206" t="n">
        <v>0</v>
      </c>
      <c r="Q206" t="n">
        <v>0</v>
      </c>
      <c r="R206" s="2" t="inlineStr"/>
    </row>
    <row r="207" ht="15" customHeight="1">
      <c r="A207" t="inlineStr">
        <is>
          <t>A 20856-2019</t>
        </is>
      </c>
      <c r="B207" s="1" t="n">
        <v>43578</v>
      </c>
      <c r="C207" s="1" t="n">
        <v>45294</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21557-2019</t>
        </is>
      </c>
      <c r="B208" s="1" t="n">
        <v>43580</v>
      </c>
      <c r="C208" s="1" t="n">
        <v>45294</v>
      </c>
      <c r="D208" t="inlineStr">
        <is>
          <t>KALMAR LÄN</t>
        </is>
      </c>
      <c r="E208" t="inlineStr">
        <is>
          <t>VIMMERBY</t>
        </is>
      </c>
      <c r="G208" t="n">
        <v>13.8</v>
      </c>
      <c r="H208" t="n">
        <v>0</v>
      </c>
      <c r="I208" t="n">
        <v>0</v>
      </c>
      <c r="J208" t="n">
        <v>0</v>
      </c>
      <c r="K208" t="n">
        <v>0</v>
      </c>
      <c r="L208" t="n">
        <v>0</v>
      </c>
      <c r="M208" t="n">
        <v>0</v>
      </c>
      <c r="N208" t="n">
        <v>0</v>
      </c>
      <c r="O208" t="n">
        <v>0</v>
      </c>
      <c r="P208" t="n">
        <v>0</v>
      </c>
      <c r="Q208" t="n">
        <v>0</v>
      </c>
      <c r="R208" s="2" t="inlineStr"/>
    </row>
    <row r="209" ht="15" customHeight="1">
      <c r="A209" t="inlineStr">
        <is>
          <t>A 21500-2019</t>
        </is>
      </c>
      <c r="B209" s="1" t="n">
        <v>43580</v>
      </c>
      <c r="C209" s="1" t="n">
        <v>45294</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21688-2019</t>
        </is>
      </c>
      <c r="B210" s="1" t="n">
        <v>43581</v>
      </c>
      <c r="C210" s="1" t="n">
        <v>45294</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22372-2019</t>
        </is>
      </c>
      <c r="B211" s="1" t="n">
        <v>43587</v>
      </c>
      <c r="C211" s="1" t="n">
        <v>45294</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22659-2019</t>
        </is>
      </c>
      <c r="B212" s="1" t="n">
        <v>43588</v>
      </c>
      <c r="C212" s="1" t="n">
        <v>45294</v>
      </c>
      <c r="D212" t="inlineStr">
        <is>
          <t>KALMAR LÄN</t>
        </is>
      </c>
      <c r="E212" t="inlineStr">
        <is>
          <t>VIMMERBY</t>
        </is>
      </c>
      <c r="G212" t="n">
        <v>3.5</v>
      </c>
      <c r="H212" t="n">
        <v>0</v>
      </c>
      <c r="I212" t="n">
        <v>0</v>
      </c>
      <c r="J212" t="n">
        <v>0</v>
      </c>
      <c r="K212" t="n">
        <v>0</v>
      </c>
      <c r="L212" t="n">
        <v>0</v>
      </c>
      <c r="M212" t="n">
        <v>0</v>
      </c>
      <c r="N212" t="n">
        <v>0</v>
      </c>
      <c r="O212" t="n">
        <v>0</v>
      </c>
      <c r="P212" t="n">
        <v>0</v>
      </c>
      <c r="Q212" t="n">
        <v>0</v>
      </c>
      <c r="R212" s="2" t="inlineStr"/>
    </row>
    <row r="213" ht="15" customHeight="1">
      <c r="A213" t="inlineStr">
        <is>
          <t>A 23498-2019</t>
        </is>
      </c>
      <c r="B213" s="1" t="n">
        <v>43593</v>
      </c>
      <c r="C213" s="1" t="n">
        <v>45294</v>
      </c>
      <c r="D213" t="inlineStr">
        <is>
          <t>KALMAR LÄN</t>
        </is>
      </c>
      <c r="E213" t="inlineStr">
        <is>
          <t>VIMMERBY</t>
        </is>
      </c>
      <c r="G213" t="n">
        <v>1.9</v>
      </c>
      <c r="H213" t="n">
        <v>0</v>
      </c>
      <c r="I213" t="n">
        <v>0</v>
      </c>
      <c r="J213" t="n">
        <v>0</v>
      </c>
      <c r="K213" t="n">
        <v>0</v>
      </c>
      <c r="L213" t="n">
        <v>0</v>
      </c>
      <c r="M213" t="n">
        <v>0</v>
      </c>
      <c r="N213" t="n">
        <v>0</v>
      </c>
      <c r="O213" t="n">
        <v>0</v>
      </c>
      <c r="P213" t="n">
        <v>0</v>
      </c>
      <c r="Q213" t="n">
        <v>0</v>
      </c>
      <c r="R213" s="2" t="inlineStr"/>
    </row>
    <row r="214" ht="15" customHeight="1">
      <c r="A214" t="inlineStr">
        <is>
          <t>A 24254-2019</t>
        </is>
      </c>
      <c r="B214" s="1" t="n">
        <v>43599</v>
      </c>
      <c r="C214" s="1" t="n">
        <v>45294</v>
      </c>
      <c r="D214" t="inlineStr">
        <is>
          <t>KALMAR LÄN</t>
        </is>
      </c>
      <c r="E214" t="inlineStr">
        <is>
          <t>VIMMERBY</t>
        </is>
      </c>
      <c r="G214" t="n">
        <v>1.7</v>
      </c>
      <c r="H214" t="n">
        <v>0</v>
      </c>
      <c r="I214" t="n">
        <v>0</v>
      </c>
      <c r="J214" t="n">
        <v>0</v>
      </c>
      <c r="K214" t="n">
        <v>0</v>
      </c>
      <c r="L214" t="n">
        <v>0</v>
      </c>
      <c r="M214" t="n">
        <v>0</v>
      </c>
      <c r="N214" t="n">
        <v>0</v>
      </c>
      <c r="O214" t="n">
        <v>0</v>
      </c>
      <c r="P214" t="n">
        <v>0</v>
      </c>
      <c r="Q214" t="n">
        <v>0</v>
      </c>
      <c r="R214" s="2" t="inlineStr"/>
    </row>
    <row r="215" ht="15" customHeight="1">
      <c r="A215" t="inlineStr">
        <is>
          <t>A 24937-2019</t>
        </is>
      </c>
      <c r="B215" s="1" t="n">
        <v>43602</v>
      </c>
      <c r="C215" s="1" t="n">
        <v>45294</v>
      </c>
      <c r="D215" t="inlineStr">
        <is>
          <t>KALMAR LÄN</t>
        </is>
      </c>
      <c r="E215" t="inlineStr">
        <is>
          <t>VIMMERBY</t>
        </is>
      </c>
      <c r="G215" t="n">
        <v>0.9</v>
      </c>
      <c r="H215" t="n">
        <v>0</v>
      </c>
      <c r="I215" t="n">
        <v>0</v>
      </c>
      <c r="J215" t="n">
        <v>0</v>
      </c>
      <c r="K215" t="n">
        <v>0</v>
      </c>
      <c r="L215" t="n">
        <v>0</v>
      </c>
      <c r="M215" t="n">
        <v>0</v>
      </c>
      <c r="N215" t="n">
        <v>0</v>
      </c>
      <c r="O215" t="n">
        <v>0</v>
      </c>
      <c r="P215" t="n">
        <v>0</v>
      </c>
      <c r="Q215" t="n">
        <v>0</v>
      </c>
      <c r="R215" s="2" t="inlineStr"/>
    </row>
    <row r="216" ht="15" customHeight="1">
      <c r="A216" t="inlineStr">
        <is>
          <t>A 26073-2019</t>
        </is>
      </c>
      <c r="B216" s="1" t="n">
        <v>43609</v>
      </c>
      <c r="C216" s="1" t="n">
        <v>45294</v>
      </c>
      <c r="D216" t="inlineStr">
        <is>
          <t>KALMAR LÄN</t>
        </is>
      </c>
      <c r="E216" t="inlineStr">
        <is>
          <t>VIMMERBY</t>
        </is>
      </c>
      <c r="G216" t="n">
        <v>0.4</v>
      </c>
      <c r="H216" t="n">
        <v>0</v>
      </c>
      <c r="I216" t="n">
        <v>0</v>
      </c>
      <c r="J216" t="n">
        <v>0</v>
      </c>
      <c r="K216" t="n">
        <v>0</v>
      </c>
      <c r="L216" t="n">
        <v>0</v>
      </c>
      <c r="M216" t="n">
        <v>0</v>
      </c>
      <c r="N216" t="n">
        <v>0</v>
      </c>
      <c r="O216" t="n">
        <v>0</v>
      </c>
      <c r="P216" t="n">
        <v>0</v>
      </c>
      <c r="Q216" t="n">
        <v>0</v>
      </c>
      <c r="R216" s="2" t="inlineStr"/>
    </row>
    <row r="217" ht="15" customHeight="1">
      <c r="A217" t="inlineStr">
        <is>
          <t>A 26660-2019</t>
        </is>
      </c>
      <c r="B217" s="1" t="n">
        <v>43613</v>
      </c>
      <c r="C217" s="1" t="n">
        <v>45294</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28013-2019</t>
        </is>
      </c>
      <c r="B218" s="1" t="n">
        <v>43621</v>
      </c>
      <c r="C218" s="1" t="n">
        <v>45294</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28348-2019</t>
        </is>
      </c>
      <c r="B219" s="1" t="n">
        <v>43624</v>
      </c>
      <c r="C219" s="1" t="n">
        <v>45294</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28414-2019</t>
        </is>
      </c>
      <c r="B220" s="1" t="n">
        <v>43626</v>
      </c>
      <c r="C220" s="1" t="n">
        <v>45294</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29004-2019</t>
        </is>
      </c>
      <c r="B221" s="1" t="n">
        <v>43628</v>
      </c>
      <c r="C221" s="1" t="n">
        <v>45294</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29228-2019</t>
        </is>
      </c>
      <c r="B222" s="1" t="n">
        <v>43629</v>
      </c>
      <c r="C222" s="1" t="n">
        <v>45294</v>
      </c>
      <c r="D222" t="inlineStr">
        <is>
          <t>KALMAR LÄN</t>
        </is>
      </c>
      <c r="E222" t="inlineStr">
        <is>
          <t>VIMMERBY</t>
        </is>
      </c>
      <c r="G222" t="n">
        <v>3.5</v>
      </c>
      <c r="H222" t="n">
        <v>0</v>
      </c>
      <c r="I222" t="n">
        <v>0</v>
      </c>
      <c r="J222" t="n">
        <v>0</v>
      </c>
      <c r="K222" t="n">
        <v>0</v>
      </c>
      <c r="L222" t="n">
        <v>0</v>
      </c>
      <c r="M222" t="n">
        <v>0</v>
      </c>
      <c r="N222" t="n">
        <v>0</v>
      </c>
      <c r="O222" t="n">
        <v>0</v>
      </c>
      <c r="P222" t="n">
        <v>0</v>
      </c>
      <c r="Q222" t="n">
        <v>0</v>
      </c>
      <c r="R222" s="2" t="inlineStr"/>
    </row>
    <row r="223" ht="15" customHeight="1">
      <c r="A223" t="inlineStr">
        <is>
          <t>A 29408-2019</t>
        </is>
      </c>
      <c r="B223" s="1" t="n">
        <v>43629</v>
      </c>
      <c r="C223" s="1" t="n">
        <v>45294</v>
      </c>
      <c r="D223" t="inlineStr">
        <is>
          <t>KALMAR LÄN</t>
        </is>
      </c>
      <c r="E223" t="inlineStr">
        <is>
          <t>VIMMERBY</t>
        </is>
      </c>
      <c r="G223" t="n">
        <v>10.2</v>
      </c>
      <c r="H223" t="n">
        <v>0</v>
      </c>
      <c r="I223" t="n">
        <v>0</v>
      </c>
      <c r="J223" t="n">
        <v>0</v>
      </c>
      <c r="K223" t="n">
        <v>0</v>
      </c>
      <c r="L223" t="n">
        <v>0</v>
      </c>
      <c r="M223" t="n">
        <v>0</v>
      </c>
      <c r="N223" t="n">
        <v>0</v>
      </c>
      <c r="O223" t="n">
        <v>0</v>
      </c>
      <c r="P223" t="n">
        <v>0</v>
      </c>
      <c r="Q223" t="n">
        <v>0</v>
      </c>
      <c r="R223" s="2" t="inlineStr"/>
    </row>
    <row r="224" ht="15" customHeight="1">
      <c r="A224" t="inlineStr">
        <is>
          <t>A 29693-2019</t>
        </is>
      </c>
      <c r="B224" s="1" t="n">
        <v>43630</v>
      </c>
      <c r="C224" s="1" t="n">
        <v>45294</v>
      </c>
      <c r="D224" t="inlineStr">
        <is>
          <t>KALMAR LÄN</t>
        </is>
      </c>
      <c r="E224" t="inlineStr">
        <is>
          <t>VIMMERBY</t>
        </is>
      </c>
      <c r="G224" t="n">
        <v>2.1</v>
      </c>
      <c r="H224" t="n">
        <v>0</v>
      </c>
      <c r="I224" t="n">
        <v>0</v>
      </c>
      <c r="J224" t="n">
        <v>0</v>
      </c>
      <c r="K224" t="n">
        <v>0</v>
      </c>
      <c r="L224" t="n">
        <v>0</v>
      </c>
      <c r="M224" t="n">
        <v>0</v>
      </c>
      <c r="N224" t="n">
        <v>0</v>
      </c>
      <c r="O224" t="n">
        <v>0</v>
      </c>
      <c r="P224" t="n">
        <v>0</v>
      </c>
      <c r="Q224" t="n">
        <v>0</v>
      </c>
      <c r="R224" s="2" t="inlineStr"/>
    </row>
    <row r="225" ht="15" customHeight="1">
      <c r="A225" t="inlineStr">
        <is>
          <t>A 29675-2019</t>
        </is>
      </c>
      <c r="B225" s="1" t="n">
        <v>43630</v>
      </c>
      <c r="C225" s="1" t="n">
        <v>45294</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29775-2019</t>
        </is>
      </c>
      <c r="B226" s="1" t="n">
        <v>43632</v>
      </c>
      <c r="C226" s="1" t="n">
        <v>45294</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29773-2019</t>
        </is>
      </c>
      <c r="B227" s="1" t="n">
        <v>43632</v>
      </c>
      <c r="C227" s="1" t="n">
        <v>45294</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31027-2019</t>
        </is>
      </c>
      <c r="B228" s="1" t="n">
        <v>43636</v>
      </c>
      <c r="C228" s="1" t="n">
        <v>45294</v>
      </c>
      <c r="D228" t="inlineStr">
        <is>
          <t>KALMAR LÄN</t>
        </is>
      </c>
      <c r="E228" t="inlineStr">
        <is>
          <t>VIMMERBY</t>
        </is>
      </c>
      <c r="F228" t="inlineStr">
        <is>
          <t>Övriga statliga verk och myndigheter</t>
        </is>
      </c>
      <c r="G228" t="n">
        <v>0.5</v>
      </c>
      <c r="H228" t="n">
        <v>0</v>
      </c>
      <c r="I228" t="n">
        <v>0</v>
      </c>
      <c r="J228" t="n">
        <v>0</v>
      </c>
      <c r="K228" t="n">
        <v>0</v>
      </c>
      <c r="L228" t="n">
        <v>0</v>
      </c>
      <c r="M228" t="n">
        <v>0</v>
      </c>
      <c r="N228" t="n">
        <v>0</v>
      </c>
      <c r="O228" t="n">
        <v>0</v>
      </c>
      <c r="P228" t="n">
        <v>0</v>
      </c>
      <c r="Q228" t="n">
        <v>0</v>
      </c>
      <c r="R228" s="2" t="inlineStr"/>
    </row>
    <row r="229" ht="15" customHeight="1">
      <c r="A229" t="inlineStr">
        <is>
          <t>A 30994-2019</t>
        </is>
      </c>
      <c r="B229" s="1" t="n">
        <v>43640</v>
      </c>
      <c r="C229" s="1" t="n">
        <v>45294</v>
      </c>
      <c r="D229" t="inlineStr">
        <is>
          <t>KALMAR LÄN</t>
        </is>
      </c>
      <c r="E229" t="inlineStr">
        <is>
          <t>VIMMERBY</t>
        </is>
      </c>
      <c r="G229" t="n">
        <v>1.7</v>
      </c>
      <c r="H229" t="n">
        <v>0</v>
      </c>
      <c r="I229" t="n">
        <v>0</v>
      </c>
      <c r="J229" t="n">
        <v>0</v>
      </c>
      <c r="K229" t="n">
        <v>0</v>
      </c>
      <c r="L229" t="n">
        <v>0</v>
      </c>
      <c r="M229" t="n">
        <v>0</v>
      </c>
      <c r="N229" t="n">
        <v>0</v>
      </c>
      <c r="O229" t="n">
        <v>0</v>
      </c>
      <c r="P229" t="n">
        <v>0</v>
      </c>
      <c r="Q229" t="n">
        <v>0</v>
      </c>
      <c r="R229" s="2" t="inlineStr"/>
    </row>
    <row r="230" ht="15" customHeight="1">
      <c r="A230" t="inlineStr">
        <is>
          <t>A 31859-2019</t>
        </is>
      </c>
      <c r="B230" s="1" t="n">
        <v>43642</v>
      </c>
      <c r="C230" s="1" t="n">
        <v>45294</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32911-2019</t>
        </is>
      </c>
      <c r="B231" s="1" t="n">
        <v>43648</v>
      </c>
      <c r="C231" s="1" t="n">
        <v>45294</v>
      </c>
      <c r="D231" t="inlineStr">
        <is>
          <t>KALMAR LÄN</t>
        </is>
      </c>
      <c r="E231" t="inlineStr">
        <is>
          <t>VIMMERBY</t>
        </is>
      </c>
      <c r="G231" t="n">
        <v>5</v>
      </c>
      <c r="H231" t="n">
        <v>0</v>
      </c>
      <c r="I231" t="n">
        <v>0</v>
      </c>
      <c r="J231" t="n">
        <v>0</v>
      </c>
      <c r="K231" t="n">
        <v>0</v>
      </c>
      <c r="L231" t="n">
        <v>0</v>
      </c>
      <c r="M231" t="n">
        <v>0</v>
      </c>
      <c r="N231" t="n">
        <v>0</v>
      </c>
      <c r="O231" t="n">
        <v>0</v>
      </c>
      <c r="P231" t="n">
        <v>0</v>
      </c>
      <c r="Q231" t="n">
        <v>0</v>
      </c>
      <c r="R231" s="2" t="inlineStr"/>
    </row>
    <row r="232" ht="15" customHeight="1">
      <c r="A232" t="inlineStr">
        <is>
          <t>A 32924-2019</t>
        </is>
      </c>
      <c r="B232" s="1" t="n">
        <v>43648</v>
      </c>
      <c r="C232" s="1" t="n">
        <v>45294</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32918-2019</t>
        </is>
      </c>
      <c r="B233" s="1" t="n">
        <v>43648</v>
      </c>
      <c r="C233" s="1" t="n">
        <v>45294</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32910-2019</t>
        </is>
      </c>
      <c r="B234" s="1" t="n">
        <v>43648</v>
      </c>
      <c r="C234" s="1" t="n">
        <v>45294</v>
      </c>
      <c r="D234" t="inlineStr">
        <is>
          <t>KALMAR LÄN</t>
        </is>
      </c>
      <c r="E234" t="inlineStr">
        <is>
          <t>VIMMERBY</t>
        </is>
      </c>
      <c r="G234" t="n">
        <v>6</v>
      </c>
      <c r="H234" t="n">
        <v>0</v>
      </c>
      <c r="I234" t="n">
        <v>0</v>
      </c>
      <c r="J234" t="n">
        <v>0</v>
      </c>
      <c r="K234" t="n">
        <v>0</v>
      </c>
      <c r="L234" t="n">
        <v>0</v>
      </c>
      <c r="M234" t="n">
        <v>0</v>
      </c>
      <c r="N234" t="n">
        <v>0</v>
      </c>
      <c r="O234" t="n">
        <v>0</v>
      </c>
      <c r="P234" t="n">
        <v>0</v>
      </c>
      <c r="Q234" t="n">
        <v>0</v>
      </c>
      <c r="R234" s="2" t="inlineStr"/>
    </row>
    <row r="235" ht="15" customHeight="1">
      <c r="A235" t="inlineStr">
        <is>
          <t>A 34765-2019</t>
        </is>
      </c>
      <c r="B235" s="1" t="n">
        <v>43649</v>
      </c>
      <c r="C235" s="1" t="n">
        <v>45294</v>
      </c>
      <c r="D235" t="inlineStr">
        <is>
          <t>KALMAR LÄN</t>
        </is>
      </c>
      <c r="E235" t="inlineStr">
        <is>
          <t>VIMMERBY</t>
        </is>
      </c>
      <c r="G235" t="n">
        <v>6.9</v>
      </c>
      <c r="H235" t="n">
        <v>0</v>
      </c>
      <c r="I235" t="n">
        <v>0</v>
      </c>
      <c r="J235" t="n">
        <v>0</v>
      </c>
      <c r="K235" t="n">
        <v>0</v>
      </c>
      <c r="L235" t="n">
        <v>0</v>
      </c>
      <c r="M235" t="n">
        <v>0</v>
      </c>
      <c r="N235" t="n">
        <v>0</v>
      </c>
      <c r="O235" t="n">
        <v>0</v>
      </c>
      <c r="P235" t="n">
        <v>0</v>
      </c>
      <c r="Q235" t="n">
        <v>0</v>
      </c>
      <c r="R235" s="2" t="inlineStr"/>
    </row>
    <row r="236" ht="15" customHeight="1">
      <c r="A236" t="inlineStr">
        <is>
          <t>A 33411-2019</t>
        </is>
      </c>
      <c r="B236" s="1" t="n">
        <v>43650</v>
      </c>
      <c r="C236" s="1" t="n">
        <v>45294</v>
      </c>
      <c r="D236" t="inlineStr">
        <is>
          <t>KALMAR LÄN</t>
        </is>
      </c>
      <c r="E236" t="inlineStr">
        <is>
          <t>VIMMERBY</t>
        </is>
      </c>
      <c r="G236" t="n">
        <v>1.6</v>
      </c>
      <c r="H236" t="n">
        <v>0</v>
      </c>
      <c r="I236" t="n">
        <v>0</v>
      </c>
      <c r="J236" t="n">
        <v>0</v>
      </c>
      <c r="K236" t="n">
        <v>0</v>
      </c>
      <c r="L236" t="n">
        <v>0</v>
      </c>
      <c r="M236" t="n">
        <v>0</v>
      </c>
      <c r="N236" t="n">
        <v>0</v>
      </c>
      <c r="O236" t="n">
        <v>0</v>
      </c>
      <c r="P236" t="n">
        <v>0</v>
      </c>
      <c r="Q236" t="n">
        <v>0</v>
      </c>
      <c r="R236" s="2" t="inlineStr"/>
    </row>
    <row r="237" ht="15" customHeight="1">
      <c r="A237" t="inlineStr">
        <is>
          <t>A 33410-2019</t>
        </is>
      </c>
      <c r="B237" s="1" t="n">
        <v>43650</v>
      </c>
      <c r="C237" s="1" t="n">
        <v>45294</v>
      </c>
      <c r="D237" t="inlineStr">
        <is>
          <t>KALMAR LÄN</t>
        </is>
      </c>
      <c r="E237" t="inlineStr">
        <is>
          <t>VIMMERBY</t>
        </is>
      </c>
      <c r="G237" t="n">
        <v>4.4</v>
      </c>
      <c r="H237" t="n">
        <v>0</v>
      </c>
      <c r="I237" t="n">
        <v>0</v>
      </c>
      <c r="J237" t="n">
        <v>0</v>
      </c>
      <c r="K237" t="n">
        <v>0</v>
      </c>
      <c r="L237" t="n">
        <v>0</v>
      </c>
      <c r="M237" t="n">
        <v>0</v>
      </c>
      <c r="N237" t="n">
        <v>0</v>
      </c>
      <c r="O237" t="n">
        <v>0</v>
      </c>
      <c r="P237" t="n">
        <v>0</v>
      </c>
      <c r="Q237" t="n">
        <v>0</v>
      </c>
      <c r="R237" s="2" t="inlineStr"/>
    </row>
    <row r="238" ht="15" customHeight="1">
      <c r="A238" t="inlineStr">
        <is>
          <t>A 35259-2019</t>
        </is>
      </c>
      <c r="B238" s="1" t="n">
        <v>43651</v>
      </c>
      <c r="C238" s="1" t="n">
        <v>45294</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33869-2019</t>
        </is>
      </c>
      <c r="B239" s="1" t="n">
        <v>43652</v>
      </c>
      <c r="C239" s="1" t="n">
        <v>45294</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34241-2019</t>
        </is>
      </c>
      <c r="B240" s="1" t="n">
        <v>43655</v>
      </c>
      <c r="C240" s="1" t="n">
        <v>45294</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34244-2019</t>
        </is>
      </c>
      <c r="B241" s="1" t="n">
        <v>43655</v>
      </c>
      <c r="C241" s="1" t="n">
        <v>45294</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34273-2019</t>
        </is>
      </c>
      <c r="B242" s="1" t="n">
        <v>43655</v>
      </c>
      <c r="C242" s="1" t="n">
        <v>45294</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35701-2019</t>
        </is>
      </c>
      <c r="B243" s="1" t="n">
        <v>43655</v>
      </c>
      <c r="C243" s="1" t="n">
        <v>45294</v>
      </c>
      <c r="D243" t="inlineStr">
        <is>
          <t>KALMAR LÄN</t>
        </is>
      </c>
      <c r="E243" t="inlineStr">
        <is>
          <t>VIMMERBY</t>
        </is>
      </c>
      <c r="G243" t="n">
        <v>1.3</v>
      </c>
      <c r="H243" t="n">
        <v>0</v>
      </c>
      <c r="I243" t="n">
        <v>0</v>
      </c>
      <c r="J243" t="n">
        <v>0</v>
      </c>
      <c r="K243" t="n">
        <v>0</v>
      </c>
      <c r="L243" t="n">
        <v>0</v>
      </c>
      <c r="M243" t="n">
        <v>0</v>
      </c>
      <c r="N243" t="n">
        <v>0</v>
      </c>
      <c r="O243" t="n">
        <v>0</v>
      </c>
      <c r="P243" t="n">
        <v>0</v>
      </c>
      <c r="Q243" t="n">
        <v>0</v>
      </c>
      <c r="R243" s="2" t="inlineStr"/>
    </row>
    <row r="244" ht="15" customHeight="1">
      <c r="A244" t="inlineStr">
        <is>
          <t>A 34672-2019</t>
        </is>
      </c>
      <c r="B244" s="1" t="n">
        <v>43657</v>
      </c>
      <c r="C244" s="1" t="n">
        <v>45294</v>
      </c>
      <c r="D244" t="inlineStr">
        <is>
          <t>KALMAR LÄN</t>
        </is>
      </c>
      <c r="E244" t="inlineStr">
        <is>
          <t>VIMMERBY</t>
        </is>
      </c>
      <c r="G244" t="n">
        <v>1.8</v>
      </c>
      <c r="H244" t="n">
        <v>0</v>
      </c>
      <c r="I244" t="n">
        <v>0</v>
      </c>
      <c r="J244" t="n">
        <v>0</v>
      </c>
      <c r="K244" t="n">
        <v>0</v>
      </c>
      <c r="L244" t="n">
        <v>0</v>
      </c>
      <c r="M244" t="n">
        <v>0</v>
      </c>
      <c r="N244" t="n">
        <v>0</v>
      </c>
      <c r="O244" t="n">
        <v>0</v>
      </c>
      <c r="P244" t="n">
        <v>0</v>
      </c>
      <c r="Q244" t="n">
        <v>0</v>
      </c>
      <c r="R244" s="2" t="inlineStr"/>
    </row>
    <row r="245" ht="15" customHeight="1">
      <c r="A245" t="inlineStr">
        <is>
          <t>A 35780-2019</t>
        </is>
      </c>
      <c r="B245" s="1" t="n">
        <v>43665</v>
      </c>
      <c r="C245" s="1" t="n">
        <v>45294</v>
      </c>
      <c r="D245" t="inlineStr">
        <is>
          <t>KALMAR LÄN</t>
        </is>
      </c>
      <c r="E245" t="inlineStr">
        <is>
          <t>VIMMERBY</t>
        </is>
      </c>
      <c r="G245" t="n">
        <v>1.1</v>
      </c>
      <c r="H245" t="n">
        <v>0</v>
      </c>
      <c r="I245" t="n">
        <v>0</v>
      </c>
      <c r="J245" t="n">
        <v>0</v>
      </c>
      <c r="K245" t="n">
        <v>0</v>
      </c>
      <c r="L245" t="n">
        <v>0</v>
      </c>
      <c r="M245" t="n">
        <v>0</v>
      </c>
      <c r="N245" t="n">
        <v>0</v>
      </c>
      <c r="O245" t="n">
        <v>0</v>
      </c>
      <c r="P245" t="n">
        <v>0</v>
      </c>
      <c r="Q245" t="n">
        <v>0</v>
      </c>
      <c r="R245" s="2" t="inlineStr"/>
    </row>
    <row r="246" ht="15" customHeight="1">
      <c r="A246" t="inlineStr">
        <is>
          <t>A 35834-2019</t>
        </is>
      </c>
      <c r="B246" s="1" t="n">
        <v>43665</v>
      </c>
      <c r="C246" s="1" t="n">
        <v>45294</v>
      </c>
      <c r="D246" t="inlineStr">
        <is>
          <t>KALMAR LÄN</t>
        </is>
      </c>
      <c r="E246" t="inlineStr">
        <is>
          <t>VIMMERBY</t>
        </is>
      </c>
      <c r="G246" t="n">
        <v>0.2</v>
      </c>
      <c r="H246" t="n">
        <v>0</v>
      </c>
      <c r="I246" t="n">
        <v>0</v>
      </c>
      <c r="J246" t="n">
        <v>0</v>
      </c>
      <c r="K246" t="n">
        <v>0</v>
      </c>
      <c r="L246" t="n">
        <v>0</v>
      </c>
      <c r="M246" t="n">
        <v>0</v>
      </c>
      <c r="N246" t="n">
        <v>0</v>
      </c>
      <c r="O246" t="n">
        <v>0</v>
      </c>
      <c r="P246" t="n">
        <v>0</v>
      </c>
      <c r="Q246" t="n">
        <v>0</v>
      </c>
      <c r="R246" s="2" t="inlineStr"/>
    </row>
    <row r="247" ht="15" customHeight="1">
      <c r="A247" t="inlineStr">
        <is>
          <t>A 35829-2019</t>
        </is>
      </c>
      <c r="B247" s="1" t="n">
        <v>43665</v>
      </c>
      <c r="C247" s="1" t="n">
        <v>45294</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35919-2019</t>
        </is>
      </c>
      <c r="B248" s="1" t="n">
        <v>43665</v>
      </c>
      <c r="C248" s="1" t="n">
        <v>45294</v>
      </c>
      <c r="D248" t="inlineStr">
        <is>
          <t>KALMAR LÄN</t>
        </is>
      </c>
      <c r="E248" t="inlineStr">
        <is>
          <t>VIMMERBY</t>
        </is>
      </c>
      <c r="G248" t="n">
        <v>7.1</v>
      </c>
      <c r="H248" t="n">
        <v>0</v>
      </c>
      <c r="I248" t="n">
        <v>0</v>
      </c>
      <c r="J248" t="n">
        <v>0</v>
      </c>
      <c r="K248" t="n">
        <v>0</v>
      </c>
      <c r="L248" t="n">
        <v>0</v>
      </c>
      <c r="M248" t="n">
        <v>0</v>
      </c>
      <c r="N248" t="n">
        <v>0</v>
      </c>
      <c r="O248" t="n">
        <v>0</v>
      </c>
      <c r="P248" t="n">
        <v>0</v>
      </c>
      <c r="Q248" t="n">
        <v>0</v>
      </c>
      <c r="R248" s="2" t="inlineStr"/>
    </row>
    <row r="249" ht="15" customHeight="1">
      <c r="A249" t="inlineStr">
        <is>
          <t>A 36027-2019</t>
        </is>
      </c>
      <c r="B249" s="1" t="n">
        <v>43668</v>
      </c>
      <c r="C249" s="1" t="n">
        <v>45294</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36024-2019</t>
        </is>
      </c>
      <c r="B250" s="1" t="n">
        <v>43668</v>
      </c>
      <c r="C250" s="1" t="n">
        <v>45294</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36716-2019</t>
        </is>
      </c>
      <c r="B251" s="1" t="n">
        <v>43669</v>
      </c>
      <c r="C251" s="1" t="n">
        <v>45294</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36454-2019</t>
        </is>
      </c>
      <c r="B252" s="1" t="n">
        <v>43670</v>
      </c>
      <c r="C252" s="1" t="n">
        <v>45294</v>
      </c>
      <c r="D252" t="inlineStr">
        <is>
          <t>KALMAR LÄN</t>
        </is>
      </c>
      <c r="E252" t="inlineStr">
        <is>
          <t>VIMMERBY</t>
        </is>
      </c>
      <c r="G252" t="n">
        <v>2.1</v>
      </c>
      <c r="H252" t="n">
        <v>0</v>
      </c>
      <c r="I252" t="n">
        <v>0</v>
      </c>
      <c r="J252" t="n">
        <v>0</v>
      </c>
      <c r="K252" t="n">
        <v>0</v>
      </c>
      <c r="L252" t="n">
        <v>0</v>
      </c>
      <c r="M252" t="n">
        <v>0</v>
      </c>
      <c r="N252" t="n">
        <v>0</v>
      </c>
      <c r="O252" t="n">
        <v>0</v>
      </c>
      <c r="P252" t="n">
        <v>0</v>
      </c>
      <c r="Q252" t="n">
        <v>0</v>
      </c>
      <c r="R252" s="2" t="inlineStr"/>
    </row>
    <row r="253" ht="15" customHeight="1">
      <c r="A253" t="inlineStr">
        <is>
          <t>A 37031-2019</t>
        </is>
      </c>
      <c r="B253" s="1" t="n">
        <v>43672</v>
      </c>
      <c r="C253" s="1" t="n">
        <v>45294</v>
      </c>
      <c r="D253" t="inlineStr">
        <is>
          <t>KALMAR LÄN</t>
        </is>
      </c>
      <c r="E253" t="inlineStr">
        <is>
          <t>VIMMERBY</t>
        </is>
      </c>
      <c r="G253" t="n">
        <v>16.8</v>
      </c>
      <c r="H253" t="n">
        <v>0</v>
      </c>
      <c r="I253" t="n">
        <v>0</v>
      </c>
      <c r="J253" t="n">
        <v>0</v>
      </c>
      <c r="K253" t="n">
        <v>0</v>
      </c>
      <c r="L253" t="n">
        <v>0</v>
      </c>
      <c r="M253" t="n">
        <v>0</v>
      </c>
      <c r="N253" t="n">
        <v>0</v>
      </c>
      <c r="O253" t="n">
        <v>0</v>
      </c>
      <c r="P253" t="n">
        <v>0</v>
      </c>
      <c r="Q253" t="n">
        <v>0</v>
      </c>
      <c r="R253" s="2" t="inlineStr"/>
    </row>
    <row r="254" ht="15" customHeight="1">
      <c r="A254" t="inlineStr">
        <is>
          <t>A 36830-2019</t>
        </is>
      </c>
      <c r="B254" s="1" t="n">
        <v>43674</v>
      </c>
      <c r="C254" s="1" t="n">
        <v>45294</v>
      </c>
      <c r="D254" t="inlineStr">
        <is>
          <t>KALMAR LÄN</t>
        </is>
      </c>
      <c r="E254" t="inlineStr">
        <is>
          <t>VIMMERBY</t>
        </is>
      </c>
      <c r="G254" t="n">
        <v>7.2</v>
      </c>
      <c r="H254" t="n">
        <v>0</v>
      </c>
      <c r="I254" t="n">
        <v>0</v>
      </c>
      <c r="J254" t="n">
        <v>0</v>
      </c>
      <c r="K254" t="n">
        <v>0</v>
      </c>
      <c r="L254" t="n">
        <v>0</v>
      </c>
      <c r="M254" t="n">
        <v>0</v>
      </c>
      <c r="N254" t="n">
        <v>0</v>
      </c>
      <c r="O254" t="n">
        <v>0</v>
      </c>
      <c r="P254" t="n">
        <v>0</v>
      </c>
      <c r="Q254" t="n">
        <v>0</v>
      </c>
      <c r="R254" s="2" t="inlineStr"/>
    </row>
    <row r="255" ht="15" customHeight="1">
      <c r="A255" t="inlineStr">
        <is>
          <t>A 36936-2019</t>
        </is>
      </c>
      <c r="B255" s="1" t="n">
        <v>43675</v>
      </c>
      <c r="C255" s="1" t="n">
        <v>45294</v>
      </c>
      <c r="D255" t="inlineStr">
        <is>
          <t>KALMAR LÄN</t>
        </is>
      </c>
      <c r="E255" t="inlineStr">
        <is>
          <t>VIMMERBY</t>
        </is>
      </c>
      <c r="G255" t="n">
        <v>3.5</v>
      </c>
      <c r="H255" t="n">
        <v>0</v>
      </c>
      <c r="I255" t="n">
        <v>0</v>
      </c>
      <c r="J255" t="n">
        <v>0</v>
      </c>
      <c r="K255" t="n">
        <v>0</v>
      </c>
      <c r="L255" t="n">
        <v>0</v>
      </c>
      <c r="M255" t="n">
        <v>0</v>
      </c>
      <c r="N255" t="n">
        <v>0</v>
      </c>
      <c r="O255" t="n">
        <v>0</v>
      </c>
      <c r="P255" t="n">
        <v>0</v>
      </c>
      <c r="Q255" t="n">
        <v>0</v>
      </c>
      <c r="R255" s="2" t="inlineStr"/>
    </row>
    <row r="256" ht="15" customHeight="1">
      <c r="A256" t="inlineStr">
        <is>
          <t>A 37063-2019</t>
        </is>
      </c>
      <c r="B256" s="1" t="n">
        <v>43676</v>
      </c>
      <c r="C256" s="1" t="n">
        <v>45294</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37209-2019</t>
        </is>
      </c>
      <c r="B257" s="1" t="n">
        <v>43677</v>
      </c>
      <c r="C257" s="1" t="n">
        <v>45294</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37412-2019</t>
        </is>
      </c>
      <c r="B258" s="1" t="n">
        <v>43678</v>
      </c>
      <c r="C258" s="1" t="n">
        <v>45294</v>
      </c>
      <c r="D258" t="inlineStr">
        <is>
          <t>KALMAR LÄN</t>
        </is>
      </c>
      <c r="E258" t="inlineStr">
        <is>
          <t>VIMMERBY</t>
        </is>
      </c>
      <c r="G258" t="n">
        <v>1.7</v>
      </c>
      <c r="H258" t="n">
        <v>0</v>
      </c>
      <c r="I258" t="n">
        <v>0</v>
      </c>
      <c r="J258" t="n">
        <v>0</v>
      </c>
      <c r="K258" t="n">
        <v>0</v>
      </c>
      <c r="L258" t="n">
        <v>0</v>
      </c>
      <c r="M258" t="n">
        <v>0</v>
      </c>
      <c r="N258" t="n">
        <v>0</v>
      </c>
      <c r="O258" t="n">
        <v>0</v>
      </c>
      <c r="P258" t="n">
        <v>0</v>
      </c>
      <c r="Q258" t="n">
        <v>0</v>
      </c>
      <c r="R258" s="2" t="inlineStr"/>
    </row>
    <row r="259" ht="15" customHeight="1">
      <c r="A259" t="inlineStr">
        <is>
          <t>A 38602-2019</t>
        </is>
      </c>
      <c r="B259" s="1" t="n">
        <v>43684</v>
      </c>
      <c r="C259" s="1" t="n">
        <v>45294</v>
      </c>
      <c r="D259" t="inlineStr">
        <is>
          <t>KALMAR LÄN</t>
        </is>
      </c>
      <c r="E259" t="inlineStr">
        <is>
          <t>VIMMERBY</t>
        </is>
      </c>
      <c r="G259" t="n">
        <v>2.7</v>
      </c>
      <c r="H259" t="n">
        <v>0</v>
      </c>
      <c r="I259" t="n">
        <v>0</v>
      </c>
      <c r="J259" t="n">
        <v>0</v>
      </c>
      <c r="K259" t="n">
        <v>0</v>
      </c>
      <c r="L259" t="n">
        <v>0</v>
      </c>
      <c r="M259" t="n">
        <v>0</v>
      </c>
      <c r="N259" t="n">
        <v>0</v>
      </c>
      <c r="O259" t="n">
        <v>0</v>
      </c>
      <c r="P259" t="n">
        <v>0</v>
      </c>
      <c r="Q259" t="n">
        <v>0</v>
      </c>
      <c r="R259" s="2" t="inlineStr"/>
    </row>
    <row r="260" ht="15" customHeight="1">
      <c r="A260" t="inlineStr">
        <is>
          <t>A 38866-2019</t>
        </is>
      </c>
      <c r="B260" s="1" t="n">
        <v>43685</v>
      </c>
      <c r="C260" s="1" t="n">
        <v>45294</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38789-2019</t>
        </is>
      </c>
      <c r="B261" s="1" t="n">
        <v>43687</v>
      </c>
      <c r="C261" s="1" t="n">
        <v>45294</v>
      </c>
      <c r="D261" t="inlineStr">
        <is>
          <t>KALMAR LÄN</t>
        </is>
      </c>
      <c r="E261" t="inlineStr">
        <is>
          <t>VIMMERBY</t>
        </is>
      </c>
      <c r="G261" t="n">
        <v>0.3</v>
      </c>
      <c r="H261" t="n">
        <v>0</v>
      </c>
      <c r="I261" t="n">
        <v>0</v>
      </c>
      <c r="J261" t="n">
        <v>0</v>
      </c>
      <c r="K261" t="n">
        <v>0</v>
      </c>
      <c r="L261" t="n">
        <v>0</v>
      </c>
      <c r="M261" t="n">
        <v>0</v>
      </c>
      <c r="N261" t="n">
        <v>0</v>
      </c>
      <c r="O261" t="n">
        <v>0</v>
      </c>
      <c r="P261" t="n">
        <v>0</v>
      </c>
      <c r="Q261" t="n">
        <v>0</v>
      </c>
      <c r="R261" s="2" t="inlineStr"/>
    </row>
    <row r="262" ht="15" customHeight="1">
      <c r="A262" t="inlineStr">
        <is>
          <t>A 38835-2019</t>
        </is>
      </c>
      <c r="B262" s="1" t="n">
        <v>43689</v>
      </c>
      <c r="C262" s="1" t="n">
        <v>45294</v>
      </c>
      <c r="D262" t="inlineStr">
        <is>
          <t>KALMAR LÄN</t>
        </is>
      </c>
      <c r="E262" t="inlineStr">
        <is>
          <t>VIMMERBY</t>
        </is>
      </c>
      <c r="G262" t="n">
        <v>3.8</v>
      </c>
      <c r="H262" t="n">
        <v>0</v>
      </c>
      <c r="I262" t="n">
        <v>0</v>
      </c>
      <c r="J262" t="n">
        <v>0</v>
      </c>
      <c r="K262" t="n">
        <v>0</v>
      </c>
      <c r="L262" t="n">
        <v>0</v>
      </c>
      <c r="M262" t="n">
        <v>0</v>
      </c>
      <c r="N262" t="n">
        <v>0</v>
      </c>
      <c r="O262" t="n">
        <v>0</v>
      </c>
      <c r="P262" t="n">
        <v>0</v>
      </c>
      <c r="Q262" t="n">
        <v>0</v>
      </c>
      <c r="R262" s="2" t="inlineStr"/>
    </row>
    <row r="263" ht="15" customHeight="1">
      <c r="A263" t="inlineStr">
        <is>
          <t>A 38823-2019</t>
        </is>
      </c>
      <c r="B263" s="1" t="n">
        <v>43689</v>
      </c>
      <c r="C263" s="1" t="n">
        <v>45294</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38837-2019</t>
        </is>
      </c>
      <c r="B264" s="1" t="n">
        <v>43689</v>
      </c>
      <c r="C264" s="1" t="n">
        <v>45294</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38831-2019</t>
        </is>
      </c>
      <c r="B265" s="1" t="n">
        <v>43689</v>
      </c>
      <c r="C265" s="1" t="n">
        <v>45294</v>
      </c>
      <c r="D265" t="inlineStr">
        <is>
          <t>KALMAR LÄN</t>
        </is>
      </c>
      <c r="E265" t="inlineStr">
        <is>
          <t>VIMMERBY</t>
        </is>
      </c>
      <c r="G265" t="n">
        <v>3</v>
      </c>
      <c r="H265" t="n">
        <v>0</v>
      </c>
      <c r="I265" t="n">
        <v>0</v>
      </c>
      <c r="J265" t="n">
        <v>0</v>
      </c>
      <c r="K265" t="n">
        <v>0</v>
      </c>
      <c r="L265" t="n">
        <v>0</v>
      </c>
      <c r="M265" t="n">
        <v>0</v>
      </c>
      <c r="N265" t="n">
        <v>0</v>
      </c>
      <c r="O265" t="n">
        <v>0</v>
      </c>
      <c r="P265" t="n">
        <v>0</v>
      </c>
      <c r="Q265" t="n">
        <v>0</v>
      </c>
      <c r="R265" s="2" t="inlineStr"/>
    </row>
    <row r="266" ht="15" customHeight="1">
      <c r="A266" t="inlineStr">
        <is>
          <t>A 39442-2019</t>
        </is>
      </c>
      <c r="B266" s="1" t="n">
        <v>43691</v>
      </c>
      <c r="C266" s="1" t="n">
        <v>45294</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39575-2019</t>
        </is>
      </c>
      <c r="B267" s="1" t="n">
        <v>43691</v>
      </c>
      <c r="C267" s="1" t="n">
        <v>45294</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39568-2019</t>
        </is>
      </c>
      <c r="B268" s="1" t="n">
        <v>43691</v>
      </c>
      <c r="C268" s="1" t="n">
        <v>45294</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39564-2019</t>
        </is>
      </c>
      <c r="B269" s="1" t="n">
        <v>43691</v>
      </c>
      <c r="C269" s="1" t="n">
        <v>45294</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39577-2019</t>
        </is>
      </c>
      <c r="B270" s="1" t="n">
        <v>43691</v>
      </c>
      <c r="C270" s="1" t="n">
        <v>45294</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39856-2019</t>
        </is>
      </c>
      <c r="B271" s="1" t="n">
        <v>43692</v>
      </c>
      <c r="C271" s="1" t="n">
        <v>45294</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39901-2019</t>
        </is>
      </c>
      <c r="B272" s="1" t="n">
        <v>43692</v>
      </c>
      <c r="C272" s="1" t="n">
        <v>45294</v>
      </c>
      <c r="D272" t="inlineStr">
        <is>
          <t>KALMAR LÄN</t>
        </is>
      </c>
      <c r="E272" t="inlineStr">
        <is>
          <t>VIMMERBY</t>
        </is>
      </c>
      <c r="G272" t="n">
        <v>1.5</v>
      </c>
      <c r="H272" t="n">
        <v>0</v>
      </c>
      <c r="I272" t="n">
        <v>0</v>
      </c>
      <c r="J272" t="n">
        <v>0</v>
      </c>
      <c r="K272" t="n">
        <v>0</v>
      </c>
      <c r="L272" t="n">
        <v>0</v>
      </c>
      <c r="M272" t="n">
        <v>0</v>
      </c>
      <c r="N272" t="n">
        <v>0</v>
      </c>
      <c r="O272" t="n">
        <v>0</v>
      </c>
      <c r="P272" t="n">
        <v>0</v>
      </c>
      <c r="Q272" t="n">
        <v>0</v>
      </c>
      <c r="R272" s="2" t="inlineStr"/>
    </row>
    <row r="273" ht="15" customHeight="1">
      <c r="A273" t="inlineStr">
        <is>
          <t>A 39962-2019</t>
        </is>
      </c>
      <c r="B273" s="1" t="n">
        <v>43692</v>
      </c>
      <c r="C273" s="1" t="n">
        <v>45294</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39899-2019</t>
        </is>
      </c>
      <c r="B274" s="1" t="n">
        <v>43692</v>
      </c>
      <c r="C274" s="1" t="n">
        <v>45294</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39894-2019</t>
        </is>
      </c>
      <c r="B275" s="1" t="n">
        <v>43692</v>
      </c>
      <c r="C275" s="1" t="n">
        <v>45294</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39920-2019</t>
        </is>
      </c>
      <c r="B276" s="1" t="n">
        <v>43692</v>
      </c>
      <c r="C276" s="1" t="n">
        <v>45294</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39897-2019</t>
        </is>
      </c>
      <c r="B277" s="1" t="n">
        <v>43692</v>
      </c>
      <c r="C277" s="1" t="n">
        <v>45294</v>
      </c>
      <c r="D277" t="inlineStr">
        <is>
          <t>KALMAR LÄN</t>
        </is>
      </c>
      <c r="E277" t="inlineStr">
        <is>
          <t>VIMMERBY</t>
        </is>
      </c>
      <c r="G277" t="n">
        <v>1.1</v>
      </c>
      <c r="H277" t="n">
        <v>0</v>
      </c>
      <c r="I277" t="n">
        <v>0</v>
      </c>
      <c r="J277" t="n">
        <v>0</v>
      </c>
      <c r="K277" t="n">
        <v>0</v>
      </c>
      <c r="L277" t="n">
        <v>0</v>
      </c>
      <c r="M277" t="n">
        <v>0</v>
      </c>
      <c r="N277" t="n">
        <v>0</v>
      </c>
      <c r="O277" t="n">
        <v>0</v>
      </c>
      <c r="P277" t="n">
        <v>0</v>
      </c>
      <c r="Q277" t="n">
        <v>0</v>
      </c>
      <c r="R277" s="2" t="inlineStr"/>
    </row>
    <row r="278" ht="15" customHeight="1">
      <c r="A278" t="inlineStr">
        <is>
          <t>A 40140-2019</t>
        </is>
      </c>
      <c r="B278" s="1" t="n">
        <v>43693</v>
      </c>
      <c r="C278" s="1" t="n">
        <v>45294</v>
      </c>
      <c r="D278" t="inlineStr">
        <is>
          <t>KALMAR LÄN</t>
        </is>
      </c>
      <c r="E278" t="inlineStr">
        <is>
          <t>VIMMERBY</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40691-2019</t>
        </is>
      </c>
      <c r="B279" s="1" t="n">
        <v>43696</v>
      </c>
      <c r="C279" s="1" t="n">
        <v>45294</v>
      </c>
      <c r="D279" t="inlineStr">
        <is>
          <t>KALMAR LÄN</t>
        </is>
      </c>
      <c r="E279" t="inlineStr">
        <is>
          <t>VIMMERBY</t>
        </is>
      </c>
      <c r="G279" t="n">
        <v>10.9</v>
      </c>
      <c r="H279" t="n">
        <v>0</v>
      </c>
      <c r="I279" t="n">
        <v>0</v>
      </c>
      <c r="J279" t="n">
        <v>0</v>
      </c>
      <c r="K279" t="n">
        <v>0</v>
      </c>
      <c r="L279" t="n">
        <v>0</v>
      </c>
      <c r="M279" t="n">
        <v>0</v>
      </c>
      <c r="N279" t="n">
        <v>0</v>
      </c>
      <c r="O279" t="n">
        <v>0</v>
      </c>
      <c r="P279" t="n">
        <v>0</v>
      </c>
      <c r="Q279" t="n">
        <v>0</v>
      </c>
      <c r="R279" s="2" t="inlineStr"/>
    </row>
    <row r="280" ht="15" customHeight="1">
      <c r="A280" t="inlineStr">
        <is>
          <t>A 40692-2019</t>
        </is>
      </c>
      <c r="B280" s="1" t="n">
        <v>43696</v>
      </c>
      <c r="C280" s="1" t="n">
        <v>45294</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41347-2019</t>
        </is>
      </c>
      <c r="B281" s="1" t="n">
        <v>43698</v>
      </c>
      <c r="C281" s="1" t="n">
        <v>45294</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42142-2019</t>
        </is>
      </c>
      <c r="B282" s="1" t="n">
        <v>43703</v>
      </c>
      <c r="C282" s="1" t="n">
        <v>45294</v>
      </c>
      <c r="D282" t="inlineStr">
        <is>
          <t>KALMAR LÄN</t>
        </is>
      </c>
      <c r="E282" t="inlineStr">
        <is>
          <t>VIMMERBY</t>
        </is>
      </c>
      <c r="G282" t="n">
        <v>3.3</v>
      </c>
      <c r="H282" t="n">
        <v>0</v>
      </c>
      <c r="I282" t="n">
        <v>0</v>
      </c>
      <c r="J282" t="n">
        <v>0</v>
      </c>
      <c r="K282" t="n">
        <v>0</v>
      </c>
      <c r="L282" t="n">
        <v>0</v>
      </c>
      <c r="M282" t="n">
        <v>0</v>
      </c>
      <c r="N282" t="n">
        <v>0</v>
      </c>
      <c r="O282" t="n">
        <v>0</v>
      </c>
      <c r="P282" t="n">
        <v>0</v>
      </c>
      <c r="Q282" t="n">
        <v>0</v>
      </c>
      <c r="R282" s="2" t="inlineStr"/>
    </row>
    <row r="283" ht="15" customHeight="1">
      <c r="A283" t="inlineStr">
        <is>
          <t>A 42759-2019</t>
        </is>
      </c>
      <c r="B283" s="1" t="n">
        <v>43704</v>
      </c>
      <c r="C283" s="1" t="n">
        <v>45294</v>
      </c>
      <c r="D283" t="inlineStr">
        <is>
          <t>KALMAR LÄN</t>
        </is>
      </c>
      <c r="E283" t="inlineStr">
        <is>
          <t>VIMMERBY</t>
        </is>
      </c>
      <c r="G283" t="n">
        <v>4.6</v>
      </c>
      <c r="H283" t="n">
        <v>0</v>
      </c>
      <c r="I283" t="n">
        <v>0</v>
      </c>
      <c r="J283" t="n">
        <v>0</v>
      </c>
      <c r="K283" t="n">
        <v>0</v>
      </c>
      <c r="L283" t="n">
        <v>0</v>
      </c>
      <c r="M283" t="n">
        <v>0</v>
      </c>
      <c r="N283" t="n">
        <v>0</v>
      </c>
      <c r="O283" t="n">
        <v>0</v>
      </c>
      <c r="P283" t="n">
        <v>0</v>
      </c>
      <c r="Q283" t="n">
        <v>0</v>
      </c>
      <c r="R283" s="2" t="inlineStr"/>
    </row>
    <row r="284" ht="15" customHeight="1">
      <c r="A284" t="inlineStr">
        <is>
          <t>A 42758-2019</t>
        </is>
      </c>
      <c r="B284" s="1" t="n">
        <v>43704</v>
      </c>
      <c r="C284" s="1" t="n">
        <v>45294</v>
      </c>
      <c r="D284" t="inlineStr">
        <is>
          <t>KALMAR LÄN</t>
        </is>
      </c>
      <c r="E284" t="inlineStr">
        <is>
          <t>VIMMERBY</t>
        </is>
      </c>
      <c r="G284" t="n">
        <v>6.2</v>
      </c>
      <c r="H284" t="n">
        <v>0</v>
      </c>
      <c r="I284" t="n">
        <v>0</v>
      </c>
      <c r="J284" t="n">
        <v>0</v>
      </c>
      <c r="K284" t="n">
        <v>0</v>
      </c>
      <c r="L284" t="n">
        <v>0</v>
      </c>
      <c r="M284" t="n">
        <v>0</v>
      </c>
      <c r="N284" t="n">
        <v>0</v>
      </c>
      <c r="O284" t="n">
        <v>0</v>
      </c>
      <c r="P284" t="n">
        <v>0</v>
      </c>
      <c r="Q284" t="n">
        <v>0</v>
      </c>
      <c r="R284" s="2" t="inlineStr"/>
    </row>
    <row r="285" ht="15" customHeight="1">
      <c r="A285" t="inlineStr">
        <is>
          <t>A 42947-2019</t>
        </is>
      </c>
      <c r="B285" s="1" t="n">
        <v>43705</v>
      </c>
      <c r="C285" s="1" t="n">
        <v>45294</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42972-2019</t>
        </is>
      </c>
      <c r="B286" s="1" t="n">
        <v>43705</v>
      </c>
      <c r="C286" s="1" t="n">
        <v>45294</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44202-2019</t>
        </is>
      </c>
      <c r="B287" s="1" t="n">
        <v>43710</v>
      </c>
      <c r="C287" s="1" t="n">
        <v>45294</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44630-2019</t>
        </is>
      </c>
      <c r="B288" s="1" t="n">
        <v>43712</v>
      </c>
      <c r="C288" s="1" t="n">
        <v>45294</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45446-2019</t>
        </is>
      </c>
      <c r="B289" s="1" t="n">
        <v>43714</v>
      </c>
      <c r="C289" s="1" t="n">
        <v>45294</v>
      </c>
      <c r="D289" t="inlineStr">
        <is>
          <t>KALMAR LÄN</t>
        </is>
      </c>
      <c r="E289" t="inlineStr">
        <is>
          <t>VIMMERBY</t>
        </is>
      </c>
      <c r="G289" t="n">
        <v>3.8</v>
      </c>
      <c r="H289" t="n">
        <v>0</v>
      </c>
      <c r="I289" t="n">
        <v>0</v>
      </c>
      <c r="J289" t="n">
        <v>0</v>
      </c>
      <c r="K289" t="n">
        <v>0</v>
      </c>
      <c r="L289" t="n">
        <v>0</v>
      </c>
      <c r="M289" t="n">
        <v>0</v>
      </c>
      <c r="N289" t="n">
        <v>0</v>
      </c>
      <c r="O289" t="n">
        <v>0</v>
      </c>
      <c r="P289" t="n">
        <v>0</v>
      </c>
      <c r="Q289" t="n">
        <v>0</v>
      </c>
      <c r="R289" s="2" t="inlineStr"/>
    </row>
    <row r="290" ht="15" customHeight="1">
      <c r="A290" t="inlineStr">
        <is>
          <t>A 45413-2019</t>
        </is>
      </c>
      <c r="B290" s="1" t="n">
        <v>43714</v>
      </c>
      <c r="C290" s="1" t="n">
        <v>45294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45515-2019</t>
        </is>
      </c>
      <c r="B291" s="1" t="n">
        <v>43714</v>
      </c>
      <c r="C291" s="1" t="n">
        <v>45294</v>
      </c>
      <c r="D291" t="inlineStr">
        <is>
          <t>KALMAR LÄN</t>
        </is>
      </c>
      <c r="E291" t="inlineStr">
        <is>
          <t>VIMMERBY</t>
        </is>
      </c>
      <c r="G291" t="n">
        <v>2.4</v>
      </c>
      <c r="H291" t="n">
        <v>0</v>
      </c>
      <c r="I291" t="n">
        <v>0</v>
      </c>
      <c r="J291" t="n">
        <v>0</v>
      </c>
      <c r="K291" t="n">
        <v>0</v>
      </c>
      <c r="L291" t="n">
        <v>0</v>
      </c>
      <c r="M291" t="n">
        <v>0</v>
      </c>
      <c r="N291" t="n">
        <v>0</v>
      </c>
      <c r="O291" t="n">
        <v>0</v>
      </c>
      <c r="P291" t="n">
        <v>0</v>
      </c>
      <c r="Q291" t="n">
        <v>0</v>
      </c>
      <c r="R291" s="2" t="inlineStr"/>
    </row>
    <row r="292" ht="15" customHeight="1">
      <c r="A292" t="inlineStr">
        <is>
          <t>A 46242-2019</t>
        </is>
      </c>
      <c r="B292" s="1" t="n">
        <v>43718</v>
      </c>
      <c r="C292" s="1" t="n">
        <v>45294</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46845-2019</t>
        </is>
      </c>
      <c r="B293" s="1" t="n">
        <v>43718</v>
      </c>
      <c r="C293" s="1" t="n">
        <v>45294</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46291-2019</t>
        </is>
      </c>
      <c r="B294" s="1" t="n">
        <v>43718</v>
      </c>
      <c r="C294" s="1" t="n">
        <v>45294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47187-2019</t>
        </is>
      </c>
      <c r="B295" s="1" t="n">
        <v>43719</v>
      </c>
      <c r="C295" s="1" t="n">
        <v>45294</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46619-2019</t>
        </is>
      </c>
      <c r="B296" s="1" t="n">
        <v>43719</v>
      </c>
      <c r="C296" s="1" t="n">
        <v>45294</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46988-2019</t>
        </is>
      </c>
      <c r="B297" s="1" t="n">
        <v>43720</v>
      </c>
      <c r="C297" s="1" t="n">
        <v>45294</v>
      </c>
      <c r="D297" t="inlineStr">
        <is>
          <t>KALMAR LÄN</t>
        </is>
      </c>
      <c r="E297" t="inlineStr">
        <is>
          <t>VIMMERBY</t>
        </is>
      </c>
      <c r="F297" t="inlineStr">
        <is>
          <t>Kommuner</t>
        </is>
      </c>
      <c r="G297" t="n">
        <v>0.5</v>
      </c>
      <c r="H297" t="n">
        <v>0</v>
      </c>
      <c r="I297" t="n">
        <v>0</v>
      </c>
      <c r="J297" t="n">
        <v>0</v>
      </c>
      <c r="K297" t="n">
        <v>0</v>
      </c>
      <c r="L297" t="n">
        <v>0</v>
      </c>
      <c r="M297" t="n">
        <v>0</v>
      </c>
      <c r="N297" t="n">
        <v>0</v>
      </c>
      <c r="O297" t="n">
        <v>0</v>
      </c>
      <c r="P297" t="n">
        <v>0</v>
      </c>
      <c r="Q297" t="n">
        <v>0</v>
      </c>
      <c r="R297" s="2" t="inlineStr"/>
    </row>
    <row r="298" ht="15" customHeight="1">
      <c r="A298" t="inlineStr">
        <is>
          <t>A 48029-2019</t>
        </is>
      </c>
      <c r="B298" s="1" t="n">
        <v>43725</v>
      </c>
      <c r="C298" s="1" t="n">
        <v>45294</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48051-2019</t>
        </is>
      </c>
      <c r="B299" s="1" t="n">
        <v>43725</v>
      </c>
      <c r="C299" s="1" t="n">
        <v>45294</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48164-2019</t>
        </is>
      </c>
      <c r="B300" s="1" t="n">
        <v>43726</v>
      </c>
      <c r="C300" s="1" t="n">
        <v>45294</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48381-2019</t>
        </is>
      </c>
      <c r="B301" s="1" t="n">
        <v>43726</v>
      </c>
      <c r="C301" s="1" t="n">
        <v>45294</v>
      </c>
      <c r="D301" t="inlineStr">
        <is>
          <t>KALMAR LÄN</t>
        </is>
      </c>
      <c r="E301" t="inlineStr">
        <is>
          <t>VIMMERBY</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48380-2019</t>
        </is>
      </c>
      <c r="B302" s="1" t="n">
        <v>43726</v>
      </c>
      <c r="C302" s="1" t="n">
        <v>45294</v>
      </c>
      <c r="D302" t="inlineStr">
        <is>
          <t>KALMAR LÄN</t>
        </is>
      </c>
      <c r="E302" t="inlineStr">
        <is>
          <t>VIMMERBY</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48834-2019</t>
        </is>
      </c>
      <c r="B303" s="1" t="n">
        <v>43728</v>
      </c>
      <c r="C303" s="1" t="n">
        <v>45294</v>
      </c>
      <c r="D303" t="inlineStr">
        <is>
          <t>KALMAR LÄN</t>
        </is>
      </c>
      <c r="E303" t="inlineStr">
        <is>
          <t>VIMMERBY</t>
        </is>
      </c>
      <c r="G303" t="n">
        <v>5.3</v>
      </c>
      <c r="H303" t="n">
        <v>0</v>
      </c>
      <c r="I303" t="n">
        <v>0</v>
      </c>
      <c r="J303" t="n">
        <v>0</v>
      </c>
      <c r="K303" t="n">
        <v>0</v>
      </c>
      <c r="L303" t="n">
        <v>0</v>
      </c>
      <c r="M303" t="n">
        <v>0</v>
      </c>
      <c r="N303" t="n">
        <v>0</v>
      </c>
      <c r="O303" t="n">
        <v>0</v>
      </c>
      <c r="P303" t="n">
        <v>0</v>
      </c>
      <c r="Q303" t="n">
        <v>0</v>
      </c>
      <c r="R303" s="2" t="inlineStr"/>
    </row>
    <row r="304" ht="15" customHeight="1">
      <c r="A304" t="inlineStr">
        <is>
          <t>A 48921-2019</t>
        </is>
      </c>
      <c r="B304" s="1" t="n">
        <v>43728</v>
      </c>
      <c r="C304" s="1" t="n">
        <v>45294</v>
      </c>
      <c r="D304" t="inlineStr">
        <is>
          <t>KALMAR LÄN</t>
        </is>
      </c>
      <c r="E304" t="inlineStr">
        <is>
          <t>VIMMERBY</t>
        </is>
      </c>
      <c r="G304" t="n">
        <v>1.7</v>
      </c>
      <c r="H304" t="n">
        <v>0</v>
      </c>
      <c r="I304" t="n">
        <v>0</v>
      </c>
      <c r="J304" t="n">
        <v>0</v>
      </c>
      <c r="K304" t="n">
        <v>0</v>
      </c>
      <c r="L304" t="n">
        <v>0</v>
      </c>
      <c r="M304" t="n">
        <v>0</v>
      </c>
      <c r="N304" t="n">
        <v>0</v>
      </c>
      <c r="O304" t="n">
        <v>0</v>
      </c>
      <c r="P304" t="n">
        <v>0</v>
      </c>
      <c r="Q304" t="n">
        <v>0</v>
      </c>
      <c r="R304" s="2" t="inlineStr"/>
    </row>
    <row r="305" ht="15" customHeight="1">
      <c r="A305" t="inlineStr">
        <is>
          <t>A 49212-2019</t>
        </is>
      </c>
      <c r="B305" s="1" t="n">
        <v>43731</v>
      </c>
      <c r="C305" s="1" t="n">
        <v>45294</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49208-2019</t>
        </is>
      </c>
      <c r="B306" s="1" t="n">
        <v>43731</v>
      </c>
      <c r="C306" s="1" t="n">
        <v>45294</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49206-2019</t>
        </is>
      </c>
      <c r="B307" s="1" t="n">
        <v>43731</v>
      </c>
      <c r="C307" s="1" t="n">
        <v>45294</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49741-2019</t>
        </is>
      </c>
      <c r="B308" s="1" t="n">
        <v>43733</v>
      </c>
      <c r="C308" s="1" t="n">
        <v>45294</v>
      </c>
      <c r="D308" t="inlineStr">
        <is>
          <t>KALMAR LÄN</t>
        </is>
      </c>
      <c r="E308" t="inlineStr">
        <is>
          <t>VIMMERBY</t>
        </is>
      </c>
      <c r="G308" t="n">
        <v>2.2</v>
      </c>
      <c r="H308" t="n">
        <v>0</v>
      </c>
      <c r="I308" t="n">
        <v>0</v>
      </c>
      <c r="J308" t="n">
        <v>0</v>
      </c>
      <c r="K308" t="n">
        <v>0</v>
      </c>
      <c r="L308" t="n">
        <v>0</v>
      </c>
      <c r="M308" t="n">
        <v>0</v>
      </c>
      <c r="N308" t="n">
        <v>0</v>
      </c>
      <c r="O308" t="n">
        <v>0</v>
      </c>
      <c r="P308" t="n">
        <v>0</v>
      </c>
      <c r="Q308" t="n">
        <v>0</v>
      </c>
      <c r="R308" s="2" t="inlineStr"/>
    </row>
    <row r="309" ht="15" customHeight="1">
      <c r="A309" t="inlineStr">
        <is>
          <t>A 49760-2019</t>
        </is>
      </c>
      <c r="B309" s="1" t="n">
        <v>43733</v>
      </c>
      <c r="C309" s="1" t="n">
        <v>45294</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49747-2019</t>
        </is>
      </c>
      <c r="B310" s="1" t="n">
        <v>43733</v>
      </c>
      <c r="C310" s="1" t="n">
        <v>45294</v>
      </c>
      <c r="D310" t="inlineStr">
        <is>
          <t>KALMAR LÄN</t>
        </is>
      </c>
      <c r="E310" t="inlineStr">
        <is>
          <t>VIMMERBY</t>
        </is>
      </c>
      <c r="G310" t="n">
        <v>4.9</v>
      </c>
      <c r="H310" t="n">
        <v>0</v>
      </c>
      <c r="I310" t="n">
        <v>0</v>
      </c>
      <c r="J310" t="n">
        <v>0</v>
      </c>
      <c r="K310" t="n">
        <v>0</v>
      </c>
      <c r="L310" t="n">
        <v>0</v>
      </c>
      <c r="M310" t="n">
        <v>0</v>
      </c>
      <c r="N310" t="n">
        <v>0</v>
      </c>
      <c r="O310" t="n">
        <v>0</v>
      </c>
      <c r="P310" t="n">
        <v>0</v>
      </c>
      <c r="Q310" t="n">
        <v>0</v>
      </c>
      <c r="R310" s="2" t="inlineStr"/>
    </row>
    <row r="311" ht="15" customHeight="1">
      <c r="A311" t="inlineStr">
        <is>
          <t>A 49855-2019</t>
        </is>
      </c>
      <c r="B311" s="1" t="n">
        <v>43733</v>
      </c>
      <c r="C311" s="1" t="n">
        <v>45294</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49871-2019</t>
        </is>
      </c>
      <c r="B312" s="1" t="n">
        <v>43733</v>
      </c>
      <c r="C312" s="1" t="n">
        <v>45294</v>
      </c>
      <c r="D312" t="inlineStr">
        <is>
          <t>KALMAR LÄN</t>
        </is>
      </c>
      <c r="E312" t="inlineStr">
        <is>
          <t>VIMMERBY</t>
        </is>
      </c>
      <c r="F312" t="inlineStr">
        <is>
          <t>Sveaskog</t>
        </is>
      </c>
      <c r="G312" t="n">
        <v>5.9</v>
      </c>
      <c r="H312" t="n">
        <v>0</v>
      </c>
      <c r="I312" t="n">
        <v>0</v>
      </c>
      <c r="J312" t="n">
        <v>0</v>
      </c>
      <c r="K312" t="n">
        <v>0</v>
      </c>
      <c r="L312" t="n">
        <v>0</v>
      </c>
      <c r="M312" t="n">
        <v>0</v>
      </c>
      <c r="N312" t="n">
        <v>0</v>
      </c>
      <c r="O312" t="n">
        <v>0</v>
      </c>
      <c r="P312" t="n">
        <v>0</v>
      </c>
      <c r="Q312" t="n">
        <v>0</v>
      </c>
      <c r="R312" s="2" t="inlineStr"/>
    </row>
    <row r="313" ht="15" customHeight="1">
      <c r="A313" t="inlineStr">
        <is>
          <t>A 49880-2019</t>
        </is>
      </c>
      <c r="B313" s="1" t="n">
        <v>43733</v>
      </c>
      <c r="C313" s="1" t="n">
        <v>45294</v>
      </c>
      <c r="D313" t="inlineStr">
        <is>
          <t>KALMAR LÄN</t>
        </is>
      </c>
      <c r="E313" t="inlineStr">
        <is>
          <t>VIMMERBY</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49885-2019</t>
        </is>
      </c>
      <c r="B314" s="1" t="n">
        <v>43733</v>
      </c>
      <c r="C314" s="1" t="n">
        <v>45294</v>
      </c>
      <c r="D314" t="inlineStr">
        <is>
          <t>KALMAR LÄN</t>
        </is>
      </c>
      <c r="E314" t="inlineStr">
        <is>
          <t>VIMMERBY</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49901-2019</t>
        </is>
      </c>
      <c r="B315" s="1" t="n">
        <v>43733</v>
      </c>
      <c r="C315" s="1" t="n">
        <v>45294</v>
      </c>
      <c r="D315" t="inlineStr">
        <is>
          <t>KALMAR LÄN</t>
        </is>
      </c>
      <c r="E315" t="inlineStr">
        <is>
          <t>VIMMERBY</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49891-2019</t>
        </is>
      </c>
      <c r="B316" s="1" t="n">
        <v>43733</v>
      </c>
      <c r="C316" s="1" t="n">
        <v>45294</v>
      </c>
      <c r="D316" t="inlineStr">
        <is>
          <t>KALMAR LÄN</t>
        </is>
      </c>
      <c r="E316" t="inlineStr">
        <is>
          <t>VIMMERBY</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49695-2019</t>
        </is>
      </c>
      <c r="B317" s="1" t="n">
        <v>43733</v>
      </c>
      <c r="C317" s="1" t="n">
        <v>45294</v>
      </c>
      <c r="D317" t="inlineStr">
        <is>
          <t>KALMAR LÄN</t>
        </is>
      </c>
      <c r="E317" t="inlineStr">
        <is>
          <t>VIMMERBY</t>
        </is>
      </c>
      <c r="G317" t="n">
        <v>4.6</v>
      </c>
      <c r="H317" t="n">
        <v>0</v>
      </c>
      <c r="I317" t="n">
        <v>0</v>
      </c>
      <c r="J317" t="n">
        <v>0</v>
      </c>
      <c r="K317" t="n">
        <v>0</v>
      </c>
      <c r="L317" t="n">
        <v>0</v>
      </c>
      <c r="M317" t="n">
        <v>0</v>
      </c>
      <c r="N317" t="n">
        <v>0</v>
      </c>
      <c r="O317" t="n">
        <v>0</v>
      </c>
      <c r="P317" t="n">
        <v>0</v>
      </c>
      <c r="Q317" t="n">
        <v>0</v>
      </c>
      <c r="R317" s="2" t="inlineStr"/>
    </row>
    <row r="318" ht="15" customHeight="1">
      <c r="A318" t="inlineStr">
        <is>
          <t>A 50214-2019</t>
        </is>
      </c>
      <c r="B318" s="1" t="n">
        <v>43734</v>
      </c>
      <c r="C318" s="1" t="n">
        <v>45294</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50317-2019</t>
        </is>
      </c>
      <c r="B319" s="1" t="n">
        <v>43735</v>
      </c>
      <c r="C319" s="1" t="n">
        <v>45294</v>
      </c>
      <c r="D319" t="inlineStr">
        <is>
          <t>KALMAR LÄN</t>
        </is>
      </c>
      <c r="E319" t="inlineStr">
        <is>
          <t>VIMMERBY</t>
        </is>
      </c>
      <c r="G319" t="n">
        <v>2</v>
      </c>
      <c r="H319" t="n">
        <v>0</v>
      </c>
      <c r="I319" t="n">
        <v>0</v>
      </c>
      <c r="J319" t="n">
        <v>0</v>
      </c>
      <c r="K319" t="n">
        <v>0</v>
      </c>
      <c r="L319" t="n">
        <v>0</v>
      </c>
      <c r="M319" t="n">
        <v>0</v>
      </c>
      <c r="N319" t="n">
        <v>0</v>
      </c>
      <c r="O319" t="n">
        <v>0</v>
      </c>
      <c r="P319" t="n">
        <v>0</v>
      </c>
      <c r="Q319" t="n">
        <v>0</v>
      </c>
      <c r="R319" s="2" t="inlineStr"/>
    </row>
    <row r="320" ht="15" customHeight="1">
      <c r="A320" t="inlineStr">
        <is>
          <t>A 50761-2019</t>
        </is>
      </c>
      <c r="B320" s="1" t="n">
        <v>43738</v>
      </c>
      <c r="C320" s="1" t="n">
        <v>45294</v>
      </c>
      <c r="D320" t="inlineStr">
        <is>
          <t>KALMAR LÄN</t>
        </is>
      </c>
      <c r="E320" t="inlineStr">
        <is>
          <t>VIMMERBY</t>
        </is>
      </c>
      <c r="G320" t="n">
        <v>3.9</v>
      </c>
      <c r="H320" t="n">
        <v>0</v>
      </c>
      <c r="I320" t="n">
        <v>0</v>
      </c>
      <c r="J320" t="n">
        <v>0</v>
      </c>
      <c r="K320" t="n">
        <v>0</v>
      </c>
      <c r="L320" t="n">
        <v>0</v>
      </c>
      <c r="M320" t="n">
        <v>0</v>
      </c>
      <c r="N320" t="n">
        <v>0</v>
      </c>
      <c r="O320" t="n">
        <v>0</v>
      </c>
      <c r="P320" t="n">
        <v>0</v>
      </c>
      <c r="Q320" t="n">
        <v>0</v>
      </c>
      <c r="R320" s="2" t="inlineStr"/>
    </row>
    <row r="321" ht="15" customHeight="1">
      <c r="A321" t="inlineStr">
        <is>
          <t>A 51273-2019</t>
        </is>
      </c>
      <c r="B321" s="1" t="n">
        <v>43739</v>
      </c>
      <c r="C321" s="1" t="n">
        <v>45294</v>
      </c>
      <c r="D321" t="inlineStr">
        <is>
          <t>KALMAR LÄN</t>
        </is>
      </c>
      <c r="E321" t="inlineStr">
        <is>
          <t>VIMMERBY</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51277-2019</t>
        </is>
      </c>
      <c r="B322" s="1" t="n">
        <v>43739</v>
      </c>
      <c r="C322" s="1" t="n">
        <v>45294</v>
      </c>
      <c r="D322" t="inlineStr">
        <is>
          <t>KALMAR LÄN</t>
        </is>
      </c>
      <c r="E322" t="inlineStr">
        <is>
          <t>VIMMERBY</t>
        </is>
      </c>
      <c r="F322" t="inlineStr">
        <is>
          <t>Sveaskog</t>
        </is>
      </c>
      <c r="G322" t="n">
        <v>7.9</v>
      </c>
      <c r="H322" t="n">
        <v>0</v>
      </c>
      <c r="I322" t="n">
        <v>0</v>
      </c>
      <c r="J322" t="n">
        <v>0</v>
      </c>
      <c r="K322" t="n">
        <v>0</v>
      </c>
      <c r="L322" t="n">
        <v>0</v>
      </c>
      <c r="M322" t="n">
        <v>0</v>
      </c>
      <c r="N322" t="n">
        <v>0</v>
      </c>
      <c r="O322" t="n">
        <v>0</v>
      </c>
      <c r="P322" t="n">
        <v>0</v>
      </c>
      <c r="Q322" t="n">
        <v>0</v>
      </c>
      <c r="R322" s="2" t="inlineStr"/>
    </row>
    <row r="323" ht="15" customHeight="1">
      <c r="A323" t="inlineStr">
        <is>
          <t>A 51362-2019</t>
        </is>
      </c>
      <c r="B323" s="1" t="n">
        <v>43740</v>
      </c>
      <c r="C323" s="1" t="n">
        <v>45294</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51552-2019</t>
        </is>
      </c>
      <c r="B324" s="1" t="n">
        <v>43740</v>
      </c>
      <c r="C324" s="1" t="n">
        <v>45294</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51719-2019</t>
        </is>
      </c>
      <c r="B325" s="1" t="n">
        <v>43741</v>
      </c>
      <c r="C325" s="1" t="n">
        <v>45294</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52173-2019</t>
        </is>
      </c>
      <c r="B326" s="1" t="n">
        <v>43742</v>
      </c>
      <c r="C326" s="1" t="n">
        <v>45294</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52356-2019</t>
        </is>
      </c>
      <c r="B327" s="1" t="n">
        <v>43745</v>
      </c>
      <c r="C327" s="1" t="n">
        <v>45294</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52909-2019</t>
        </is>
      </c>
      <c r="B328" s="1" t="n">
        <v>43746</v>
      </c>
      <c r="C328" s="1" t="n">
        <v>45294</v>
      </c>
      <c r="D328" t="inlineStr">
        <is>
          <t>KALMAR LÄN</t>
        </is>
      </c>
      <c r="E328" t="inlineStr">
        <is>
          <t>VIMMERBY</t>
        </is>
      </c>
      <c r="G328" t="n">
        <v>5.8</v>
      </c>
      <c r="H328" t="n">
        <v>0</v>
      </c>
      <c r="I328" t="n">
        <v>0</v>
      </c>
      <c r="J328" t="n">
        <v>0</v>
      </c>
      <c r="K328" t="n">
        <v>0</v>
      </c>
      <c r="L328" t="n">
        <v>0</v>
      </c>
      <c r="M328" t="n">
        <v>0</v>
      </c>
      <c r="N328" t="n">
        <v>0</v>
      </c>
      <c r="O328" t="n">
        <v>0</v>
      </c>
      <c r="P328" t="n">
        <v>0</v>
      </c>
      <c r="Q328" t="n">
        <v>0</v>
      </c>
      <c r="R328" s="2" t="inlineStr"/>
    </row>
    <row r="329" ht="15" customHeight="1">
      <c r="A329" t="inlineStr">
        <is>
          <t>A 52908-2019</t>
        </is>
      </c>
      <c r="B329" s="1" t="n">
        <v>43746</v>
      </c>
      <c r="C329" s="1" t="n">
        <v>45294</v>
      </c>
      <c r="D329" t="inlineStr">
        <is>
          <t>KALMAR LÄN</t>
        </is>
      </c>
      <c r="E329" t="inlineStr">
        <is>
          <t>VIMMERBY</t>
        </is>
      </c>
      <c r="G329" t="n">
        <v>5.8</v>
      </c>
      <c r="H329" t="n">
        <v>0</v>
      </c>
      <c r="I329" t="n">
        <v>0</v>
      </c>
      <c r="J329" t="n">
        <v>0</v>
      </c>
      <c r="K329" t="n">
        <v>0</v>
      </c>
      <c r="L329" t="n">
        <v>0</v>
      </c>
      <c r="M329" t="n">
        <v>0</v>
      </c>
      <c r="N329" t="n">
        <v>0</v>
      </c>
      <c r="O329" t="n">
        <v>0</v>
      </c>
      <c r="P329" t="n">
        <v>0</v>
      </c>
      <c r="Q329" t="n">
        <v>0</v>
      </c>
      <c r="R329" s="2" t="inlineStr"/>
    </row>
    <row r="330" ht="15" customHeight="1">
      <c r="A330" t="inlineStr">
        <is>
          <t>A 52780-2019</t>
        </is>
      </c>
      <c r="B330" s="1" t="n">
        <v>43746</v>
      </c>
      <c r="C330" s="1" t="n">
        <v>45294</v>
      </c>
      <c r="D330" t="inlineStr">
        <is>
          <t>KALMAR LÄN</t>
        </is>
      </c>
      <c r="E330" t="inlineStr">
        <is>
          <t>VIMMERBY</t>
        </is>
      </c>
      <c r="G330" t="n">
        <v>1.1</v>
      </c>
      <c r="H330" t="n">
        <v>0</v>
      </c>
      <c r="I330" t="n">
        <v>0</v>
      </c>
      <c r="J330" t="n">
        <v>0</v>
      </c>
      <c r="K330" t="n">
        <v>0</v>
      </c>
      <c r="L330" t="n">
        <v>0</v>
      </c>
      <c r="M330" t="n">
        <v>0</v>
      </c>
      <c r="N330" t="n">
        <v>0</v>
      </c>
      <c r="O330" t="n">
        <v>0</v>
      </c>
      <c r="P330" t="n">
        <v>0</v>
      </c>
      <c r="Q330" t="n">
        <v>0</v>
      </c>
      <c r="R330" s="2" t="inlineStr"/>
    </row>
    <row r="331" ht="15" customHeight="1">
      <c r="A331" t="inlineStr">
        <is>
          <t>A 53691-2019</t>
        </is>
      </c>
      <c r="B331" s="1" t="n">
        <v>43749</v>
      </c>
      <c r="C331" s="1" t="n">
        <v>45294</v>
      </c>
      <c r="D331" t="inlineStr">
        <is>
          <t>KALMAR LÄN</t>
        </is>
      </c>
      <c r="E331" t="inlineStr">
        <is>
          <t>VIMMERBY</t>
        </is>
      </c>
      <c r="G331" t="n">
        <v>1</v>
      </c>
      <c r="H331" t="n">
        <v>0</v>
      </c>
      <c r="I331" t="n">
        <v>0</v>
      </c>
      <c r="J331" t="n">
        <v>0</v>
      </c>
      <c r="K331" t="n">
        <v>0</v>
      </c>
      <c r="L331" t="n">
        <v>0</v>
      </c>
      <c r="M331" t="n">
        <v>0</v>
      </c>
      <c r="N331" t="n">
        <v>0</v>
      </c>
      <c r="O331" t="n">
        <v>0</v>
      </c>
      <c r="P331" t="n">
        <v>0</v>
      </c>
      <c r="Q331" t="n">
        <v>0</v>
      </c>
      <c r="R331" s="2" t="inlineStr"/>
    </row>
    <row r="332" ht="15" customHeight="1">
      <c r="A332" t="inlineStr">
        <is>
          <t>A 54593-2019</t>
        </is>
      </c>
      <c r="B332" s="1" t="n">
        <v>43754</v>
      </c>
      <c r="C332" s="1" t="n">
        <v>45294</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54794-2019</t>
        </is>
      </c>
      <c r="B333" s="1" t="n">
        <v>43755</v>
      </c>
      <c r="C333" s="1" t="n">
        <v>45294</v>
      </c>
      <c r="D333" t="inlineStr">
        <is>
          <t>KALMAR LÄN</t>
        </is>
      </c>
      <c r="E333" t="inlineStr">
        <is>
          <t>VIMMERBY</t>
        </is>
      </c>
      <c r="G333" t="n">
        <v>3.2</v>
      </c>
      <c r="H333" t="n">
        <v>0</v>
      </c>
      <c r="I333" t="n">
        <v>0</v>
      </c>
      <c r="J333" t="n">
        <v>0</v>
      </c>
      <c r="K333" t="n">
        <v>0</v>
      </c>
      <c r="L333" t="n">
        <v>0</v>
      </c>
      <c r="M333" t="n">
        <v>0</v>
      </c>
      <c r="N333" t="n">
        <v>0</v>
      </c>
      <c r="O333" t="n">
        <v>0</v>
      </c>
      <c r="P333" t="n">
        <v>0</v>
      </c>
      <c r="Q333" t="n">
        <v>0</v>
      </c>
      <c r="R333" s="2" t="inlineStr"/>
    </row>
    <row r="334" ht="15" customHeight="1">
      <c r="A334" t="inlineStr">
        <is>
          <t>A 55757-2019</t>
        </is>
      </c>
      <c r="B334" s="1" t="n">
        <v>43759</v>
      </c>
      <c r="C334" s="1" t="n">
        <v>45294</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57998-2019</t>
        </is>
      </c>
      <c r="B335" s="1" t="n">
        <v>43762</v>
      </c>
      <c r="C335" s="1" t="n">
        <v>45294</v>
      </c>
      <c r="D335" t="inlineStr">
        <is>
          <t>KALMAR LÄN</t>
        </is>
      </c>
      <c r="E335" t="inlineStr">
        <is>
          <t>VIMMERBY</t>
        </is>
      </c>
      <c r="G335" t="n">
        <v>2.3</v>
      </c>
      <c r="H335" t="n">
        <v>0</v>
      </c>
      <c r="I335" t="n">
        <v>0</v>
      </c>
      <c r="J335" t="n">
        <v>0</v>
      </c>
      <c r="K335" t="n">
        <v>0</v>
      </c>
      <c r="L335" t="n">
        <v>0</v>
      </c>
      <c r="M335" t="n">
        <v>0</v>
      </c>
      <c r="N335" t="n">
        <v>0</v>
      </c>
      <c r="O335" t="n">
        <v>0</v>
      </c>
      <c r="P335" t="n">
        <v>0</v>
      </c>
      <c r="Q335" t="n">
        <v>0</v>
      </c>
      <c r="R335" s="2" t="inlineStr"/>
    </row>
    <row r="336" ht="15" customHeight="1">
      <c r="A336" t="inlineStr">
        <is>
          <t>A 57509-2019</t>
        </is>
      </c>
      <c r="B336" s="1" t="n">
        <v>43767</v>
      </c>
      <c r="C336" s="1" t="n">
        <v>45294</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57886-2019</t>
        </is>
      </c>
      <c r="B337" s="1" t="n">
        <v>43768</v>
      </c>
      <c r="C337" s="1" t="n">
        <v>45294</v>
      </c>
      <c r="D337" t="inlineStr">
        <is>
          <t>KALMAR LÄN</t>
        </is>
      </c>
      <c r="E337" t="inlineStr">
        <is>
          <t>VIMMERBY</t>
        </is>
      </c>
      <c r="G337" t="n">
        <v>1.3</v>
      </c>
      <c r="H337" t="n">
        <v>0</v>
      </c>
      <c r="I337" t="n">
        <v>0</v>
      </c>
      <c r="J337" t="n">
        <v>0</v>
      </c>
      <c r="K337" t="n">
        <v>0</v>
      </c>
      <c r="L337" t="n">
        <v>0</v>
      </c>
      <c r="M337" t="n">
        <v>0</v>
      </c>
      <c r="N337" t="n">
        <v>0</v>
      </c>
      <c r="O337" t="n">
        <v>0</v>
      </c>
      <c r="P337" t="n">
        <v>0</v>
      </c>
      <c r="Q337" t="n">
        <v>0</v>
      </c>
      <c r="R337" s="2" t="inlineStr"/>
    </row>
    <row r="338" ht="15" customHeight="1">
      <c r="A338" t="inlineStr">
        <is>
          <t>A 59256-2019</t>
        </is>
      </c>
      <c r="B338" s="1" t="n">
        <v>43773</v>
      </c>
      <c r="C338" s="1" t="n">
        <v>45294</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58812-2019</t>
        </is>
      </c>
      <c r="B339" s="1" t="n">
        <v>43774</v>
      </c>
      <c r="C339" s="1" t="n">
        <v>45294</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60253-2019</t>
        </is>
      </c>
      <c r="B340" s="1" t="n">
        <v>43780</v>
      </c>
      <c r="C340" s="1" t="n">
        <v>45294</v>
      </c>
      <c r="D340" t="inlineStr">
        <is>
          <t>KALMAR LÄN</t>
        </is>
      </c>
      <c r="E340" t="inlineStr">
        <is>
          <t>VIMMERBY</t>
        </is>
      </c>
      <c r="G340" t="n">
        <v>4.4</v>
      </c>
      <c r="H340" t="n">
        <v>0</v>
      </c>
      <c r="I340" t="n">
        <v>0</v>
      </c>
      <c r="J340" t="n">
        <v>0</v>
      </c>
      <c r="K340" t="n">
        <v>0</v>
      </c>
      <c r="L340" t="n">
        <v>0</v>
      </c>
      <c r="M340" t="n">
        <v>0</v>
      </c>
      <c r="N340" t="n">
        <v>0</v>
      </c>
      <c r="O340" t="n">
        <v>0</v>
      </c>
      <c r="P340" t="n">
        <v>0</v>
      </c>
      <c r="Q340" t="n">
        <v>0</v>
      </c>
      <c r="R340" s="2" t="inlineStr"/>
    </row>
    <row r="341" ht="15" customHeight="1">
      <c r="A341" t="inlineStr">
        <is>
          <t>A 60673-2019</t>
        </is>
      </c>
      <c r="B341" s="1" t="n">
        <v>43781</v>
      </c>
      <c r="C341" s="1" t="n">
        <v>45294</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60802-2019</t>
        </is>
      </c>
      <c r="B342" s="1" t="n">
        <v>43781</v>
      </c>
      <c r="C342" s="1" t="n">
        <v>45294</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61049-2019</t>
        </is>
      </c>
      <c r="B343" s="1" t="n">
        <v>43782</v>
      </c>
      <c r="C343" s="1" t="n">
        <v>45294</v>
      </c>
      <c r="D343" t="inlineStr">
        <is>
          <t>KALMAR LÄN</t>
        </is>
      </c>
      <c r="E343" t="inlineStr">
        <is>
          <t>VIMMERBY</t>
        </is>
      </c>
      <c r="G343" t="n">
        <v>4.1</v>
      </c>
      <c r="H343" t="n">
        <v>0</v>
      </c>
      <c r="I343" t="n">
        <v>0</v>
      </c>
      <c r="J343" t="n">
        <v>0</v>
      </c>
      <c r="K343" t="n">
        <v>0</v>
      </c>
      <c r="L343" t="n">
        <v>0</v>
      </c>
      <c r="M343" t="n">
        <v>0</v>
      </c>
      <c r="N343" t="n">
        <v>0</v>
      </c>
      <c r="O343" t="n">
        <v>0</v>
      </c>
      <c r="P343" t="n">
        <v>0</v>
      </c>
      <c r="Q343" t="n">
        <v>0</v>
      </c>
      <c r="R343" s="2" t="inlineStr"/>
    </row>
    <row r="344" ht="15" customHeight="1">
      <c r="A344" t="inlineStr">
        <is>
          <t>A 63362-2019</t>
        </is>
      </c>
      <c r="B344" s="1" t="n">
        <v>43787</v>
      </c>
      <c r="C344" s="1" t="n">
        <v>45294</v>
      </c>
      <c r="D344" t="inlineStr">
        <is>
          <t>KALMAR LÄN</t>
        </is>
      </c>
      <c r="E344" t="inlineStr">
        <is>
          <t>VIMMERBY</t>
        </is>
      </c>
      <c r="G344" t="n">
        <v>1.5</v>
      </c>
      <c r="H344" t="n">
        <v>0</v>
      </c>
      <c r="I344" t="n">
        <v>0</v>
      </c>
      <c r="J344" t="n">
        <v>0</v>
      </c>
      <c r="K344" t="n">
        <v>0</v>
      </c>
      <c r="L344" t="n">
        <v>0</v>
      </c>
      <c r="M344" t="n">
        <v>0</v>
      </c>
      <c r="N344" t="n">
        <v>0</v>
      </c>
      <c r="O344" t="n">
        <v>0</v>
      </c>
      <c r="P344" t="n">
        <v>0</v>
      </c>
      <c r="Q344" t="n">
        <v>0</v>
      </c>
      <c r="R344" s="2" t="inlineStr"/>
    </row>
    <row r="345" ht="15" customHeight="1">
      <c r="A345" t="inlineStr">
        <is>
          <t>A 62625-2019</t>
        </is>
      </c>
      <c r="B345" s="1" t="n">
        <v>43789</v>
      </c>
      <c r="C345" s="1" t="n">
        <v>45294</v>
      </c>
      <c r="D345" t="inlineStr">
        <is>
          <t>KALMAR LÄN</t>
        </is>
      </c>
      <c r="E345" t="inlineStr">
        <is>
          <t>VIMMERBY</t>
        </is>
      </c>
      <c r="F345" t="inlineStr">
        <is>
          <t>Övriga Aktiebolag</t>
        </is>
      </c>
      <c r="G345" t="n">
        <v>8.1</v>
      </c>
      <c r="H345" t="n">
        <v>0</v>
      </c>
      <c r="I345" t="n">
        <v>0</v>
      </c>
      <c r="J345" t="n">
        <v>0</v>
      </c>
      <c r="K345" t="n">
        <v>0</v>
      </c>
      <c r="L345" t="n">
        <v>0</v>
      </c>
      <c r="M345" t="n">
        <v>0</v>
      </c>
      <c r="N345" t="n">
        <v>0</v>
      </c>
      <c r="O345" t="n">
        <v>0</v>
      </c>
      <c r="P345" t="n">
        <v>0</v>
      </c>
      <c r="Q345" t="n">
        <v>0</v>
      </c>
      <c r="R345" s="2" t="inlineStr"/>
    </row>
    <row r="346" ht="15" customHeight="1">
      <c r="A346" t="inlineStr">
        <is>
          <t>A 63029-2019</t>
        </is>
      </c>
      <c r="B346" s="1" t="n">
        <v>43791</v>
      </c>
      <c r="C346" s="1" t="n">
        <v>45294</v>
      </c>
      <c r="D346" t="inlineStr">
        <is>
          <t>KALMAR LÄN</t>
        </is>
      </c>
      <c r="E346" t="inlineStr">
        <is>
          <t>VIMMERBY</t>
        </is>
      </c>
      <c r="F346" t="inlineStr">
        <is>
          <t>Kyrkan</t>
        </is>
      </c>
      <c r="G346" t="n">
        <v>3.1</v>
      </c>
      <c r="H346" t="n">
        <v>0</v>
      </c>
      <c r="I346" t="n">
        <v>0</v>
      </c>
      <c r="J346" t="n">
        <v>0</v>
      </c>
      <c r="K346" t="n">
        <v>0</v>
      </c>
      <c r="L346" t="n">
        <v>0</v>
      </c>
      <c r="M346" t="n">
        <v>0</v>
      </c>
      <c r="N346" t="n">
        <v>0</v>
      </c>
      <c r="O346" t="n">
        <v>0</v>
      </c>
      <c r="P346" t="n">
        <v>0</v>
      </c>
      <c r="Q346" t="n">
        <v>0</v>
      </c>
      <c r="R346" s="2" t="inlineStr"/>
    </row>
    <row r="347" ht="15" customHeight="1">
      <c r="A347" t="inlineStr">
        <is>
          <t>A 63746-2019</t>
        </is>
      </c>
      <c r="B347" s="1" t="n">
        <v>43795</v>
      </c>
      <c r="C347" s="1" t="n">
        <v>45294</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64119-2019</t>
        </is>
      </c>
      <c r="B348" s="1" t="n">
        <v>43796</v>
      </c>
      <c r="C348" s="1" t="n">
        <v>45294</v>
      </c>
      <c r="D348" t="inlineStr">
        <is>
          <t>KALMAR LÄN</t>
        </is>
      </c>
      <c r="E348" t="inlineStr">
        <is>
          <t>VIMMERBY</t>
        </is>
      </c>
      <c r="G348" t="n">
        <v>4.6</v>
      </c>
      <c r="H348" t="n">
        <v>0</v>
      </c>
      <c r="I348" t="n">
        <v>0</v>
      </c>
      <c r="J348" t="n">
        <v>0</v>
      </c>
      <c r="K348" t="n">
        <v>0</v>
      </c>
      <c r="L348" t="n">
        <v>0</v>
      </c>
      <c r="M348" t="n">
        <v>0</v>
      </c>
      <c r="N348" t="n">
        <v>0</v>
      </c>
      <c r="O348" t="n">
        <v>0</v>
      </c>
      <c r="P348" t="n">
        <v>0</v>
      </c>
      <c r="Q348" t="n">
        <v>0</v>
      </c>
      <c r="R348" s="2" t="inlineStr"/>
    </row>
    <row r="349" ht="15" customHeight="1">
      <c r="A349" t="inlineStr">
        <is>
          <t>A 64345-2019</t>
        </is>
      </c>
      <c r="B349" s="1" t="n">
        <v>43797</v>
      </c>
      <c r="C349" s="1" t="n">
        <v>45294</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64334-2019</t>
        </is>
      </c>
      <c r="B350" s="1" t="n">
        <v>43797</v>
      </c>
      <c r="C350" s="1" t="n">
        <v>45294</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65267-2019</t>
        </is>
      </c>
      <c r="B351" s="1" t="n">
        <v>43802</v>
      </c>
      <c r="C351" s="1" t="n">
        <v>45294</v>
      </c>
      <c r="D351" t="inlineStr">
        <is>
          <t>KALMAR LÄN</t>
        </is>
      </c>
      <c r="E351" t="inlineStr">
        <is>
          <t>VIMMERBY</t>
        </is>
      </c>
      <c r="F351" t="inlineStr">
        <is>
          <t>Kommuner</t>
        </is>
      </c>
      <c r="G351" t="n">
        <v>0.5</v>
      </c>
      <c r="H351" t="n">
        <v>0</v>
      </c>
      <c r="I351" t="n">
        <v>0</v>
      </c>
      <c r="J351" t="n">
        <v>0</v>
      </c>
      <c r="K351" t="n">
        <v>0</v>
      </c>
      <c r="L351" t="n">
        <v>0</v>
      </c>
      <c r="M351" t="n">
        <v>0</v>
      </c>
      <c r="N351" t="n">
        <v>0</v>
      </c>
      <c r="O351" t="n">
        <v>0</v>
      </c>
      <c r="P351" t="n">
        <v>0</v>
      </c>
      <c r="Q351" t="n">
        <v>0</v>
      </c>
      <c r="R351" s="2" t="inlineStr"/>
    </row>
    <row r="352" ht="15" customHeight="1">
      <c r="A352" t="inlineStr">
        <is>
          <t>A 66169-2019</t>
        </is>
      </c>
      <c r="B352" s="1" t="n">
        <v>43808</v>
      </c>
      <c r="C352" s="1" t="n">
        <v>45294</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66172-2019</t>
        </is>
      </c>
      <c r="B353" s="1" t="n">
        <v>43808</v>
      </c>
      <c r="C353" s="1" t="n">
        <v>45294</v>
      </c>
      <c r="D353" t="inlineStr">
        <is>
          <t>KALMAR LÄN</t>
        </is>
      </c>
      <c r="E353" t="inlineStr">
        <is>
          <t>VIMMERBY</t>
        </is>
      </c>
      <c r="G353" t="n">
        <v>3.6</v>
      </c>
      <c r="H353" t="n">
        <v>0</v>
      </c>
      <c r="I353" t="n">
        <v>0</v>
      </c>
      <c r="J353" t="n">
        <v>0</v>
      </c>
      <c r="K353" t="n">
        <v>0</v>
      </c>
      <c r="L353" t="n">
        <v>0</v>
      </c>
      <c r="M353" t="n">
        <v>0</v>
      </c>
      <c r="N353" t="n">
        <v>0</v>
      </c>
      <c r="O353" t="n">
        <v>0</v>
      </c>
      <c r="P353" t="n">
        <v>0</v>
      </c>
      <c r="Q353" t="n">
        <v>0</v>
      </c>
      <c r="R353" s="2" t="inlineStr"/>
    </row>
    <row r="354" ht="15" customHeight="1">
      <c r="A354" t="inlineStr">
        <is>
          <t>A 66151-2019</t>
        </is>
      </c>
      <c r="B354" s="1" t="n">
        <v>43808</v>
      </c>
      <c r="C354" s="1" t="n">
        <v>45294</v>
      </c>
      <c r="D354" t="inlineStr">
        <is>
          <t>KALMAR LÄN</t>
        </is>
      </c>
      <c r="E354" t="inlineStr">
        <is>
          <t>VIMMERBY</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67293-2019</t>
        </is>
      </c>
      <c r="B355" s="1" t="n">
        <v>43812</v>
      </c>
      <c r="C355" s="1" t="n">
        <v>45294</v>
      </c>
      <c r="D355" t="inlineStr">
        <is>
          <t>KALMAR LÄN</t>
        </is>
      </c>
      <c r="E355" t="inlineStr">
        <is>
          <t>VIMMERBY</t>
        </is>
      </c>
      <c r="F355" t="inlineStr">
        <is>
          <t>Kommuner</t>
        </is>
      </c>
      <c r="G355" t="n">
        <v>1.2</v>
      </c>
      <c r="H355" t="n">
        <v>0</v>
      </c>
      <c r="I355" t="n">
        <v>0</v>
      </c>
      <c r="J355" t="n">
        <v>0</v>
      </c>
      <c r="K355" t="n">
        <v>0</v>
      </c>
      <c r="L355" t="n">
        <v>0</v>
      </c>
      <c r="M355" t="n">
        <v>0</v>
      </c>
      <c r="N355" t="n">
        <v>0</v>
      </c>
      <c r="O355" t="n">
        <v>0</v>
      </c>
      <c r="P355" t="n">
        <v>0</v>
      </c>
      <c r="Q355" t="n">
        <v>0</v>
      </c>
      <c r="R355" s="2" t="inlineStr"/>
    </row>
    <row r="356" ht="15" customHeight="1">
      <c r="A356" t="inlineStr">
        <is>
          <t>A 67359-2019</t>
        </is>
      </c>
      <c r="B356" s="1" t="n">
        <v>43812</v>
      </c>
      <c r="C356" s="1" t="n">
        <v>45294</v>
      </c>
      <c r="D356" t="inlineStr">
        <is>
          <t>KALMAR LÄN</t>
        </is>
      </c>
      <c r="E356" t="inlineStr">
        <is>
          <t>VIMMERBY</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67346-2019</t>
        </is>
      </c>
      <c r="B357" s="1" t="n">
        <v>43812</v>
      </c>
      <c r="C357" s="1" t="n">
        <v>45294</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447-2020</t>
        </is>
      </c>
      <c r="B358" s="1" t="n">
        <v>43837</v>
      </c>
      <c r="C358" s="1" t="n">
        <v>45294</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306-2020</t>
        </is>
      </c>
      <c r="B359" s="1" t="n">
        <v>43837</v>
      </c>
      <c r="C359" s="1" t="n">
        <v>45294</v>
      </c>
      <c r="D359" t="inlineStr">
        <is>
          <t>KALMAR LÄN</t>
        </is>
      </c>
      <c r="E359" t="inlineStr">
        <is>
          <t>VIMMERBY</t>
        </is>
      </c>
      <c r="G359" t="n">
        <v>9.9</v>
      </c>
      <c r="H359" t="n">
        <v>0</v>
      </c>
      <c r="I359" t="n">
        <v>0</v>
      </c>
      <c r="J359" t="n">
        <v>0</v>
      </c>
      <c r="K359" t="n">
        <v>0</v>
      </c>
      <c r="L359" t="n">
        <v>0</v>
      </c>
      <c r="M359" t="n">
        <v>0</v>
      </c>
      <c r="N359" t="n">
        <v>0</v>
      </c>
      <c r="O359" t="n">
        <v>0</v>
      </c>
      <c r="P359" t="n">
        <v>0</v>
      </c>
      <c r="Q359" t="n">
        <v>0</v>
      </c>
      <c r="R359" s="2" t="inlineStr"/>
    </row>
    <row r="360" ht="15" customHeight="1">
      <c r="A360" t="inlineStr">
        <is>
          <t>A 593-2020</t>
        </is>
      </c>
      <c r="B360" s="1" t="n">
        <v>43838</v>
      </c>
      <c r="C360" s="1" t="n">
        <v>45294</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2473-2020</t>
        </is>
      </c>
      <c r="B361" s="1" t="n">
        <v>43840</v>
      </c>
      <c r="C361" s="1" t="n">
        <v>45294</v>
      </c>
      <c r="D361" t="inlineStr">
        <is>
          <t>KALMAR LÄN</t>
        </is>
      </c>
      <c r="E361" t="inlineStr">
        <is>
          <t>VIMMERBY</t>
        </is>
      </c>
      <c r="G361" t="n">
        <v>4.5</v>
      </c>
      <c r="H361" t="n">
        <v>0</v>
      </c>
      <c r="I361" t="n">
        <v>0</v>
      </c>
      <c r="J361" t="n">
        <v>0</v>
      </c>
      <c r="K361" t="n">
        <v>0</v>
      </c>
      <c r="L361" t="n">
        <v>0</v>
      </c>
      <c r="M361" t="n">
        <v>0</v>
      </c>
      <c r="N361" t="n">
        <v>0</v>
      </c>
      <c r="O361" t="n">
        <v>0</v>
      </c>
      <c r="P361" t="n">
        <v>0</v>
      </c>
      <c r="Q361" t="n">
        <v>0</v>
      </c>
      <c r="R361" s="2" t="inlineStr"/>
    </row>
    <row r="362" ht="15" customHeight="1">
      <c r="A362" t="inlineStr">
        <is>
          <t>A 1967-2020</t>
        </is>
      </c>
      <c r="B362" s="1" t="n">
        <v>43845</v>
      </c>
      <c r="C362" s="1" t="n">
        <v>45294</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2070-2020</t>
        </is>
      </c>
      <c r="B363" s="1" t="n">
        <v>43845</v>
      </c>
      <c r="C363" s="1" t="n">
        <v>45294</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3434-2020</t>
        </is>
      </c>
      <c r="B364" s="1" t="n">
        <v>43845</v>
      </c>
      <c r="C364" s="1" t="n">
        <v>45294</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2756-2020</t>
        </is>
      </c>
      <c r="B365" s="1" t="n">
        <v>43850</v>
      </c>
      <c r="C365" s="1" t="n">
        <v>45294</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2856-2020</t>
        </is>
      </c>
      <c r="B366" s="1" t="n">
        <v>43850</v>
      </c>
      <c r="C366" s="1" t="n">
        <v>45294</v>
      </c>
      <c r="D366" t="inlineStr">
        <is>
          <t>KALMAR LÄN</t>
        </is>
      </c>
      <c r="E366" t="inlineStr">
        <is>
          <t>VIMMERBY</t>
        </is>
      </c>
      <c r="G366" t="n">
        <v>3.2</v>
      </c>
      <c r="H366" t="n">
        <v>0</v>
      </c>
      <c r="I366" t="n">
        <v>0</v>
      </c>
      <c r="J366" t="n">
        <v>0</v>
      </c>
      <c r="K366" t="n">
        <v>0</v>
      </c>
      <c r="L366" t="n">
        <v>0</v>
      </c>
      <c r="M366" t="n">
        <v>0</v>
      </c>
      <c r="N366" t="n">
        <v>0</v>
      </c>
      <c r="O366" t="n">
        <v>0</v>
      </c>
      <c r="P366" t="n">
        <v>0</v>
      </c>
      <c r="Q366" t="n">
        <v>0</v>
      </c>
      <c r="R366" s="2" t="inlineStr"/>
    </row>
    <row r="367" ht="15" customHeight="1">
      <c r="A367" t="inlineStr">
        <is>
          <t>A 3211-2020</t>
        </is>
      </c>
      <c r="B367" s="1" t="n">
        <v>43851</v>
      </c>
      <c r="C367" s="1" t="n">
        <v>45294</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3414-2020</t>
        </is>
      </c>
      <c r="B368" s="1" t="n">
        <v>43852</v>
      </c>
      <c r="C368" s="1" t="n">
        <v>45294</v>
      </c>
      <c r="D368" t="inlineStr">
        <is>
          <t>KALMAR LÄN</t>
        </is>
      </c>
      <c r="E368" t="inlineStr">
        <is>
          <t>VIMMERBY</t>
        </is>
      </c>
      <c r="G368" t="n">
        <v>4</v>
      </c>
      <c r="H368" t="n">
        <v>0</v>
      </c>
      <c r="I368" t="n">
        <v>0</v>
      </c>
      <c r="J368" t="n">
        <v>0</v>
      </c>
      <c r="K368" t="n">
        <v>0</v>
      </c>
      <c r="L368" t="n">
        <v>0</v>
      </c>
      <c r="M368" t="n">
        <v>0</v>
      </c>
      <c r="N368" t="n">
        <v>0</v>
      </c>
      <c r="O368" t="n">
        <v>0</v>
      </c>
      <c r="P368" t="n">
        <v>0</v>
      </c>
      <c r="Q368" t="n">
        <v>0</v>
      </c>
      <c r="R368" s="2" t="inlineStr"/>
    </row>
    <row r="369" ht="15" customHeight="1">
      <c r="A369" t="inlineStr">
        <is>
          <t>A 3672-2020</t>
        </is>
      </c>
      <c r="B369" s="1" t="n">
        <v>43853</v>
      </c>
      <c r="C369" s="1" t="n">
        <v>45294</v>
      </c>
      <c r="D369" t="inlineStr">
        <is>
          <t>KALMAR LÄN</t>
        </is>
      </c>
      <c r="E369" t="inlineStr">
        <is>
          <t>VIMMERBY</t>
        </is>
      </c>
      <c r="G369" t="n">
        <v>3.7</v>
      </c>
      <c r="H369" t="n">
        <v>0</v>
      </c>
      <c r="I369" t="n">
        <v>0</v>
      </c>
      <c r="J369" t="n">
        <v>0</v>
      </c>
      <c r="K369" t="n">
        <v>0</v>
      </c>
      <c r="L369" t="n">
        <v>0</v>
      </c>
      <c r="M369" t="n">
        <v>0</v>
      </c>
      <c r="N369" t="n">
        <v>0</v>
      </c>
      <c r="O369" t="n">
        <v>0</v>
      </c>
      <c r="P369" t="n">
        <v>0</v>
      </c>
      <c r="Q369" t="n">
        <v>0</v>
      </c>
      <c r="R369" s="2" t="inlineStr"/>
    </row>
    <row r="370" ht="15" customHeight="1">
      <c r="A370" t="inlineStr">
        <is>
          <t>A 5047-2020</t>
        </is>
      </c>
      <c r="B370" s="1" t="n">
        <v>43853</v>
      </c>
      <c r="C370" s="1" t="n">
        <v>45294</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5043-2020</t>
        </is>
      </c>
      <c r="B371" s="1" t="n">
        <v>43853</v>
      </c>
      <c r="C371" s="1" t="n">
        <v>45294</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4194-2020</t>
        </is>
      </c>
      <c r="B372" s="1" t="n">
        <v>43857</v>
      </c>
      <c r="C372" s="1" t="n">
        <v>45294</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5362-2020</t>
        </is>
      </c>
      <c r="B373" s="1" t="n">
        <v>43857</v>
      </c>
      <c r="C373" s="1" t="n">
        <v>45294</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4472-2020</t>
        </is>
      </c>
      <c r="B374" s="1" t="n">
        <v>43858</v>
      </c>
      <c r="C374" s="1" t="n">
        <v>45294</v>
      </c>
      <c r="D374" t="inlineStr">
        <is>
          <t>KALMAR LÄN</t>
        </is>
      </c>
      <c r="E374" t="inlineStr">
        <is>
          <t>VIMMERBY</t>
        </is>
      </c>
      <c r="G374" t="n">
        <v>0.9</v>
      </c>
      <c r="H374" t="n">
        <v>0</v>
      </c>
      <c r="I374" t="n">
        <v>0</v>
      </c>
      <c r="J374" t="n">
        <v>0</v>
      </c>
      <c r="K374" t="n">
        <v>0</v>
      </c>
      <c r="L374" t="n">
        <v>0</v>
      </c>
      <c r="M374" t="n">
        <v>0</v>
      </c>
      <c r="N374" t="n">
        <v>0</v>
      </c>
      <c r="O374" t="n">
        <v>0</v>
      </c>
      <c r="P374" t="n">
        <v>0</v>
      </c>
      <c r="Q374" t="n">
        <v>0</v>
      </c>
      <c r="R374" s="2" t="inlineStr"/>
    </row>
    <row r="375" ht="15" customHeight="1">
      <c r="A375" t="inlineStr">
        <is>
          <t>A 5548-2020</t>
        </is>
      </c>
      <c r="B375" s="1" t="n">
        <v>43861</v>
      </c>
      <c r="C375" s="1" t="n">
        <v>45294</v>
      </c>
      <c r="D375" t="inlineStr">
        <is>
          <t>KALMAR LÄN</t>
        </is>
      </c>
      <c r="E375" t="inlineStr">
        <is>
          <t>VIMMERBY</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6042-2020</t>
        </is>
      </c>
      <c r="B376" s="1" t="n">
        <v>43865</v>
      </c>
      <c r="C376" s="1" t="n">
        <v>45294</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7870-2020</t>
        </is>
      </c>
      <c r="B377" s="1" t="n">
        <v>43873</v>
      </c>
      <c r="C377" s="1" t="n">
        <v>45294</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8691-2020</t>
        </is>
      </c>
      <c r="B378" s="1" t="n">
        <v>43878</v>
      </c>
      <c r="C378" s="1" t="n">
        <v>45294</v>
      </c>
      <c r="D378" t="inlineStr">
        <is>
          <t>KALMAR LÄN</t>
        </is>
      </c>
      <c r="E378" t="inlineStr">
        <is>
          <t>VIMMERBY</t>
        </is>
      </c>
      <c r="G378" t="n">
        <v>5.1</v>
      </c>
      <c r="H378" t="n">
        <v>0</v>
      </c>
      <c r="I378" t="n">
        <v>0</v>
      </c>
      <c r="J378" t="n">
        <v>0</v>
      </c>
      <c r="K378" t="n">
        <v>0</v>
      </c>
      <c r="L378" t="n">
        <v>0</v>
      </c>
      <c r="M378" t="n">
        <v>0</v>
      </c>
      <c r="N378" t="n">
        <v>0</v>
      </c>
      <c r="O378" t="n">
        <v>0</v>
      </c>
      <c r="P378" t="n">
        <v>0</v>
      </c>
      <c r="Q378" t="n">
        <v>0</v>
      </c>
      <c r="R378" s="2" t="inlineStr"/>
    </row>
    <row r="379" ht="15" customHeight="1">
      <c r="A379" t="inlineStr">
        <is>
          <t>A 9151-2020</t>
        </is>
      </c>
      <c r="B379" s="1" t="n">
        <v>43879</v>
      </c>
      <c r="C379" s="1" t="n">
        <v>45294</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9382-2020</t>
        </is>
      </c>
      <c r="B380" s="1" t="n">
        <v>43880</v>
      </c>
      <c r="C380" s="1" t="n">
        <v>45294</v>
      </c>
      <c r="D380" t="inlineStr">
        <is>
          <t>KALMAR LÄN</t>
        </is>
      </c>
      <c r="E380" t="inlineStr">
        <is>
          <t>VIMMERBY</t>
        </is>
      </c>
      <c r="G380" t="n">
        <v>2.5</v>
      </c>
      <c r="H380" t="n">
        <v>0</v>
      </c>
      <c r="I380" t="n">
        <v>0</v>
      </c>
      <c r="J380" t="n">
        <v>0</v>
      </c>
      <c r="K380" t="n">
        <v>0</v>
      </c>
      <c r="L380" t="n">
        <v>0</v>
      </c>
      <c r="M380" t="n">
        <v>0</v>
      </c>
      <c r="N380" t="n">
        <v>0</v>
      </c>
      <c r="O380" t="n">
        <v>0</v>
      </c>
      <c r="P380" t="n">
        <v>0</v>
      </c>
      <c r="Q380" t="n">
        <v>0</v>
      </c>
      <c r="R380" s="2" t="inlineStr"/>
    </row>
    <row r="381" ht="15" customHeight="1">
      <c r="A381" t="inlineStr">
        <is>
          <t>A 9718-2020</t>
        </is>
      </c>
      <c r="B381" s="1" t="n">
        <v>43881</v>
      </c>
      <c r="C381" s="1" t="n">
        <v>45294</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10474-2020</t>
        </is>
      </c>
      <c r="B382" s="1" t="n">
        <v>43887</v>
      </c>
      <c r="C382" s="1" t="n">
        <v>45294</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10484-2020</t>
        </is>
      </c>
      <c r="B383" s="1" t="n">
        <v>43887</v>
      </c>
      <c r="C383" s="1" t="n">
        <v>45294</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10923-2020</t>
        </is>
      </c>
      <c r="B384" s="1" t="n">
        <v>43889</v>
      </c>
      <c r="C384" s="1" t="n">
        <v>45294</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11243-2020</t>
        </is>
      </c>
      <c r="B385" s="1" t="n">
        <v>43892</v>
      </c>
      <c r="C385" s="1" t="n">
        <v>45294</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12823-2020</t>
        </is>
      </c>
      <c r="B386" s="1" t="n">
        <v>43899</v>
      </c>
      <c r="C386" s="1" t="n">
        <v>45294</v>
      </c>
      <c r="D386" t="inlineStr">
        <is>
          <t>KALMAR LÄN</t>
        </is>
      </c>
      <c r="E386" t="inlineStr">
        <is>
          <t>VIMMERBY</t>
        </is>
      </c>
      <c r="G386" t="n">
        <v>3.3</v>
      </c>
      <c r="H386" t="n">
        <v>0</v>
      </c>
      <c r="I386" t="n">
        <v>0</v>
      </c>
      <c r="J386" t="n">
        <v>0</v>
      </c>
      <c r="K386" t="n">
        <v>0</v>
      </c>
      <c r="L386" t="n">
        <v>0</v>
      </c>
      <c r="M386" t="n">
        <v>0</v>
      </c>
      <c r="N386" t="n">
        <v>0</v>
      </c>
      <c r="O386" t="n">
        <v>0</v>
      </c>
      <c r="P386" t="n">
        <v>0</v>
      </c>
      <c r="Q386" t="n">
        <v>0</v>
      </c>
      <c r="R386" s="2" t="inlineStr"/>
    </row>
    <row r="387" ht="15" customHeight="1">
      <c r="A387" t="inlineStr">
        <is>
          <t>A 13496-2020</t>
        </is>
      </c>
      <c r="B387" s="1" t="n">
        <v>43900</v>
      </c>
      <c r="C387" s="1" t="n">
        <v>45294</v>
      </c>
      <c r="D387" t="inlineStr">
        <is>
          <t>KALMAR LÄN</t>
        </is>
      </c>
      <c r="E387" t="inlineStr">
        <is>
          <t>VIMMERBY</t>
        </is>
      </c>
      <c r="G387" t="n">
        <v>2.8</v>
      </c>
      <c r="H387" t="n">
        <v>0</v>
      </c>
      <c r="I387" t="n">
        <v>0</v>
      </c>
      <c r="J387" t="n">
        <v>0</v>
      </c>
      <c r="K387" t="n">
        <v>0</v>
      </c>
      <c r="L387" t="n">
        <v>0</v>
      </c>
      <c r="M387" t="n">
        <v>0</v>
      </c>
      <c r="N387" t="n">
        <v>0</v>
      </c>
      <c r="O387" t="n">
        <v>0</v>
      </c>
      <c r="P387" t="n">
        <v>0</v>
      </c>
      <c r="Q387" t="n">
        <v>0</v>
      </c>
      <c r="R387" s="2" t="inlineStr"/>
    </row>
    <row r="388" ht="15" customHeight="1">
      <c r="A388" t="inlineStr">
        <is>
          <t>A 14410-2020</t>
        </is>
      </c>
      <c r="B388" s="1" t="n">
        <v>43902</v>
      </c>
      <c r="C388" s="1" t="n">
        <v>45294</v>
      </c>
      <c r="D388" t="inlineStr">
        <is>
          <t>KALMAR LÄN</t>
        </is>
      </c>
      <c r="E388" t="inlineStr">
        <is>
          <t>VIMMERBY</t>
        </is>
      </c>
      <c r="G388" t="n">
        <v>2.7</v>
      </c>
      <c r="H388" t="n">
        <v>0</v>
      </c>
      <c r="I388" t="n">
        <v>0</v>
      </c>
      <c r="J388" t="n">
        <v>0</v>
      </c>
      <c r="K388" t="n">
        <v>0</v>
      </c>
      <c r="L388" t="n">
        <v>0</v>
      </c>
      <c r="M388" t="n">
        <v>0</v>
      </c>
      <c r="N388" t="n">
        <v>0</v>
      </c>
      <c r="O388" t="n">
        <v>0</v>
      </c>
      <c r="P388" t="n">
        <v>0</v>
      </c>
      <c r="Q388" t="n">
        <v>0</v>
      </c>
      <c r="R388" s="2" t="inlineStr"/>
    </row>
    <row r="389" ht="15" customHeight="1">
      <c r="A389" t="inlineStr">
        <is>
          <t>A 13606-2020</t>
        </is>
      </c>
      <c r="B389" s="1" t="n">
        <v>43903</v>
      </c>
      <c r="C389" s="1" t="n">
        <v>45294</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14022-2020</t>
        </is>
      </c>
      <c r="B390" s="1" t="n">
        <v>43906</v>
      </c>
      <c r="C390" s="1" t="n">
        <v>45294</v>
      </c>
      <c r="D390" t="inlineStr">
        <is>
          <t>KALMAR LÄN</t>
        </is>
      </c>
      <c r="E390" t="inlineStr">
        <is>
          <t>VIMMERBY</t>
        </is>
      </c>
      <c r="F390" t="inlineStr">
        <is>
          <t>Kommuner</t>
        </is>
      </c>
      <c r="G390" t="n">
        <v>2</v>
      </c>
      <c r="H390" t="n">
        <v>0</v>
      </c>
      <c r="I390" t="n">
        <v>0</v>
      </c>
      <c r="J390" t="n">
        <v>0</v>
      </c>
      <c r="K390" t="n">
        <v>0</v>
      </c>
      <c r="L390" t="n">
        <v>0</v>
      </c>
      <c r="M390" t="n">
        <v>0</v>
      </c>
      <c r="N390" t="n">
        <v>0</v>
      </c>
      <c r="O390" t="n">
        <v>0</v>
      </c>
      <c r="P390" t="n">
        <v>0</v>
      </c>
      <c r="Q390" t="n">
        <v>0</v>
      </c>
      <c r="R390" s="2" t="inlineStr"/>
    </row>
    <row r="391" ht="15" customHeight="1">
      <c r="A391" t="inlineStr">
        <is>
          <t>A 16222-2020</t>
        </is>
      </c>
      <c r="B391" s="1" t="n">
        <v>43917</v>
      </c>
      <c r="C391" s="1" t="n">
        <v>45294</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18676-2020</t>
        </is>
      </c>
      <c r="B392" s="1" t="n">
        <v>43930</v>
      </c>
      <c r="C392" s="1" t="n">
        <v>45294</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18855-2020</t>
        </is>
      </c>
      <c r="B393" s="1" t="n">
        <v>43930</v>
      </c>
      <c r="C393" s="1" t="n">
        <v>45294</v>
      </c>
      <c r="D393" t="inlineStr">
        <is>
          <t>KALMAR LÄN</t>
        </is>
      </c>
      <c r="E393" t="inlineStr">
        <is>
          <t>VIMMERBY</t>
        </is>
      </c>
      <c r="G393" t="n">
        <v>2.9</v>
      </c>
      <c r="H393" t="n">
        <v>0</v>
      </c>
      <c r="I393" t="n">
        <v>0</v>
      </c>
      <c r="J393" t="n">
        <v>0</v>
      </c>
      <c r="K393" t="n">
        <v>0</v>
      </c>
      <c r="L393" t="n">
        <v>0</v>
      </c>
      <c r="M393" t="n">
        <v>0</v>
      </c>
      <c r="N393" t="n">
        <v>0</v>
      </c>
      <c r="O393" t="n">
        <v>0</v>
      </c>
      <c r="P393" t="n">
        <v>0</v>
      </c>
      <c r="Q393" t="n">
        <v>0</v>
      </c>
      <c r="R393" s="2" t="inlineStr"/>
    </row>
    <row r="394" ht="15" customHeight="1">
      <c r="A394" t="inlineStr">
        <is>
          <t>A 18885-2020</t>
        </is>
      </c>
      <c r="B394" s="1" t="n">
        <v>43935</v>
      </c>
      <c r="C394" s="1" t="n">
        <v>45294</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18909-2020</t>
        </is>
      </c>
      <c r="B395" s="1" t="n">
        <v>43935</v>
      </c>
      <c r="C395" s="1" t="n">
        <v>45294</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20291-2020</t>
        </is>
      </c>
      <c r="B396" s="1" t="n">
        <v>43945</v>
      </c>
      <c r="C396" s="1" t="n">
        <v>45294</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21408-2020</t>
        </is>
      </c>
      <c r="B397" s="1" t="n">
        <v>43955</v>
      </c>
      <c r="C397" s="1" t="n">
        <v>45294</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21581-2020</t>
        </is>
      </c>
      <c r="B398" s="1" t="n">
        <v>43956</v>
      </c>
      <c r="C398" s="1" t="n">
        <v>45294</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21891-2020</t>
        </is>
      </c>
      <c r="B399" s="1" t="n">
        <v>43958</v>
      </c>
      <c r="C399" s="1" t="n">
        <v>45294</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22267-2020</t>
        </is>
      </c>
      <c r="B400" s="1" t="n">
        <v>43962</v>
      </c>
      <c r="C400" s="1" t="n">
        <v>45294</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22574-2020</t>
        </is>
      </c>
      <c r="B401" s="1" t="n">
        <v>43963</v>
      </c>
      <c r="C401" s="1" t="n">
        <v>45294</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22637-2020</t>
        </is>
      </c>
      <c r="B402" s="1" t="n">
        <v>43963</v>
      </c>
      <c r="C402" s="1" t="n">
        <v>45294</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22439-2020</t>
        </is>
      </c>
      <c r="B403" s="1" t="n">
        <v>43963</v>
      </c>
      <c r="C403" s="1" t="n">
        <v>45294</v>
      </c>
      <c r="D403" t="inlineStr">
        <is>
          <t>KALMAR LÄN</t>
        </is>
      </c>
      <c r="E403" t="inlineStr">
        <is>
          <t>VIMMERBY</t>
        </is>
      </c>
      <c r="G403" t="n">
        <v>13.8</v>
      </c>
      <c r="H403" t="n">
        <v>0</v>
      </c>
      <c r="I403" t="n">
        <v>0</v>
      </c>
      <c r="J403" t="n">
        <v>0</v>
      </c>
      <c r="K403" t="n">
        <v>0</v>
      </c>
      <c r="L403" t="n">
        <v>0</v>
      </c>
      <c r="M403" t="n">
        <v>0</v>
      </c>
      <c r="N403" t="n">
        <v>0</v>
      </c>
      <c r="O403" t="n">
        <v>0</v>
      </c>
      <c r="P403" t="n">
        <v>0</v>
      </c>
      <c r="Q403" t="n">
        <v>0</v>
      </c>
      <c r="R403" s="2" t="inlineStr"/>
    </row>
    <row r="404" ht="15" customHeight="1">
      <c r="A404" t="inlineStr">
        <is>
          <t>A 22828-2020</t>
        </is>
      </c>
      <c r="B404" s="1" t="n">
        <v>43964</v>
      </c>
      <c r="C404" s="1" t="n">
        <v>45294</v>
      </c>
      <c r="D404" t="inlineStr">
        <is>
          <t>KALMAR LÄN</t>
        </is>
      </c>
      <c r="E404" t="inlineStr">
        <is>
          <t>VIMMERBY</t>
        </is>
      </c>
      <c r="G404" t="n">
        <v>7.5</v>
      </c>
      <c r="H404" t="n">
        <v>0</v>
      </c>
      <c r="I404" t="n">
        <v>0</v>
      </c>
      <c r="J404" t="n">
        <v>0</v>
      </c>
      <c r="K404" t="n">
        <v>0</v>
      </c>
      <c r="L404" t="n">
        <v>0</v>
      </c>
      <c r="M404" t="n">
        <v>0</v>
      </c>
      <c r="N404" t="n">
        <v>0</v>
      </c>
      <c r="O404" t="n">
        <v>0</v>
      </c>
      <c r="P404" t="n">
        <v>0</v>
      </c>
      <c r="Q404" t="n">
        <v>0</v>
      </c>
      <c r="R404" s="2" t="inlineStr"/>
    </row>
    <row r="405" ht="15" customHeight="1">
      <c r="A405" t="inlineStr">
        <is>
          <t>A 23391-2020</t>
        </is>
      </c>
      <c r="B405" s="1" t="n">
        <v>43968</v>
      </c>
      <c r="C405" s="1" t="n">
        <v>45294</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23394-2020</t>
        </is>
      </c>
      <c r="B406" s="1" t="n">
        <v>43968</v>
      </c>
      <c r="C406" s="1" t="n">
        <v>45294</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23705-2020</t>
        </is>
      </c>
      <c r="B407" s="1" t="n">
        <v>43970</v>
      </c>
      <c r="C407" s="1" t="n">
        <v>45294</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23877-2020</t>
        </is>
      </c>
      <c r="B408" s="1" t="n">
        <v>43971</v>
      </c>
      <c r="C408" s="1" t="n">
        <v>45294</v>
      </c>
      <c r="D408" t="inlineStr">
        <is>
          <t>KALMAR LÄN</t>
        </is>
      </c>
      <c r="E408" t="inlineStr">
        <is>
          <t>VIMMERBY</t>
        </is>
      </c>
      <c r="G408" t="n">
        <v>1.5</v>
      </c>
      <c r="H408" t="n">
        <v>0</v>
      </c>
      <c r="I408" t="n">
        <v>0</v>
      </c>
      <c r="J408" t="n">
        <v>0</v>
      </c>
      <c r="K408" t="n">
        <v>0</v>
      </c>
      <c r="L408" t="n">
        <v>0</v>
      </c>
      <c r="M408" t="n">
        <v>0</v>
      </c>
      <c r="N408" t="n">
        <v>0</v>
      </c>
      <c r="O408" t="n">
        <v>0</v>
      </c>
      <c r="P408" t="n">
        <v>0</v>
      </c>
      <c r="Q408" t="n">
        <v>0</v>
      </c>
      <c r="R408" s="2" t="inlineStr"/>
    </row>
    <row r="409" ht="15" customHeight="1">
      <c r="A409" t="inlineStr">
        <is>
          <t>A 24016-2020</t>
        </is>
      </c>
      <c r="B409" s="1" t="n">
        <v>43971</v>
      </c>
      <c r="C409" s="1" t="n">
        <v>45294</v>
      </c>
      <c r="D409" t="inlineStr">
        <is>
          <t>KALMAR LÄN</t>
        </is>
      </c>
      <c r="E409" t="inlineStr">
        <is>
          <t>VIMMERBY</t>
        </is>
      </c>
      <c r="G409" t="n">
        <v>4.5</v>
      </c>
      <c r="H409" t="n">
        <v>0</v>
      </c>
      <c r="I409" t="n">
        <v>0</v>
      </c>
      <c r="J409" t="n">
        <v>0</v>
      </c>
      <c r="K409" t="n">
        <v>0</v>
      </c>
      <c r="L409" t="n">
        <v>0</v>
      </c>
      <c r="M409" t="n">
        <v>0</v>
      </c>
      <c r="N409" t="n">
        <v>0</v>
      </c>
      <c r="O409" t="n">
        <v>0</v>
      </c>
      <c r="P409" t="n">
        <v>0</v>
      </c>
      <c r="Q409" t="n">
        <v>0</v>
      </c>
      <c r="R409" s="2" t="inlineStr"/>
    </row>
    <row r="410" ht="15" customHeight="1">
      <c r="A410" t="inlineStr">
        <is>
          <t>A 24770-2020</t>
        </is>
      </c>
      <c r="B410" s="1" t="n">
        <v>43978</v>
      </c>
      <c r="C410" s="1" t="n">
        <v>45294</v>
      </c>
      <c r="D410" t="inlineStr">
        <is>
          <t>KALMAR LÄN</t>
        </is>
      </c>
      <c r="E410" t="inlineStr">
        <is>
          <t>VIMMERBY</t>
        </is>
      </c>
      <c r="G410" t="n">
        <v>2</v>
      </c>
      <c r="H410" t="n">
        <v>0</v>
      </c>
      <c r="I410" t="n">
        <v>0</v>
      </c>
      <c r="J410" t="n">
        <v>0</v>
      </c>
      <c r="K410" t="n">
        <v>0</v>
      </c>
      <c r="L410" t="n">
        <v>0</v>
      </c>
      <c r="M410" t="n">
        <v>0</v>
      </c>
      <c r="N410" t="n">
        <v>0</v>
      </c>
      <c r="O410" t="n">
        <v>0</v>
      </c>
      <c r="P410" t="n">
        <v>0</v>
      </c>
      <c r="Q410" t="n">
        <v>0</v>
      </c>
      <c r="R410" s="2" t="inlineStr"/>
    </row>
    <row r="411" ht="15" customHeight="1">
      <c r="A411" t="inlineStr">
        <is>
          <t>A 24784-2020</t>
        </is>
      </c>
      <c r="B411" s="1" t="n">
        <v>43978</v>
      </c>
      <c r="C411" s="1" t="n">
        <v>45294</v>
      </c>
      <c r="D411" t="inlineStr">
        <is>
          <t>KALMAR LÄN</t>
        </is>
      </c>
      <c r="E411" t="inlineStr">
        <is>
          <t>VIMMERBY</t>
        </is>
      </c>
      <c r="G411" t="n">
        <v>1.8</v>
      </c>
      <c r="H411" t="n">
        <v>0</v>
      </c>
      <c r="I411" t="n">
        <v>0</v>
      </c>
      <c r="J411" t="n">
        <v>0</v>
      </c>
      <c r="K411" t="n">
        <v>0</v>
      </c>
      <c r="L411" t="n">
        <v>0</v>
      </c>
      <c r="M411" t="n">
        <v>0</v>
      </c>
      <c r="N411" t="n">
        <v>0</v>
      </c>
      <c r="O411" t="n">
        <v>0</v>
      </c>
      <c r="P411" t="n">
        <v>0</v>
      </c>
      <c r="Q411" t="n">
        <v>0</v>
      </c>
      <c r="R411" s="2" t="inlineStr"/>
    </row>
    <row r="412" ht="15" customHeight="1">
      <c r="A412" t="inlineStr">
        <is>
          <t>A 24782-2020</t>
        </is>
      </c>
      <c r="B412" s="1" t="n">
        <v>43978</v>
      </c>
      <c r="C412" s="1" t="n">
        <v>45294</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25761-2020</t>
        </is>
      </c>
      <c r="B413" s="1" t="n">
        <v>43984</v>
      </c>
      <c r="C413" s="1" t="n">
        <v>45294</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26723-2020</t>
        </is>
      </c>
      <c r="B414" s="1" t="n">
        <v>43990</v>
      </c>
      <c r="C414" s="1" t="n">
        <v>45294</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27104-2020</t>
        </is>
      </c>
      <c r="B415" s="1" t="n">
        <v>43991</v>
      </c>
      <c r="C415" s="1" t="n">
        <v>45294</v>
      </c>
      <c r="D415" t="inlineStr">
        <is>
          <t>KALMAR LÄN</t>
        </is>
      </c>
      <c r="E415" t="inlineStr">
        <is>
          <t>VIMMERBY</t>
        </is>
      </c>
      <c r="G415" t="n">
        <v>0.5</v>
      </c>
      <c r="H415" t="n">
        <v>0</v>
      </c>
      <c r="I415" t="n">
        <v>0</v>
      </c>
      <c r="J415" t="n">
        <v>0</v>
      </c>
      <c r="K415" t="n">
        <v>0</v>
      </c>
      <c r="L415" t="n">
        <v>0</v>
      </c>
      <c r="M415" t="n">
        <v>0</v>
      </c>
      <c r="N415" t="n">
        <v>0</v>
      </c>
      <c r="O415" t="n">
        <v>0</v>
      </c>
      <c r="P415" t="n">
        <v>0</v>
      </c>
      <c r="Q415" t="n">
        <v>0</v>
      </c>
      <c r="R415" s="2" t="inlineStr"/>
    </row>
    <row r="416" ht="15" customHeight="1">
      <c r="A416" t="inlineStr">
        <is>
          <t>A 27212-2020</t>
        </is>
      </c>
      <c r="B416" s="1" t="n">
        <v>43992</v>
      </c>
      <c r="C416" s="1" t="n">
        <v>45294</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27316-2020</t>
        </is>
      </c>
      <c r="B417" s="1" t="n">
        <v>43992</v>
      </c>
      <c r="C417" s="1" t="n">
        <v>45294</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27214-2020</t>
        </is>
      </c>
      <c r="B418" s="1" t="n">
        <v>43992</v>
      </c>
      <c r="C418" s="1" t="n">
        <v>45294</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27213-2020</t>
        </is>
      </c>
      <c r="B419" s="1" t="n">
        <v>43992</v>
      </c>
      <c r="C419" s="1" t="n">
        <v>45294</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27236-2020</t>
        </is>
      </c>
      <c r="B420" s="1" t="n">
        <v>43992</v>
      </c>
      <c r="C420" s="1" t="n">
        <v>45294</v>
      </c>
      <c r="D420" t="inlineStr">
        <is>
          <t>KALMAR LÄN</t>
        </is>
      </c>
      <c r="E420" t="inlineStr">
        <is>
          <t>VIMMERBY</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28853-2020</t>
        </is>
      </c>
      <c r="B421" s="1" t="n">
        <v>44000</v>
      </c>
      <c r="C421" s="1" t="n">
        <v>45294</v>
      </c>
      <c r="D421" t="inlineStr">
        <is>
          <t>KALMAR LÄN</t>
        </is>
      </c>
      <c r="E421" t="inlineStr">
        <is>
          <t>VIMMERBY</t>
        </is>
      </c>
      <c r="G421" t="n">
        <v>2.3</v>
      </c>
      <c r="H421" t="n">
        <v>0</v>
      </c>
      <c r="I421" t="n">
        <v>0</v>
      </c>
      <c r="J421" t="n">
        <v>0</v>
      </c>
      <c r="K421" t="n">
        <v>0</v>
      </c>
      <c r="L421" t="n">
        <v>0</v>
      </c>
      <c r="M421" t="n">
        <v>0</v>
      </c>
      <c r="N421" t="n">
        <v>0</v>
      </c>
      <c r="O421" t="n">
        <v>0</v>
      </c>
      <c r="P421" t="n">
        <v>0</v>
      </c>
      <c r="Q421" t="n">
        <v>0</v>
      </c>
      <c r="R421" s="2" t="inlineStr"/>
    </row>
    <row r="422" ht="15" customHeight="1">
      <c r="A422" t="inlineStr">
        <is>
          <t>A 28885-2020</t>
        </is>
      </c>
      <c r="B422" s="1" t="n">
        <v>44000</v>
      </c>
      <c r="C422" s="1" t="n">
        <v>45294</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28969-2020</t>
        </is>
      </c>
      <c r="B423" s="1" t="n">
        <v>44000</v>
      </c>
      <c r="C423" s="1" t="n">
        <v>45294</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29235-2020</t>
        </is>
      </c>
      <c r="B424" s="1" t="n">
        <v>44004</v>
      </c>
      <c r="C424" s="1" t="n">
        <v>45294</v>
      </c>
      <c r="D424" t="inlineStr">
        <is>
          <t>KALMAR LÄN</t>
        </is>
      </c>
      <c r="E424" t="inlineStr">
        <is>
          <t>VIMMERBY</t>
        </is>
      </c>
      <c r="G424" t="n">
        <v>3</v>
      </c>
      <c r="H424" t="n">
        <v>0</v>
      </c>
      <c r="I424" t="n">
        <v>0</v>
      </c>
      <c r="J424" t="n">
        <v>0</v>
      </c>
      <c r="K424" t="n">
        <v>0</v>
      </c>
      <c r="L424" t="n">
        <v>0</v>
      </c>
      <c r="M424" t="n">
        <v>0</v>
      </c>
      <c r="N424" t="n">
        <v>0</v>
      </c>
      <c r="O424" t="n">
        <v>0</v>
      </c>
      <c r="P424" t="n">
        <v>0</v>
      </c>
      <c r="Q424" t="n">
        <v>0</v>
      </c>
      <c r="R424" s="2" t="inlineStr"/>
    </row>
    <row r="425" ht="15" customHeight="1">
      <c r="A425" t="inlineStr">
        <is>
          <t>A 29913-2020</t>
        </is>
      </c>
      <c r="B425" s="1" t="n">
        <v>44006</v>
      </c>
      <c r="C425" s="1" t="n">
        <v>45294</v>
      </c>
      <c r="D425" t="inlineStr">
        <is>
          <t>KALMAR LÄN</t>
        </is>
      </c>
      <c r="E425" t="inlineStr">
        <is>
          <t>VIMMERBY</t>
        </is>
      </c>
      <c r="F425" t="inlineStr">
        <is>
          <t>Kommuner</t>
        </is>
      </c>
      <c r="G425" t="n">
        <v>3.8</v>
      </c>
      <c r="H425" t="n">
        <v>0</v>
      </c>
      <c r="I425" t="n">
        <v>0</v>
      </c>
      <c r="J425" t="n">
        <v>0</v>
      </c>
      <c r="K425" t="n">
        <v>0</v>
      </c>
      <c r="L425" t="n">
        <v>0</v>
      </c>
      <c r="M425" t="n">
        <v>0</v>
      </c>
      <c r="N425" t="n">
        <v>0</v>
      </c>
      <c r="O425" t="n">
        <v>0</v>
      </c>
      <c r="P425" t="n">
        <v>0</v>
      </c>
      <c r="Q425" t="n">
        <v>0</v>
      </c>
      <c r="R425" s="2" t="inlineStr"/>
    </row>
    <row r="426" ht="15" customHeight="1">
      <c r="A426" t="inlineStr">
        <is>
          <t>A 29918-2020</t>
        </is>
      </c>
      <c r="B426" s="1" t="n">
        <v>44006</v>
      </c>
      <c r="C426" s="1" t="n">
        <v>45294</v>
      </c>
      <c r="D426" t="inlineStr">
        <is>
          <t>KALMAR LÄN</t>
        </is>
      </c>
      <c r="E426" t="inlineStr">
        <is>
          <t>VIMMERBY</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29979-2020</t>
        </is>
      </c>
      <c r="B427" s="1" t="n">
        <v>44006</v>
      </c>
      <c r="C427" s="1" t="n">
        <v>45294</v>
      </c>
      <c r="D427" t="inlineStr">
        <is>
          <t>KALMAR LÄN</t>
        </is>
      </c>
      <c r="E427" t="inlineStr">
        <is>
          <t>VIMMERBY</t>
        </is>
      </c>
      <c r="F427" t="inlineStr">
        <is>
          <t>Kommuner</t>
        </is>
      </c>
      <c r="G427" t="n">
        <v>1.4</v>
      </c>
      <c r="H427" t="n">
        <v>0</v>
      </c>
      <c r="I427" t="n">
        <v>0</v>
      </c>
      <c r="J427" t="n">
        <v>0</v>
      </c>
      <c r="K427" t="n">
        <v>0</v>
      </c>
      <c r="L427" t="n">
        <v>0</v>
      </c>
      <c r="M427" t="n">
        <v>0</v>
      </c>
      <c r="N427" t="n">
        <v>0</v>
      </c>
      <c r="O427" t="n">
        <v>0</v>
      </c>
      <c r="P427" t="n">
        <v>0</v>
      </c>
      <c r="Q427" t="n">
        <v>0</v>
      </c>
      <c r="R427" s="2" t="inlineStr"/>
    </row>
    <row r="428" ht="15" customHeight="1">
      <c r="A428" t="inlineStr">
        <is>
          <t>A 29935-2020</t>
        </is>
      </c>
      <c r="B428" s="1" t="n">
        <v>44006</v>
      </c>
      <c r="C428" s="1" t="n">
        <v>45294</v>
      </c>
      <c r="D428" t="inlineStr">
        <is>
          <t>KALMAR LÄN</t>
        </is>
      </c>
      <c r="E428" t="inlineStr">
        <is>
          <t>VIMMERBY</t>
        </is>
      </c>
      <c r="F428" t="inlineStr">
        <is>
          <t>Kommuner</t>
        </is>
      </c>
      <c r="G428" t="n">
        <v>0.7</v>
      </c>
      <c r="H428" t="n">
        <v>0</v>
      </c>
      <c r="I428" t="n">
        <v>0</v>
      </c>
      <c r="J428" t="n">
        <v>0</v>
      </c>
      <c r="K428" t="n">
        <v>0</v>
      </c>
      <c r="L428" t="n">
        <v>0</v>
      </c>
      <c r="M428" t="n">
        <v>0</v>
      </c>
      <c r="N428" t="n">
        <v>0</v>
      </c>
      <c r="O428" t="n">
        <v>0</v>
      </c>
      <c r="P428" t="n">
        <v>0</v>
      </c>
      <c r="Q428" t="n">
        <v>0</v>
      </c>
      <c r="R428" s="2" t="inlineStr"/>
    </row>
    <row r="429" ht="15" customHeight="1">
      <c r="A429" t="inlineStr">
        <is>
          <t>A 30206-2020</t>
        </is>
      </c>
      <c r="B429" s="1" t="n">
        <v>44007</v>
      </c>
      <c r="C429" s="1" t="n">
        <v>45294</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31289-2020</t>
        </is>
      </c>
      <c r="B430" s="1" t="n">
        <v>44012</v>
      </c>
      <c r="C430" s="1" t="n">
        <v>45294</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33159-2020</t>
        </is>
      </c>
      <c r="B431" s="1" t="n">
        <v>44021</v>
      </c>
      <c r="C431" s="1" t="n">
        <v>45294</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33279-2020</t>
        </is>
      </c>
      <c r="B432" s="1" t="n">
        <v>44022</v>
      </c>
      <c r="C432" s="1" t="n">
        <v>45294</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33856-2020</t>
        </is>
      </c>
      <c r="B433" s="1" t="n">
        <v>44027</v>
      </c>
      <c r="C433" s="1" t="n">
        <v>45294</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34350-2020</t>
        </is>
      </c>
      <c r="B434" s="1" t="n">
        <v>44028</v>
      </c>
      <c r="C434" s="1" t="n">
        <v>45294</v>
      </c>
      <c r="D434" t="inlineStr">
        <is>
          <t>KALMAR LÄN</t>
        </is>
      </c>
      <c r="E434" t="inlineStr">
        <is>
          <t>VIMMERBY</t>
        </is>
      </c>
      <c r="G434" t="n">
        <v>4.3</v>
      </c>
      <c r="H434" t="n">
        <v>0</v>
      </c>
      <c r="I434" t="n">
        <v>0</v>
      </c>
      <c r="J434" t="n">
        <v>0</v>
      </c>
      <c r="K434" t="n">
        <v>0</v>
      </c>
      <c r="L434" t="n">
        <v>0</v>
      </c>
      <c r="M434" t="n">
        <v>0</v>
      </c>
      <c r="N434" t="n">
        <v>0</v>
      </c>
      <c r="O434" t="n">
        <v>0</v>
      </c>
      <c r="P434" t="n">
        <v>0</v>
      </c>
      <c r="Q434" t="n">
        <v>0</v>
      </c>
      <c r="R434" s="2" t="inlineStr"/>
    </row>
    <row r="435" ht="15" customHeight="1">
      <c r="A435" t="inlineStr">
        <is>
          <t>A 34345-2020</t>
        </is>
      </c>
      <c r="B435" s="1" t="n">
        <v>44028</v>
      </c>
      <c r="C435" s="1" t="n">
        <v>45294</v>
      </c>
      <c r="D435" t="inlineStr">
        <is>
          <t>KALMAR LÄN</t>
        </is>
      </c>
      <c r="E435" t="inlineStr">
        <is>
          <t>VIMMERBY</t>
        </is>
      </c>
      <c r="G435" t="n">
        <v>5.1</v>
      </c>
      <c r="H435" t="n">
        <v>0</v>
      </c>
      <c r="I435" t="n">
        <v>0</v>
      </c>
      <c r="J435" t="n">
        <v>0</v>
      </c>
      <c r="K435" t="n">
        <v>0</v>
      </c>
      <c r="L435" t="n">
        <v>0</v>
      </c>
      <c r="M435" t="n">
        <v>0</v>
      </c>
      <c r="N435" t="n">
        <v>0</v>
      </c>
      <c r="O435" t="n">
        <v>0</v>
      </c>
      <c r="P435" t="n">
        <v>0</v>
      </c>
      <c r="Q435" t="n">
        <v>0</v>
      </c>
      <c r="R435" s="2" t="inlineStr"/>
    </row>
    <row r="436" ht="15" customHeight="1">
      <c r="A436" t="inlineStr">
        <is>
          <t>A 34719-2020</t>
        </is>
      </c>
      <c r="B436" s="1" t="n">
        <v>44035</v>
      </c>
      <c r="C436" s="1" t="n">
        <v>45294</v>
      </c>
      <c r="D436" t="inlineStr">
        <is>
          <t>KALMAR LÄN</t>
        </is>
      </c>
      <c r="E436" t="inlineStr">
        <is>
          <t>VIMMERBY</t>
        </is>
      </c>
      <c r="G436" t="n">
        <v>3.5</v>
      </c>
      <c r="H436" t="n">
        <v>0</v>
      </c>
      <c r="I436" t="n">
        <v>0</v>
      </c>
      <c r="J436" t="n">
        <v>0</v>
      </c>
      <c r="K436" t="n">
        <v>0</v>
      </c>
      <c r="L436" t="n">
        <v>0</v>
      </c>
      <c r="M436" t="n">
        <v>0</v>
      </c>
      <c r="N436" t="n">
        <v>0</v>
      </c>
      <c r="O436" t="n">
        <v>0</v>
      </c>
      <c r="P436" t="n">
        <v>0</v>
      </c>
      <c r="Q436" t="n">
        <v>0</v>
      </c>
      <c r="R436" s="2" t="inlineStr"/>
    </row>
    <row r="437" ht="15" customHeight="1">
      <c r="A437" t="inlineStr">
        <is>
          <t>A 34907-2020</t>
        </is>
      </c>
      <c r="B437" s="1" t="n">
        <v>44036</v>
      </c>
      <c r="C437" s="1" t="n">
        <v>45294</v>
      </c>
      <c r="D437" t="inlineStr">
        <is>
          <t>KALMAR LÄN</t>
        </is>
      </c>
      <c r="E437" t="inlineStr">
        <is>
          <t>VIMMERBY</t>
        </is>
      </c>
      <c r="G437" t="n">
        <v>2.8</v>
      </c>
      <c r="H437" t="n">
        <v>0</v>
      </c>
      <c r="I437" t="n">
        <v>0</v>
      </c>
      <c r="J437" t="n">
        <v>0</v>
      </c>
      <c r="K437" t="n">
        <v>0</v>
      </c>
      <c r="L437" t="n">
        <v>0</v>
      </c>
      <c r="M437" t="n">
        <v>0</v>
      </c>
      <c r="N437" t="n">
        <v>0</v>
      </c>
      <c r="O437" t="n">
        <v>0</v>
      </c>
      <c r="P437" t="n">
        <v>0</v>
      </c>
      <c r="Q437" t="n">
        <v>0</v>
      </c>
      <c r="R437" s="2" t="inlineStr"/>
    </row>
    <row r="438" ht="15" customHeight="1">
      <c r="A438" t="inlineStr">
        <is>
          <t>A 35350-2020</t>
        </is>
      </c>
      <c r="B438" s="1" t="n">
        <v>44041</v>
      </c>
      <c r="C438" s="1" t="n">
        <v>45294</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35886-2020</t>
        </is>
      </c>
      <c r="B439" s="1" t="n">
        <v>44047</v>
      </c>
      <c r="C439" s="1" t="n">
        <v>45294</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36085-2020</t>
        </is>
      </c>
      <c r="B440" s="1" t="n">
        <v>44048</v>
      </c>
      <c r="C440" s="1" t="n">
        <v>45294</v>
      </c>
      <c r="D440" t="inlineStr">
        <is>
          <t>KALMAR LÄN</t>
        </is>
      </c>
      <c r="E440" t="inlineStr">
        <is>
          <t>VIMMERBY</t>
        </is>
      </c>
      <c r="G440" t="n">
        <v>2.5</v>
      </c>
      <c r="H440" t="n">
        <v>0</v>
      </c>
      <c r="I440" t="n">
        <v>0</v>
      </c>
      <c r="J440" t="n">
        <v>0</v>
      </c>
      <c r="K440" t="n">
        <v>0</v>
      </c>
      <c r="L440" t="n">
        <v>0</v>
      </c>
      <c r="M440" t="n">
        <v>0</v>
      </c>
      <c r="N440" t="n">
        <v>0</v>
      </c>
      <c r="O440" t="n">
        <v>0</v>
      </c>
      <c r="P440" t="n">
        <v>0</v>
      </c>
      <c r="Q440" t="n">
        <v>0</v>
      </c>
      <c r="R440" s="2" t="inlineStr"/>
    </row>
    <row r="441" ht="15" customHeight="1">
      <c r="A441" t="inlineStr">
        <is>
          <t>A 36161-2020</t>
        </is>
      </c>
      <c r="B441" s="1" t="n">
        <v>44048</v>
      </c>
      <c r="C441" s="1" t="n">
        <v>45294</v>
      </c>
      <c r="D441" t="inlineStr">
        <is>
          <t>KALMAR LÄN</t>
        </is>
      </c>
      <c r="E441" t="inlineStr">
        <is>
          <t>VIMMERBY</t>
        </is>
      </c>
      <c r="G441" t="n">
        <v>12.5</v>
      </c>
      <c r="H441" t="n">
        <v>0</v>
      </c>
      <c r="I441" t="n">
        <v>0</v>
      </c>
      <c r="J441" t="n">
        <v>0</v>
      </c>
      <c r="K441" t="n">
        <v>0</v>
      </c>
      <c r="L441" t="n">
        <v>0</v>
      </c>
      <c r="M441" t="n">
        <v>0</v>
      </c>
      <c r="N441" t="n">
        <v>0</v>
      </c>
      <c r="O441" t="n">
        <v>0</v>
      </c>
      <c r="P441" t="n">
        <v>0</v>
      </c>
      <c r="Q441" t="n">
        <v>0</v>
      </c>
      <c r="R441" s="2" t="inlineStr"/>
    </row>
    <row r="442" ht="15" customHeight="1">
      <c r="A442" t="inlineStr">
        <is>
          <t>A 37104-2020</t>
        </is>
      </c>
      <c r="B442" s="1" t="n">
        <v>44054</v>
      </c>
      <c r="C442" s="1" t="n">
        <v>45294</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37201-2020</t>
        </is>
      </c>
      <c r="B443" s="1" t="n">
        <v>44054</v>
      </c>
      <c r="C443" s="1" t="n">
        <v>45294</v>
      </c>
      <c r="D443" t="inlineStr">
        <is>
          <t>KALMAR LÄN</t>
        </is>
      </c>
      <c r="E443" t="inlineStr">
        <is>
          <t>VIMMERBY</t>
        </is>
      </c>
      <c r="G443" t="n">
        <v>3.6</v>
      </c>
      <c r="H443" t="n">
        <v>0</v>
      </c>
      <c r="I443" t="n">
        <v>0</v>
      </c>
      <c r="J443" t="n">
        <v>0</v>
      </c>
      <c r="K443" t="n">
        <v>0</v>
      </c>
      <c r="L443" t="n">
        <v>0</v>
      </c>
      <c r="M443" t="n">
        <v>0</v>
      </c>
      <c r="N443" t="n">
        <v>0</v>
      </c>
      <c r="O443" t="n">
        <v>0</v>
      </c>
      <c r="P443" t="n">
        <v>0</v>
      </c>
      <c r="Q443" t="n">
        <v>0</v>
      </c>
      <c r="R443" s="2" t="inlineStr"/>
    </row>
    <row r="444" ht="15" customHeight="1">
      <c r="A444" t="inlineStr">
        <is>
          <t>A 37078-2020</t>
        </is>
      </c>
      <c r="B444" s="1" t="n">
        <v>44054</v>
      </c>
      <c r="C444" s="1" t="n">
        <v>45294</v>
      </c>
      <c r="D444" t="inlineStr">
        <is>
          <t>KALMAR LÄN</t>
        </is>
      </c>
      <c r="E444" t="inlineStr">
        <is>
          <t>VIMMERBY</t>
        </is>
      </c>
      <c r="G444" t="n">
        <v>4.5</v>
      </c>
      <c r="H444" t="n">
        <v>0</v>
      </c>
      <c r="I444" t="n">
        <v>0</v>
      </c>
      <c r="J444" t="n">
        <v>0</v>
      </c>
      <c r="K444" t="n">
        <v>0</v>
      </c>
      <c r="L444" t="n">
        <v>0</v>
      </c>
      <c r="M444" t="n">
        <v>0</v>
      </c>
      <c r="N444" t="n">
        <v>0</v>
      </c>
      <c r="O444" t="n">
        <v>0</v>
      </c>
      <c r="P444" t="n">
        <v>0</v>
      </c>
      <c r="Q444" t="n">
        <v>0</v>
      </c>
      <c r="R444" s="2" t="inlineStr"/>
    </row>
    <row r="445" ht="15" customHeight="1">
      <c r="A445" t="inlineStr">
        <is>
          <t>A 37362-2020</t>
        </is>
      </c>
      <c r="B445" s="1" t="n">
        <v>44055</v>
      </c>
      <c r="C445" s="1" t="n">
        <v>45294</v>
      </c>
      <c r="D445" t="inlineStr">
        <is>
          <t>KALMAR LÄN</t>
        </is>
      </c>
      <c r="E445" t="inlineStr">
        <is>
          <t>VIMMERBY</t>
        </is>
      </c>
      <c r="F445" t="inlineStr">
        <is>
          <t>Övriga Aktiebolag</t>
        </is>
      </c>
      <c r="G445" t="n">
        <v>3</v>
      </c>
      <c r="H445" t="n">
        <v>0</v>
      </c>
      <c r="I445" t="n">
        <v>0</v>
      </c>
      <c r="J445" t="n">
        <v>0</v>
      </c>
      <c r="K445" t="n">
        <v>0</v>
      </c>
      <c r="L445" t="n">
        <v>0</v>
      </c>
      <c r="M445" t="n">
        <v>0</v>
      </c>
      <c r="N445" t="n">
        <v>0</v>
      </c>
      <c r="O445" t="n">
        <v>0</v>
      </c>
      <c r="P445" t="n">
        <v>0</v>
      </c>
      <c r="Q445" t="n">
        <v>0</v>
      </c>
      <c r="R445" s="2" t="inlineStr"/>
    </row>
    <row r="446" ht="15" customHeight="1">
      <c r="A446" t="inlineStr">
        <is>
          <t>A 37813-2020</t>
        </is>
      </c>
      <c r="B446" s="1" t="n">
        <v>44057</v>
      </c>
      <c r="C446" s="1" t="n">
        <v>45294</v>
      </c>
      <c r="D446" t="inlineStr">
        <is>
          <t>KALMAR LÄN</t>
        </is>
      </c>
      <c r="E446" t="inlineStr">
        <is>
          <t>VIMMERBY</t>
        </is>
      </c>
      <c r="G446" t="n">
        <v>2</v>
      </c>
      <c r="H446" t="n">
        <v>0</v>
      </c>
      <c r="I446" t="n">
        <v>0</v>
      </c>
      <c r="J446" t="n">
        <v>0</v>
      </c>
      <c r="K446" t="n">
        <v>0</v>
      </c>
      <c r="L446" t="n">
        <v>0</v>
      </c>
      <c r="M446" t="n">
        <v>0</v>
      </c>
      <c r="N446" t="n">
        <v>0</v>
      </c>
      <c r="O446" t="n">
        <v>0</v>
      </c>
      <c r="P446" t="n">
        <v>0</v>
      </c>
      <c r="Q446" t="n">
        <v>0</v>
      </c>
      <c r="R446" s="2" t="inlineStr"/>
    </row>
    <row r="447" ht="15" customHeight="1">
      <c r="A447" t="inlineStr">
        <is>
          <t>A 37973-2020</t>
        </is>
      </c>
      <c r="B447" s="1" t="n">
        <v>44057</v>
      </c>
      <c r="C447" s="1" t="n">
        <v>45294</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38153-2020</t>
        </is>
      </c>
      <c r="B448" s="1" t="n">
        <v>44060</v>
      </c>
      <c r="C448" s="1" t="n">
        <v>45294</v>
      </c>
      <c r="D448" t="inlineStr">
        <is>
          <t>KALMAR LÄN</t>
        </is>
      </c>
      <c r="E448" t="inlineStr">
        <is>
          <t>VIMMERBY</t>
        </is>
      </c>
      <c r="G448" t="n">
        <v>6</v>
      </c>
      <c r="H448" t="n">
        <v>0</v>
      </c>
      <c r="I448" t="n">
        <v>0</v>
      </c>
      <c r="J448" t="n">
        <v>0</v>
      </c>
      <c r="K448" t="n">
        <v>0</v>
      </c>
      <c r="L448" t="n">
        <v>0</v>
      </c>
      <c r="M448" t="n">
        <v>0</v>
      </c>
      <c r="N448" t="n">
        <v>0</v>
      </c>
      <c r="O448" t="n">
        <v>0</v>
      </c>
      <c r="P448" t="n">
        <v>0</v>
      </c>
      <c r="Q448" t="n">
        <v>0</v>
      </c>
      <c r="R448" s="2" t="inlineStr"/>
    </row>
    <row r="449" ht="15" customHeight="1">
      <c r="A449" t="inlineStr">
        <is>
          <t>A 38397-2020</t>
        </is>
      </c>
      <c r="B449" s="1" t="n">
        <v>44060</v>
      </c>
      <c r="C449" s="1" t="n">
        <v>45294</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38530-2020</t>
        </is>
      </c>
      <c r="B450" s="1" t="n">
        <v>44061</v>
      </c>
      <c r="C450" s="1" t="n">
        <v>45294</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38710-2020</t>
        </is>
      </c>
      <c r="B451" s="1" t="n">
        <v>44061</v>
      </c>
      <c r="C451" s="1" t="n">
        <v>45294</v>
      </c>
      <c r="D451" t="inlineStr">
        <is>
          <t>KALMAR LÄN</t>
        </is>
      </c>
      <c r="E451" t="inlineStr">
        <is>
          <t>VIMMERBY</t>
        </is>
      </c>
      <c r="G451" t="n">
        <v>2.2</v>
      </c>
      <c r="H451" t="n">
        <v>0</v>
      </c>
      <c r="I451" t="n">
        <v>0</v>
      </c>
      <c r="J451" t="n">
        <v>0</v>
      </c>
      <c r="K451" t="n">
        <v>0</v>
      </c>
      <c r="L451" t="n">
        <v>0</v>
      </c>
      <c r="M451" t="n">
        <v>0</v>
      </c>
      <c r="N451" t="n">
        <v>0</v>
      </c>
      <c r="O451" t="n">
        <v>0</v>
      </c>
      <c r="P451" t="n">
        <v>0</v>
      </c>
      <c r="Q451" t="n">
        <v>0</v>
      </c>
      <c r="R451" s="2" t="inlineStr"/>
    </row>
    <row r="452" ht="15" customHeight="1">
      <c r="A452" t="inlineStr">
        <is>
          <t>A 38844-2020</t>
        </is>
      </c>
      <c r="B452" s="1" t="n">
        <v>44062</v>
      </c>
      <c r="C452" s="1" t="n">
        <v>45294</v>
      </c>
      <c r="D452" t="inlineStr">
        <is>
          <t>KALMAR LÄN</t>
        </is>
      </c>
      <c r="E452" t="inlineStr">
        <is>
          <t>VIMMERBY</t>
        </is>
      </c>
      <c r="G452" t="n">
        <v>3</v>
      </c>
      <c r="H452" t="n">
        <v>0</v>
      </c>
      <c r="I452" t="n">
        <v>0</v>
      </c>
      <c r="J452" t="n">
        <v>0</v>
      </c>
      <c r="K452" t="n">
        <v>0</v>
      </c>
      <c r="L452" t="n">
        <v>0</v>
      </c>
      <c r="M452" t="n">
        <v>0</v>
      </c>
      <c r="N452" t="n">
        <v>0</v>
      </c>
      <c r="O452" t="n">
        <v>0</v>
      </c>
      <c r="P452" t="n">
        <v>0</v>
      </c>
      <c r="Q452" t="n">
        <v>0</v>
      </c>
      <c r="R452" s="2" t="inlineStr"/>
    </row>
    <row r="453" ht="15" customHeight="1">
      <c r="A453" t="inlineStr">
        <is>
          <t>A 39191-2020</t>
        </is>
      </c>
      <c r="B453" s="1" t="n">
        <v>44063</v>
      </c>
      <c r="C453" s="1" t="n">
        <v>45294</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39251-2020</t>
        </is>
      </c>
      <c r="B454" s="1" t="n">
        <v>44063</v>
      </c>
      <c r="C454" s="1" t="n">
        <v>45294</v>
      </c>
      <c r="D454" t="inlineStr">
        <is>
          <t>KALMAR LÄN</t>
        </is>
      </c>
      <c r="E454" t="inlineStr">
        <is>
          <t>VIMMERBY</t>
        </is>
      </c>
      <c r="G454" t="n">
        <v>6.1</v>
      </c>
      <c r="H454" t="n">
        <v>0</v>
      </c>
      <c r="I454" t="n">
        <v>0</v>
      </c>
      <c r="J454" t="n">
        <v>0</v>
      </c>
      <c r="K454" t="n">
        <v>0</v>
      </c>
      <c r="L454" t="n">
        <v>0</v>
      </c>
      <c r="M454" t="n">
        <v>0</v>
      </c>
      <c r="N454" t="n">
        <v>0</v>
      </c>
      <c r="O454" t="n">
        <v>0</v>
      </c>
      <c r="P454" t="n">
        <v>0</v>
      </c>
      <c r="Q454" t="n">
        <v>0</v>
      </c>
      <c r="R454" s="2" t="inlineStr"/>
    </row>
    <row r="455" ht="15" customHeight="1">
      <c r="A455" t="inlineStr">
        <is>
          <t>A 39125-2020</t>
        </is>
      </c>
      <c r="B455" s="1" t="n">
        <v>44063</v>
      </c>
      <c r="C455" s="1" t="n">
        <v>45294</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39300-2020</t>
        </is>
      </c>
      <c r="B456" s="1" t="n">
        <v>44063</v>
      </c>
      <c r="C456" s="1" t="n">
        <v>45294</v>
      </c>
      <c r="D456" t="inlineStr">
        <is>
          <t>KALMAR LÄN</t>
        </is>
      </c>
      <c r="E456" t="inlineStr">
        <is>
          <t>VIMMERBY</t>
        </is>
      </c>
      <c r="G456" t="n">
        <v>5.1</v>
      </c>
      <c r="H456" t="n">
        <v>0</v>
      </c>
      <c r="I456" t="n">
        <v>0</v>
      </c>
      <c r="J456" t="n">
        <v>0</v>
      </c>
      <c r="K456" t="n">
        <v>0</v>
      </c>
      <c r="L456" t="n">
        <v>0</v>
      </c>
      <c r="M456" t="n">
        <v>0</v>
      </c>
      <c r="N456" t="n">
        <v>0</v>
      </c>
      <c r="O456" t="n">
        <v>0</v>
      </c>
      <c r="P456" t="n">
        <v>0</v>
      </c>
      <c r="Q456" t="n">
        <v>0</v>
      </c>
      <c r="R456" s="2" t="inlineStr"/>
    </row>
    <row r="457" ht="15" customHeight="1">
      <c r="A457" t="inlineStr">
        <is>
          <t>A 39288-2020</t>
        </is>
      </c>
      <c r="B457" s="1" t="n">
        <v>44063</v>
      </c>
      <c r="C457" s="1" t="n">
        <v>45294</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39508-2020</t>
        </is>
      </c>
      <c r="B458" s="1" t="n">
        <v>44064</v>
      </c>
      <c r="C458" s="1" t="n">
        <v>45294</v>
      </c>
      <c r="D458" t="inlineStr">
        <is>
          <t>KALMAR LÄN</t>
        </is>
      </c>
      <c r="E458" t="inlineStr">
        <is>
          <t>VIMMERBY</t>
        </is>
      </c>
      <c r="G458" t="n">
        <v>4.7</v>
      </c>
      <c r="H458" t="n">
        <v>0</v>
      </c>
      <c r="I458" t="n">
        <v>0</v>
      </c>
      <c r="J458" t="n">
        <v>0</v>
      </c>
      <c r="K458" t="n">
        <v>0</v>
      </c>
      <c r="L458" t="n">
        <v>0</v>
      </c>
      <c r="M458" t="n">
        <v>0</v>
      </c>
      <c r="N458" t="n">
        <v>0</v>
      </c>
      <c r="O458" t="n">
        <v>0</v>
      </c>
      <c r="P458" t="n">
        <v>0</v>
      </c>
      <c r="Q458" t="n">
        <v>0</v>
      </c>
      <c r="R458" s="2" t="inlineStr"/>
    </row>
    <row r="459" ht="15" customHeight="1">
      <c r="A459" t="inlineStr">
        <is>
          <t>A 39769-2020</t>
        </is>
      </c>
      <c r="B459" s="1" t="n">
        <v>44064</v>
      </c>
      <c r="C459" s="1" t="n">
        <v>45294</v>
      </c>
      <c r="D459" t="inlineStr">
        <is>
          <t>KALMAR LÄN</t>
        </is>
      </c>
      <c r="E459" t="inlineStr">
        <is>
          <t>VIMMERBY</t>
        </is>
      </c>
      <c r="G459" t="n">
        <v>24.6</v>
      </c>
      <c r="H459" t="n">
        <v>0</v>
      </c>
      <c r="I459" t="n">
        <v>0</v>
      </c>
      <c r="J459" t="n">
        <v>0</v>
      </c>
      <c r="K459" t="n">
        <v>0</v>
      </c>
      <c r="L459" t="n">
        <v>0</v>
      </c>
      <c r="M459" t="n">
        <v>0</v>
      </c>
      <c r="N459" t="n">
        <v>0</v>
      </c>
      <c r="O459" t="n">
        <v>0</v>
      </c>
      <c r="P459" t="n">
        <v>0</v>
      </c>
      <c r="Q459" t="n">
        <v>0</v>
      </c>
      <c r="R459" s="2" t="inlineStr"/>
    </row>
    <row r="460" ht="15" customHeight="1">
      <c r="A460" t="inlineStr">
        <is>
          <t>A 40239-2020</t>
        </is>
      </c>
      <c r="B460" s="1" t="n">
        <v>44068</v>
      </c>
      <c r="C460" s="1" t="n">
        <v>45294</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40766-2020</t>
        </is>
      </c>
      <c r="B461" s="1" t="n">
        <v>44070</v>
      </c>
      <c r="C461" s="1" t="n">
        <v>45294</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40890-2020</t>
        </is>
      </c>
      <c r="B462" s="1" t="n">
        <v>44070</v>
      </c>
      <c r="C462" s="1" t="n">
        <v>45294</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40812-2020</t>
        </is>
      </c>
      <c r="B463" s="1" t="n">
        <v>44070</v>
      </c>
      <c r="C463" s="1" t="n">
        <v>45294</v>
      </c>
      <c r="D463" t="inlineStr">
        <is>
          <t>KALMAR LÄN</t>
        </is>
      </c>
      <c r="E463" t="inlineStr">
        <is>
          <t>VIMMERBY</t>
        </is>
      </c>
      <c r="G463" t="n">
        <v>4.9</v>
      </c>
      <c r="H463" t="n">
        <v>0</v>
      </c>
      <c r="I463" t="n">
        <v>0</v>
      </c>
      <c r="J463" t="n">
        <v>0</v>
      </c>
      <c r="K463" t="n">
        <v>0</v>
      </c>
      <c r="L463" t="n">
        <v>0</v>
      </c>
      <c r="M463" t="n">
        <v>0</v>
      </c>
      <c r="N463" t="n">
        <v>0</v>
      </c>
      <c r="O463" t="n">
        <v>0</v>
      </c>
      <c r="P463" t="n">
        <v>0</v>
      </c>
      <c r="Q463" t="n">
        <v>0</v>
      </c>
      <c r="R463" s="2" t="inlineStr"/>
    </row>
    <row r="464" ht="15" customHeight="1">
      <c r="A464" t="inlineStr">
        <is>
          <t>A 40889-2020</t>
        </is>
      </c>
      <c r="B464" s="1" t="n">
        <v>44070</v>
      </c>
      <c r="C464" s="1" t="n">
        <v>45294</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40818-2020</t>
        </is>
      </c>
      <c r="B465" s="1" t="n">
        <v>44070</v>
      </c>
      <c r="C465" s="1" t="n">
        <v>45294</v>
      </c>
      <c r="D465" t="inlineStr">
        <is>
          <t>KALMAR LÄN</t>
        </is>
      </c>
      <c r="E465" t="inlineStr">
        <is>
          <t>VIMMERBY</t>
        </is>
      </c>
      <c r="G465" t="n">
        <v>2.2</v>
      </c>
      <c r="H465" t="n">
        <v>0</v>
      </c>
      <c r="I465" t="n">
        <v>0</v>
      </c>
      <c r="J465" t="n">
        <v>0</v>
      </c>
      <c r="K465" t="n">
        <v>0</v>
      </c>
      <c r="L465" t="n">
        <v>0</v>
      </c>
      <c r="M465" t="n">
        <v>0</v>
      </c>
      <c r="N465" t="n">
        <v>0</v>
      </c>
      <c r="O465" t="n">
        <v>0</v>
      </c>
      <c r="P465" t="n">
        <v>0</v>
      </c>
      <c r="Q465" t="n">
        <v>0</v>
      </c>
      <c r="R465" s="2" t="inlineStr"/>
    </row>
    <row r="466" ht="15" customHeight="1">
      <c r="A466" t="inlineStr">
        <is>
          <t>A 40808-2020</t>
        </is>
      </c>
      <c r="B466" s="1" t="n">
        <v>44070</v>
      </c>
      <c r="C466" s="1" t="n">
        <v>45294</v>
      </c>
      <c r="D466" t="inlineStr">
        <is>
          <t>KALMAR LÄN</t>
        </is>
      </c>
      <c r="E466" t="inlineStr">
        <is>
          <t>VIMMERBY</t>
        </is>
      </c>
      <c r="G466" t="n">
        <v>2.8</v>
      </c>
      <c r="H466" t="n">
        <v>0</v>
      </c>
      <c r="I466" t="n">
        <v>0</v>
      </c>
      <c r="J466" t="n">
        <v>0</v>
      </c>
      <c r="K466" t="n">
        <v>0</v>
      </c>
      <c r="L466" t="n">
        <v>0</v>
      </c>
      <c r="M466" t="n">
        <v>0</v>
      </c>
      <c r="N466" t="n">
        <v>0</v>
      </c>
      <c r="O466" t="n">
        <v>0</v>
      </c>
      <c r="P466" t="n">
        <v>0</v>
      </c>
      <c r="Q466" t="n">
        <v>0</v>
      </c>
      <c r="R466" s="2" t="inlineStr"/>
    </row>
    <row r="467" ht="15" customHeight="1">
      <c r="A467" t="inlineStr">
        <is>
          <t>A 42067-2020</t>
        </is>
      </c>
      <c r="B467" s="1" t="n">
        <v>44075</v>
      </c>
      <c r="C467" s="1" t="n">
        <v>45294</v>
      </c>
      <c r="D467" t="inlineStr">
        <is>
          <t>KALMAR LÄN</t>
        </is>
      </c>
      <c r="E467" t="inlineStr">
        <is>
          <t>VIMMERBY</t>
        </is>
      </c>
      <c r="G467" t="n">
        <v>1.9</v>
      </c>
      <c r="H467" t="n">
        <v>0</v>
      </c>
      <c r="I467" t="n">
        <v>0</v>
      </c>
      <c r="J467" t="n">
        <v>0</v>
      </c>
      <c r="K467" t="n">
        <v>0</v>
      </c>
      <c r="L467" t="n">
        <v>0</v>
      </c>
      <c r="M467" t="n">
        <v>0</v>
      </c>
      <c r="N467" t="n">
        <v>0</v>
      </c>
      <c r="O467" t="n">
        <v>0</v>
      </c>
      <c r="P467" t="n">
        <v>0</v>
      </c>
      <c r="Q467" t="n">
        <v>0</v>
      </c>
      <c r="R467" s="2" t="inlineStr"/>
    </row>
    <row r="468" ht="15" customHeight="1">
      <c r="A468" t="inlineStr">
        <is>
          <t>A 42494-2020</t>
        </is>
      </c>
      <c r="B468" s="1" t="n">
        <v>44077</v>
      </c>
      <c r="C468" s="1" t="n">
        <v>45294</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44000-2020</t>
        </is>
      </c>
      <c r="B469" s="1" t="n">
        <v>44083</v>
      </c>
      <c r="C469" s="1" t="n">
        <v>45294</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43998-2020</t>
        </is>
      </c>
      <c r="B470" s="1" t="n">
        <v>44083</v>
      </c>
      <c r="C470" s="1" t="n">
        <v>45294</v>
      </c>
      <c r="D470" t="inlineStr">
        <is>
          <t>KALMAR LÄN</t>
        </is>
      </c>
      <c r="E470" t="inlineStr">
        <is>
          <t>VIMMERBY</t>
        </is>
      </c>
      <c r="G470" t="n">
        <v>0.7</v>
      </c>
      <c r="H470" t="n">
        <v>0</v>
      </c>
      <c r="I470" t="n">
        <v>0</v>
      </c>
      <c r="J470" t="n">
        <v>0</v>
      </c>
      <c r="K470" t="n">
        <v>0</v>
      </c>
      <c r="L470" t="n">
        <v>0</v>
      </c>
      <c r="M470" t="n">
        <v>0</v>
      </c>
      <c r="N470" t="n">
        <v>0</v>
      </c>
      <c r="O470" t="n">
        <v>0</v>
      </c>
      <c r="P470" t="n">
        <v>0</v>
      </c>
      <c r="Q470" t="n">
        <v>0</v>
      </c>
      <c r="R470" s="2" t="inlineStr"/>
    </row>
    <row r="471" ht="15" customHeight="1">
      <c r="A471" t="inlineStr">
        <is>
          <t>A 44605-2020</t>
        </is>
      </c>
      <c r="B471" s="1" t="n">
        <v>44085</v>
      </c>
      <c r="C471" s="1" t="n">
        <v>45294</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45050-2020</t>
        </is>
      </c>
      <c r="B472" s="1" t="n">
        <v>44088</v>
      </c>
      <c r="C472" s="1" t="n">
        <v>45294</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45054-2020</t>
        </is>
      </c>
      <c r="B473" s="1" t="n">
        <v>44088</v>
      </c>
      <c r="C473" s="1" t="n">
        <v>45294</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45528-2020</t>
        </is>
      </c>
      <c r="B474" s="1" t="n">
        <v>44089</v>
      </c>
      <c r="C474" s="1" t="n">
        <v>45294</v>
      </c>
      <c r="D474" t="inlineStr">
        <is>
          <t>KALMAR LÄN</t>
        </is>
      </c>
      <c r="E474" t="inlineStr">
        <is>
          <t>VIMMERBY</t>
        </is>
      </c>
      <c r="G474" t="n">
        <v>3.8</v>
      </c>
      <c r="H474" t="n">
        <v>0</v>
      </c>
      <c r="I474" t="n">
        <v>0</v>
      </c>
      <c r="J474" t="n">
        <v>0</v>
      </c>
      <c r="K474" t="n">
        <v>0</v>
      </c>
      <c r="L474" t="n">
        <v>0</v>
      </c>
      <c r="M474" t="n">
        <v>0</v>
      </c>
      <c r="N474" t="n">
        <v>0</v>
      </c>
      <c r="O474" t="n">
        <v>0</v>
      </c>
      <c r="P474" t="n">
        <v>0</v>
      </c>
      <c r="Q474" t="n">
        <v>0</v>
      </c>
      <c r="R474" s="2" t="inlineStr"/>
    </row>
    <row r="475" ht="15" customHeight="1">
      <c r="A475" t="inlineStr">
        <is>
          <t>A 45678-2020</t>
        </is>
      </c>
      <c r="B475" s="1" t="n">
        <v>44090</v>
      </c>
      <c r="C475" s="1" t="n">
        <v>45294</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46085-2020</t>
        </is>
      </c>
      <c r="B476" s="1" t="n">
        <v>44091</v>
      </c>
      <c r="C476" s="1" t="n">
        <v>45294</v>
      </c>
      <c r="D476" t="inlineStr">
        <is>
          <t>KALMAR LÄN</t>
        </is>
      </c>
      <c r="E476" t="inlineStr">
        <is>
          <t>VIMMERBY</t>
        </is>
      </c>
      <c r="G476" t="n">
        <v>6.1</v>
      </c>
      <c r="H476" t="n">
        <v>0</v>
      </c>
      <c r="I476" t="n">
        <v>0</v>
      </c>
      <c r="J476" t="n">
        <v>0</v>
      </c>
      <c r="K476" t="n">
        <v>0</v>
      </c>
      <c r="L476" t="n">
        <v>0</v>
      </c>
      <c r="M476" t="n">
        <v>0</v>
      </c>
      <c r="N476" t="n">
        <v>0</v>
      </c>
      <c r="O476" t="n">
        <v>0</v>
      </c>
      <c r="P476" t="n">
        <v>0</v>
      </c>
      <c r="Q476" t="n">
        <v>0</v>
      </c>
      <c r="R476" s="2" t="inlineStr"/>
    </row>
    <row r="477" ht="15" customHeight="1">
      <c r="A477" t="inlineStr">
        <is>
          <t>A 46461-2020</t>
        </is>
      </c>
      <c r="B477" s="1" t="n">
        <v>44092</v>
      </c>
      <c r="C477" s="1" t="n">
        <v>45294</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46527-2020</t>
        </is>
      </c>
      <c r="B478" s="1" t="n">
        <v>44095</v>
      </c>
      <c r="C478" s="1" t="n">
        <v>45294</v>
      </c>
      <c r="D478" t="inlineStr">
        <is>
          <t>KALMAR LÄN</t>
        </is>
      </c>
      <c r="E478" t="inlineStr">
        <is>
          <t>VIMMERBY</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47295-2020</t>
        </is>
      </c>
      <c r="B479" s="1" t="n">
        <v>44097</v>
      </c>
      <c r="C479" s="1" t="n">
        <v>45294</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49059-2020</t>
        </is>
      </c>
      <c r="B480" s="1" t="n">
        <v>44102</v>
      </c>
      <c r="C480" s="1" t="n">
        <v>45294</v>
      </c>
      <c r="D480" t="inlineStr">
        <is>
          <t>KALMAR LÄN</t>
        </is>
      </c>
      <c r="E480" t="inlineStr">
        <is>
          <t>VIMMERBY</t>
        </is>
      </c>
      <c r="G480" t="n">
        <v>5.8</v>
      </c>
      <c r="H480" t="n">
        <v>0</v>
      </c>
      <c r="I480" t="n">
        <v>0</v>
      </c>
      <c r="J480" t="n">
        <v>0</v>
      </c>
      <c r="K480" t="n">
        <v>0</v>
      </c>
      <c r="L480" t="n">
        <v>0</v>
      </c>
      <c r="M480" t="n">
        <v>0</v>
      </c>
      <c r="N480" t="n">
        <v>0</v>
      </c>
      <c r="O480" t="n">
        <v>0</v>
      </c>
      <c r="P480" t="n">
        <v>0</v>
      </c>
      <c r="Q480" t="n">
        <v>0</v>
      </c>
      <c r="R480" s="2" t="inlineStr"/>
    </row>
    <row r="481" ht="15" customHeight="1">
      <c r="A481" t="inlineStr">
        <is>
          <t>A 48949-2020</t>
        </is>
      </c>
      <c r="B481" s="1" t="n">
        <v>44102</v>
      </c>
      <c r="C481" s="1" t="n">
        <v>45294</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49186-2020</t>
        </is>
      </c>
      <c r="B482" s="1" t="n">
        <v>44105</v>
      </c>
      <c r="C482" s="1" t="n">
        <v>45294</v>
      </c>
      <c r="D482" t="inlineStr">
        <is>
          <t>KALMAR LÄN</t>
        </is>
      </c>
      <c r="E482" t="inlineStr">
        <is>
          <t>VIMMERBY</t>
        </is>
      </c>
      <c r="F482" t="inlineStr">
        <is>
          <t>Sveaskog</t>
        </is>
      </c>
      <c r="G482" t="n">
        <v>3.8</v>
      </c>
      <c r="H482" t="n">
        <v>0</v>
      </c>
      <c r="I482" t="n">
        <v>0</v>
      </c>
      <c r="J482" t="n">
        <v>0</v>
      </c>
      <c r="K482" t="n">
        <v>0</v>
      </c>
      <c r="L482" t="n">
        <v>0</v>
      </c>
      <c r="M482" t="n">
        <v>0</v>
      </c>
      <c r="N482" t="n">
        <v>0</v>
      </c>
      <c r="O482" t="n">
        <v>0</v>
      </c>
      <c r="P482" t="n">
        <v>0</v>
      </c>
      <c r="Q482" t="n">
        <v>0</v>
      </c>
      <c r="R482" s="2" t="inlineStr"/>
    </row>
    <row r="483" ht="15" customHeight="1">
      <c r="A483" t="inlineStr">
        <is>
          <t>A 51571-2020</t>
        </is>
      </c>
      <c r="B483" s="1" t="n">
        <v>44109</v>
      </c>
      <c r="C483" s="1" t="n">
        <v>45294</v>
      </c>
      <c r="D483" t="inlineStr">
        <is>
          <t>KALMAR LÄN</t>
        </is>
      </c>
      <c r="E483" t="inlineStr">
        <is>
          <t>VIMMERBY</t>
        </is>
      </c>
      <c r="G483" t="n">
        <v>6.1</v>
      </c>
      <c r="H483" t="n">
        <v>0</v>
      </c>
      <c r="I483" t="n">
        <v>0</v>
      </c>
      <c r="J483" t="n">
        <v>0</v>
      </c>
      <c r="K483" t="n">
        <v>0</v>
      </c>
      <c r="L483" t="n">
        <v>0</v>
      </c>
      <c r="M483" t="n">
        <v>0</v>
      </c>
      <c r="N483" t="n">
        <v>0</v>
      </c>
      <c r="O483" t="n">
        <v>0</v>
      </c>
      <c r="P483" t="n">
        <v>0</v>
      </c>
      <c r="Q483" t="n">
        <v>0</v>
      </c>
      <c r="R483" s="2" t="inlineStr"/>
    </row>
    <row r="484" ht="15" customHeight="1">
      <c r="A484" t="inlineStr">
        <is>
          <t>A 51569-2020</t>
        </is>
      </c>
      <c r="B484" s="1" t="n">
        <v>44109</v>
      </c>
      <c r="C484" s="1" t="n">
        <v>45294</v>
      </c>
      <c r="D484" t="inlineStr">
        <is>
          <t>KALMAR LÄN</t>
        </is>
      </c>
      <c r="E484" t="inlineStr">
        <is>
          <t>VIMMERBY</t>
        </is>
      </c>
      <c r="G484" t="n">
        <v>2.3</v>
      </c>
      <c r="H484" t="n">
        <v>0</v>
      </c>
      <c r="I484" t="n">
        <v>0</v>
      </c>
      <c r="J484" t="n">
        <v>0</v>
      </c>
      <c r="K484" t="n">
        <v>0</v>
      </c>
      <c r="L484" t="n">
        <v>0</v>
      </c>
      <c r="M484" t="n">
        <v>0</v>
      </c>
      <c r="N484" t="n">
        <v>0</v>
      </c>
      <c r="O484" t="n">
        <v>0</v>
      </c>
      <c r="P484" t="n">
        <v>0</v>
      </c>
      <c r="Q484" t="n">
        <v>0</v>
      </c>
      <c r="R484" s="2" t="inlineStr"/>
    </row>
    <row r="485" ht="15" customHeight="1">
      <c r="A485" t="inlineStr">
        <is>
          <t>A 50764-2020</t>
        </is>
      </c>
      <c r="B485" s="1" t="n">
        <v>44111</v>
      </c>
      <c r="C485" s="1" t="n">
        <v>45294</v>
      </c>
      <c r="D485" t="inlineStr">
        <is>
          <t>KALMAR LÄN</t>
        </is>
      </c>
      <c r="E485" t="inlineStr">
        <is>
          <t>VIMMERBY</t>
        </is>
      </c>
      <c r="G485" t="n">
        <v>2.3</v>
      </c>
      <c r="H485" t="n">
        <v>0</v>
      </c>
      <c r="I485" t="n">
        <v>0</v>
      </c>
      <c r="J485" t="n">
        <v>0</v>
      </c>
      <c r="K485" t="n">
        <v>0</v>
      </c>
      <c r="L485" t="n">
        <v>0</v>
      </c>
      <c r="M485" t="n">
        <v>0</v>
      </c>
      <c r="N485" t="n">
        <v>0</v>
      </c>
      <c r="O485" t="n">
        <v>0</v>
      </c>
      <c r="P485" t="n">
        <v>0</v>
      </c>
      <c r="Q485" t="n">
        <v>0</v>
      </c>
      <c r="R485" s="2" t="inlineStr"/>
    </row>
    <row r="486" ht="15" customHeight="1">
      <c r="A486" t="inlineStr">
        <is>
          <t>A 51977-2020</t>
        </is>
      </c>
      <c r="B486" s="1" t="n">
        <v>44116</v>
      </c>
      <c r="C486" s="1" t="n">
        <v>45294</v>
      </c>
      <c r="D486" t="inlineStr">
        <is>
          <t>KALMAR LÄN</t>
        </is>
      </c>
      <c r="E486" t="inlineStr">
        <is>
          <t>VIMMERBY</t>
        </is>
      </c>
      <c r="G486" t="n">
        <v>1.5</v>
      </c>
      <c r="H486" t="n">
        <v>0</v>
      </c>
      <c r="I486" t="n">
        <v>0</v>
      </c>
      <c r="J486" t="n">
        <v>0</v>
      </c>
      <c r="K486" t="n">
        <v>0</v>
      </c>
      <c r="L486" t="n">
        <v>0</v>
      </c>
      <c r="M486" t="n">
        <v>0</v>
      </c>
      <c r="N486" t="n">
        <v>0</v>
      </c>
      <c r="O486" t="n">
        <v>0</v>
      </c>
      <c r="P486" t="n">
        <v>0</v>
      </c>
      <c r="Q486" t="n">
        <v>0</v>
      </c>
      <c r="R486" s="2" t="inlineStr"/>
    </row>
    <row r="487" ht="15" customHeight="1">
      <c r="A487" t="inlineStr">
        <is>
          <t>A 52073-2020</t>
        </is>
      </c>
      <c r="B487" s="1" t="n">
        <v>44117</v>
      </c>
      <c r="C487" s="1" t="n">
        <v>45294</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53100-2020</t>
        </is>
      </c>
      <c r="B488" s="1" t="n">
        <v>44120</v>
      </c>
      <c r="C488" s="1" t="n">
        <v>45294</v>
      </c>
      <c r="D488" t="inlineStr">
        <is>
          <t>KALMAR LÄN</t>
        </is>
      </c>
      <c r="E488" t="inlineStr">
        <is>
          <t>VIMMERBY</t>
        </is>
      </c>
      <c r="G488" t="n">
        <v>1.2</v>
      </c>
      <c r="H488" t="n">
        <v>0</v>
      </c>
      <c r="I488" t="n">
        <v>0</v>
      </c>
      <c r="J488" t="n">
        <v>0</v>
      </c>
      <c r="K488" t="n">
        <v>0</v>
      </c>
      <c r="L488" t="n">
        <v>0</v>
      </c>
      <c r="M488" t="n">
        <v>0</v>
      </c>
      <c r="N488" t="n">
        <v>0</v>
      </c>
      <c r="O488" t="n">
        <v>0</v>
      </c>
      <c r="P488" t="n">
        <v>0</v>
      </c>
      <c r="Q488" t="n">
        <v>0</v>
      </c>
      <c r="R488" s="2" t="inlineStr"/>
    </row>
    <row r="489" ht="15" customHeight="1">
      <c r="A489" t="inlineStr">
        <is>
          <t>A 53387-2020</t>
        </is>
      </c>
      <c r="B489" s="1" t="n">
        <v>44123</v>
      </c>
      <c r="C489" s="1" t="n">
        <v>45294</v>
      </c>
      <c r="D489" t="inlineStr">
        <is>
          <t>KALMAR LÄN</t>
        </is>
      </c>
      <c r="E489" t="inlineStr">
        <is>
          <t>VIMMERBY</t>
        </is>
      </c>
      <c r="G489" t="n">
        <v>7.2</v>
      </c>
      <c r="H489" t="n">
        <v>0</v>
      </c>
      <c r="I489" t="n">
        <v>0</v>
      </c>
      <c r="J489" t="n">
        <v>0</v>
      </c>
      <c r="K489" t="n">
        <v>0</v>
      </c>
      <c r="L489" t="n">
        <v>0</v>
      </c>
      <c r="M489" t="n">
        <v>0</v>
      </c>
      <c r="N489" t="n">
        <v>0</v>
      </c>
      <c r="O489" t="n">
        <v>0</v>
      </c>
      <c r="P489" t="n">
        <v>0</v>
      </c>
      <c r="Q489" t="n">
        <v>0</v>
      </c>
      <c r="R489" s="2" t="inlineStr"/>
    </row>
    <row r="490" ht="15" customHeight="1">
      <c r="A490" t="inlineStr">
        <is>
          <t>A 53711-2020</t>
        </is>
      </c>
      <c r="B490" s="1" t="n">
        <v>44124</v>
      </c>
      <c r="C490" s="1" t="n">
        <v>45294</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54917-2020</t>
        </is>
      </c>
      <c r="B491" s="1" t="n">
        <v>44127</v>
      </c>
      <c r="C491" s="1" t="n">
        <v>45294</v>
      </c>
      <c r="D491" t="inlineStr">
        <is>
          <t>KALMAR LÄN</t>
        </is>
      </c>
      <c r="E491" t="inlineStr">
        <is>
          <t>VIMMERBY</t>
        </is>
      </c>
      <c r="G491" t="n">
        <v>9.5</v>
      </c>
      <c r="H491" t="n">
        <v>0</v>
      </c>
      <c r="I491" t="n">
        <v>0</v>
      </c>
      <c r="J491" t="n">
        <v>0</v>
      </c>
      <c r="K491" t="n">
        <v>0</v>
      </c>
      <c r="L491" t="n">
        <v>0</v>
      </c>
      <c r="M491" t="n">
        <v>0</v>
      </c>
      <c r="N491" t="n">
        <v>0</v>
      </c>
      <c r="O491" t="n">
        <v>0</v>
      </c>
      <c r="P491" t="n">
        <v>0</v>
      </c>
      <c r="Q491" t="n">
        <v>0</v>
      </c>
      <c r="R491" s="2" t="inlineStr"/>
    </row>
    <row r="492" ht="15" customHeight="1">
      <c r="A492" t="inlineStr">
        <is>
          <t>A 55053-2020</t>
        </is>
      </c>
      <c r="B492" s="1" t="n">
        <v>44130</v>
      </c>
      <c r="C492" s="1" t="n">
        <v>45294</v>
      </c>
      <c r="D492" t="inlineStr">
        <is>
          <t>KALMAR LÄN</t>
        </is>
      </c>
      <c r="E492" t="inlineStr">
        <is>
          <t>VIMMERBY</t>
        </is>
      </c>
      <c r="G492" t="n">
        <v>1</v>
      </c>
      <c r="H492" t="n">
        <v>0</v>
      </c>
      <c r="I492" t="n">
        <v>0</v>
      </c>
      <c r="J492" t="n">
        <v>0</v>
      </c>
      <c r="K492" t="n">
        <v>0</v>
      </c>
      <c r="L492" t="n">
        <v>0</v>
      </c>
      <c r="M492" t="n">
        <v>0</v>
      </c>
      <c r="N492" t="n">
        <v>0</v>
      </c>
      <c r="O492" t="n">
        <v>0</v>
      </c>
      <c r="P492" t="n">
        <v>0</v>
      </c>
      <c r="Q492" t="n">
        <v>0</v>
      </c>
      <c r="R492" s="2" t="inlineStr"/>
    </row>
    <row r="493" ht="15" customHeight="1">
      <c r="A493" t="inlineStr">
        <is>
          <t>A 57948-2020</t>
        </is>
      </c>
      <c r="B493" s="1" t="n">
        <v>44142</v>
      </c>
      <c r="C493" s="1" t="n">
        <v>45294</v>
      </c>
      <c r="D493" t="inlineStr">
        <is>
          <t>KALMAR LÄN</t>
        </is>
      </c>
      <c r="E493" t="inlineStr">
        <is>
          <t>VIMMERBY</t>
        </is>
      </c>
      <c r="G493" t="n">
        <v>7.1</v>
      </c>
      <c r="H493" t="n">
        <v>0</v>
      </c>
      <c r="I493" t="n">
        <v>0</v>
      </c>
      <c r="J493" t="n">
        <v>0</v>
      </c>
      <c r="K493" t="n">
        <v>0</v>
      </c>
      <c r="L493" t="n">
        <v>0</v>
      </c>
      <c r="M493" t="n">
        <v>0</v>
      </c>
      <c r="N493" t="n">
        <v>0</v>
      </c>
      <c r="O493" t="n">
        <v>0</v>
      </c>
      <c r="P493" t="n">
        <v>0</v>
      </c>
      <c r="Q493" t="n">
        <v>0</v>
      </c>
      <c r="R493" s="2" t="inlineStr"/>
    </row>
    <row r="494" ht="15" customHeight="1">
      <c r="A494" t="inlineStr">
        <is>
          <t>A 58026-2020</t>
        </is>
      </c>
      <c r="B494" s="1" t="n">
        <v>44144</v>
      </c>
      <c r="C494" s="1" t="n">
        <v>45294</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58145-2020</t>
        </is>
      </c>
      <c r="B495" s="1" t="n">
        <v>44144</v>
      </c>
      <c r="C495" s="1" t="n">
        <v>45294</v>
      </c>
      <c r="D495" t="inlineStr">
        <is>
          <t>KALMAR LÄN</t>
        </is>
      </c>
      <c r="E495" t="inlineStr">
        <is>
          <t>VIMMERBY</t>
        </is>
      </c>
      <c r="G495" t="n">
        <v>1.9</v>
      </c>
      <c r="H495" t="n">
        <v>0</v>
      </c>
      <c r="I495" t="n">
        <v>0</v>
      </c>
      <c r="J495" t="n">
        <v>0</v>
      </c>
      <c r="K495" t="n">
        <v>0</v>
      </c>
      <c r="L495" t="n">
        <v>0</v>
      </c>
      <c r="M495" t="n">
        <v>0</v>
      </c>
      <c r="N495" t="n">
        <v>0</v>
      </c>
      <c r="O495" t="n">
        <v>0</v>
      </c>
      <c r="P495" t="n">
        <v>0</v>
      </c>
      <c r="Q495" t="n">
        <v>0</v>
      </c>
      <c r="R495" s="2" t="inlineStr"/>
    </row>
    <row r="496" ht="15" customHeight="1">
      <c r="A496" t="inlineStr">
        <is>
          <t>A 60810-2020</t>
        </is>
      </c>
      <c r="B496" s="1" t="n">
        <v>44154</v>
      </c>
      <c r="C496" s="1" t="n">
        <v>45294</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61878-2020</t>
        </is>
      </c>
      <c r="B497" s="1" t="n">
        <v>44159</v>
      </c>
      <c r="C497" s="1" t="n">
        <v>45294</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64707-2020</t>
        </is>
      </c>
      <c r="B498" s="1" t="n">
        <v>44169</v>
      </c>
      <c r="C498" s="1" t="n">
        <v>45294</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65049-2020</t>
        </is>
      </c>
      <c r="B499" s="1" t="n">
        <v>44172</v>
      </c>
      <c r="C499" s="1" t="n">
        <v>45294</v>
      </c>
      <c r="D499" t="inlineStr">
        <is>
          <t>KALMAR LÄN</t>
        </is>
      </c>
      <c r="E499" t="inlineStr">
        <is>
          <t>VIMMERBY</t>
        </is>
      </c>
      <c r="G499" t="n">
        <v>2.3</v>
      </c>
      <c r="H499" t="n">
        <v>0</v>
      </c>
      <c r="I499" t="n">
        <v>0</v>
      </c>
      <c r="J499" t="n">
        <v>0</v>
      </c>
      <c r="K499" t="n">
        <v>0</v>
      </c>
      <c r="L499" t="n">
        <v>0</v>
      </c>
      <c r="M499" t="n">
        <v>0</v>
      </c>
      <c r="N499" t="n">
        <v>0</v>
      </c>
      <c r="O499" t="n">
        <v>0</v>
      </c>
      <c r="P499" t="n">
        <v>0</v>
      </c>
      <c r="Q499" t="n">
        <v>0</v>
      </c>
      <c r="R499" s="2" t="inlineStr"/>
    </row>
    <row r="500" ht="15" customHeight="1">
      <c r="A500" t="inlineStr">
        <is>
          <t>A 65564-2020</t>
        </is>
      </c>
      <c r="B500" s="1" t="n">
        <v>44172</v>
      </c>
      <c r="C500" s="1" t="n">
        <v>45294</v>
      </c>
      <c r="D500" t="inlineStr">
        <is>
          <t>KALMAR LÄN</t>
        </is>
      </c>
      <c r="E500" t="inlineStr">
        <is>
          <t>VIMMERBY</t>
        </is>
      </c>
      <c r="G500" t="n">
        <v>4.1</v>
      </c>
      <c r="H500" t="n">
        <v>0</v>
      </c>
      <c r="I500" t="n">
        <v>0</v>
      </c>
      <c r="J500" t="n">
        <v>0</v>
      </c>
      <c r="K500" t="n">
        <v>0</v>
      </c>
      <c r="L500" t="n">
        <v>0</v>
      </c>
      <c r="M500" t="n">
        <v>0</v>
      </c>
      <c r="N500" t="n">
        <v>0</v>
      </c>
      <c r="O500" t="n">
        <v>0</v>
      </c>
      <c r="P500" t="n">
        <v>0</v>
      </c>
      <c r="Q500" t="n">
        <v>0</v>
      </c>
      <c r="R500" s="2" t="inlineStr"/>
    </row>
    <row r="501" ht="15" customHeight="1">
      <c r="A501" t="inlineStr">
        <is>
          <t>A 65956-2020</t>
        </is>
      </c>
      <c r="B501" s="1" t="n">
        <v>44175</v>
      </c>
      <c r="C501" s="1" t="n">
        <v>45294</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65952-2020</t>
        </is>
      </c>
      <c r="B502" s="1" t="n">
        <v>44175</v>
      </c>
      <c r="C502" s="1" t="n">
        <v>45294</v>
      </c>
      <c r="D502" t="inlineStr">
        <is>
          <t>KALMAR LÄN</t>
        </is>
      </c>
      <c r="E502" t="inlineStr">
        <is>
          <t>VIMMERBY</t>
        </is>
      </c>
      <c r="G502" t="n">
        <v>1.9</v>
      </c>
      <c r="H502" t="n">
        <v>0</v>
      </c>
      <c r="I502" t="n">
        <v>0</v>
      </c>
      <c r="J502" t="n">
        <v>0</v>
      </c>
      <c r="K502" t="n">
        <v>0</v>
      </c>
      <c r="L502" t="n">
        <v>0</v>
      </c>
      <c r="M502" t="n">
        <v>0</v>
      </c>
      <c r="N502" t="n">
        <v>0</v>
      </c>
      <c r="O502" t="n">
        <v>0</v>
      </c>
      <c r="P502" t="n">
        <v>0</v>
      </c>
      <c r="Q502" t="n">
        <v>0</v>
      </c>
      <c r="R502" s="2" t="inlineStr"/>
    </row>
    <row r="503" ht="15" customHeight="1">
      <c r="A503" t="inlineStr">
        <is>
          <t>A 65961-2020</t>
        </is>
      </c>
      <c r="B503" s="1" t="n">
        <v>44175</v>
      </c>
      <c r="C503" s="1" t="n">
        <v>45294</v>
      </c>
      <c r="D503" t="inlineStr">
        <is>
          <t>KALMAR LÄN</t>
        </is>
      </c>
      <c r="E503" t="inlineStr">
        <is>
          <t>VIMMERBY</t>
        </is>
      </c>
      <c r="G503" t="n">
        <v>2.6</v>
      </c>
      <c r="H503" t="n">
        <v>0</v>
      </c>
      <c r="I503" t="n">
        <v>0</v>
      </c>
      <c r="J503" t="n">
        <v>0</v>
      </c>
      <c r="K503" t="n">
        <v>0</v>
      </c>
      <c r="L503" t="n">
        <v>0</v>
      </c>
      <c r="M503" t="n">
        <v>0</v>
      </c>
      <c r="N503" t="n">
        <v>0</v>
      </c>
      <c r="O503" t="n">
        <v>0</v>
      </c>
      <c r="P503" t="n">
        <v>0</v>
      </c>
      <c r="Q503" t="n">
        <v>0</v>
      </c>
      <c r="R503" s="2" t="inlineStr"/>
    </row>
    <row r="504" ht="15" customHeight="1">
      <c r="A504" t="inlineStr">
        <is>
          <t>A 65973-2020</t>
        </is>
      </c>
      <c r="B504" s="1" t="n">
        <v>44175</v>
      </c>
      <c r="C504" s="1" t="n">
        <v>45294</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66913-2020</t>
        </is>
      </c>
      <c r="B505" s="1" t="n">
        <v>44175</v>
      </c>
      <c r="C505" s="1" t="n">
        <v>45294</v>
      </c>
      <c r="D505" t="inlineStr">
        <is>
          <t>KALMAR LÄN</t>
        </is>
      </c>
      <c r="E505" t="inlineStr">
        <is>
          <t>VIMMERBY</t>
        </is>
      </c>
      <c r="G505" t="n">
        <v>5.6</v>
      </c>
      <c r="H505" t="n">
        <v>0</v>
      </c>
      <c r="I505" t="n">
        <v>0</v>
      </c>
      <c r="J505" t="n">
        <v>0</v>
      </c>
      <c r="K505" t="n">
        <v>0</v>
      </c>
      <c r="L505" t="n">
        <v>0</v>
      </c>
      <c r="M505" t="n">
        <v>0</v>
      </c>
      <c r="N505" t="n">
        <v>0</v>
      </c>
      <c r="O505" t="n">
        <v>0</v>
      </c>
      <c r="P505" t="n">
        <v>0</v>
      </c>
      <c r="Q505" t="n">
        <v>0</v>
      </c>
      <c r="R505" s="2" t="inlineStr"/>
    </row>
    <row r="506" ht="15" customHeight="1">
      <c r="A506" t="inlineStr">
        <is>
          <t>A 66295-2020</t>
        </is>
      </c>
      <c r="B506" s="1" t="n">
        <v>44176</v>
      </c>
      <c r="C506" s="1" t="n">
        <v>45294</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68744-2020</t>
        </is>
      </c>
      <c r="B507" s="1" t="n">
        <v>44186</v>
      </c>
      <c r="C507" s="1" t="n">
        <v>45294</v>
      </c>
      <c r="D507" t="inlineStr">
        <is>
          <t>KALMAR LÄN</t>
        </is>
      </c>
      <c r="E507" t="inlineStr">
        <is>
          <t>VIMMERBY</t>
        </is>
      </c>
      <c r="G507" t="n">
        <v>2.5</v>
      </c>
      <c r="H507" t="n">
        <v>0</v>
      </c>
      <c r="I507" t="n">
        <v>0</v>
      </c>
      <c r="J507" t="n">
        <v>0</v>
      </c>
      <c r="K507" t="n">
        <v>0</v>
      </c>
      <c r="L507" t="n">
        <v>0</v>
      </c>
      <c r="M507" t="n">
        <v>0</v>
      </c>
      <c r="N507" t="n">
        <v>0</v>
      </c>
      <c r="O507" t="n">
        <v>0</v>
      </c>
      <c r="P507" t="n">
        <v>0</v>
      </c>
      <c r="Q507" t="n">
        <v>0</v>
      </c>
      <c r="R507" s="2" t="inlineStr"/>
    </row>
    <row r="508" ht="15" customHeight="1">
      <c r="A508" t="inlineStr">
        <is>
          <t>A 68785-2020</t>
        </is>
      </c>
      <c r="B508" s="1" t="n">
        <v>44186</v>
      </c>
      <c r="C508" s="1" t="n">
        <v>45294</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618-2021</t>
        </is>
      </c>
      <c r="B509" s="1" t="n">
        <v>44203</v>
      </c>
      <c r="C509" s="1" t="n">
        <v>45294</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1929-2021</t>
        </is>
      </c>
      <c r="B510" s="1" t="n">
        <v>44210</v>
      </c>
      <c r="C510" s="1" t="n">
        <v>45294</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2555-2021</t>
        </is>
      </c>
      <c r="B511" s="1" t="n">
        <v>44214</v>
      </c>
      <c r="C511" s="1" t="n">
        <v>45294</v>
      </c>
      <c r="D511" t="inlineStr">
        <is>
          <t>KALMAR LÄN</t>
        </is>
      </c>
      <c r="E511" t="inlineStr">
        <is>
          <t>VIMMERBY</t>
        </is>
      </c>
      <c r="G511" t="n">
        <v>7.3</v>
      </c>
      <c r="H511" t="n">
        <v>0</v>
      </c>
      <c r="I511" t="n">
        <v>0</v>
      </c>
      <c r="J511" t="n">
        <v>0</v>
      </c>
      <c r="K511" t="n">
        <v>0</v>
      </c>
      <c r="L511" t="n">
        <v>0</v>
      </c>
      <c r="M511" t="n">
        <v>0</v>
      </c>
      <c r="N511" t="n">
        <v>0</v>
      </c>
      <c r="O511" t="n">
        <v>0</v>
      </c>
      <c r="P511" t="n">
        <v>0</v>
      </c>
      <c r="Q511" t="n">
        <v>0</v>
      </c>
      <c r="R511" s="2" t="inlineStr"/>
    </row>
    <row r="512" ht="15" customHeight="1">
      <c r="A512" t="inlineStr">
        <is>
          <t>A 2654-2021</t>
        </is>
      </c>
      <c r="B512" s="1" t="n">
        <v>44215</v>
      </c>
      <c r="C512" s="1" t="n">
        <v>45294</v>
      </c>
      <c r="D512" t="inlineStr">
        <is>
          <t>KALMAR LÄN</t>
        </is>
      </c>
      <c r="E512" t="inlineStr">
        <is>
          <t>VIMMERBY</t>
        </is>
      </c>
      <c r="G512" t="n">
        <v>1.2</v>
      </c>
      <c r="H512" t="n">
        <v>0</v>
      </c>
      <c r="I512" t="n">
        <v>0</v>
      </c>
      <c r="J512" t="n">
        <v>0</v>
      </c>
      <c r="K512" t="n">
        <v>0</v>
      </c>
      <c r="L512" t="n">
        <v>0</v>
      </c>
      <c r="M512" t="n">
        <v>0</v>
      </c>
      <c r="N512" t="n">
        <v>0</v>
      </c>
      <c r="O512" t="n">
        <v>0</v>
      </c>
      <c r="P512" t="n">
        <v>0</v>
      </c>
      <c r="Q512" t="n">
        <v>0</v>
      </c>
      <c r="R512" s="2" t="inlineStr"/>
    </row>
    <row r="513" ht="15" customHeight="1">
      <c r="A513" t="inlineStr">
        <is>
          <t>A 3330-2021</t>
        </is>
      </c>
      <c r="B513" s="1" t="n">
        <v>44217</v>
      </c>
      <c r="C513" s="1" t="n">
        <v>45294</v>
      </c>
      <c r="D513" t="inlineStr">
        <is>
          <t>KALMAR LÄN</t>
        </is>
      </c>
      <c r="E513" t="inlineStr">
        <is>
          <t>VIMMERBY</t>
        </is>
      </c>
      <c r="G513" t="n">
        <v>11.1</v>
      </c>
      <c r="H513" t="n">
        <v>0</v>
      </c>
      <c r="I513" t="n">
        <v>0</v>
      </c>
      <c r="J513" t="n">
        <v>0</v>
      </c>
      <c r="K513" t="n">
        <v>0</v>
      </c>
      <c r="L513" t="n">
        <v>0</v>
      </c>
      <c r="M513" t="n">
        <v>0</v>
      </c>
      <c r="N513" t="n">
        <v>0</v>
      </c>
      <c r="O513" t="n">
        <v>0</v>
      </c>
      <c r="P513" t="n">
        <v>0</v>
      </c>
      <c r="Q513" t="n">
        <v>0</v>
      </c>
      <c r="R513" s="2" t="inlineStr"/>
    </row>
    <row r="514" ht="15" customHeight="1">
      <c r="A514" t="inlineStr">
        <is>
          <t>A 3184-2021</t>
        </is>
      </c>
      <c r="B514" s="1" t="n">
        <v>44217</v>
      </c>
      <c r="C514" s="1" t="n">
        <v>45294</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3621-2021</t>
        </is>
      </c>
      <c r="B515" s="1" t="n">
        <v>44221</v>
      </c>
      <c r="C515" s="1" t="n">
        <v>45294</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4762-2021</t>
        </is>
      </c>
      <c r="B516" s="1" t="n">
        <v>44225</v>
      </c>
      <c r="C516" s="1" t="n">
        <v>45294</v>
      </c>
      <c r="D516" t="inlineStr">
        <is>
          <t>KALMAR LÄN</t>
        </is>
      </c>
      <c r="E516" t="inlineStr">
        <is>
          <t>VIMMERBY</t>
        </is>
      </c>
      <c r="G516" t="n">
        <v>5.3</v>
      </c>
      <c r="H516" t="n">
        <v>0</v>
      </c>
      <c r="I516" t="n">
        <v>0</v>
      </c>
      <c r="J516" t="n">
        <v>0</v>
      </c>
      <c r="K516" t="n">
        <v>0</v>
      </c>
      <c r="L516" t="n">
        <v>0</v>
      </c>
      <c r="M516" t="n">
        <v>0</v>
      </c>
      <c r="N516" t="n">
        <v>0</v>
      </c>
      <c r="O516" t="n">
        <v>0</v>
      </c>
      <c r="P516" t="n">
        <v>0</v>
      </c>
      <c r="Q516" t="n">
        <v>0</v>
      </c>
      <c r="R516" s="2" t="inlineStr"/>
    </row>
    <row r="517" ht="15" customHeight="1">
      <c r="A517" t="inlineStr">
        <is>
          <t>A 5689-2021</t>
        </is>
      </c>
      <c r="B517" s="1" t="n">
        <v>44230</v>
      </c>
      <c r="C517" s="1" t="n">
        <v>45294</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5654-2021</t>
        </is>
      </c>
      <c r="B518" s="1" t="n">
        <v>44230</v>
      </c>
      <c r="C518" s="1" t="n">
        <v>45294</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6841-2021</t>
        </is>
      </c>
      <c r="B519" s="1" t="n">
        <v>44236</v>
      </c>
      <c r="C519" s="1" t="n">
        <v>45294</v>
      </c>
      <c r="D519" t="inlineStr">
        <is>
          <t>KALMAR LÄN</t>
        </is>
      </c>
      <c r="E519" t="inlineStr">
        <is>
          <t>VIMMERBY</t>
        </is>
      </c>
      <c r="G519" t="n">
        <v>25</v>
      </c>
      <c r="H519" t="n">
        <v>0</v>
      </c>
      <c r="I519" t="n">
        <v>0</v>
      </c>
      <c r="J519" t="n">
        <v>0</v>
      </c>
      <c r="K519" t="n">
        <v>0</v>
      </c>
      <c r="L519" t="n">
        <v>0</v>
      </c>
      <c r="M519" t="n">
        <v>0</v>
      </c>
      <c r="N519" t="n">
        <v>0</v>
      </c>
      <c r="O519" t="n">
        <v>0</v>
      </c>
      <c r="P519" t="n">
        <v>0</v>
      </c>
      <c r="Q519" t="n">
        <v>0</v>
      </c>
      <c r="R519" s="2" t="inlineStr"/>
    </row>
    <row r="520" ht="15" customHeight="1">
      <c r="A520" t="inlineStr">
        <is>
          <t>A 7072-2021</t>
        </is>
      </c>
      <c r="B520" s="1" t="n">
        <v>44237</v>
      </c>
      <c r="C520" s="1" t="n">
        <v>45294</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7075-2021</t>
        </is>
      </c>
      <c r="B521" s="1" t="n">
        <v>44237</v>
      </c>
      <c r="C521" s="1" t="n">
        <v>45294</v>
      </c>
      <c r="D521" t="inlineStr">
        <is>
          <t>KALMAR LÄN</t>
        </is>
      </c>
      <c r="E521" t="inlineStr">
        <is>
          <t>VIMMERBY</t>
        </is>
      </c>
      <c r="G521" t="n">
        <v>3.6</v>
      </c>
      <c r="H521" t="n">
        <v>0</v>
      </c>
      <c r="I521" t="n">
        <v>0</v>
      </c>
      <c r="J521" t="n">
        <v>0</v>
      </c>
      <c r="K521" t="n">
        <v>0</v>
      </c>
      <c r="L521" t="n">
        <v>0</v>
      </c>
      <c r="M521" t="n">
        <v>0</v>
      </c>
      <c r="N521" t="n">
        <v>0</v>
      </c>
      <c r="O521" t="n">
        <v>0</v>
      </c>
      <c r="P521" t="n">
        <v>0</v>
      </c>
      <c r="Q521" t="n">
        <v>0</v>
      </c>
      <c r="R521" s="2" t="inlineStr"/>
    </row>
    <row r="522" ht="15" customHeight="1">
      <c r="A522" t="inlineStr">
        <is>
          <t>A 7515-2021</t>
        </is>
      </c>
      <c r="B522" s="1" t="n">
        <v>44238</v>
      </c>
      <c r="C522" s="1" t="n">
        <v>45294</v>
      </c>
      <c r="D522" t="inlineStr">
        <is>
          <t>KALMAR LÄN</t>
        </is>
      </c>
      <c r="E522" t="inlineStr">
        <is>
          <t>VIMMERBY</t>
        </is>
      </c>
      <c r="G522" t="n">
        <v>20.9</v>
      </c>
      <c r="H522" t="n">
        <v>0</v>
      </c>
      <c r="I522" t="n">
        <v>0</v>
      </c>
      <c r="J522" t="n">
        <v>0</v>
      </c>
      <c r="K522" t="n">
        <v>0</v>
      </c>
      <c r="L522" t="n">
        <v>0</v>
      </c>
      <c r="M522" t="n">
        <v>0</v>
      </c>
      <c r="N522" t="n">
        <v>0</v>
      </c>
      <c r="O522" t="n">
        <v>0</v>
      </c>
      <c r="P522" t="n">
        <v>0</v>
      </c>
      <c r="Q522" t="n">
        <v>0</v>
      </c>
      <c r="R522" s="2" t="inlineStr"/>
    </row>
    <row r="523" ht="15" customHeight="1">
      <c r="A523" t="inlineStr">
        <is>
          <t>A 7828-2021</t>
        </is>
      </c>
      <c r="B523" s="1" t="n">
        <v>44242</v>
      </c>
      <c r="C523" s="1" t="n">
        <v>45294</v>
      </c>
      <c r="D523" t="inlineStr">
        <is>
          <t>KALMAR LÄN</t>
        </is>
      </c>
      <c r="E523" t="inlineStr">
        <is>
          <t>VIMMERBY</t>
        </is>
      </c>
      <c r="G523" t="n">
        <v>26</v>
      </c>
      <c r="H523" t="n">
        <v>0</v>
      </c>
      <c r="I523" t="n">
        <v>0</v>
      </c>
      <c r="J523" t="n">
        <v>0</v>
      </c>
      <c r="K523" t="n">
        <v>0</v>
      </c>
      <c r="L523" t="n">
        <v>0</v>
      </c>
      <c r="M523" t="n">
        <v>0</v>
      </c>
      <c r="N523" t="n">
        <v>0</v>
      </c>
      <c r="O523" t="n">
        <v>0</v>
      </c>
      <c r="P523" t="n">
        <v>0</v>
      </c>
      <c r="Q523" t="n">
        <v>0</v>
      </c>
      <c r="R523" s="2" t="inlineStr"/>
    </row>
    <row r="524" ht="15" customHeight="1">
      <c r="A524" t="inlineStr">
        <is>
          <t>A 8121-2021</t>
        </is>
      </c>
      <c r="B524" s="1" t="n">
        <v>44243</v>
      </c>
      <c r="C524" s="1" t="n">
        <v>45294</v>
      </c>
      <c r="D524" t="inlineStr">
        <is>
          <t>KALMAR LÄN</t>
        </is>
      </c>
      <c r="E524" t="inlineStr">
        <is>
          <t>VIMMERBY</t>
        </is>
      </c>
      <c r="G524" t="n">
        <v>1.2</v>
      </c>
      <c r="H524" t="n">
        <v>0</v>
      </c>
      <c r="I524" t="n">
        <v>0</v>
      </c>
      <c r="J524" t="n">
        <v>0</v>
      </c>
      <c r="K524" t="n">
        <v>0</v>
      </c>
      <c r="L524" t="n">
        <v>0</v>
      </c>
      <c r="M524" t="n">
        <v>0</v>
      </c>
      <c r="N524" t="n">
        <v>0</v>
      </c>
      <c r="O524" t="n">
        <v>0</v>
      </c>
      <c r="P524" t="n">
        <v>0</v>
      </c>
      <c r="Q524" t="n">
        <v>0</v>
      </c>
      <c r="R524" s="2" t="inlineStr"/>
    </row>
    <row r="525" ht="15" customHeight="1">
      <c r="A525" t="inlineStr">
        <is>
          <t>A 8086-2021</t>
        </is>
      </c>
      <c r="B525" s="1" t="n">
        <v>44243</v>
      </c>
      <c r="C525" s="1" t="n">
        <v>45294</v>
      </c>
      <c r="D525" t="inlineStr">
        <is>
          <t>KALMAR LÄN</t>
        </is>
      </c>
      <c r="E525" t="inlineStr">
        <is>
          <t>VIMMERBY</t>
        </is>
      </c>
      <c r="G525" t="n">
        <v>4.1</v>
      </c>
      <c r="H525" t="n">
        <v>0</v>
      </c>
      <c r="I525" t="n">
        <v>0</v>
      </c>
      <c r="J525" t="n">
        <v>0</v>
      </c>
      <c r="K525" t="n">
        <v>0</v>
      </c>
      <c r="L525" t="n">
        <v>0</v>
      </c>
      <c r="M525" t="n">
        <v>0</v>
      </c>
      <c r="N525" t="n">
        <v>0</v>
      </c>
      <c r="O525" t="n">
        <v>0</v>
      </c>
      <c r="P525" t="n">
        <v>0</v>
      </c>
      <c r="Q525" t="n">
        <v>0</v>
      </c>
      <c r="R525" s="2" t="inlineStr"/>
    </row>
    <row r="526" ht="15" customHeight="1">
      <c r="A526" t="inlineStr">
        <is>
          <t>A 8415-2021</t>
        </is>
      </c>
      <c r="B526" s="1" t="n">
        <v>44245</v>
      </c>
      <c r="C526" s="1" t="n">
        <v>45294</v>
      </c>
      <c r="D526" t="inlineStr">
        <is>
          <t>KALMAR LÄN</t>
        </is>
      </c>
      <c r="E526" t="inlineStr">
        <is>
          <t>VIMMERBY</t>
        </is>
      </c>
      <c r="G526" t="n">
        <v>4.7</v>
      </c>
      <c r="H526" t="n">
        <v>0</v>
      </c>
      <c r="I526" t="n">
        <v>0</v>
      </c>
      <c r="J526" t="n">
        <v>0</v>
      </c>
      <c r="K526" t="n">
        <v>0</v>
      </c>
      <c r="L526" t="n">
        <v>0</v>
      </c>
      <c r="M526" t="n">
        <v>0</v>
      </c>
      <c r="N526" t="n">
        <v>0</v>
      </c>
      <c r="O526" t="n">
        <v>0</v>
      </c>
      <c r="P526" t="n">
        <v>0</v>
      </c>
      <c r="Q526" t="n">
        <v>0</v>
      </c>
      <c r="R526" s="2" t="inlineStr"/>
    </row>
    <row r="527" ht="15" customHeight="1">
      <c r="A527" t="inlineStr">
        <is>
          <t>A 9836-2021</t>
        </is>
      </c>
      <c r="B527" s="1" t="n">
        <v>44253</v>
      </c>
      <c r="C527" s="1" t="n">
        <v>45294</v>
      </c>
      <c r="D527" t="inlineStr">
        <is>
          <t>KALMAR LÄN</t>
        </is>
      </c>
      <c r="E527" t="inlineStr">
        <is>
          <t>VIMMERBY</t>
        </is>
      </c>
      <c r="F527" t="inlineStr">
        <is>
          <t>Sveaskog</t>
        </is>
      </c>
      <c r="G527" t="n">
        <v>3.8</v>
      </c>
      <c r="H527" t="n">
        <v>0</v>
      </c>
      <c r="I527" t="n">
        <v>0</v>
      </c>
      <c r="J527" t="n">
        <v>0</v>
      </c>
      <c r="K527" t="n">
        <v>0</v>
      </c>
      <c r="L527" t="n">
        <v>0</v>
      </c>
      <c r="M527" t="n">
        <v>0</v>
      </c>
      <c r="N527" t="n">
        <v>0</v>
      </c>
      <c r="O527" t="n">
        <v>0</v>
      </c>
      <c r="P527" t="n">
        <v>0</v>
      </c>
      <c r="Q527" t="n">
        <v>0</v>
      </c>
      <c r="R527" s="2" t="inlineStr"/>
    </row>
    <row r="528" ht="15" customHeight="1">
      <c r="A528" t="inlineStr">
        <is>
          <t>A 10674-2021</t>
        </is>
      </c>
      <c r="B528" s="1" t="n">
        <v>44258</v>
      </c>
      <c r="C528" s="1" t="n">
        <v>45294</v>
      </c>
      <c r="D528" t="inlineStr">
        <is>
          <t>KALMAR LÄN</t>
        </is>
      </c>
      <c r="E528" t="inlineStr">
        <is>
          <t>VIMMERBY</t>
        </is>
      </c>
      <c r="G528" t="n">
        <v>8.4</v>
      </c>
      <c r="H528" t="n">
        <v>0</v>
      </c>
      <c r="I528" t="n">
        <v>0</v>
      </c>
      <c r="J528" t="n">
        <v>0</v>
      </c>
      <c r="K528" t="n">
        <v>0</v>
      </c>
      <c r="L528" t="n">
        <v>0</v>
      </c>
      <c r="M528" t="n">
        <v>0</v>
      </c>
      <c r="N528" t="n">
        <v>0</v>
      </c>
      <c r="O528" t="n">
        <v>0</v>
      </c>
      <c r="P528" t="n">
        <v>0</v>
      </c>
      <c r="Q528" t="n">
        <v>0</v>
      </c>
      <c r="R528" s="2" t="inlineStr"/>
    </row>
    <row r="529" ht="15" customHeight="1">
      <c r="A529" t="inlineStr">
        <is>
          <t>A 10518-2021</t>
        </is>
      </c>
      <c r="B529" s="1" t="n">
        <v>44258</v>
      </c>
      <c r="C529" s="1" t="n">
        <v>45294</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10744-2021</t>
        </is>
      </c>
      <c r="B530" s="1" t="n">
        <v>44259</v>
      </c>
      <c r="C530" s="1" t="n">
        <v>45294</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10928-2021</t>
        </is>
      </c>
      <c r="B531" s="1" t="n">
        <v>44259</v>
      </c>
      <c r="C531" s="1" t="n">
        <v>45294</v>
      </c>
      <c r="D531" t="inlineStr">
        <is>
          <t>KALMAR LÄN</t>
        </is>
      </c>
      <c r="E531" t="inlineStr">
        <is>
          <t>VIMMERBY</t>
        </is>
      </c>
      <c r="G531" t="n">
        <v>2.5</v>
      </c>
      <c r="H531" t="n">
        <v>0</v>
      </c>
      <c r="I531" t="n">
        <v>0</v>
      </c>
      <c r="J531" t="n">
        <v>0</v>
      </c>
      <c r="K531" t="n">
        <v>0</v>
      </c>
      <c r="L531" t="n">
        <v>0</v>
      </c>
      <c r="M531" t="n">
        <v>0</v>
      </c>
      <c r="N531" t="n">
        <v>0</v>
      </c>
      <c r="O531" t="n">
        <v>0</v>
      </c>
      <c r="P531" t="n">
        <v>0</v>
      </c>
      <c r="Q531" t="n">
        <v>0</v>
      </c>
      <c r="R531" s="2" t="inlineStr"/>
    </row>
    <row r="532" ht="15" customHeight="1">
      <c r="A532" t="inlineStr">
        <is>
          <t>A 11011-2021</t>
        </is>
      </c>
      <c r="B532" s="1" t="n">
        <v>44260</v>
      </c>
      <c r="C532" s="1" t="n">
        <v>45294</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12241-2021</t>
        </is>
      </c>
      <c r="B533" s="1" t="n">
        <v>44266</v>
      </c>
      <c r="C533" s="1" t="n">
        <v>45294</v>
      </c>
      <c r="D533" t="inlineStr">
        <is>
          <t>KALMAR LÄN</t>
        </is>
      </c>
      <c r="E533" t="inlineStr">
        <is>
          <t>VIMMERBY</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12465-2021</t>
        </is>
      </c>
      <c r="B534" s="1" t="n">
        <v>44267</v>
      </c>
      <c r="C534" s="1" t="n">
        <v>45294</v>
      </c>
      <c r="D534" t="inlineStr">
        <is>
          <t>KALMAR LÄN</t>
        </is>
      </c>
      <c r="E534" t="inlineStr">
        <is>
          <t>VIMMERBY</t>
        </is>
      </c>
      <c r="F534" t="inlineStr">
        <is>
          <t>Sveaskog</t>
        </is>
      </c>
      <c r="G534" t="n">
        <v>3.7</v>
      </c>
      <c r="H534" t="n">
        <v>0</v>
      </c>
      <c r="I534" t="n">
        <v>0</v>
      </c>
      <c r="J534" t="n">
        <v>0</v>
      </c>
      <c r="K534" t="n">
        <v>0</v>
      </c>
      <c r="L534" t="n">
        <v>0</v>
      </c>
      <c r="M534" t="n">
        <v>0</v>
      </c>
      <c r="N534" t="n">
        <v>0</v>
      </c>
      <c r="O534" t="n">
        <v>0</v>
      </c>
      <c r="P534" t="n">
        <v>0</v>
      </c>
      <c r="Q534" t="n">
        <v>0</v>
      </c>
      <c r="R534" s="2" t="inlineStr"/>
    </row>
    <row r="535" ht="15" customHeight="1">
      <c r="A535" t="inlineStr">
        <is>
          <t>A 12467-2021</t>
        </is>
      </c>
      <c r="B535" s="1" t="n">
        <v>44267</v>
      </c>
      <c r="C535" s="1" t="n">
        <v>45294</v>
      </c>
      <c r="D535" t="inlineStr">
        <is>
          <t>KALMAR LÄN</t>
        </is>
      </c>
      <c r="E535" t="inlineStr">
        <is>
          <t>VIMMERBY</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12586-2021</t>
        </is>
      </c>
      <c r="B536" s="1" t="n">
        <v>44270</v>
      </c>
      <c r="C536" s="1" t="n">
        <v>45294</v>
      </c>
      <c r="D536" t="inlineStr">
        <is>
          <t>KALMAR LÄN</t>
        </is>
      </c>
      <c r="E536" t="inlineStr">
        <is>
          <t>VIMMERBY</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12661-2021</t>
        </is>
      </c>
      <c r="B537" s="1" t="n">
        <v>44270</v>
      </c>
      <c r="C537" s="1" t="n">
        <v>45294</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12757-2021</t>
        </is>
      </c>
      <c r="B538" s="1" t="n">
        <v>44270</v>
      </c>
      <c r="C538" s="1" t="n">
        <v>45294</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12585-2021</t>
        </is>
      </c>
      <c r="B539" s="1" t="n">
        <v>44270</v>
      </c>
      <c r="C539" s="1" t="n">
        <v>45294</v>
      </c>
      <c r="D539" t="inlineStr">
        <is>
          <t>KALMAR LÄN</t>
        </is>
      </c>
      <c r="E539" t="inlineStr">
        <is>
          <t>VIMMERBY</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12597-2021</t>
        </is>
      </c>
      <c r="B540" s="1" t="n">
        <v>44270</v>
      </c>
      <c r="C540" s="1" t="n">
        <v>45294</v>
      </c>
      <c r="D540" t="inlineStr">
        <is>
          <t>KALMAR LÄN</t>
        </is>
      </c>
      <c r="E540" t="inlineStr">
        <is>
          <t>VIMMERBY</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12582-2021</t>
        </is>
      </c>
      <c r="B541" s="1" t="n">
        <v>44270</v>
      </c>
      <c r="C541" s="1" t="n">
        <v>45294</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12596-2021</t>
        </is>
      </c>
      <c r="B542" s="1" t="n">
        <v>44270</v>
      </c>
      <c r="C542" s="1" t="n">
        <v>45294</v>
      </c>
      <c r="D542" t="inlineStr">
        <is>
          <t>KALMAR LÄN</t>
        </is>
      </c>
      <c r="E542" t="inlineStr">
        <is>
          <t>VIMMERBY</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12587-2021</t>
        </is>
      </c>
      <c r="B543" s="1" t="n">
        <v>44270</v>
      </c>
      <c r="C543" s="1" t="n">
        <v>45294</v>
      </c>
      <c r="D543" t="inlineStr">
        <is>
          <t>KALMAR LÄN</t>
        </is>
      </c>
      <c r="E543" t="inlineStr">
        <is>
          <t>VIMMERBY</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12595-2021</t>
        </is>
      </c>
      <c r="B544" s="1" t="n">
        <v>44270</v>
      </c>
      <c r="C544" s="1" t="n">
        <v>45294</v>
      </c>
      <c r="D544" t="inlineStr">
        <is>
          <t>KALMAR LÄN</t>
        </is>
      </c>
      <c r="E544" t="inlineStr">
        <is>
          <t>VIMMERBY</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12662-2021</t>
        </is>
      </c>
      <c r="B545" s="1" t="n">
        <v>44270</v>
      </c>
      <c r="C545" s="1" t="n">
        <v>45294</v>
      </c>
      <c r="D545" t="inlineStr">
        <is>
          <t>KALMAR LÄN</t>
        </is>
      </c>
      <c r="E545" t="inlineStr">
        <is>
          <t>VIMMERBY</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12848-2021</t>
        </is>
      </c>
      <c r="B546" s="1" t="n">
        <v>44271</v>
      </c>
      <c r="C546" s="1" t="n">
        <v>45294</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13457-2021</t>
        </is>
      </c>
      <c r="B547" s="1" t="n">
        <v>44273</v>
      </c>
      <c r="C547" s="1" t="n">
        <v>45294</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13492-2021</t>
        </is>
      </c>
      <c r="B548" s="1" t="n">
        <v>44273</v>
      </c>
      <c r="C548" s="1" t="n">
        <v>45294</v>
      </c>
      <c r="D548" t="inlineStr">
        <is>
          <t>KALMAR LÄN</t>
        </is>
      </c>
      <c r="E548" t="inlineStr">
        <is>
          <t>VIMMERBY</t>
        </is>
      </c>
      <c r="G548" t="n">
        <v>3.1</v>
      </c>
      <c r="H548" t="n">
        <v>0</v>
      </c>
      <c r="I548" t="n">
        <v>0</v>
      </c>
      <c r="J548" t="n">
        <v>0</v>
      </c>
      <c r="K548" t="n">
        <v>0</v>
      </c>
      <c r="L548" t="n">
        <v>0</v>
      </c>
      <c r="M548" t="n">
        <v>0</v>
      </c>
      <c r="N548" t="n">
        <v>0</v>
      </c>
      <c r="O548" t="n">
        <v>0</v>
      </c>
      <c r="P548" t="n">
        <v>0</v>
      </c>
      <c r="Q548" t="n">
        <v>0</v>
      </c>
      <c r="R548" s="2" t="inlineStr"/>
    </row>
    <row r="549" ht="15" customHeight="1">
      <c r="A549" t="inlineStr">
        <is>
          <t>A 14220-2021</t>
        </is>
      </c>
      <c r="B549" s="1" t="n">
        <v>44278</v>
      </c>
      <c r="C549" s="1" t="n">
        <v>45294</v>
      </c>
      <c r="D549" t="inlineStr">
        <is>
          <t>KALMAR LÄN</t>
        </is>
      </c>
      <c r="E549" t="inlineStr">
        <is>
          <t>VIMMERBY</t>
        </is>
      </c>
      <c r="G549" t="n">
        <v>0.3</v>
      </c>
      <c r="H549" t="n">
        <v>0</v>
      </c>
      <c r="I549" t="n">
        <v>0</v>
      </c>
      <c r="J549" t="n">
        <v>0</v>
      </c>
      <c r="K549" t="n">
        <v>0</v>
      </c>
      <c r="L549" t="n">
        <v>0</v>
      </c>
      <c r="M549" t="n">
        <v>0</v>
      </c>
      <c r="N549" t="n">
        <v>0</v>
      </c>
      <c r="O549" t="n">
        <v>0</v>
      </c>
      <c r="P549" t="n">
        <v>0</v>
      </c>
      <c r="Q549" t="n">
        <v>0</v>
      </c>
      <c r="R549" s="2" t="inlineStr"/>
    </row>
    <row r="550" ht="15" customHeight="1">
      <c r="A550" t="inlineStr">
        <is>
          <t>A 14278-2021</t>
        </is>
      </c>
      <c r="B550" s="1" t="n">
        <v>44278</v>
      </c>
      <c r="C550" s="1" t="n">
        <v>45294</v>
      </c>
      <c r="D550" t="inlineStr">
        <is>
          <t>KALMAR LÄN</t>
        </is>
      </c>
      <c r="E550" t="inlineStr">
        <is>
          <t>VIMMERBY</t>
        </is>
      </c>
      <c r="F550" t="inlineStr">
        <is>
          <t>Övriga statliga verk och myndigheter</t>
        </is>
      </c>
      <c r="G550" t="n">
        <v>0.8</v>
      </c>
      <c r="H550" t="n">
        <v>0</v>
      </c>
      <c r="I550" t="n">
        <v>0</v>
      </c>
      <c r="J550" t="n">
        <v>0</v>
      </c>
      <c r="K550" t="n">
        <v>0</v>
      </c>
      <c r="L550" t="n">
        <v>0</v>
      </c>
      <c r="M550" t="n">
        <v>0</v>
      </c>
      <c r="N550" t="n">
        <v>0</v>
      </c>
      <c r="O550" t="n">
        <v>0</v>
      </c>
      <c r="P550" t="n">
        <v>0</v>
      </c>
      <c r="Q550" t="n">
        <v>0</v>
      </c>
      <c r="R550" s="2" t="inlineStr"/>
    </row>
    <row r="551" ht="15" customHeight="1">
      <c r="A551" t="inlineStr">
        <is>
          <t>A 14347-2021</t>
        </is>
      </c>
      <c r="B551" s="1" t="n">
        <v>44279</v>
      </c>
      <c r="C551" s="1" t="n">
        <v>45294</v>
      </c>
      <c r="D551" t="inlineStr">
        <is>
          <t>KALMAR LÄN</t>
        </is>
      </c>
      <c r="E551" t="inlineStr">
        <is>
          <t>VIMMERBY</t>
        </is>
      </c>
      <c r="G551" t="n">
        <v>6.4</v>
      </c>
      <c r="H551" t="n">
        <v>0</v>
      </c>
      <c r="I551" t="n">
        <v>0</v>
      </c>
      <c r="J551" t="n">
        <v>0</v>
      </c>
      <c r="K551" t="n">
        <v>0</v>
      </c>
      <c r="L551" t="n">
        <v>0</v>
      </c>
      <c r="M551" t="n">
        <v>0</v>
      </c>
      <c r="N551" t="n">
        <v>0</v>
      </c>
      <c r="O551" t="n">
        <v>0</v>
      </c>
      <c r="P551" t="n">
        <v>0</v>
      </c>
      <c r="Q551" t="n">
        <v>0</v>
      </c>
      <c r="R551" s="2" t="inlineStr"/>
    </row>
    <row r="552" ht="15" customHeight="1">
      <c r="A552" t="inlineStr">
        <is>
          <t>A 14451-2021</t>
        </is>
      </c>
      <c r="B552" s="1" t="n">
        <v>44279</v>
      </c>
      <c r="C552" s="1" t="n">
        <v>45294</v>
      </c>
      <c r="D552" t="inlineStr">
        <is>
          <t>KALMAR LÄN</t>
        </is>
      </c>
      <c r="E552" t="inlineStr">
        <is>
          <t>VIMMERBY</t>
        </is>
      </c>
      <c r="F552" t="inlineStr">
        <is>
          <t>Sveaskog</t>
        </is>
      </c>
      <c r="G552" t="n">
        <v>9.4</v>
      </c>
      <c r="H552" t="n">
        <v>0</v>
      </c>
      <c r="I552" t="n">
        <v>0</v>
      </c>
      <c r="J552" t="n">
        <v>0</v>
      </c>
      <c r="K552" t="n">
        <v>0</v>
      </c>
      <c r="L552" t="n">
        <v>0</v>
      </c>
      <c r="M552" t="n">
        <v>0</v>
      </c>
      <c r="N552" t="n">
        <v>0</v>
      </c>
      <c r="O552" t="n">
        <v>0</v>
      </c>
      <c r="P552" t="n">
        <v>0</v>
      </c>
      <c r="Q552" t="n">
        <v>0</v>
      </c>
      <c r="R552" s="2" t="inlineStr"/>
    </row>
    <row r="553" ht="15" customHeight="1">
      <c r="A553" t="inlineStr">
        <is>
          <t>A 14521-2021</t>
        </is>
      </c>
      <c r="B553" s="1" t="n">
        <v>44279</v>
      </c>
      <c r="C553" s="1" t="n">
        <v>45294</v>
      </c>
      <c r="D553" t="inlineStr">
        <is>
          <t>KALMAR LÄN</t>
        </is>
      </c>
      <c r="E553" t="inlineStr">
        <is>
          <t>VIMMERBY</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15092-2021</t>
        </is>
      </c>
      <c r="B554" s="1" t="n">
        <v>44281</v>
      </c>
      <c r="C554" s="1" t="n">
        <v>45294</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15188-2021</t>
        </is>
      </c>
      <c r="B555" s="1" t="n">
        <v>44284</v>
      </c>
      <c r="C555" s="1" t="n">
        <v>45294</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15191-2021</t>
        </is>
      </c>
      <c r="B556" s="1" t="n">
        <v>44284</v>
      </c>
      <c r="C556" s="1" t="n">
        <v>45294</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15200-2021</t>
        </is>
      </c>
      <c r="B557" s="1" t="n">
        <v>44284</v>
      </c>
      <c r="C557" s="1" t="n">
        <v>45294</v>
      </c>
      <c r="D557" t="inlineStr">
        <is>
          <t>KALMAR LÄN</t>
        </is>
      </c>
      <c r="E557" t="inlineStr">
        <is>
          <t>VIMMERBY</t>
        </is>
      </c>
      <c r="G557" t="n">
        <v>1.2</v>
      </c>
      <c r="H557" t="n">
        <v>0</v>
      </c>
      <c r="I557" t="n">
        <v>0</v>
      </c>
      <c r="J557" t="n">
        <v>0</v>
      </c>
      <c r="K557" t="n">
        <v>0</v>
      </c>
      <c r="L557" t="n">
        <v>0</v>
      </c>
      <c r="M557" t="n">
        <v>0</v>
      </c>
      <c r="N557" t="n">
        <v>0</v>
      </c>
      <c r="O557" t="n">
        <v>0</v>
      </c>
      <c r="P557" t="n">
        <v>0</v>
      </c>
      <c r="Q557" t="n">
        <v>0</v>
      </c>
      <c r="R557" s="2" t="inlineStr"/>
    </row>
    <row r="558" ht="15" customHeight="1">
      <c r="A558" t="inlineStr">
        <is>
          <t>A 15903-2021</t>
        </is>
      </c>
      <c r="B558" s="1" t="n">
        <v>44287</v>
      </c>
      <c r="C558" s="1" t="n">
        <v>45294</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16288-2021</t>
        </is>
      </c>
      <c r="B559" s="1" t="n">
        <v>44292</v>
      </c>
      <c r="C559" s="1" t="n">
        <v>45294</v>
      </c>
      <c r="D559" t="inlineStr">
        <is>
          <t>KALMAR LÄN</t>
        </is>
      </c>
      <c r="E559" t="inlineStr">
        <is>
          <t>VIMMERBY</t>
        </is>
      </c>
      <c r="F559" t="inlineStr">
        <is>
          <t>Övriga Aktiebolag</t>
        </is>
      </c>
      <c r="G559" t="n">
        <v>27.6</v>
      </c>
      <c r="H559" t="n">
        <v>0</v>
      </c>
      <c r="I559" t="n">
        <v>0</v>
      </c>
      <c r="J559" t="n">
        <v>0</v>
      </c>
      <c r="K559" t="n">
        <v>0</v>
      </c>
      <c r="L559" t="n">
        <v>0</v>
      </c>
      <c r="M559" t="n">
        <v>0</v>
      </c>
      <c r="N559" t="n">
        <v>0</v>
      </c>
      <c r="O559" t="n">
        <v>0</v>
      </c>
      <c r="P559" t="n">
        <v>0</v>
      </c>
      <c r="Q559" t="n">
        <v>0</v>
      </c>
      <c r="R559" s="2" t="inlineStr"/>
    </row>
    <row r="560" ht="15" customHeight="1">
      <c r="A560" t="inlineStr">
        <is>
          <t>A 16602-2021</t>
        </is>
      </c>
      <c r="B560" s="1" t="n">
        <v>44294</v>
      </c>
      <c r="C560" s="1" t="n">
        <v>45294</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16607-2021</t>
        </is>
      </c>
      <c r="B561" s="1" t="n">
        <v>44294</v>
      </c>
      <c r="C561" s="1" t="n">
        <v>45294</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17869-2021</t>
        </is>
      </c>
      <c r="B562" s="1" t="n">
        <v>44301</v>
      </c>
      <c r="C562" s="1" t="n">
        <v>45294</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18411-2021</t>
        </is>
      </c>
      <c r="B563" s="1" t="n">
        <v>44302</v>
      </c>
      <c r="C563" s="1" t="n">
        <v>45294</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18276-2021</t>
        </is>
      </c>
      <c r="B564" s="1" t="n">
        <v>44305</v>
      </c>
      <c r="C564" s="1" t="n">
        <v>45294</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18356-2021</t>
        </is>
      </c>
      <c r="B565" s="1" t="n">
        <v>44305</v>
      </c>
      <c r="C565" s="1" t="n">
        <v>45294</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18756-2021</t>
        </is>
      </c>
      <c r="B566" s="1" t="n">
        <v>44307</v>
      </c>
      <c r="C566" s="1" t="n">
        <v>45294</v>
      </c>
      <c r="D566" t="inlineStr">
        <is>
          <t>KALMAR LÄN</t>
        </is>
      </c>
      <c r="E566" t="inlineStr">
        <is>
          <t>VIMMERBY</t>
        </is>
      </c>
      <c r="G566" t="n">
        <v>7.4</v>
      </c>
      <c r="H566" t="n">
        <v>0</v>
      </c>
      <c r="I566" t="n">
        <v>0</v>
      </c>
      <c r="J566" t="n">
        <v>0</v>
      </c>
      <c r="K566" t="n">
        <v>0</v>
      </c>
      <c r="L566" t="n">
        <v>0</v>
      </c>
      <c r="M566" t="n">
        <v>0</v>
      </c>
      <c r="N566" t="n">
        <v>0</v>
      </c>
      <c r="O566" t="n">
        <v>0</v>
      </c>
      <c r="P566" t="n">
        <v>0</v>
      </c>
      <c r="Q566" t="n">
        <v>0</v>
      </c>
      <c r="R566" s="2" t="inlineStr"/>
    </row>
    <row r="567" ht="15" customHeight="1">
      <c r="A567" t="inlineStr">
        <is>
          <t>A 19445-2021</t>
        </is>
      </c>
      <c r="B567" s="1" t="n">
        <v>44310</v>
      </c>
      <c r="C567" s="1" t="n">
        <v>45294</v>
      </c>
      <c r="D567" t="inlineStr">
        <is>
          <t>KALMAR LÄN</t>
        </is>
      </c>
      <c r="E567" t="inlineStr">
        <is>
          <t>VIMMERBY</t>
        </is>
      </c>
      <c r="G567" t="n">
        <v>6.8</v>
      </c>
      <c r="H567" t="n">
        <v>0</v>
      </c>
      <c r="I567" t="n">
        <v>0</v>
      </c>
      <c r="J567" t="n">
        <v>0</v>
      </c>
      <c r="K567" t="n">
        <v>0</v>
      </c>
      <c r="L567" t="n">
        <v>0</v>
      </c>
      <c r="M567" t="n">
        <v>0</v>
      </c>
      <c r="N567" t="n">
        <v>0</v>
      </c>
      <c r="O567" t="n">
        <v>0</v>
      </c>
      <c r="P567" t="n">
        <v>0</v>
      </c>
      <c r="Q567" t="n">
        <v>0</v>
      </c>
      <c r="R567" s="2" t="inlineStr"/>
    </row>
    <row r="568" ht="15" customHeight="1">
      <c r="A568" t="inlineStr">
        <is>
          <t>A 19863-2021</t>
        </is>
      </c>
      <c r="B568" s="1" t="n">
        <v>44312</v>
      </c>
      <c r="C568" s="1" t="n">
        <v>45294</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19865-2021</t>
        </is>
      </c>
      <c r="B569" s="1" t="n">
        <v>44312</v>
      </c>
      <c r="C569" s="1" t="n">
        <v>45294</v>
      </c>
      <c r="D569" t="inlineStr">
        <is>
          <t>KALMAR LÄN</t>
        </is>
      </c>
      <c r="E569" t="inlineStr">
        <is>
          <t>VIMMERBY</t>
        </is>
      </c>
      <c r="G569" t="n">
        <v>8.6</v>
      </c>
      <c r="H569" t="n">
        <v>0</v>
      </c>
      <c r="I569" t="n">
        <v>0</v>
      </c>
      <c r="J569" t="n">
        <v>0</v>
      </c>
      <c r="K569" t="n">
        <v>0</v>
      </c>
      <c r="L569" t="n">
        <v>0</v>
      </c>
      <c r="M569" t="n">
        <v>0</v>
      </c>
      <c r="N569" t="n">
        <v>0</v>
      </c>
      <c r="O569" t="n">
        <v>0</v>
      </c>
      <c r="P569" t="n">
        <v>0</v>
      </c>
      <c r="Q569" t="n">
        <v>0</v>
      </c>
      <c r="R569" s="2" t="inlineStr"/>
    </row>
    <row r="570" ht="15" customHeight="1">
      <c r="A570" t="inlineStr">
        <is>
          <t>A 22637-2021</t>
        </is>
      </c>
      <c r="B570" s="1" t="n">
        <v>44327</v>
      </c>
      <c r="C570" s="1" t="n">
        <v>45294</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24369-2021</t>
        </is>
      </c>
      <c r="B571" s="1" t="n">
        <v>44337</v>
      </c>
      <c r="C571" s="1" t="n">
        <v>45294</v>
      </c>
      <c r="D571" t="inlineStr">
        <is>
          <t>KALMAR LÄN</t>
        </is>
      </c>
      <c r="E571" t="inlineStr">
        <is>
          <t>VIMMERBY</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24655-2021</t>
        </is>
      </c>
      <c r="B572" s="1" t="n">
        <v>44340</v>
      </c>
      <c r="C572" s="1" t="n">
        <v>45294</v>
      </c>
      <c r="D572" t="inlineStr">
        <is>
          <t>KALMAR LÄN</t>
        </is>
      </c>
      <c r="E572" t="inlineStr">
        <is>
          <t>VIMMERBY</t>
        </is>
      </c>
      <c r="G572" t="n">
        <v>14.9</v>
      </c>
      <c r="H572" t="n">
        <v>0</v>
      </c>
      <c r="I572" t="n">
        <v>0</v>
      </c>
      <c r="J572" t="n">
        <v>0</v>
      </c>
      <c r="K572" t="n">
        <v>0</v>
      </c>
      <c r="L572" t="n">
        <v>0</v>
      </c>
      <c r="M572" t="n">
        <v>0</v>
      </c>
      <c r="N572" t="n">
        <v>0</v>
      </c>
      <c r="O572" t="n">
        <v>0</v>
      </c>
      <c r="P572" t="n">
        <v>0</v>
      </c>
      <c r="Q572" t="n">
        <v>0</v>
      </c>
      <c r="R572" s="2" t="inlineStr"/>
    </row>
    <row r="573" ht="15" customHeight="1">
      <c r="A573" t="inlineStr">
        <is>
          <t>A 24752-2021</t>
        </is>
      </c>
      <c r="B573" s="1" t="n">
        <v>44340</v>
      </c>
      <c r="C573" s="1" t="n">
        <v>45294</v>
      </c>
      <c r="D573" t="inlineStr">
        <is>
          <t>KALMAR LÄN</t>
        </is>
      </c>
      <c r="E573" t="inlineStr">
        <is>
          <t>VIMMERBY</t>
        </is>
      </c>
      <c r="G573" t="n">
        <v>4.1</v>
      </c>
      <c r="H573" t="n">
        <v>0</v>
      </c>
      <c r="I573" t="n">
        <v>0</v>
      </c>
      <c r="J573" t="n">
        <v>0</v>
      </c>
      <c r="K573" t="n">
        <v>0</v>
      </c>
      <c r="L573" t="n">
        <v>0</v>
      </c>
      <c r="M573" t="n">
        <v>0</v>
      </c>
      <c r="N573" t="n">
        <v>0</v>
      </c>
      <c r="O573" t="n">
        <v>0</v>
      </c>
      <c r="P573" t="n">
        <v>0</v>
      </c>
      <c r="Q573" t="n">
        <v>0</v>
      </c>
      <c r="R573" s="2" t="inlineStr"/>
    </row>
    <row r="574" ht="15" customHeight="1">
      <c r="A574" t="inlineStr">
        <is>
          <t>A 24738-2021</t>
        </is>
      </c>
      <c r="B574" s="1" t="n">
        <v>44340</v>
      </c>
      <c r="C574" s="1" t="n">
        <v>45294</v>
      </c>
      <c r="D574" t="inlineStr">
        <is>
          <t>KALMAR LÄN</t>
        </is>
      </c>
      <c r="E574" t="inlineStr">
        <is>
          <t>VIMMERBY</t>
        </is>
      </c>
      <c r="G574" t="n">
        <v>3.5</v>
      </c>
      <c r="H574" t="n">
        <v>0</v>
      </c>
      <c r="I574" t="n">
        <v>0</v>
      </c>
      <c r="J574" t="n">
        <v>0</v>
      </c>
      <c r="K574" t="n">
        <v>0</v>
      </c>
      <c r="L574" t="n">
        <v>0</v>
      </c>
      <c r="M574" t="n">
        <v>0</v>
      </c>
      <c r="N574" t="n">
        <v>0</v>
      </c>
      <c r="O574" t="n">
        <v>0</v>
      </c>
      <c r="P574" t="n">
        <v>0</v>
      </c>
      <c r="Q574" t="n">
        <v>0</v>
      </c>
      <c r="R574" s="2" t="inlineStr"/>
    </row>
    <row r="575" ht="15" customHeight="1">
      <c r="A575" t="inlineStr">
        <is>
          <t>A 24723-2021</t>
        </is>
      </c>
      <c r="B575" s="1" t="n">
        <v>44340</v>
      </c>
      <c r="C575" s="1" t="n">
        <v>45294</v>
      </c>
      <c r="D575" t="inlineStr">
        <is>
          <t>KALMAR LÄN</t>
        </is>
      </c>
      <c r="E575" t="inlineStr">
        <is>
          <t>VIMMERBY</t>
        </is>
      </c>
      <c r="G575" t="n">
        <v>3.3</v>
      </c>
      <c r="H575" t="n">
        <v>0</v>
      </c>
      <c r="I575" t="n">
        <v>0</v>
      </c>
      <c r="J575" t="n">
        <v>0</v>
      </c>
      <c r="K575" t="n">
        <v>0</v>
      </c>
      <c r="L575" t="n">
        <v>0</v>
      </c>
      <c r="M575" t="n">
        <v>0</v>
      </c>
      <c r="N575" t="n">
        <v>0</v>
      </c>
      <c r="O575" t="n">
        <v>0</v>
      </c>
      <c r="P575" t="n">
        <v>0</v>
      </c>
      <c r="Q575" t="n">
        <v>0</v>
      </c>
      <c r="R575" s="2" t="inlineStr"/>
    </row>
    <row r="576" ht="15" customHeight="1">
      <c r="A576" t="inlineStr">
        <is>
          <t>A 24999-2021</t>
        </is>
      </c>
      <c r="B576" s="1" t="n">
        <v>44341</v>
      </c>
      <c r="C576" s="1" t="n">
        <v>45294</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27100-2021</t>
        </is>
      </c>
      <c r="B577" s="1" t="n">
        <v>44350</v>
      </c>
      <c r="C577" s="1" t="n">
        <v>45294</v>
      </c>
      <c r="D577" t="inlineStr">
        <is>
          <t>KALMAR LÄN</t>
        </is>
      </c>
      <c r="E577" t="inlineStr">
        <is>
          <t>VIMMERBY</t>
        </is>
      </c>
      <c r="G577" t="n">
        <v>9.6</v>
      </c>
      <c r="H577" t="n">
        <v>0</v>
      </c>
      <c r="I577" t="n">
        <v>0</v>
      </c>
      <c r="J577" t="n">
        <v>0</v>
      </c>
      <c r="K577" t="n">
        <v>0</v>
      </c>
      <c r="L577" t="n">
        <v>0</v>
      </c>
      <c r="M577" t="n">
        <v>0</v>
      </c>
      <c r="N577" t="n">
        <v>0</v>
      </c>
      <c r="O577" t="n">
        <v>0</v>
      </c>
      <c r="P577" t="n">
        <v>0</v>
      </c>
      <c r="Q577" t="n">
        <v>0</v>
      </c>
      <c r="R577" s="2" t="inlineStr"/>
    </row>
    <row r="578" ht="15" customHeight="1">
      <c r="A578" t="inlineStr">
        <is>
          <t>A 27086-2021</t>
        </is>
      </c>
      <c r="B578" s="1" t="n">
        <v>44350</v>
      </c>
      <c r="C578" s="1" t="n">
        <v>45294</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27759-2021</t>
        </is>
      </c>
      <c r="B579" s="1" t="n">
        <v>44354</v>
      </c>
      <c r="C579" s="1" t="n">
        <v>45294</v>
      </c>
      <c r="D579" t="inlineStr">
        <is>
          <t>KALMAR LÄN</t>
        </is>
      </c>
      <c r="E579" t="inlineStr">
        <is>
          <t>VIMMERBY</t>
        </is>
      </c>
      <c r="G579" t="n">
        <v>4.6</v>
      </c>
      <c r="H579" t="n">
        <v>0</v>
      </c>
      <c r="I579" t="n">
        <v>0</v>
      </c>
      <c r="J579" t="n">
        <v>0</v>
      </c>
      <c r="K579" t="n">
        <v>0</v>
      </c>
      <c r="L579" t="n">
        <v>0</v>
      </c>
      <c r="M579" t="n">
        <v>0</v>
      </c>
      <c r="N579" t="n">
        <v>0</v>
      </c>
      <c r="O579" t="n">
        <v>0</v>
      </c>
      <c r="P579" t="n">
        <v>0</v>
      </c>
      <c r="Q579" t="n">
        <v>0</v>
      </c>
      <c r="R579" s="2" t="inlineStr"/>
    </row>
    <row r="580" ht="15" customHeight="1">
      <c r="A580" t="inlineStr">
        <is>
          <t>A 27762-2021</t>
        </is>
      </c>
      <c r="B580" s="1" t="n">
        <v>44354</v>
      </c>
      <c r="C580" s="1" t="n">
        <v>45294</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30682-2021</t>
        </is>
      </c>
      <c r="B581" s="1" t="n">
        <v>44365</v>
      </c>
      <c r="C581" s="1" t="n">
        <v>45294</v>
      </c>
      <c r="D581" t="inlineStr">
        <is>
          <t>KALMAR LÄN</t>
        </is>
      </c>
      <c r="E581" t="inlineStr">
        <is>
          <t>VIMMERBY</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31660-2021</t>
        </is>
      </c>
      <c r="B582" s="1" t="n">
        <v>44369</v>
      </c>
      <c r="C582" s="1" t="n">
        <v>45294</v>
      </c>
      <c r="D582" t="inlineStr">
        <is>
          <t>KALMAR LÄN</t>
        </is>
      </c>
      <c r="E582" t="inlineStr">
        <is>
          <t>VIMMERBY</t>
        </is>
      </c>
      <c r="G582" t="n">
        <v>4.2</v>
      </c>
      <c r="H582" t="n">
        <v>0</v>
      </c>
      <c r="I582" t="n">
        <v>0</v>
      </c>
      <c r="J582" t="n">
        <v>0</v>
      </c>
      <c r="K582" t="n">
        <v>0</v>
      </c>
      <c r="L582" t="n">
        <v>0</v>
      </c>
      <c r="M582" t="n">
        <v>0</v>
      </c>
      <c r="N582" t="n">
        <v>0</v>
      </c>
      <c r="O582" t="n">
        <v>0</v>
      </c>
      <c r="P582" t="n">
        <v>0</v>
      </c>
      <c r="Q582" t="n">
        <v>0</v>
      </c>
      <c r="R582" s="2" t="inlineStr"/>
    </row>
    <row r="583" ht="15" customHeight="1">
      <c r="A583" t="inlineStr">
        <is>
          <t>A 32386-2021</t>
        </is>
      </c>
      <c r="B583" s="1" t="n">
        <v>44371</v>
      </c>
      <c r="C583" s="1" t="n">
        <v>45294</v>
      </c>
      <c r="D583" t="inlineStr">
        <is>
          <t>KALMAR LÄN</t>
        </is>
      </c>
      <c r="E583" t="inlineStr">
        <is>
          <t>VIMMERBY</t>
        </is>
      </c>
      <c r="G583" t="n">
        <v>1.6</v>
      </c>
      <c r="H583" t="n">
        <v>0</v>
      </c>
      <c r="I583" t="n">
        <v>0</v>
      </c>
      <c r="J583" t="n">
        <v>0</v>
      </c>
      <c r="K583" t="n">
        <v>0</v>
      </c>
      <c r="L583" t="n">
        <v>0</v>
      </c>
      <c r="M583" t="n">
        <v>0</v>
      </c>
      <c r="N583" t="n">
        <v>0</v>
      </c>
      <c r="O583" t="n">
        <v>0</v>
      </c>
      <c r="P583" t="n">
        <v>0</v>
      </c>
      <c r="Q583" t="n">
        <v>0</v>
      </c>
      <c r="R583" s="2" t="inlineStr"/>
    </row>
    <row r="584" ht="15" customHeight="1">
      <c r="A584" t="inlineStr">
        <is>
          <t>A 32607-2021</t>
        </is>
      </c>
      <c r="B584" s="1" t="n">
        <v>44375</v>
      </c>
      <c r="C584" s="1" t="n">
        <v>45294</v>
      </c>
      <c r="D584" t="inlineStr">
        <is>
          <t>KALMAR LÄN</t>
        </is>
      </c>
      <c r="E584" t="inlineStr">
        <is>
          <t>VIMMERBY</t>
        </is>
      </c>
      <c r="G584" t="n">
        <v>0.4</v>
      </c>
      <c r="H584" t="n">
        <v>0</v>
      </c>
      <c r="I584" t="n">
        <v>0</v>
      </c>
      <c r="J584" t="n">
        <v>0</v>
      </c>
      <c r="K584" t="n">
        <v>0</v>
      </c>
      <c r="L584" t="n">
        <v>0</v>
      </c>
      <c r="M584" t="n">
        <v>0</v>
      </c>
      <c r="N584" t="n">
        <v>0</v>
      </c>
      <c r="O584" t="n">
        <v>0</v>
      </c>
      <c r="P584" t="n">
        <v>0</v>
      </c>
      <c r="Q584" t="n">
        <v>0</v>
      </c>
      <c r="R584" s="2" t="inlineStr"/>
    </row>
    <row r="585" ht="15" customHeight="1">
      <c r="A585" t="inlineStr">
        <is>
          <t>A 32603-2021</t>
        </is>
      </c>
      <c r="B585" s="1" t="n">
        <v>44375</v>
      </c>
      <c r="C585" s="1" t="n">
        <v>45294</v>
      </c>
      <c r="D585" t="inlineStr">
        <is>
          <t>KALMAR LÄN</t>
        </is>
      </c>
      <c r="E585" t="inlineStr">
        <is>
          <t>VIMMERBY</t>
        </is>
      </c>
      <c r="G585" t="n">
        <v>0.8</v>
      </c>
      <c r="H585" t="n">
        <v>0</v>
      </c>
      <c r="I585" t="n">
        <v>0</v>
      </c>
      <c r="J585" t="n">
        <v>0</v>
      </c>
      <c r="K585" t="n">
        <v>0</v>
      </c>
      <c r="L585" t="n">
        <v>0</v>
      </c>
      <c r="M585" t="n">
        <v>0</v>
      </c>
      <c r="N585" t="n">
        <v>0</v>
      </c>
      <c r="O585" t="n">
        <v>0</v>
      </c>
      <c r="P585" t="n">
        <v>0</v>
      </c>
      <c r="Q585" t="n">
        <v>0</v>
      </c>
      <c r="R585" s="2" t="inlineStr"/>
    </row>
    <row r="586" ht="15" customHeight="1">
      <c r="A586" t="inlineStr">
        <is>
          <t>A 33359-2021</t>
        </is>
      </c>
      <c r="B586" s="1" t="n">
        <v>44377</v>
      </c>
      <c r="C586" s="1" t="n">
        <v>45294</v>
      </c>
      <c r="D586" t="inlineStr">
        <is>
          <t>KALMAR LÄN</t>
        </is>
      </c>
      <c r="E586" t="inlineStr">
        <is>
          <t>VIMMERBY</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33374-2021</t>
        </is>
      </c>
      <c r="B587" s="1" t="n">
        <v>44377</v>
      </c>
      <c r="C587" s="1" t="n">
        <v>45294</v>
      </c>
      <c r="D587" t="inlineStr">
        <is>
          <t>KALMAR LÄN</t>
        </is>
      </c>
      <c r="E587" t="inlineStr">
        <is>
          <t>VIMMERBY</t>
        </is>
      </c>
      <c r="G587" t="n">
        <v>3.3</v>
      </c>
      <c r="H587" t="n">
        <v>0</v>
      </c>
      <c r="I587" t="n">
        <v>0</v>
      </c>
      <c r="J587" t="n">
        <v>0</v>
      </c>
      <c r="K587" t="n">
        <v>0</v>
      </c>
      <c r="L587" t="n">
        <v>0</v>
      </c>
      <c r="M587" t="n">
        <v>0</v>
      </c>
      <c r="N587" t="n">
        <v>0</v>
      </c>
      <c r="O587" t="n">
        <v>0</v>
      </c>
      <c r="P587" t="n">
        <v>0</v>
      </c>
      <c r="Q587" t="n">
        <v>0</v>
      </c>
      <c r="R587" s="2" t="inlineStr"/>
    </row>
    <row r="588" ht="15" customHeight="1">
      <c r="A588" t="inlineStr">
        <is>
          <t>A 33446-2021</t>
        </is>
      </c>
      <c r="B588" s="1" t="n">
        <v>44377</v>
      </c>
      <c r="C588" s="1" t="n">
        <v>45294</v>
      </c>
      <c r="D588" t="inlineStr">
        <is>
          <t>KALMAR LÄN</t>
        </is>
      </c>
      <c r="E588" t="inlineStr">
        <is>
          <t>VIMMERBY</t>
        </is>
      </c>
      <c r="G588" t="n">
        <v>4.3</v>
      </c>
      <c r="H588" t="n">
        <v>0</v>
      </c>
      <c r="I588" t="n">
        <v>0</v>
      </c>
      <c r="J588" t="n">
        <v>0</v>
      </c>
      <c r="K588" t="n">
        <v>0</v>
      </c>
      <c r="L588" t="n">
        <v>0</v>
      </c>
      <c r="M588" t="n">
        <v>0</v>
      </c>
      <c r="N588" t="n">
        <v>0</v>
      </c>
      <c r="O588" t="n">
        <v>0</v>
      </c>
      <c r="P588" t="n">
        <v>0</v>
      </c>
      <c r="Q588" t="n">
        <v>0</v>
      </c>
      <c r="R588" s="2" t="inlineStr"/>
    </row>
    <row r="589" ht="15" customHeight="1">
      <c r="A589" t="inlineStr">
        <is>
          <t>A 35198-2021</t>
        </is>
      </c>
      <c r="B589" s="1" t="n">
        <v>44377</v>
      </c>
      <c r="C589" s="1" t="n">
        <v>45294</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34040-2021</t>
        </is>
      </c>
      <c r="B590" s="1" t="n">
        <v>44379</v>
      </c>
      <c r="C590" s="1" t="n">
        <v>45294</v>
      </c>
      <c r="D590" t="inlineStr">
        <is>
          <t>KALMAR LÄN</t>
        </is>
      </c>
      <c r="E590" t="inlineStr">
        <is>
          <t>VIMMERBY</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34036-2021</t>
        </is>
      </c>
      <c r="B591" s="1" t="n">
        <v>44379</v>
      </c>
      <c r="C591" s="1" t="n">
        <v>45294</v>
      </c>
      <c r="D591" t="inlineStr">
        <is>
          <t>KALMAR LÄN</t>
        </is>
      </c>
      <c r="E591" t="inlineStr">
        <is>
          <t>VIMMERBY</t>
        </is>
      </c>
      <c r="F591" t="inlineStr">
        <is>
          <t>Sveaskog</t>
        </is>
      </c>
      <c r="G591" t="n">
        <v>7</v>
      </c>
      <c r="H591" t="n">
        <v>0</v>
      </c>
      <c r="I591" t="n">
        <v>0</v>
      </c>
      <c r="J591" t="n">
        <v>0</v>
      </c>
      <c r="K591" t="n">
        <v>0</v>
      </c>
      <c r="L591" t="n">
        <v>0</v>
      </c>
      <c r="M591" t="n">
        <v>0</v>
      </c>
      <c r="N591" t="n">
        <v>0</v>
      </c>
      <c r="O591" t="n">
        <v>0</v>
      </c>
      <c r="P591" t="n">
        <v>0</v>
      </c>
      <c r="Q591" t="n">
        <v>0</v>
      </c>
      <c r="R591" s="2" t="inlineStr"/>
    </row>
    <row r="592" ht="15" customHeight="1">
      <c r="A592" t="inlineStr">
        <is>
          <t>A 35001-2021</t>
        </is>
      </c>
      <c r="B592" s="1" t="n">
        <v>44383</v>
      </c>
      <c r="C592" s="1" t="n">
        <v>45294</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35316-2021</t>
        </is>
      </c>
      <c r="B593" s="1" t="n">
        <v>44384</v>
      </c>
      <c r="C593" s="1" t="n">
        <v>45294</v>
      </c>
      <c r="D593" t="inlineStr">
        <is>
          <t>KALMAR LÄN</t>
        </is>
      </c>
      <c r="E593" t="inlineStr">
        <is>
          <t>VIMMERBY</t>
        </is>
      </c>
      <c r="G593" t="n">
        <v>3.5</v>
      </c>
      <c r="H593" t="n">
        <v>0</v>
      </c>
      <c r="I593" t="n">
        <v>0</v>
      </c>
      <c r="J593" t="n">
        <v>0</v>
      </c>
      <c r="K593" t="n">
        <v>0</v>
      </c>
      <c r="L593" t="n">
        <v>0</v>
      </c>
      <c r="M593" t="n">
        <v>0</v>
      </c>
      <c r="N593" t="n">
        <v>0</v>
      </c>
      <c r="O593" t="n">
        <v>0</v>
      </c>
      <c r="P593" t="n">
        <v>0</v>
      </c>
      <c r="Q593" t="n">
        <v>0</v>
      </c>
      <c r="R593" s="2" t="inlineStr"/>
    </row>
    <row r="594" ht="15" customHeight="1">
      <c r="A594" t="inlineStr">
        <is>
          <t>A 35531-2021</t>
        </is>
      </c>
      <c r="B594" s="1" t="n">
        <v>44385</v>
      </c>
      <c r="C594" s="1" t="n">
        <v>45294</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35633-2021</t>
        </is>
      </c>
      <c r="B595" s="1" t="n">
        <v>44386</v>
      </c>
      <c r="C595" s="1" t="n">
        <v>45294</v>
      </c>
      <c r="D595" t="inlineStr">
        <is>
          <t>KALMAR LÄN</t>
        </is>
      </c>
      <c r="E595" t="inlineStr">
        <is>
          <t>VIMMERBY</t>
        </is>
      </c>
      <c r="G595" t="n">
        <v>1.6</v>
      </c>
      <c r="H595" t="n">
        <v>0</v>
      </c>
      <c r="I595" t="n">
        <v>0</v>
      </c>
      <c r="J595" t="n">
        <v>0</v>
      </c>
      <c r="K595" t="n">
        <v>0</v>
      </c>
      <c r="L595" t="n">
        <v>0</v>
      </c>
      <c r="M595" t="n">
        <v>0</v>
      </c>
      <c r="N595" t="n">
        <v>0</v>
      </c>
      <c r="O595" t="n">
        <v>0</v>
      </c>
      <c r="P595" t="n">
        <v>0</v>
      </c>
      <c r="Q595" t="n">
        <v>0</v>
      </c>
      <c r="R595" s="2" t="inlineStr"/>
    </row>
    <row r="596" ht="15" customHeight="1">
      <c r="A596" t="inlineStr">
        <is>
          <t>A 36077-2021</t>
        </is>
      </c>
      <c r="B596" s="1" t="n">
        <v>44386</v>
      </c>
      <c r="C596" s="1" t="n">
        <v>45294</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36117-2021</t>
        </is>
      </c>
      <c r="B597" s="1" t="n">
        <v>44386</v>
      </c>
      <c r="C597" s="1" t="n">
        <v>45294</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36121-2021</t>
        </is>
      </c>
      <c r="B598" s="1" t="n">
        <v>44386</v>
      </c>
      <c r="C598" s="1" t="n">
        <v>45294</v>
      </c>
      <c r="D598" t="inlineStr">
        <is>
          <t>KALMAR LÄN</t>
        </is>
      </c>
      <c r="E598" t="inlineStr">
        <is>
          <t>VIMMERBY</t>
        </is>
      </c>
      <c r="G598" t="n">
        <v>3.5</v>
      </c>
      <c r="H598" t="n">
        <v>0</v>
      </c>
      <c r="I598" t="n">
        <v>0</v>
      </c>
      <c r="J598" t="n">
        <v>0</v>
      </c>
      <c r="K598" t="n">
        <v>0</v>
      </c>
      <c r="L598" t="n">
        <v>0</v>
      </c>
      <c r="M598" t="n">
        <v>0</v>
      </c>
      <c r="N598" t="n">
        <v>0</v>
      </c>
      <c r="O598" t="n">
        <v>0</v>
      </c>
      <c r="P598" t="n">
        <v>0</v>
      </c>
      <c r="Q598" t="n">
        <v>0</v>
      </c>
      <c r="R598" s="2" t="inlineStr"/>
    </row>
    <row r="599" ht="15" customHeight="1">
      <c r="A599" t="inlineStr">
        <is>
          <t>A 36802-2021</t>
        </is>
      </c>
      <c r="B599" s="1" t="n">
        <v>44392</v>
      </c>
      <c r="C599" s="1" t="n">
        <v>45294</v>
      </c>
      <c r="D599" t="inlineStr">
        <is>
          <t>KALMAR LÄN</t>
        </is>
      </c>
      <c r="E599" t="inlineStr">
        <is>
          <t>VIMMERBY</t>
        </is>
      </c>
      <c r="F599" t="inlineStr">
        <is>
          <t>Sveaskog</t>
        </is>
      </c>
      <c r="G599" t="n">
        <v>4.6</v>
      </c>
      <c r="H599" t="n">
        <v>0</v>
      </c>
      <c r="I599" t="n">
        <v>0</v>
      </c>
      <c r="J599" t="n">
        <v>0</v>
      </c>
      <c r="K599" t="n">
        <v>0</v>
      </c>
      <c r="L599" t="n">
        <v>0</v>
      </c>
      <c r="M599" t="n">
        <v>0</v>
      </c>
      <c r="N599" t="n">
        <v>0</v>
      </c>
      <c r="O599" t="n">
        <v>0</v>
      </c>
      <c r="P599" t="n">
        <v>0</v>
      </c>
      <c r="Q599" t="n">
        <v>0</v>
      </c>
      <c r="R599" s="2" t="inlineStr"/>
    </row>
    <row r="600" ht="15" customHeight="1">
      <c r="A600" t="inlineStr">
        <is>
          <t>A 38086-2021</t>
        </is>
      </c>
      <c r="B600" s="1" t="n">
        <v>44404</v>
      </c>
      <c r="C600" s="1" t="n">
        <v>45294</v>
      </c>
      <c r="D600" t="inlineStr">
        <is>
          <t>KALMAR LÄN</t>
        </is>
      </c>
      <c r="E600" t="inlineStr">
        <is>
          <t>VIMMERBY</t>
        </is>
      </c>
      <c r="G600" t="n">
        <v>4.4</v>
      </c>
      <c r="H600" t="n">
        <v>0</v>
      </c>
      <c r="I600" t="n">
        <v>0</v>
      </c>
      <c r="J600" t="n">
        <v>0</v>
      </c>
      <c r="K600" t="n">
        <v>0</v>
      </c>
      <c r="L600" t="n">
        <v>0</v>
      </c>
      <c r="M600" t="n">
        <v>0</v>
      </c>
      <c r="N600" t="n">
        <v>0</v>
      </c>
      <c r="O600" t="n">
        <v>0</v>
      </c>
      <c r="P600" t="n">
        <v>0</v>
      </c>
      <c r="Q600" t="n">
        <v>0</v>
      </c>
      <c r="R600" s="2" t="inlineStr"/>
    </row>
    <row r="601" ht="15" customHeight="1">
      <c r="A601" t="inlineStr">
        <is>
          <t>A 38348-2021</t>
        </is>
      </c>
      <c r="B601" s="1" t="n">
        <v>44406</v>
      </c>
      <c r="C601" s="1" t="n">
        <v>45294</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38780-2021</t>
        </is>
      </c>
      <c r="B602" s="1" t="n">
        <v>44410</v>
      </c>
      <c r="C602" s="1" t="n">
        <v>45294</v>
      </c>
      <c r="D602" t="inlineStr">
        <is>
          <t>KALMAR LÄN</t>
        </is>
      </c>
      <c r="E602" t="inlineStr">
        <is>
          <t>VIMMERBY</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38789-2021</t>
        </is>
      </c>
      <c r="B603" s="1" t="n">
        <v>44410</v>
      </c>
      <c r="C603" s="1" t="n">
        <v>45294</v>
      </c>
      <c r="D603" t="inlineStr">
        <is>
          <t>KALMAR LÄN</t>
        </is>
      </c>
      <c r="E603" t="inlineStr">
        <is>
          <t>VIMMERBY</t>
        </is>
      </c>
      <c r="G603" t="n">
        <v>3.7</v>
      </c>
      <c r="H603" t="n">
        <v>0</v>
      </c>
      <c r="I603" t="n">
        <v>0</v>
      </c>
      <c r="J603" t="n">
        <v>0</v>
      </c>
      <c r="K603" t="n">
        <v>0</v>
      </c>
      <c r="L603" t="n">
        <v>0</v>
      </c>
      <c r="M603" t="n">
        <v>0</v>
      </c>
      <c r="N603" t="n">
        <v>0</v>
      </c>
      <c r="O603" t="n">
        <v>0</v>
      </c>
      <c r="P603" t="n">
        <v>0</v>
      </c>
      <c r="Q603" t="n">
        <v>0</v>
      </c>
      <c r="R603" s="2" t="inlineStr"/>
    </row>
    <row r="604" ht="15" customHeight="1">
      <c r="A604" t="inlineStr">
        <is>
          <t>A 40073-2021</t>
        </is>
      </c>
      <c r="B604" s="1" t="n">
        <v>44418</v>
      </c>
      <c r="C604" s="1" t="n">
        <v>45294</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40076-2021</t>
        </is>
      </c>
      <c r="B605" s="1" t="n">
        <v>44418</v>
      </c>
      <c r="C605" s="1" t="n">
        <v>45294</v>
      </c>
      <c r="D605" t="inlineStr">
        <is>
          <t>KALMAR LÄN</t>
        </is>
      </c>
      <c r="E605" t="inlineStr">
        <is>
          <t>VIMMERBY</t>
        </is>
      </c>
      <c r="G605" t="n">
        <v>2</v>
      </c>
      <c r="H605" t="n">
        <v>0</v>
      </c>
      <c r="I605" t="n">
        <v>0</v>
      </c>
      <c r="J605" t="n">
        <v>0</v>
      </c>
      <c r="K605" t="n">
        <v>0</v>
      </c>
      <c r="L605" t="n">
        <v>0</v>
      </c>
      <c r="M605" t="n">
        <v>0</v>
      </c>
      <c r="N605" t="n">
        <v>0</v>
      </c>
      <c r="O605" t="n">
        <v>0</v>
      </c>
      <c r="P605" t="n">
        <v>0</v>
      </c>
      <c r="Q605" t="n">
        <v>0</v>
      </c>
      <c r="R605" s="2" t="inlineStr"/>
    </row>
    <row r="606" ht="15" customHeight="1">
      <c r="A606" t="inlineStr">
        <is>
          <t>A 40071-2021</t>
        </is>
      </c>
      <c r="B606" s="1" t="n">
        <v>44418</v>
      </c>
      <c r="C606" s="1" t="n">
        <v>45294</v>
      </c>
      <c r="D606" t="inlineStr">
        <is>
          <t>KALMAR LÄN</t>
        </is>
      </c>
      <c r="E606" t="inlineStr">
        <is>
          <t>VIMMERBY</t>
        </is>
      </c>
      <c r="G606" t="n">
        <v>1.5</v>
      </c>
      <c r="H606" t="n">
        <v>0</v>
      </c>
      <c r="I606" t="n">
        <v>0</v>
      </c>
      <c r="J606" t="n">
        <v>0</v>
      </c>
      <c r="K606" t="n">
        <v>0</v>
      </c>
      <c r="L606" t="n">
        <v>0</v>
      </c>
      <c r="M606" t="n">
        <v>0</v>
      </c>
      <c r="N606" t="n">
        <v>0</v>
      </c>
      <c r="O606" t="n">
        <v>0</v>
      </c>
      <c r="P606" t="n">
        <v>0</v>
      </c>
      <c r="Q606" t="n">
        <v>0</v>
      </c>
      <c r="R606" s="2" t="inlineStr"/>
    </row>
    <row r="607" ht="15" customHeight="1">
      <c r="A607" t="inlineStr">
        <is>
          <t>A 40077-2021</t>
        </is>
      </c>
      <c r="B607" s="1" t="n">
        <v>44418</v>
      </c>
      <c r="C607" s="1" t="n">
        <v>45294</v>
      </c>
      <c r="D607" t="inlineStr">
        <is>
          <t>KALMAR LÄN</t>
        </is>
      </c>
      <c r="E607" t="inlineStr">
        <is>
          <t>VIMMERBY</t>
        </is>
      </c>
      <c r="G607" t="n">
        <v>2.9</v>
      </c>
      <c r="H607" t="n">
        <v>0</v>
      </c>
      <c r="I607" t="n">
        <v>0</v>
      </c>
      <c r="J607" t="n">
        <v>0</v>
      </c>
      <c r="K607" t="n">
        <v>0</v>
      </c>
      <c r="L607" t="n">
        <v>0</v>
      </c>
      <c r="M607" t="n">
        <v>0</v>
      </c>
      <c r="N607" t="n">
        <v>0</v>
      </c>
      <c r="O607" t="n">
        <v>0</v>
      </c>
      <c r="P607" t="n">
        <v>0</v>
      </c>
      <c r="Q607" t="n">
        <v>0</v>
      </c>
      <c r="R607" s="2" t="inlineStr"/>
    </row>
    <row r="608" ht="15" customHeight="1">
      <c r="A608" t="inlineStr">
        <is>
          <t>A 40971-2021</t>
        </is>
      </c>
      <c r="B608" s="1" t="n">
        <v>44421</v>
      </c>
      <c r="C608" s="1" t="n">
        <v>45294</v>
      </c>
      <c r="D608" t="inlineStr">
        <is>
          <t>KALMAR LÄN</t>
        </is>
      </c>
      <c r="E608" t="inlineStr">
        <is>
          <t>VIMMERBY</t>
        </is>
      </c>
      <c r="G608" t="n">
        <v>1.1</v>
      </c>
      <c r="H608" t="n">
        <v>0</v>
      </c>
      <c r="I608" t="n">
        <v>0</v>
      </c>
      <c r="J608" t="n">
        <v>0</v>
      </c>
      <c r="K608" t="n">
        <v>0</v>
      </c>
      <c r="L608" t="n">
        <v>0</v>
      </c>
      <c r="M608" t="n">
        <v>0</v>
      </c>
      <c r="N608" t="n">
        <v>0</v>
      </c>
      <c r="O608" t="n">
        <v>0</v>
      </c>
      <c r="P608" t="n">
        <v>0</v>
      </c>
      <c r="Q608" t="n">
        <v>0</v>
      </c>
      <c r="R608" s="2" t="inlineStr"/>
    </row>
    <row r="609" ht="15" customHeight="1">
      <c r="A609" t="inlineStr">
        <is>
          <t>A 42521-2021</t>
        </is>
      </c>
      <c r="B609" s="1" t="n">
        <v>44427</v>
      </c>
      <c r="C609" s="1" t="n">
        <v>45294</v>
      </c>
      <c r="D609" t="inlineStr">
        <is>
          <t>KALMAR LÄN</t>
        </is>
      </c>
      <c r="E609" t="inlineStr">
        <is>
          <t>VIMMERBY</t>
        </is>
      </c>
      <c r="G609" t="n">
        <v>5.4</v>
      </c>
      <c r="H609" t="n">
        <v>0</v>
      </c>
      <c r="I609" t="n">
        <v>0</v>
      </c>
      <c r="J609" t="n">
        <v>0</v>
      </c>
      <c r="K609" t="n">
        <v>0</v>
      </c>
      <c r="L609" t="n">
        <v>0</v>
      </c>
      <c r="M609" t="n">
        <v>0</v>
      </c>
      <c r="N609" t="n">
        <v>0</v>
      </c>
      <c r="O609" t="n">
        <v>0</v>
      </c>
      <c r="P609" t="n">
        <v>0</v>
      </c>
      <c r="Q609" t="n">
        <v>0</v>
      </c>
      <c r="R609" s="2" t="inlineStr"/>
    </row>
    <row r="610" ht="15" customHeight="1">
      <c r="A610" t="inlineStr">
        <is>
          <t>A 42918-2021</t>
        </is>
      </c>
      <c r="B610" s="1" t="n">
        <v>44431</v>
      </c>
      <c r="C610" s="1" t="n">
        <v>45294</v>
      </c>
      <c r="D610" t="inlineStr">
        <is>
          <t>KALMAR LÄN</t>
        </is>
      </c>
      <c r="E610" t="inlineStr">
        <is>
          <t>VIMMERBY</t>
        </is>
      </c>
      <c r="G610" t="n">
        <v>1.6</v>
      </c>
      <c r="H610" t="n">
        <v>0</v>
      </c>
      <c r="I610" t="n">
        <v>0</v>
      </c>
      <c r="J610" t="n">
        <v>0</v>
      </c>
      <c r="K610" t="n">
        <v>0</v>
      </c>
      <c r="L610" t="n">
        <v>0</v>
      </c>
      <c r="M610" t="n">
        <v>0</v>
      </c>
      <c r="N610" t="n">
        <v>0</v>
      </c>
      <c r="O610" t="n">
        <v>0</v>
      </c>
      <c r="P610" t="n">
        <v>0</v>
      </c>
      <c r="Q610" t="n">
        <v>0</v>
      </c>
      <c r="R610" s="2" t="inlineStr"/>
    </row>
    <row r="611" ht="15" customHeight="1">
      <c r="A611" t="inlineStr">
        <is>
          <t>A 43186-2021</t>
        </is>
      </c>
      <c r="B611" s="1" t="n">
        <v>44431</v>
      </c>
      <c r="C611" s="1" t="n">
        <v>45294</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45528-2021</t>
        </is>
      </c>
      <c r="B612" s="1" t="n">
        <v>44440</v>
      </c>
      <c r="C612" s="1" t="n">
        <v>45294</v>
      </c>
      <c r="D612" t="inlineStr">
        <is>
          <t>KALMAR LÄN</t>
        </is>
      </c>
      <c r="E612" t="inlineStr">
        <is>
          <t>VIMMERBY</t>
        </is>
      </c>
      <c r="G612" t="n">
        <v>2.2</v>
      </c>
      <c r="H612" t="n">
        <v>0</v>
      </c>
      <c r="I612" t="n">
        <v>0</v>
      </c>
      <c r="J612" t="n">
        <v>0</v>
      </c>
      <c r="K612" t="n">
        <v>0</v>
      </c>
      <c r="L612" t="n">
        <v>0</v>
      </c>
      <c r="M612" t="n">
        <v>0</v>
      </c>
      <c r="N612" t="n">
        <v>0</v>
      </c>
      <c r="O612" t="n">
        <v>0</v>
      </c>
      <c r="P612" t="n">
        <v>0</v>
      </c>
      <c r="Q612" t="n">
        <v>0</v>
      </c>
      <c r="R612" s="2" t="inlineStr"/>
    </row>
    <row r="613" ht="15" customHeight="1">
      <c r="A613" t="inlineStr">
        <is>
          <t>A 45390-2021</t>
        </is>
      </c>
      <c r="B613" s="1" t="n">
        <v>44440</v>
      </c>
      <c r="C613" s="1" t="n">
        <v>45294</v>
      </c>
      <c r="D613" t="inlineStr">
        <is>
          <t>KALMAR LÄN</t>
        </is>
      </c>
      <c r="E613" t="inlineStr">
        <is>
          <t>VIMMERBY</t>
        </is>
      </c>
      <c r="G613" t="n">
        <v>3.9</v>
      </c>
      <c r="H613" t="n">
        <v>0</v>
      </c>
      <c r="I613" t="n">
        <v>0</v>
      </c>
      <c r="J613" t="n">
        <v>0</v>
      </c>
      <c r="K613" t="n">
        <v>0</v>
      </c>
      <c r="L613" t="n">
        <v>0</v>
      </c>
      <c r="M613" t="n">
        <v>0</v>
      </c>
      <c r="N613" t="n">
        <v>0</v>
      </c>
      <c r="O613" t="n">
        <v>0</v>
      </c>
      <c r="P613" t="n">
        <v>0</v>
      </c>
      <c r="Q613" t="n">
        <v>0</v>
      </c>
      <c r="R613" s="2" t="inlineStr"/>
    </row>
    <row r="614" ht="15" customHeight="1">
      <c r="A614" t="inlineStr">
        <is>
          <t>A 45560-2021</t>
        </is>
      </c>
      <c r="B614" s="1" t="n">
        <v>44440</v>
      </c>
      <c r="C614" s="1" t="n">
        <v>45294</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47208-2021</t>
        </is>
      </c>
      <c r="B615" s="1" t="n">
        <v>44447</v>
      </c>
      <c r="C615" s="1" t="n">
        <v>45294</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47205-2021</t>
        </is>
      </c>
      <c r="B616" s="1" t="n">
        <v>44447</v>
      </c>
      <c r="C616" s="1" t="n">
        <v>45294</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47473-2021</t>
        </is>
      </c>
      <c r="B617" s="1" t="n">
        <v>44447</v>
      </c>
      <c r="C617" s="1" t="n">
        <v>45294</v>
      </c>
      <c r="D617" t="inlineStr">
        <is>
          <t>KALMAR LÄN</t>
        </is>
      </c>
      <c r="E617" t="inlineStr">
        <is>
          <t>VIMMERBY</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48377-2021</t>
        </is>
      </c>
      <c r="B618" s="1" t="n">
        <v>44451</v>
      </c>
      <c r="C618" s="1" t="n">
        <v>45294</v>
      </c>
      <c r="D618" t="inlineStr">
        <is>
          <t>KALMAR LÄN</t>
        </is>
      </c>
      <c r="E618" t="inlineStr">
        <is>
          <t>VIMMERBY</t>
        </is>
      </c>
      <c r="G618" t="n">
        <v>0.4</v>
      </c>
      <c r="H618" t="n">
        <v>0</v>
      </c>
      <c r="I618" t="n">
        <v>0</v>
      </c>
      <c r="J618" t="n">
        <v>0</v>
      </c>
      <c r="K618" t="n">
        <v>0</v>
      </c>
      <c r="L618" t="n">
        <v>0</v>
      </c>
      <c r="M618" t="n">
        <v>0</v>
      </c>
      <c r="N618" t="n">
        <v>0</v>
      </c>
      <c r="O618" t="n">
        <v>0</v>
      </c>
      <c r="P618" t="n">
        <v>0</v>
      </c>
      <c r="Q618" t="n">
        <v>0</v>
      </c>
      <c r="R618" s="2" t="inlineStr"/>
    </row>
    <row r="619" ht="15" customHeight="1">
      <c r="A619" t="inlineStr">
        <is>
          <t>A 48373-2021</t>
        </is>
      </c>
      <c r="B619" s="1" t="n">
        <v>44451</v>
      </c>
      <c r="C619" s="1" t="n">
        <v>45294</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48673-2021</t>
        </is>
      </c>
      <c r="B620" s="1" t="n">
        <v>44452</v>
      </c>
      <c r="C620" s="1" t="n">
        <v>45294</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49039-2021</t>
        </is>
      </c>
      <c r="B621" s="1" t="n">
        <v>44453</v>
      </c>
      <c r="C621" s="1" t="n">
        <v>45294</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51972-2021</t>
        </is>
      </c>
      <c r="B622" s="1" t="n">
        <v>44463</v>
      </c>
      <c r="C622" s="1" t="n">
        <v>45294</v>
      </c>
      <c r="D622" t="inlineStr">
        <is>
          <t>KALMAR LÄN</t>
        </is>
      </c>
      <c r="E622" t="inlineStr">
        <is>
          <t>VIMMERBY</t>
        </is>
      </c>
      <c r="G622" t="n">
        <v>4.5</v>
      </c>
      <c r="H622" t="n">
        <v>0</v>
      </c>
      <c r="I622" t="n">
        <v>0</v>
      </c>
      <c r="J622" t="n">
        <v>0</v>
      </c>
      <c r="K622" t="n">
        <v>0</v>
      </c>
      <c r="L622" t="n">
        <v>0</v>
      </c>
      <c r="M622" t="n">
        <v>0</v>
      </c>
      <c r="N622" t="n">
        <v>0</v>
      </c>
      <c r="O622" t="n">
        <v>0</v>
      </c>
      <c r="P622" t="n">
        <v>0</v>
      </c>
      <c r="Q622" t="n">
        <v>0</v>
      </c>
      <c r="R622" s="2" t="inlineStr"/>
    </row>
    <row r="623" ht="15" customHeight="1">
      <c r="A623" t="inlineStr">
        <is>
          <t>A 52433-2021</t>
        </is>
      </c>
      <c r="B623" s="1" t="n">
        <v>44466</v>
      </c>
      <c r="C623" s="1" t="n">
        <v>45294</v>
      </c>
      <c r="D623" t="inlineStr">
        <is>
          <t>KALMAR LÄN</t>
        </is>
      </c>
      <c r="E623" t="inlineStr">
        <is>
          <t>VIMMERBY</t>
        </is>
      </c>
      <c r="G623" t="n">
        <v>3.5</v>
      </c>
      <c r="H623" t="n">
        <v>0</v>
      </c>
      <c r="I623" t="n">
        <v>0</v>
      </c>
      <c r="J623" t="n">
        <v>0</v>
      </c>
      <c r="K623" t="n">
        <v>0</v>
      </c>
      <c r="L623" t="n">
        <v>0</v>
      </c>
      <c r="M623" t="n">
        <v>0</v>
      </c>
      <c r="N623" t="n">
        <v>0</v>
      </c>
      <c r="O623" t="n">
        <v>0</v>
      </c>
      <c r="P623" t="n">
        <v>0</v>
      </c>
      <c r="Q623" t="n">
        <v>0</v>
      </c>
      <c r="R623" s="2" t="inlineStr"/>
    </row>
    <row r="624" ht="15" customHeight="1">
      <c r="A624" t="inlineStr">
        <is>
          <t>A 52435-2021</t>
        </is>
      </c>
      <c r="B624" s="1" t="n">
        <v>44466</v>
      </c>
      <c r="C624" s="1" t="n">
        <v>45294</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53083-2021</t>
        </is>
      </c>
      <c r="B625" s="1" t="n">
        <v>44467</v>
      </c>
      <c r="C625" s="1" t="n">
        <v>45294</v>
      </c>
      <c r="D625" t="inlineStr">
        <is>
          <t>KALMAR LÄN</t>
        </is>
      </c>
      <c r="E625" t="inlineStr">
        <is>
          <t>VIMMERBY</t>
        </is>
      </c>
      <c r="G625" t="n">
        <v>6.8</v>
      </c>
      <c r="H625" t="n">
        <v>0</v>
      </c>
      <c r="I625" t="n">
        <v>0</v>
      </c>
      <c r="J625" t="n">
        <v>0</v>
      </c>
      <c r="K625" t="n">
        <v>0</v>
      </c>
      <c r="L625" t="n">
        <v>0</v>
      </c>
      <c r="M625" t="n">
        <v>0</v>
      </c>
      <c r="N625" t="n">
        <v>0</v>
      </c>
      <c r="O625" t="n">
        <v>0</v>
      </c>
      <c r="P625" t="n">
        <v>0</v>
      </c>
      <c r="Q625" t="n">
        <v>0</v>
      </c>
      <c r="R625" s="2" t="inlineStr"/>
    </row>
    <row r="626" ht="15" customHeight="1">
      <c r="A626" t="inlineStr">
        <is>
          <t>A 53080-2021</t>
        </is>
      </c>
      <c r="B626" s="1" t="n">
        <v>44467</v>
      </c>
      <c r="C626" s="1" t="n">
        <v>45294</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54065-2021</t>
        </is>
      </c>
      <c r="B627" s="1" t="n">
        <v>44470</v>
      </c>
      <c r="C627" s="1" t="n">
        <v>45294</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55300-2021</t>
        </is>
      </c>
      <c r="B628" s="1" t="n">
        <v>44475</v>
      </c>
      <c r="C628" s="1" t="n">
        <v>45294</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55297-2021</t>
        </is>
      </c>
      <c r="B629" s="1" t="n">
        <v>44475</v>
      </c>
      <c r="C629" s="1" t="n">
        <v>45294</v>
      </c>
      <c r="D629" t="inlineStr">
        <is>
          <t>KALMAR LÄN</t>
        </is>
      </c>
      <c r="E629" t="inlineStr">
        <is>
          <t>VIMMERBY</t>
        </is>
      </c>
      <c r="G629" t="n">
        <v>4.1</v>
      </c>
      <c r="H629" t="n">
        <v>0</v>
      </c>
      <c r="I629" t="n">
        <v>0</v>
      </c>
      <c r="J629" t="n">
        <v>0</v>
      </c>
      <c r="K629" t="n">
        <v>0</v>
      </c>
      <c r="L629" t="n">
        <v>0</v>
      </c>
      <c r="M629" t="n">
        <v>0</v>
      </c>
      <c r="N629" t="n">
        <v>0</v>
      </c>
      <c r="O629" t="n">
        <v>0</v>
      </c>
      <c r="P629" t="n">
        <v>0</v>
      </c>
      <c r="Q629" t="n">
        <v>0</v>
      </c>
      <c r="R629" s="2" t="inlineStr"/>
    </row>
    <row r="630" ht="15" customHeight="1">
      <c r="A630" t="inlineStr">
        <is>
          <t>A 55674-2021</t>
        </is>
      </c>
      <c r="B630" s="1" t="n">
        <v>44476</v>
      </c>
      <c r="C630" s="1" t="n">
        <v>45294</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56029-2021</t>
        </is>
      </c>
      <c r="B631" s="1" t="n">
        <v>44477</v>
      </c>
      <c r="C631" s="1" t="n">
        <v>45294</v>
      </c>
      <c r="D631" t="inlineStr">
        <is>
          <t>KALMAR LÄN</t>
        </is>
      </c>
      <c r="E631" t="inlineStr">
        <is>
          <t>VIMMERBY</t>
        </is>
      </c>
      <c r="G631" t="n">
        <v>3.9</v>
      </c>
      <c r="H631" t="n">
        <v>0</v>
      </c>
      <c r="I631" t="n">
        <v>0</v>
      </c>
      <c r="J631" t="n">
        <v>0</v>
      </c>
      <c r="K631" t="n">
        <v>0</v>
      </c>
      <c r="L631" t="n">
        <v>0</v>
      </c>
      <c r="M631" t="n">
        <v>0</v>
      </c>
      <c r="N631" t="n">
        <v>0</v>
      </c>
      <c r="O631" t="n">
        <v>0</v>
      </c>
      <c r="P631" t="n">
        <v>0</v>
      </c>
      <c r="Q631" t="n">
        <v>0</v>
      </c>
      <c r="R631" s="2" t="inlineStr"/>
    </row>
    <row r="632" ht="15" customHeight="1">
      <c r="A632" t="inlineStr">
        <is>
          <t>A 56343-2021</t>
        </is>
      </c>
      <c r="B632" s="1" t="n">
        <v>44480</v>
      </c>
      <c r="C632" s="1" t="n">
        <v>45294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56385-2021</t>
        </is>
      </c>
      <c r="B633" s="1" t="n">
        <v>44480</v>
      </c>
      <c r="C633" s="1" t="n">
        <v>45294</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56347-2021</t>
        </is>
      </c>
      <c r="B634" s="1" t="n">
        <v>44480</v>
      </c>
      <c r="C634" s="1" t="n">
        <v>45294</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56378-2021</t>
        </is>
      </c>
      <c r="B635" s="1" t="n">
        <v>44480</v>
      </c>
      <c r="C635" s="1" t="n">
        <v>45294</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56398-2021</t>
        </is>
      </c>
      <c r="B636" s="1" t="n">
        <v>44480</v>
      </c>
      <c r="C636" s="1" t="n">
        <v>45294</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56389-2021</t>
        </is>
      </c>
      <c r="B637" s="1" t="n">
        <v>44480</v>
      </c>
      <c r="C637" s="1" t="n">
        <v>45294</v>
      </c>
      <c r="D637" t="inlineStr">
        <is>
          <t>KALMAR LÄN</t>
        </is>
      </c>
      <c r="E637" t="inlineStr">
        <is>
          <t>VIMMERBY</t>
        </is>
      </c>
      <c r="G637" t="n">
        <v>0.9</v>
      </c>
      <c r="H637" t="n">
        <v>0</v>
      </c>
      <c r="I637" t="n">
        <v>0</v>
      </c>
      <c r="J637" t="n">
        <v>0</v>
      </c>
      <c r="K637" t="n">
        <v>0</v>
      </c>
      <c r="L637" t="n">
        <v>0</v>
      </c>
      <c r="M637" t="n">
        <v>0</v>
      </c>
      <c r="N637" t="n">
        <v>0</v>
      </c>
      <c r="O637" t="n">
        <v>0</v>
      </c>
      <c r="P637" t="n">
        <v>0</v>
      </c>
      <c r="Q637" t="n">
        <v>0</v>
      </c>
      <c r="R637" s="2" t="inlineStr"/>
    </row>
    <row r="638" ht="15" customHeight="1">
      <c r="A638" t="inlineStr">
        <is>
          <t>A 56754-2021</t>
        </is>
      </c>
      <c r="B638" s="1" t="n">
        <v>44481</v>
      </c>
      <c r="C638" s="1" t="n">
        <v>45294</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57416-2021</t>
        </is>
      </c>
      <c r="B639" s="1" t="n">
        <v>44483</v>
      </c>
      <c r="C639" s="1" t="n">
        <v>45294</v>
      </c>
      <c r="D639" t="inlineStr">
        <is>
          <t>KALMAR LÄN</t>
        </is>
      </c>
      <c r="E639" t="inlineStr">
        <is>
          <t>VIMMERBY</t>
        </is>
      </c>
      <c r="G639" t="n">
        <v>2.9</v>
      </c>
      <c r="H639" t="n">
        <v>0</v>
      </c>
      <c r="I639" t="n">
        <v>0</v>
      </c>
      <c r="J639" t="n">
        <v>0</v>
      </c>
      <c r="K639" t="n">
        <v>0</v>
      </c>
      <c r="L639" t="n">
        <v>0</v>
      </c>
      <c r="M639" t="n">
        <v>0</v>
      </c>
      <c r="N639" t="n">
        <v>0</v>
      </c>
      <c r="O639" t="n">
        <v>0</v>
      </c>
      <c r="P639" t="n">
        <v>0</v>
      </c>
      <c r="Q639" t="n">
        <v>0</v>
      </c>
      <c r="R639" s="2" t="inlineStr"/>
    </row>
    <row r="640" ht="15" customHeight="1">
      <c r="A640" t="inlineStr">
        <is>
          <t>A 57605-2021</t>
        </is>
      </c>
      <c r="B640" s="1" t="n">
        <v>44483</v>
      </c>
      <c r="C640" s="1" t="n">
        <v>45294</v>
      </c>
      <c r="D640" t="inlineStr">
        <is>
          <t>KALMAR LÄN</t>
        </is>
      </c>
      <c r="E640" t="inlineStr">
        <is>
          <t>VIMMERBY</t>
        </is>
      </c>
      <c r="G640" t="n">
        <v>13.1</v>
      </c>
      <c r="H640" t="n">
        <v>0</v>
      </c>
      <c r="I640" t="n">
        <v>0</v>
      </c>
      <c r="J640" t="n">
        <v>0</v>
      </c>
      <c r="K640" t="n">
        <v>0</v>
      </c>
      <c r="L640" t="n">
        <v>0</v>
      </c>
      <c r="M640" t="n">
        <v>0</v>
      </c>
      <c r="N640" t="n">
        <v>0</v>
      </c>
      <c r="O640" t="n">
        <v>0</v>
      </c>
      <c r="P640" t="n">
        <v>0</v>
      </c>
      <c r="Q640" t="n">
        <v>0</v>
      </c>
      <c r="R640" s="2" t="inlineStr"/>
    </row>
    <row r="641" ht="15" customHeight="1">
      <c r="A641" t="inlineStr">
        <is>
          <t>A 58318-2021</t>
        </is>
      </c>
      <c r="B641" s="1" t="n">
        <v>44488</v>
      </c>
      <c r="C641" s="1" t="n">
        <v>45294</v>
      </c>
      <c r="D641" t="inlineStr">
        <is>
          <t>KALMAR LÄN</t>
        </is>
      </c>
      <c r="E641" t="inlineStr">
        <is>
          <t>VIMMERBY</t>
        </is>
      </c>
      <c r="G641" t="n">
        <v>4</v>
      </c>
      <c r="H641" t="n">
        <v>0</v>
      </c>
      <c r="I641" t="n">
        <v>0</v>
      </c>
      <c r="J641" t="n">
        <v>0</v>
      </c>
      <c r="K641" t="n">
        <v>0</v>
      </c>
      <c r="L641" t="n">
        <v>0</v>
      </c>
      <c r="M641" t="n">
        <v>0</v>
      </c>
      <c r="N641" t="n">
        <v>0</v>
      </c>
      <c r="O641" t="n">
        <v>0</v>
      </c>
      <c r="P641" t="n">
        <v>0</v>
      </c>
      <c r="Q641" t="n">
        <v>0</v>
      </c>
      <c r="R641" s="2" t="inlineStr"/>
    </row>
    <row r="642" ht="15" customHeight="1">
      <c r="A642" t="inlineStr">
        <is>
          <t>A 59070-2021</t>
        </is>
      </c>
      <c r="B642" s="1" t="n">
        <v>44490</v>
      </c>
      <c r="C642" s="1" t="n">
        <v>45294</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59781-2021</t>
        </is>
      </c>
      <c r="B643" s="1" t="n">
        <v>44494</v>
      </c>
      <c r="C643" s="1" t="n">
        <v>45294</v>
      </c>
      <c r="D643" t="inlineStr">
        <is>
          <t>KALMAR LÄN</t>
        </is>
      </c>
      <c r="E643" t="inlineStr">
        <is>
          <t>VIMMERBY</t>
        </is>
      </c>
      <c r="G643" t="n">
        <v>5.6</v>
      </c>
      <c r="H643" t="n">
        <v>0</v>
      </c>
      <c r="I643" t="n">
        <v>0</v>
      </c>
      <c r="J643" t="n">
        <v>0</v>
      </c>
      <c r="K643" t="n">
        <v>0</v>
      </c>
      <c r="L643" t="n">
        <v>0</v>
      </c>
      <c r="M643" t="n">
        <v>0</v>
      </c>
      <c r="N643" t="n">
        <v>0</v>
      </c>
      <c r="O643" t="n">
        <v>0</v>
      </c>
      <c r="P643" t="n">
        <v>0</v>
      </c>
      <c r="Q643" t="n">
        <v>0</v>
      </c>
      <c r="R643" s="2" t="inlineStr"/>
    </row>
    <row r="644" ht="15" customHeight="1">
      <c r="A644" t="inlineStr">
        <is>
          <t>A 59791-2021</t>
        </is>
      </c>
      <c r="B644" s="1" t="n">
        <v>44494</v>
      </c>
      <c r="C644" s="1" t="n">
        <v>45294</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60228-2021</t>
        </is>
      </c>
      <c r="B645" s="1" t="n">
        <v>44495</v>
      </c>
      <c r="C645" s="1" t="n">
        <v>45294</v>
      </c>
      <c r="D645" t="inlineStr">
        <is>
          <t>KALMAR LÄN</t>
        </is>
      </c>
      <c r="E645" t="inlineStr">
        <is>
          <t>VIMMERBY</t>
        </is>
      </c>
      <c r="G645" t="n">
        <v>4.1</v>
      </c>
      <c r="H645" t="n">
        <v>0</v>
      </c>
      <c r="I645" t="n">
        <v>0</v>
      </c>
      <c r="J645" t="n">
        <v>0</v>
      </c>
      <c r="K645" t="n">
        <v>0</v>
      </c>
      <c r="L645" t="n">
        <v>0</v>
      </c>
      <c r="M645" t="n">
        <v>0</v>
      </c>
      <c r="N645" t="n">
        <v>0</v>
      </c>
      <c r="O645" t="n">
        <v>0</v>
      </c>
      <c r="P645" t="n">
        <v>0</v>
      </c>
      <c r="Q645" t="n">
        <v>0</v>
      </c>
      <c r="R645" s="2" t="inlineStr"/>
    </row>
    <row r="646" ht="15" customHeight="1">
      <c r="A646" t="inlineStr">
        <is>
          <t>A 60225-2021</t>
        </is>
      </c>
      <c r="B646" s="1" t="n">
        <v>44495</v>
      </c>
      <c r="C646" s="1" t="n">
        <v>45294</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60994-2021</t>
        </is>
      </c>
      <c r="B647" s="1" t="n">
        <v>44497</v>
      </c>
      <c r="C647" s="1" t="n">
        <v>45294</v>
      </c>
      <c r="D647" t="inlineStr">
        <is>
          <t>KALMAR LÄN</t>
        </is>
      </c>
      <c r="E647" t="inlineStr">
        <is>
          <t>VIMMERBY</t>
        </is>
      </c>
      <c r="F647" t="inlineStr">
        <is>
          <t>Sveaskog</t>
        </is>
      </c>
      <c r="G647" t="n">
        <v>4.2</v>
      </c>
      <c r="H647" t="n">
        <v>0</v>
      </c>
      <c r="I647" t="n">
        <v>0</v>
      </c>
      <c r="J647" t="n">
        <v>0</v>
      </c>
      <c r="K647" t="n">
        <v>0</v>
      </c>
      <c r="L647" t="n">
        <v>0</v>
      </c>
      <c r="M647" t="n">
        <v>0</v>
      </c>
      <c r="N647" t="n">
        <v>0</v>
      </c>
      <c r="O647" t="n">
        <v>0</v>
      </c>
      <c r="P647" t="n">
        <v>0</v>
      </c>
      <c r="Q647" t="n">
        <v>0</v>
      </c>
      <c r="R647" s="2" t="inlineStr"/>
    </row>
    <row r="648" ht="15" customHeight="1">
      <c r="A648" t="inlineStr">
        <is>
          <t>A 61939-2021</t>
        </is>
      </c>
      <c r="B648" s="1" t="n">
        <v>44502</v>
      </c>
      <c r="C648" s="1" t="n">
        <v>45294</v>
      </c>
      <c r="D648" t="inlineStr">
        <is>
          <t>KALMAR LÄN</t>
        </is>
      </c>
      <c r="E648" t="inlineStr">
        <is>
          <t>VIMMERBY</t>
        </is>
      </c>
      <c r="G648" t="n">
        <v>2.7</v>
      </c>
      <c r="H648" t="n">
        <v>0</v>
      </c>
      <c r="I648" t="n">
        <v>0</v>
      </c>
      <c r="J648" t="n">
        <v>0</v>
      </c>
      <c r="K648" t="n">
        <v>0</v>
      </c>
      <c r="L648" t="n">
        <v>0</v>
      </c>
      <c r="M648" t="n">
        <v>0</v>
      </c>
      <c r="N648" t="n">
        <v>0</v>
      </c>
      <c r="O648" t="n">
        <v>0</v>
      </c>
      <c r="P648" t="n">
        <v>0</v>
      </c>
      <c r="Q648" t="n">
        <v>0</v>
      </c>
      <c r="R648" s="2" t="inlineStr"/>
    </row>
    <row r="649" ht="15" customHeight="1">
      <c r="A649" t="inlineStr">
        <is>
          <t>A 63244-2021</t>
        </is>
      </c>
      <c r="B649" s="1" t="n">
        <v>44508</v>
      </c>
      <c r="C649" s="1" t="n">
        <v>45294</v>
      </c>
      <c r="D649" t="inlineStr">
        <is>
          <t>KALMAR LÄN</t>
        </is>
      </c>
      <c r="E649" t="inlineStr">
        <is>
          <t>VIMMERBY</t>
        </is>
      </c>
      <c r="F649" t="inlineStr">
        <is>
          <t>Övriga statliga verk och myndigheter</t>
        </is>
      </c>
      <c r="G649" t="n">
        <v>0.6</v>
      </c>
      <c r="H649" t="n">
        <v>0</v>
      </c>
      <c r="I649" t="n">
        <v>0</v>
      </c>
      <c r="J649" t="n">
        <v>0</v>
      </c>
      <c r="K649" t="n">
        <v>0</v>
      </c>
      <c r="L649" t="n">
        <v>0</v>
      </c>
      <c r="M649" t="n">
        <v>0</v>
      </c>
      <c r="N649" t="n">
        <v>0</v>
      </c>
      <c r="O649" t="n">
        <v>0</v>
      </c>
      <c r="P649" t="n">
        <v>0</v>
      </c>
      <c r="Q649" t="n">
        <v>0</v>
      </c>
      <c r="R649" s="2" t="inlineStr"/>
    </row>
    <row r="650" ht="15" customHeight="1">
      <c r="A650" t="inlineStr">
        <is>
          <t>A 63926-2021</t>
        </is>
      </c>
      <c r="B650" s="1" t="n">
        <v>44509</v>
      </c>
      <c r="C650" s="1" t="n">
        <v>45294</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64143-2021</t>
        </is>
      </c>
      <c r="B651" s="1" t="n">
        <v>44510</v>
      </c>
      <c r="C651" s="1" t="n">
        <v>45294</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64203-2021</t>
        </is>
      </c>
      <c r="B652" s="1" t="n">
        <v>44510</v>
      </c>
      <c r="C652" s="1" t="n">
        <v>45294</v>
      </c>
      <c r="D652" t="inlineStr">
        <is>
          <t>KALMAR LÄN</t>
        </is>
      </c>
      <c r="E652" t="inlineStr">
        <is>
          <t>VIMMERBY</t>
        </is>
      </c>
      <c r="F652" t="inlineStr">
        <is>
          <t>Övriga Aktiebolag</t>
        </is>
      </c>
      <c r="G652" t="n">
        <v>5.4</v>
      </c>
      <c r="H652" t="n">
        <v>0</v>
      </c>
      <c r="I652" t="n">
        <v>0</v>
      </c>
      <c r="J652" t="n">
        <v>0</v>
      </c>
      <c r="K652" t="n">
        <v>0</v>
      </c>
      <c r="L652" t="n">
        <v>0</v>
      </c>
      <c r="M652" t="n">
        <v>0</v>
      </c>
      <c r="N652" t="n">
        <v>0</v>
      </c>
      <c r="O652" t="n">
        <v>0</v>
      </c>
      <c r="P652" t="n">
        <v>0</v>
      </c>
      <c r="Q652" t="n">
        <v>0</v>
      </c>
      <c r="R652" s="2" t="inlineStr"/>
    </row>
    <row r="653" ht="15" customHeight="1">
      <c r="A653" t="inlineStr">
        <is>
          <t>A 64923-2021</t>
        </is>
      </c>
      <c r="B653" s="1" t="n">
        <v>44512</v>
      </c>
      <c r="C653" s="1" t="n">
        <v>45294</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65670-2021</t>
        </is>
      </c>
      <c r="B654" s="1" t="n">
        <v>44516</v>
      </c>
      <c r="C654" s="1" t="n">
        <v>45294</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65864-2021</t>
        </is>
      </c>
      <c r="B655" s="1" t="n">
        <v>44517</v>
      </c>
      <c r="C655" s="1" t="n">
        <v>45294</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65887-2021</t>
        </is>
      </c>
      <c r="B656" s="1" t="n">
        <v>44517</v>
      </c>
      <c r="C656" s="1" t="n">
        <v>45294</v>
      </c>
      <c r="D656" t="inlineStr">
        <is>
          <t>KALMAR LÄN</t>
        </is>
      </c>
      <c r="E656" t="inlineStr">
        <is>
          <t>VIMMERBY</t>
        </is>
      </c>
      <c r="G656" t="n">
        <v>1.4</v>
      </c>
      <c r="H656" t="n">
        <v>0</v>
      </c>
      <c r="I656" t="n">
        <v>0</v>
      </c>
      <c r="J656" t="n">
        <v>0</v>
      </c>
      <c r="K656" t="n">
        <v>0</v>
      </c>
      <c r="L656" t="n">
        <v>0</v>
      </c>
      <c r="M656" t="n">
        <v>0</v>
      </c>
      <c r="N656" t="n">
        <v>0</v>
      </c>
      <c r="O656" t="n">
        <v>0</v>
      </c>
      <c r="P656" t="n">
        <v>0</v>
      </c>
      <c r="Q656" t="n">
        <v>0</v>
      </c>
      <c r="R656" s="2" t="inlineStr"/>
    </row>
    <row r="657" ht="15" customHeight="1">
      <c r="A657" t="inlineStr">
        <is>
          <t>A 66022-2021</t>
        </is>
      </c>
      <c r="B657" s="1" t="n">
        <v>44517</v>
      </c>
      <c r="C657" s="1" t="n">
        <v>45294</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67952-2021</t>
        </is>
      </c>
      <c r="B658" s="1" t="n">
        <v>44525</v>
      </c>
      <c r="C658" s="1" t="n">
        <v>45294</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67983-2021</t>
        </is>
      </c>
      <c r="B659" s="1" t="n">
        <v>44525</v>
      </c>
      <c r="C659" s="1" t="n">
        <v>45294</v>
      </c>
      <c r="D659" t="inlineStr">
        <is>
          <t>KALMAR LÄN</t>
        </is>
      </c>
      <c r="E659" t="inlineStr">
        <is>
          <t>VIMMERBY</t>
        </is>
      </c>
      <c r="G659" t="n">
        <v>6.1</v>
      </c>
      <c r="H659" t="n">
        <v>0</v>
      </c>
      <c r="I659" t="n">
        <v>0</v>
      </c>
      <c r="J659" t="n">
        <v>0</v>
      </c>
      <c r="K659" t="n">
        <v>0</v>
      </c>
      <c r="L659" t="n">
        <v>0</v>
      </c>
      <c r="M659" t="n">
        <v>0</v>
      </c>
      <c r="N659" t="n">
        <v>0</v>
      </c>
      <c r="O659" t="n">
        <v>0</v>
      </c>
      <c r="P659" t="n">
        <v>0</v>
      </c>
      <c r="Q659" t="n">
        <v>0</v>
      </c>
      <c r="R659" s="2" t="inlineStr"/>
    </row>
    <row r="660" ht="15" customHeight="1">
      <c r="A660" t="inlineStr">
        <is>
          <t>A 68426-2021</t>
        </is>
      </c>
      <c r="B660" s="1" t="n">
        <v>44529</v>
      </c>
      <c r="C660" s="1" t="n">
        <v>45294</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68840-2021</t>
        </is>
      </c>
      <c r="B661" s="1" t="n">
        <v>44530</v>
      </c>
      <c r="C661" s="1" t="n">
        <v>45294</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71775-2021</t>
        </is>
      </c>
      <c r="B662" s="1" t="n">
        <v>44539</v>
      </c>
      <c r="C662" s="1" t="n">
        <v>45294</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71793-2021</t>
        </is>
      </c>
      <c r="B663" s="1" t="n">
        <v>44539</v>
      </c>
      <c r="C663" s="1" t="n">
        <v>45294</v>
      </c>
      <c r="D663" t="inlineStr">
        <is>
          <t>KALMAR LÄN</t>
        </is>
      </c>
      <c r="E663" t="inlineStr">
        <is>
          <t>VIMMERBY</t>
        </is>
      </c>
      <c r="G663" t="n">
        <v>2.7</v>
      </c>
      <c r="H663" t="n">
        <v>0</v>
      </c>
      <c r="I663" t="n">
        <v>0</v>
      </c>
      <c r="J663" t="n">
        <v>0</v>
      </c>
      <c r="K663" t="n">
        <v>0</v>
      </c>
      <c r="L663" t="n">
        <v>0</v>
      </c>
      <c r="M663" t="n">
        <v>0</v>
      </c>
      <c r="N663" t="n">
        <v>0</v>
      </c>
      <c r="O663" t="n">
        <v>0</v>
      </c>
      <c r="P663" t="n">
        <v>0</v>
      </c>
      <c r="Q663" t="n">
        <v>0</v>
      </c>
      <c r="R663" s="2" t="inlineStr"/>
    </row>
    <row r="664" ht="15" customHeight="1">
      <c r="A664" t="inlineStr">
        <is>
          <t>A 72067-2021</t>
        </is>
      </c>
      <c r="B664" s="1" t="n">
        <v>44540</v>
      </c>
      <c r="C664" s="1" t="n">
        <v>45294</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71631-2021</t>
        </is>
      </c>
      <c r="B665" s="1" t="n">
        <v>44542</v>
      </c>
      <c r="C665" s="1" t="n">
        <v>45294</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71626-2021</t>
        </is>
      </c>
      <c r="B666" s="1" t="n">
        <v>44542</v>
      </c>
      <c r="C666" s="1" t="n">
        <v>45294</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72701-2021</t>
        </is>
      </c>
      <c r="B667" s="1" t="n">
        <v>44546</v>
      </c>
      <c r="C667" s="1" t="n">
        <v>45294</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73938-2021</t>
        </is>
      </c>
      <c r="B668" s="1" t="n">
        <v>44553</v>
      </c>
      <c r="C668" s="1" t="n">
        <v>45294</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172-2022</t>
        </is>
      </c>
      <c r="B669" s="1" t="n">
        <v>44564</v>
      </c>
      <c r="C669" s="1" t="n">
        <v>45294</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165-2022</t>
        </is>
      </c>
      <c r="B670" s="1" t="n">
        <v>44564</v>
      </c>
      <c r="C670" s="1" t="n">
        <v>45294</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529-2022</t>
        </is>
      </c>
      <c r="B671" s="1" t="n">
        <v>44566</v>
      </c>
      <c r="C671" s="1" t="n">
        <v>45294</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1627-2022</t>
        </is>
      </c>
      <c r="B672" s="1" t="n">
        <v>44573</v>
      </c>
      <c r="C672" s="1" t="n">
        <v>45294</v>
      </c>
      <c r="D672" t="inlineStr">
        <is>
          <t>KALMAR LÄN</t>
        </is>
      </c>
      <c r="E672" t="inlineStr">
        <is>
          <t>VIMMERBY</t>
        </is>
      </c>
      <c r="G672" t="n">
        <v>2.3</v>
      </c>
      <c r="H672" t="n">
        <v>0</v>
      </c>
      <c r="I672" t="n">
        <v>0</v>
      </c>
      <c r="J672" t="n">
        <v>0</v>
      </c>
      <c r="K672" t="n">
        <v>0</v>
      </c>
      <c r="L672" t="n">
        <v>0</v>
      </c>
      <c r="M672" t="n">
        <v>0</v>
      </c>
      <c r="N672" t="n">
        <v>0</v>
      </c>
      <c r="O672" t="n">
        <v>0</v>
      </c>
      <c r="P672" t="n">
        <v>0</v>
      </c>
      <c r="Q672" t="n">
        <v>0</v>
      </c>
      <c r="R672" s="2" t="inlineStr"/>
    </row>
    <row r="673" ht="15" customHeight="1">
      <c r="A673" t="inlineStr">
        <is>
          <t>A 1838-2022</t>
        </is>
      </c>
      <c r="B673" s="1" t="n">
        <v>44574</v>
      </c>
      <c r="C673" s="1" t="n">
        <v>45294</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2069-2022</t>
        </is>
      </c>
      <c r="B674" s="1" t="n">
        <v>44575</v>
      </c>
      <c r="C674" s="1" t="n">
        <v>45294</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2121-2022</t>
        </is>
      </c>
      <c r="B675" s="1" t="n">
        <v>44578</v>
      </c>
      <c r="C675" s="1" t="n">
        <v>45294</v>
      </c>
      <c r="D675" t="inlineStr">
        <is>
          <t>KALMAR LÄN</t>
        </is>
      </c>
      <c r="E675" t="inlineStr">
        <is>
          <t>VIMMERBY</t>
        </is>
      </c>
      <c r="G675" t="n">
        <v>2</v>
      </c>
      <c r="H675" t="n">
        <v>0</v>
      </c>
      <c r="I675" t="n">
        <v>0</v>
      </c>
      <c r="J675" t="n">
        <v>0</v>
      </c>
      <c r="K675" t="n">
        <v>0</v>
      </c>
      <c r="L675" t="n">
        <v>0</v>
      </c>
      <c r="M675" t="n">
        <v>0</v>
      </c>
      <c r="N675" t="n">
        <v>0</v>
      </c>
      <c r="O675" t="n">
        <v>0</v>
      </c>
      <c r="P675" t="n">
        <v>0</v>
      </c>
      <c r="Q675" t="n">
        <v>0</v>
      </c>
      <c r="R675" s="2" t="inlineStr"/>
    </row>
    <row r="676" ht="15" customHeight="1">
      <c r="A676" t="inlineStr">
        <is>
          <t>A 2196-2022</t>
        </is>
      </c>
      <c r="B676" s="1" t="n">
        <v>44578</v>
      </c>
      <c r="C676" s="1" t="n">
        <v>45294</v>
      </c>
      <c r="D676" t="inlineStr">
        <is>
          <t>KALMAR LÄN</t>
        </is>
      </c>
      <c r="E676" t="inlineStr">
        <is>
          <t>VIMMERBY</t>
        </is>
      </c>
      <c r="G676" t="n">
        <v>1.8</v>
      </c>
      <c r="H676" t="n">
        <v>0</v>
      </c>
      <c r="I676" t="n">
        <v>0</v>
      </c>
      <c r="J676" t="n">
        <v>0</v>
      </c>
      <c r="K676" t="n">
        <v>0</v>
      </c>
      <c r="L676" t="n">
        <v>0</v>
      </c>
      <c r="M676" t="n">
        <v>0</v>
      </c>
      <c r="N676" t="n">
        <v>0</v>
      </c>
      <c r="O676" t="n">
        <v>0</v>
      </c>
      <c r="P676" t="n">
        <v>0</v>
      </c>
      <c r="Q676" t="n">
        <v>0</v>
      </c>
      <c r="R676" s="2" t="inlineStr"/>
    </row>
    <row r="677" ht="15" customHeight="1">
      <c r="A677" t="inlineStr">
        <is>
          <t>A 2183-2022</t>
        </is>
      </c>
      <c r="B677" s="1" t="n">
        <v>44578</v>
      </c>
      <c r="C677" s="1" t="n">
        <v>45294</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2260-2022</t>
        </is>
      </c>
      <c r="B678" s="1" t="n">
        <v>44578</v>
      </c>
      <c r="C678" s="1" t="n">
        <v>45294</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2411-2022</t>
        </is>
      </c>
      <c r="B679" s="1" t="n">
        <v>44579</v>
      </c>
      <c r="C679" s="1" t="n">
        <v>45294</v>
      </c>
      <c r="D679" t="inlineStr">
        <is>
          <t>KALMAR LÄN</t>
        </is>
      </c>
      <c r="E679" t="inlineStr">
        <is>
          <t>VIMMERBY</t>
        </is>
      </c>
      <c r="G679" t="n">
        <v>2.6</v>
      </c>
      <c r="H679" t="n">
        <v>0</v>
      </c>
      <c r="I679" t="n">
        <v>0</v>
      </c>
      <c r="J679" t="n">
        <v>0</v>
      </c>
      <c r="K679" t="n">
        <v>0</v>
      </c>
      <c r="L679" t="n">
        <v>0</v>
      </c>
      <c r="M679" t="n">
        <v>0</v>
      </c>
      <c r="N679" t="n">
        <v>0</v>
      </c>
      <c r="O679" t="n">
        <v>0</v>
      </c>
      <c r="P679" t="n">
        <v>0</v>
      </c>
      <c r="Q679" t="n">
        <v>0</v>
      </c>
      <c r="R679" s="2" t="inlineStr"/>
    </row>
    <row r="680" ht="15" customHeight="1">
      <c r="A680" t="inlineStr">
        <is>
          <t>A 2462-2022</t>
        </is>
      </c>
      <c r="B680" s="1" t="n">
        <v>44579</v>
      </c>
      <c r="C680" s="1" t="n">
        <v>45294</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3425-2022</t>
        </is>
      </c>
      <c r="B681" s="1" t="n">
        <v>44585</v>
      </c>
      <c r="C681" s="1" t="n">
        <v>45294</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3423-2022</t>
        </is>
      </c>
      <c r="B682" s="1" t="n">
        <v>44585</v>
      </c>
      <c r="C682" s="1" t="n">
        <v>45294</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3426-2022</t>
        </is>
      </c>
      <c r="B683" s="1" t="n">
        <v>44585</v>
      </c>
      <c r="C683" s="1" t="n">
        <v>45294</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3816-2022</t>
        </is>
      </c>
      <c r="B684" s="1" t="n">
        <v>44587</v>
      </c>
      <c r="C684" s="1" t="n">
        <v>45294</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3902-2022</t>
        </is>
      </c>
      <c r="B685" s="1" t="n">
        <v>44587</v>
      </c>
      <c r="C685" s="1" t="n">
        <v>45294</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4046-2022</t>
        </is>
      </c>
      <c r="B686" s="1" t="n">
        <v>44588</v>
      </c>
      <c r="C686" s="1" t="n">
        <v>45294</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4054-2022</t>
        </is>
      </c>
      <c r="B687" s="1" t="n">
        <v>44588</v>
      </c>
      <c r="C687" s="1" t="n">
        <v>45294</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4118-2022</t>
        </is>
      </c>
      <c r="B688" s="1" t="n">
        <v>44588</v>
      </c>
      <c r="C688" s="1" t="n">
        <v>45294</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4126-2022</t>
        </is>
      </c>
      <c r="B689" s="1" t="n">
        <v>44588</v>
      </c>
      <c r="C689" s="1" t="n">
        <v>45294</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4042-2022</t>
        </is>
      </c>
      <c r="B690" s="1" t="n">
        <v>44588</v>
      </c>
      <c r="C690" s="1" t="n">
        <v>45294</v>
      </c>
      <c r="D690" t="inlineStr">
        <is>
          <t>KALMAR LÄN</t>
        </is>
      </c>
      <c r="E690" t="inlineStr">
        <is>
          <t>VIMMERBY</t>
        </is>
      </c>
      <c r="G690" t="n">
        <v>4.7</v>
      </c>
      <c r="H690" t="n">
        <v>0</v>
      </c>
      <c r="I690" t="n">
        <v>0</v>
      </c>
      <c r="J690" t="n">
        <v>0</v>
      </c>
      <c r="K690" t="n">
        <v>0</v>
      </c>
      <c r="L690" t="n">
        <v>0</v>
      </c>
      <c r="M690" t="n">
        <v>0</v>
      </c>
      <c r="N690" t="n">
        <v>0</v>
      </c>
      <c r="O690" t="n">
        <v>0</v>
      </c>
      <c r="P690" t="n">
        <v>0</v>
      </c>
      <c r="Q690" t="n">
        <v>0</v>
      </c>
      <c r="R690" s="2" t="inlineStr"/>
    </row>
    <row r="691" ht="15" customHeight="1">
      <c r="A691" t="inlineStr">
        <is>
          <t>A 4076-2022</t>
        </is>
      </c>
      <c r="B691" s="1" t="n">
        <v>44588</v>
      </c>
      <c r="C691" s="1" t="n">
        <v>45294</v>
      </c>
      <c r="D691" t="inlineStr">
        <is>
          <t>KALMAR LÄN</t>
        </is>
      </c>
      <c r="E691" t="inlineStr">
        <is>
          <t>VIMMERBY</t>
        </is>
      </c>
      <c r="G691" t="n">
        <v>3</v>
      </c>
      <c r="H691" t="n">
        <v>0</v>
      </c>
      <c r="I691" t="n">
        <v>0</v>
      </c>
      <c r="J691" t="n">
        <v>0</v>
      </c>
      <c r="K691" t="n">
        <v>0</v>
      </c>
      <c r="L691" t="n">
        <v>0</v>
      </c>
      <c r="M691" t="n">
        <v>0</v>
      </c>
      <c r="N691" t="n">
        <v>0</v>
      </c>
      <c r="O691" t="n">
        <v>0</v>
      </c>
      <c r="P691" t="n">
        <v>0</v>
      </c>
      <c r="Q691" t="n">
        <v>0</v>
      </c>
      <c r="R691" s="2" t="inlineStr"/>
    </row>
    <row r="692" ht="15" customHeight="1">
      <c r="A692" t="inlineStr">
        <is>
          <t>A 4122-2022</t>
        </is>
      </c>
      <c r="B692" s="1" t="n">
        <v>44588</v>
      </c>
      <c r="C692" s="1" t="n">
        <v>45294</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4297-2022</t>
        </is>
      </c>
      <c r="B693" s="1" t="n">
        <v>44588</v>
      </c>
      <c r="C693" s="1" t="n">
        <v>45294</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4296-2022</t>
        </is>
      </c>
      <c r="B694" s="1" t="n">
        <v>44588</v>
      </c>
      <c r="C694" s="1" t="n">
        <v>45294</v>
      </c>
      <c r="D694" t="inlineStr">
        <is>
          <t>KALMAR LÄN</t>
        </is>
      </c>
      <c r="E694" t="inlineStr">
        <is>
          <t>VIMMERBY</t>
        </is>
      </c>
      <c r="G694" t="n">
        <v>1.8</v>
      </c>
      <c r="H694" t="n">
        <v>0</v>
      </c>
      <c r="I694" t="n">
        <v>0</v>
      </c>
      <c r="J694" t="n">
        <v>0</v>
      </c>
      <c r="K694" t="n">
        <v>0</v>
      </c>
      <c r="L694" t="n">
        <v>0</v>
      </c>
      <c r="M694" t="n">
        <v>0</v>
      </c>
      <c r="N694" t="n">
        <v>0</v>
      </c>
      <c r="O694" t="n">
        <v>0</v>
      </c>
      <c r="P694" t="n">
        <v>0</v>
      </c>
      <c r="Q694" t="n">
        <v>0</v>
      </c>
      <c r="R694" s="2" t="inlineStr"/>
    </row>
    <row r="695" ht="15" customHeight="1">
      <c r="A695" t="inlineStr">
        <is>
          <t>A 4532-2022</t>
        </is>
      </c>
      <c r="B695" s="1" t="n">
        <v>44590</v>
      </c>
      <c r="C695" s="1" t="n">
        <v>45294</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5527-2022</t>
        </is>
      </c>
      <c r="B696" s="1" t="n">
        <v>44595</v>
      </c>
      <c r="C696" s="1" t="n">
        <v>45294</v>
      </c>
      <c r="D696" t="inlineStr">
        <is>
          <t>KALMAR LÄN</t>
        </is>
      </c>
      <c r="E696" t="inlineStr">
        <is>
          <t>VIMMERBY</t>
        </is>
      </c>
      <c r="G696" t="n">
        <v>3.6</v>
      </c>
      <c r="H696" t="n">
        <v>0</v>
      </c>
      <c r="I696" t="n">
        <v>0</v>
      </c>
      <c r="J696" t="n">
        <v>0</v>
      </c>
      <c r="K696" t="n">
        <v>0</v>
      </c>
      <c r="L696" t="n">
        <v>0</v>
      </c>
      <c r="M696" t="n">
        <v>0</v>
      </c>
      <c r="N696" t="n">
        <v>0</v>
      </c>
      <c r="O696" t="n">
        <v>0</v>
      </c>
      <c r="P696" t="n">
        <v>0</v>
      </c>
      <c r="Q696" t="n">
        <v>0</v>
      </c>
      <c r="R696" s="2" t="inlineStr"/>
    </row>
    <row r="697" ht="15" customHeight="1">
      <c r="A697" t="inlineStr">
        <is>
          <t>A 5545-2022</t>
        </is>
      </c>
      <c r="B697" s="1" t="n">
        <v>44595</v>
      </c>
      <c r="C697" s="1" t="n">
        <v>45294</v>
      </c>
      <c r="D697" t="inlineStr">
        <is>
          <t>KALMAR LÄN</t>
        </is>
      </c>
      <c r="E697" t="inlineStr">
        <is>
          <t>VIMMERBY</t>
        </is>
      </c>
      <c r="G697" t="n">
        <v>2.2</v>
      </c>
      <c r="H697" t="n">
        <v>0</v>
      </c>
      <c r="I697" t="n">
        <v>0</v>
      </c>
      <c r="J697" t="n">
        <v>0</v>
      </c>
      <c r="K697" t="n">
        <v>0</v>
      </c>
      <c r="L697" t="n">
        <v>0</v>
      </c>
      <c r="M697" t="n">
        <v>0</v>
      </c>
      <c r="N697" t="n">
        <v>0</v>
      </c>
      <c r="O697" t="n">
        <v>0</v>
      </c>
      <c r="P697" t="n">
        <v>0</v>
      </c>
      <c r="Q697" t="n">
        <v>0</v>
      </c>
      <c r="R697" s="2" t="inlineStr"/>
    </row>
    <row r="698" ht="15" customHeight="1">
      <c r="A698" t="inlineStr">
        <is>
          <t>A 5618-2022</t>
        </is>
      </c>
      <c r="B698" s="1" t="n">
        <v>44595</v>
      </c>
      <c r="C698" s="1" t="n">
        <v>45294</v>
      </c>
      <c r="D698" t="inlineStr">
        <is>
          <t>KALMAR LÄN</t>
        </is>
      </c>
      <c r="E698" t="inlineStr">
        <is>
          <t>VIMMERBY</t>
        </is>
      </c>
      <c r="G698" t="n">
        <v>3.6</v>
      </c>
      <c r="H698" t="n">
        <v>0</v>
      </c>
      <c r="I698" t="n">
        <v>0</v>
      </c>
      <c r="J698" t="n">
        <v>0</v>
      </c>
      <c r="K698" t="n">
        <v>0</v>
      </c>
      <c r="L698" t="n">
        <v>0</v>
      </c>
      <c r="M698" t="n">
        <v>0</v>
      </c>
      <c r="N698" t="n">
        <v>0</v>
      </c>
      <c r="O698" t="n">
        <v>0</v>
      </c>
      <c r="P698" t="n">
        <v>0</v>
      </c>
      <c r="Q698" t="n">
        <v>0</v>
      </c>
      <c r="R698" s="2" t="inlineStr"/>
    </row>
    <row r="699" ht="15" customHeight="1">
      <c r="A699" t="inlineStr">
        <is>
          <t>A 5864-2022</t>
        </is>
      </c>
      <c r="B699" s="1" t="n">
        <v>44596</v>
      </c>
      <c r="C699" s="1" t="n">
        <v>45294</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5925-2022</t>
        </is>
      </c>
      <c r="B700" s="1" t="n">
        <v>44598</v>
      </c>
      <c r="C700" s="1" t="n">
        <v>45294</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5938-2022</t>
        </is>
      </c>
      <c r="B701" s="1" t="n">
        <v>44598</v>
      </c>
      <c r="C701" s="1" t="n">
        <v>45294</v>
      </c>
      <c r="D701" t="inlineStr">
        <is>
          <t>KALMAR LÄN</t>
        </is>
      </c>
      <c r="E701" t="inlineStr">
        <is>
          <t>VIMMERBY</t>
        </is>
      </c>
      <c r="G701" t="n">
        <v>2.4</v>
      </c>
      <c r="H701" t="n">
        <v>0</v>
      </c>
      <c r="I701" t="n">
        <v>0</v>
      </c>
      <c r="J701" t="n">
        <v>0</v>
      </c>
      <c r="K701" t="n">
        <v>0</v>
      </c>
      <c r="L701" t="n">
        <v>0</v>
      </c>
      <c r="M701" t="n">
        <v>0</v>
      </c>
      <c r="N701" t="n">
        <v>0</v>
      </c>
      <c r="O701" t="n">
        <v>0</v>
      </c>
      <c r="P701" t="n">
        <v>0</v>
      </c>
      <c r="Q701" t="n">
        <v>0</v>
      </c>
      <c r="R701" s="2" t="inlineStr"/>
    </row>
    <row r="702" ht="15" customHeight="1">
      <c r="A702" t="inlineStr">
        <is>
          <t>A 6083-2022</t>
        </is>
      </c>
      <c r="B702" s="1" t="n">
        <v>44599</v>
      </c>
      <c r="C702" s="1" t="n">
        <v>45294</v>
      </c>
      <c r="D702" t="inlineStr">
        <is>
          <t>KALMAR LÄN</t>
        </is>
      </c>
      <c r="E702" t="inlineStr">
        <is>
          <t>VIMMERBY</t>
        </is>
      </c>
      <c r="G702" t="n">
        <v>6.6</v>
      </c>
      <c r="H702" t="n">
        <v>0</v>
      </c>
      <c r="I702" t="n">
        <v>0</v>
      </c>
      <c r="J702" t="n">
        <v>0</v>
      </c>
      <c r="K702" t="n">
        <v>0</v>
      </c>
      <c r="L702" t="n">
        <v>0</v>
      </c>
      <c r="M702" t="n">
        <v>0</v>
      </c>
      <c r="N702" t="n">
        <v>0</v>
      </c>
      <c r="O702" t="n">
        <v>0</v>
      </c>
      <c r="P702" t="n">
        <v>0</v>
      </c>
      <c r="Q702" t="n">
        <v>0</v>
      </c>
      <c r="R702" s="2" t="inlineStr"/>
    </row>
    <row r="703" ht="15" customHeight="1">
      <c r="A703" t="inlineStr">
        <is>
          <t>A 6082-2022</t>
        </is>
      </c>
      <c r="B703" s="1" t="n">
        <v>44599</v>
      </c>
      <c r="C703" s="1" t="n">
        <v>45294</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6358-2022</t>
        </is>
      </c>
      <c r="B704" s="1" t="n">
        <v>44600</v>
      </c>
      <c r="C704" s="1" t="n">
        <v>45294</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6355-2022</t>
        </is>
      </c>
      <c r="B705" s="1" t="n">
        <v>44600</v>
      </c>
      <c r="C705" s="1" t="n">
        <v>45294</v>
      </c>
      <c r="D705" t="inlineStr">
        <is>
          <t>KALMAR LÄN</t>
        </is>
      </c>
      <c r="E705" t="inlineStr">
        <is>
          <t>VIMMERBY</t>
        </is>
      </c>
      <c r="G705" t="n">
        <v>4.9</v>
      </c>
      <c r="H705" t="n">
        <v>0</v>
      </c>
      <c r="I705" t="n">
        <v>0</v>
      </c>
      <c r="J705" t="n">
        <v>0</v>
      </c>
      <c r="K705" t="n">
        <v>0</v>
      </c>
      <c r="L705" t="n">
        <v>0</v>
      </c>
      <c r="M705" t="n">
        <v>0</v>
      </c>
      <c r="N705" t="n">
        <v>0</v>
      </c>
      <c r="O705" t="n">
        <v>0</v>
      </c>
      <c r="P705" t="n">
        <v>0</v>
      </c>
      <c r="Q705" t="n">
        <v>0</v>
      </c>
      <c r="R705" s="2" t="inlineStr"/>
    </row>
    <row r="706" ht="15" customHeight="1">
      <c r="A706" t="inlineStr">
        <is>
          <t>A 7047-2022</t>
        </is>
      </c>
      <c r="B706" s="1" t="n">
        <v>44603</v>
      </c>
      <c r="C706" s="1" t="n">
        <v>45294</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7049-2022</t>
        </is>
      </c>
      <c r="B707" s="1" t="n">
        <v>44603</v>
      </c>
      <c r="C707" s="1" t="n">
        <v>45294</v>
      </c>
      <c r="D707" t="inlineStr">
        <is>
          <t>KALMAR LÄN</t>
        </is>
      </c>
      <c r="E707" t="inlineStr">
        <is>
          <t>VIMMERBY</t>
        </is>
      </c>
      <c r="G707" t="n">
        <v>2.3</v>
      </c>
      <c r="H707" t="n">
        <v>0</v>
      </c>
      <c r="I707" t="n">
        <v>0</v>
      </c>
      <c r="J707" t="n">
        <v>0</v>
      </c>
      <c r="K707" t="n">
        <v>0</v>
      </c>
      <c r="L707" t="n">
        <v>0</v>
      </c>
      <c r="M707" t="n">
        <v>0</v>
      </c>
      <c r="N707" t="n">
        <v>0</v>
      </c>
      <c r="O707" t="n">
        <v>0</v>
      </c>
      <c r="P707" t="n">
        <v>0</v>
      </c>
      <c r="Q707" t="n">
        <v>0</v>
      </c>
      <c r="R707" s="2" t="inlineStr"/>
    </row>
    <row r="708" ht="15" customHeight="1">
      <c r="A708" t="inlineStr">
        <is>
          <t>A 7167-2022</t>
        </is>
      </c>
      <c r="B708" s="1" t="n">
        <v>44604</v>
      </c>
      <c r="C708" s="1" t="n">
        <v>45294</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7643-2022</t>
        </is>
      </c>
      <c r="B709" s="1" t="n">
        <v>44607</v>
      </c>
      <c r="C709" s="1" t="n">
        <v>45294</v>
      </c>
      <c r="D709" t="inlineStr">
        <is>
          <t>KALMAR LÄN</t>
        </is>
      </c>
      <c r="E709" t="inlineStr">
        <is>
          <t>VIMMERBY</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7804-2022</t>
        </is>
      </c>
      <c r="B710" s="1" t="n">
        <v>44608</v>
      </c>
      <c r="C710" s="1" t="n">
        <v>45294</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7917-2022</t>
        </is>
      </c>
      <c r="B711" s="1" t="n">
        <v>44608</v>
      </c>
      <c r="C711" s="1" t="n">
        <v>45294</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8194-2022</t>
        </is>
      </c>
      <c r="B712" s="1" t="n">
        <v>44609</v>
      </c>
      <c r="C712" s="1" t="n">
        <v>45294</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8454-2022</t>
        </is>
      </c>
      <c r="B713" s="1" t="n">
        <v>44612</v>
      </c>
      <c r="C713" s="1" t="n">
        <v>45294</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8453-2022</t>
        </is>
      </c>
      <c r="B714" s="1" t="n">
        <v>44612</v>
      </c>
      <c r="C714" s="1" t="n">
        <v>45294</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8462-2022</t>
        </is>
      </c>
      <c r="B715" s="1" t="n">
        <v>44612</v>
      </c>
      <c r="C715" s="1" t="n">
        <v>45294</v>
      </c>
      <c r="D715" t="inlineStr">
        <is>
          <t>KALMAR LÄN</t>
        </is>
      </c>
      <c r="E715" t="inlineStr">
        <is>
          <t>VIMMERBY</t>
        </is>
      </c>
      <c r="G715" t="n">
        <v>0.9</v>
      </c>
      <c r="H715" t="n">
        <v>0</v>
      </c>
      <c r="I715" t="n">
        <v>0</v>
      </c>
      <c r="J715" t="n">
        <v>0</v>
      </c>
      <c r="K715" t="n">
        <v>0</v>
      </c>
      <c r="L715" t="n">
        <v>0</v>
      </c>
      <c r="M715" t="n">
        <v>0</v>
      </c>
      <c r="N715" t="n">
        <v>0</v>
      </c>
      <c r="O715" t="n">
        <v>0</v>
      </c>
      <c r="P715" t="n">
        <v>0</v>
      </c>
      <c r="Q715" t="n">
        <v>0</v>
      </c>
      <c r="R715" s="2" t="inlineStr"/>
    </row>
    <row r="716" ht="15" customHeight="1">
      <c r="A716" t="inlineStr">
        <is>
          <t>A 8650-2022</t>
        </is>
      </c>
      <c r="B716" s="1" t="n">
        <v>44613</v>
      </c>
      <c r="C716" s="1" t="n">
        <v>45294</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8908-2022</t>
        </is>
      </c>
      <c r="B717" s="1" t="n">
        <v>44614</v>
      </c>
      <c r="C717" s="1" t="n">
        <v>45294</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9311-2022</t>
        </is>
      </c>
      <c r="B718" s="1" t="n">
        <v>44616</v>
      </c>
      <c r="C718" s="1" t="n">
        <v>45294</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9918-2022</t>
        </is>
      </c>
      <c r="B719" s="1" t="n">
        <v>44620</v>
      </c>
      <c r="C719" s="1" t="n">
        <v>45294</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10086-2022</t>
        </is>
      </c>
      <c r="B720" s="1" t="n">
        <v>44621</v>
      </c>
      <c r="C720" s="1" t="n">
        <v>45294</v>
      </c>
      <c r="D720" t="inlineStr">
        <is>
          <t>KALMAR LÄN</t>
        </is>
      </c>
      <c r="E720" t="inlineStr">
        <is>
          <t>VIMMERBY</t>
        </is>
      </c>
      <c r="G720" t="n">
        <v>1.2</v>
      </c>
      <c r="H720" t="n">
        <v>0</v>
      </c>
      <c r="I720" t="n">
        <v>0</v>
      </c>
      <c r="J720" t="n">
        <v>0</v>
      </c>
      <c r="K720" t="n">
        <v>0</v>
      </c>
      <c r="L720" t="n">
        <v>0</v>
      </c>
      <c r="M720" t="n">
        <v>0</v>
      </c>
      <c r="N720" t="n">
        <v>0</v>
      </c>
      <c r="O720" t="n">
        <v>0</v>
      </c>
      <c r="P720" t="n">
        <v>0</v>
      </c>
      <c r="Q720" t="n">
        <v>0</v>
      </c>
      <c r="R720" s="2" t="inlineStr"/>
    </row>
    <row r="721" ht="15" customHeight="1">
      <c r="A721" t="inlineStr">
        <is>
          <t>A 10487-2022</t>
        </is>
      </c>
      <c r="B721" s="1" t="n">
        <v>44623</v>
      </c>
      <c r="C721" s="1" t="n">
        <v>45294</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11429-2022</t>
        </is>
      </c>
      <c r="B722" s="1" t="n">
        <v>44630</v>
      </c>
      <c r="C722" s="1" t="n">
        <v>45294</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11733-2022</t>
        </is>
      </c>
      <c r="B723" s="1" t="n">
        <v>44634</v>
      </c>
      <c r="C723" s="1" t="n">
        <v>45294</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11814-2022</t>
        </is>
      </c>
      <c r="B724" s="1" t="n">
        <v>44634</v>
      </c>
      <c r="C724" s="1" t="n">
        <v>45294</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11928-2022</t>
        </is>
      </c>
      <c r="B725" s="1" t="n">
        <v>44635</v>
      </c>
      <c r="C725" s="1" t="n">
        <v>45294</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11930-2022</t>
        </is>
      </c>
      <c r="B726" s="1" t="n">
        <v>44635</v>
      </c>
      <c r="C726" s="1" t="n">
        <v>45294</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12107-2022</t>
        </is>
      </c>
      <c r="B727" s="1" t="n">
        <v>44636</v>
      </c>
      <c r="C727" s="1" t="n">
        <v>45294</v>
      </c>
      <c r="D727" t="inlineStr">
        <is>
          <t>KALMAR LÄN</t>
        </is>
      </c>
      <c r="E727" t="inlineStr">
        <is>
          <t>VIMMERBY</t>
        </is>
      </c>
      <c r="G727" t="n">
        <v>1.8</v>
      </c>
      <c r="H727" t="n">
        <v>0</v>
      </c>
      <c r="I727" t="n">
        <v>0</v>
      </c>
      <c r="J727" t="n">
        <v>0</v>
      </c>
      <c r="K727" t="n">
        <v>0</v>
      </c>
      <c r="L727" t="n">
        <v>0</v>
      </c>
      <c r="M727" t="n">
        <v>0</v>
      </c>
      <c r="N727" t="n">
        <v>0</v>
      </c>
      <c r="O727" t="n">
        <v>0</v>
      </c>
      <c r="P727" t="n">
        <v>0</v>
      </c>
      <c r="Q727" t="n">
        <v>0</v>
      </c>
      <c r="R727" s="2" t="inlineStr"/>
    </row>
    <row r="728" ht="15" customHeight="1">
      <c r="A728" t="inlineStr">
        <is>
          <t>A 12510-2022</t>
        </is>
      </c>
      <c r="B728" s="1" t="n">
        <v>44638</v>
      </c>
      <c r="C728" s="1" t="n">
        <v>45294</v>
      </c>
      <c r="D728" t="inlineStr">
        <is>
          <t>KALMAR LÄN</t>
        </is>
      </c>
      <c r="E728" t="inlineStr">
        <is>
          <t>VIMMERBY</t>
        </is>
      </c>
      <c r="G728" t="n">
        <v>2.4</v>
      </c>
      <c r="H728" t="n">
        <v>0</v>
      </c>
      <c r="I728" t="n">
        <v>0</v>
      </c>
      <c r="J728" t="n">
        <v>0</v>
      </c>
      <c r="K728" t="n">
        <v>0</v>
      </c>
      <c r="L728" t="n">
        <v>0</v>
      </c>
      <c r="M728" t="n">
        <v>0</v>
      </c>
      <c r="N728" t="n">
        <v>0</v>
      </c>
      <c r="O728" t="n">
        <v>0</v>
      </c>
      <c r="P728" t="n">
        <v>0</v>
      </c>
      <c r="Q728" t="n">
        <v>0</v>
      </c>
      <c r="R728" s="2" t="inlineStr"/>
    </row>
    <row r="729" ht="15" customHeight="1">
      <c r="A729" t="inlineStr">
        <is>
          <t>A 13015-2022</t>
        </is>
      </c>
      <c r="B729" s="1" t="n">
        <v>44643</v>
      </c>
      <c r="C729" s="1" t="n">
        <v>45294</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13180-2022</t>
        </is>
      </c>
      <c r="B730" s="1" t="n">
        <v>44644</v>
      </c>
      <c r="C730" s="1" t="n">
        <v>45294</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14347-2022</t>
        </is>
      </c>
      <c r="B731" s="1" t="n">
        <v>44652</v>
      </c>
      <c r="C731" s="1" t="n">
        <v>45294</v>
      </c>
      <c r="D731" t="inlineStr">
        <is>
          <t>KALMAR LÄN</t>
        </is>
      </c>
      <c r="E731" t="inlineStr">
        <is>
          <t>VIMMERBY</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15146-2022</t>
        </is>
      </c>
      <c r="B732" s="1" t="n">
        <v>44658</v>
      </c>
      <c r="C732" s="1" t="n">
        <v>45294</v>
      </c>
      <c r="D732" t="inlineStr">
        <is>
          <t>KALMAR LÄN</t>
        </is>
      </c>
      <c r="E732" t="inlineStr">
        <is>
          <t>VIMMERBY</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15438-2022</t>
        </is>
      </c>
      <c r="B733" s="1" t="n">
        <v>44659</v>
      </c>
      <c r="C733" s="1" t="n">
        <v>45294</v>
      </c>
      <c r="D733" t="inlineStr">
        <is>
          <t>KALMAR LÄN</t>
        </is>
      </c>
      <c r="E733" t="inlineStr">
        <is>
          <t>VIMMERBY</t>
        </is>
      </c>
      <c r="F733" t="inlineStr">
        <is>
          <t>Kommuner</t>
        </is>
      </c>
      <c r="G733" t="n">
        <v>2.8</v>
      </c>
      <c r="H733" t="n">
        <v>0</v>
      </c>
      <c r="I733" t="n">
        <v>0</v>
      </c>
      <c r="J733" t="n">
        <v>0</v>
      </c>
      <c r="K733" t="n">
        <v>0</v>
      </c>
      <c r="L733" t="n">
        <v>0</v>
      </c>
      <c r="M733" t="n">
        <v>0</v>
      </c>
      <c r="N733" t="n">
        <v>0</v>
      </c>
      <c r="O733" t="n">
        <v>0</v>
      </c>
      <c r="P733" t="n">
        <v>0</v>
      </c>
      <c r="Q733" t="n">
        <v>0</v>
      </c>
      <c r="R733" s="2" t="inlineStr"/>
    </row>
    <row r="734" ht="15" customHeight="1">
      <c r="A734" t="inlineStr">
        <is>
          <t>A 15533-2022</t>
        </is>
      </c>
      <c r="B734" s="1" t="n">
        <v>44662</v>
      </c>
      <c r="C734" s="1" t="n">
        <v>45294</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15535-2022</t>
        </is>
      </c>
      <c r="B735" s="1" t="n">
        <v>44662</v>
      </c>
      <c r="C735" s="1" t="n">
        <v>45294</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16156-2022</t>
        </is>
      </c>
      <c r="B736" s="1" t="n">
        <v>44666</v>
      </c>
      <c r="C736" s="1" t="n">
        <v>45294</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16288-2022</t>
        </is>
      </c>
      <c r="B737" s="1" t="n">
        <v>44670</v>
      </c>
      <c r="C737" s="1" t="n">
        <v>45294</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16283-2022</t>
        </is>
      </c>
      <c r="B738" s="1" t="n">
        <v>44670</v>
      </c>
      <c r="C738" s="1" t="n">
        <v>45294</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16290-2022</t>
        </is>
      </c>
      <c r="B739" s="1" t="n">
        <v>44670</v>
      </c>
      <c r="C739" s="1" t="n">
        <v>45294</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17029-2022</t>
        </is>
      </c>
      <c r="B740" s="1" t="n">
        <v>44676</v>
      </c>
      <c r="C740" s="1" t="n">
        <v>45294</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17253-2022</t>
        </is>
      </c>
      <c r="B741" s="1" t="n">
        <v>44678</v>
      </c>
      <c r="C741" s="1" t="n">
        <v>45294</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19535-2022</t>
        </is>
      </c>
      <c r="B742" s="1" t="n">
        <v>44693</v>
      </c>
      <c r="C742" s="1" t="n">
        <v>45294</v>
      </c>
      <c r="D742" t="inlineStr">
        <is>
          <t>KALMAR LÄN</t>
        </is>
      </c>
      <c r="E742" t="inlineStr">
        <is>
          <t>VIMMERBY</t>
        </is>
      </c>
      <c r="F742" t="inlineStr">
        <is>
          <t>Sveaskog</t>
        </is>
      </c>
      <c r="G742" t="n">
        <v>7.1</v>
      </c>
      <c r="H742" t="n">
        <v>0</v>
      </c>
      <c r="I742" t="n">
        <v>0</v>
      </c>
      <c r="J742" t="n">
        <v>0</v>
      </c>
      <c r="K742" t="n">
        <v>0</v>
      </c>
      <c r="L742" t="n">
        <v>0</v>
      </c>
      <c r="M742" t="n">
        <v>0</v>
      </c>
      <c r="N742" t="n">
        <v>0</v>
      </c>
      <c r="O742" t="n">
        <v>0</v>
      </c>
      <c r="P742" t="n">
        <v>0</v>
      </c>
      <c r="Q742" t="n">
        <v>0</v>
      </c>
      <c r="R742" s="2" t="inlineStr"/>
    </row>
    <row r="743" ht="15" customHeight="1">
      <c r="A743" t="inlineStr">
        <is>
          <t>A 19537-2022</t>
        </is>
      </c>
      <c r="B743" s="1" t="n">
        <v>44693</v>
      </c>
      <c r="C743" s="1" t="n">
        <v>45294</v>
      </c>
      <c r="D743" t="inlineStr">
        <is>
          <t>KALMAR LÄN</t>
        </is>
      </c>
      <c r="E743" t="inlineStr">
        <is>
          <t>VIMMERBY</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23341-2022</t>
        </is>
      </c>
      <c r="B744" s="1" t="n">
        <v>44720</v>
      </c>
      <c r="C744" s="1" t="n">
        <v>45294</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23825-2022</t>
        </is>
      </c>
      <c r="B745" s="1" t="n">
        <v>44722</v>
      </c>
      <c r="C745" s="1" t="n">
        <v>45294</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25049-2022</t>
        </is>
      </c>
      <c r="B746" s="1" t="n">
        <v>44729</v>
      </c>
      <c r="C746" s="1" t="n">
        <v>45294</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25370-2022</t>
        </is>
      </c>
      <c r="B747" s="1" t="n">
        <v>44732</v>
      </c>
      <c r="C747" s="1" t="n">
        <v>45294</v>
      </c>
      <c r="D747" t="inlineStr">
        <is>
          <t>KALMAR LÄN</t>
        </is>
      </c>
      <c r="E747" t="inlineStr">
        <is>
          <t>VIMMERBY</t>
        </is>
      </c>
      <c r="G747" t="n">
        <v>1.2</v>
      </c>
      <c r="H747" t="n">
        <v>0</v>
      </c>
      <c r="I747" t="n">
        <v>0</v>
      </c>
      <c r="J747" t="n">
        <v>0</v>
      </c>
      <c r="K747" t="n">
        <v>0</v>
      </c>
      <c r="L747" t="n">
        <v>0</v>
      </c>
      <c r="M747" t="n">
        <v>0</v>
      </c>
      <c r="N747" t="n">
        <v>0</v>
      </c>
      <c r="O747" t="n">
        <v>0</v>
      </c>
      <c r="P747" t="n">
        <v>0</v>
      </c>
      <c r="Q747" t="n">
        <v>0</v>
      </c>
      <c r="R747" s="2" t="inlineStr"/>
    </row>
    <row r="748" ht="15" customHeight="1">
      <c r="A748" t="inlineStr">
        <is>
          <t>A 25738-2022</t>
        </is>
      </c>
      <c r="B748" s="1" t="n">
        <v>44733</v>
      </c>
      <c r="C748" s="1" t="n">
        <v>45294</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25859-2022</t>
        </is>
      </c>
      <c r="B749" s="1" t="n">
        <v>44733</v>
      </c>
      <c r="C749" s="1" t="n">
        <v>45294</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25868-2022</t>
        </is>
      </c>
      <c r="B750" s="1" t="n">
        <v>44733</v>
      </c>
      <c r="C750" s="1" t="n">
        <v>45294</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27455-2022</t>
        </is>
      </c>
      <c r="B751" s="1" t="n">
        <v>44742</v>
      </c>
      <c r="C751" s="1" t="n">
        <v>45294</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27993-2022</t>
        </is>
      </c>
      <c r="B752" s="1" t="n">
        <v>44745</v>
      </c>
      <c r="C752" s="1" t="n">
        <v>45294</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28034-2022</t>
        </is>
      </c>
      <c r="B753" s="1" t="n">
        <v>44746</v>
      </c>
      <c r="C753" s="1" t="n">
        <v>45294</v>
      </c>
      <c r="D753" t="inlineStr">
        <is>
          <t>KALMAR LÄN</t>
        </is>
      </c>
      <c r="E753" t="inlineStr">
        <is>
          <t>VIMMERBY</t>
        </is>
      </c>
      <c r="G753" t="n">
        <v>2</v>
      </c>
      <c r="H753" t="n">
        <v>0</v>
      </c>
      <c r="I753" t="n">
        <v>0</v>
      </c>
      <c r="J753" t="n">
        <v>0</v>
      </c>
      <c r="K753" t="n">
        <v>0</v>
      </c>
      <c r="L753" t="n">
        <v>0</v>
      </c>
      <c r="M753" t="n">
        <v>0</v>
      </c>
      <c r="N753" t="n">
        <v>0</v>
      </c>
      <c r="O753" t="n">
        <v>0</v>
      </c>
      <c r="P753" t="n">
        <v>0</v>
      </c>
      <c r="Q753" t="n">
        <v>0</v>
      </c>
      <c r="R753" s="2" t="inlineStr"/>
    </row>
    <row r="754" ht="15" customHeight="1">
      <c r="A754" t="inlineStr">
        <is>
          <t>A 28406-2022</t>
        </is>
      </c>
      <c r="B754" s="1" t="n">
        <v>44747</v>
      </c>
      <c r="C754" s="1" t="n">
        <v>45294</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28646-2022</t>
        </is>
      </c>
      <c r="B755" s="1" t="n">
        <v>44748</v>
      </c>
      <c r="C755" s="1" t="n">
        <v>45294</v>
      </c>
      <c r="D755" t="inlineStr">
        <is>
          <t>KALMAR LÄN</t>
        </is>
      </c>
      <c r="E755" t="inlineStr">
        <is>
          <t>VIMMERBY</t>
        </is>
      </c>
      <c r="G755" t="n">
        <v>4.4</v>
      </c>
      <c r="H755" t="n">
        <v>0</v>
      </c>
      <c r="I755" t="n">
        <v>0</v>
      </c>
      <c r="J755" t="n">
        <v>0</v>
      </c>
      <c r="K755" t="n">
        <v>0</v>
      </c>
      <c r="L755" t="n">
        <v>0</v>
      </c>
      <c r="M755" t="n">
        <v>0</v>
      </c>
      <c r="N755" t="n">
        <v>0</v>
      </c>
      <c r="O755" t="n">
        <v>0</v>
      </c>
      <c r="P755" t="n">
        <v>0</v>
      </c>
      <c r="Q755" t="n">
        <v>0</v>
      </c>
      <c r="R755" s="2" t="inlineStr"/>
    </row>
    <row r="756" ht="15" customHeight="1">
      <c r="A756" t="inlineStr">
        <is>
          <t>A 29616-2022</t>
        </is>
      </c>
      <c r="B756" s="1" t="n">
        <v>44754</v>
      </c>
      <c r="C756" s="1" t="n">
        <v>45294</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29910-2022</t>
        </is>
      </c>
      <c r="B757" s="1" t="n">
        <v>44756</v>
      </c>
      <c r="C757" s="1" t="n">
        <v>45294</v>
      </c>
      <c r="D757" t="inlineStr">
        <is>
          <t>KALMAR LÄN</t>
        </is>
      </c>
      <c r="E757" t="inlineStr">
        <is>
          <t>VIMMERBY</t>
        </is>
      </c>
      <c r="G757" t="n">
        <v>0.8</v>
      </c>
      <c r="H757" t="n">
        <v>0</v>
      </c>
      <c r="I757" t="n">
        <v>0</v>
      </c>
      <c r="J757" t="n">
        <v>0</v>
      </c>
      <c r="K757" t="n">
        <v>0</v>
      </c>
      <c r="L757" t="n">
        <v>0</v>
      </c>
      <c r="M757" t="n">
        <v>0</v>
      </c>
      <c r="N757" t="n">
        <v>0</v>
      </c>
      <c r="O757" t="n">
        <v>0</v>
      </c>
      <c r="P757" t="n">
        <v>0</v>
      </c>
      <c r="Q757" t="n">
        <v>0</v>
      </c>
      <c r="R757" s="2" t="inlineStr"/>
    </row>
    <row r="758" ht="15" customHeight="1">
      <c r="A758" t="inlineStr">
        <is>
          <t>A 31053-2022</t>
        </is>
      </c>
      <c r="B758" s="1" t="n">
        <v>44769</v>
      </c>
      <c r="C758" s="1" t="n">
        <v>45294</v>
      </c>
      <c r="D758" t="inlineStr">
        <is>
          <t>KALMAR LÄN</t>
        </is>
      </c>
      <c r="E758" t="inlineStr">
        <is>
          <t>VIMMERBY</t>
        </is>
      </c>
      <c r="G758" t="n">
        <v>1.9</v>
      </c>
      <c r="H758" t="n">
        <v>0</v>
      </c>
      <c r="I758" t="n">
        <v>0</v>
      </c>
      <c r="J758" t="n">
        <v>0</v>
      </c>
      <c r="K758" t="n">
        <v>0</v>
      </c>
      <c r="L758" t="n">
        <v>0</v>
      </c>
      <c r="M758" t="n">
        <v>0</v>
      </c>
      <c r="N758" t="n">
        <v>0</v>
      </c>
      <c r="O758" t="n">
        <v>0</v>
      </c>
      <c r="P758" t="n">
        <v>0</v>
      </c>
      <c r="Q758" t="n">
        <v>0</v>
      </c>
      <c r="R758" s="2" t="inlineStr"/>
    </row>
    <row r="759" ht="15" customHeight="1">
      <c r="A759" t="inlineStr">
        <is>
          <t>A 31056-2022</t>
        </is>
      </c>
      <c r="B759" s="1" t="n">
        <v>44769</v>
      </c>
      <c r="C759" s="1" t="n">
        <v>45294</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31533-2022</t>
        </is>
      </c>
      <c r="B760" s="1" t="n">
        <v>44774</v>
      </c>
      <c r="C760" s="1" t="n">
        <v>45294</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31824-2022</t>
        </is>
      </c>
      <c r="B761" s="1" t="n">
        <v>44776</v>
      </c>
      <c r="C761" s="1" t="n">
        <v>45294</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32835-2022</t>
        </is>
      </c>
      <c r="B762" s="1" t="n">
        <v>44784</v>
      </c>
      <c r="C762" s="1" t="n">
        <v>45294</v>
      </c>
      <c r="D762" t="inlineStr">
        <is>
          <t>KALMAR LÄN</t>
        </is>
      </c>
      <c r="E762" t="inlineStr">
        <is>
          <t>VIMMERBY</t>
        </is>
      </c>
      <c r="G762" t="n">
        <v>1.6</v>
      </c>
      <c r="H762" t="n">
        <v>0</v>
      </c>
      <c r="I762" t="n">
        <v>0</v>
      </c>
      <c r="J762" t="n">
        <v>0</v>
      </c>
      <c r="K762" t="n">
        <v>0</v>
      </c>
      <c r="L762" t="n">
        <v>0</v>
      </c>
      <c r="M762" t="n">
        <v>0</v>
      </c>
      <c r="N762" t="n">
        <v>0</v>
      </c>
      <c r="O762" t="n">
        <v>0</v>
      </c>
      <c r="P762" t="n">
        <v>0</v>
      </c>
      <c r="Q762" t="n">
        <v>0</v>
      </c>
      <c r="R762" s="2" t="inlineStr"/>
    </row>
    <row r="763" ht="15" customHeight="1">
      <c r="A763" t="inlineStr">
        <is>
          <t>A 32919-2022</t>
        </is>
      </c>
      <c r="B763" s="1" t="n">
        <v>44784</v>
      </c>
      <c r="C763" s="1" t="n">
        <v>45294</v>
      </c>
      <c r="D763" t="inlineStr">
        <is>
          <t>KALMAR LÄN</t>
        </is>
      </c>
      <c r="E763" t="inlineStr">
        <is>
          <t>VIMMERBY</t>
        </is>
      </c>
      <c r="G763" t="n">
        <v>1.7</v>
      </c>
      <c r="H763" t="n">
        <v>0</v>
      </c>
      <c r="I763" t="n">
        <v>0</v>
      </c>
      <c r="J763" t="n">
        <v>0</v>
      </c>
      <c r="K763" t="n">
        <v>0</v>
      </c>
      <c r="L763" t="n">
        <v>0</v>
      </c>
      <c r="M763" t="n">
        <v>0</v>
      </c>
      <c r="N763" t="n">
        <v>0</v>
      </c>
      <c r="O763" t="n">
        <v>0</v>
      </c>
      <c r="P763" t="n">
        <v>0</v>
      </c>
      <c r="Q763" t="n">
        <v>0</v>
      </c>
      <c r="R763" s="2" t="inlineStr"/>
    </row>
    <row r="764" ht="15" customHeight="1">
      <c r="A764" t="inlineStr">
        <is>
          <t>A 33051-2022</t>
        </is>
      </c>
      <c r="B764" s="1" t="n">
        <v>44785</v>
      </c>
      <c r="C764" s="1" t="n">
        <v>45294</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33352-2022</t>
        </is>
      </c>
      <c r="B765" s="1" t="n">
        <v>44788</v>
      </c>
      <c r="C765" s="1" t="n">
        <v>45294</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33681-2022</t>
        </is>
      </c>
      <c r="B766" s="1" t="n">
        <v>44789</v>
      </c>
      <c r="C766" s="1" t="n">
        <v>45294</v>
      </c>
      <c r="D766" t="inlineStr">
        <is>
          <t>KALMAR LÄN</t>
        </is>
      </c>
      <c r="E766" t="inlineStr">
        <is>
          <t>VIMMERBY</t>
        </is>
      </c>
      <c r="G766" t="n">
        <v>3.2</v>
      </c>
      <c r="H766" t="n">
        <v>0</v>
      </c>
      <c r="I766" t="n">
        <v>0</v>
      </c>
      <c r="J766" t="n">
        <v>0</v>
      </c>
      <c r="K766" t="n">
        <v>0</v>
      </c>
      <c r="L766" t="n">
        <v>0</v>
      </c>
      <c r="M766" t="n">
        <v>0</v>
      </c>
      <c r="N766" t="n">
        <v>0</v>
      </c>
      <c r="O766" t="n">
        <v>0</v>
      </c>
      <c r="P766" t="n">
        <v>0</v>
      </c>
      <c r="Q766" t="n">
        <v>0</v>
      </c>
      <c r="R766" s="2" t="inlineStr"/>
    </row>
    <row r="767" ht="15" customHeight="1">
      <c r="A767" t="inlineStr">
        <is>
          <t>A 33690-2022</t>
        </is>
      </c>
      <c r="B767" s="1" t="n">
        <v>44789</v>
      </c>
      <c r="C767" s="1" t="n">
        <v>45294</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33815-2022</t>
        </is>
      </c>
      <c r="B768" s="1" t="n">
        <v>44790</v>
      </c>
      <c r="C768" s="1" t="n">
        <v>45294</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33829-2022</t>
        </is>
      </c>
      <c r="B769" s="1" t="n">
        <v>44790</v>
      </c>
      <c r="C769" s="1" t="n">
        <v>45294</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33838-2022</t>
        </is>
      </c>
      <c r="B770" s="1" t="n">
        <v>44790</v>
      </c>
      <c r="C770" s="1" t="n">
        <v>45294</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33820-2022</t>
        </is>
      </c>
      <c r="B771" s="1" t="n">
        <v>44790</v>
      </c>
      <c r="C771" s="1" t="n">
        <v>45294</v>
      </c>
      <c r="D771" t="inlineStr">
        <is>
          <t>KALMAR LÄN</t>
        </is>
      </c>
      <c r="E771" t="inlineStr">
        <is>
          <t>VIMMERBY</t>
        </is>
      </c>
      <c r="G771" t="n">
        <v>3</v>
      </c>
      <c r="H771" t="n">
        <v>0</v>
      </c>
      <c r="I771" t="n">
        <v>0</v>
      </c>
      <c r="J771" t="n">
        <v>0</v>
      </c>
      <c r="K771" t="n">
        <v>0</v>
      </c>
      <c r="L771" t="n">
        <v>0</v>
      </c>
      <c r="M771" t="n">
        <v>0</v>
      </c>
      <c r="N771" t="n">
        <v>0</v>
      </c>
      <c r="O771" t="n">
        <v>0</v>
      </c>
      <c r="P771" t="n">
        <v>0</v>
      </c>
      <c r="Q771" t="n">
        <v>0</v>
      </c>
      <c r="R771" s="2" t="inlineStr"/>
    </row>
    <row r="772" ht="15" customHeight="1">
      <c r="A772" t="inlineStr">
        <is>
          <t>A 33831-2022</t>
        </is>
      </c>
      <c r="B772" s="1" t="n">
        <v>44790</v>
      </c>
      <c r="C772" s="1" t="n">
        <v>45294</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33842-2022</t>
        </is>
      </c>
      <c r="B773" s="1" t="n">
        <v>44790</v>
      </c>
      <c r="C773" s="1" t="n">
        <v>45294</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33824-2022</t>
        </is>
      </c>
      <c r="B774" s="1" t="n">
        <v>44790</v>
      </c>
      <c r="C774" s="1" t="n">
        <v>45294</v>
      </c>
      <c r="D774" t="inlineStr">
        <is>
          <t>KALMAR LÄN</t>
        </is>
      </c>
      <c r="E774" t="inlineStr">
        <is>
          <t>VIMMERBY</t>
        </is>
      </c>
      <c r="G774" t="n">
        <v>2.3</v>
      </c>
      <c r="H774" t="n">
        <v>0</v>
      </c>
      <c r="I774" t="n">
        <v>0</v>
      </c>
      <c r="J774" t="n">
        <v>0</v>
      </c>
      <c r="K774" t="n">
        <v>0</v>
      </c>
      <c r="L774" t="n">
        <v>0</v>
      </c>
      <c r="M774" t="n">
        <v>0</v>
      </c>
      <c r="N774" t="n">
        <v>0</v>
      </c>
      <c r="O774" t="n">
        <v>0</v>
      </c>
      <c r="P774" t="n">
        <v>0</v>
      </c>
      <c r="Q774" t="n">
        <v>0</v>
      </c>
      <c r="R774" s="2" t="inlineStr"/>
    </row>
    <row r="775" ht="15" customHeight="1">
      <c r="A775" t="inlineStr">
        <is>
          <t>A 33840-2022</t>
        </is>
      </c>
      <c r="B775" s="1" t="n">
        <v>44790</v>
      </c>
      <c r="C775" s="1" t="n">
        <v>45294</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34376-2022</t>
        </is>
      </c>
      <c r="B776" s="1" t="n">
        <v>44792</v>
      </c>
      <c r="C776" s="1" t="n">
        <v>45294</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34329-2022</t>
        </is>
      </c>
      <c r="B777" s="1" t="n">
        <v>44792</v>
      </c>
      <c r="C777" s="1" t="n">
        <v>45294</v>
      </c>
      <c r="D777" t="inlineStr">
        <is>
          <t>KALMAR LÄN</t>
        </is>
      </c>
      <c r="E777" t="inlineStr">
        <is>
          <t>VIMMERBY</t>
        </is>
      </c>
      <c r="F777" t="inlineStr">
        <is>
          <t>Sveaskog</t>
        </is>
      </c>
      <c r="G777" t="n">
        <v>5.5</v>
      </c>
      <c r="H777" t="n">
        <v>0</v>
      </c>
      <c r="I777" t="n">
        <v>0</v>
      </c>
      <c r="J777" t="n">
        <v>0</v>
      </c>
      <c r="K777" t="n">
        <v>0</v>
      </c>
      <c r="L777" t="n">
        <v>0</v>
      </c>
      <c r="M777" t="n">
        <v>0</v>
      </c>
      <c r="N777" t="n">
        <v>0</v>
      </c>
      <c r="O777" t="n">
        <v>0</v>
      </c>
      <c r="P777" t="n">
        <v>0</v>
      </c>
      <c r="Q777" t="n">
        <v>0</v>
      </c>
      <c r="R777" s="2" t="inlineStr"/>
    </row>
    <row r="778" ht="15" customHeight="1">
      <c r="A778" t="inlineStr">
        <is>
          <t>A 34597-2022</t>
        </is>
      </c>
      <c r="B778" s="1" t="n">
        <v>44795</v>
      </c>
      <c r="C778" s="1" t="n">
        <v>45294</v>
      </c>
      <c r="D778" t="inlineStr">
        <is>
          <t>KALMAR LÄN</t>
        </is>
      </c>
      <c r="E778" t="inlineStr">
        <is>
          <t>VIMMERBY</t>
        </is>
      </c>
      <c r="G778" t="n">
        <v>2.2</v>
      </c>
      <c r="H778" t="n">
        <v>0</v>
      </c>
      <c r="I778" t="n">
        <v>0</v>
      </c>
      <c r="J778" t="n">
        <v>0</v>
      </c>
      <c r="K778" t="n">
        <v>0</v>
      </c>
      <c r="L778" t="n">
        <v>0</v>
      </c>
      <c r="M778" t="n">
        <v>0</v>
      </c>
      <c r="N778" t="n">
        <v>0</v>
      </c>
      <c r="O778" t="n">
        <v>0</v>
      </c>
      <c r="P778" t="n">
        <v>0</v>
      </c>
      <c r="Q778" t="n">
        <v>0</v>
      </c>
      <c r="R778" s="2" t="inlineStr"/>
    </row>
    <row r="779" ht="15" customHeight="1">
      <c r="A779" t="inlineStr">
        <is>
          <t>A 35429-2022</t>
        </is>
      </c>
      <c r="B779" s="1" t="n">
        <v>44798</v>
      </c>
      <c r="C779" s="1" t="n">
        <v>45294</v>
      </c>
      <c r="D779" t="inlineStr">
        <is>
          <t>KALMAR LÄN</t>
        </is>
      </c>
      <c r="E779" t="inlineStr">
        <is>
          <t>VIMMERBY</t>
        </is>
      </c>
      <c r="G779" t="n">
        <v>4.9</v>
      </c>
      <c r="H779" t="n">
        <v>0</v>
      </c>
      <c r="I779" t="n">
        <v>0</v>
      </c>
      <c r="J779" t="n">
        <v>0</v>
      </c>
      <c r="K779" t="n">
        <v>0</v>
      </c>
      <c r="L779" t="n">
        <v>0</v>
      </c>
      <c r="M779" t="n">
        <v>0</v>
      </c>
      <c r="N779" t="n">
        <v>0</v>
      </c>
      <c r="O779" t="n">
        <v>0</v>
      </c>
      <c r="P779" t="n">
        <v>0</v>
      </c>
      <c r="Q779" t="n">
        <v>0</v>
      </c>
      <c r="R779" s="2" t="inlineStr"/>
    </row>
    <row r="780" ht="15" customHeight="1">
      <c r="A780" t="inlineStr">
        <is>
          <t>A 35615-2022</t>
        </is>
      </c>
      <c r="B780" s="1" t="n">
        <v>44799</v>
      </c>
      <c r="C780" s="1" t="n">
        <v>45294</v>
      </c>
      <c r="D780" t="inlineStr">
        <is>
          <t>KALMAR LÄN</t>
        </is>
      </c>
      <c r="E780" t="inlineStr">
        <is>
          <t>VIMMERBY</t>
        </is>
      </c>
      <c r="G780" t="n">
        <v>3.8</v>
      </c>
      <c r="H780" t="n">
        <v>0</v>
      </c>
      <c r="I780" t="n">
        <v>0</v>
      </c>
      <c r="J780" t="n">
        <v>0</v>
      </c>
      <c r="K780" t="n">
        <v>0</v>
      </c>
      <c r="L780" t="n">
        <v>0</v>
      </c>
      <c r="M780" t="n">
        <v>0</v>
      </c>
      <c r="N780" t="n">
        <v>0</v>
      </c>
      <c r="O780" t="n">
        <v>0</v>
      </c>
      <c r="P780" t="n">
        <v>0</v>
      </c>
      <c r="Q780" t="n">
        <v>0</v>
      </c>
      <c r="R780" s="2" t="inlineStr"/>
    </row>
    <row r="781" ht="15" customHeight="1">
      <c r="A781" t="inlineStr">
        <is>
          <t>A 36259-2022</t>
        </is>
      </c>
      <c r="B781" s="1" t="n">
        <v>44803</v>
      </c>
      <c r="C781" s="1" t="n">
        <v>45294</v>
      </c>
      <c r="D781" t="inlineStr">
        <is>
          <t>KALMAR LÄN</t>
        </is>
      </c>
      <c r="E781" t="inlineStr">
        <is>
          <t>VIMMERBY</t>
        </is>
      </c>
      <c r="G781" t="n">
        <v>3.9</v>
      </c>
      <c r="H781" t="n">
        <v>0</v>
      </c>
      <c r="I781" t="n">
        <v>0</v>
      </c>
      <c r="J781" t="n">
        <v>0</v>
      </c>
      <c r="K781" t="n">
        <v>0</v>
      </c>
      <c r="L781" t="n">
        <v>0</v>
      </c>
      <c r="M781" t="n">
        <v>0</v>
      </c>
      <c r="N781" t="n">
        <v>0</v>
      </c>
      <c r="O781" t="n">
        <v>0</v>
      </c>
      <c r="P781" t="n">
        <v>0</v>
      </c>
      <c r="Q781" t="n">
        <v>0</v>
      </c>
      <c r="R781" s="2" t="inlineStr"/>
    </row>
    <row r="782" ht="15" customHeight="1">
      <c r="A782" t="inlineStr">
        <is>
          <t>A 36268-2022</t>
        </is>
      </c>
      <c r="B782" s="1" t="n">
        <v>44803</v>
      </c>
      <c r="C782" s="1" t="n">
        <v>45294</v>
      </c>
      <c r="D782" t="inlineStr">
        <is>
          <t>KALMAR LÄN</t>
        </is>
      </c>
      <c r="E782" t="inlineStr">
        <is>
          <t>VIMMERBY</t>
        </is>
      </c>
      <c r="G782" t="n">
        <v>1.7</v>
      </c>
      <c r="H782" t="n">
        <v>0</v>
      </c>
      <c r="I782" t="n">
        <v>0</v>
      </c>
      <c r="J782" t="n">
        <v>0</v>
      </c>
      <c r="K782" t="n">
        <v>0</v>
      </c>
      <c r="L782" t="n">
        <v>0</v>
      </c>
      <c r="M782" t="n">
        <v>0</v>
      </c>
      <c r="N782" t="n">
        <v>0</v>
      </c>
      <c r="O782" t="n">
        <v>0</v>
      </c>
      <c r="P782" t="n">
        <v>0</v>
      </c>
      <c r="Q782" t="n">
        <v>0</v>
      </c>
      <c r="R782" s="2" t="inlineStr"/>
    </row>
    <row r="783" ht="15" customHeight="1">
      <c r="A783" t="inlineStr">
        <is>
          <t>A 36320-2022</t>
        </is>
      </c>
      <c r="B783" s="1" t="n">
        <v>44803</v>
      </c>
      <c r="C783" s="1" t="n">
        <v>45294</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39225-2022</t>
        </is>
      </c>
      <c r="B784" s="1" t="n">
        <v>44817</v>
      </c>
      <c r="C784" s="1" t="n">
        <v>45294</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39042-2022</t>
        </is>
      </c>
      <c r="B785" s="1" t="n">
        <v>44817</v>
      </c>
      <c r="C785" s="1" t="n">
        <v>45294</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39959-2022</t>
        </is>
      </c>
      <c r="B786" s="1" t="n">
        <v>44819</v>
      </c>
      <c r="C786" s="1" t="n">
        <v>45294</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40095-2022</t>
        </is>
      </c>
      <c r="B787" s="1" t="n">
        <v>44820</v>
      </c>
      <c r="C787" s="1" t="n">
        <v>45294</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40026-2022</t>
        </is>
      </c>
      <c r="B788" s="1" t="n">
        <v>44820</v>
      </c>
      <c r="C788" s="1" t="n">
        <v>45294</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40916-2022</t>
        </is>
      </c>
      <c r="B789" s="1" t="n">
        <v>44820</v>
      </c>
      <c r="C789" s="1" t="n">
        <v>45294</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40472-2022</t>
        </is>
      </c>
      <c r="B790" s="1" t="n">
        <v>44823</v>
      </c>
      <c r="C790" s="1" t="n">
        <v>45294</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40728-2022</t>
        </is>
      </c>
      <c r="B791" s="1" t="n">
        <v>44824</v>
      </c>
      <c r="C791" s="1" t="n">
        <v>45294</v>
      </c>
      <c r="D791" t="inlineStr">
        <is>
          <t>KALMAR LÄN</t>
        </is>
      </c>
      <c r="E791" t="inlineStr">
        <is>
          <t>VIMMERBY</t>
        </is>
      </c>
      <c r="G791" t="n">
        <v>1.1</v>
      </c>
      <c r="H791" t="n">
        <v>0</v>
      </c>
      <c r="I791" t="n">
        <v>0</v>
      </c>
      <c r="J791" t="n">
        <v>0</v>
      </c>
      <c r="K791" t="n">
        <v>0</v>
      </c>
      <c r="L791" t="n">
        <v>0</v>
      </c>
      <c r="M791" t="n">
        <v>0</v>
      </c>
      <c r="N791" t="n">
        <v>0</v>
      </c>
      <c r="O791" t="n">
        <v>0</v>
      </c>
      <c r="P791" t="n">
        <v>0</v>
      </c>
      <c r="Q791" t="n">
        <v>0</v>
      </c>
      <c r="R791" s="2" t="inlineStr"/>
    </row>
    <row r="792" ht="15" customHeight="1">
      <c r="A792" t="inlineStr">
        <is>
          <t>A 41056-2022</t>
        </is>
      </c>
      <c r="B792" s="1" t="n">
        <v>44824</v>
      </c>
      <c r="C792" s="1" t="n">
        <v>45294</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40929-2022</t>
        </is>
      </c>
      <c r="B793" s="1" t="n">
        <v>44825</v>
      </c>
      <c r="C793" s="1" t="n">
        <v>45294</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40927-2022</t>
        </is>
      </c>
      <c r="B794" s="1" t="n">
        <v>44825</v>
      </c>
      <c r="C794" s="1" t="n">
        <v>45294</v>
      </c>
      <c r="D794" t="inlineStr">
        <is>
          <t>KALMAR LÄN</t>
        </is>
      </c>
      <c r="E794" t="inlineStr">
        <is>
          <t>VIMMERBY</t>
        </is>
      </c>
      <c r="G794" t="n">
        <v>3.2</v>
      </c>
      <c r="H794" t="n">
        <v>0</v>
      </c>
      <c r="I794" t="n">
        <v>0</v>
      </c>
      <c r="J794" t="n">
        <v>0</v>
      </c>
      <c r="K794" t="n">
        <v>0</v>
      </c>
      <c r="L794" t="n">
        <v>0</v>
      </c>
      <c r="M794" t="n">
        <v>0</v>
      </c>
      <c r="N794" t="n">
        <v>0</v>
      </c>
      <c r="O794" t="n">
        <v>0</v>
      </c>
      <c r="P794" t="n">
        <v>0</v>
      </c>
      <c r="Q794" t="n">
        <v>0</v>
      </c>
      <c r="R794" s="2" t="inlineStr"/>
    </row>
    <row r="795" ht="15" customHeight="1">
      <c r="A795" t="inlineStr">
        <is>
          <t>A 41424-2022</t>
        </is>
      </c>
      <c r="B795" s="1" t="n">
        <v>44826</v>
      </c>
      <c r="C795" s="1" t="n">
        <v>45294</v>
      </c>
      <c r="D795" t="inlineStr">
        <is>
          <t>KALMAR LÄN</t>
        </is>
      </c>
      <c r="E795" t="inlineStr">
        <is>
          <t>VIMMERBY</t>
        </is>
      </c>
      <c r="G795" t="n">
        <v>4.8</v>
      </c>
      <c r="H795" t="n">
        <v>0</v>
      </c>
      <c r="I795" t="n">
        <v>0</v>
      </c>
      <c r="J795" t="n">
        <v>0</v>
      </c>
      <c r="K795" t="n">
        <v>0</v>
      </c>
      <c r="L795" t="n">
        <v>0</v>
      </c>
      <c r="M795" t="n">
        <v>0</v>
      </c>
      <c r="N795" t="n">
        <v>0</v>
      </c>
      <c r="O795" t="n">
        <v>0</v>
      </c>
      <c r="P795" t="n">
        <v>0</v>
      </c>
      <c r="Q795" t="n">
        <v>0</v>
      </c>
      <c r="R795" s="2" t="inlineStr"/>
    </row>
    <row r="796" ht="15" customHeight="1">
      <c r="A796" t="inlineStr">
        <is>
          <t>A 41438-2022</t>
        </is>
      </c>
      <c r="B796" s="1" t="n">
        <v>44826</v>
      </c>
      <c r="C796" s="1" t="n">
        <v>45294</v>
      </c>
      <c r="D796" t="inlineStr">
        <is>
          <t>KALMAR LÄN</t>
        </is>
      </c>
      <c r="E796" t="inlineStr">
        <is>
          <t>VIMMERBY</t>
        </is>
      </c>
      <c r="G796" t="n">
        <v>3.1</v>
      </c>
      <c r="H796" t="n">
        <v>0</v>
      </c>
      <c r="I796" t="n">
        <v>0</v>
      </c>
      <c r="J796" t="n">
        <v>0</v>
      </c>
      <c r="K796" t="n">
        <v>0</v>
      </c>
      <c r="L796" t="n">
        <v>0</v>
      </c>
      <c r="M796" t="n">
        <v>0</v>
      </c>
      <c r="N796" t="n">
        <v>0</v>
      </c>
      <c r="O796" t="n">
        <v>0</v>
      </c>
      <c r="P796" t="n">
        <v>0</v>
      </c>
      <c r="Q796" t="n">
        <v>0</v>
      </c>
      <c r="R796" s="2" t="inlineStr"/>
    </row>
    <row r="797" ht="15" customHeight="1">
      <c r="A797" t="inlineStr">
        <is>
          <t>A 42850-2022</t>
        </is>
      </c>
      <c r="B797" s="1" t="n">
        <v>44832</v>
      </c>
      <c r="C797" s="1" t="n">
        <v>45294</v>
      </c>
      <c r="D797" t="inlineStr">
        <is>
          <t>KALMAR LÄN</t>
        </is>
      </c>
      <c r="E797" t="inlineStr">
        <is>
          <t>VIMMERBY</t>
        </is>
      </c>
      <c r="G797" t="n">
        <v>5.9</v>
      </c>
      <c r="H797" t="n">
        <v>0</v>
      </c>
      <c r="I797" t="n">
        <v>0</v>
      </c>
      <c r="J797" t="n">
        <v>0</v>
      </c>
      <c r="K797" t="n">
        <v>0</v>
      </c>
      <c r="L797" t="n">
        <v>0</v>
      </c>
      <c r="M797" t="n">
        <v>0</v>
      </c>
      <c r="N797" t="n">
        <v>0</v>
      </c>
      <c r="O797" t="n">
        <v>0</v>
      </c>
      <c r="P797" t="n">
        <v>0</v>
      </c>
      <c r="Q797" t="n">
        <v>0</v>
      </c>
      <c r="R797" s="2" t="inlineStr"/>
    </row>
    <row r="798" ht="15" customHeight="1">
      <c r="A798" t="inlineStr">
        <is>
          <t>A 43038-2022</t>
        </is>
      </c>
      <c r="B798" s="1" t="n">
        <v>44833</v>
      </c>
      <c r="C798" s="1" t="n">
        <v>45294</v>
      </c>
      <c r="D798" t="inlineStr">
        <is>
          <t>KALMAR LÄN</t>
        </is>
      </c>
      <c r="E798" t="inlineStr">
        <is>
          <t>VIMMERBY</t>
        </is>
      </c>
      <c r="G798" t="n">
        <v>4.2</v>
      </c>
      <c r="H798" t="n">
        <v>0</v>
      </c>
      <c r="I798" t="n">
        <v>0</v>
      </c>
      <c r="J798" t="n">
        <v>0</v>
      </c>
      <c r="K798" t="n">
        <v>0</v>
      </c>
      <c r="L798" t="n">
        <v>0</v>
      </c>
      <c r="M798" t="n">
        <v>0</v>
      </c>
      <c r="N798" t="n">
        <v>0</v>
      </c>
      <c r="O798" t="n">
        <v>0</v>
      </c>
      <c r="P798" t="n">
        <v>0</v>
      </c>
      <c r="Q798" t="n">
        <v>0</v>
      </c>
      <c r="R798" s="2" t="inlineStr"/>
    </row>
    <row r="799" ht="15" customHeight="1">
      <c r="A799" t="inlineStr">
        <is>
          <t>A 43272-2022</t>
        </is>
      </c>
      <c r="B799" s="1" t="n">
        <v>44834</v>
      </c>
      <c r="C799" s="1" t="n">
        <v>45294</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43553-2022</t>
        </is>
      </c>
      <c r="B800" s="1" t="n">
        <v>44837</v>
      </c>
      <c r="C800" s="1" t="n">
        <v>45294</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44179-2022</t>
        </is>
      </c>
      <c r="B801" s="1" t="n">
        <v>44839</v>
      </c>
      <c r="C801" s="1" t="n">
        <v>45294</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44654-2022</t>
        </is>
      </c>
      <c r="B802" s="1" t="n">
        <v>44840</v>
      </c>
      <c r="C802" s="1" t="n">
        <v>45294</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44651-2022</t>
        </is>
      </c>
      <c r="B803" s="1" t="n">
        <v>44840</v>
      </c>
      <c r="C803" s="1" t="n">
        <v>45294</v>
      </c>
      <c r="D803" t="inlineStr">
        <is>
          <t>KALMAR LÄN</t>
        </is>
      </c>
      <c r="E803" t="inlineStr">
        <is>
          <t>VIMMERBY</t>
        </is>
      </c>
      <c r="G803" t="n">
        <v>5.3</v>
      </c>
      <c r="H803" t="n">
        <v>0</v>
      </c>
      <c r="I803" t="n">
        <v>0</v>
      </c>
      <c r="J803" t="n">
        <v>0</v>
      </c>
      <c r="K803" t="n">
        <v>0</v>
      </c>
      <c r="L803" t="n">
        <v>0</v>
      </c>
      <c r="M803" t="n">
        <v>0</v>
      </c>
      <c r="N803" t="n">
        <v>0</v>
      </c>
      <c r="O803" t="n">
        <v>0</v>
      </c>
      <c r="P803" t="n">
        <v>0</v>
      </c>
      <c r="Q803" t="n">
        <v>0</v>
      </c>
      <c r="R803" s="2" t="inlineStr"/>
    </row>
    <row r="804" ht="15" customHeight="1">
      <c r="A804" t="inlineStr">
        <is>
          <t>A 44656-2022</t>
        </is>
      </c>
      <c r="B804" s="1" t="n">
        <v>44840</v>
      </c>
      <c r="C804" s="1" t="n">
        <v>45294</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45861-2022</t>
        </is>
      </c>
      <c r="B805" s="1" t="n">
        <v>44846</v>
      </c>
      <c r="C805" s="1" t="n">
        <v>45294</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45858-2022</t>
        </is>
      </c>
      <c r="B806" s="1" t="n">
        <v>44846</v>
      </c>
      <c r="C806" s="1" t="n">
        <v>45294</v>
      </c>
      <c r="D806" t="inlineStr">
        <is>
          <t>KALMAR LÄN</t>
        </is>
      </c>
      <c r="E806" t="inlineStr">
        <is>
          <t>VIMMERBY</t>
        </is>
      </c>
      <c r="G806" t="n">
        <v>5.9</v>
      </c>
      <c r="H806" t="n">
        <v>0</v>
      </c>
      <c r="I806" t="n">
        <v>0</v>
      </c>
      <c r="J806" t="n">
        <v>0</v>
      </c>
      <c r="K806" t="n">
        <v>0</v>
      </c>
      <c r="L806" t="n">
        <v>0</v>
      </c>
      <c r="M806" t="n">
        <v>0</v>
      </c>
      <c r="N806" t="n">
        <v>0</v>
      </c>
      <c r="O806" t="n">
        <v>0</v>
      </c>
      <c r="P806" t="n">
        <v>0</v>
      </c>
      <c r="Q806" t="n">
        <v>0</v>
      </c>
      <c r="R806" s="2" t="inlineStr"/>
    </row>
    <row r="807" ht="15" customHeight="1">
      <c r="A807" t="inlineStr">
        <is>
          <t>A 46522-2022</t>
        </is>
      </c>
      <c r="B807" s="1" t="n">
        <v>44848</v>
      </c>
      <c r="C807" s="1" t="n">
        <v>45294</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46964-2022</t>
        </is>
      </c>
      <c r="B808" s="1" t="n">
        <v>44852</v>
      </c>
      <c r="C808" s="1" t="n">
        <v>45294</v>
      </c>
      <c r="D808" t="inlineStr">
        <is>
          <t>KALMAR LÄN</t>
        </is>
      </c>
      <c r="E808" t="inlineStr">
        <is>
          <t>VIMMERBY</t>
        </is>
      </c>
      <c r="G808" t="n">
        <v>0.2</v>
      </c>
      <c r="H808" t="n">
        <v>0</v>
      </c>
      <c r="I808" t="n">
        <v>0</v>
      </c>
      <c r="J808" t="n">
        <v>0</v>
      </c>
      <c r="K808" t="n">
        <v>0</v>
      </c>
      <c r="L808" t="n">
        <v>0</v>
      </c>
      <c r="M808" t="n">
        <v>0</v>
      </c>
      <c r="N808" t="n">
        <v>0</v>
      </c>
      <c r="O808" t="n">
        <v>0</v>
      </c>
      <c r="P808" t="n">
        <v>0</v>
      </c>
      <c r="Q808" t="n">
        <v>0</v>
      </c>
      <c r="R808" s="2" t="inlineStr"/>
    </row>
    <row r="809" ht="15" customHeight="1">
      <c r="A809" t="inlineStr">
        <is>
          <t>A 47214-2022</t>
        </is>
      </c>
      <c r="B809" s="1" t="n">
        <v>44852</v>
      </c>
      <c r="C809" s="1" t="n">
        <v>45294</v>
      </c>
      <c r="D809" t="inlineStr">
        <is>
          <t>KALMAR LÄN</t>
        </is>
      </c>
      <c r="E809" t="inlineStr">
        <is>
          <t>VIMMERBY</t>
        </is>
      </c>
      <c r="G809" t="n">
        <v>1.9</v>
      </c>
      <c r="H809" t="n">
        <v>0</v>
      </c>
      <c r="I809" t="n">
        <v>0</v>
      </c>
      <c r="J809" t="n">
        <v>0</v>
      </c>
      <c r="K809" t="n">
        <v>0</v>
      </c>
      <c r="L809" t="n">
        <v>0</v>
      </c>
      <c r="M809" t="n">
        <v>0</v>
      </c>
      <c r="N809" t="n">
        <v>0</v>
      </c>
      <c r="O809" t="n">
        <v>0</v>
      </c>
      <c r="P809" t="n">
        <v>0</v>
      </c>
      <c r="Q809" t="n">
        <v>0</v>
      </c>
      <c r="R809" s="2" t="inlineStr"/>
    </row>
    <row r="810" ht="15" customHeight="1">
      <c r="A810" t="inlineStr">
        <is>
          <t>A 47063-2022</t>
        </is>
      </c>
      <c r="B810" s="1" t="n">
        <v>44852</v>
      </c>
      <c r="C810" s="1" t="n">
        <v>45294</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47708-2022</t>
        </is>
      </c>
      <c r="B811" s="1" t="n">
        <v>44854</v>
      </c>
      <c r="C811" s="1" t="n">
        <v>45294</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47769-2022</t>
        </is>
      </c>
      <c r="B812" s="1" t="n">
        <v>44854</v>
      </c>
      <c r="C812" s="1" t="n">
        <v>45294</v>
      </c>
      <c r="D812" t="inlineStr">
        <is>
          <t>KALMAR LÄN</t>
        </is>
      </c>
      <c r="E812" t="inlineStr">
        <is>
          <t>VIMMERBY</t>
        </is>
      </c>
      <c r="G812" t="n">
        <v>1.1</v>
      </c>
      <c r="H812" t="n">
        <v>0</v>
      </c>
      <c r="I812" t="n">
        <v>0</v>
      </c>
      <c r="J812" t="n">
        <v>0</v>
      </c>
      <c r="K812" t="n">
        <v>0</v>
      </c>
      <c r="L812" t="n">
        <v>0</v>
      </c>
      <c r="M812" t="n">
        <v>0</v>
      </c>
      <c r="N812" t="n">
        <v>0</v>
      </c>
      <c r="O812" t="n">
        <v>0</v>
      </c>
      <c r="P812" t="n">
        <v>0</v>
      </c>
      <c r="Q812" t="n">
        <v>0</v>
      </c>
      <c r="R812" s="2" t="inlineStr"/>
    </row>
    <row r="813" ht="15" customHeight="1">
      <c r="A813" t="inlineStr">
        <is>
          <t>A 48120-2022</t>
        </is>
      </c>
      <c r="B813" s="1" t="n">
        <v>44857</v>
      </c>
      <c r="C813" s="1" t="n">
        <v>45294</v>
      </c>
      <c r="D813" t="inlineStr">
        <is>
          <t>KALMAR LÄN</t>
        </is>
      </c>
      <c r="E813" t="inlineStr">
        <is>
          <t>VIMMERBY</t>
        </is>
      </c>
      <c r="G813" t="n">
        <v>1.7</v>
      </c>
      <c r="H813" t="n">
        <v>0</v>
      </c>
      <c r="I813" t="n">
        <v>0</v>
      </c>
      <c r="J813" t="n">
        <v>0</v>
      </c>
      <c r="K813" t="n">
        <v>0</v>
      </c>
      <c r="L813" t="n">
        <v>0</v>
      </c>
      <c r="M813" t="n">
        <v>0</v>
      </c>
      <c r="N813" t="n">
        <v>0</v>
      </c>
      <c r="O813" t="n">
        <v>0</v>
      </c>
      <c r="P813" t="n">
        <v>0</v>
      </c>
      <c r="Q813" t="n">
        <v>0</v>
      </c>
      <c r="R813" s="2" t="inlineStr"/>
    </row>
    <row r="814" ht="15" customHeight="1">
      <c r="A814" t="inlineStr">
        <is>
          <t>A 49313-2022</t>
        </is>
      </c>
      <c r="B814" s="1" t="n">
        <v>44861</v>
      </c>
      <c r="C814" s="1" t="n">
        <v>45294</v>
      </c>
      <c r="D814" t="inlineStr">
        <is>
          <t>KALMAR LÄN</t>
        </is>
      </c>
      <c r="E814" t="inlineStr">
        <is>
          <t>VIMMERBY</t>
        </is>
      </c>
      <c r="G814" t="n">
        <v>1.9</v>
      </c>
      <c r="H814" t="n">
        <v>0</v>
      </c>
      <c r="I814" t="n">
        <v>0</v>
      </c>
      <c r="J814" t="n">
        <v>0</v>
      </c>
      <c r="K814" t="n">
        <v>0</v>
      </c>
      <c r="L814" t="n">
        <v>0</v>
      </c>
      <c r="M814" t="n">
        <v>0</v>
      </c>
      <c r="N814" t="n">
        <v>0</v>
      </c>
      <c r="O814" t="n">
        <v>0</v>
      </c>
      <c r="P814" t="n">
        <v>0</v>
      </c>
      <c r="Q814" t="n">
        <v>0</v>
      </c>
      <c r="R814" s="2" t="inlineStr"/>
    </row>
    <row r="815" ht="15" customHeight="1">
      <c r="A815" t="inlineStr">
        <is>
          <t>A 49461-2022</t>
        </is>
      </c>
      <c r="B815" s="1" t="n">
        <v>44861</v>
      </c>
      <c r="C815" s="1" t="n">
        <v>45294</v>
      </c>
      <c r="D815" t="inlineStr">
        <is>
          <t>KALMAR LÄN</t>
        </is>
      </c>
      <c r="E815" t="inlineStr">
        <is>
          <t>VIMMERBY</t>
        </is>
      </c>
      <c r="G815" t="n">
        <v>3.2</v>
      </c>
      <c r="H815" t="n">
        <v>0</v>
      </c>
      <c r="I815" t="n">
        <v>0</v>
      </c>
      <c r="J815" t="n">
        <v>0</v>
      </c>
      <c r="K815" t="n">
        <v>0</v>
      </c>
      <c r="L815" t="n">
        <v>0</v>
      </c>
      <c r="M815" t="n">
        <v>0</v>
      </c>
      <c r="N815" t="n">
        <v>0</v>
      </c>
      <c r="O815" t="n">
        <v>0</v>
      </c>
      <c r="P815" t="n">
        <v>0</v>
      </c>
      <c r="Q815" t="n">
        <v>0</v>
      </c>
      <c r="R815" s="2" t="inlineStr"/>
    </row>
    <row r="816" ht="15" customHeight="1">
      <c r="A816" t="inlineStr">
        <is>
          <t>A 50809-2022</t>
        </is>
      </c>
      <c r="B816" s="1" t="n">
        <v>44862</v>
      </c>
      <c r="C816" s="1" t="n">
        <v>45294</v>
      </c>
      <c r="D816" t="inlineStr">
        <is>
          <t>KALMAR LÄN</t>
        </is>
      </c>
      <c r="E816" t="inlineStr">
        <is>
          <t>VIMMERBY</t>
        </is>
      </c>
      <c r="G816" t="n">
        <v>3.7</v>
      </c>
      <c r="H816" t="n">
        <v>0</v>
      </c>
      <c r="I816" t="n">
        <v>0</v>
      </c>
      <c r="J816" t="n">
        <v>0</v>
      </c>
      <c r="K816" t="n">
        <v>0</v>
      </c>
      <c r="L816" t="n">
        <v>0</v>
      </c>
      <c r="M816" t="n">
        <v>0</v>
      </c>
      <c r="N816" t="n">
        <v>0</v>
      </c>
      <c r="O816" t="n">
        <v>0</v>
      </c>
      <c r="P816" t="n">
        <v>0</v>
      </c>
      <c r="Q816" t="n">
        <v>0</v>
      </c>
      <c r="R816" s="2" t="inlineStr"/>
    </row>
    <row r="817" ht="15" customHeight="1">
      <c r="A817" t="inlineStr">
        <is>
          <t>A 50804-2022</t>
        </is>
      </c>
      <c r="B817" s="1" t="n">
        <v>44862</v>
      </c>
      <c r="C817" s="1" t="n">
        <v>45294</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50535-2022</t>
        </is>
      </c>
      <c r="B818" s="1" t="n">
        <v>44866</v>
      </c>
      <c r="C818" s="1" t="n">
        <v>45294</v>
      </c>
      <c r="D818" t="inlineStr">
        <is>
          <t>KALMAR LÄN</t>
        </is>
      </c>
      <c r="E818" t="inlineStr">
        <is>
          <t>VIMMERBY</t>
        </is>
      </c>
      <c r="F818" t="inlineStr">
        <is>
          <t>Övriga Aktiebolag</t>
        </is>
      </c>
      <c r="G818" t="n">
        <v>1.9</v>
      </c>
      <c r="H818" t="n">
        <v>0</v>
      </c>
      <c r="I818" t="n">
        <v>0</v>
      </c>
      <c r="J818" t="n">
        <v>0</v>
      </c>
      <c r="K818" t="n">
        <v>0</v>
      </c>
      <c r="L818" t="n">
        <v>0</v>
      </c>
      <c r="M818" t="n">
        <v>0</v>
      </c>
      <c r="N818" t="n">
        <v>0</v>
      </c>
      <c r="O818" t="n">
        <v>0</v>
      </c>
      <c r="P818" t="n">
        <v>0</v>
      </c>
      <c r="Q818" t="n">
        <v>0</v>
      </c>
      <c r="R818" s="2" t="inlineStr"/>
    </row>
    <row r="819" ht="15" customHeight="1">
      <c r="A819" t="inlineStr">
        <is>
          <t>A 50621-2022</t>
        </is>
      </c>
      <c r="B819" s="1" t="n">
        <v>44866</v>
      </c>
      <c r="C819" s="1" t="n">
        <v>45294</v>
      </c>
      <c r="D819" t="inlineStr">
        <is>
          <t>KALMAR LÄN</t>
        </is>
      </c>
      <c r="E819" t="inlineStr">
        <is>
          <t>VIMMERBY</t>
        </is>
      </c>
      <c r="F819" t="inlineStr">
        <is>
          <t>Övriga Aktiebolag</t>
        </is>
      </c>
      <c r="G819" t="n">
        <v>5.1</v>
      </c>
      <c r="H819" t="n">
        <v>0</v>
      </c>
      <c r="I819" t="n">
        <v>0</v>
      </c>
      <c r="J819" t="n">
        <v>0</v>
      </c>
      <c r="K819" t="n">
        <v>0</v>
      </c>
      <c r="L819" t="n">
        <v>0</v>
      </c>
      <c r="M819" t="n">
        <v>0</v>
      </c>
      <c r="N819" t="n">
        <v>0</v>
      </c>
      <c r="O819" t="n">
        <v>0</v>
      </c>
      <c r="P819" t="n">
        <v>0</v>
      </c>
      <c r="Q819" t="n">
        <v>0</v>
      </c>
      <c r="R819" s="2" t="inlineStr"/>
    </row>
    <row r="820" ht="15" customHeight="1">
      <c r="A820" t="inlineStr">
        <is>
          <t>A 50860-2022</t>
        </is>
      </c>
      <c r="B820" s="1" t="n">
        <v>44867</v>
      </c>
      <c r="C820" s="1" t="n">
        <v>45294</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50995-2022</t>
        </is>
      </c>
      <c r="B821" s="1" t="n">
        <v>44867</v>
      </c>
      <c r="C821" s="1" t="n">
        <v>45294</v>
      </c>
      <c r="D821" t="inlineStr">
        <is>
          <t>KALMAR LÄN</t>
        </is>
      </c>
      <c r="E821" t="inlineStr">
        <is>
          <t>VIMMERBY</t>
        </is>
      </c>
      <c r="G821" t="n">
        <v>2.4</v>
      </c>
      <c r="H821" t="n">
        <v>0</v>
      </c>
      <c r="I821" t="n">
        <v>0</v>
      </c>
      <c r="J821" t="n">
        <v>0</v>
      </c>
      <c r="K821" t="n">
        <v>0</v>
      </c>
      <c r="L821" t="n">
        <v>0</v>
      </c>
      <c r="M821" t="n">
        <v>0</v>
      </c>
      <c r="N821" t="n">
        <v>0</v>
      </c>
      <c r="O821" t="n">
        <v>0</v>
      </c>
      <c r="P821" t="n">
        <v>0</v>
      </c>
      <c r="Q821" t="n">
        <v>0</v>
      </c>
      <c r="R821" s="2" t="inlineStr"/>
    </row>
    <row r="822" ht="15" customHeight="1">
      <c r="A822" t="inlineStr">
        <is>
          <t>A 50993-2022</t>
        </is>
      </c>
      <c r="B822" s="1" t="n">
        <v>44867</v>
      </c>
      <c r="C822" s="1" t="n">
        <v>45294</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52753-2022</t>
        </is>
      </c>
      <c r="B823" s="1" t="n">
        <v>44875</v>
      </c>
      <c r="C823" s="1" t="n">
        <v>45294</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52755-2022</t>
        </is>
      </c>
      <c r="B824" s="1" t="n">
        <v>44875</v>
      </c>
      <c r="C824" s="1" t="n">
        <v>45294</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53145-2022</t>
        </is>
      </c>
      <c r="B825" s="1" t="n">
        <v>44876</v>
      </c>
      <c r="C825" s="1" t="n">
        <v>45294</v>
      </c>
      <c r="D825" t="inlineStr">
        <is>
          <t>KALMAR LÄN</t>
        </is>
      </c>
      <c r="E825" t="inlineStr">
        <is>
          <t>VIMMERBY</t>
        </is>
      </c>
      <c r="G825" t="n">
        <v>0.4</v>
      </c>
      <c r="H825" t="n">
        <v>0</v>
      </c>
      <c r="I825" t="n">
        <v>0</v>
      </c>
      <c r="J825" t="n">
        <v>0</v>
      </c>
      <c r="K825" t="n">
        <v>0</v>
      </c>
      <c r="L825" t="n">
        <v>0</v>
      </c>
      <c r="M825" t="n">
        <v>0</v>
      </c>
      <c r="N825" t="n">
        <v>0</v>
      </c>
      <c r="O825" t="n">
        <v>0</v>
      </c>
      <c r="P825" t="n">
        <v>0</v>
      </c>
      <c r="Q825" t="n">
        <v>0</v>
      </c>
      <c r="R825" s="2" t="inlineStr"/>
    </row>
    <row r="826" ht="15" customHeight="1">
      <c r="A826" t="inlineStr">
        <is>
          <t>A 53247-2022</t>
        </is>
      </c>
      <c r="B826" s="1" t="n">
        <v>44876</v>
      </c>
      <c r="C826" s="1" t="n">
        <v>45294</v>
      </c>
      <c r="D826" t="inlineStr">
        <is>
          <t>KALMAR LÄN</t>
        </is>
      </c>
      <c r="E826" t="inlineStr">
        <is>
          <t>VIMMERBY</t>
        </is>
      </c>
      <c r="G826" t="n">
        <v>3.3</v>
      </c>
      <c r="H826" t="n">
        <v>0</v>
      </c>
      <c r="I826" t="n">
        <v>0</v>
      </c>
      <c r="J826" t="n">
        <v>0</v>
      </c>
      <c r="K826" t="n">
        <v>0</v>
      </c>
      <c r="L826" t="n">
        <v>0</v>
      </c>
      <c r="M826" t="n">
        <v>0</v>
      </c>
      <c r="N826" t="n">
        <v>0</v>
      </c>
      <c r="O826" t="n">
        <v>0</v>
      </c>
      <c r="P826" t="n">
        <v>0</v>
      </c>
      <c r="Q826" t="n">
        <v>0</v>
      </c>
      <c r="R826" s="2" t="inlineStr"/>
    </row>
    <row r="827" ht="15" customHeight="1">
      <c r="A827" t="inlineStr">
        <is>
          <t>A 53482-2022</t>
        </is>
      </c>
      <c r="B827" s="1" t="n">
        <v>44879</v>
      </c>
      <c r="C827" s="1" t="n">
        <v>45294</v>
      </c>
      <c r="D827" t="inlineStr">
        <is>
          <t>KALMAR LÄN</t>
        </is>
      </c>
      <c r="E827" t="inlineStr">
        <is>
          <t>VIMMERBY</t>
        </is>
      </c>
      <c r="G827" t="n">
        <v>10.1</v>
      </c>
      <c r="H827" t="n">
        <v>0</v>
      </c>
      <c r="I827" t="n">
        <v>0</v>
      </c>
      <c r="J827" t="n">
        <v>0</v>
      </c>
      <c r="K827" t="n">
        <v>0</v>
      </c>
      <c r="L827" t="n">
        <v>0</v>
      </c>
      <c r="M827" t="n">
        <v>0</v>
      </c>
      <c r="N827" t="n">
        <v>0</v>
      </c>
      <c r="O827" t="n">
        <v>0</v>
      </c>
      <c r="P827" t="n">
        <v>0</v>
      </c>
      <c r="Q827" t="n">
        <v>0</v>
      </c>
      <c r="R827" s="2" t="inlineStr"/>
    </row>
    <row r="828" ht="15" customHeight="1">
      <c r="A828" t="inlineStr">
        <is>
          <t>A 53542-2022</t>
        </is>
      </c>
      <c r="B828" s="1" t="n">
        <v>44879</v>
      </c>
      <c r="C828" s="1" t="n">
        <v>45294</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53483-2022</t>
        </is>
      </c>
      <c r="B829" s="1" t="n">
        <v>44879</v>
      </c>
      <c r="C829" s="1" t="n">
        <v>45294</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54020-2022</t>
        </is>
      </c>
      <c r="B830" s="1" t="n">
        <v>44881</v>
      </c>
      <c r="C830" s="1" t="n">
        <v>45294</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54749-2022</t>
        </is>
      </c>
      <c r="B831" s="1" t="n">
        <v>44883</v>
      </c>
      <c r="C831" s="1" t="n">
        <v>45294</v>
      </c>
      <c r="D831" t="inlineStr">
        <is>
          <t>KALMAR LÄN</t>
        </is>
      </c>
      <c r="E831" t="inlineStr">
        <is>
          <t>VIMMERBY</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54745-2022</t>
        </is>
      </c>
      <c r="B832" s="1" t="n">
        <v>44883</v>
      </c>
      <c r="C832" s="1" t="n">
        <v>45294</v>
      </c>
      <c r="D832" t="inlineStr">
        <is>
          <t>KALMAR LÄN</t>
        </is>
      </c>
      <c r="E832" t="inlineStr">
        <is>
          <t>VIMMERBY</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54877-2022</t>
        </is>
      </c>
      <c r="B833" s="1" t="n">
        <v>44886</v>
      </c>
      <c r="C833" s="1" t="n">
        <v>45294</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55333-2022</t>
        </is>
      </c>
      <c r="B834" s="1" t="n">
        <v>44887</v>
      </c>
      <c r="C834" s="1" t="n">
        <v>45294</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57682-2022</t>
        </is>
      </c>
      <c r="B835" s="1" t="n">
        <v>44890</v>
      </c>
      <c r="C835" s="1" t="n">
        <v>45294</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56582-2022</t>
        </is>
      </c>
      <c r="B836" s="1" t="n">
        <v>44893</v>
      </c>
      <c r="C836" s="1" t="n">
        <v>45294</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56536-2022</t>
        </is>
      </c>
      <c r="B837" s="1" t="n">
        <v>44893</v>
      </c>
      <c r="C837" s="1" t="n">
        <v>45294</v>
      </c>
      <c r="D837" t="inlineStr">
        <is>
          <t>KALMAR LÄN</t>
        </is>
      </c>
      <c r="E837" t="inlineStr">
        <is>
          <t>VIMMERBY</t>
        </is>
      </c>
      <c r="G837" t="n">
        <v>3.2</v>
      </c>
      <c r="H837" t="n">
        <v>0</v>
      </c>
      <c r="I837" t="n">
        <v>0</v>
      </c>
      <c r="J837" t="n">
        <v>0</v>
      </c>
      <c r="K837" t="n">
        <v>0</v>
      </c>
      <c r="L837" t="n">
        <v>0</v>
      </c>
      <c r="M837" t="n">
        <v>0</v>
      </c>
      <c r="N837" t="n">
        <v>0</v>
      </c>
      <c r="O837" t="n">
        <v>0</v>
      </c>
      <c r="P837" t="n">
        <v>0</v>
      </c>
      <c r="Q837" t="n">
        <v>0</v>
      </c>
      <c r="R837" s="2" t="inlineStr"/>
    </row>
    <row r="838" ht="15" customHeight="1">
      <c r="A838" t="inlineStr">
        <is>
          <t>A 56853-2022</t>
        </is>
      </c>
      <c r="B838" s="1" t="n">
        <v>44894</v>
      </c>
      <c r="C838" s="1" t="n">
        <v>45294</v>
      </c>
      <c r="D838" t="inlineStr">
        <is>
          <t>KALMAR LÄN</t>
        </is>
      </c>
      <c r="E838" t="inlineStr">
        <is>
          <t>VIMMERBY</t>
        </is>
      </c>
      <c r="G838" t="n">
        <v>4.3</v>
      </c>
      <c r="H838" t="n">
        <v>0</v>
      </c>
      <c r="I838" t="n">
        <v>0</v>
      </c>
      <c r="J838" t="n">
        <v>0</v>
      </c>
      <c r="K838" t="n">
        <v>0</v>
      </c>
      <c r="L838" t="n">
        <v>0</v>
      </c>
      <c r="M838" t="n">
        <v>0</v>
      </c>
      <c r="N838" t="n">
        <v>0</v>
      </c>
      <c r="O838" t="n">
        <v>0</v>
      </c>
      <c r="P838" t="n">
        <v>0</v>
      </c>
      <c r="Q838" t="n">
        <v>0</v>
      </c>
      <c r="R838" s="2" t="inlineStr"/>
    </row>
    <row r="839" ht="15" customHeight="1">
      <c r="A839" t="inlineStr">
        <is>
          <t>A 57091-2022</t>
        </is>
      </c>
      <c r="B839" s="1" t="n">
        <v>44895</v>
      </c>
      <c r="C839" s="1" t="n">
        <v>45294</v>
      </c>
      <c r="D839" t="inlineStr">
        <is>
          <t>KALMAR LÄN</t>
        </is>
      </c>
      <c r="E839" t="inlineStr">
        <is>
          <t>VIMMERBY</t>
        </is>
      </c>
      <c r="G839" t="n">
        <v>2.6</v>
      </c>
      <c r="H839" t="n">
        <v>0</v>
      </c>
      <c r="I839" t="n">
        <v>0</v>
      </c>
      <c r="J839" t="n">
        <v>0</v>
      </c>
      <c r="K839" t="n">
        <v>0</v>
      </c>
      <c r="L839" t="n">
        <v>0</v>
      </c>
      <c r="M839" t="n">
        <v>0</v>
      </c>
      <c r="N839" t="n">
        <v>0</v>
      </c>
      <c r="O839" t="n">
        <v>0</v>
      </c>
      <c r="P839" t="n">
        <v>0</v>
      </c>
      <c r="Q839" t="n">
        <v>0</v>
      </c>
      <c r="R839" s="2" t="inlineStr"/>
    </row>
    <row r="840" ht="15" customHeight="1">
      <c r="A840" t="inlineStr">
        <is>
          <t>A 57189-2022</t>
        </is>
      </c>
      <c r="B840" s="1" t="n">
        <v>44895</v>
      </c>
      <c r="C840" s="1" t="n">
        <v>45294</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57190-2022</t>
        </is>
      </c>
      <c r="B841" s="1" t="n">
        <v>44895</v>
      </c>
      <c r="C841" s="1" t="n">
        <v>45294</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58967-2022</t>
        </is>
      </c>
      <c r="B842" s="1" t="n">
        <v>44896</v>
      </c>
      <c r="C842" s="1" t="n">
        <v>45294</v>
      </c>
      <c r="D842" t="inlineStr">
        <is>
          <t>KALMAR LÄN</t>
        </is>
      </c>
      <c r="E842" t="inlineStr">
        <is>
          <t>VIMMERBY</t>
        </is>
      </c>
      <c r="G842" t="n">
        <v>5</v>
      </c>
      <c r="H842" t="n">
        <v>0</v>
      </c>
      <c r="I842" t="n">
        <v>0</v>
      </c>
      <c r="J842" t="n">
        <v>0</v>
      </c>
      <c r="K842" t="n">
        <v>0</v>
      </c>
      <c r="L842" t="n">
        <v>0</v>
      </c>
      <c r="M842" t="n">
        <v>0</v>
      </c>
      <c r="N842" t="n">
        <v>0</v>
      </c>
      <c r="O842" t="n">
        <v>0</v>
      </c>
      <c r="P842" t="n">
        <v>0</v>
      </c>
      <c r="Q842" t="n">
        <v>0</v>
      </c>
      <c r="R842" s="2" t="inlineStr"/>
    </row>
    <row r="843" ht="15" customHeight="1">
      <c r="A843" t="inlineStr">
        <is>
          <t>A 57799-2022</t>
        </is>
      </c>
      <c r="B843" s="1" t="n">
        <v>44897</v>
      </c>
      <c r="C843" s="1" t="n">
        <v>45294</v>
      </c>
      <c r="D843" t="inlineStr">
        <is>
          <t>KALMAR LÄN</t>
        </is>
      </c>
      <c r="E843" t="inlineStr">
        <is>
          <t>VIMMERBY</t>
        </is>
      </c>
      <c r="G843" t="n">
        <v>1.4</v>
      </c>
      <c r="H843" t="n">
        <v>0</v>
      </c>
      <c r="I843" t="n">
        <v>0</v>
      </c>
      <c r="J843" t="n">
        <v>0</v>
      </c>
      <c r="K843" t="n">
        <v>0</v>
      </c>
      <c r="L843" t="n">
        <v>0</v>
      </c>
      <c r="M843" t="n">
        <v>0</v>
      </c>
      <c r="N843" t="n">
        <v>0</v>
      </c>
      <c r="O843" t="n">
        <v>0</v>
      </c>
      <c r="P843" t="n">
        <v>0</v>
      </c>
      <c r="Q843" t="n">
        <v>0</v>
      </c>
      <c r="R843" s="2" t="inlineStr"/>
    </row>
    <row r="844" ht="15" customHeight="1">
      <c r="A844" t="inlineStr">
        <is>
          <t>A 58046-2022</t>
        </is>
      </c>
      <c r="B844" s="1" t="n">
        <v>44900</v>
      </c>
      <c r="C844" s="1" t="n">
        <v>45294</v>
      </c>
      <c r="D844" t="inlineStr">
        <is>
          <t>KALMAR LÄN</t>
        </is>
      </c>
      <c r="E844" t="inlineStr">
        <is>
          <t>VIMMERBY</t>
        </is>
      </c>
      <c r="G844" t="n">
        <v>2.5</v>
      </c>
      <c r="H844" t="n">
        <v>0</v>
      </c>
      <c r="I844" t="n">
        <v>0</v>
      </c>
      <c r="J844" t="n">
        <v>0</v>
      </c>
      <c r="K844" t="n">
        <v>0</v>
      </c>
      <c r="L844" t="n">
        <v>0</v>
      </c>
      <c r="M844" t="n">
        <v>0</v>
      </c>
      <c r="N844" t="n">
        <v>0</v>
      </c>
      <c r="O844" t="n">
        <v>0</v>
      </c>
      <c r="P844" t="n">
        <v>0</v>
      </c>
      <c r="Q844" t="n">
        <v>0</v>
      </c>
      <c r="R844" s="2" t="inlineStr"/>
    </row>
    <row r="845" ht="15" customHeight="1">
      <c r="A845" t="inlineStr">
        <is>
          <t>A 58750-2022</t>
        </is>
      </c>
      <c r="B845" s="1" t="n">
        <v>44903</v>
      </c>
      <c r="C845" s="1" t="n">
        <v>45294</v>
      </c>
      <c r="D845" t="inlineStr">
        <is>
          <t>KALMAR LÄN</t>
        </is>
      </c>
      <c r="E845" t="inlineStr">
        <is>
          <t>VIMMERBY</t>
        </is>
      </c>
      <c r="G845" t="n">
        <v>3.3</v>
      </c>
      <c r="H845" t="n">
        <v>0</v>
      </c>
      <c r="I845" t="n">
        <v>0</v>
      </c>
      <c r="J845" t="n">
        <v>0</v>
      </c>
      <c r="K845" t="n">
        <v>0</v>
      </c>
      <c r="L845" t="n">
        <v>0</v>
      </c>
      <c r="M845" t="n">
        <v>0</v>
      </c>
      <c r="N845" t="n">
        <v>0</v>
      </c>
      <c r="O845" t="n">
        <v>0</v>
      </c>
      <c r="P845" t="n">
        <v>0</v>
      </c>
      <c r="Q845" t="n">
        <v>0</v>
      </c>
      <c r="R845" s="2" t="inlineStr"/>
    </row>
    <row r="846" ht="15" customHeight="1">
      <c r="A846" t="inlineStr">
        <is>
          <t>A 58962-2022</t>
        </is>
      </c>
      <c r="B846" s="1" t="n">
        <v>44903</v>
      </c>
      <c r="C846" s="1" t="n">
        <v>45294</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60110-2022</t>
        </is>
      </c>
      <c r="B847" s="1" t="n">
        <v>44909</v>
      </c>
      <c r="C847" s="1" t="n">
        <v>45294</v>
      </c>
      <c r="D847" t="inlineStr">
        <is>
          <t>KALMAR LÄN</t>
        </is>
      </c>
      <c r="E847" t="inlineStr">
        <is>
          <t>VIMMERBY</t>
        </is>
      </c>
      <c r="G847" t="n">
        <v>1.7</v>
      </c>
      <c r="H847" t="n">
        <v>0</v>
      </c>
      <c r="I847" t="n">
        <v>0</v>
      </c>
      <c r="J847" t="n">
        <v>0</v>
      </c>
      <c r="K847" t="n">
        <v>0</v>
      </c>
      <c r="L847" t="n">
        <v>0</v>
      </c>
      <c r="M847" t="n">
        <v>0</v>
      </c>
      <c r="N847" t="n">
        <v>0</v>
      </c>
      <c r="O847" t="n">
        <v>0</v>
      </c>
      <c r="P847" t="n">
        <v>0</v>
      </c>
      <c r="Q847" t="n">
        <v>0</v>
      </c>
      <c r="R847" s="2" t="inlineStr"/>
    </row>
    <row r="848" ht="15" customHeight="1">
      <c r="A848" t="inlineStr">
        <is>
          <t>A 60230-2022</t>
        </is>
      </c>
      <c r="B848" s="1" t="n">
        <v>44910</v>
      </c>
      <c r="C848" s="1" t="n">
        <v>45294</v>
      </c>
      <c r="D848" t="inlineStr">
        <is>
          <t>KALMAR LÄN</t>
        </is>
      </c>
      <c r="E848" t="inlineStr">
        <is>
          <t>VIMMERBY</t>
        </is>
      </c>
      <c r="G848" t="n">
        <v>11.3</v>
      </c>
      <c r="H848" t="n">
        <v>0</v>
      </c>
      <c r="I848" t="n">
        <v>0</v>
      </c>
      <c r="J848" t="n">
        <v>0</v>
      </c>
      <c r="K848" t="n">
        <v>0</v>
      </c>
      <c r="L848" t="n">
        <v>0</v>
      </c>
      <c r="M848" t="n">
        <v>0</v>
      </c>
      <c r="N848" t="n">
        <v>0</v>
      </c>
      <c r="O848" t="n">
        <v>0</v>
      </c>
      <c r="P848" t="n">
        <v>0</v>
      </c>
      <c r="Q848" t="n">
        <v>0</v>
      </c>
      <c r="R848" s="2" t="inlineStr"/>
    </row>
    <row r="849" ht="15" customHeight="1">
      <c r="A849" t="inlineStr">
        <is>
          <t>A 60215-2022</t>
        </is>
      </c>
      <c r="B849" s="1" t="n">
        <v>44910</v>
      </c>
      <c r="C849" s="1" t="n">
        <v>45294</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60292-2022</t>
        </is>
      </c>
      <c r="B850" s="1" t="n">
        <v>44910</v>
      </c>
      <c r="C850" s="1" t="n">
        <v>45294</v>
      </c>
      <c r="D850" t="inlineStr">
        <is>
          <t>KALMAR LÄN</t>
        </is>
      </c>
      <c r="E850" t="inlineStr">
        <is>
          <t>VIMMERBY</t>
        </is>
      </c>
      <c r="G850" t="n">
        <v>4.4</v>
      </c>
      <c r="H850" t="n">
        <v>0</v>
      </c>
      <c r="I850" t="n">
        <v>0</v>
      </c>
      <c r="J850" t="n">
        <v>0</v>
      </c>
      <c r="K850" t="n">
        <v>0</v>
      </c>
      <c r="L850" t="n">
        <v>0</v>
      </c>
      <c r="M850" t="n">
        <v>0</v>
      </c>
      <c r="N850" t="n">
        <v>0</v>
      </c>
      <c r="O850" t="n">
        <v>0</v>
      </c>
      <c r="P850" t="n">
        <v>0</v>
      </c>
      <c r="Q850" t="n">
        <v>0</v>
      </c>
      <c r="R850" s="2" t="inlineStr"/>
    </row>
    <row r="851" ht="15" customHeight="1">
      <c r="A851" t="inlineStr">
        <is>
          <t>A 60339-2022</t>
        </is>
      </c>
      <c r="B851" s="1" t="n">
        <v>44910</v>
      </c>
      <c r="C851" s="1" t="n">
        <v>45294</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61538-2022</t>
        </is>
      </c>
      <c r="B852" s="1" t="n">
        <v>44916</v>
      </c>
      <c r="C852" s="1" t="n">
        <v>45294</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62075-2022</t>
        </is>
      </c>
      <c r="B853" s="1" t="n">
        <v>44918</v>
      </c>
      <c r="C853" s="1" t="n">
        <v>45294</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62023-2022</t>
        </is>
      </c>
      <c r="B854" s="1" t="n">
        <v>44918</v>
      </c>
      <c r="C854" s="1" t="n">
        <v>45294</v>
      </c>
      <c r="D854" t="inlineStr">
        <is>
          <t>KALMAR LÄN</t>
        </is>
      </c>
      <c r="E854" t="inlineStr">
        <is>
          <t>VIMMERBY</t>
        </is>
      </c>
      <c r="G854" t="n">
        <v>0.3</v>
      </c>
      <c r="H854" t="n">
        <v>0</v>
      </c>
      <c r="I854" t="n">
        <v>0</v>
      </c>
      <c r="J854" t="n">
        <v>0</v>
      </c>
      <c r="K854" t="n">
        <v>0</v>
      </c>
      <c r="L854" t="n">
        <v>0</v>
      </c>
      <c r="M854" t="n">
        <v>0</v>
      </c>
      <c r="N854" t="n">
        <v>0</v>
      </c>
      <c r="O854" t="n">
        <v>0</v>
      </c>
      <c r="P854" t="n">
        <v>0</v>
      </c>
      <c r="Q854" t="n">
        <v>0</v>
      </c>
      <c r="R854" s="2" t="inlineStr"/>
    </row>
    <row r="855" ht="15" customHeight="1">
      <c r="A855" t="inlineStr">
        <is>
          <t>A 89-2023</t>
        </is>
      </c>
      <c r="B855" s="1" t="n">
        <v>44918</v>
      </c>
      <c r="C855" s="1" t="n">
        <v>45294</v>
      </c>
      <c r="D855" t="inlineStr">
        <is>
          <t>KALMAR LÄN</t>
        </is>
      </c>
      <c r="E855" t="inlineStr">
        <is>
          <t>VIMMERBY</t>
        </is>
      </c>
      <c r="G855" t="n">
        <v>16.1</v>
      </c>
      <c r="H855" t="n">
        <v>0</v>
      </c>
      <c r="I855" t="n">
        <v>0</v>
      </c>
      <c r="J855" t="n">
        <v>0</v>
      </c>
      <c r="K855" t="n">
        <v>0</v>
      </c>
      <c r="L855" t="n">
        <v>0</v>
      </c>
      <c r="M855" t="n">
        <v>0</v>
      </c>
      <c r="N855" t="n">
        <v>0</v>
      </c>
      <c r="O855" t="n">
        <v>0</v>
      </c>
      <c r="P855" t="n">
        <v>0</v>
      </c>
      <c r="Q855" t="n">
        <v>0</v>
      </c>
      <c r="R855" s="2" t="inlineStr"/>
    </row>
    <row r="856" ht="15" customHeight="1">
      <c r="A856" t="inlineStr">
        <is>
          <t>A 346-2023</t>
        </is>
      </c>
      <c r="B856" s="1" t="n">
        <v>44929</v>
      </c>
      <c r="C856" s="1" t="n">
        <v>45294</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343-2023</t>
        </is>
      </c>
      <c r="B857" s="1" t="n">
        <v>44929</v>
      </c>
      <c r="C857" s="1" t="n">
        <v>45294</v>
      </c>
      <c r="D857" t="inlineStr">
        <is>
          <t>KALMAR LÄN</t>
        </is>
      </c>
      <c r="E857" t="inlineStr">
        <is>
          <t>VIMMERBY</t>
        </is>
      </c>
      <c r="G857" t="n">
        <v>2.6</v>
      </c>
      <c r="H857" t="n">
        <v>0</v>
      </c>
      <c r="I857" t="n">
        <v>0</v>
      </c>
      <c r="J857" t="n">
        <v>0</v>
      </c>
      <c r="K857" t="n">
        <v>0</v>
      </c>
      <c r="L857" t="n">
        <v>0</v>
      </c>
      <c r="M857" t="n">
        <v>0</v>
      </c>
      <c r="N857" t="n">
        <v>0</v>
      </c>
      <c r="O857" t="n">
        <v>0</v>
      </c>
      <c r="P857" t="n">
        <v>0</v>
      </c>
      <c r="Q857" t="n">
        <v>0</v>
      </c>
      <c r="R857" s="2" t="inlineStr"/>
    </row>
    <row r="858" ht="15" customHeight="1">
      <c r="A858" t="inlineStr">
        <is>
          <t>A 502-2023</t>
        </is>
      </c>
      <c r="B858" s="1" t="n">
        <v>44930</v>
      </c>
      <c r="C858" s="1" t="n">
        <v>45294</v>
      </c>
      <c r="D858" t="inlineStr">
        <is>
          <t>KALMAR LÄN</t>
        </is>
      </c>
      <c r="E858" t="inlineStr">
        <is>
          <t>VIMMERBY</t>
        </is>
      </c>
      <c r="G858" t="n">
        <v>5</v>
      </c>
      <c r="H858" t="n">
        <v>0</v>
      </c>
      <c r="I858" t="n">
        <v>0</v>
      </c>
      <c r="J858" t="n">
        <v>0</v>
      </c>
      <c r="K858" t="n">
        <v>0</v>
      </c>
      <c r="L858" t="n">
        <v>0</v>
      </c>
      <c r="M858" t="n">
        <v>0</v>
      </c>
      <c r="N858" t="n">
        <v>0</v>
      </c>
      <c r="O858" t="n">
        <v>0</v>
      </c>
      <c r="P858" t="n">
        <v>0</v>
      </c>
      <c r="Q858" t="n">
        <v>0</v>
      </c>
      <c r="R858" s="2" t="inlineStr"/>
    </row>
    <row r="859" ht="15" customHeight="1">
      <c r="A859" t="inlineStr">
        <is>
          <t>A 508-2023</t>
        </is>
      </c>
      <c r="B859" s="1" t="n">
        <v>44930</v>
      </c>
      <c r="C859" s="1" t="n">
        <v>45294</v>
      </c>
      <c r="D859" t="inlineStr">
        <is>
          <t>KALMAR LÄN</t>
        </is>
      </c>
      <c r="E859" t="inlineStr">
        <is>
          <t>VIMMERBY</t>
        </is>
      </c>
      <c r="G859" t="n">
        <v>2.3</v>
      </c>
      <c r="H859" t="n">
        <v>0</v>
      </c>
      <c r="I859" t="n">
        <v>0</v>
      </c>
      <c r="J859" t="n">
        <v>0</v>
      </c>
      <c r="K859" t="n">
        <v>0</v>
      </c>
      <c r="L859" t="n">
        <v>0</v>
      </c>
      <c r="M859" t="n">
        <v>0</v>
      </c>
      <c r="N859" t="n">
        <v>0</v>
      </c>
      <c r="O859" t="n">
        <v>0</v>
      </c>
      <c r="P859" t="n">
        <v>0</v>
      </c>
      <c r="Q859" t="n">
        <v>0</v>
      </c>
      <c r="R859" s="2" t="inlineStr"/>
    </row>
    <row r="860" ht="15" customHeight="1">
      <c r="A860" t="inlineStr">
        <is>
          <t>A 845-2023</t>
        </is>
      </c>
      <c r="B860" s="1" t="n">
        <v>44931</v>
      </c>
      <c r="C860" s="1" t="n">
        <v>45294</v>
      </c>
      <c r="D860" t="inlineStr">
        <is>
          <t>KALMAR LÄN</t>
        </is>
      </c>
      <c r="E860" t="inlineStr">
        <is>
          <t>VIMMERBY</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1086-2023</t>
        </is>
      </c>
      <c r="B861" s="1" t="n">
        <v>44935</v>
      </c>
      <c r="C861" s="1" t="n">
        <v>45294</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1081-2023</t>
        </is>
      </c>
      <c r="B862" s="1" t="n">
        <v>44935</v>
      </c>
      <c r="C862" s="1" t="n">
        <v>45294</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1687-2023</t>
        </is>
      </c>
      <c r="B863" s="1" t="n">
        <v>44938</v>
      </c>
      <c r="C863" s="1" t="n">
        <v>45294</v>
      </c>
      <c r="D863" t="inlineStr">
        <is>
          <t>KALMAR LÄN</t>
        </is>
      </c>
      <c r="E863" t="inlineStr">
        <is>
          <t>VIMMERBY</t>
        </is>
      </c>
      <c r="F863" t="inlineStr">
        <is>
          <t>Kommuner</t>
        </is>
      </c>
      <c r="G863" t="n">
        <v>2.5</v>
      </c>
      <c r="H863" t="n">
        <v>0</v>
      </c>
      <c r="I863" t="n">
        <v>0</v>
      </c>
      <c r="J863" t="n">
        <v>0</v>
      </c>
      <c r="K863" t="n">
        <v>0</v>
      </c>
      <c r="L863" t="n">
        <v>0</v>
      </c>
      <c r="M863" t="n">
        <v>0</v>
      </c>
      <c r="N863" t="n">
        <v>0</v>
      </c>
      <c r="O863" t="n">
        <v>0</v>
      </c>
      <c r="P863" t="n">
        <v>0</v>
      </c>
      <c r="Q863" t="n">
        <v>0</v>
      </c>
      <c r="R863" s="2" t="inlineStr"/>
    </row>
    <row r="864" ht="15" customHeight="1">
      <c r="A864" t="inlineStr">
        <is>
          <t>A 1667-2023</t>
        </is>
      </c>
      <c r="B864" s="1" t="n">
        <v>44938</v>
      </c>
      <c r="C864" s="1" t="n">
        <v>45294</v>
      </c>
      <c r="D864" t="inlineStr">
        <is>
          <t>KALMAR LÄN</t>
        </is>
      </c>
      <c r="E864" t="inlineStr">
        <is>
          <t>VIMMERBY</t>
        </is>
      </c>
      <c r="G864" t="n">
        <v>3.4</v>
      </c>
      <c r="H864" t="n">
        <v>0</v>
      </c>
      <c r="I864" t="n">
        <v>0</v>
      </c>
      <c r="J864" t="n">
        <v>0</v>
      </c>
      <c r="K864" t="n">
        <v>0</v>
      </c>
      <c r="L864" t="n">
        <v>0</v>
      </c>
      <c r="M864" t="n">
        <v>0</v>
      </c>
      <c r="N864" t="n">
        <v>0</v>
      </c>
      <c r="O864" t="n">
        <v>0</v>
      </c>
      <c r="P864" t="n">
        <v>0</v>
      </c>
      <c r="Q864" t="n">
        <v>0</v>
      </c>
      <c r="R864" s="2" t="inlineStr"/>
    </row>
    <row r="865" ht="15" customHeight="1">
      <c r="A865" t="inlineStr">
        <is>
          <t>A 1955-2023</t>
        </is>
      </c>
      <c r="B865" s="1" t="n">
        <v>44939</v>
      </c>
      <c r="C865" s="1" t="n">
        <v>45294</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2510-2023</t>
        </is>
      </c>
      <c r="B866" s="1" t="n">
        <v>44943</v>
      </c>
      <c r="C866" s="1" t="n">
        <v>45294</v>
      </c>
      <c r="D866" t="inlineStr">
        <is>
          <t>KALMAR LÄN</t>
        </is>
      </c>
      <c r="E866" t="inlineStr">
        <is>
          <t>VIMMERBY</t>
        </is>
      </c>
      <c r="G866" t="n">
        <v>8.6</v>
      </c>
      <c r="H866" t="n">
        <v>0</v>
      </c>
      <c r="I866" t="n">
        <v>0</v>
      </c>
      <c r="J866" t="n">
        <v>0</v>
      </c>
      <c r="K866" t="n">
        <v>0</v>
      </c>
      <c r="L866" t="n">
        <v>0</v>
      </c>
      <c r="M866" t="n">
        <v>0</v>
      </c>
      <c r="N866" t="n">
        <v>0</v>
      </c>
      <c r="O866" t="n">
        <v>0</v>
      </c>
      <c r="P866" t="n">
        <v>0</v>
      </c>
      <c r="Q866" t="n">
        <v>0</v>
      </c>
      <c r="R866" s="2" t="inlineStr"/>
    </row>
    <row r="867" ht="15" customHeight="1">
      <c r="A867" t="inlineStr">
        <is>
          <t>A 2536-2023</t>
        </is>
      </c>
      <c r="B867" s="1" t="n">
        <v>44943</v>
      </c>
      <c r="C867" s="1" t="n">
        <v>45294</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2799-2023</t>
        </is>
      </c>
      <c r="B868" s="1" t="n">
        <v>44944</v>
      </c>
      <c r="C868" s="1" t="n">
        <v>45294</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2797-2023</t>
        </is>
      </c>
      <c r="B869" s="1" t="n">
        <v>44944</v>
      </c>
      <c r="C869" s="1" t="n">
        <v>45294</v>
      </c>
      <c r="D869" t="inlineStr">
        <is>
          <t>KALMAR LÄN</t>
        </is>
      </c>
      <c r="E869" t="inlineStr">
        <is>
          <t>VIMMERBY</t>
        </is>
      </c>
      <c r="G869" t="n">
        <v>3.4</v>
      </c>
      <c r="H869" t="n">
        <v>0</v>
      </c>
      <c r="I869" t="n">
        <v>0</v>
      </c>
      <c r="J869" t="n">
        <v>0</v>
      </c>
      <c r="K869" t="n">
        <v>0</v>
      </c>
      <c r="L869" t="n">
        <v>0</v>
      </c>
      <c r="M869" t="n">
        <v>0</v>
      </c>
      <c r="N869" t="n">
        <v>0</v>
      </c>
      <c r="O869" t="n">
        <v>0</v>
      </c>
      <c r="P869" t="n">
        <v>0</v>
      </c>
      <c r="Q869" t="n">
        <v>0</v>
      </c>
      <c r="R869" s="2" t="inlineStr"/>
    </row>
    <row r="870" ht="15" customHeight="1">
      <c r="A870" t="inlineStr">
        <is>
          <t>A 2801-2023</t>
        </is>
      </c>
      <c r="B870" s="1" t="n">
        <v>44944</v>
      </c>
      <c r="C870" s="1" t="n">
        <v>45294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3331-2023</t>
        </is>
      </c>
      <c r="B871" s="1" t="n">
        <v>44949</v>
      </c>
      <c r="C871" s="1" t="n">
        <v>45294</v>
      </c>
      <c r="D871" t="inlineStr">
        <is>
          <t>KALMAR LÄN</t>
        </is>
      </c>
      <c r="E871" t="inlineStr">
        <is>
          <t>VIMMERBY</t>
        </is>
      </c>
      <c r="G871" t="n">
        <v>6.2</v>
      </c>
      <c r="H871" t="n">
        <v>0</v>
      </c>
      <c r="I871" t="n">
        <v>0</v>
      </c>
      <c r="J871" t="n">
        <v>0</v>
      </c>
      <c r="K871" t="n">
        <v>0</v>
      </c>
      <c r="L871" t="n">
        <v>0</v>
      </c>
      <c r="M871" t="n">
        <v>0</v>
      </c>
      <c r="N871" t="n">
        <v>0</v>
      </c>
      <c r="O871" t="n">
        <v>0</v>
      </c>
      <c r="P871" t="n">
        <v>0</v>
      </c>
      <c r="Q871" t="n">
        <v>0</v>
      </c>
      <c r="R871" s="2" t="inlineStr"/>
    </row>
    <row r="872" ht="15" customHeight="1">
      <c r="A872" t="inlineStr">
        <is>
          <t>A 3494-2023</t>
        </is>
      </c>
      <c r="B872" s="1" t="n">
        <v>44949</v>
      </c>
      <c r="C872" s="1" t="n">
        <v>45294</v>
      </c>
      <c r="D872" t="inlineStr">
        <is>
          <t>KALMAR LÄN</t>
        </is>
      </c>
      <c r="E872" t="inlineStr">
        <is>
          <t>VIMMERBY</t>
        </is>
      </c>
      <c r="F872" t="inlineStr">
        <is>
          <t>Kyrkan</t>
        </is>
      </c>
      <c r="G872" t="n">
        <v>0.8</v>
      </c>
      <c r="H872" t="n">
        <v>0</v>
      </c>
      <c r="I872" t="n">
        <v>0</v>
      </c>
      <c r="J872" t="n">
        <v>0</v>
      </c>
      <c r="K872" t="n">
        <v>0</v>
      </c>
      <c r="L872" t="n">
        <v>0</v>
      </c>
      <c r="M872" t="n">
        <v>0</v>
      </c>
      <c r="N872" t="n">
        <v>0</v>
      </c>
      <c r="O872" t="n">
        <v>0</v>
      </c>
      <c r="P872" t="n">
        <v>0</v>
      </c>
      <c r="Q872" t="n">
        <v>0</v>
      </c>
      <c r="R872" s="2" t="inlineStr"/>
    </row>
    <row r="873" ht="15" customHeight="1">
      <c r="A873" t="inlineStr">
        <is>
          <t>A 3587-2023</t>
        </is>
      </c>
      <c r="B873" s="1" t="n">
        <v>44950</v>
      </c>
      <c r="C873" s="1" t="n">
        <v>45294</v>
      </c>
      <c r="D873" t="inlineStr">
        <is>
          <t>KALMAR LÄN</t>
        </is>
      </c>
      <c r="E873" t="inlineStr">
        <is>
          <t>VIMMERBY</t>
        </is>
      </c>
      <c r="G873" t="n">
        <v>6.9</v>
      </c>
      <c r="H873" t="n">
        <v>0</v>
      </c>
      <c r="I873" t="n">
        <v>0</v>
      </c>
      <c r="J873" t="n">
        <v>0</v>
      </c>
      <c r="K873" t="n">
        <v>0</v>
      </c>
      <c r="L873" t="n">
        <v>0</v>
      </c>
      <c r="M873" t="n">
        <v>0</v>
      </c>
      <c r="N873" t="n">
        <v>0</v>
      </c>
      <c r="O873" t="n">
        <v>0</v>
      </c>
      <c r="P873" t="n">
        <v>0</v>
      </c>
      <c r="Q873" t="n">
        <v>0</v>
      </c>
      <c r="R873" s="2" t="inlineStr"/>
    </row>
    <row r="874" ht="15" customHeight="1">
      <c r="A874" t="inlineStr">
        <is>
          <t>A 3938-2023</t>
        </is>
      </c>
      <c r="B874" s="1" t="n">
        <v>44952</v>
      </c>
      <c r="C874" s="1" t="n">
        <v>45294</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3924-2023</t>
        </is>
      </c>
      <c r="B875" s="1" t="n">
        <v>44952</v>
      </c>
      <c r="C875" s="1" t="n">
        <v>45294</v>
      </c>
      <c r="D875" t="inlineStr">
        <is>
          <t>KALMAR LÄN</t>
        </is>
      </c>
      <c r="E875" t="inlineStr">
        <is>
          <t>VIMMERBY</t>
        </is>
      </c>
      <c r="G875" t="n">
        <v>4.7</v>
      </c>
      <c r="H875" t="n">
        <v>0</v>
      </c>
      <c r="I875" t="n">
        <v>0</v>
      </c>
      <c r="J875" t="n">
        <v>0</v>
      </c>
      <c r="K875" t="n">
        <v>0</v>
      </c>
      <c r="L875" t="n">
        <v>0</v>
      </c>
      <c r="M875" t="n">
        <v>0</v>
      </c>
      <c r="N875" t="n">
        <v>0</v>
      </c>
      <c r="O875" t="n">
        <v>0</v>
      </c>
      <c r="P875" t="n">
        <v>0</v>
      </c>
      <c r="Q875" t="n">
        <v>0</v>
      </c>
      <c r="R875" s="2" t="inlineStr"/>
    </row>
    <row r="876" ht="15" customHeight="1">
      <c r="A876" t="inlineStr">
        <is>
          <t>A 4527-2023</t>
        </is>
      </c>
      <c r="B876" s="1" t="n">
        <v>44956</v>
      </c>
      <c r="C876" s="1" t="n">
        <v>45294</v>
      </c>
      <c r="D876" t="inlineStr">
        <is>
          <t>KALMAR LÄN</t>
        </is>
      </c>
      <c r="E876" t="inlineStr">
        <is>
          <t>VIMMERBY</t>
        </is>
      </c>
      <c r="F876" t="inlineStr">
        <is>
          <t>Kommuner</t>
        </is>
      </c>
      <c r="G876" t="n">
        <v>8.5</v>
      </c>
      <c r="H876" t="n">
        <v>0</v>
      </c>
      <c r="I876" t="n">
        <v>0</v>
      </c>
      <c r="J876" t="n">
        <v>0</v>
      </c>
      <c r="K876" t="n">
        <v>0</v>
      </c>
      <c r="L876" t="n">
        <v>0</v>
      </c>
      <c r="M876" t="n">
        <v>0</v>
      </c>
      <c r="N876" t="n">
        <v>0</v>
      </c>
      <c r="O876" t="n">
        <v>0</v>
      </c>
      <c r="P876" t="n">
        <v>0</v>
      </c>
      <c r="Q876" t="n">
        <v>0</v>
      </c>
      <c r="R876" s="2" t="inlineStr"/>
    </row>
    <row r="877" ht="15" customHeight="1">
      <c r="A877" t="inlineStr">
        <is>
          <t>A 5074-2023</t>
        </is>
      </c>
      <c r="B877" s="1" t="n">
        <v>44958</v>
      </c>
      <c r="C877" s="1" t="n">
        <v>45294</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5342-2023</t>
        </is>
      </c>
      <c r="B878" s="1" t="n">
        <v>44959</v>
      </c>
      <c r="C878" s="1" t="n">
        <v>45294</v>
      </c>
      <c r="D878" t="inlineStr">
        <is>
          <t>KALMAR LÄN</t>
        </is>
      </c>
      <c r="E878" t="inlineStr">
        <is>
          <t>VIMMERBY</t>
        </is>
      </c>
      <c r="G878" t="n">
        <v>1.5</v>
      </c>
      <c r="H878" t="n">
        <v>0</v>
      </c>
      <c r="I878" t="n">
        <v>0</v>
      </c>
      <c r="J878" t="n">
        <v>0</v>
      </c>
      <c r="K878" t="n">
        <v>0</v>
      </c>
      <c r="L878" t="n">
        <v>0</v>
      </c>
      <c r="M878" t="n">
        <v>0</v>
      </c>
      <c r="N878" t="n">
        <v>0</v>
      </c>
      <c r="O878" t="n">
        <v>0</v>
      </c>
      <c r="P878" t="n">
        <v>0</v>
      </c>
      <c r="Q878" t="n">
        <v>0</v>
      </c>
      <c r="R878" s="2" t="inlineStr"/>
    </row>
    <row r="879" ht="15" customHeight="1">
      <c r="A879" t="inlineStr">
        <is>
          <t>A 5382-2023</t>
        </is>
      </c>
      <c r="B879" s="1" t="n">
        <v>44959</v>
      </c>
      <c r="C879" s="1" t="n">
        <v>45294</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5720-2023</t>
        </is>
      </c>
      <c r="B880" s="1" t="n">
        <v>44961</v>
      </c>
      <c r="C880" s="1" t="n">
        <v>45294</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5792-2023</t>
        </is>
      </c>
      <c r="B881" s="1" t="n">
        <v>44963</v>
      </c>
      <c r="C881" s="1" t="n">
        <v>45294</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6028-2023</t>
        </is>
      </c>
      <c r="B882" s="1" t="n">
        <v>44964</v>
      </c>
      <c r="C882" s="1" t="n">
        <v>45294</v>
      </c>
      <c r="D882" t="inlineStr">
        <is>
          <t>KALMAR LÄN</t>
        </is>
      </c>
      <c r="E882" t="inlineStr">
        <is>
          <t>VIMMERBY</t>
        </is>
      </c>
      <c r="G882" t="n">
        <v>2.5</v>
      </c>
      <c r="H882" t="n">
        <v>0</v>
      </c>
      <c r="I882" t="n">
        <v>0</v>
      </c>
      <c r="J882" t="n">
        <v>0</v>
      </c>
      <c r="K882" t="n">
        <v>0</v>
      </c>
      <c r="L882" t="n">
        <v>0</v>
      </c>
      <c r="M882" t="n">
        <v>0</v>
      </c>
      <c r="N882" t="n">
        <v>0</v>
      </c>
      <c r="O882" t="n">
        <v>0</v>
      </c>
      <c r="P882" t="n">
        <v>0</v>
      </c>
      <c r="Q882" t="n">
        <v>0</v>
      </c>
      <c r="R882" s="2" t="inlineStr"/>
    </row>
    <row r="883" ht="15" customHeight="1">
      <c r="A883" t="inlineStr">
        <is>
          <t>A 6066-2023</t>
        </is>
      </c>
      <c r="B883" s="1" t="n">
        <v>44964</v>
      </c>
      <c r="C883" s="1" t="n">
        <v>45294</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6017-2023</t>
        </is>
      </c>
      <c r="B884" s="1" t="n">
        <v>44964</v>
      </c>
      <c r="C884" s="1" t="n">
        <v>45294</v>
      </c>
      <c r="D884" t="inlineStr">
        <is>
          <t>KALMAR LÄN</t>
        </is>
      </c>
      <c r="E884" t="inlineStr">
        <is>
          <t>VIMMERBY</t>
        </is>
      </c>
      <c r="G884" t="n">
        <v>1.9</v>
      </c>
      <c r="H884" t="n">
        <v>0</v>
      </c>
      <c r="I884" t="n">
        <v>0</v>
      </c>
      <c r="J884" t="n">
        <v>0</v>
      </c>
      <c r="K884" t="n">
        <v>0</v>
      </c>
      <c r="L884" t="n">
        <v>0</v>
      </c>
      <c r="M884" t="n">
        <v>0</v>
      </c>
      <c r="N884" t="n">
        <v>0</v>
      </c>
      <c r="O884" t="n">
        <v>0</v>
      </c>
      <c r="P884" t="n">
        <v>0</v>
      </c>
      <c r="Q884" t="n">
        <v>0</v>
      </c>
      <c r="R884" s="2" t="inlineStr"/>
    </row>
    <row r="885" ht="15" customHeight="1">
      <c r="A885" t="inlineStr">
        <is>
          <t>A 6368-2023</t>
        </is>
      </c>
      <c r="B885" s="1" t="n">
        <v>44965</v>
      </c>
      <c r="C885" s="1" t="n">
        <v>45294</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6321-2023</t>
        </is>
      </c>
      <c r="B886" s="1" t="n">
        <v>44965</v>
      </c>
      <c r="C886" s="1" t="n">
        <v>45294</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6660-2023</t>
        </is>
      </c>
      <c r="B887" s="1" t="n">
        <v>44966</v>
      </c>
      <c r="C887" s="1" t="n">
        <v>45294</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6574-2023</t>
        </is>
      </c>
      <c r="B888" s="1" t="n">
        <v>44966</v>
      </c>
      <c r="C888" s="1" t="n">
        <v>45294</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6662-2023</t>
        </is>
      </c>
      <c r="B889" s="1" t="n">
        <v>44966</v>
      </c>
      <c r="C889" s="1" t="n">
        <v>45294</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6668-2023</t>
        </is>
      </c>
      <c r="B890" s="1" t="n">
        <v>44966</v>
      </c>
      <c r="C890" s="1" t="n">
        <v>45294</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6538-2023</t>
        </is>
      </c>
      <c r="B891" s="1" t="n">
        <v>44966</v>
      </c>
      <c r="C891" s="1" t="n">
        <v>45294</v>
      </c>
      <c r="D891" t="inlineStr">
        <is>
          <t>KALMAR LÄN</t>
        </is>
      </c>
      <c r="E891" t="inlineStr">
        <is>
          <t>VIMMERBY</t>
        </is>
      </c>
      <c r="G891" t="n">
        <v>4.5</v>
      </c>
      <c r="H891" t="n">
        <v>0</v>
      </c>
      <c r="I891" t="n">
        <v>0</v>
      </c>
      <c r="J891" t="n">
        <v>0</v>
      </c>
      <c r="K891" t="n">
        <v>0</v>
      </c>
      <c r="L891" t="n">
        <v>0</v>
      </c>
      <c r="M891" t="n">
        <v>0</v>
      </c>
      <c r="N891" t="n">
        <v>0</v>
      </c>
      <c r="O891" t="n">
        <v>0</v>
      </c>
      <c r="P891" t="n">
        <v>0</v>
      </c>
      <c r="Q891" t="n">
        <v>0</v>
      </c>
      <c r="R891" s="2" t="inlineStr"/>
    </row>
    <row r="892" ht="15" customHeight="1">
      <c r="A892" t="inlineStr">
        <is>
          <t>A 6857-2023</t>
        </is>
      </c>
      <c r="B892" s="1" t="n">
        <v>44967</v>
      </c>
      <c r="C892" s="1" t="n">
        <v>45294</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6850-2023</t>
        </is>
      </c>
      <c r="B893" s="1" t="n">
        <v>44967</v>
      </c>
      <c r="C893" s="1" t="n">
        <v>45294</v>
      </c>
      <c r="D893" t="inlineStr">
        <is>
          <t>KALMAR LÄN</t>
        </is>
      </c>
      <c r="E893" t="inlineStr">
        <is>
          <t>VIMMERBY</t>
        </is>
      </c>
      <c r="G893" t="n">
        <v>0.6</v>
      </c>
      <c r="H893" t="n">
        <v>0</v>
      </c>
      <c r="I893" t="n">
        <v>0</v>
      </c>
      <c r="J893" t="n">
        <v>0</v>
      </c>
      <c r="K893" t="n">
        <v>0</v>
      </c>
      <c r="L893" t="n">
        <v>0</v>
      </c>
      <c r="M893" t="n">
        <v>0</v>
      </c>
      <c r="N893" t="n">
        <v>0</v>
      </c>
      <c r="O893" t="n">
        <v>0</v>
      </c>
      <c r="P893" t="n">
        <v>0</v>
      </c>
      <c r="Q893" t="n">
        <v>0</v>
      </c>
      <c r="R893" s="2" t="inlineStr"/>
    </row>
    <row r="894" ht="15" customHeight="1">
      <c r="A894" t="inlineStr">
        <is>
          <t>A 7454-2023</t>
        </is>
      </c>
      <c r="B894" s="1" t="n">
        <v>44971</v>
      </c>
      <c r="C894" s="1" t="n">
        <v>45294</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7557-2023</t>
        </is>
      </c>
      <c r="B895" s="1" t="n">
        <v>44972</v>
      </c>
      <c r="C895" s="1" t="n">
        <v>45294</v>
      </c>
      <c r="D895" t="inlineStr">
        <is>
          <t>KALMAR LÄN</t>
        </is>
      </c>
      <c r="E895" t="inlineStr">
        <is>
          <t>VIMMERBY</t>
        </is>
      </c>
      <c r="G895" t="n">
        <v>4.6</v>
      </c>
      <c r="H895" t="n">
        <v>0</v>
      </c>
      <c r="I895" t="n">
        <v>0</v>
      </c>
      <c r="J895" t="n">
        <v>0</v>
      </c>
      <c r="K895" t="n">
        <v>0</v>
      </c>
      <c r="L895" t="n">
        <v>0</v>
      </c>
      <c r="M895" t="n">
        <v>0</v>
      </c>
      <c r="N895" t="n">
        <v>0</v>
      </c>
      <c r="O895" t="n">
        <v>0</v>
      </c>
      <c r="P895" t="n">
        <v>0</v>
      </c>
      <c r="Q895" t="n">
        <v>0</v>
      </c>
      <c r="R895" s="2" t="inlineStr"/>
    </row>
    <row r="896" ht="15" customHeight="1">
      <c r="A896" t="inlineStr">
        <is>
          <t>A 7594-2023</t>
        </is>
      </c>
      <c r="B896" s="1" t="n">
        <v>44972</v>
      </c>
      <c r="C896" s="1" t="n">
        <v>45294</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7797-2023</t>
        </is>
      </c>
      <c r="B897" s="1" t="n">
        <v>44973</v>
      </c>
      <c r="C897" s="1" t="n">
        <v>45294</v>
      </c>
      <c r="D897" t="inlineStr">
        <is>
          <t>KALMAR LÄN</t>
        </is>
      </c>
      <c r="E897" t="inlineStr">
        <is>
          <t>VIMMERBY</t>
        </is>
      </c>
      <c r="G897" t="n">
        <v>0.6</v>
      </c>
      <c r="H897" t="n">
        <v>0</v>
      </c>
      <c r="I897" t="n">
        <v>0</v>
      </c>
      <c r="J897" t="n">
        <v>0</v>
      </c>
      <c r="K897" t="n">
        <v>0</v>
      </c>
      <c r="L897" t="n">
        <v>0</v>
      </c>
      <c r="M897" t="n">
        <v>0</v>
      </c>
      <c r="N897" t="n">
        <v>0</v>
      </c>
      <c r="O897" t="n">
        <v>0</v>
      </c>
      <c r="P897" t="n">
        <v>0</v>
      </c>
      <c r="Q897" t="n">
        <v>0</v>
      </c>
      <c r="R897" s="2" t="inlineStr"/>
    </row>
    <row r="898" ht="15" customHeight="1">
      <c r="A898" t="inlineStr">
        <is>
          <t>A 7883-2023</t>
        </is>
      </c>
      <c r="B898" s="1" t="n">
        <v>44973</v>
      </c>
      <c r="C898" s="1" t="n">
        <v>45294</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7885-2023</t>
        </is>
      </c>
      <c r="B899" s="1" t="n">
        <v>44973</v>
      </c>
      <c r="C899" s="1" t="n">
        <v>45294</v>
      </c>
      <c r="D899" t="inlineStr">
        <is>
          <t>KALMAR LÄN</t>
        </is>
      </c>
      <c r="E899" t="inlineStr">
        <is>
          <t>VIMMERBY</t>
        </is>
      </c>
      <c r="G899" t="n">
        <v>2.8</v>
      </c>
      <c r="H899" t="n">
        <v>0</v>
      </c>
      <c r="I899" t="n">
        <v>0</v>
      </c>
      <c r="J899" t="n">
        <v>0</v>
      </c>
      <c r="K899" t="n">
        <v>0</v>
      </c>
      <c r="L899" t="n">
        <v>0</v>
      </c>
      <c r="M899" t="n">
        <v>0</v>
      </c>
      <c r="N899" t="n">
        <v>0</v>
      </c>
      <c r="O899" t="n">
        <v>0</v>
      </c>
      <c r="P899" t="n">
        <v>0</v>
      </c>
      <c r="Q899" t="n">
        <v>0</v>
      </c>
      <c r="R899" s="2" t="inlineStr"/>
    </row>
    <row r="900" ht="15" customHeight="1">
      <c r="A900" t="inlineStr">
        <is>
          <t>A 8219-2023</t>
        </is>
      </c>
      <c r="B900" s="1" t="n">
        <v>44974</v>
      </c>
      <c r="C900" s="1" t="n">
        <v>45294</v>
      </c>
      <c r="D900" t="inlineStr">
        <is>
          <t>KALMAR LÄN</t>
        </is>
      </c>
      <c r="E900" t="inlineStr">
        <is>
          <t>VIMMERBY</t>
        </is>
      </c>
      <c r="F900" t="inlineStr">
        <is>
          <t>Sveaskog</t>
        </is>
      </c>
      <c r="G900" t="n">
        <v>6.1</v>
      </c>
      <c r="H900" t="n">
        <v>0</v>
      </c>
      <c r="I900" t="n">
        <v>0</v>
      </c>
      <c r="J900" t="n">
        <v>0</v>
      </c>
      <c r="K900" t="n">
        <v>0</v>
      </c>
      <c r="L900" t="n">
        <v>0</v>
      </c>
      <c r="M900" t="n">
        <v>0</v>
      </c>
      <c r="N900" t="n">
        <v>0</v>
      </c>
      <c r="O900" t="n">
        <v>0</v>
      </c>
      <c r="P900" t="n">
        <v>0</v>
      </c>
      <c r="Q900" t="n">
        <v>0</v>
      </c>
      <c r="R900" s="2" t="inlineStr"/>
    </row>
    <row r="901" ht="15" customHeight="1">
      <c r="A901" t="inlineStr">
        <is>
          <t>A 8410-2023</t>
        </is>
      </c>
      <c r="B901" s="1" t="n">
        <v>44977</v>
      </c>
      <c r="C901" s="1" t="n">
        <v>45294</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9024-2023</t>
        </is>
      </c>
      <c r="B902" s="1" t="n">
        <v>44979</v>
      </c>
      <c r="C902" s="1" t="n">
        <v>45294</v>
      </c>
      <c r="D902" t="inlineStr">
        <is>
          <t>KALMAR LÄN</t>
        </is>
      </c>
      <c r="E902" t="inlineStr">
        <is>
          <t>VIMMERBY</t>
        </is>
      </c>
      <c r="G902" t="n">
        <v>5.2</v>
      </c>
      <c r="H902" t="n">
        <v>0</v>
      </c>
      <c r="I902" t="n">
        <v>0</v>
      </c>
      <c r="J902" t="n">
        <v>0</v>
      </c>
      <c r="K902" t="n">
        <v>0</v>
      </c>
      <c r="L902" t="n">
        <v>0</v>
      </c>
      <c r="M902" t="n">
        <v>0</v>
      </c>
      <c r="N902" t="n">
        <v>0</v>
      </c>
      <c r="O902" t="n">
        <v>0</v>
      </c>
      <c r="P902" t="n">
        <v>0</v>
      </c>
      <c r="Q902" t="n">
        <v>0</v>
      </c>
      <c r="R902" s="2" t="inlineStr"/>
    </row>
    <row r="903" ht="15" customHeight="1">
      <c r="A903" t="inlineStr">
        <is>
          <t>A 9113-2023</t>
        </is>
      </c>
      <c r="B903" s="1" t="n">
        <v>44979</v>
      </c>
      <c r="C903" s="1" t="n">
        <v>45294</v>
      </c>
      <c r="D903" t="inlineStr">
        <is>
          <t>KALMAR LÄN</t>
        </is>
      </c>
      <c r="E903" t="inlineStr">
        <is>
          <t>VIMMERBY</t>
        </is>
      </c>
      <c r="G903" t="n">
        <v>1.3</v>
      </c>
      <c r="H903" t="n">
        <v>0</v>
      </c>
      <c r="I903" t="n">
        <v>0</v>
      </c>
      <c r="J903" t="n">
        <v>0</v>
      </c>
      <c r="K903" t="n">
        <v>0</v>
      </c>
      <c r="L903" t="n">
        <v>0</v>
      </c>
      <c r="M903" t="n">
        <v>0</v>
      </c>
      <c r="N903" t="n">
        <v>0</v>
      </c>
      <c r="O903" t="n">
        <v>0</v>
      </c>
      <c r="P903" t="n">
        <v>0</v>
      </c>
      <c r="Q903" t="n">
        <v>0</v>
      </c>
      <c r="R903" s="2" t="inlineStr"/>
    </row>
    <row r="904" ht="15" customHeight="1">
      <c r="A904" t="inlineStr">
        <is>
          <t>A 9475-2023</t>
        </is>
      </c>
      <c r="B904" s="1" t="n">
        <v>44981</v>
      </c>
      <c r="C904" s="1" t="n">
        <v>45294</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9511-2023</t>
        </is>
      </c>
      <c r="B905" s="1" t="n">
        <v>44981</v>
      </c>
      <c r="C905" s="1" t="n">
        <v>45294</v>
      </c>
      <c r="D905" t="inlineStr">
        <is>
          <t>KALMAR LÄN</t>
        </is>
      </c>
      <c r="E905" t="inlineStr">
        <is>
          <t>VIMMERBY</t>
        </is>
      </c>
      <c r="G905" t="n">
        <v>3.5</v>
      </c>
      <c r="H905" t="n">
        <v>0</v>
      </c>
      <c r="I905" t="n">
        <v>0</v>
      </c>
      <c r="J905" t="n">
        <v>0</v>
      </c>
      <c r="K905" t="n">
        <v>0</v>
      </c>
      <c r="L905" t="n">
        <v>0</v>
      </c>
      <c r="M905" t="n">
        <v>0</v>
      </c>
      <c r="N905" t="n">
        <v>0</v>
      </c>
      <c r="O905" t="n">
        <v>0</v>
      </c>
      <c r="P905" t="n">
        <v>0</v>
      </c>
      <c r="Q905" t="n">
        <v>0</v>
      </c>
      <c r="R905" s="2" t="inlineStr"/>
    </row>
    <row r="906" ht="15" customHeight="1">
      <c r="A906" t="inlineStr">
        <is>
          <t>A 9644-2023</t>
        </is>
      </c>
      <c r="B906" s="1" t="n">
        <v>44984</v>
      </c>
      <c r="C906" s="1" t="n">
        <v>45294</v>
      </c>
      <c r="D906" t="inlineStr">
        <is>
          <t>KALMAR LÄN</t>
        </is>
      </c>
      <c r="E906" t="inlineStr">
        <is>
          <t>VIMMERBY</t>
        </is>
      </c>
      <c r="G906" t="n">
        <v>1.8</v>
      </c>
      <c r="H906" t="n">
        <v>0</v>
      </c>
      <c r="I906" t="n">
        <v>0</v>
      </c>
      <c r="J906" t="n">
        <v>0</v>
      </c>
      <c r="K906" t="n">
        <v>0</v>
      </c>
      <c r="L906" t="n">
        <v>0</v>
      </c>
      <c r="M906" t="n">
        <v>0</v>
      </c>
      <c r="N906" t="n">
        <v>0</v>
      </c>
      <c r="O906" t="n">
        <v>0</v>
      </c>
      <c r="P906" t="n">
        <v>0</v>
      </c>
      <c r="Q906" t="n">
        <v>0</v>
      </c>
      <c r="R906" s="2" t="inlineStr"/>
    </row>
    <row r="907" ht="15" customHeight="1">
      <c r="A907" t="inlineStr">
        <is>
          <t>A 9694-2023</t>
        </is>
      </c>
      <c r="B907" s="1" t="n">
        <v>44984</v>
      </c>
      <c r="C907" s="1" t="n">
        <v>45294</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9710-2023</t>
        </is>
      </c>
      <c r="B908" s="1" t="n">
        <v>44984</v>
      </c>
      <c r="C908" s="1" t="n">
        <v>45294</v>
      </c>
      <c r="D908" t="inlineStr">
        <is>
          <t>KALMAR LÄN</t>
        </is>
      </c>
      <c r="E908" t="inlineStr">
        <is>
          <t>VIMMERBY</t>
        </is>
      </c>
      <c r="G908" t="n">
        <v>3.7</v>
      </c>
      <c r="H908" t="n">
        <v>0</v>
      </c>
      <c r="I908" t="n">
        <v>0</v>
      </c>
      <c r="J908" t="n">
        <v>0</v>
      </c>
      <c r="K908" t="n">
        <v>0</v>
      </c>
      <c r="L908" t="n">
        <v>0</v>
      </c>
      <c r="M908" t="n">
        <v>0</v>
      </c>
      <c r="N908" t="n">
        <v>0</v>
      </c>
      <c r="O908" t="n">
        <v>0</v>
      </c>
      <c r="P908" t="n">
        <v>0</v>
      </c>
      <c r="Q908" t="n">
        <v>0</v>
      </c>
      <c r="R908" s="2" t="inlineStr"/>
    </row>
    <row r="909" ht="15" customHeight="1">
      <c r="A909" t="inlineStr">
        <is>
          <t>A 9720-2023</t>
        </is>
      </c>
      <c r="B909" s="1" t="n">
        <v>44984</v>
      </c>
      <c r="C909" s="1" t="n">
        <v>45294</v>
      </c>
      <c r="D909" t="inlineStr">
        <is>
          <t>KALMAR LÄN</t>
        </is>
      </c>
      <c r="E909" t="inlineStr">
        <is>
          <t>VIMMERBY</t>
        </is>
      </c>
      <c r="G909" t="n">
        <v>4.4</v>
      </c>
      <c r="H909" t="n">
        <v>0</v>
      </c>
      <c r="I909" t="n">
        <v>0</v>
      </c>
      <c r="J909" t="n">
        <v>0</v>
      </c>
      <c r="K909" t="n">
        <v>0</v>
      </c>
      <c r="L909" t="n">
        <v>0</v>
      </c>
      <c r="M909" t="n">
        <v>0</v>
      </c>
      <c r="N909" t="n">
        <v>0</v>
      </c>
      <c r="O909" t="n">
        <v>0</v>
      </c>
      <c r="P909" t="n">
        <v>0</v>
      </c>
      <c r="Q909" t="n">
        <v>0</v>
      </c>
      <c r="R909" s="2" t="inlineStr"/>
    </row>
    <row r="910" ht="15" customHeight="1">
      <c r="A910" t="inlineStr">
        <is>
          <t>A 9643-2023</t>
        </is>
      </c>
      <c r="B910" s="1" t="n">
        <v>44984</v>
      </c>
      <c r="C910" s="1" t="n">
        <v>45294</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10444-2023</t>
        </is>
      </c>
      <c r="B911" s="1" t="n">
        <v>44987</v>
      </c>
      <c r="C911" s="1" t="n">
        <v>45294</v>
      </c>
      <c r="D911" t="inlineStr">
        <is>
          <t>KALMAR LÄN</t>
        </is>
      </c>
      <c r="E911" t="inlineStr">
        <is>
          <t>VIMMERBY</t>
        </is>
      </c>
      <c r="G911" t="n">
        <v>7.4</v>
      </c>
      <c r="H911" t="n">
        <v>0</v>
      </c>
      <c r="I911" t="n">
        <v>0</v>
      </c>
      <c r="J911" t="n">
        <v>0</v>
      </c>
      <c r="K911" t="n">
        <v>0</v>
      </c>
      <c r="L911" t="n">
        <v>0</v>
      </c>
      <c r="M911" t="n">
        <v>0</v>
      </c>
      <c r="N911" t="n">
        <v>0</v>
      </c>
      <c r="O911" t="n">
        <v>0</v>
      </c>
      <c r="P911" t="n">
        <v>0</v>
      </c>
      <c r="Q911" t="n">
        <v>0</v>
      </c>
      <c r="R911" s="2" t="inlineStr"/>
    </row>
    <row r="912" ht="15" customHeight="1">
      <c r="A912" t="inlineStr">
        <is>
          <t>A 10424-2023</t>
        </is>
      </c>
      <c r="B912" s="1" t="n">
        <v>44987</v>
      </c>
      <c r="C912" s="1" t="n">
        <v>45294</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10439-2023</t>
        </is>
      </c>
      <c r="B913" s="1" t="n">
        <v>44987</v>
      </c>
      <c r="C913" s="1" t="n">
        <v>45294</v>
      </c>
      <c r="D913" t="inlineStr">
        <is>
          <t>KALMAR LÄN</t>
        </is>
      </c>
      <c r="E913" t="inlineStr">
        <is>
          <t>VIMMERBY</t>
        </is>
      </c>
      <c r="G913" t="n">
        <v>2.9</v>
      </c>
      <c r="H913" t="n">
        <v>0</v>
      </c>
      <c r="I913" t="n">
        <v>0</v>
      </c>
      <c r="J913" t="n">
        <v>0</v>
      </c>
      <c r="K913" t="n">
        <v>0</v>
      </c>
      <c r="L913" t="n">
        <v>0</v>
      </c>
      <c r="M913" t="n">
        <v>0</v>
      </c>
      <c r="N913" t="n">
        <v>0</v>
      </c>
      <c r="O913" t="n">
        <v>0</v>
      </c>
      <c r="P913" t="n">
        <v>0</v>
      </c>
      <c r="Q913" t="n">
        <v>0</v>
      </c>
      <c r="R913" s="2" t="inlineStr"/>
    </row>
    <row r="914" ht="15" customHeight="1">
      <c r="A914" t="inlineStr">
        <is>
          <t>A 10759-2023</t>
        </is>
      </c>
      <c r="B914" s="1" t="n">
        <v>44988</v>
      </c>
      <c r="C914" s="1" t="n">
        <v>45294</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10800-2023</t>
        </is>
      </c>
      <c r="B915" s="1" t="n">
        <v>44989</v>
      </c>
      <c r="C915" s="1" t="n">
        <v>45294</v>
      </c>
      <c r="D915" t="inlineStr">
        <is>
          <t>KALMAR LÄN</t>
        </is>
      </c>
      <c r="E915" t="inlineStr">
        <is>
          <t>VIMMERBY</t>
        </is>
      </c>
      <c r="G915" t="n">
        <v>1.2</v>
      </c>
      <c r="H915" t="n">
        <v>0</v>
      </c>
      <c r="I915" t="n">
        <v>0</v>
      </c>
      <c r="J915" t="n">
        <v>0</v>
      </c>
      <c r="K915" t="n">
        <v>0</v>
      </c>
      <c r="L915" t="n">
        <v>0</v>
      </c>
      <c r="M915" t="n">
        <v>0</v>
      </c>
      <c r="N915" t="n">
        <v>0</v>
      </c>
      <c r="O915" t="n">
        <v>0</v>
      </c>
      <c r="P915" t="n">
        <v>0</v>
      </c>
      <c r="Q915" t="n">
        <v>0</v>
      </c>
      <c r="R915" s="2" t="inlineStr"/>
    </row>
    <row r="916" ht="15" customHeight="1">
      <c r="A916" t="inlineStr">
        <is>
          <t>A 10821-2023</t>
        </is>
      </c>
      <c r="B916" s="1" t="n">
        <v>44990</v>
      </c>
      <c r="C916" s="1" t="n">
        <v>45294</v>
      </c>
      <c r="D916" t="inlineStr">
        <is>
          <t>KALMAR LÄN</t>
        </is>
      </c>
      <c r="E916" t="inlineStr">
        <is>
          <t>VIMMERBY</t>
        </is>
      </c>
      <c r="G916" t="n">
        <v>4.3</v>
      </c>
      <c r="H916" t="n">
        <v>0</v>
      </c>
      <c r="I916" t="n">
        <v>0</v>
      </c>
      <c r="J916" t="n">
        <v>0</v>
      </c>
      <c r="K916" t="n">
        <v>0</v>
      </c>
      <c r="L916" t="n">
        <v>0</v>
      </c>
      <c r="M916" t="n">
        <v>0</v>
      </c>
      <c r="N916" t="n">
        <v>0</v>
      </c>
      <c r="O916" t="n">
        <v>0</v>
      </c>
      <c r="P916" t="n">
        <v>0</v>
      </c>
      <c r="Q916" t="n">
        <v>0</v>
      </c>
      <c r="R916" s="2" t="inlineStr"/>
    </row>
    <row r="917" ht="15" customHeight="1">
      <c r="A917" t="inlineStr">
        <is>
          <t>A 10837-2023</t>
        </is>
      </c>
      <c r="B917" s="1" t="n">
        <v>44991</v>
      </c>
      <c r="C917" s="1" t="n">
        <v>45294</v>
      </c>
      <c r="D917" t="inlineStr">
        <is>
          <t>KALMAR LÄN</t>
        </is>
      </c>
      <c r="E917" t="inlineStr">
        <is>
          <t>VIMMERBY</t>
        </is>
      </c>
      <c r="G917" t="n">
        <v>7.3</v>
      </c>
      <c r="H917" t="n">
        <v>0</v>
      </c>
      <c r="I917" t="n">
        <v>0</v>
      </c>
      <c r="J917" t="n">
        <v>0</v>
      </c>
      <c r="K917" t="n">
        <v>0</v>
      </c>
      <c r="L917" t="n">
        <v>0</v>
      </c>
      <c r="M917" t="n">
        <v>0</v>
      </c>
      <c r="N917" t="n">
        <v>0</v>
      </c>
      <c r="O917" t="n">
        <v>0</v>
      </c>
      <c r="P917" t="n">
        <v>0</v>
      </c>
      <c r="Q917" t="n">
        <v>0</v>
      </c>
      <c r="R917" s="2" t="inlineStr"/>
    </row>
    <row r="918" ht="15" customHeight="1">
      <c r="A918" t="inlineStr">
        <is>
          <t>A 10835-2023</t>
        </is>
      </c>
      <c r="B918" s="1" t="n">
        <v>44991</v>
      </c>
      <c r="C918" s="1" t="n">
        <v>45294</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10838-2023</t>
        </is>
      </c>
      <c r="B919" s="1" t="n">
        <v>44991</v>
      </c>
      <c r="C919" s="1" t="n">
        <v>45294</v>
      </c>
      <c r="D919" t="inlineStr">
        <is>
          <t>KALMAR LÄN</t>
        </is>
      </c>
      <c r="E919" t="inlineStr">
        <is>
          <t>VIMMERBY</t>
        </is>
      </c>
      <c r="G919" t="n">
        <v>5.1</v>
      </c>
      <c r="H919" t="n">
        <v>0</v>
      </c>
      <c r="I919" t="n">
        <v>0</v>
      </c>
      <c r="J919" t="n">
        <v>0</v>
      </c>
      <c r="K919" t="n">
        <v>0</v>
      </c>
      <c r="L919" t="n">
        <v>0</v>
      </c>
      <c r="M919" t="n">
        <v>0</v>
      </c>
      <c r="N919" t="n">
        <v>0</v>
      </c>
      <c r="O919" t="n">
        <v>0</v>
      </c>
      <c r="P919" t="n">
        <v>0</v>
      </c>
      <c r="Q919" t="n">
        <v>0</v>
      </c>
      <c r="R919" s="2" t="inlineStr"/>
    </row>
    <row r="920" ht="15" customHeight="1">
      <c r="A920" t="inlineStr">
        <is>
          <t>A 11027-2023</t>
        </is>
      </c>
      <c r="B920" s="1" t="n">
        <v>44991</v>
      </c>
      <c r="C920" s="1" t="n">
        <v>45294</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11076-2023</t>
        </is>
      </c>
      <c r="B921" s="1" t="n">
        <v>44992</v>
      </c>
      <c r="C921" s="1" t="n">
        <v>45294</v>
      </c>
      <c r="D921" t="inlineStr">
        <is>
          <t>KALMAR LÄN</t>
        </is>
      </c>
      <c r="E921" t="inlineStr">
        <is>
          <t>VIMMERBY</t>
        </is>
      </c>
      <c r="G921" t="n">
        <v>6.1</v>
      </c>
      <c r="H921" t="n">
        <v>0</v>
      </c>
      <c r="I921" t="n">
        <v>0</v>
      </c>
      <c r="J921" t="n">
        <v>0</v>
      </c>
      <c r="K921" t="n">
        <v>0</v>
      </c>
      <c r="L921" t="n">
        <v>0</v>
      </c>
      <c r="M921" t="n">
        <v>0</v>
      </c>
      <c r="N921" t="n">
        <v>0</v>
      </c>
      <c r="O921" t="n">
        <v>0</v>
      </c>
      <c r="P921" t="n">
        <v>0</v>
      </c>
      <c r="Q921" t="n">
        <v>0</v>
      </c>
      <c r="R921" s="2" t="inlineStr"/>
    </row>
    <row r="922" ht="15" customHeight="1">
      <c r="A922" t="inlineStr">
        <is>
          <t>A 11073-2023</t>
        </is>
      </c>
      <c r="B922" s="1" t="n">
        <v>44992</v>
      </c>
      <c r="C922" s="1" t="n">
        <v>45294</v>
      </c>
      <c r="D922" t="inlineStr">
        <is>
          <t>KALMAR LÄN</t>
        </is>
      </c>
      <c r="E922" t="inlineStr">
        <is>
          <t>VIMMERBY</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11147-2023</t>
        </is>
      </c>
      <c r="B923" s="1" t="n">
        <v>44992</v>
      </c>
      <c r="C923" s="1" t="n">
        <v>45294</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11111-2023</t>
        </is>
      </c>
      <c r="B924" s="1" t="n">
        <v>44992</v>
      </c>
      <c r="C924" s="1" t="n">
        <v>45294</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11152-2023</t>
        </is>
      </c>
      <c r="B925" s="1" t="n">
        <v>44992</v>
      </c>
      <c r="C925" s="1" t="n">
        <v>45294</v>
      </c>
      <c r="D925" t="inlineStr">
        <is>
          <t>KALMAR LÄN</t>
        </is>
      </c>
      <c r="E925" t="inlineStr">
        <is>
          <t>VIMMERBY</t>
        </is>
      </c>
      <c r="G925" t="n">
        <v>10.6</v>
      </c>
      <c r="H925" t="n">
        <v>0</v>
      </c>
      <c r="I925" t="n">
        <v>0</v>
      </c>
      <c r="J925" t="n">
        <v>0</v>
      </c>
      <c r="K925" t="n">
        <v>0</v>
      </c>
      <c r="L925" t="n">
        <v>0</v>
      </c>
      <c r="M925" t="n">
        <v>0</v>
      </c>
      <c r="N925" t="n">
        <v>0</v>
      </c>
      <c r="O925" t="n">
        <v>0</v>
      </c>
      <c r="P925" t="n">
        <v>0</v>
      </c>
      <c r="Q925" t="n">
        <v>0</v>
      </c>
      <c r="R925" s="2" t="inlineStr"/>
    </row>
    <row r="926" ht="15" customHeight="1">
      <c r="A926" t="inlineStr">
        <is>
          <t>A 11074-2023</t>
        </is>
      </c>
      <c r="B926" s="1" t="n">
        <v>44992</v>
      </c>
      <c r="C926" s="1" t="n">
        <v>45294</v>
      </c>
      <c r="D926" t="inlineStr">
        <is>
          <t>KALMAR LÄN</t>
        </is>
      </c>
      <c r="E926" t="inlineStr">
        <is>
          <t>VIMMERBY</t>
        </is>
      </c>
      <c r="F926" t="inlineStr">
        <is>
          <t>Sveaskog</t>
        </is>
      </c>
      <c r="G926" t="n">
        <v>3.1</v>
      </c>
      <c r="H926" t="n">
        <v>0</v>
      </c>
      <c r="I926" t="n">
        <v>0</v>
      </c>
      <c r="J926" t="n">
        <v>0</v>
      </c>
      <c r="K926" t="n">
        <v>0</v>
      </c>
      <c r="L926" t="n">
        <v>0</v>
      </c>
      <c r="M926" t="n">
        <v>0</v>
      </c>
      <c r="N926" t="n">
        <v>0</v>
      </c>
      <c r="O926" t="n">
        <v>0</v>
      </c>
      <c r="P926" t="n">
        <v>0</v>
      </c>
      <c r="Q926" t="n">
        <v>0</v>
      </c>
      <c r="R926" s="2" t="inlineStr"/>
    </row>
    <row r="927" ht="15" customHeight="1">
      <c r="A927" t="inlineStr">
        <is>
          <t>A 11219-2023</t>
        </is>
      </c>
      <c r="B927" s="1" t="n">
        <v>44992</v>
      </c>
      <c r="C927" s="1" t="n">
        <v>45294</v>
      </c>
      <c r="D927" t="inlineStr">
        <is>
          <t>KALMAR LÄN</t>
        </is>
      </c>
      <c r="E927" t="inlineStr">
        <is>
          <t>VIMMERBY</t>
        </is>
      </c>
      <c r="G927" t="n">
        <v>2.5</v>
      </c>
      <c r="H927" t="n">
        <v>0</v>
      </c>
      <c r="I927" t="n">
        <v>0</v>
      </c>
      <c r="J927" t="n">
        <v>0</v>
      </c>
      <c r="K927" t="n">
        <v>0</v>
      </c>
      <c r="L927" t="n">
        <v>0</v>
      </c>
      <c r="M927" t="n">
        <v>0</v>
      </c>
      <c r="N927" t="n">
        <v>0</v>
      </c>
      <c r="O927" t="n">
        <v>0</v>
      </c>
      <c r="P927" t="n">
        <v>0</v>
      </c>
      <c r="Q927" t="n">
        <v>0</v>
      </c>
      <c r="R927" s="2" t="inlineStr"/>
    </row>
    <row r="928" ht="15" customHeight="1">
      <c r="A928" t="inlineStr">
        <is>
          <t>A 11416-2023</t>
        </is>
      </c>
      <c r="B928" s="1" t="n">
        <v>44993</v>
      </c>
      <c r="C928" s="1" t="n">
        <v>45294</v>
      </c>
      <c r="D928" t="inlineStr">
        <is>
          <t>KALMAR LÄN</t>
        </is>
      </c>
      <c r="E928" t="inlineStr">
        <is>
          <t>VIMMERBY</t>
        </is>
      </c>
      <c r="G928" t="n">
        <v>1.8</v>
      </c>
      <c r="H928" t="n">
        <v>0</v>
      </c>
      <c r="I928" t="n">
        <v>0</v>
      </c>
      <c r="J928" t="n">
        <v>0</v>
      </c>
      <c r="K928" t="n">
        <v>0</v>
      </c>
      <c r="L928" t="n">
        <v>0</v>
      </c>
      <c r="M928" t="n">
        <v>0</v>
      </c>
      <c r="N928" t="n">
        <v>0</v>
      </c>
      <c r="O928" t="n">
        <v>0</v>
      </c>
      <c r="P928" t="n">
        <v>0</v>
      </c>
      <c r="Q928" t="n">
        <v>0</v>
      </c>
      <c r="R928" s="2" t="inlineStr"/>
    </row>
    <row r="929" ht="15" customHeight="1">
      <c r="A929" t="inlineStr">
        <is>
          <t>A 11619-2023</t>
        </is>
      </c>
      <c r="B929" s="1" t="n">
        <v>44994</v>
      </c>
      <c r="C929" s="1" t="n">
        <v>45294</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11609-2023</t>
        </is>
      </c>
      <c r="B930" s="1" t="n">
        <v>44994</v>
      </c>
      <c r="C930" s="1" t="n">
        <v>45294</v>
      </c>
      <c r="D930" t="inlineStr">
        <is>
          <t>KALMAR LÄN</t>
        </is>
      </c>
      <c r="E930" t="inlineStr">
        <is>
          <t>VIMMERBY</t>
        </is>
      </c>
      <c r="G930" t="n">
        <v>4.9</v>
      </c>
      <c r="H930" t="n">
        <v>0</v>
      </c>
      <c r="I930" t="n">
        <v>0</v>
      </c>
      <c r="J930" t="n">
        <v>0</v>
      </c>
      <c r="K930" t="n">
        <v>0</v>
      </c>
      <c r="L930" t="n">
        <v>0</v>
      </c>
      <c r="M930" t="n">
        <v>0</v>
      </c>
      <c r="N930" t="n">
        <v>0</v>
      </c>
      <c r="O930" t="n">
        <v>0</v>
      </c>
      <c r="P930" t="n">
        <v>0</v>
      </c>
      <c r="Q930" t="n">
        <v>0</v>
      </c>
      <c r="R930" s="2" t="inlineStr"/>
    </row>
    <row r="931" ht="15" customHeight="1">
      <c r="A931" t="inlineStr">
        <is>
          <t>A 11661-2023</t>
        </is>
      </c>
      <c r="B931" s="1" t="n">
        <v>44994</v>
      </c>
      <c r="C931" s="1" t="n">
        <v>45294</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12008-2023</t>
        </is>
      </c>
      <c r="B932" s="1" t="n">
        <v>44995</v>
      </c>
      <c r="C932" s="1" t="n">
        <v>45294</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11999-2023</t>
        </is>
      </c>
      <c r="B933" s="1" t="n">
        <v>44995</v>
      </c>
      <c r="C933" s="1" t="n">
        <v>45294</v>
      </c>
      <c r="D933" t="inlineStr">
        <is>
          <t>KALMAR LÄN</t>
        </is>
      </c>
      <c r="E933" t="inlineStr">
        <is>
          <t>VIMMERBY</t>
        </is>
      </c>
      <c r="G933" t="n">
        <v>2.2</v>
      </c>
      <c r="H933" t="n">
        <v>0</v>
      </c>
      <c r="I933" t="n">
        <v>0</v>
      </c>
      <c r="J933" t="n">
        <v>0</v>
      </c>
      <c r="K933" t="n">
        <v>0</v>
      </c>
      <c r="L933" t="n">
        <v>0</v>
      </c>
      <c r="M933" t="n">
        <v>0</v>
      </c>
      <c r="N933" t="n">
        <v>0</v>
      </c>
      <c r="O933" t="n">
        <v>0</v>
      </c>
      <c r="P933" t="n">
        <v>0</v>
      </c>
      <c r="Q933" t="n">
        <v>0</v>
      </c>
      <c r="R933" s="2" t="inlineStr"/>
    </row>
    <row r="934" ht="15" customHeight="1">
      <c r="A934" t="inlineStr">
        <is>
          <t>A 12012-2023</t>
        </is>
      </c>
      <c r="B934" s="1" t="n">
        <v>44995</v>
      </c>
      <c r="C934" s="1" t="n">
        <v>45294</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12010-2023</t>
        </is>
      </c>
      <c r="B935" s="1" t="n">
        <v>44995</v>
      </c>
      <c r="C935" s="1" t="n">
        <v>45294</v>
      </c>
      <c r="D935" t="inlineStr">
        <is>
          <t>KALMAR LÄN</t>
        </is>
      </c>
      <c r="E935" t="inlineStr">
        <is>
          <t>VIMMERBY</t>
        </is>
      </c>
      <c r="G935" t="n">
        <v>0.9</v>
      </c>
      <c r="H935" t="n">
        <v>0</v>
      </c>
      <c r="I935" t="n">
        <v>0</v>
      </c>
      <c r="J935" t="n">
        <v>0</v>
      </c>
      <c r="K935" t="n">
        <v>0</v>
      </c>
      <c r="L935" t="n">
        <v>0</v>
      </c>
      <c r="M935" t="n">
        <v>0</v>
      </c>
      <c r="N935" t="n">
        <v>0</v>
      </c>
      <c r="O935" t="n">
        <v>0</v>
      </c>
      <c r="P935" t="n">
        <v>0</v>
      </c>
      <c r="Q935" t="n">
        <v>0</v>
      </c>
      <c r="R935" s="2" t="inlineStr"/>
    </row>
    <row r="936" ht="15" customHeight="1">
      <c r="A936" t="inlineStr">
        <is>
          <t>A 12325-2023</t>
        </is>
      </c>
      <c r="B936" s="1" t="n">
        <v>44999</v>
      </c>
      <c r="C936" s="1" t="n">
        <v>45294</v>
      </c>
      <c r="D936" t="inlineStr">
        <is>
          <t>KALMAR LÄN</t>
        </is>
      </c>
      <c r="E936" t="inlineStr">
        <is>
          <t>VIMMERBY</t>
        </is>
      </c>
      <c r="G936" t="n">
        <v>3.4</v>
      </c>
      <c r="H936" t="n">
        <v>0</v>
      </c>
      <c r="I936" t="n">
        <v>0</v>
      </c>
      <c r="J936" t="n">
        <v>0</v>
      </c>
      <c r="K936" t="n">
        <v>0</v>
      </c>
      <c r="L936" t="n">
        <v>0</v>
      </c>
      <c r="M936" t="n">
        <v>0</v>
      </c>
      <c r="N936" t="n">
        <v>0</v>
      </c>
      <c r="O936" t="n">
        <v>0</v>
      </c>
      <c r="P936" t="n">
        <v>0</v>
      </c>
      <c r="Q936" t="n">
        <v>0</v>
      </c>
      <c r="R936" s="2" t="inlineStr"/>
    </row>
    <row r="937" ht="15" customHeight="1">
      <c r="A937" t="inlineStr">
        <is>
          <t>A 12327-2023</t>
        </is>
      </c>
      <c r="B937" s="1" t="n">
        <v>44999</v>
      </c>
      <c r="C937" s="1" t="n">
        <v>45294</v>
      </c>
      <c r="D937" t="inlineStr">
        <is>
          <t>KALMAR LÄN</t>
        </is>
      </c>
      <c r="E937" t="inlineStr">
        <is>
          <t>VIMMERBY</t>
        </is>
      </c>
      <c r="G937" t="n">
        <v>1.2</v>
      </c>
      <c r="H937" t="n">
        <v>0</v>
      </c>
      <c r="I937" t="n">
        <v>0</v>
      </c>
      <c r="J937" t="n">
        <v>0</v>
      </c>
      <c r="K937" t="n">
        <v>0</v>
      </c>
      <c r="L937" t="n">
        <v>0</v>
      </c>
      <c r="M937" t="n">
        <v>0</v>
      </c>
      <c r="N937" t="n">
        <v>0</v>
      </c>
      <c r="O937" t="n">
        <v>0</v>
      </c>
      <c r="P937" t="n">
        <v>0</v>
      </c>
      <c r="Q937" t="n">
        <v>0</v>
      </c>
      <c r="R937" s="2" t="inlineStr"/>
    </row>
    <row r="938" ht="15" customHeight="1">
      <c r="A938" t="inlineStr">
        <is>
          <t>A 12499-2023</t>
        </is>
      </c>
      <c r="B938" s="1" t="n">
        <v>44999</v>
      </c>
      <c r="C938" s="1" t="n">
        <v>45294</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12500-2023</t>
        </is>
      </c>
      <c r="B939" s="1" t="n">
        <v>44999</v>
      </c>
      <c r="C939" s="1" t="n">
        <v>45294</v>
      </c>
      <c r="D939" t="inlineStr">
        <is>
          <t>KALMAR LÄN</t>
        </is>
      </c>
      <c r="E939" t="inlineStr">
        <is>
          <t>VIMMERBY</t>
        </is>
      </c>
      <c r="G939" t="n">
        <v>0.5</v>
      </c>
      <c r="H939" t="n">
        <v>0</v>
      </c>
      <c r="I939" t="n">
        <v>0</v>
      </c>
      <c r="J939" t="n">
        <v>0</v>
      </c>
      <c r="K939" t="n">
        <v>0</v>
      </c>
      <c r="L939" t="n">
        <v>0</v>
      </c>
      <c r="M939" t="n">
        <v>0</v>
      </c>
      <c r="N939" t="n">
        <v>0</v>
      </c>
      <c r="O939" t="n">
        <v>0</v>
      </c>
      <c r="P939" t="n">
        <v>0</v>
      </c>
      <c r="Q939" t="n">
        <v>0</v>
      </c>
      <c r="R939" s="2" t="inlineStr"/>
    </row>
    <row r="940" ht="15" customHeight="1">
      <c r="A940" t="inlineStr">
        <is>
          <t>A 12630-2023</t>
        </is>
      </c>
      <c r="B940" s="1" t="n">
        <v>45000</v>
      </c>
      <c r="C940" s="1" t="n">
        <v>45294</v>
      </c>
      <c r="D940" t="inlineStr">
        <is>
          <t>KALMAR LÄN</t>
        </is>
      </c>
      <c r="E940" t="inlineStr">
        <is>
          <t>VIMMERBY</t>
        </is>
      </c>
      <c r="G940" t="n">
        <v>2.1</v>
      </c>
      <c r="H940" t="n">
        <v>0</v>
      </c>
      <c r="I940" t="n">
        <v>0</v>
      </c>
      <c r="J940" t="n">
        <v>0</v>
      </c>
      <c r="K940" t="n">
        <v>0</v>
      </c>
      <c r="L940" t="n">
        <v>0</v>
      </c>
      <c r="M940" t="n">
        <v>0</v>
      </c>
      <c r="N940" t="n">
        <v>0</v>
      </c>
      <c r="O940" t="n">
        <v>0</v>
      </c>
      <c r="P940" t="n">
        <v>0</v>
      </c>
      <c r="Q940" t="n">
        <v>0</v>
      </c>
      <c r="R940" s="2" t="inlineStr"/>
    </row>
    <row r="941" ht="15" customHeight="1">
      <c r="A941" t="inlineStr">
        <is>
          <t>A 12692-2023</t>
        </is>
      </c>
      <c r="B941" s="1" t="n">
        <v>45000</v>
      </c>
      <c r="C941" s="1" t="n">
        <v>45294</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12810-2023</t>
        </is>
      </c>
      <c r="B942" s="1" t="n">
        <v>45001</v>
      </c>
      <c r="C942" s="1" t="n">
        <v>45294</v>
      </c>
      <c r="D942" t="inlineStr">
        <is>
          <t>KALMAR LÄN</t>
        </is>
      </c>
      <c r="E942" t="inlineStr">
        <is>
          <t>VIMMERBY</t>
        </is>
      </c>
      <c r="G942" t="n">
        <v>1.5</v>
      </c>
      <c r="H942" t="n">
        <v>0</v>
      </c>
      <c r="I942" t="n">
        <v>0</v>
      </c>
      <c r="J942" t="n">
        <v>0</v>
      </c>
      <c r="K942" t="n">
        <v>0</v>
      </c>
      <c r="L942" t="n">
        <v>0</v>
      </c>
      <c r="M942" t="n">
        <v>0</v>
      </c>
      <c r="N942" t="n">
        <v>0</v>
      </c>
      <c r="O942" t="n">
        <v>0</v>
      </c>
      <c r="P942" t="n">
        <v>0</v>
      </c>
      <c r="Q942" t="n">
        <v>0</v>
      </c>
      <c r="R942" s="2" t="inlineStr"/>
    </row>
    <row r="943" ht="15" customHeight="1">
      <c r="A943" t="inlineStr">
        <is>
          <t>A 12890-2023</t>
        </is>
      </c>
      <c r="B943" s="1" t="n">
        <v>45001</v>
      </c>
      <c r="C943" s="1" t="n">
        <v>45294</v>
      </c>
      <c r="D943" t="inlineStr">
        <is>
          <t>KALMAR LÄN</t>
        </is>
      </c>
      <c r="E943" t="inlineStr">
        <is>
          <t>VIMMERBY</t>
        </is>
      </c>
      <c r="G943" t="n">
        <v>2.8</v>
      </c>
      <c r="H943" t="n">
        <v>0</v>
      </c>
      <c r="I943" t="n">
        <v>0</v>
      </c>
      <c r="J943" t="n">
        <v>0</v>
      </c>
      <c r="K943" t="n">
        <v>0</v>
      </c>
      <c r="L943" t="n">
        <v>0</v>
      </c>
      <c r="M943" t="n">
        <v>0</v>
      </c>
      <c r="N943" t="n">
        <v>0</v>
      </c>
      <c r="O943" t="n">
        <v>0</v>
      </c>
      <c r="P943" t="n">
        <v>0</v>
      </c>
      <c r="Q943" t="n">
        <v>0</v>
      </c>
      <c r="R943" s="2" t="inlineStr"/>
    </row>
    <row r="944" ht="15" customHeight="1">
      <c r="A944" t="inlineStr">
        <is>
          <t>A 13015-2023</t>
        </is>
      </c>
      <c r="B944" s="1" t="n">
        <v>45002</v>
      </c>
      <c r="C944" s="1" t="n">
        <v>45294</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13462-2023</t>
        </is>
      </c>
      <c r="B945" s="1" t="n">
        <v>45005</v>
      </c>
      <c r="C945" s="1" t="n">
        <v>45294</v>
      </c>
      <c r="D945" t="inlineStr">
        <is>
          <t>KALMAR LÄN</t>
        </is>
      </c>
      <c r="E945" t="inlineStr">
        <is>
          <t>VIMMERBY</t>
        </is>
      </c>
      <c r="G945" t="n">
        <v>1.9</v>
      </c>
      <c r="H945" t="n">
        <v>0</v>
      </c>
      <c r="I945" t="n">
        <v>0</v>
      </c>
      <c r="J945" t="n">
        <v>0</v>
      </c>
      <c r="K945" t="n">
        <v>0</v>
      </c>
      <c r="L945" t="n">
        <v>0</v>
      </c>
      <c r="M945" t="n">
        <v>0</v>
      </c>
      <c r="N945" t="n">
        <v>0</v>
      </c>
      <c r="O945" t="n">
        <v>0</v>
      </c>
      <c r="P945" t="n">
        <v>0</v>
      </c>
      <c r="Q945" t="n">
        <v>0</v>
      </c>
      <c r="R945" s="2" t="inlineStr"/>
    </row>
    <row r="946" ht="15" customHeight="1">
      <c r="A946" t="inlineStr">
        <is>
          <t>A 13797-2023</t>
        </is>
      </c>
      <c r="B946" s="1" t="n">
        <v>45007</v>
      </c>
      <c r="C946" s="1" t="n">
        <v>45294</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14025-2023</t>
        </is>
      </c>
      <c r="B947" s="1" t="n">
        <v>45008</v>
      </c>
      <c r="C947" s="1" t="n">
        <v>45294</v>
      </c>
      <c r="D947" t="inlineStr">
        <is>
          <t>KALMAR LÄN</t>
        </is>
      </c>
      <c r="E947" t="inlineStr">
        <is>
          <t>VIMMERBY</t>
        </is>
      </c>
      <c r="G947" t="n">
        <v>1.1</v>
      </c>
      <c r="H947" t="n">
        <v>0</v>
      </c>
      <c r="I947" t="n">
        <v>0</v>
      </c>
      <c r="J947" t="n">
        <v>0</v>
      </c>
      <c r="K947" t="n">
        <v>0</v>
      </c>
      <c r="L947" t="n">
        <v>0</v>
      </c>
      <c r="M947" t="n">
        <v>0</v>
      </c>
      <c r="N947" t="n">
        <v>0</v>
      </c>
      <c r="O947" t="n">
        <v>0</v>
      </c>
      <c r="P947" t="n">
        <v>0</v>
      </c>
      <c r="Q947" t="n">
        <v>0</v>
      </c>
      <c r="R947" s="2" t="inlineStr"/>
    </row>
    <row r="948" ht="15" customHeight="1">
      <c r="A948" t="inlineStr">
        <is>
          <t>A 14132-2023</t>
        </is>
      </c>
      <c r="B948" s="1" t="n">
        <v>45009</v>
      </c>
      <c r="C948" s="1" t="n">
        <v>45294</v>
      </c>
      <c r="D948" t="inlineStr">
        <is>
          <t>KALMAR LÄN</t>
        </is>
      </c>
      <c r="E948" t="inlineStr">
        <is>
          <t>VIMMERBY</t>
        </is>
      </c>
      <c r="G948" t="n">
        <v>1.6</v>
      </c>
      <c r="H948" t="n">
        <v>0</v>
      </c>
      <c r="I948" t="n">
        <v>0</v>
      </c>
      <c r="J948" t="n">
        <v>0</v>
      </c>
      <c r="K948" t="n">
        <v>0</v>
      </c>
      <c r="L948" t="n">
        <v>0</v>
      </c>
      <c r="M948" t="n">
        <v>0</v>
      </c>
      <c r="N948" t="n">
        <v>0</v>
      </c>
      <c r="O948" t="n">
        <v>0</v>
      </c>
      <c r="P948" t="n">
        <v>0</v>
      </c>
      <c r="Q948" t="n">
        <v>0</v>
      </c>
      <c r="R948" s="2" t="inlineStr"/>
    </row>
    <row r="949" ht="15" customHeight="1">
      <c r="A949" t="inlineStr">
        <is>
          <t>A 14137-2023</t>
        </is>
      </c>
      <c r="B949" s="1" t="n">
        <v>45009</v>
      </c>
      <c r="C949" s="1" t="n">
        <v>45294</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14142-2023</t>
        </is>
      </c>
      <c r="B950" s="1" t="n">
        <v>45009</v>
      </c>
      <c r="C950" s="1" t="n">
        <v>45294</v>
      </c>
      <c r="D950" t="inlineStr">
        <is>
          <t>KALMAR LÄN</t>
        </is>
      </c>
      <c r="E950" t="inlineStr">
        <is>
          <t>VIMMERBY</t>
        </is>
      </c>
      <c r="G950" t="n">
        <v>3</v>
      </c>
      <c r="H950" t="n">
        <v>0</v>
      </c>
      <c r="I950" t="n">
        <v>0</v>
      </c>
      <c r="J950" t="n">
        <v>0</v>
      </c>
      <c r="K950" t="n">
        <v>0</v>
      </c>
      <c r="L950" t="n">
        <v>0</v>
      </c>
      <c r="M950" t="n">
        <v>0</v>
      </c>
      <c r="N950" t="n">
        <v>0</v>
      </c>
      <c r="O950" t="n">
        <v>0</v>
      </c>
      <c r="P950" t="n">
        <v>0</v>
      </c>
      <c r="Q950" t="n">
        <v>0</v>
      </c>
      <c r="R950" s="2" t="inlineStr"/>
    </row>
    <row r="951" ht="15" customHeight="1">
      <c r="A951" t="inlineStr">
        <is>
          <t>A 14248-2023</t>
        </is>
      </c>
      <c r="B951" s="1" t="n">
        <v>45009</v>
      </c>
      <c r="C951" s="1" t="n">
        <v>45294</v>
      </c>
      <c r="D951" t="inlineStr">
        <is>
          <t>KALMAR LÄN</t>
        </is>
      </c>
      <c r="E951" t="inlineStr">
        <is>
          <t>VIMMERBY</t>
        </is>
      </c>
      <c r="G951" t="n">
        <v>2.6</v>
      </c>
      <c r="H951" t="n">
        <v>0</v>
      </c>
      <c r="I951" t="n">
        <v>0</v>
      </c>
      <c r="J951" t="n">
        <v>0</v>
      </c>
      <c r="K951" t="n">
        <v>0</v>
      </c>
      <c r="L951" t="n">
        <v>0</v>
      </c>
      <c r="M951" t="n">
        <v>0</v>
      </c>
      <c r="N951" t="n">
        <v>0</v>
      </c>
      <c r="O951" t="n">
        <v>0</v>
      </c>
      <c r="P951" t="n">
        <v>0</v>
      </c>
      <c r="Q951" t="n">
        <v>0</v>
      </c>
      <c r="R951" s="2" t="inlineStr"/>
    </row>
    <row r="952" ht="15" customHeight="1">
      <c r="A952" t="inlineStr">
        <is>
          <t>A 14440-2023</t>
        </is>
      </c>
      <c r="B952" s="1" t="n">
        <v>45012</v>
      </c>
      <c r="C952" s="1" t="n">
        <v>45294</v>
      </c>
      <c r="D952" t="inlineStr">
        <is>
          <t>KALMAR LÄN</t>
        </is>
      </c>
      <c r="E952" t="inlineStr">
        <is>
          <t>VIMMERBY</t>
        </is>
      </c>
      <c r="G952" t="n">
        <v>3</v>
      </c>
      <c r="H952" t="n">
        <v>0</v>
      </c>
      <c r="I952" t="n">
        <v>0</v>
      </c>
      <c r="J952" t="n">
        <v>0</v>
      </c>
      <c r="K952" t="n">
        <v>0</v>
      </c>
      <c r="L952" t="n">
        <v>0</v>
      </c>
      <c r="M952" t="n">
        <v>0</v>
      </c>
      <c r="N952" t="n">
        <v>0</v>
      </c>
      <c r="O952" t="n">
        <v>0</v>
      </c>
      <c r="P952" t="n">
        <v>0</v>
      </c>
      <c r="Q952" t="n">
        <v>0</v>
      </c>
      <c r="R952" s="2" t="inlineStr"/>
    </row>
    <row r="953" ht="15" customHeight="1">
      <c r="A953" t="inlineStr">
        <is>
          <t>A 14438-2023</t>
        </is>
      </c>
      <c r="B953" s="1" t="n">
        <v>45012</v>
      </c>
      <c r="C953" s="1" t="n">
        <v>45294</v>
      </c>
      <c r="D953" t="inlineStr">
        <is>
          <t>KALMAR LÄN</t>
        </is>
      </c>
      <c r="E953" t="inlineStr">
        <is>
          <t>VIMMERBY</t>
        </is>
      </c>
      <c r="G953" t="n">
        <v>1.5</v>
      </c>
      <c r="H953" t="n">
        <v>0</v>
      </c>
      <c r="I953" t="n">
        <v>0</v>
      </c>
      <c r="J953" t="n">
        <v>0</v>
      </c>
      <c r="K953" t="n">
        <v>0</v>
      </c>
      <c r="L953" t="n">
        <v>0</v>
      </c>
      <c r="M953" t="n">
        <v>0</v>
      </c>
      <c r="N953" t="n">
        <v>0</v>
      </c>
      <c r="O953" t="n">
        <v>0</v>
      </c>
      <c r="P953" t="n">
        <v>0</v>
      </c>
      <c r="Q953" t="n">
        <v>0</v>
      </c>
      <c r="R953" s="2" t="inlineStr"/>
    </row>
    <row r="954" ht="15" customHeight="1">
      <c r="A954" t="inlineStr">
        <is>
          <t>A 14996-2023</t>
        </is>
      </c>
      <c r="B954" s="1" t="n">
        <v>45014</v>
      </c>
      <c r="C954" s="1" t="n">
        <v>45294</v>
      </c>
      <c r="D954" t="inlineStr">
        <is>
          <t>KALMAR LÄN</t>
        </is>
      </c>
      <c r="E954" t="inlineStr">
        <is>
          <t>VIMMERBY</t>
        </is>
      </c>
      <c r="G954" t="n">
        <v>6.9</v>
      </c>
      <c r="H954" t="n">
        <v>0</v>
      </c>
      <c r="I954" t="n">
        <v>0</v>
      </c>
      <c r="J954" t="n">
        <v>0</v>
      </c>
      <c r="K954" t="n">
        <v>0</v>
      </c>
      <c r="L954" t="n">
        <v>0</v>
      </c>
      <c r="M954" t="n">
        <v>0</v>
      </c>
      <c r="N954" t="n">
        <v>0</v>
      </c>
      <c r="O954" t="n">
        <v>0</v>
      </c>
      <c r="P954" t="n">
        <v>0</v>
      </c>
      <c r="Q954" t="n">
        <v>0</v>
      </c>
      <c r="R954" s="2" t="inlineStr"/>
    </row>
    <row r="955" ht="15" customHeight="1">
      <c r="A955" t="inlineStr">
        <is>
          <t>A 15493-2023</t>
        </is>
      </c>
      <c r="B955" s="1" t="n">
        <v>45018</v>
      </c>
      <c r="C955" s="1" t="n">
        <v>45294</v>
      </c>
      <c r="D955" t="inlineStr">
        <is>
          <t>KALMAR LÄN</t>
        </is>
      </c>
      <c r="E955" t="inlineStr">
        <is>
          <t>VIMMERBY</t>
        </is>
      </c>
      <c r="G955" t="n">
        <v>1</v>
      </c>
      <c r="H955" t="n">
        <v>0</v>
      </c>
      <c r="I955" t="n">
        <v>0</v>
      </c>
      <c r="J955" t="n">
        <v>0</v>
      </c>
      <c r="K955" t="n">
        <v>0</v>
      </c>
      <c r="L955" t="n">
        <v>0</v>
      </c>
      <c r="M955" t="n">
        <v>0</v>
      </c>
      <c r="N955" t="n">
        <v>0</v>
      </c>
      <c r="O955" t="n">
        <v>0</v>
      </c>
      <c r="P955" t="n">
        <v>0</v>
      </c>
      <c r="Q955" t="n">
        <v>0</v>
      </c>
      <c r="R955" s="2" t="inlineStr"/>
    </row>
    <row r="956" ht="15" customHeight="1">
      <c r="A956" t="inlineStr">
        <is>
          <t>A 15550-2023</t>
        </is>
      </c>
      <c r="B956" s="1" t="n">
        <v>45020</v>
      </c>
      <c r="C956" s="1" t="n">
        <v>45294</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15449-2023</t>
        </is>
      </c>
      <c r="B957" s="1" t="n">
        <v>45020</v>
      </c>
      <c r="C957" s="1" t="n">
        <v>45294</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15486-2023</t>
        </is>
      </c>
      <c r="B958" s="1" t="n">
        <v>45020</v>
      </c>
      <c r="C958" s="1" t="n">
        <v>45294</v>
      </c>
      <c r="D958" t="inlineStr">
        <is>
          <t>KALMAR LÄN</t>
        </is>
      </c>
      <c r="E958" t="inlineStr">
        <is>
          <t>VIMMERBY</t>
        </is>
      </c>
      <c r="G958" t="n">
        <v>1.2</v>
      </c>
      <c r="H958" t="n">
        <v>0</v>
      </c>
      <c r="I958" t="n">
        <v>0</v>
      </c>
      <c r="J958" t="n">
        <v>0</v>
      </c>
      <c r="K958" t="n">
        <v>0</v>
      </c>
      <c r="L958" t="n">
        <v>0</v>
      </c>
      <c r="M958" t="n">
        <v>0</v>
      </c>
      <c r="N958" t="n">
        <v>0</v>
      </c>
      <c r="O958" t="n">
        <v>0</v>
      </c>
      <c r="P958" t="n">
        <v>0</v>
      </c>
      <c r="Q958" t="n">
        <v>0</v>
      </c>
      <c r="R958" s="2" t="inlineStr"/>
    </row>
    <row r="959" ht="15" customHeight="1">
      <c r="A959" t="inlineStr">
        <is>
          <t>A 15490-2023</t>
        </is>
      </c>
      <c r="B959" s="1" t="n">
        <v>45020</v>
      </c>
      <c r="C959" s="1" t="n">
        <v>45294</v>
      </c>
      <c r="D959" t="inlineStr">
        <is>
          <t>KALMAR LÄN</t>
        </is>
      </c>
      <c r="E959" t="inlineStr">
        <is>
          <t>VIMMERBY</t>
        </is>
      </c>
      <c r="G959" t="n">
        <v>1.6</v>
      </c>
      <c r="H959" t="n">
        <v>0</v>
      </c>
      <c r="I959" t="n">
        <v>0</v>
      </c>
      <c r="J959" t="n">
        <v>0</v>
      </c>
      <c r="K959" t="n">
        <v>0</v>
      </c>
      <c r="L959" t="n">
        <v>0</v>
      </c>
      <c r="M959" t="n">
        <v>0</v>
      </c>
      <c r="N959" t="n">
        <v>0</v>
      </c>
      <c r="O959" t="n">
        <v>0</v>
      </c>
      <c r="P959" t="n">
        <v>0</v>
      </c>
      <c r="Q959" t="n">
        <v>0</v>
      </c>
      <c r="R959" s="2" t="inlineStr"/>
    </row>
    <row r="960" ht="15" customHeight="1">
      <c r="A960" t="inlineStr">
        <is>
          <t>A 15740-2023</t>
        </is>
      </c>
      <c r="B960" s="1" t="n">
        <v>45021</v>
      </c>
      <c r="C960" s="1" t="n">
        <v>45294</v>
      </c>
      <c r="D960" t="inlineStr">
        <is>
          <t>KALMAR LÄN</t>
        </is>
      </c>
      <c r="E960" t="inlineStr">
        <is>
          <t>VIMMERBY</t>
        </is>
      </c>
      <c r="G960" t="n">
        <v>1.9</v>
      </c>
      <c r="H960" t="n">
        <v>0</v>
      </c>
      <c r="I960" t="n">
        <v>0</v>
      </c>
      <c r="J960" t="n">
        <v>0</v>
      </c>
      <c r="K960" t="n">
        <v>0</v>
      </c>
      <c r="L960" t="n">
        <v>0</v>
      </c>
      <c r="M960" t="n">
        <v>0</v>
      </c>
      <c r="N960" t="n">
        <v>0</v>
      </c>
      <c r="O960" t="n">
        <v>0</v>
      </c>
      <c r="P960" t="n">
        <v>0</v>
      </c>
      <c r="Q960" t="n">
        <v>0</v>
      </c>
      <c r="R960" s="2" t="inlineStr"/>
    </row>
    <row r="961" ht="15" customHeight="1">
      <c r="A961" t="inlineStr">
        <is>
          <t>A 15993-2023</t>
        </is>
      </c>
      <c r="B961" s="1" t="n">
        <v>45023</v>
      </c>
      <c r="C961" s="1" t="n">
        <v>45294</v>
      </c>
      <c r="D961" t="inlineStr">
        <is>
          <t>KALMAR LÄN</t>
        </is>
      </c>
      <c r="E961" t="inlineStr">
        <is>
          <t>VIMMERBY</t>
        </is>
      </c>
      <c r="G961" t="n">
        <v>1.1</v>
      </c>
      <c r="H961" t="n">
        <v>0</v>
      </c>
      <c r="I961" t="n">
        <v>0</v>
      </c>
      <c r="J961" t="n">
        <v>0</v>
      </c>
      <c r="K961" t="n">
        <v>0</v>
      </c>
      <c r="L961" t="n">
        <v>0</v>
      </c>
      <c r="M961" t="n">
        <v>0</v>
      </c>
      <c r="N961" t="n">
        <v>0</v>
      </c>
      <c r="O961" t="n">
        <v>0</v>
      </c>
      <c r="P961" t="n">
        <v>0</v>
      </c>
      <c r="Q961" t="n">
        <v>0</v>
      </c>
      <c r="R961" s="2" t="inlineStr"/>
    </row>
    <row r="962" ht="15" customHeight="1">
      <c r="A962" t="inlineStr">
        <is>
          <t>A 16020-2023</t>
        </is>
      </c>
      <c r="B962" s="1" t="n">
        <v>45026</v>
      </c>
      <c r="C962" s="1" t="n">
        <v>45294</v>
      </c>
      <c r="D962" t="inlineStr">
        <is>
          <t>KALMAR LÄN</t>
        </is>
      </c>
      <c r="E962" t="inlineStr">
        <is>
          <t>VIMMERBY</t>
        </is>
      </c>
      <c r="G962" t="n">
        <v>1.1</v>
      </c>
      <c r="H962" t="n">
        <v>0</v>
      </c>
      <c r="I962" t="n">
        <v>0</v>
      </c>
      <c r="J962" t="n">
        <v>0</v>
      </c>
      <c r="K962" t="n">
        <v>0</v>
      </c>
      <c r="L962" t="n">
        <v>0</v>
      </c>
      <c r="M962" t="n">
        <v>0</v>
      </c>
      <c r="N962" t="n">
        <v>0</v>
      </c>
      <c r="O962" t="n">
        <v>0</v>
      </c>
      <c r="P962" t="n">
        <v>0</v>
      </c>
      <c r="Q962" t="n">
        <v>0</v>
      </c>
      <c r="R962" s="2" t="inlineStr"/>
    </row>
    <row r="963" ht="15" customHeight="1">
      <c r="A963" t="inlineStr">
        <is>
          <t>A 16119-2023</t>
        </is>
      </c>
      <c r="B963" s="1" t="n">
        <v>45027</v>
      </c>
      <c r="C963" s="1" t="n">
        <v>45294</v>
      </c>
      <c r="D963" t="inlineStr">
        <is>
          <t>KALMAR LÄN</t>
        </is>
      </c>
      <c r="E963" t="inlineStr">
        <is>
          <t>VIMMERBY</t>
        </is>
      </c>
      <c r="F963" t="inlineStr">
        <is>
          <t>Kommuner</t>
        </is>
      </c>
      <c r="G963" t="n">
        <v>4.4</v>
      </c>
      <c r="H963" t="n">
        <v>0</v>
      </c>
      <c r="I963" t="n">
        <v>0</v>
      </c>
      <c r="J963" t="n">
        <v>0</v>
      </c>
      <c r="K963" t="n">
        <v>0</v>
      </c>
      <c r="L963" t="n">
        <v>0</v>
      </c>
      <c r="M963" t="n">
        <v>0</v>
      </c>
      <c r="N963" t="n">
        <v>0</v>
      </c>
      <c r="O963" t="n">
        <v>0</v>
      </c>
      <c r="P963" t="n">
        <v>0</v>
      </c>
      <c r="Q963" t="n">
        <v>0</v>
      </c>
      <c r="R963" s="2" t="inlineStr"/>
    </row>
    <row r="964" ht="15" customHeight="1">
      <c r="A964" t="inlineStr">
        <is>
          <t>A 16676-2023</t>
        </is>
      </c>
      <c r="B964" s="1" t="n">
        <v>45028</v>
      </c>
      <c r="C964" s="1" t="n">
        <v>45294</v>
      </c>
      <c r="D964" t="inlineStr">
        <is>
          <t>KALMAR LÄN</t>
        </is>
      </c>
      <c r="E964" t="inlineStr">
        <is>
          <t>VIMMERBY</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16516-2023</t>
        </is>
      </c>
      <c r="B965" s="1" t="n">
        <v>45029</v>
      </c>
      <c r="C965" s="1" t="n">
        <v>45294</v>
      </c>
      <c r="D965" t="inlineStr">
        <is>
          <t>KALMAR LÄN</t>
        </is>
      </c>
      <c r="E965" t="inlineStr">
        <is>
          <t>VIMMERBY</t>
        </is>
      </c>
      <c r="G965" t="n">
        <v>4.3</v>
      </c>
      <c r="H965" t="n">
        <v>0</v>
      </c>
      <c r="I965" t="n">
        <v>0</v>
      </c>
      <c r="J965" t="n">
        <v>0</v>
      </c>
      <c r="K965" t="n">
        <v>0</v>
      </c>
      <c r="L965" t="n">
        <v>0</v>
      </c>
      <c r="M965" t="n">
        <v>0</v>
      </c>
      <c r="N965" t="n">
        <v>0</v>
      </c>
      <c r="O965" t="n">
        <v>0</v>
      </c>
      <c r="P965" t="n">
        <v>0</v>
      </c>
      <c r="Q965" t="n">
        <v>0</v>
      </c>
      <c r="R965" s="2" t="inlineStr"/>
    </row>
    <row r="966" ht="15" customHeight="1">
      <c r="A966" t="inlineStr">
        <is>
          <t>A 16734-2023</t>
        </is>
      </c>
      <c r="B966" s="1" t="n">
        <v>45030</v>
      </c>
      <c r="C966" s="1" t="n">
        <v>45294</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16750-2023</t>
        </is>
      </c>
      <c r="B967" s="1" t="n">
        <v>45030</v>
      </c>
      <c r="C967" s="1" t="n">
        <v>45294</v>
      </c>
      <c r="D967" t="inlineStr">
        <is>
          <t>KALMAR LÄN</t>
        </is>
      </c>
      <c r="E967" t="inlineStr">
        <is>
          <t>VIMMERBY</t>
        </is>
      </c>
      <c r="G967" t="n">
        <v>1.2</v>
      </c>
      <c r="H967" t="n">
        <v>0</v>
      </c>
      <c r="I967" t="n">
        <v>0</v>
      </c>
      <c r="J967" t="n">
        <v>0</v>
      </c>
      <c r="K967" t="n">
        <v>0</v>
      </c>
      <c r="L967" t="n">
        <v>0</v>
      </c>
      <c r="M967" t="n">
        <v>0</v>
      </c>
      <c r="N967" t="n">
        <v>0</v>
      </c>
      <c r="O967" t="n">
        <v>0</v>
      </c>
      <c r="P967" t="n">
        <v>0</v>
      </c>
      <c r="Q967" t="n">
        <v>0</v>
      </c>
      <c r="R967" s="2" t="inlineStr"/>
    </row>
    <row r="968" ht="15" customHeight="1">
      <c r="A968" t="inlineStr">
        <is>
          <t>A 16927-2023</t>
        </is>
      </c>
      <c r="B968" s="1" t="n">
        <v>45033</v>
      </c>
      <c r="C968" s="1" t="n">
        <v>45294</v>
      </c>
      <c r="D968" t="inlineStr">
        <is>
          <t>KALMAR LÄN</t>
        </is>
      </c>
      <c r="E968" t="inlineStr">
        <is>
          <t>VIMMERBY</t>
        </is>
      </c>
      <c r="G968" t="n">
        <v>0.7</v>
      </c>
      <c r="H968" t="n">
        <v>0</v>
      </c>
      <c r="I968" t="n">
        <v>0</v>
      </c>
      <c r="J968" t="n">
        <v>0</v>
      </c>
      <c r="K968" t="n">
        <v>0</v>
      </c>
      <c r="L968" t="n">
        <v>0</v>
      </c>
      <c r="M968" t="n">
        <v>0</v>
      </c>
      <c r="N968" t="n">
        <v>0</v>
      </c>
      <c r="O968" t="n">
        <v>0</v>
      </c>
      <c r="P968" t="n">
        <v>0</v>
      </c>
      <c r="Q968" t="n">
        <v>0</v>
      </c>
      <c r="R968" s="2" t="inlineStr"/>
    </row>
    <row r="969" ht="15" customHeight="1">
      <c r="A969" t="inlineStr">
        <is>
          <t>A 16983-2023</t>
        </is>
      </c>
      <c r="B969" s="1" t="n">
        <v>45033</v>
      </c>
      <c r="C969" s="1" t="n">
        <v>45294</v>
      </c>
      <c r="D969" t="inlineStr">
        <is>
          <t>KALMAR LÄN</t>
        </is>
      </c>
      <c r="E969" t="inlineStr">
        <is>
          <t>VIMMERBY</t>
        </is>
      </c>
      <c r="G969" t="n">
        <v>0.6</v>
      </c>
      <c r="H969" t="n">
        <v>0</v>
      </c>
      <c r="I969" t="n">
        <v>0</v>
      </c>
      <c r="J969" t="n">
        <v>0</v>
      </c>
      <c r="K969" t="n">
        <v>0</v>
      </c>
      <c r="L969" t="n">
        <v>0</v>
      </c>
      <c r="M969" t="n">
        <v>0</v>
      </c>
      <c r="N969" t="n">
        <v>0</v>
      </c>
      <c r="O969" t="n">
        <v>0</v>
      </c>
      <c r="P969" t="n">
        <v>0</v>
      </c>
      <c r="Q969" t="n">
        <v>0</v>
      </c>
      <c r="R969" s="2" t="inlineStr"/>
    </row>
    <row r="970" ht="15" customHeight="1">
      <c r="A970" t="inlineStr">
        <is>
          <t>A 17758-2023</t>
        </is>
      </c>
      <c r="B970" s="1" t="n">
        <v>45037</v>
      </c>
      <c r="C970" s="1" t="n">
        <v>45294</v>
      </c>
      <c r="D970" t="inlineStr">
        <is>
          <t>KALMAR LÄN</t>
        </is>
      </c>
      <c r="E970" t="inlineStr">
        <is>
          <t>VIMMERBY</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17964-2023</t>
        </is>
      </c>
      <c r="B971" s="1" t="n">
        <v>45040</v>
      </c>
      <c r="C971" s="1" t="n">
        <v>45294</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18209-2023</t>
        </is>
      </c>
      <c r="B972" s="1" t="n">
        <v>45041</v>
      </c>
      <c r="C972" s="1" t="n">
        <v>45294</v>
      </c>
      <c r="D972" t="inlineStr">
        <is>
          <t>KALMAR LÄN</t>
        </is>
      </c>
      <c r="E972" t="inlineStr">
        <is>
          <t>VIMMERBY</t>
        </is>
      </c>
      <c r="G972" t="n">
        <v>2.6</v>
      </c>
      <c r="H972" t="n">
        <v>0</v>
      </c>
      <c r="I972" t="n">
        <v>0</v>
      </c>
      <c r="J972" t="n">
        <v>0</v>
      </c>
      <c r="K972" t="n">
        <v>0</v>
      </c>
      <c r="L972" t="n">
        <v>0</v>
      </c>
      <c r="M972" t="n">
        <v>0</v>
      </c>
      <c r="N972" t="n">
        <v>0</v>
      </c>
      <c r="O972" t="n">
        <v>0</v>
      </c>
      <c r="P972" t="n">
        <v>0</v>
      </c>
      <c r="Q972" t="n">
        <v>0</v>
      </c>
      <c r="R972" s="2" t="inlineStr"/>
    </row>
    <row r="973" ht="15" customHeight="1">
      <c r="A973" t="inlineStr">
        <is>
          <t>A 18330-2023</t>
        </is>
      </c>
      <c r="B973" s="1" t="n">
        <v>45041</v>
      </c>
      <c r="C973" s="1" t="n">
        <v>45294</v>
      </c>
      <c r="D973" t="inlineStr">
        <is>
          <t>KALMAR LÄN</t>
        </is>
      </c>
      <c r="E973" t="inlineStr">
        <is>
          <t>VIMMERBY</t>
        </is>
      </c>
      <c r="G973" t="n">
        <v>1.7</v>
      </c>
      <c r="H973" t="n">
        <v>0</v>
      </c>
      <c r="I973" t="n">
        <v>0</v>
      </c>
      <c r="J973" t="n">
        <v>0</v>
      </c>
      <c r="K973" t="n">
        <v>0</v>
      </c>
      <c r="L973" t="n">
        <v>0</v>
      </c>
      <c r="M973" t="n">
        <v>0</v>
      </c>
      <c r="N973" t="n">
        <v>0</v>
      </c>
      <c r="O973" t="n">
        <v>0</v>
      </c>
      <c r="P973" t="n">
        <v>0</v>
      </c>
      <c r="Q973" t="n">
        <v>0</v>
      </c>
      <c r="R973" s="2" t="inlineStr"/>
    </row>
    <row r="974" ht="15" customHeight="1">
      <c r="A974" t="inlineStr">
        <is>
          <t>A 18329-2023</t>
        </is>
      </c>
      <c r="B974" s="1" t="n">
        <v>45041</v>
      </c>
      <c r="C974" s="1" t="n">
        <v>45294</v>
      </c>
      <c r="D974" t="inlineStr">
        <is>
          <t>KALMAR LÄN</t>
        </is>
      </c>
      <c r="E974" t="inlineStr">
        <is>
          <t>VIMMERBY</t>
        </is>
      </c>
      <c r="G974" t="n">
        <v>0.5</v>
      </c>
      <c r="H974" t="n">
        <v>0</v>
      </c>
      <c r="I974" t="n">
        <v>0</v>
      </c>
      <c r="J974" t="n">
        <v>0</v>
      </c>
      <c r="K974" t="n">
        <v>0</v>
      </c>
      <c r="L974" t="n">
        <v>0</v>
      </c>
      <c r="M974" t="n">
        <v>0</v>
      </c>
      <c r="N974" t="n">
        <v>0</v>
      </c>
      <c r="O974" t="n">
        <v>0</v>
      </c>
      <c r="P974" t="n">
        <v>0</v>
      </c>
      <c r="Q974" t="n">
        <v>0</v>
      </c>
      <c r="R974" s="2" t="inlineStr"/>
    </row>
    <row r="975" ht="15" customHeight="1">
      <c r="A975" t="inlineStr">
        <is>
          <t>A 18328-2023</t>
        </is>
      </c>
      <c r="B975" s="1" t="n">
        <v>45041</v>
      </c>
      <c r="C975" s="1" t="n">
        <v>45294</v>
      </c>
      <c r="D975" t="inlineStr">
        <is>
          <t>KALMAR LÄN</t>
        </is>
      </c>
      <c r="E975" t="inlineStr">
        <is>
          <t>VIMMERBY</t>
        </is>
      </c>
      <c r="G975" t="n">
        <v>0.9</v>
      </c>
      <c r="H975" t="n">
        <v>0</v>
      </c>
      <c r="I975" t="n">
        <v>0</v>
      </c>
      <c r="J975" t="n">
        <v>0</v>
      </c>
      <c r="K975" t="n">
        <v>0</v>
      </c>
      <c r="L975" t="n">
        <v>0</v>
      </c>
      <c r="M975" t="n">
        <v>0</v>
      </c>
      <c r="N975" t="n">
        <v>0</v>
      </c>
      <c r="O975" t="n">
        <v>0</v>
      </c>
      <c r="P975" t="n">
        <v>0</v>
      </c>
      <c r="Q975" t="n">
        <v>0</v>
      </c>
      <c r="R975" s="2" t="inlineStr"/>
    </row>
    <row r="976" ht="15" customHeight="1">
      <c r="A976" t="inlineStr">
        <is>
          <t>A 18609-2023</t>
        </is>
      </c>
      <c r="B976" s="1" t="n">
        <v>45041</v>
      </c>
      <c r="C976" s="1" t="n">
        <v>45294</v>
      </c>
      <c r="D976" t="inlineStr">
        <is>
          <t>KALMAR LÄN</t>
        </is>
      </c>
      <c r="E976" t="inlineStr">
        <is>
          <t>VIMMERBY</t>
        </is>
      </c>
      <c r="G976" t="n">
        <v>3</v>
      </c>
      <c r="H976" t="n">
        <v>0</v>
      </c>
      <c r="I976" t="n">
        <v>0</v>
      </c>
      <c r="J976" t="n">
        <v>0</v>
      </c>
      <c r="K976" t="n">
        <v>0</v>
      </c>
      <c r="L976" t="n">
        <v>0</v>
      </c>
      <c r="M976" t="n">
        <v>0</v>
      </c>
      <c r="N976" t="n">
        <v>0</v>
      </c>
      <c r="O976" t="n">
        <v>0</v>
      </c>
      <c r="P976" t="n">
        <v>0</v>
      </c>
      <c r="Q976" t="n">
        <v>0</v>
      </c>
      <c r="R976" s="2" t="inlineStr"/>
    </row>
    <row r="977" ht="15" customHeight="1">
      <c r="A977" t="inlineStr">
        <is>
          <t>A 18731-2023</t>
        </is>
      </c>
      <c r="B977" s="1" t="n">
        <v>45043</v>
      </c>
      <c r="C977" s="1" t="n">
        <v>45294</v>
      </c>
      <c r="D977" t="inlineStr">
        <is>
          <t>KALMAR LÄN</t>
        </is>
      </c>
      <c r="E977" t="inlineStr">
        <is>
          <t>VIMMERBY</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19013-2023</t>
        </is>
      </c>
      <c r="B978" s="1" t="n">
        <v>45045</v>
      </c>
      <c r="C978" s="1" t="n">
        <v>45294</v>
      </c>
      <c r="D978" t="inlineStr">
        <is>
          <t>KALMAR LÄN</t>
        </is>
      </c>
      <c r="E978" t="inlineStr">
        <is>
          <t>VIMMERBY</t>
        </is>
      </c>
      <c r="G978" t="n">
        <v>2.5</v>
      </c>
      <c r="H978" t="n">
        <v>0</v>
      </c>
      <c r="I978" t="n">
        <v>0</v>
      </c>
      <c r="J978" t="n">
        <v>0</v>
      </c>
      <c r="K978" t="n">
        <v>0</v>
      </c>
      <c r="L978" t="n">
        <v>0</v>
      </c>
      <c r="M978" t="n">
        <v>0</v>
      </c>
      <c r="N978" t="n">
        <v>0</v>
      </c>
      <c r="O978" t="n">
        <v>0</v>
      </c>
      <c r="P978" t="n">
        <v>0</v>
      </c>
      <c r="Q978" t="n">
        <v>0</v>
      </c>
      <c r="R978" s="2" t="inlineStr"/>
    </row>
    <row r="979" ht="15" customHeight="1">
      <c r="A979" t="inlineStr">
        <is>
          <t>A 19162-2023</t>
        </is>
      </c>
      <c r="B979" s="1" t="n">
        <v>45048</v>
      </c>
      <c r="C979" s="1" t="n">
        <v>45294</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19158-2023</t>
        </is>
      </c>
      <c r="B980" s="1" t="n">
        <v>45048</v>
      </c>
      <c r="C980" s="1" t="n">
        <v>45294</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19833-2023</t>
        </is>
      </c>
      <c r="B981" s="1" t="n">
        <v>45052</v>
      </c>
      <c r="C981" s="1" t="n">
        <v>45294</v>
      </c>
      <c r="D981" t="inlineStr">
        <is>
          <t>KALMAR LÄN</t>
        </is>
      </c>
      <c r="E981" t="inlineStr">
        <is>
          <t>VIMMERBY</t>
        </is>
      </c>
      <c r="G981" t="n">
        <v>6.7</v>
      </c>
      <c r="H981" t="n">
        <v>0</v>
      </c>
      <c r="I981" t="n">
        <v>0</v>
      </c>
      <c r="J981" t="n">
        <v>0</v>
      </c>
      <c r="K981" t="n">
        <v>0</v>
      </c>
      <c r="L981" t="n">
        <v>0</v>
      </c>
      <c r="M981" t="n">
        <v>0</v>
      </c>
      <c r="N981" t="n">
        <v>0</v>
      </c>
      <c r="O981" t="n">
        <v>0</v>
      </c>
      <c r="P981" t="n">
        <v>0</v>
      </c>
      <c r="Q981" t="n">
        <v>0</v>
      </c>
      <c r="R981" s="2" t="inlineStr"/>
    </row>
    <row r="982" ht="15" customHeight="1">
      <c r="A982" t="inlineStr">
        <is>
          <t>A 20054-2023</t>
        </is>
      </c>
      <c r="B982" s="1" t="n">
        <v>45054</v>
      </c>
      <c r="C982" s="1" t="n">
        <v>45294</v>
      </c>
      <c r="D982" t="inlineStr">
        <is>
          <t>KALMAR LÄN</t>
        </is>
      </c>
      <c r="E982" t="inlineStr">
        <is>
          <t>VIMMERBY</t>
        </is>
      </c>
      <c r="G982" t="n">
        <v>2.4</v>
      </c>
      <c r="H982" t="n">
        <v>0</v>
      </c>
      <c r="I982" t="n">
        <v>0</v>
      </c>
      <c r="J982" t="n">
        <v>0</v>
      </c>
      <c r="K982" t="n">
        <v>0</v>
      </c>
      <c r="L982" t="n">
        <v>0</v>
      </c>
      <c r="M982" t="n">
        <v>0</v>
      </c>
      <c r="N982" t="n">
        <v>0</v>
      </c>
      <c r="O982" t="n">
        <v>0</v>
      </c>
      <c r="P982" t="n">
        <v>0</v>
      </c>
      <c r="Q982" t="n">
        <v>0</v>
      </c>
      <c r="R982" s="2" t="inlineStr"/>
    </row>
    <row r="983" ht="15" customHeight="1">
      <c r="A983" t="inlineStr">
        <is>
          <t>A 20218-2023</t>
        </is>
      </c>
      <c r="B983" s="1" t="n">
        <v>45055</v>
      </c>
      <c r="C983" s="1" t="n">
        <v>45294</v>
      </c>
      <c r="D983" t="inlineStr">
        <is>
          <t>KALMAR LÄN</t>
        </is>
      </c>
      <c r="E983" t="inlineStr">
        <is>
          <t>VIMMERBY</t>
        </is>
      </c>
      <c r="G983" t="n">
        <v>4.9</v>
      </c>
      <c r="H983" t="n">
        <v>0</v>
      </c>
      <c r="I983" t="n">
        <v>0</v>
      </c>
      <c r="J983" t="n">
        <v>0</v>
      </c>
      <c r="K983" t="n">
        <v>0</v>
      </c>
      <c r="L983" t="n">
        <v>0</v>
      </c>
      <c r="M983" t="n">
        <v>0</v>
      </c>
      <c r="N983" t="n">
        <v>0</v>
      </c>
      <c r="O983" t="n">
        <v>0</v>
      </c>
      <c r="P983" t="n">
        <v>0</v>
      </c>
      <c r="Q983" t="n">
        <v>0</v>
      </c>
      <c r="R983" s="2" t="inlineStr"/>
    </row>
    <row r="984" ht="15" customHeight="1">
      <c r="A984" t="inlineStr">
        <is>
          <t>A 20117-2023</t>
        </is>
      </c>
      <c r="B984" s="1" t="n">
        <v>45055</v>
      </c>
      <c r="C984" s="1" t="n">
        <v>45294</v>
      </c>
      <c r="D984" t="inlineStr">
        <is>
          <t>KALMAR LÄN</t>
        </is>
      </c>
      <c r="E984" t="inlineStr">
        <is>
          <t>VIMMERBY</t>
        </is>
      </c>
      <c r="G984" t="n">
        <v>1.7</v>
      </c>
      <c r="H984" t="n">
        <v>0</v>
      </c>
      <c r="I984" t="n">
        <v>0</v>
      </c>
      <c r="J984" t="n">
        <v>0</v>
      </c>
      <c r="K984" t="n">
        <v>0</v>
      </c>
      <c r="L984" t="n">
        <v>0</v>
      </c>
      <c r="M984" t="n">
        <v>0</v>
      </c>
      <c r="N984" t="n">
        <v>0</v>
      </c>
      <c r="O984" t="n">
        <v>0</v>
      </c>
      <c r="P984" t="n">
        <v>0</v>
      </c>
      <c r="Q984" t="n">
        <v>0</v>
      </c>
      <c r="R984" s="2" t="inlineStr"/>
    </row>
    <row r="985" ht="15" customHeight="1">
      <c r="A985" t="inlineStr">
        <is>
          <t>A 20215-2023</t>
        </is>
      </c>
      <c r="B985" s="1" t="n">
        <v>45055</v>
      </c>
      <c r="C985" s="1" t="n">
        <v>45294</v>
      </c>
      <c r="D985" t="inlineStr">
        <is>
          <t>KALMAR LÄN</t>
        </is>
      </c>
      <c r="E985" t="inlineStr">
        <is>
          <t>VIMMERBY</t>
        </is>
      </c>
      <c r="G985" t="n">
        <v>1.3</v>
      </c>
      <c r="H985" t="n">
        <v>0</v>
      </c>
      <c r="I985" t="n">
        <v>0</v>
      </c>
      <c r="J985" t="n">
        <v>0</v>
      </c>
      <c r="K985" t="n">
        <v>0</v>
      </c>
      <c r="L985" t="n">
        <v>0</v>
      </c>
      <c r="M985" t="n">
        <v>0</v>
      </c>
      <c r="N985" t="n">
        <v>0</v>
      </c>
      <c r="O985" t="n">
        <v>0</v>
      </c>
      <c r="P985" t="n">
        <v>0</v>
      </c>
      <c r="Q985" t="n">
        <v>0</v>
      </c>
      <c r="R985" s="2" t="inlineStr"/>
    </row>
    <row r="986" ht="15" customHeight="1">
      <c r="A986" t="inlineStr">
        <is>
          <t>A 20216-2023</t>
        </is>
      </c>
      <c r="B986" s="1" t="n">
        <v>45055</v>
      </c>
      <c r="C986" s="1" t="n">
        <v>45294</v>
      </c>
      <c r="D986" t="inlineStr">
        <is>
          <t>KALMAR LÄN</t>
        </is>
      </c>
      <c r="E986" t="inlineStr">
        <is>
          <t>VIMMERBY</t>
        </is>
      </c>
      <c r="G986" t="n">
        <v>3.1</v>
      </c>
      <c r="H986" t="n">
        <v>0</v>
      </c>
      <c r="I986" t="n">
        <v>0</v>
      </c>
      <c r="J986" t="n">
        <v>0</v>
      </c>
      <c r="K986" t="n">
        <v>0</v>
      </c>
      <c r="L986" t="n">
        <v>0</v>
      </c>
      <c r="M986" t="n">
        <v>0</v>
      </c>
      <c r="N986" t="n">
        <v>0</v>
      </c>
      <c r="O986" t="n">
        <v>0</v>
      </c>
      <c r="P986" t="n">
        <v>0</v>
      </c>
      <c r="Q986" t="n">
        <v>0</v>
      </c>
      <c r="R986" s="2" t="inlineStr"/>
    </row>
    <row r="987" ht="15" customHeight="1">
      <c r="A987" t="inlineStr">
        <is>
          <t>A 20421-2023</t>
        </is>
      </c>
      <c r="B987" s="1" t="n">
        <v>45056</v>
      </c>
      <c r="C987" s="1" t="n">
        <v>45294</v>
      </c>
      <c r="D987" t="inlineStr">
        <is>
          <t>KALMAR LÄN</t>
        </is>
      </c>
      <c r="E987" t="inlineStr">
        <is>
          <t>VIMMERBY</t>
        </is>
      </c>
      <c r="G987" t="n">
        <v>5.2</v>
      </c>
      <c r="H987" t="n">
        <v>0</v>
      </c>
      <c r="I987" t="n">
        <v>0</v>
      </c>
      <c r="J987" t="n">
        <v>0</v>
      </c>
      <c r="K987" t="n">
        <v>0</v>
      </c>
      <c r="L987" t="n">
        <v>0</v>
      </c>
      <c r="M987" t="n">
        <v>0</v>
      </c>
      <c r="N987" t="n">
        <v>0</v>
      </c>
      <c r="O987" t="n">
        <v>0</v>
      </c>
      <c r="P987" t="n">
        <v>0</v>
      </c>
      <c r="Q987" t="n">
        <v>0</v>
      </c>
      <c r="R987" s="2" t="inlineStr"/>
    </row>
    <row r="988" ht="15" customHeight="1">
      <c r="A988" t="inlineStr">
        <is>
          <t>A 20542-2023</t>
        </is>
      </c>
      <c r="B988" s="1" t="n">
        <v>45057</v>
      </c>
      <c r="C988" s="1" t="n">
        <v>45294</v>
      </c>
      <c r="D988" t="inlineStr">
        <is>
          <t>KALMAR LÄN</t>
        </is>
      </c>
      <c r="E988" t="inlineStr">
        <is>
          <t>VIMMERBY</t>
        </is>
      </c>
      <c r="G988" t="n">
        <v>4.4</v>
      </c>
      <c r="H988" t="n">
        <v>0</v>
      </c>
      <c r="I988" t="n">
        <v>0</v>
      </c>
      <c r="J988" t="n">
        <v>0</v>
      </c>
      <c r="K988" t="n">
        <v>0</v>
      </c>
      <c r="L988" t="n">
        <v>0</v>
      </c>
      <c r="M988" t="n">
        <v>0</v>
      </c>
      <c r="N988" t="n">
        <v>0</v>
      </c>
      <c r="O988" t="n">
        <v>0</v>
      </c>
      <c r="P988" t="n">
        <v>0</v>
      </c>
      <c r="Q988" t="n">
        <v>0</v>
      </c>
      <c r="R988" s="2" t="inlineStr"/>
    </row>
    <row r="989" ht="15" customHeight="1">
      <c r="A989" t="inlineStr">
        <is>
          <t>A 20699-2023</t>
        </is>
      </c>
      <c r="B989" s="1" t="n">
        <v>45058</v>
      </c>
      <c r="C989" s="1" t="n">
        <v>45294</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20736-2023</t>
        </is>
      </c>
      <c r="B990" s="1" t="n">
        <v>45058</v>
      </c>
      <c r="C990" s="1" t="n">
        <v>45294</v>
      </c>
      <c r="D990" t="inlineStr">
        <is>
          <t>KALMAR LÄN</t>
        </is>
      </c>
      <c r="E990" t="inlineStr">
        <is>
          <t>VIMMERBY</t>
        </is>
      </c>
      <c r="G990" t="n">
        <v>1.9</v>
      </c>
      <c r="H990" t="n">
        <v>0</v>
      </c>
      <c r="I990" t="n">
        <v>0</v>
      </c>
      <c r="J990" t="n">
        <v>0</v>
      </c>
      <c r="K990" t="n">
        <v>0</v>
      </c>
      <c r="L990" t="n">
        <v>0</v>
      </c>
      <c r="M990" t="n">
        <v>0</v>
      </c>
      <c r="N990" t="n">
        <v>0</v>
      </c>
      <c r="O990" t="n">
        <v>0</v>
      </c>
      <c r="P990" t="n">
        <v>0</v>
      </c>
      <c r="Q990" t="n">
        <v>0</v>
      </c>
      <c r="R990" s="2" t="inlineStr"/>
    </row>
    <row r="991" ht="15" customHeight="1">
      <c r="A991" t="inlineStr">
        <is>
          <t>A 21025-2023</t>
        </is>
      </c>
      <c r="B991" s="1" t="n">
        <v>45061</v>
      </c>
      <c r="C991" s="1" t="n">
        <v>45294</v>
      </c>
      <c r="D991" t="inlineStr">
        <is>
          <t>KALMAR LÄN</t>
        </is>
      </c>
      <c r="E991" t="inlineStr">
        <is>
          <t>VIMMERBY</t>
        </is>
      </c>
      <c r="F991" t="inlineStr">
        <is>
          <t>Övriga Aktiebolag</t>
        </is>
      </c>
      <c r="G991" t="n">
        <v>0.9</v>
      </c>
      <c r="H991" t="n">
        <v>0</v>
      </c>
      <c r="I991" t="n">
        <v>0</v>
      </c>
      <c r="J991" t="n">
        <v>0</v>
      </c>
      <c r="K991" t="n">
        <v>0</v>
      </c>
      <c r="L991" t="n">
        <v>0</v>
      </c>
      <c r="M991" t="n">
        <v>0</v>
      </c>
      <c r="N991" t="n">
        <v>0</v>
      </c>
      <c r="O991" t="n">
        <v>0</v>
      </c>
      <c r="P991" t="n">
        <v>0</v>
      </c>
      <c r="Q991" t="n">
        <v>0</v>
      </c>
      <c r="R991" s="2" t="inlineStr"/>
    </row>
    <row r="992" ht="15" customHeight="1">
      <c r="A992" t="inlineStr">
        <is>
          <t>A 21028-2023</t>
        </is>
      </c>
      <c r="B992" s="1" t="n">
        <v>45061</v>
      </c>
      <c r="C992" s="1" t="n">
        <v>45294</v>
      </c>
      <c r="D992" t="inlineStr">
        <is>
          <t>KALMAR LÄN</t>
        </is>
      </c>
      <c r="E992" t="inlineStr">
        <is>
          <t>VIMMERBY</t>
        </is>
      </c>
      <c r="F992" t="inlineStr">
        <is>
          <t>Övriga Aktiebolag</t>
        </is>
      </c>
      <c r="G992" t="n">
        <v>0.7</v>
      </c>
      <c r="H992" t="n">
        <v>0</v>
      </c>
      <c r="I992" t="n">
        <v>0</v>
      </c>
      <c r="J992" t="n">
        <v>0</v>
      </c>
      <c r="K992" t="n">
        <v>0</v>
      </c>
      <c r="L992" t="n">
        <v>0</v>
      </c>
      <c r="M992" t="n">
        <v>0</v>
      </c>
      <c r="N992" t="n">
        <v>0</v>
      </c>
      <c r="O992" t="n">
        <v>0</v>
      </c>
      <c r="P992" t="n">
        <v>0</v>
      </c>
      <c r="Q992" t="n">
        <v>0</v>
      </c>
      <c r="R992" s="2" t="inlineStr"/>
    </row>
    <row r="993" ht="15" customHeight="1">
      <c r="A993" t="inlineStr">
        <is>
          <t>A 21496-2023</t>
        </is>
      </c>
      <c r="B993" s="1" t="n">
        <v>45063</v>
      </c>
      <c r="C993" s="1" t="n">
        <v>45294</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21507-2023</t>
        </is>
      </c>
      <c r="B994" s="1" t="n">
        <v>45063</v>
      </c>
      <c r="C994" s="1" t="n">
        <v>45294</v>
      </c>
      <c r="D994" t="inlineStr">
        <is>
          <t>KALMAR LÄN</t>
        </is>
      </c>
      <c r="E994" t="inlineStr">
        <is>
          <t>VIMMERBY</t>
        </is>
      </c>
      <c r="G994" t="n">
        <v>2.8</v>
      </c>
      <c r="H994" t="n">
        <v>0</v>
      </c>
      <c r="I994" t="n">
        <v>0</v>
      </c>
      <c r="J994" t="n">
        <v>0</v>
      </c>
      <c r="K994" t="n">
        <v>0</v>
      </c>
      <c r="L994" t="n">
        <v>0</v>
      </c>
      <c r="M994" t="n">
        <v>0</v>
      </c>
      <c r="N994" t="n">
        <v>0</v>
      </c>
      <c r="O994" t="n">
        <v>0</v>
      </c>
      <c r="P994" t="n">
        <v>0</v>
      </c>
      <c r="Q994" t="n">
        <v>0</v>
      </c>
      <c r="R994" s="2" t="inlineStr"/>
    </row>
    <row r="995" ht="15" customHeight="1">
      <c r="A995" t="inlineStr">
        <is>
          <t>A 21911-2023</t>
        </is>
      </c>
      <c r="B995" s="1" t="n">
        <v>45068</v>
      </c>
      <c r="C995" s="1" t="n">
        <v>45294</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22415-2023</t>
        </is>
      </c>
      <c r="B996" s="1" t="n">
        <v>45070</v>
      </c>
      <c r="C996" s="1" t="n">
        <v>45294</v>
      </c>
      <c r="D996" t="inlineStr">
        <is>
          <t>KALMAR LÄN</t>
        </is>
      </c>
      <c r="E996" t="inlineStr">
        <is>
          <t>VIMMERBY</t>
        </is>
      </c>
      <c r="G996" t="n">
        <v>2.3</v>
      </c>
      <c r="H996" t="n">
        <v>0</v>
      </c>
      <c r="I996" t="n">
        <v>0</v>
      </c>
      <c r="J996" t="n">
        <v>0</v>
      </c>
      <c r="K996" t="n">
        <v>0</v>
      </c>
      <c r="L996" t="n">
        <v>0</v>
      </c>
      <c r="M996" t="n">
        <v>0</v>
      </c>
      <c r="N996" t="n">
        <v>0</v>
      </c>
      <c r="O996" t="n">
        <v>0</v>
      </c>
      <c r="P996" t="n">
        <v>0</v>
      </c>
      <c r="Q996" t="n">
        <v>0</v>
      </c>
      <c r="R996" s="2" t="inlineStr"/>
    </row>
    <row r="997" ht="15" customHeight="1">
      <c r="A997" t="inlineStr">
        <is>
          <t>A 22264-2023</t>
        </is>
      </c>
      <c r="B997" s="1" t="n">
        <v>45070</v>
      </c>
      <c r="C997" s="1" t="n">
        <v>45294</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22421-2023</t>
        </is>
      </c>
      <c r="B998" s="1" t="n">
        <v>45070</v>
      </c>
      <c r="C998" s="1" t="n">
        <v>45294</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22266-2023</t>
        </is>
      </c>
      <c r="B999" s="1" t="n">
        <v>45070</v>
      </c>
      <c r="C999" s="1" t="n">
        <v>45294</v>
      </c>
      <c r="D999" t="inlineStr">
        <is>
          <t>KALMAR LÄN</t>
        </is>
      </c>
      <c r="E999" t="inlineStr">
        <is>
          <t>VIMMERBY</t>
        </is>
      </c>
      <c r="G999" t="n">
        <v>0.5</v>
      </c>
      <c r="H999" t="n">
        <v>0</v>
      </c>
      <c r="I999" t="n">
        <v>0</v>
      </c>
      <c r="J999" t="n">
        <v>0</v>
      </c>
      <c r="K999" t="n">
        <v>0</v>
      </c>
      <c r="L999" t="n">
        <v>0</v>
      </c>
      <c r="M999" t="n">
        <v>0</v>
      </c>
      <c r="N999" t="n">
        <v>0</v>
      </c>
      <c r="O999" t="n">
        <v>0</v>
      </c>
      <c r="P999" t="n">
        <v>0</v>
      </c>
      <c r="Q999" t="n">
        <v>0</v>
      </c>
      <c r="R999" s="2" t="inlineStr"/>
    </row>
    <row r="1000" ht="15" customHeight="1">
      <c r="A1000" t="inlineStr">
        <is>
          <t>A 22418-2023</t>
        </is>
      </c>
      <c r="B1000" s="1" t="n">
        <v>45070</v>
      </c>
      <c r="C1000" s="1" t="n">
        <v>45294</v>
      </c>
      <c r="D1000" t="inlineStr">
        <is>
          <t>KALMAR LÄN</t>
        </is>
      </c>
      <c r="E1000" t="inlineStr">
        <is>
          <t>VIMMERBY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22426-2023</t>
        </is>
      </c>
      <c r="B1001" s="1" t="n">
        <v>45070</v>
      </c>
      <c r="C1001" s="1" t="n">
        <v>45294</v>
      </c>
      <c r="D1001" t="inlineStr">
        <is>
          <t>KALMAR LÄN</t>
        </is>
      </c>
      <c r="E1001" t="inlineStr">
        <is>
          <t>VIMMERBY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22423-2023</t>
        </is>
      </c>
      <c r="B1002" s="1" t="n">
        <v>45070</v>
      </c>
      <c r="C1002" s="1" t="n">
        <v>45294</v>
      </c>
      <c r="D1002" t="inlineStr">
        <is>
          <t>KALMAR LÄN</t>
        </is>
      </c>
      <c r="E1002" t="inlineStr">
        <is>
          <t>VIMMERBY</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22643-2023</t>
        </is>
      </c>
      <c r="B1003" s="1" t="n">
        <v>45071</v>
      </c>
      <c r="C1003" s="1" t="n">
        <v>45294</v>
      </c>
      <c r="D1003" t="inlineStr">
        <is>
          <t>KALMAR LÄN</t>
        </is>
      </c>
      <c r="E1003" t="inlineStr">
        <is>
          <t>VIMMERBY</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22760-2023</t>
        </is>
      </c>
      <c r="B1004" s="1" t="n">
        <v>45072</v>
      </c>
      <c r="C1004" s="1" t="n">
        <v>45294</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23032-2023</t>
        </is>
      </c>
      <c r="B1005" s="1" t="n">
        <v>45074</v>
      </c>
      <c r="C1005" s="1" t="n">
        <v>45294</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23095-2023</t>
        </is>
      </c>
      <c r="B1006" s="1" t="n">
        <v>45075</v>
      </c>
      <c r="C1006" s="1" t="n">
        <v>45294</v>
      </c>
      <c r="D1006" t="inlineStr">
        <is>
          <t>KALMAR LÄN</t>
        </is>
      </c>
      <c r="E1006" t="inlineStr">
        <is>
          <t>VIMMERBY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23425-2023</t>
        </is>
      </c>
      <c r="B1007" s="1" t="n">
        <v>45076</v>
      </c>
      <c r="C1007" s="1" t="n">
        <v>45294</v>
      </c>
      <c r="D1007" t="inlineStr">
        <is>
          <t>KALMAR LÄN</t>
        </is>
      </c>
      <c r="E1007" t="inlineStr">
        <is>
          <t>VIMMERBY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23539-2023</t>
        </is>
      </c>
      <c r="B1008" s="1" t="n">
        <v>45077</v>
      </c>
      <c r="C1008" s="1" t="n">
        <v>45294</v>
      </c>
      <c r="D1008" t="inlineStr">
        <is>
          <t>KALMAR LÄN</t>
        </is>
      </c>
      <c r="E1008" t="inlineStr">
        <is>
          <t>VIMMERBY</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23695-2023</t>
        </is>
      </c>
      <c r="B1009" s="1" t="n">
        <v>45077</v>
      </c>
      <c r="C1009" s="1" t="n">
        <v>45294</v>
      </c>
      <c r="D1009" t="inlineStr">
        <is>
          <t>KALMAR LÄN</t>
        </is>
      </c>
      <c r="E1009" t="inlineStr">
        <is>
          <t>VIMMERBY</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24283-2023</t>
        </is>
      </c>
      <c r="B1010" s="1" t="n">
        <v>45079</v>
      </c>
      <c r="C1010" s="1" t="n">
        <v>45294</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24285-2023</t>
        </is>
      </c>
      <c r="B1011" s="1" t="n">
        <v>45079</v>
      </c>
      <c r="C1011" s="1" t="n">
        <v>45294</v>
      </c>
      <c r="D1011" t="inlineStr">
        <is>
          <t>KALMAR LÄN</t>
        </is>
      </c>
      <c r="E1011" t="inlineStr">
        <is>
          <t>VIMMERBY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24288-2023</t>
        </is>
      </c>
      <c r="B1012" s="1" t="n">
        <v>45080</v>
      </c>
      <c r="C1012" s="1" t="n">
        <v>45294</v>
      </c>
      <c r="D1012" t="inlineStr">
        <is>
          <t>KALMAR LÄN</t>
        </is>
      </c>
      <c r="E1012" t="inlineStr">
        <is>
          <t>VIMMERBY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25109-2023</t>
        </is>
      </c>
      <c r="B1013" s="1" t="n">
        <v>45086</v>
      </c>
      <c r="C1013" s="1" t="n">
        <v>45294</v>
      </c>
      <c r="D1013" t="inlineStr">
        <is>
          <t>KALMAR LÄN</t>
        </is>
      </c>
      <c r="E1013" t="inlineStr">
        <is>
          <t>VIMMERBY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25236-2023</t>
        </is>
      </c>
      <c r="B1014" s="1" t="n">
        <v>45086</v>
      </c>
      <c r="C1014" s="1" t="n">
        <v>45294</v>
      </c>
      <c r="D1014" t="inlineStr">
        <is>
          <t>KALMAR LÄN</t>
        </is>
      </c>
      <c r="E1014" t="inlineStr">
        <is>
          <t>VIMMERBY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25244-2023</t>
        </is>
      </c>
      <c r="B1015" s="1" t="n">
        <v>45086</v>
      </c>
      <c r="C1015" s="1" t="n">
        <v>45294</v>
      </c>
      <c r="D1015" t="inlineStr">
        <is>
          <t>KALMAR LÄN</t>
        </is>
      </c>
      <c r="E1015" t="inlineStr">
        <is>
          <t>VIMMERBY</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25234-2023</t>
        </is>
      </c>
      <c r="B1016" s="1" t="n">
        <v>45086</v>
      </c>
      <c r="C1016" s="1" t="n">
        <v>45294</v>
      </c>
      <c r="D1016" t="inlineStr">
        <is>
          <t>KALMAR LÄN</t>
        </is>
      </c>
      <c r="E1016" t="inlineStr">
        <is>
          <t>VIMMERBY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25885-2023</t>
        </is>
      </c>
      <c r="B1017" s="1" t="n">
        <v>45090</v>
      </c>
      <c r="C1017" s="1" t="n">
        <v>45294</v>
      </c>
      <c r="D1017" t="inlineStr">
        <is>
          <t>KALMAR LÄN</t>
        </is>
      </c>
      <c r="E1017" t="inlineStr">
        <is>
          <t>VIMMERBY</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25799-2023</t>
        </is>
      </c>
      <c r="B1018" s="1" t="n">
        <v>45090</v>
      </c>
      <c r="C1018" s="1" t="n">
        <v>45294</v>
      </c>
      <c r="D1018" t="inlineStr">
        <is>
          <t>KALMAR LÄN</t>
        </is>
      </c>
      <c r="E1018" t="inlineStr">
        <is>
          <t>VIMMERBY</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25979-2023</t>
        </is>
      </c>
      <c r="B1019" s="1" t="n">
        <v>45090</v>
      </c>
      <c r="C1019" s="1" t="n">
        <v>45294</v>
      </c>
      <c r="D1019" t="inlineStr">
        <is>
          <t>KALMAR LÄN</t>
        </is>
      </c>
      <c r="E1019" t="inlineStr">
        <is>
          <t>VIMMERBY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25976-2023</t>
        </is>
      </c>
      <c r="B1020" s="1" t="n">
        <v>45090</v>
      </c>
      <c r="C1020" s="1" t="n">
        <v>45294</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25980-2023</t>
        </is>
      </c>
      <c r="B1021" s="1" t="n">
        <v>45090</v>
      </c>
      <c r="C1021" s="1" t="n">
        <v>45294</v>
      </c>
      <c r="D1021" t="inlineStr">
        <is>
          <t>KALMAR LÄN</t>
        </is>
      </c>
      <c r="E1021" t="inlineStr">
        <is>
          <t>VIMMERBY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25977-2023</t>
        </is>
      </c>
      <c r="B1022" s="1" t="n">
        <v>45090</v>
      </c>
      <c r="C1022" s="1" t="n">
        <v>45294</v>
      </c>
      <c r="D1022" t="inlineStr">
        <is>
          <t>KALMAR LÄN</t>
        </is>
      </c>
      <c r="E1022" t="inlineStr">
        <is>
          <t>VIMMERBY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26318-2023</t>
        </is>
      </c>
      <c r="B1023" s="1" t="n">
        <v>45091</v>
      </c>
      <c r="C1023" s="1" t="n">
        <v>45294</v>
      </c>
      <c r="D1023" t="inlineStr">
        <is>
          <t>KALMAR LÄN</t>
        </is>
      </c>
      <c r="E1023" t="inlineStr">
        <is>
          <t>VIMMERBY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26626-2023</t>
        </is>
      </c>
      <c r="B1024" s="1" t="n">
        <v>45092</v>
      </c>
      <c r="C1024" s="1" t="n">
        <v>45294</v>
      </c>
      <c r="D1024" t="inlineStr">
        <is>
          <t>KALMAR LÄN</t>
        </is>
      </c>
      <c r="E1024" t="inlineStr">
        <is>
          <t>VIMMERBY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26937-2023</t>
        </is>
      </c>
      <c r="B1025" s="1" t="n">
        <v>45093</v>
      </c>
      <c r="C1025" s="1" t="n">
        <v>45294</v>
      </c>
      <c r="D1025" t="inlineStr">
        <is>
          <t>KALMAR LÄN</t>
        </is>
      </c>
      <c r="E1025" t="inlineStr">
        <is>
          <t>VIMMERBY</t>
        </is>
      </c>
      <c r="F1025" t="inlineStr">
        <is>
          <t>Sveaskog</t>
        </is>
      </c>
      <c r="G1025" t="n">
        <v>14.5</v>
      </c>
      <c r="H1025" t="n">
        <v>0</v>
      </c>
      <c r="I1025" t="n">
        <v>0</v>
      </c>
      <c r="J1025" t="n">
        <v>0</v>
      </c>
      <c r="K1025" t="n">
        <v>0</v>
      </c>
      <c r="L1025" t="n">
        <v>0</v>
      </c>
      <c r="M1025" t="n">
        <v>0</v>
      </c>
      <c r="N1025" t="n">
        <v>0</v>
      </c>
      <c r="O1025" t="n">
        <v>0</v>
      </c>
      <c r="P1025" t="n">
        <v>0</v>
      </c>
      <c r="Q1025" t="n">
        <v>0</v>
      </c>
      <c r="R1025" s="2" t="inlineStr"/>
    </row>
    <row r="1026" ht="15" customHeight="1">
      <c r="A1026" t="inlineStr">
        <is>
          <t>A 27122-2023</t>
        </is>
      </c>
      <c r="B1026" s="1" t="n">
        <v>45096</v>
      </c>
      <c r="C1026" s="1" t="n">
        <v>45294</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27138-2023</t>
        </is>
      </c>
      <c r="B1027" s="1" t="n">
        <v>45096</v>
      </c>
      <c r="C1027" s="1" t="n">
        <v>45294</v>
      </c>
      <c r="D1027" t="inlineStr">
        <is>
          <t>KALMAR LÄN</t>
        </is>
      </c>
      <c r="E1027" t="inlineStr">
        <is>
          <t>VIMMERBY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28988-2023</t>
        </is>
      </c>
      <c r="B1028" s="1" t="n">
        <v>45096</v>
      </c>
      <c r="C1028" s="1" t="n">
        <v>45294</v>
      </c>
      <c r="D1028" t="inlineStr">
        <is>
          <t>KALMAR LÄN</t>
        </is>
      </c>
      <c r="E1028" t="inlineStr">
        <is>
          <t>VIMMERBY</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27443-2023</t>
        </is>
      </c>
      <c r="B1029" s="1" t="n">
        <v>45097</v>
      </c>
      <c r="C1029" s="1" t="n">
        <v>45294</v>
      </c>
      <c r="D1029" t="inlineStr">
        <is>
          <t>KALMAR LÄN</t>
        </is>
      </c>
      <c r="E1029" t="inlineStr">
        <is>
          <t>VIMMERBY</t>
        </is>
      </c>
      <c r="F1029" t="inlineStr">
        <is>
          <t>Övriga Aktiebolag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27705-2023</t>
        </is>
      </c>
      <c r="B1030" s="1" t="n">
        <v>45098</v>
      </c>
      <c r="C1030" s="1" t="n">
        <v>45294</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28123-2023</t>
        </is>
      </c>
      <c r="B1031" s="1" t="n">
        <v>45099</v>
      </c>
      <c r="C1031" s="1" t="n">
        <v>45294</v>
      </c>
      <c r="D1031" t="inlineStr">
        <is>
          <t>KALMAR LÄN</t>
        </is>
      </c>
      <c r="E1031" t="inlineStr">
        <is>
          <t>VIMMERBY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28129-2023</t>
        </is>
      </c>
      <c r="B1032" s="1" t="n">
        <v>45099</v>
      </c>
      <c r="C1032" s="1" t="n">
        <v>45294</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28395-2023</t>
        </is>
      </c>
      <c r="B1033" s="1" t="n">
        <v>45100</v>
      </c>
      <c r="C1033" s="1" t="n">
        <v>45294</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28403-2023</t>
        </is>
      </c>
      <c r="B1034" s="1" t="n">
        <v>45100</v>
      </c>
      <c r="C1034" s="1" t="n">
        <v>45294</v>
      </c>
      <c r="D1034" t="inlineStr">
        <is>
          <t>KALMAR LÄN</t>
        </is>
      </c>
      <c r="E1034" t="inlineStr">
        <is>
          <t>VIMMERBY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29093-2023</t>
        </is>
      </c>
      <c r="B1035" s="1" t="n">
        <v>45105</v>
      </c>
      <c r="C1035" s="1" t="n">
        <v>45294</v>
      </c>
      <c r="D1035" t="inlineStr">
        <is>
          <t>KALMAR LÄN</t>
        </is>
      </c>
      <c r="E1035" t="inlineStr">
        <is>
          <t>VIMMERBY</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29196-2023</t>
        </is>
      </c>
      <c r="B1036" s="1" t="n">
        <v>45105</v>
      </c>
      <c r="C1036" s="1" t="n">
        <v>45294</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29351-2023</t>
        </is>
      </c>
      <c r="B1037" s="1" t="n">
        <v>45106</v>
      </c>
      <c r="C1037" s="1" t="n">
        <v>45294</v>
      </c>
      <c r="D1037" t="inlineStr">
        <is>
          <t>KALMAR LÄN</t>
        </is>
      </c>
      <c r="E1037" t="inlineStr">
        <is>
          <t>VIMMERBY</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29350-2023</t>
        </is>
      </c>
      <c r="B1038" s="1" t="n">
        <v>45106</v>
      </c>
      <c r="C1038" s="1" t="n">
        <v>45294</v>
      </c>
      <c r="D1038" t="inlineStr">
        <is>
          <t>KALMAR LÄN</t>
        </is>
      </c>
      <c r="E1038" t="inlineStr">
        <is>
          <t>VIMMERBY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29348-2023</t>
        </is>
      </c>
      <c r="B1039" s="1" t="n">
        <v>45106</v>
      </c>
      <c r="C1039" s="1" t="n">
        <v>45294</v>
      </c>
      <c r="D1039" t="inlineStr">
        <is>
          <t>KALMAR LÄN</t>
        </is>
      </c>
      <c r="E1039" t="inlineStr">
        <is>
          <t>VIMMERBY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29349-2023</t>
        </is>
      </c>
      <c r="B1040" s="1" t="n">
        <v>45106</v>
      </c>
      <c r="C1040" s="1" t="n">
        <v>45294</v>
      </c>
      <c r="D1040" t="inlineStr">
        <is>
          <t>KALMAR LÄN</t>
        </is>
      </c>
      <c r="E1040" t="inlineStr">
        <is>
          <t>VIMMERBY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29973-2023</t>
        </is>
      </c>
      <c r="B1041" s="1" t="n">
        <v>45108</v>
      </c>
      <c r="C1041" s="1" t="n">
        <v>45294</v>
      </c>
      <c r="D1041" t="inlineStr">
        <is>
          <t>KALMAR LÄN</t>
        </is>
      </c>
      <c r="E1041" t="inlineStr">
        <is>
          <t>VIMMERBY</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30070-2023</t>
        </is>
      </c>
      <c r="B1042" s="1" t="n">
        <v>45110</v>
      </c>
      <c r="C1042" s="1" t="n">
        <v>45294</v>
      </c>
      <c r="D1042" t="inlineStr">
        <is>
          <t>KALMAR LÄN</t>
        </is>
      </c>
      <c r="E1042" t="inlineStr">
        <is>
          <t>VIMMERBY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30063-2023</t>
        </is>
      </c>
      <c r="B1043" s="1" t="n">
        <v>45110</v>
      </c>
      <c r="C1043" s="1" t="n">
        <v>45294</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30090-2023</t>
        </is>
      </c>
      <c r="B1044" s="1" t="n">
        <v>45110</v>
      </c>
      <c r="C1044" s="1" t="n">
        <v>45294</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30503-2023</t>
        </is>
      </c>
      <c r="B1045" s="1" t="n">
        <v>45111</v>
      </c>
      <c r="C1045" s="1" t="n">
        <v>45294</v>
      </c>
      <c r="D1045" t="inlineStr">
        <is>
          <t>KALMAR LÄN</t>
        </is>
      </c>
      <c r="E1045" t="inlineStr">
        <is>
          <t>VIMMERBY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30380-2023</t>
        </is>
      </c>
      <c r="B1046" s="1" t="n">
        <v>45111</v>
      </c>
      <c r="C1046" s="1" t="n">
        <v>45294</v>
      </c>
      <c r="D1046" t="inlineStr">
        <is>
          <t>KALMAR LÄN</t>
        </is>
      </c>
      <c r="E1046" t="inlineStr">
        <is>
          <t>VIMMERBY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30400-2023</t>
        </is>
      </c>
      <c r="B1047" s="1" t="n">
        <v>45111</v>
      </c>
      <c r="C1047" s="1" t="n">
        <v>45294</v>
      </c>
      <c r="D1047" t="inlineStr">
        <is>
          <t>KALMAR LÄN</t>
        </is>
      </c>
      <c r="E1047" t="inlineStr">
        <is>
          <t>VIMMERBY</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30318-2023</t>
        </is>
      </c>
      <c r="B1048" s="1" t="n">
        <v>45111</v>
      </c>
      <c r="C1048" s="1" t="n">
        <v>45294</v>
      </c>
      <c r="D1048" t="inlineStr">
        <is>
          <t>KALMAR LÄN</t>
        </is>
      </c>
      <c r="E1048" t="inlineStr">
        <is>
          <t>VIMMERBY</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30402-2023</t>
        </is>
      </c>
      <c r="B1049" s="1" t="n">
        <v>45111</v>
      </c>
      <c r="C1049" s="1" t="n">
        <v>45294</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30406-2023</t>
        </is>
      </c>
      <c r="B1050" s="1" t="n">
        <v>45111</v>
      </c>
      <c r="C1050" s="1" t="n">
        <v>45294</v>
      </c>
      <c r="D1050" t="inlineStr">
        <is>
          <t>KALMAR LÄN</t>
        </is>
      </c>
      <c r="E1050" t="inlineStr">
        <is>
          <t>VIMMERBY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30404-2023</t>
        </is>
      </c>
      <c r="B1051" s="1" t="n">
        <v>45111</v>
      </c>
      <c r="C1051" s="1" t="n">
        <v>45294</v>
      </c>
      <c r="D1051" t="inlineStr">
        <is>
          <t>KALMAR LÄN</t>
        </is>
      </c>
      <c r="E1051" t="inlineStr">
        <is>
          <t>VIMMERBY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30408-2023</t>
        </is>
      </c>
      <c r="B1052" s="1" t="n">
        <v>45111</v>
      </c>
      <c r="C1052" s="1" t="n">
        <v>45294</v>
      </c>
      <c r="D1052" t="inlineStr">
        <is>
          <t>KALMAR LÄN</t>
        </is>
      </c>
      <c r="E1052" t="inlineStr">
        <is>
          <t>VIMMERBY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30586-2023</t>
        </is>
      </c>
      <c r="B1053" s="1" t="n">
        <v>45112</v>
      </c>
      <c r="C1053" s="1" t="n">
        <v>45294</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30588-2023</t>
        </is>
      </c>
      <c r="B1054" s="1" t="n">
        <v>45112</v>
      </c>
      <c r="C1054" s="1" t="n">
        <v>45294</v>
      </c>
      <c r="D1054" t="inlineStr">
        <is>
          <t>KALMAR LÄN</t>
        </is>
      </c>
      <c r="E1054" t="inlineStr">
        <is>
          <t>VIMMERBY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30896-2023</t>
        </is>
      </c>
      <c r="B1055" s="1" t="n">
        <v>45113</v>
      </c>
      <c r="C1055" s="1" t="n">
        <v>45294</v>
      </c>
      <c r="D1055" t="inlineStr">
        <is>
          <t>KALMAR LÄN</t>
        </is>
      </c>
      <c r="E1055" t="inlineStr">
        <is>
          <t>VIMMERBY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30899-2023</t>
        </is>
      </c>
      <c r="B1056" s="1" t="n">
        <v>45113</v>
      </c>
      <c r="C1056" s="1" t="n">
        <v>45294</v>
      </c>
      <c r="D1056" t="inlineStr">
        <is>
          <t>KALMAR LÄN</t>
        </is>
      </c>
      <c r="E1056" t="inlineStr">
        <is>
          <t>VIMMERBY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30912-2023</t>
        </is>
      </c>
      <c r="B1057" s="1" t="n">
        <v>45113</v>
      </c>
      <c r="C1057" s="1" t="n">
        <v>45294</v>
      </c>
      <c r="D1057" t="inlineStr">
        <is>
          <t>KALMAR LÄN</t>
        </is>
      </c>
      <c r="E1057" t="inlineStr">
        <is>
          <t>VIMMERBY</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30920-2023</t>
        </is>
      </c>
      <c r="B1058" s="1" t="n">
        <v>45113</v>
      </c>
      <c r="C1058" s="1" t="n">
        <v>45294</v>
      </c>
      <c r="D1058" t="inlineStr">
        <is>
          <t>KALMAR LÄN</t>
        </is>
      </c>
      <c r="E1058" t="inlineStr">
        <is>
          <t>VIMMERBY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30894-2023</t>
        </is>
      </c>
      <c r="B1059" s="1" t="n">
        <v>45113</v>
      </c>
      <c r="C1059" s="1" t="n">
        <v>45294</v>
      </c>
      <c r="D1059" t="inlineStr">
        <is>
          <t>KALMAR LÄN</t>
        </is>
      </c>
      <c r="E1059" t="inlineStr">
        <is>
          <t>VIMMERBY</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30898-2023</t>
        </is>
      </c>
      <c r="B1060" s="1" t="n">
        <v>45113</v>
      </c>
      <c r="C1060" s="1" t="n">
        <v>45294</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31013-2023</t>
        </is>
      </c>
      <c r="B1061" s="1" t="n">
        <v>45113</v>
      </c>
      <c r="C1061" s="1" t="n">
        <v>45294</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31017-2023</t>
        </is>
      </c>
      <c r="B1062" s="1" t="n">
        <v>45113</v>
      </c>
      <c r="C1062" s="1" t="n">
        <v>45294</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31340-2023</t>
        </is>
      </c>
      <c r="B1063" s="1" t="n">
        <v>45114</v>
      </c>
      <c r="C1063" s="1" t="n">
        <v>45294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31369-2023</t>
        </is>
      </c>
      <c r="B1064" s="1" t="n">
        <v>45114</v>
      </c>
      <c r="C1064" s="1" t="n">
        <v>45294</v>
      </c>
      <c r="D1064" t="inlineStr">
        <is>
          <t>KALMAR LÄN</t>
        </is>
      </c>
      <c r="E1064" t="inlineStr">
        <is>
          <t>VIMMERBY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31377-2023</t>
        </is>
      </c>
      <c r="B1065" s="1" t="n">
        <v>45114</v>
      </c>
      <c r="C1065" s="1" t="n">
        <v>45294</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31382-2023</t>
        </is>
      </c>
      <c r="B1066" s="1" t="n">
        <v>45114</v>
      </c>
      <c r="C1066" s="1" t="n">
        <v>45294</v>
      </c>
      <c r="D1066" t="inlineStr">
        <is>
          <t>KALMAR LÄN</t>
        </is>
      </c>
      <c r="E1066" t="inlineStr">
        <is>
          <t>VIMMERBY</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31405-2023</t>
        </is>
      </c>
      <c r="B1067" s="1" t="n">
        <v>45114</v>
      </c>
      <c r="C1067" s="1" t="n">
        <v>45294</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31336-2023</t>
        </is>
      </c>
      <c r="B1068" s="1" t="n">
        <v>45114</v>
      </c>
      <c r="C1068" s="1" t="n">
        <v>45294</v>
      </c>
      <c r="D1068" t="inlineStr">
        <is>
          <t>KALMAR LÄN</t>
        </is>
      </c>
      <c r="E1068" t="inlineStr">
        <is>
          <t>VIMMERBY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31355-2023</t>
        </is>
      </c>
      <c r="B1069" s="1" t="n">
        <v>45114</v>
      </c>
      <c r="C1069" s="1" t="n">
        <v>45294</v>
      </c>
      <c r="D1069" t="inlineStr">
        <is>
          <t>KALMAR LÄN</t>
        </is>
      </c>
      <c r="E1069" t="inlineStr">
        <is>
          <t>VIMMERBY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31390-2023</t>
        </is>
      </c>
      <c r="B1070" s="1" t="n">
        <v>45114</v>
      </c>
      <c r="C1070" s="1" t="n">
        <v>45294</v>
      </c>
      <c r="D1070" t="inlineStr">
        <is>
          <t>KALMAR LÄN</t>
        </is>
      </c>
      <c r="E1070" t="inlineStr">
        <is>
          <t>VIMMERBY</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31408-2023</t>
        </is>
      </c>
      <c r="B1071" s="1" t="n">
        <v>45114</v>
      </c>
      <c r="C1071" s="1" t="n">
        <v>45294</v>
      </c>
      <c r="D1071" t="inlineStr">
        <is>
          <t>KALMAR LÄN</t>
        </is>
      </c>
      <c r="E1071" t="inlineStr">
        <is>
          <t>VIMMERBY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31682-2023</t>
        </is>
      </c>
      <c r="B1072" s="1" t="n">
        <v>45117</v>
      </c>
      <c r="C1072" s="1" t="n">
        <v>45294</v>
      </c>
      <c r="D1072" t="inlineStr">
        <is>
          <t>KALMAR LÄN</t>
        </is>
      </c>
      <c r="E1072" t="inlineStr">
        <is>
          <t>VIMMERBY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32633-2023</t>
        </is>
      </c>
      <c r="B1073" s="1" t="n">
        <v>45121</v>
      </c>
      <c r="C1073" s="1" t="n">
        <v>45294</v>
      </c>
      <c r="D1073" t="inlineStr">
        <is>
          <t>KALMAR LÄN</t>
        </is>
      </c>
      <c r="E1073" t="inlineStr">
        <is>
          <t>VIMMERBY</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32651-2023</t>
        </is>
      </c>
      <c r="B1074" s="1" t="n">
        <v>45121</v>
      </c>
      <c r="C1074" s="1" t="n">
        <v>45294</v>
      </c>
      <c r="D1074" t="inlineStr">
        <is>
          <t>KALMAR LÄN</t>
        </is>
      </c>
      <c r="E1074" t="inlineStr">
        <is>
          <t>VIMMERBY</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32655-2023</t>
        </is>
      </c>
      <c r="B1075" s="1" t="n">
        <v>45121</v>
      </c>
      <c r="C1075" s="1" t="n">
        <v>45294</v>
      </c>
      <c r="D1075" t="inlineStr">
        <is>
          <t>KALMAR LÄN</t>
        </is>
      </c>
      <c r="E1075" t="inlineStr">
        <is>
          <t>VIMMERBY</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32669-2023</t>
        </is>
      </c>
      <c r="B1076" s="1" t="n">
        <v>45121</v>
      </c>
      <c r="C1076" s="1" t="n">
        <v>45294</v>
      </c>
      <c r="D1076" t="inlineStr">
        <is>
          <t>KALMAR LÄN</t>
        </is>
      </c>
      <c r="E1076" t="inlineStr">
        <is>
          <t>VIMMERBY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32614-2023</t>
        </is>
      </c>
      <c r="B1077" s="1" t="n">
        <v>45121</v>
      </c>
      <c r="C1077" s="1" t="n">
        <v>45294</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32642-2023</t>
        </is>
      </c>
      <c r="B1078" s="1" t="n">
        <v>45121</v>
      </c>
      <c r="C1078" s="1" t="n">
        <v>45294</v>
      </c>
      <c r="D1078" t="inlineStr">
        <is>
          <t>KALMAR LÄN</t>
        </is>
      </c>
      <c r="E1078" t="inlineStr">
        <is>
          <t>VIMMERBY</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32639-2023</t>
        </is>
      </c>
      <c r="B1079" s="1" t="n">
        <v>45121</v>
      </c>
      <c r="C1079" s="1" t="n">
        <v>45294</v>
      </c>
      <c r="D1079" t="inlineStr">
        <is>
          <t>KALMAR LÄN</t>
        </is>
      </c>
      <c r="E1079" t="inlineStr">
        <is>
          <t>VIMMERBY</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32645-2023</t>
        </is>
      </c>
      <c r="B1080" s="1" t="n">
        <v>45121</v>
      </c>
      <c r="C1080" s="1" t="n">
        <v>45294</v>
      </c>
      <c r="D1080" t="inlineStr">
        <is>
          <t>KALMAR LÄN</t>
        </is>
      </c>
      <c r="E1080" t="inlineStr">
        <is>
          <t>VIMMERBY</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32865-2023</t>
        </is>
      </c>
      <c r="B1081" s="1" t="n">
        <v>45124</v>
      </c>
      <c r="C1081" s="1" t="n">
        <v>45294</v>
      </c>
      <c r="D1081" t="inlineStr">
        <is>
          <t>KALMAR LÄN</t>
        </is>
      </c>
      <c r="E1081" t="inlineStr">
        <is>
          <t>VIMMERBY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32984-2023</t>
        </is>
      </c>
      <c r="B1082" s="1" t="n">
        <v>45125</v>
      </c>
      <c r="C1082" s="1" t="n">
        <v>45294</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33236-2023</t>
        </is>
      </c>
      <c r="B1083" s="1" t="n">
        <v>45127</v>
      </c>
      <c r="C1083" s="1" t="n">
        <v>45294</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33340-2023</t>
        </is>
      </c>
      <c r="B1084" s="1" t="n">
        <v>45128</v>
      </c>
      <c r="C1084" s="1" t="n">
        <v>45294</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33383-2023</t>
        </is>
      </c>
      <c r="B1085" s="1" t="n">
        <v>45128</v>
      </c>
      <c r="C1085" s="1" t="n">
        <v>45294</v>
      </c>
      <c r="D1085" t="inlineStr">
        <is>
          <t>KALMAR LÄN</t>
        </is>
      </c>
      <c r="E1085" t="inlineStr">
        <is>
          <t>VIMMERBY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33380-2023</t>
        </is>
      </c>
      <c r="B1086" s="1" t="n">
        <v>45128</v>
      </c>
      <c r="C1086" s="1" t="n">
        <v>45294</v>
      </c>
      <c r="D1086" t="inlineStr">
        <is>
          <t>KALMAR LÄN</t>
        </is>
      </c>
      <c r="E1086" t="inlineStr">
        <is>
          <t>VIMMERBY</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33417-2023</t>
        </is>
      </c>
      <c r="B1087" s="1" t="n">
        <v>45128</v>
      </c>
      <c r="C1087" s="1" t="n">
        <v>45294</v>
      </c>
      <c r="D1087" t="inlineStr">
        <is>
          <t>KALMAR LÄN</t>
        </is>
      </c>
      <c r="E1087" t="inlineStr">
        <is>
          <t>VIMMERBY</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33425-2023</t>
        </is>
      </c>
      <c r="B1088" s="1" t="n">
        <v>45129</v>
      </c>
      <c r="C1088" s="1" t="n">
        <v>45294</v>
      </c>
      <c r="D1088" t="inlineStr">
        <is>
          <t>KALMAR LÄN</t>
        </is>
      </c>
      <c r="E1088" t="inlineStr">
        <is>
          <t>VIMMERBY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33424-2023</t>
        </is>
      </c>
      <c r="B1089" s="1" t="n">
        <v>45129</v>
      </c>
      <c r="C1089" s="1" t="n">
        <v>45294</v>
      </c>
      <c r="D1089" t="inlineStr">
        <is>
          <t>KALMAR LÄN</t>
        </is>
      </c>
      <c r="E1089" t="inlineStr">
        <is>
          <t>VIMMERBY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33649-2023</t>
        </is>
      </c>
      <c r="B1090" s="1" t="n">
        <v>45132</v>
      </c>
      <c r="C1090" s="1" t="n">
        <v>45294</v>
      </c>
      <c r="D1090" t="inlineStr">
        <is>
          <t>KALMAR LÄN</t>
        </is>
      </c>
      <c r="E1090" t="inlineStr">
        <is>
          <t>VIMMERBY</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34205-2023</t>
        </is>
      </c>
      <c r="B1091" s="1" t="n">
        <v>45138</v>
      </c>
      <c r="C1091" s="1" t="n">
        <v>45294</v>
      </c>
      <c r="D1091" t="inlineStr">
        <is>
          <t>KALMAR LÄN</t>
        </is>
      </c>
      <c r="E1091" t="inlineStr">
        <is>
          <t>VIMMERBY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34300-2023</t>
        </is>
      </c>
      <c r="B1092" s="1" t="n">
        <v>45138</v>
      </c>
      <c r="C1092" s="1" t="n">
        <v>45294</v>
      </c>
      <c r="D1092" t="inlineStr">
        <is>
          <t>KALMAR LÄN</t>
        </is>
      </c>
      <c r="E1092" t="inlineStr">
        <is>
          <t>VIMMERBY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34956-2023</t>
        </is>
      </c>
      <c r="B1093" s="1" t="n">
        <v>45142</v>
      </c>
      <c r="C1093" s="1" t="n">
        <v>45294</v>
      </c>
      <c r="D1093" t="inlineStr">
        <is>
          <t>KALMAR LÄN</t>
        </is>
      </c>
      <c r="E1093" t="inlineStr">
        <is>
          <t>VIMMERBY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35190-2023</t>
        </is>
      </c>
      <c r="B1094" s="1" t="n">
        <v>45145</v>
      </c>
      <c r="C1094" s="1" t="n">
        <v>45294</v>
      </c>
      <c r="D1094" t="inlineStr">
        <is>
          <t>KALMAR LÄN</t>
        </is>
      </c>
      <c r="E1094" t="inlineStr">
        <is>
          <t>VIMMERBY</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35198-2023</t>
        </is>
      </c>
      <c r="B1095" s="1" t="n">
        <v>45145</v>
      </c>
      <c r="C1095" s="1" t="n">
        <v>45294</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35372-2023</t>
        </is>
      </c>
      <c r="B1096" s="1" t="n">
        <v>45146</v>
      </c>
      <c r="C1096" s="1" t="n">
        <v>45294</v>
      </c>
      <c r="D1096" t="inlineStr">
        <is>
          <t>KALMAR LÄN</t>
        </is>
      </c>
      <c r="E1096" t="inlineStr">
        <is>
          <t>VIMMERBY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35670-2023</t>
        </is>
      </c>
      <c r="B1097" s="1" t="n">
        <v>45147</v>
      </c>
      <c r="C1097" s="1" t="n">
        <v>45294</v>
      </c>
      <c r="D1097" t="inlineStr">
        <is>
          <t>KALMAR LÄN</t>
        </is>
      </c>
      <c r="E1097" t="inlineStr">
        <is>
          <t>VIMMERBY</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35678-2023</t>
        </is>
      </c>
      <c r="B1098" s="1" t="n">
        <v>45147</v>
      </c>
      <c r="C1098" s="1" t="n">
        <v>45294</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35710-2023</t>
        </is>
      </c>
      <c r="B1099" s="1" t="n">
        <v>45147</v>
      </c>
      <c r="C1099" s="1" t="n">
        <v>45294</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35671-2023</t>
        </is>
      </c>
      <c r="B1100" s="1" t="n">
        <v>45147</v>
      </c>
      <c r="C1100" s="1" t="n">
        <v>45294</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35711-2023</t>
        </is>
      </c>
      <c r="B1101" s="1" t="n">
        <v>45147</v>
      </c>
      <c r="C1101" s="1" t="n">
        <v>45294</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35672-2023</t>
        </is>
      </c>
      <c r="B1102" s="1" t="n">
        <v>45147</v>
      </c>
      <c r="C1102" s="1" t="n">
        <v>45294</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35713-2023</t>
        </is>
      </c>
      <c r="B1103" s="1" t="n">
        <v>45147</v>
      </c>
      <c r="C1103" s="1" t="n">
        <v>45294</v>
      </c>
      <c r="D1103" t="inlineStr">
        <is>
          <t>KALMAR LÄN</t>
        </is>
      </c>
      <c r="E1103" t="inlineStr">
        <is>
          <t>VIMMERBY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35839-2023</t>
        </is>
      </c>
      <c r="B1104" s="1" t="n">
        <v>45148</v>
      </c>
      <c r="C1104" s="1" t="n">
        <v>45294</v>
      </c>
      <c r="D1104" t="inlineStr">
        <is>
          <t>KALMAR LÄN</t>
        </is>
      </c>
      <c r="E1104" t="inlineStr">
        <is>
          <t>VIMMERBY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35846-2023</t>
        </is>
      </c>
      <c r="B1105" s="1" t="n">
        <v>45148</v>
      </c>
      <c r="C1105" s="1" t="n">
        <v>45294</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35913-2023</t>
        </is>
      </c>
      <c r="B1106" s="1" t="n">
        <v>45148</v>
      </c>
      <c r="C1106" s="1" t="n">
        <v>45294</v>
      </c>
      <c r="D1106" t="inlineStr">
        <is>
          <t>KALMAR LÄN</t>
        </is>
      </c>
      <c r="E1106" t="inlineStr">
        <is>
          <t>VIMMERBY</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36155-2023</t>
        </is>
      </c>
      <c r="B1107" s="1" t="n">
        <v>45149</v>
      </c>
      <c r="C1107" s="1" t="n">
        <v>45294</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36385-2023</t>
        </is>
      </c>
      <c r="B1108" s="1" t="n">
        <v>45152</v>
      </c>
      <c r="C1108" s="1" t="n">
        <v>45294</v>
      </c>
      <c r="D1108" t="inlineStr">
        <is>
          <t>KALMAR LÄN</t>
        </is>
      </c>
      <c r="E1108" t="inlineStr">
        <is>
          <t>VIMMERBY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36526-2023</t>
        </is>
      </c>
      <c r="B1109" s="1" t="n">
        <v>45153</v>
      </c>
      <c r="C1109" s="1" t="n">
        <v>45294</v>
      </c>
      <c r="D1109" t="inlineStr">
        <is>
          <t>KALMAR LÄN</t>
        </is>
      </c>
      <c r="E1109" t="inlineStr">
        <is>
          <t>VIMMERBY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36843-2023</t>
        </is>
      </c>
      <c r="B1110" s="1" t="n">
        <v>45154</v>
      </c>
      <c r="C1110" s="1" t="n">
        <v>45294</v>
      </c>
      <c r="D1110" t="inlineStr">
        <is>
          <t>KALMAR LÄN</t>
        </is>
      </c>
      <c r="E1110" t="inlineStr">
        <is>
          <t>VIMMERBY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37373-2023</t>
        </is>
      </c>
      <c r="B1111" s="1" t="n">
        <v>45156</v>
      </c>
      <c r="C1111" s="1" t="n">
        <v>45294</v>
      </c>
      <c r="D1111" t="inlineStr">
        <is>
          <t>KALMAR LÄN</t>
        </is>
      </c>
      <c r="E1111" t="inlineStr">
        <is>
          <t>VIMMERBY</t>
        </is>
      </c>
      <c r="F1111" t="inlineStr">
        <is>
          <t>Övriga Aktiebolag</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38254-2023</t>
        </is>
      </c>
      <c r="B1112" s="1" t="n">
        <v>45160</v>
      </c>
      <c r="C1112" s="1" t="n">
        <v>45294</v>
      </c>
      <c r="D1112" t="inlineStr">
        <is>
          <t>KALMAR LÄN</t>
        </is>
      </c>
      <c r="E1112" t="inlineStr">
        <is>
          <t>VIMMERBY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38261-2023</t>
        </is>
      </c>
      <c r="B1113" s="1" t="n">
        <v>45160</v>
      </c>
      <c r="C1113" s="1" t="n">
        <v>45294</v>
      </c>
      <c r="D1113" t="inlineStr">
        <is>
          <t>KALMAR LÄN</t>
        </is>
      </c>
      <c r="E1113" t="inlineStr">
        <is>
          <t>VIMMERBY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38274-2023</t>
        </is>
      </c>
      <c r="B1114" s="1" t="n">
        <v>45161</v>
      </c>
      <c r="C1114" s="1" t="n">
        <v>45294</v>
      </c>
      <c r="D1114" t="inlineStr">
        <is>
          <t>KALMAR LÄN</t>
        </is>
      </c>
      <c r="E1114" t="inlineStr">
        <is>
          <t>VIMMERBY</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38969-2023</t>
        </is>
      </c>
      <c r="B1115" s="1" t="n">
        <v>45163</v>
      </c>
      <c r="C1115" s="1" t="n">
        <v>45294</v>
      </c>
      <c r="D1115" t="inlineStr">
        <is>
          <t>KALMAR LÄN</t>
        </is>
      </c>
      <c r="E1115" t="inlineStr">
        <is>
          <t>VIMMERBY</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38993-2023</t>
        </is>
      </c>
      <c r="B1116" s="1" t="n">
        <v>45163</v>
      </c>
      <c r="C1116" s="1" t="n">
        <v>45294</v>
      </c>
      <c r="D1116" t="inlineStr">
        <is>
          <t>KALMAR LÄN</t>
        </is>
      </c>
      <c r="E1116" t="inlineStr">
        <is>
          <t>VIMMERBY</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38851-2023</t>
        </is>
      </c>
      <c r="B1117" s="1" t="n">
        <v>45163</v>
      </c>
      <c r="C1117" s="1" t="n">
        <v>45294</v>
      </c>
      <c r="D1117" t="inlineStr">
        <is>
          <t>KALMAR LÄN</t>
        </is>
      </c>
      <c r="E1117" t="inlineStr">
        <is>
          <t>VIMMERBY</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38995-2023</t>
        </is>
      </c>
      <c r="B1118" s="1" t="n">
        <v>45163</v>
      </c>
      <c r="C1118" s="1" t="n">
        <v>45294</v>
      </c>
      <c r="D1118" t="inlineStr">
        <is>
          <t>KALMAR LÄN</t>
        </is>
      </c>
      <c r="E1118" t="inlineStr">
        <is>
          <t>VIMMERBY</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38992-2023</t>
        </is>
      </c>
      <c r="B1119" s="1" t="n">
        <v>45163</v>
      </c>
      <c r="C1119" s="1" t="n">
        <v>45294</v>
      </c>
      <c r="D1119" t="inlineStr">
        <is>
          <t>KALMAR LÄN</t>
        </is>
      </c>
      <c r="E1119" t="inlineStr">
        <is>
          <t>VIMMERBY</t>
        </is>
      </c>
      <c r="F1119" t="inlineStr">
        <is>
          <t>Sveaskog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38779-2023</t>
        </is>
      </c>
      <c r="B1120" s="1" t="n">
        <v>45163</v>
      </c>
      <c r="C1120" s="1" t="n">
        <v>45294</v>
      </c>
      <c r="D1120" t="inlineStr">
        <is>
          <t>KALMAR LÄN</t>
        </is>
      </c>
      <c r="E1120" t="inlineStr">
        <is>
          <t>VIMMERBY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38757-2023</t>
        </is>
      </c>
      <c r="B1121" s="1" t="n">
        <v>45163</v>
      </c>
      <c r="C1121" s="1" t="n">
        <v>45294</v>
      </c>
      <c r="D1121" t="inlineStr">
        <is>
          <t>KALMAR LÄN</t>
        </is>
      </c>
      <c r="E1121" t="inlineStr">
        <is>
          <t>VIMMERBY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38799-2023</t>
        </is>
      </c>
      <c r="B1122" s="1" t="n">
        <v>45163</v>
      </c>
      <c r="C1122" s="1" t="n">
        <v>45294</v>
      </c>
      <c r="D1122" t="inlineStr">
        <is>
          <t>KALMAR LÄN</t>
        </is>
      </c>
      <c r="E1122" t="inlineStr">
        <is>
          <t>VIMMERBY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38803-2023</t>
        </is>
      </c>
      <c r="B1123" s="1" t="n">
        <v>45163</v>
      </c>
      <c r="C1123" s="1" t="n">
        <v>45294</v>
      </c>
      <c r="D1123" t="inlineStr">
        <is>
          <t>KALMAR LÄN</t>
        </is>
      </c>
      <c r="E1123" t="inlineStr">
        <is>
          <t>VIMMERBY</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39129-2023</t>
        </is>
      </c>
      <c r="B1124" s="1" t="n">
        <v>45165</v>
      </c>
      <c r="C1124" s="1" t="n">
        <v>45294</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39401-2023</t>
        </is>
      </c>
      <c r="B1125" s="1" t="n">
        <v>45166</v>
      </c>
      <c r="C1125" s="1" t="n">
        <v>45294</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40079-2023</t>
        </is>
      </c>
      <c r="B1126" s="1" t="n">
        <v>45168</v>
      </c>
      <c r="C1126" s="1" t="n">
        <v>45294</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40083-2023</t>
        </is>
      </c>
      <c r="B1127" s="1" t="n">
        <v>45168</v>
      </c>
      <c r="C1127" s="1" t="n">
        <v>45294</v>
      </c>
      <c r="D1127" t="inlineStr">
        <is>
          <t>KALMAR LÄN</t>
        </is>
      </c>
      <c r="E1127" t="inlineStr">
        <is>
          <t>VIMMERBY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39912-2023</t>
        </is>
      </c>
      <c r="B1128" s="1" t="n">
        <v>45168</v>
      </c>
      <c r="C1128" s="1" t="n">
        <v>45294</v>
      </c>
      <c r="D1128" t="inlineStr">
        <is>
          <t>KALMAR LÄN</t>
        </is>
      </c>
      <c r="E1128" t="inlineStr">
        <is>
          <t>VIMMERBY</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40084-2023</t>
        </is>
      </c>
      <c r="B1129" s="1" t="n">
        <v>45168</v>
      </c>
      <c r="C1129" s="1" t="n">
        <v>45294</v>
      </c>
      <c r="D1129" t="inlineStr">
        <is>
          <t>KALMAR LÄN</t>
        </is>
      </c>
      <c r="E1129" t="inlineStr">
        <is>
          <t>VIMMERBY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40147-2023</t>
        </is>
      </c>
      <c r="B1130" s="1" t="n">
        <v>45169</v>
      </c>
      <c r="C1130" s="1" t="n">
        <v>45294</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40151-2023</t>
        </is>
      </c>
      <c r="B1131" s="1" t="n">
        <v>45169</v>
      </c>
      <c r="C1131" s="1" t="n">
        <v>45294</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40380-2023</t>
        </is>
      </c>
      <c r="B1132" s="1" t="n">
        <v>45169</v>
      </c>
      <c r="C1132" s="1" t="n">
        <v>45294</v>
      </c>
      <c r="D1132" t="inlineStr">
        <is>
          <t>KALMAR LÄN</t>
        </is>
      </c>
      <c r="E1132" t="inlineStr">
        <is>
          <t>VIMMERBY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40472-2023</t>
        </is>
      </c>
      <c r="B1133" s="1" t="n">
        <v>45170</v>
      </c>
      <c r="C1133" s="1" t="n">
        <v>45294</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40477-2023</t>
        </is>
      </c>
      <c r="B1134" s="1" t="n">
        <v>45170</v>
      </c>
      <c r="C1134" s="1" t="n">
        <v>45294</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40665-2023</t>
        </is>
      </c>
      <c r="B1135" s="1" t="n">
        <v>45170</v>
      </c>
      <c r="C1135" s="1" t="n">
        <v>45294</v>
      </c>
      <c r="D1135" t="inlineStr">
        <is>
          <t>KALMAR LÄN</t>
        </is>
      </c>
      <c r="E1135" t="inlineStr">
        <is>
          <t>VIMMERBY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40828-2023</t>
        </is>
      </c>
      <c r="B1136" s="1" t="n">
        <v>45172</v>
      </c>
      <c r="C1136" s="1" t="n">
        <v>45294</v>
      </c>
      <c r="D1136" t="inlineStr">
        <is>
          <t>KALMAR LÄN</t>
        </is>
      </c>
      <c r="E1136" t="inlineStr">
        <is>
          <t>VIMMERBY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40823-2023</t>
        </is>
      </c>
      <c r="B1137" s="1" t="n">
        <v>45171</v>
      </c>
      <c r="C1137" s="1" t="n">
        <v>45294</v>
      </c>
      <c r="D1137" t="inlineStr">
        <is>
          <t>KALMAR LÄN</t>
        </is>
      </c>
      <c r="E1137" t="inlineStr">
        <is>
          <t>VIMMERBY</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41084-2023</t>
        </is>
      </c>
      <c r="B1138" s="1" t="n">
        <v>45173</v>
      </c>
      <c r="C1138" s="1" t="n">
        <v>45294</v>
      </c>
      <c r="D1138" t="inlineStr">
        <is>
          <t>KALMAR LÄN</t>
        </is>
      </c>
      <c r="E1138" t="inlineStr">
        <is>
          <t>VIMMERBY</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41088-2023</t>
        </is>
      </c>
      <c r="B1139" s="1" t="n">
        <v>45173</v>
      </c>
      <c r="C1139" s="1" t="n">
        <v>45294</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41199-2023</t>
        </is>
      </c>
      <c r="B1140" s="1" t="n">
        <v>45174</v>
      </c>
      <c r="C1140" s="1" t="n">
        <v>45294</v>
      </c>
      <c r="D1140" t="inlineStr">
        <is>
          <t>KALMAR LÄN</t>
        </is>
      </c>
      <c r="E1140" t="inlineStr">
        <is>
          <t>VIMMERBY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41311-2023</t>
        </is>
      </c>
      <c r="B1141" s="1" t="n">
        <v>45174</v>
      </c>
      <c r="C1141" s="1" t="n">
        <v>45294</v>
      </c>
      <c r="D1141" t="inlineStr">
        <is>
          <t>KALMAR LÄN</t>
        </is>
      </c>
      <c r="E1141" t="inlineStr">
        <is>
          <t>VIMMERBY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41158-2023</t>
        </is>
      </c>
      <c r="B1142" s="1" t="n">
        <v>45174</v>
      </c>
      <c r="C1142" s="1" t="n">
        <v>45294</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41202-2023</t>
        </is>
      </c>
      <c r="B1143" s="1" t="n">
        <v>45174</v>
      </c>
      <c r="C1143" s="1" t="n">
        <v>45294</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41894-2023</t>
        </is>
      </c>
      <c r="B1144" s="1" t="n">
        <v>45176</v>
      </c>
      <c r="C1144" s="1" t="n">
        <v>45294</v>
      </c>
      <c r="D1144" t="inlineStr">
        <is>
          <t>KALMAR LÄN</t>
        </is>
      </c>
      <c r="E1144" t="inlineStr">
        <is>
          <t>VIMMERBY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41896-2023</t>
        </is>
      </c>
      <c r="B1145" s="1" t="n">
        <v>45176</v>
      </c>
      <c r="C1145" s="1" t="n">
        <v>45294</v>
      </c>
      <c r="D1145" t="inlineStr">
        <is>
          <t>KALMAR LÄN</t>
        </is>
      </c>
      <c r="E1145" t="inlineStr">
        <is>
          <t>VIMMERBY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42241-2023</t>
        </is>
      </c>
      <c r="B1146" s="1" t="n">
        <v>45180</v>
      </c>
      <c r="C1146" s="1" t="n">
        <v>45294</v>
      </c>
      <c r="D1146" t="inlineStr">
        <is>
          <t>KALMAR LÄN</t>
        </is>
      </c>
      <c r="E1146" t="inlineStr">
        <is>
          <t>VIMMERBY</t>
        </is>
      </c>
      <c r="F1146" t="inlineStr">
        <is>
          <t>Övriga Aktiebolag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42689-2023</t>
        </is>
      </c>
      <c r="B1147" s="1" t="n">
        <v>45181</v>
      </c>
      <c r="C1147" s="1" t="n">
        <v>45294</v>
      </c>
      <c r="D1147" t="inlineStr">
        <is>
          <t>KALMAR LÄN</t>
        </is>
      </c>
      <c r="E1147" t="inlineStr">
        <is>
          <t>VIMMERBY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42644-2023</t>
        </is>
      </c>
      <c r="B1148" s="1" t="n">
        <v>45181</v>
      </c>
      <c r="C1148" s="1" t="n">
        <v>45294</v>
      </c>
      <c r="D1148" t="inlineStr">
        <is>
          <t>KALMAR LÄN</t>
        </is>
      </c>
      <c r="E1148" t="inlineStr">
        <is>
          <t>VIMMERBY</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43068-2023</t>
        </is>
      </c>
      <c r="B1149" s="1" t="n">
        <v>45182</v>
      </c>
      <c r="C1149" s="1" t="n">
        <v>45294</v>
      </c>
      <c r="D1149" t="inlineStr">
        <is>
          <t>KALMAR LÄN</t>
        </is>
      </c>
      <c r="E1149" t="inlineStr">
        <is>
          <t>VIMMERBY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43705-2023</t>
        </is>
      </c>
      <c r="B1150" s="1" t="n">
        <v>45187</v>
      </c>
      <c r="C1150" s="1" t="n">
        <v>45294</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43853-2023</t>
        </is>
      </c>
      <c r="B1151" s="1" t="n">
        <v>45187</v>
      </c>
      <c r="C1151" s="1" t="n">
        <v>45294</v>
      </c>
      <c r="D1151" t="inlineStr">
        <is>
          <t>KALMAR LÄN</t>
        </is>
      </c>
      <c r="E1151" t="inlineStr">
        <is>
          <t>VIMMERBY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43706-2023</t>
        </is>
      </c>
      <c r="B1152" s="1" t="n">
        <v>45187</v>
      </c>
      <c r="C1152" s="1" t="n">
        <v>45294</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43774-2023</t>
        </is>
      </c>
      <c r="B1153" s="1" t="n">
        <v>45187</v>
      </c>
      <c r="C1153" s="1" t="n">
        <v>45294</v>
      </c>
      <c r="D1153" t="inlineStr">
        <is>
          <t>KALMAR LÄN</t>
        </is>
      </c>
      <c r="E1153" t="inlineStr">
        <is>
          <t>VIMMERBY</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44660-2023</t>
        </is>
      </c>
      <c r="B1154" s="1" t="n">
        <v>45189</v>
      </c>
      <c r="C1154" s="1" t="n">
        <v>45294</v>
      </c>
      <c r="D1154" t="inlineStr">
        <is>
          <t>KALMAR LÄN</t>
        </is>
      </c>
      <c r="E1154" t="inlineStr">
        <is>
          <t>VIMMERBY</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44423-2023</t>
        </is>
      </c>
      <c r="B1155" s="1" t="n">
        <v>45189</v>
      </c>
      <c r="C1155" s="1" t="n">
        <v>45294</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44833-2023</t>
        </is>
      </c>
      <c r="B1156" s="1" t="n">
        <v>45190</v>
      </c>
      <c r="C1156" s="1" t="n">
        <v>45294</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44962-2023</t>
        </is>
      </c>
      <c r="B1157" s="1" t="n">
        <v>45190</v>
      </c>
      <c r="C1157" s="1" t="n">
        <v>45294</v>
      </c>
      <c r="D1157" t="inlineStr">
        <is>
          <t>KALMAR LÄN</t>
        </is>
      </c>
      <c r="E1157" t="inlineStr">
        <is>
          <t>VIMMERBY</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44887-2023</t>
        </is>
      </c>
      <c r="B1158" s="1" t="n">
        <v>45190</v>
      </c>
      <c r="C1158" s="1" t="n">
        <v>45294</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44884-2023</t>
        </is>
      </c>
      <c r="B1159" s="1" t="n">
        <v>45190</v>
      </c>
      <c r="C1159" s="1" t="n">
        <v>45294</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45838-2023</t>
        </is>
      </c>
      <c r="B1160" s="1" t="n">
        <v>45195</v>
      </c>
      <c r="C1160" s="1" t="n">
        <v>45294</v>
      </c>
      <c r="D1160" t="inlineStr">
        <is>
          <t>KALMAR LÄN</t>
        </is>
      </c>
      <c r="E1160" t="inlineStr">
        <is>
          <t>VIMMERBY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45846-2023</t>
        </is>
      </c>
      <c r="B1161" s="1" t="n">
        <v>45195</v>
      </c>
      <c r="C1161" s="1" t="n">
        <v>45294</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45731-2023</t>
        </is>
      </c>
      <c r="B1162" s="1" t="n">
        <v>45195</v>
      </c>
      <c r="C1162" s="1" t="n">
        <v>45294</v>
      </c>
      <c r="D1162" t="inlineStr">
        <is>
          <t>KALMAR LÄN</t>
        </is>
      </c>
      <c r="E1162" t="inlineStr">
        <is>
          <t>VIMMERBY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45808-2023</t>
        </is>
      </c>
      <c r="B1163" s="1" t="n">
        <v>45195</v>
      </c>
      <c r="C1163" s="1" t="n">
        <v>45294</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45839-2023</t>
        </is>
      </c>
      <c r="B1164" s="1" t="n">
        <v>45195</v>
      </c>
      <c r="C1164" s="1" t="n">
        <v>45294</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46116-2023</t>
        </is>
      </c>
      <c r="B1165" s="1" t="n">
        <v>45196</v>
      </c>
      <c r="C1165" s="1" t="n">
        <v>45294</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46078-2023</t>
        </is>
      </c>
      <c r="B1166" s="1" t="n">
        <v>45196</v>
      </c>
      <c r="C1166" s="1" t="n">
        <v>45294</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46144-2023</t>
        </is>
      </c>
      <c r="B1167" s="1" t="n">
        <v>45196</v>
      </c>
      <c r="C1167" s="1" t="n">
        <v>45294</v>
      </c>
      <c r="D1167" t="inlineStr">
        <is>
          <t>KALMAR LÄN</t>
        </is>
      </c>
      <c r="E1167" t="inlineStr">
        <is>
          <t>VIMMERBY</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46697-2023</t>
        </is>
      </c>
      <c r="B1168" s="1" t="n">
        <v>45198</v>
      </c>
      <c r="C1168" s="1" t="n">
        <v>45294</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46695-2023</t>
        </is>
      </c>
      <c r="B1169" s="1" t="n">
        <v>45198</v>
      </c>
      <c r="C1169" s="1" t="n">
        <v>45294</v>
      </c>
      <c r="D1169" t="inlineStr">
        <is>
          <t>KALMAR LÄN</t>
        </is>
      </c>
      <c r="E1169" t="inlineStr">
        <is>
          <t>VIMMERBY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46916-2023</t>
        </is>
      </c>
      <c r="B1170" s="1" t="n">
        <v>45201</v>
      </c>
      <c r="C1170" s="1" t="n">
        <v>45294</v>
      </c>
      <c r="D1170" t="inlineStr">
        <is>
          <t>KALMAR LÄN</t>
        </is>
      </c>
      <c r="E1170" t="inlineStr">
        <is>
          <t>VIMMERBY</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46921-2023</t>
        </is>
      </c>
      <c r="B1171" s="1" t="n">
        <v>45201</v>
      </c>
      <c r="C1171" s="1" t="n">
        <v>45294</v>
      </c>
      <c r="D1171" t="inlineStr">
        <is>
          <t>KALMAR LÄN</t>
        </is>
      </c>
      <c r="E1171" t="inlineStr">
        <is>
          <t>VIMMERBY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46941-2023</t>
        </is>
      </c>
      <c r="B1172" s="1" t="n">
        <v>45201</v>
      </c>
      <c r="C1172" s="1" t="n">
        <v>45294</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46979-2023</t>
        </is>
      </c>
      <c r="B1173" s="1" t="n">
        <v>45201</v>
      </c>
      <c r="C1173" s="1" t="n">
        <v>45294</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47084-2023</t>
        </is>
      </c>
      <c r="B1174" s="1" t="n">
        <v>45201</v>
      </c>
      <c r="C1174" s="1" t="n">
        <v>45294</v>
      </c>
      <c r="D1174" t="inlineStr">
        <is>
          <t>KALMAR LÄN</t>
        </is>
      </c>
      <c r="E1174" t="inlineStr">
        <is>
          <t>VIMMERBY</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47247-2023</t>
        </is>
      </c>
      <c r="B1175" s="1" t="n">
        <v>45202</v>
      </c>
      <c r="C1175" s="1" t="n">
        <v>45294</v>
      </c>
      <c r="D1175" t="inlineStr">
        <is>
          <t>KALMAR LÄN</t>
        </is>
      </c>
      <c r="E1175" t="inlineStr">
        <is>
          <t>VIMMERBY</t>
        </is>
      </c>
      <c r="G1175" t="n">
        <v>8.800000000000001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47256-2023</t>
        </is>
      </c>
      <c r="B1176" s="1" t="n">
        <v>45202</v>
      </c>
      <c r="C1176" s="1" t="n">
        <v>45294</v>
      </c>
      <c r="D1176" t="inlineStr">
        <is>
          <t>KALMAR LÄN</t>
        </is>
      </c>
      <c r="E1176" t="inlineStr">
        <is>
          <t>VIMMERBY</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47263-2023</t>
        </is>
      </c>
      <c r="B1177" s="1" t="n">
        <v>45202</v>
      </c>
      <c r="C1177" s="1" t="n">
        <v>45294</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47524-2023</t>
        </is>
      </c>
      <c r="B1178" s="1" t="n">
        <v>45203</v>
      </c>
      <c r="C1178" s="1" t="n">
        <v>45294</v>
      </c>
      <c r="D1178" t="inlineStr">
        <is>
          <t>KALMAR LÄN</t>
        </is>
      </c>
      <c r="E1178" t="inlineStr">
        <is>
          <t>VIMMERBY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47515-2023</t>
        </is>
      </c>
      <c r="B1179" s="1" t="n">
        <v>45203</v>
      </c>
      <c r="C1179" s="1" t="n">
        <v>45294</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47517-2023</t>
        </is>
      </c>
      <c r="B1180" s="1" t="n">
        <v>45203</v>
      </c>
      <c r="C1180" s="1" t="n">
        <v>45294</v>
      </c>
      <c r="D1180" t="inlineStr">
        <is>
          <t>KALMAR LÄN</t>
        </is>
      </c>
      <c r="E1180" t="inlineStr">
        <is>
          <t>VIMMERBY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47521-2023</t>
        </is>
      </c>
      <c r="B1181" s="1" t="n">
        <v>45203</v>
      </c>
      <c r="C1181" s="1" t="n">
        <v>45294</v>
      </c>
      <c r="D1181" t="inlineStr">
        <is>
          <t>KALMAR LÄN</t>
        </is>
      </c>
      <c r="E1181" t="inlineStr">
        <is>
          <t>VIMMERBY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48346-2023</t>
        </is>
      </c>
      <c r="B1182" s="1" t="n">
        <v>45205</v>
      </c>
      <c r="C1182" s="1" t="n">
        <v>45294</v>
      </c>
      <c r="D1182" t="inlineStr">
        <is>
          <t>KALMAR LÄN</t>
        </is>
      </c>
      <c r="E1182" t="inlineStr">
        <is>
          <t>VIMMERBY</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49382-2023</t>
        </is>
      </c>
      <c r="B1183" s="1" t="n">
        <v>45208</v>
      </c>
      <c r="C1183" s="1" t="n">
        <v>45294</v>
      </c>
      <c r="D1183" t="inlineStr">
        <is>
          <t>KALMAR LÄN</t>
        </is>
      </c>
      <c r="E1183" t="inlineStr">
        <is>
          <t>VIMMERBY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49261-2023</t>
        </is>
      </c>
      <c r="B1184" s="1" t="n">
        <v>45210</v>
      </c>
      <c r="C1184" s="1" t="n">
        <v>45294</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49254-2023</t>
        </is>
      </c>
      <c r="B1185" s="1" t="n">
        <v>45210</v>
      </c>
      <c r="C1185" s="1" t="n">
        <v>45294</v>
      </c>
      <c r="D1185" t="inlineStr">
        <is>
          <t>KALMAR LÄN</t>
        </is>
      </c>
      <c r="E1185" t="inlineStr">
        <is>
          <t>VIMMERBY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49246-2023</t>
        </is>
      </c>
      <c r="B1186" s="1" t="n">
        <v>45210</v>
      </c>
      <c r="C1186" s="1" t="n">
        <v>45294</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49408-2023</t>
        </is>
      </c>
      <c r="B1187" s="1" t="n">
        <v>45211</v>
      </c>
      <c r="C1187" s="1" t="n">
        <v>45294</v>
      </c>
      <c r="D1187" t="inlineStr">
        <is>
          <t>KALMAR LÄN</t>
        </is>
      </c>
      <c r="E1187" t="inlineStr">
        <is>
          <t>VIMMERBY</t>
        </is>
      </c>
      <c r="G1187" t="n">
        <v>13.1</v>
      </c>
      <c r="H1187" t="n">
        <v>0</v>
      </c>
      <c r="I1187" t="n">
        <v>0</v>
      </c>
      <c r="J1187" t="n">
        <v>0</v>
      </c>
      <c r="K1187" t="n">
        <v>0</v>
      </c>
      <c r="L1187" t="n">
        <v>0</v>
      </c>
      <c r="M1187" t="n">
        <v>0</v>
      </c>
      <c r="N1187" t="n">
        <v>0</v>
      </c>
      <c r="O1187" t="n">
        <v>0</v>
      </c>
      <c r="P1187" t="n">
        <v>0</v>
      </c>
      <c r="Q1187" t="n">
        <v>0</v>
      </c>
      <c r="R1187" s="2" t="inlineStr"/>
    </row>
    <row r="1188" ht="15" customHeight="1">
      <c r="A1188" t="inlineStr">
        <is>
          <t>A 49458-2023</t>
        </is>
      </c>
      <c r="B1188" s="1" t="n">
        <v>45211</v>
      </c>
      <c r="C1188" s="1" t="n">
        <v>45294</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49461-2023</t>
        </is>
      </c>
      <c r="B1189" s="1" t="n">
        <v>45211</v>
      </c>
      <c r="C1189" s="1" t="n">
        <v>45294</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49474-2023</t>
        </is>
      </c>
      <c r="B1190" s="1" t="n">
        <v>45211</v>
      </c>
      <c r="C1190" s="1" t="n">
        <v>45294</v>
      </c>
      <c r="D1190" t="inlineStr">
        <is>
          <t>KALMAR LÄN</t>
        </is>
      </c>
      <c r="E1190" t="inlineStr">
        <is>
          <t>VIMMERBY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49488-2023</t>
        </is>
      </c>
      <c r="B1191" s="1" t="n">
        <v>45211</v>
      </c>
      <c r="C1191" s="1" t="n">
        <v>45294</v>
      </c>
      <c r="D1191" t="inlineStr">
        <is>
          <t>KALMAR LÄN</t>
        </is>
      </c>
      <c r="E1191" t="inlineStr">
        <is>
          <t>VIMMERBY</t>
        </is>
      </c>
      <c r="F1191" t="inlineStr">
        <is>
          <t>Sveaskog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49756-2023</t>
        </is>
      </c>
      <c r="B1192" s="1" t="n">
        <v>45212</v>
      </c>
      <c r="C1192" s="1" t="n">
        <v>45294</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50087-2023</t>
        </is>
      </c>
      <c r="B1193" s="1" t="n">
        <v>45215</v>
      </c>
      <c r="C1193" s="1" t="n">
        <v>45294</v>
      </c>
      <c r="D1193" t="inlineStr">
        <is>
          <t>KALMAR LÄN</t>
        </is>
      </c>
      <c r="E1193" t="inlineStr">
        <is>
          <t>VIMMERBY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50088-2023</t>
        </is>
      </c>
      <c r="B1194" s="1" t="n">
        <v>45215</v>
      </c>
      <c r="C1194" s="1" t="n">
        <v>45294</v>
      </c>
      <c r="D1194" t="inlineStr">
        <is>
          <t>KALMAR LÄN</t>
        </is>
      </c>
      <c r="E1194" t="inlineStr">
        <is>
          <t>VIMMERBY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50093-2023</t>
        </is>
      </c>
      <c r="B1195" s="1" t="n">
        <v>45215</v>
      </c>
      <c r="C1195" s="1" t="n">
        <v>45294</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50091-2023</t>
        </is>
      </c>
      <c r="B1196" s="1" t="n">
        <v>45215</v>
      </c>
      <c r="C1196" s="1" t="n">
        <v>45294</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50085-2023</t>
        </is>
      </c>
      <c r="B1197" s="1" t="n">
        <v>45215</v>
      </c>
      <c r="C1197" s="1" t="n">
        <v>45294</v>
      </c>
      <c r="D1197" t="inlineStr">
        <is>
          <t>KALMAR LÄN</t>
        </is>
      </c>
      <c r="E1197" t="inlineStr">
        <is>
          <t>VIMMERBY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50648-2023</t>
        </is>
      </c>
      <c r="B1198" s="1" t="n">
        <v>45217</v>
      </c>
      <c r="C1198" s="1" t="n">
        <v>45294</v>
      </c>
      <c r="D1198" t="inlineStr">
        <is>
          <t>KALMAR LÄN</t>
        </is>
      </c>
      <c r="E1198" t="inlineStr">
        <is>
          <t>VIMMERBY</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52371-2023</t>
        </is>
      </c>
      <c r="B1199" s="1" t="n">
        <v>45217</v>
      </c>
      <c r="C1199" s="1" t="n">
        <v>45294</v>
      </c>
      <c r="D1199" t="inlineStr">
        <is>
          <t>KALMAR LÄN</t>
        </is>
      </c>
      <c r="E1199" t="inlineStr">
        <is>
          <t>VIMMERBY</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52257-2023</t>
        </is>
      </c>
      <c r="B1200" s="1" t="n">
        <v>45217</v>
      </c>
      <c r="C1200" s="1" t="n">
        <v>45294</v>
      </c>
      <c r="D1200" t="inlineStr">
        <is>
          <t>KALMAR LÄN</t>
        </is>
      </c>
      <c r="E1200" t="inlineStr">
        <is>
          <t>VIMMERBY</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50934-2023</t>
        </is>
      </c>
      <c r="B1201" s="1" t="n">
        <v>45218</v>
      </c>
      <c r="C1201" s="1" t="n">
        <v>45294</v>
      </c>
      <c r="D1201" t="inlineStr">
        <is>
          <t>KALMAR LÄN</t>
        </is>
      </c>
      <c r="E1201" t="inlineStr">
        <is>
          <t>VIMMERBY</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51408-2023</t>
        </is>
      </c>
      <c r="B1202" s="1" t="n">
        <v>45219</v>
      </c>
      <c r="C1202" s="1" t="n">
        <v>45294</v>
      </c>
      <c r="D1202" t="inlineStr">
        <is>
          <t>KALMAR LÄN</t>
        </is>
      </c>
      <c r="E1202" t="inlineStr">
        <is>
          <t>VIMMERBY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51187-2023</t>
        </is>
      </c>
      <c r="B1203" s="1" t="n">
        <v>45219</v>
      </c>
      <c r="C1203" s="1" t="n">
        <v>45294</v>
      </c>
      <c r="D1203" t="inlineStr">
        <is>
          <t>KALMAR LÄN</t>
        </is>
      </c>
      <c r="E1203" t="inlineStr">
        <is>
          <t>VIMMERBY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51775-2023</t>
        </is>
      </c>
      <c r="B1204" s="1" t="n">
        <v>45222</v>
      </c>
      <c r="C1204" s="1" t="n">
        <v>45294</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51552-2023</t>
        </is>
      </c>
      <c r="B1205" s="1" t="n">
        <v>45222</v>
      </c>
      <c r="C1205" s="1" t="n">
        <v>45294</v>
      </c>
      <c r="D1205" t="inlineStr">
        <is>
          <t>KALMAR LÄN</t>
        </is>
      </c>
      <c r="E1205" t="inlineStr">
        <is>
          <t>VIMMERBY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52279-2023</t>
        </is>
      </c>
      <c r="B1206" s="1" t="n">
        <v>45224</v>
      </c>
      <c r="C1206" s="1" t="n">
        <v>45294</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52294-2023</t>
        </is>
      </c>
      <c r="B1207" s="1" t="n">
        <v>45224</v>
      </c>
      <c r="C1207" s="1" t="n">
        <v>45294</v>
      </c>
      <c r="D1207" t="inlineStr">
        <is>
          <t>KALMAR LÄN</t>
        </is>
      </c>
      <c r="E1207" t="inlineStr">
        <is>
          <t>VIMMERBY</t>
        </is>
      </c>
      <c r="F1207" t="inlineStr">
        <is>
          <t>Sveaskog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52327-2023</t>
        </is>
      </c>
      <c r="B1208" s="1" t="n">
        <v>45224</v>
      </c>
      <c r="C1208" s="1" t="n">
        <v>45294</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52208-2023</t>
        </is>
      </c>
      <c r="B1209" s="1" t="n">
        <v>45224</v>
      </c>
      <c r="C1209" s="1" t="n">
        <v>45294</v>
      </c>
      <c r="D1209" t="inlineStr">
        <is>
          <t>KALMAR LÄN</t>
        </is>
      </c>
      <c r="E1209" t="inlineStr">
        <is>
          <t>VIMMERBY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52324-2023</t>
        </is>
      </c>
      <c r="B1210" s="1" t="n">
        <v>45224</v>
      </c>
      <c r="C1210" s="1" t="n">
        <v>45294</v>
      </c>
      <c r="D1210" t="inlineStr">
        <is>
          <t>KALMAR LÄN</t>
        </is>
      </c>
      <c r="E1210" t="inlineStr">
        <is>
          <t>VIMMERBY</t>
        </is>
      </c>
      <c r="F1210" t="inlineStr">
        <is>
          <t>Sveaskog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52411-2023</t>
        </is>
      </c>
      <c r="B1211" s="1" t="n">
        <v>45225</v>
      </c>
      <c r="C1211" s="1" t="n">
        <v>45294</v>
      </c>
      <c r="D1211" t="inlineStr">
        <is>
          <t>KALMAR LÄN</t>
        </is>
      </c>
      <c r="E1211" t="inlineStr">
        <is>
          <t>VIMMERBY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52588-2023</t>
        </is>
      </c>
      <c r="B1212" s="1" t="n">
        <v>45225</v>
      </c>
      <c r="C1212" s="1" t="n">
        <v>45294</v>
      </c>
      <c r="D1212" t="inlineStr">
        <is>
          <t>KALMAR LÄN</t>
        </is>
      </c>
      <c r="E1212" t="inlineStr">
        <is>
          <t>VIMMERBY</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52616-2023</t>
        </is>
      </c>
      <c r="B1213" s="1" t="n">
        <v>45225</v>
      </c>
      <c r="C1213" s="1" t="n">
        <v>45294</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52623-2023</t>
        </is>
      </c>
      <c r="B1214" s="1" t="n">
        <v>45225</v>
      </c>
      <c r="C1214" s="1" t="n">
        <v>45294</v>
      </c>
      <c r="D1214" t="inlineStr">
        <is>
          <t>KALMAR LÄN</t>
        </is>
      </c>
      <c r="E1214" t="inlineStr">
        <is>
          <t>VIMMERBY</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52703-2023</t>
        </is>
      </c>
      <c r="B1215" s="1" t="n">
        <v>45225</v>
      </c>
      <c r="C1215" s="1" t="n">
        <v>45294</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53220-2023</t>
        </is>
      </c>
      <c r="B1216" s="1" t="n">
        <v>45229</v>
      </c>
      <c r="C1216" s="1" t="n">
        <v>45294</v>
      </c>
      <c r="D1216" t="inlineStr">
        <is>
          <t>KALMAR LÄN</t>
        </is>
      </c>
      <c r="E1216" t="inlineStr">
        <is>
          <t>VIMMERBY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54084-2023</t>
        </is>
      </c>
      <c r="B1217" s="1" t="n">
        <v>45232</v>
      </c>
      <c r="C1217" s="1" t="n">
        <v>45294</v>
      </c>
      <c r="D1217" t="inlineStr">
        <is>
          <t>KALMAR LÄN</t>
        </is>
      </c>
      <c r="E1217" t="inlineStr">
        <is>
          <t>VIMMERBY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54086-2023</t>
        </is>
      </c>
      <c r="B1218" s="1" t="n">
        <v>45232</v>
      </c>
      <c r="C1218" s="1" t="n">
        <v>45294</v>
      </c>
      <c r="D1218" t="inlineStr">
        <is>
          <t>KALMAR LÄN</t>
        </is>
      </c>
      <c r="E1218" t="inlineStr">
        <is>
          <t>VIMMERBY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55716-2023</t>
        </is>
      </c>
      <c r="B1219" s="1" t="n">
        <v>45232</v>
      </c>
      <c r="C1219" s="1" t="n">
        <v>45294</v>
      </c>
      <c r="D1219" t="inlineStr">
        <is>
          <t>KALMAR LÄN</t>
        </is>
      </c>
      <c r="E1219" t="inlineStr">
        <is>
          <t>VIMMERBY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54785-2023</t>
        </is>
      </c>
      <c r="B1220" s="1" t="n">
        <v>45236</v>
      </c>
      <c r="C1220" s="1" t="n">
        <v>45294</v>
      </c>
      <c r="D1220" t="inlineStr">
        <is>
          <t>KALMAR LÄN</t>
        </is>
      </c>
      <c r="E1220" t="inlineStr">
        <is>
          <t>VIMMERBY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54787-2023</t>
        </is>
      </c>
      <c r="B1221" s="1" t="n">
        <v>45236</v>
      </c>
      <c r="C1221" s="1" t="n">
        <v>45294</v>
      </c>
      <c r="D1221" t="inlineStr">
        <is>
          <t>KALMAR LÄN</t>
        </is>
      </c>
      <c r="E1221" t="inlineStr">
        <is>
          <t>VIMMERBY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55236-2023</t>
        </is>
      </c>
      <c r="B1222" s="1" t="n">
        <v>45237</v>
      </c>
      <c r="C1222" s="1" t="n">
        <v>45294</v>
      </c>
      <c r="D1222" t="inlineStr">
        <is>
          <t>KALMAR LÄN</t>
        </is>
      </c>
      <c r="E1222" t="inlineStr">
        <is>
          <t>VIMMERBY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55245-2023</t>
        </is>
      </c>
      <c r="B1223" s="1" t="n">
        <v>45237</v>
      </c>
      <c r="C1223" s="1" t="n">
        <v>45294</v>
      </c>
      <c r="D1223" t="inlineStr">
        <is>
          <t>KALMAR LÄN</t>
        </is>
      </c>
      <c r="E1223" t="inlineStr">
        <is>
          <t>VIMMERBY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55279-2023</t>
        </is>
      </c>
      <c r="B1224" s="1" t="n">
        <v>45237</v>
      </c>
      <c r="C1224" s="1" t="n">
        <v>45294</v>
      </c>
      <c r="D1224" t="inlineStr">
        <is>
          <t>KALMAR LÄN</t>
        </is>
      </c>
      <c r="E1224" t="inlineStr">
        <is>
          <t>VIMMERBY</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55457-2023</t>
        </is>
      </c>
      <c r="B1225" s="1" t="n">
        <v>45238</v>
      </c>
      <c r="C1225" s="1" t="n">
        <v>45294</v>
      </c>
      <c r="D1225" t="inlineStr">
        <is>
          <t>KALMAR LÄN</t>
        </is>
      </c>
      <c r="E1225" t="inlineStr">
        <is>
          <t>VIMMERBY</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55470-2023</t>
        </is>
      </c>
      <c r="B1226" s="1" t="n">
        <v>45238</v>
      </c>
      <c r="C1226" s="1" t="n">
        <v>45294</v>
      </c>
      <c r="D1226" t="inlineStr">
        <is>
          <t>KALMAR LÄN</t>
        </is>
      </c>
      <c r="E1226" t="inlineStr">
        <is>
          <t>VIMMERBY</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55436-2023</t>
        </is>
      </c>
      <c r="B1227" s="1" t="n">
        <v>45238</v>
      </c>
      <c r="C1227" s="1" t="n">
        <v>45294</v>
      </c>
      <c r="D1227" t="inlineStr">
        <is>
          <t>KALMAR LÄN</t>
        </is>
      </c>
      <c r="E1227" t="inlineStr">
        <is>
          <t>VIMMERBY</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55510-2023</t>
        </is>
      </c>
      <c r="B1228" s="1" t="n">
        <v>45238</v>
      </c>
      <c r="C1228" s="1" t="n">
        <v>45294</v>
      </c>
      <c r="D1228" t="inlineStr">
        <is>
          <t>KALMAR LÄN</t>
        </is>
      </c>
      <c r="E1228" t="inlineStr">
        <is>
          <t>VIMMERBY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55442-2023</t>
        </is>
      </c>
      <c r="B1229" s="1" t="n">
        <v>45238</v>
      </c>
      <c r="C1229" s="1" t="n">
        <v>45294</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56657-2023</t>
        </is>
      </c>
      <c r="B1230" s="1" t="n">
        <v>45243</v>
      </c>
      <c r="C1230" s="1" t="n">
        <v>45294</v>
      </c>
      <c r="D1230" t="inlineStr">
        <is>
          <t>KALMAR LÄN</t>
        </is>
      </c>
      <c r="E1230" t="inlineStr">
        <is>
          <t>VIMMERBY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56659-2023</t>
        </is>
      </c>
      <c r="B1231" s="1" t="n">
        <v>45243</v>
      </c>
      <c r="C1231" s="1" t="n">
        <v>45294</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57036-2023</t>
        </is>
      </c>
      <c r="B1232" s="1" t="n">
        <v>45244</v>
      </c>
      <c r="C1232" s="1" t="n">
        <v>45294</v>
      </c>
      <c r="D1232" t="inlineStr">
        <is>
          <t>KALMAR LÄN</t>
        </is>
      </c>
      <c r="E1232" t="inlineStr">
        <is>
          <t>VIMMERBY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57040-2023</t>
        </is>
      </c>
      <c r="B1233" s="1" t="n">
        <v>45244</v>
      </c>
      <c r="C1233" s="1" t="n">
        <v>45294</v>
      </c>
      <c r="D1233" t="inlineStr">
        <is>
          <t>KALMAR LÄN</t>
        </is>
      </c>
      <c r="E1233" t="inlineStr">
        <is>
          <t>VIMMERBY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57254-2023</t>
        </is>
      </c>
      <c r="B1234" s="1" t="n">
        <v>45245</v>
      </c>
      <c r="C1234" s="1" t="n">
        <v>45294</v>
      </c>
      <c r="D1234" t="inlineStr">
        <is>
          <t>KALMAR LÄN</t>
        </is>
      </c>
      <c r="E1234" t="inlineStr">
        <is>
          <t>VIMMERBY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57114-2023</t>
        </is>
      </c>
      <c r="B1235" s="1" t="n">
        <v>45245</v>
      </c>
      <c r="C1235" s="1" t="n">
        <v>45294</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57264-2023</t>
        </is>
      </c>
      <c r="B1236" s="1" t="n">
        <v>45245</v>
      </c>
      <c r="C1236" s="1" t="n">
        <v>45294</v>
      </c>
      <c r="D1236" t="inlineStr">
        <is>
          <t>KALMAR LÄN</t>
        </is>
      </c>
      <c r="E1236" t="inlineStr">
        <is>
          <t>VIMMERBY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57311-2023</t>
        </is>
      </c>
      <c r="B1237" s="1" t="n">
        <v>45245</v>
      </c>
      <c r="C1237" s="1" t="n">
        <v>45294</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57256-2023</t>
        </is>
      </c>
      <c r="B1238" s="1" t="n">
        <v>45245</v>
      </c>
      <c r="C1238" s="1" t="n">
        <v>45294</v>
      </c>
      <c r="D1238" t="inlineStr">
        <is>
          <t>KALMAR LÄN</t>
        </is>
      </c>
      <c r="E1238" t="inlineStr">
        <is>
          <t>VIMMERBY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57269-2023</t>
        </is>
      </c>
      <c r="B1239" s="1" t="n">
        <v>45245</v>
      </c>
      <c r="C1239" s="1" t="n">
        <v>45294</v>
      </c>
      <c r="D1239" t="inlineStr">
        <is>
          <t>KALMAR LÄN</t>
        </is>
      </c>
      <c r="E1239" t="inlineStr">
        <is>
          <t>VIMMERBY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57317-2023</t>
        </is>
      </c>
      <c r="B1240" s="1" t="n">
        <v>45245</v>
      </c>
      <c r="C1240" s="1" t="n">
        <v>45294</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57329-2023</t>
        </is>
      </c>
      <c r="B1241" s="1" t="n">
        <v>45245</v>
      </c>
      <c r="C1241" s="1" t="n">
        <v>45294</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58278-2023</t>
        </is>
      </c>
      <c r="B1242" s="1" t="n">
        <v>45250</v>
      </c>
      <c r="C1242" s="1" t="n">
        <v>45294</v>
      </c>
      <c r="D1242" t="inlineStr">
        <is>
          <t>KALMAR LÄN</t>
        </is>
      </c>
      <c r="E1242" t="inlineStr">
        <is>
          <t>VIMMERBY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59598-2023</t>
        </is>
      </c>
      <c r="B1243" s="1" t="n">
        <v>45254</v>
      </c>
      <c r="C1243" s="1" t="n">
        <v>45294</v>
      </c>
      <c r="D1243" t="inlineStr">
        <is>
          <t>KALMAR LÄN</t>
        </is>
      </c>
      <c r="E1243" t="inlineStr">
        <is>
          <t>VIMMERBY</t>
        </is>
      </c>
      <c r="F1243" t="inlineStr">
        <is>
          <t>Övriga Aktiebolag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59943-2023</t>
        </is>
      </c>
      <c r="B1244" s="1" t="n">
        <v>45257</v>
      </c>
      <c r="C1244" s="1" t="n">
        <v>45294</v>
      </c>
      <c r="D1244" t="inlineStr">
        <is>
          <t>KALMAR LÄN</t>
        </is>
      </c>
      <c r="E1244" t="inlineStr">
        <is>
          <t>VIMMERBY</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59955-2023</t>
        </is>
      </c>
      <c r="B1245" s="1" t="n">
        <v>45257</v>
      </c>
      <c r="C1245" s="1" t="n">
        <v>45294</v>
      </c>
      <c r="D1245" t="inlineStr">
        <is>
          <t>KALMAR LÄN</t>
        </is>
      </c>
      <c r="E1245" t="inlineStr">
        <is>
          <t>VIMMERBY</t>
        </is>
      </c>
      <c r="G1245" t="n">
        <v>13.8</v>
      </c>
      <c r="H1245" t="n">
        <v>0</v>
      </c>
      <c r="I1245" t="n">
        <v>0</v>
      </c>
      <c r="J1245" t="n">
        <v>0</v>
      </c>
      <c r="K1245" t="n">
        <v>0</v>
      </c>
      <c r="L1245" t="n">
        <v>0</v>
      </c>
      <c r="M1245" t="n">
        <v>0</v>
      </c>
      <c r="N1245" t="n">
        <v>0</v>
      </c>
      <c r="O1245" t="n">
        <v>0</v>
      </c>
      <c r="P1245" t="n">
        <v>0</v>
      </c>
      <c r="Q1245" t="n">
        <v>0</v>
      </c>
      <c r="R1245" s="2" t="inlineStr"/>
    </row>
    <row r="1246" ht="15" customHeight="1">
      <c r="A1246" t="inlineStr">
        <is>
          <t>A 60437-2023</t>
        </is>
      </c>
      <c r="B1246" s="1" t="n">
        <v>45259</v>
      </c>
      <c r="C1246" s="1" t="n">
        <v>45294</v>
      </c>
      <c r="D1246" t="inlineStr">
        <is>
          <t>KALMAR LÄN</t>
        </is>
      </c>
      <c r="E1246" t="inlineStr">
        <is>
          <t>VIMMERBY</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60438-2023</t>
        </is>
      </c>
      <c r="B1247" s="1" t="n">
        <v>45259</v>
      </c>
      <c r="C1247" s="1" t="n">
        <v>45294</v>
      </c>
      <c r="D1247" t="inlineStr">
        <is>
          <t>KALMAR LÄN</t>
        </is>
      </c>
      <c r="E1247" t="inlineStr">
        <is>
          <t>VIMMERBY</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60675-2023</t>
        </is>
      </c>
      <c r="B1248" s="1" t="n">
        <v>45260</v>
      </c>
      <c r="C1248" s="1" t="n">
        <v>45294</v>
      </c>
      <c r="D1248" t="inlineStr">
        <is>
          <t>KALMAR LÄN</t>
        </is>
      </c>
      <c r="E1248" t="inlineStr">
        <is>
          <t>VIMMERBY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60951-2023</t>
        </is>
      </c>
      <c r="B1249" s="1" t="n">
        <v>45261</v>
      </c>
      <c r="C1249" s="1" t="n">
        <v>45294</v>
      </c>
      <c r="D1249" t="inlineStr">
        <is>
          <t>KALMAR LÄN</t>
        </is>
      </c>
      <c r="E1249" t="inlineStr">
        <is>
          <t>VIMMERBY</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61189-2023</t>
        </is>
      </c>
      <c r="B1250" s="1" t="n">
        <v>45264</v>
      </c>
      <c r="C1250" s="1" t="n">
        <v>45294</v>
      </c>
      <c r="D1250" t="inlineStr">
        <is>
          <t>KALMAR LÄN</t>
        </is>
      </c>
      <c r="E1250" t="inlineStr">
        <is>
          <t>VIMMERBY</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61221-2023</t>
        </is>
      </c>
      <c r="B1251" s="1" t="n">
        <v>45264</v>
      </c>
      <c r="C1251" s="1" t="n">
        <v>45294</v>
      </c>
      <c r="D1251" t="inlineStr">
        <is>
          <t>KALMAR LÄN</t>
        </is>
      </c>
      <c r="E1251" t="inlineStr">
        <is>
          <t>VIMMERBY</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61224-2023</t>
        </is>
      </c>
      <c r="B1252" s="1" t="n">
        <v>45264</v>
      </c>
      <c r="C1252" s="1" t="n">
        <v>45294</v>
      </c>
      <c r="D1252" t="inlineStr">
        <is>
          <t>KALMAR LÄN</t>
        </is>
      </c>
      <c r="E1252" t="inlineStr">
        <is>
          <t>VIMMERBY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61227-2023</t>
        </is>
      </c>
      <c r="B1253" s="1" t="n">
        <v>45264</v>
      </c>
      <c r="C1253" s="1" t="n">
        <v>45294</v>
      </c>
      <c r="D1253" t="inlineStr">
        <is>
          <t>KALMAR LÄN</t>
        </is>
      </c>
      <c r="E1253" t="inlineStr">
        <is>
          <t>VIMMERBY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61817-2023</t>
        </is>
      </c>
      <c r="B1254" s="1" t="n">
        <v>45266</v>
      </c>
      <c r="C1254" s="1" t="n">
        <v>45294</v>
      </c>
      <c r="D1254" t="inlineStr">
        <is>
          <t>KALMAR LÄN</t>
        </is>
      </c>
      <c r="E1254" t="inlineStr">
        <is>
          <t>VIMMERBY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61825-2023</t>
        </is>
      </c>
      <c r="B1255" s="1" t="n">
        <v>45266</v>
      </c>
      <c r="C1255" s="1" t="n">
        <v>45294</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61820-2023</t>
        </is>
      </c>
      <c r="B1256" s="1" t="n">
        <v>45266</v>
      </c>
      <c r="C1256" s="1" t="n">
        <v>45294</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62779-2023</t>
        </is>
      </c>
      <c r="B1257" s="1" t="n">
        <v>45271</v>
      </c>
      <c r="C1257" s="1" t="n">
        <v>45294</v>
      </c>
      <c r="D1257" t="inlineStr">
        <is>
          <t>KALMAR LÄN</t>
        </is>
      </c>
      <c r="E1257" t="inlineStr">
        <is>
          <t>VIMMERBY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62615-2023</t>
        </is>
      </c>
      <c r="B1258" s="1" t="n">
        <v>45271</v>
      </c>
      <c r="C1258" s="1" t="n">
        <v>45294</v>
      </c>
      <c r="D1258" t="inlineStr">
        <is>
          <t>KALMAR LÄN</t>
        </is>
      </c>
      <c r="E1258" t="inlineStr">
        <is>
          <t>VIMMERBY</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62852-2023</t>
        </is>
      </c>
      <c r="B1259" s="1" t="n">
        <v>45272</v>
      </c>
      <c r="C1259" s="1" t="n">
        <v>45294</v>
      </c>
      <c r="D1259" t="inlineStr">
        <is>
          <t>KALMAR LÄN</t>
        </is>
      </c>
      <c r="E1259" t="inlineStr">
        <is>
          <t>VIMMERBY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62997-2023</t>
        </is>
      </c>
      <c r="B1260" s="1" t="n">
        <v>45272</v>
      </c>
      <c r="C1260" s="1" t="n">
        <v>45294</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63284-2023</t>
        </is>
      </c>
      <c r="B1261" s="1" t="n">
        <v>45273</v>
      </c>
      <c r="C1261" s="1" t="n">
        <v>45294</v>
      </c>
      <c r="D1261" t="inlineStr">
        <is>
          <t>KALMAR LÄN</t>
        </is>
      </c>
      <c r="E1261" t="inlineStr">
        <is>
          <t>VIMMERBY</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63541-2023</t>
        </is>
      </c>
      <c r="B1262" s="1" t="n">
        <v>45275</v>
      </c>
      <c r="C1262" s="1" t="n">
        <v>45294</v>
      </c>
      <c r="D1262" t="inlineStr">
        <is>
          <t>KALMAR LÄN</t>
        </is>
      </c>
      <c r="E1262" t="inlineStr">
        <is>
          <t>VIMMERBY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63583-2023</t>
        </is>
      </c>
      <c r="B1263" s="1" t="n">
        <v>45275</v>
      </c>
      <c r="C1263" s="1" t="n">
        <v>45294</v>
      </c>
      <c r="D1263" t="inlineStr">
        <is>
          <t>KALMAR LÄN</t>
        </is>
      </c>
      <c r="E1263" t="inlineStr">
        <is>
          <t>VIMMERBY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63969-2023</t>
        </is>
      </c>
      <c r="B1264" s="1" t="n">
        <v>45278</v>
      </c>
      <c r="C1264" s="1" t="n">
        <v>45294</v>
      </c>
      <c r="D1264" t="inlineStr">
        <is>
          <t>KALMAR LÄN</t>
        </is>
      </c>
      <c r="E1264" t="inlineStr">
        <is>
          <t>VIMMERBY</t>
        </is>
      </c>
      <c r="F1264" t="inlineStr">
        <is>
          <t>Kyrkan</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63950-2023</t>
        </is>
      </c>
      <c r="B1265" s="1" t="n">
        <v>45278</v>
      </c>
      <c r="C1265" s="1" t="n">
        <v>45294</v>
      </c>
      <c r="D1265" t="inlineStr">
        <is>
          <t>KALMAR LÄN</t>
        </is>
      </c>
      <c r="E1265" t="inlineStr">
        <is>
          <t>VIMMERBY</t>
        </is>
      </c>
      <c r="F1265" t="inlineStr">
        <is>
          <t>Kyrkan</t>
        </is>
      </c>
      <c r="G1265" t="n">
        <v>2.7</v>
      </c>
      <c r="H1265" t="n">
        <v>0</v>
      </c>
      <c r="I1265" t="n">
        <v>0</v>
      </c>
      <c r="J1265" t="n">
        <v>0</v>
      </c>
      <c r="K1265" t="n">
        <v>0</v>
      </c>
      <c r="L1265" t="n">
        <v>0</v>
      </c>
      <c r="M1265" t="n">
        <v>0</v>
      </c>
      <c r="N1265" t="n">
        <v>0</v>
      </c>
      <c r="O1265" t="n">
        <v>0</v>
      </c>
      <c r="P1265" t="n">
        <v>0</v>
      </c>
      <c r="Q1265" t="n">
        <v>0</v>
      </c>
      <c r="R1265" s="2" t="inlineStr"/>
    </row>
    <row r="1266">
      <c r="A1266" t="inlineStr">
        <is>
          <t>A 64428-2023</t>
        </is>
      </c>
      <c r="B1266" s="1" t="n">
        <v>45280</v>
      </c>
      <c r="C1266" s="1" t="n">
        <v>45294</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2024-01-03T10:01:07Z</dcterms:created>
  <dcterms:modified xmlns:dcterms="http://purl.org/dc/terms/" xmlns:xsi="http://www.w3.org/2001/XMLSchema-instance" xsi:type="dcterms:W3CDTF">2024-01-03T10:01:08Z</dcterms:modified>
</cp:coreProperties>
</file>