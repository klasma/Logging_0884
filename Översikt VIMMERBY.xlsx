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45569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45569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45569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45569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45569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45569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45569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45569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45569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45569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45569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45569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45569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45569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45569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45569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45569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45569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45569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45569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45569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45569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45569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45569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45569</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45569</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45569</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45569</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45569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45569</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45569</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45569</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45569</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45569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45569</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45569</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45569</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45569</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45569</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45569</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45569</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45569</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45569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45569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45569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45569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45569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45569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45569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45569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45569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45569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45569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45569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45569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45569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45569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45569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45569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45569</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45569</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45569</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10016-2024</t>
        </is>
      </c>
      <c r="B66" s="1" t="n">
        <v>45363</v>
      </c>
      <c r="C66" s="1" t="n">
        <v>45569</v>
      </c>
      <c r="D66" t="inlineStr">
        <is>
          <t>KALMAR LÄN</t>
        </is>
      </c>
      <c r="E66" t="inlineStr">
        <is>
          <t>VIMMERBY</t>
        </is>
      </c>
      <c r="G66" t="n">
        <v>1.5</v>
      </c>
      <c r="H66" t="n">
        <v>1</v>
      </c>
      <c r="I66" t="n">
        <v>0</v>
      </c>
      <c r="J66" t="n">
        <v>1</v>
      </c>
      <c r="K66" t="n">
        <v>0</v>
      </c>
      <c r="L66" t="n">
        <v>0</v>
      </c>
      <c r="M66" t="n">
        <v>0</v>
      </c>
      <c r="N66" t="n">
        <v>0</v>
      </c>
      <c r="O66" t="n">
        <v>1</v>
      </c>
      <c r="P66" t="n">
        <v>0</v>
      </c>
      <c r="Q66" t="n">
        <v>1</v>
      </c>
      <c r="R66" s="2" t="inlineStr">
        <is>
          <t>Röd skogslilja</t>
        </is>
      </c>
      <c r="S66">
        <f>HYPERLINK("https://klasma.github.io/Logging_0884/artfynd/A 10016-2024 artfynd.xlsx", "A 10016-2024")</f>
        <v/>
      </c>
      <c r="T66">
        <f>HYPERLINK("https://klasma.github.io/Logging_0884/kartor/A 10016-2024 karta.png", "A 10016-2024")</f>
        <v/>
      </c>
      <c r="V66">
        <f>HYPERLINK("https://klasma.github.io/Logging_0884/klagomål/A 10016-2024 FSC-klagomål.docx", "A 10016-2024")</f>
        <v/>
      </c>
      <c r="W66">
        <f>HYPERLINK("https://klasma.github.io/Logging_0884/klagomålsmail/A 10016-2024 FSC-klagomål mail.docx", "A 10016-2024")</f>
        <v/>
      </c>
      <c r="X66">
        <f>HYPERLINK("https://klasma.github.io/Logging_0884/tillsyn/A 10016-2024 tillsynsbegäran.docx", "A 10016-2024")</f>
        <v/>
      </c>
      <c r="Y66">
        <f>HYPERLINK("https://klasma.github.io/Logging_0884/tillsynsmail/A 10016-2024 tillsynsbegäran mail.docx", "A 10016-2024")</f>
        <v/>
      </c>
    </row>
    <row r="67" ht="15" customHeight="1">
      <c r="A67" t="inlineStr">
        <is>
          <t>A 15122-2024</t>
        </is>
      </c>
      <c r="B67" s="1" t="n">
        <v>45399</v>
      </c>
      <c r="C67" s="1" t="n">
        <v>45569</v>
      </c>
      <c r="D67" t="inlineStr">
        <is>
          <t>KALMAR LÄN</t>
        </is>
      </c>
      <c r="E67" t="inlineStr">
        <is>
          <t>VIMMERBY</t>
        </is>
      </c>
      <c r="G67" t="n">
        <v>1.7</v>
      </c>
      <c r="H67" t="n">
        <v>0</v>
      </c>
      <c r="I67" t="n">
        <v>0</v>
      </c>
      <c r="J67" t="n">
        <v>0</v>
      </c>
      <c r="K67" t="n">
        <v>1</v>
      </c>
      <c r="L67" t="n">
        <v>0</v>
      </c>
      <c r="M67" t="n">
        <v>0</v>
      </c>
      <c r="N67" t="n">
        <v>0</v>
      </c>
      <c r="O67" t="n">
        <v>1</v>
      </c>
      <c r="P67" t="n">
        <v>1</v>
      </c>
      <c r="Q67" t="n">
        <v>1</v>
      </c>
      <c r="R67" s="2" t="inlineStr">
        <is>
          <t>Sågfibbla</t>
        </is>
      </c>
      <c r="S67">
        <f>HYPERLINK("https://klasma.github.io/Logging_0884/artfynd/A 15122-2024 artfynd.xlsx", "A 15122-2024")</f>
        <v/>
      </c>
      <c r="T67">
        <f>HYPERLINK("https://klasma.github.io/Logging_0884/kartor/A 15122-2024 karta.png", "A 15122-2024")</f>
        <v/>
      </c>
      <c r="V67">
        <f>HYPERLINK("https://klasma.github.io/Logging_0884/klagomål/A 15122-2024 FSC-klagomål.docx", "A 15122-2024")</f>
        <v/>
      </c>
      <c r="W67">
        <f>HYPERLINK("https://klasma.github.io/Logging_0884/klagomålsmail/A 15122-2024 FSC-klagomål mail.docx", "A 15122-2024")</f>
        <v/>
      </c>
      <c r="X67">
        <f>HYPERLINK("https://klasma.github.io/Logging_0884/tillsyn/A 15122-2024 tillsynsbegäran.docx", "A 15122-2024")</f>
        <v/>
      </c>
      <c r="Y67">
        <f>HYPERLINK("https://klasma.github.io/Logging_0884/tillsynsmail/A 15122-2024 tillsynsbegäran mail.docx", "A 15122-2024")</f>
        <v/>
      </c>
    </row>
    <row r="68" ht="15" customHeight="1">
      <c r="A68" t="inlineStr">
        <is>
          <t>A 15627-2024</t>
        </is>
      </c>
      <c r="B68" s="1" t="n">
        <v>45402</v>
      </c>
      <c r="C68" s="1" t="n">
        <v>45569</v>
      </c>
      <c r="D68" t="inlineStr">
        <is>
          <t>KALMAR LÄN</t>
        </is>
      </c>
      <c r="E68" t="inlineStr">
        <is>
          <t>VIMMERBY</t>
        </is>
      </c>
      <c r="G68" t="n">
        <v>3.2</v>
      </c>
      <c r="H68" t="n">
        <v>1</v>
      </c>
      <c r="I68" t="n">
        <v>1</v>
      </c>
      <c r="J68" t="n">
        <v>0</v>
      </c>
      <c r="K68" t="n">
        <v>0</v>
      </c>
      <c r="L68" t="n">
        <v>0</v>
      </c>
      <c r="M68" t="n">
        <v>0</v>
      </c>
      <c r="N68" t="n">
        <v>0</v>
      </c>
      <c r="O68" t="n">
        <v>0</v>
      </c>
      <c r="P68" t="n">
        <v>0</v>
      </c>
      <c r="Q68" t="n">
        <v>1</v>
      </c>
      <c r="R68" s="2" t="inlineStr">
        <is>
          <t>Plattlummer</t>
        </is>
      </c>
      <c r="S68">
        <f>HYPERLINK("https://klasma.github.io/Logging_0884/artfynd/A 15627-2024 artfynd.xlsx", "A 15627-2024")</f>
        <v/>
      </c>
      <c r="T68">
        <f>HYPERLINK("https://klasma.github.io/Logging_0884/kartor/A 15627-2024 karta.png", "A 15627-2024")</f>
        <v/>
      </c>
      <c r="V68">
        <f>HYPERLINK("https://klasma.github.io/Logging_0884/klagomål/A 15627-2024 FSC-klagomål.docx", "A 15627-2024")</f>
        <v/>
      </c>
      <c r="W68">
        <f>HYPERLINK("https://klasma.github.io/Logging_0884/klagomålsmail/A 15627-2024 FSC-klagomål mail.docx", "A 15627-2024")</f>
        <v/>
      </c>
      <c r="X68">
        <f>HYPERLINK("https://klasma.github.io/Logging_0884/tillsyn/A 15627-2024 tillsynsbegäran.docx", "A 15627-2024")</f>
        <v/>
      </c>
      <c r="Y68">
        <f>HYPERLINK("https://klasma.github.io/Logging_0884/tillsynsmail/A 15627-2024 tillsynsbegäran mail.docx", "A 15627-2024")</f>
        <v/>
      </c>
    </row>
    <row r="69" ht="15" customHeight="1">
      <c r="A69" t="inlineStr">
        <is>
          <t>A 37199-2024</t>
        </is>
      </c>
      <c r="B69" s="1" t="n">
        <v>45539</v>
      </c>
      <c r="C69" s="1" t="n">
        <v>45569</v>
      </c>
      <c r="D69" t="inlineStr">
        <is>
          <t>KALMAR LÄN</t>
        </is>
      </c>
      <c r="E69" t="inlineStr">
        <is>
          <t>VIMMERBY</t>
        </is>
      </c>
      <c r="G69" t="n">
        <v>0.6</v>
      </c>
      <c r="H69" t="n">
        <v>1</v>
      </c>
      <c r="I69" t="n">
        <v>1</v>
      </c>
      <c r="J69" t="n">
        <v>0</v>
      </c>
      <c r="K69" t="n">
        <v>0</v>
      </c>
      <c r="L69" t="n">
        <v>0</v>
      </c>
      <c r="M69" t="n">
        <v>0</v>
      </c>
      <c r="N69" t="n">
        <v>0</v>
      </c>
      <c r="O69" t="n">
        <v>0</v>
      </c>
      <c r="P69" t="n">
        <v>0</v>
      </c>
      <c r="Q69" t="n">
        <v>1</v>
      </c>
      <c r="R69" s="2" t="inlineStr">
        <is>
          <t>Purpurknipprot</t>
        </is>
      </c>
      <c r="S69">
        <f>HYPERLINK("https://klasma.github.io/Logging_0884/artfynd/A 37199-2024 artfynd.xlsx", "A 37199-2024")</f>
        <v/>
      </c>
      <c r="T69">
        <f>HYPERLINK("https://klasma.github.io/Logging_0884/kartor/A 37199-2024 karta.png", "A 37199-2024")</f>
        <v/>
      </c>
      <c r="V69">
        <f>HYPERLINK("https://klasma.github.io/Logging_0884/klagomål/A 37199-2024 FSC-klagomål.docx", "A 37199-2024")</f>
        <v/>
      </c>
      <c r="W69">
        <f>HYPERLINK("https://klasma.github.io/Logging_0884/klagomålsmail/A 37199-2024 FSC-klagomål mail.docx", "A 37199-2024")</f>
        <v/>
      </c>
      <c r="X69">
        <f>HYPERLINK("https://klasma.github.io/Logging_0884/tillsyn/A 37199-2024 tillsynsbegäran.docx", "A 37199-2024")</f>
        <v/>
      </c>
      <c r="Y69">
        <f>HYPERLINK("https://klasma.github.io/Logging_0884/tillsynsmail/A 37199-2024 tillsynsbegäran mail.docx", "A 37199-2024")</f>
        <v/>
      </c>
    </row>
    <row r="70" ht="15" customHeight="1">
      <c r="A70" t="inlineStr">
        <is>
          <t>A 38208-2024</t>
        </is>
      </c>
      <c r="B70" s="1" t="n">
        <v>45545</v>
      </c>
      <c r="C70" s="1" t="n">
        <v>45569</v>
      </c>
      <c r="D70" t="inlineStr">
        <is>
          <t>KALMAR LÄN</t>
        </is>
      </c>
      <c r="E70" t="inlineStr">
        <is>
          <t>VIMMERBY</t>
        </is>
      </c>
      <c r="G70" t="n">
        <v>5.2</v>
      </c>
      <c r="H70" t="n">
        <v>0</v>
      </c>
      <c r="I70" t="n">
        <v>0</v>
      </c>
      <c r="J70" t="n">
        <v>1</v>
      </c>
      <c r="K70" t="n">
        <v>0</v>
      </c>
      <c r="L70" t="n">
        <v>0</v>
      </c>
      <c r="M70" t="n">
        <v>0</v>
      </c>
      <c r="N70" t="n">
        <v>0</v>
      </c>
      <c r="O70" t="n">
        <v>1</v>
      </c>
      <c r="P70" t="n">
        <v>0</v>
      </c>
      <c r="Q70" t="n">
        <v>1</v>
      </c>
      <c r="R70" s="2" t="inlineStr">
        <is>
          <t>Solvända</t>
        </is>
      </c>
      <c r="S70">
        <f>HYPERLINK("https://klasma.github.io/Logging_0884/artfynd/A 38208-2024 artfynd.xlsx", "A 38208-2024")</f>
        <v/>
      </c>
      <c r="T70">
        <f>HYPERLINK("https://klasma.github.io/Logging_0884/kartor/A 38208-2024 karta.png", "A 38208-2024")</f>
        <v/>
      </c>
      <c r="V70">
        <f>HYPERLINK("https://klasma.github.io/Logging_0884/klagomål/A 38208-2024 FSC-klagomål.docx", "A 38208-2024")</f>
        <v/>
      </c>
      <c r="W70">
        <f>HYPERLINK("https://klasma.github.io/Logging_0884/klagomålsmail/A 38208-2024 FSC-klagomål mail.docx", "A 38208-2024")</f>
        <v/>
      </c>
      <c r="X70">
        <f>HYPERLINK("https://klasma.github.io/Logging_0884/tillsyn/A 38208-2024 tillsynsbegäran.docx", "A 38208-2024")</f>
        <v/>
      </c>
      <c r="Y70">
        <f>HYPERLINK("https://klasma.github.io/Logging_0884/tillsynsmail/A 38208-2024 tillsynsbegäran mail.docx", "A 38208-2024")</f>
        <v/>
      </c>
    </row>
    <row r="71" ht="15" customHeight="1">
      <c r="A71" t="inlineStr">
        <is>
          <t>A 18658-2019</t>
        </is>
      </c>
      <c r="B71" s="1" t="n">
        <v>43559</v>
      </c>
      <c r="C71" s="1" t="n">
        <v>45569</v>
      </c>
      <c r="D71" t="inlineStr">
        <is>
          <t>KALMAR LÄN</t>
        </is>
      </c>
      <c r="E71" t="inlineStr">
        <is>
          <t>VIMMERBY</t>
        </is>
      </c>
      <c r="G71" t="n">
        <v>2.5</v>
      </c>
      <c r="H71" t="n">
        <v>0</v>
      </c>
      <c r="I71" t="n">
        <v>0</v>
      </c>
      <c r="J71" t="n">
        <v>0</v>
      </c>
      <c r="K71" t="n">
        <v>0</v>
      </c>
      <c r="L71" t="n">
        <v>0</v>
      </c>
      <c r="M71" t="n">
        <v>0</v>
      </c>
      <c r="N71" t="n">
        <v>0</v>
      </c>
      <c r="O71" t="n">
        <v>0</v>
      </c>
      <c r="P71" t="n">
        <v>0</v>
      </c>
      <c r="Q71" t="n">
        <v>0</v>
      </c>
      <c r="R71" s="2" t="inlineStr"/>
    </row>
    <row r="72" ht="15" customHeight="1">
      <c r="A72" t="inlineStr">
        <is>
          <t>A 18656-2019</t>
        </is>
      </c>
      <c r="B72" s="1" t="n">
        <v>43559</v>
      </c>
      <c r="C72" s="1" t="n">
        <v>45569</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18755-2019</t>
        </is>
      </c>
      <c r="B73" s="1" t="n">
        <v>43560</v>
      </c>
      <c r="C73" s="1" t="n">
        <v>45569</v>
      </c>
      <c r="D73" t="inlineStr">
        <is>
          <t>KALMAR LÄN</t>
        </is>
      </c>
      <c r="E73" t="inlineStr">
        <is>
          <t>VIMMERBY</t>
        </is>
      </c>
      <c r="G73" t="n">
        <v>1.6</v>
      </c>
      <c r="H73" t="n">
        <v>0</v>
      </c>
      <c r="I73" t="n">
        <v>0</v>
      </c>
      <c r="J73" t="n">
        <v>0</v>
      </c>
      <c r="K73" t="n">
        <v>0</v>
      </c>
      <c r="L73" t="n">
        <v>0</v>
      </c>
      <c r="M73" t="n">
        <v>0</v>
      </c>
      <c r="N73" t="n">
        <v>0</v>
      </c>
      <c r="O73" t="n">
        <v>0</v>
      </c>
      <c r="P73" t="n">
        <v>0</v>
      </c>
      <c r="Q73" t="n">
        <v>0</v>
      </c>
      <c r="R73" s="2" t="inlineStr"/>
    </row>
    <row r="74" ht="15" customHeight="1">
      <c r="A74" t="inlineStr">
        <is>
          <t>A 19057-2019</t>
        </is>
      </c>
      <c r="B74" s="1" t="n">
        <v>43563</v>
      </c>
      <c r="C74" s="1" t="n">
        <v>45569</v>
      </c>
      <c r="D74" t="inlineStr">
        <is>
          <t>KALMAR LÄN</t>
        </is>
      </c>
      <c r="E74" t="inlineStr">
        <is>
          <t>VIMMERBY</t>
        </is>
      </c>
      <c r="G74" t="n">
        <v>10.1</v>
      </c>
      <c r="H74" t="n">
        <v>0</v>
      </c>
      <c r="I74" t="n">
        <v>0</v>
      </c>
      <c r="J74" t="n">
        <v>0</v>
      </c>
      <c r="K74" t="n">
        <v>0</v>
      </c>
      <c r="L74" t="n">
        <v>0</v>
      </c>
      <c r="M74" t="n">
        <v>0</v>
      </c>
      <c r="N74" t="n">
        <v>0</v>
      </c>
      <c r="O74" t="n">
        <v>0</v>
      </c>
      <c r="P74" t="n">
        <v>0</v>
      </c>
      <c r="Q74" t="n">
        <v>0</v>
      </c>
      <c r="R74" s="2" t="inlineStr"/>
    </row>
    <row r="75" ht="15" customHeight="1">
      <c r="A75" t="inlineStr">
        <is>
          <t>A 19056-2019</t>
        </is>
      </c>
      <c r="B75" s="1" t="n">
        <v>43563</v>
      </c>
      <c r="C75" s="1" t="n">
        <v>45569</v>
      </c>
      <c r="D75" t="inlineStr">
        <is>
          <t>KALMAR LÄN</t>
        </is>
      </c>
      <c r="E75" t="inlineStr">
        <is>
          <t>VIMMERBY</t>
        </is>
      </c>
      <c r="G75" t="n">
        <v>3.2</v>
      </c>
      <c r="H75" t="n">
        <v>0</v>
      </c>
      <c r="I75" t="n">
        <v>0</v>
      </c>
      <c r="J75" t="n">
        <v>0</v>
      </c>
      <c r="K75" t="n">
        <v>0</v>
      </c>
      <c r="L75" t="n">
        <v>0</v>
      </c>
      <c r="M75" t="n">
        <v>0</v>
      </c>
      <c r="N75" t="n">
        <v>0</v>
      </c>
      <c r="O75" t="n">
        <v>0</v>
      </c>
      <c r="P75" t="n">
        <v>0</v>
      </c>
      <c r="Q75" t="n">
        <v>0</v>
      </c>
      <c r="R75" s="2" t="inlineStr"/>
    </row>
    <row r="76" ht="15" customHeight="1">
      <c r="A76" t="inlineStr">
        <is>
          <t>A 19054-2019</t>
        </is>
      </c>
      <c r="B76" s="1" t="n">
        <v>43563</v>
      </c>
      <c r="C76" s="1" t="n">
        <v>45569</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19616-2019</t>
        </is>
      </c>
      <c r="B77" s="1" t="n">
        <v>43566</v>
      </c>
      <c r="C77" s="1" t="n">
        <v>45569</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19632-2019</t>
        </is>
      </c>
      <c r="B78" s="1" t="n">
        <v>43566</v>
      </c>
      <c r="C78" s="1" t="n">
        <v>45569</v>
      </c>
      <c r="D78" t="inlineStr">
        <is>
          <t>KALMAR LÄN</t>
        </is>
      </c>
      <c r="E78" t="inlineStr">
        <is>
          <t>VIMMERBY</t>
        </is>
      </c>
      <c r="G78" t="n">
        <v>4.1</v>
      </c>
      <c r="H78" t="n">
        <v>0</v>
      </c>
      <c r="I78" t="n">
        <v>0</v>
      </c>
      <c r="J78" t="n">
        <v>0</v>
      </c>
      <c r="K78" t="n">
        <v>0</v>
      </c>
      <c r="L78" t="n">
        <v>0</v>
      </c>
      <c r="M78" t="n">
        <v>0</v>
      </c>
      <c r="N78" t="n">
        <v>0</v>
      </c>
      <c r="O78" t="n">
        <v>0</v>
      </c>
      <c r="P78" t="n">
        <v>0</v>
      </c>
      <c r="Q78" t="n">
        <v>0</v>
      </c>
      <c r="R78" s="2" t="inlineStr"/>
    </row>
    <row r="79" ht="15" customHeight="1">
      <c r="A79" t="inlineStr">
        <is>
          <t>A 19899-2019</t>
        </is>
      </c>
      <c r="B79" s="1" t="n">
        <v>43567</v>
      </c>
      <c r="C79" s="1" t="n">
        <v>45569</v>
      </c>
      <c r="D79" t="inlineStr">
        <is>
          <t>KALMAR LÄN</t>
        </is>
      </c>
      <c r="E79" t="inlineStr">
        <is>
          <t>VIMMERBY</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20035-2019</t>
        </is>
      </c>
      <c r="B80" s="1" t="n">
        <v>43570</v>
      </c>
      <c r="C80" s="1" t="n">
        <v>45569</v>
      </c>
      <c r="D80" t="inlineStr">
        <is>
          <t>KALMAR LÄN</t>
        </is>
      </c>
      <c r="E80" t="inlineStr">
        <is>
          <t>VIMMERBY</t>
        </is>
      </c>
      <c r="G80" t="n">
        <v>1.5</v>
      </c>
      <c r="H80" t="n">
        <v>0</v>
      </c>
      <c r="I80" t="n">
        <v>0</v>
      </c>
      <c r="J80" t="n">
        <v>0</v>
      </c>
      <c r="K80" t="n">
        <v>0</v>
      </c>
      <c r="L80" t="n">
        <v>0</v>
      </c>
      <c r="M80" t="n">
        <v>0</v>
      </c>
      <c r="N80" t="n">
        <v>0</v>
      </c>
      <c r="O80" t="n">
        <v>0</v>
      </c>
      <c r="P80" t="n">
        <v>0</v>
      </c>
      <c r="Q80" t="n">
        <v>0</v>
      </c>
      <c r="R80" s="2" t="inlineStr"/>
    </row>
    <row r="81" ht="15" customHeight="1">
      <c r="A81" t="inlineStr">
        <is>
          <t>A 19983-2019</t>
        </is>
      </c>
      <c r="B81" s="1" t="n">
        <v>43570</v>
      </c>
      <c r="C81" s="1" t="n">
        <v>45569</v>
      </c>
      <c r="D81" t="inlineStr">
        <is>
          <t>KALMAR LÄN</t>
        </is>
      </c>
      <c r="E81" t="inlineStr">
        <is>
          <t>VIMMERBY</t>
        </is>
      </c>
      <c r="G81" t="n">
        <v>0.8</v>
      </c>
      <c r="H81" t="n">
        <v>0</v>
      </c>
      <c r="I81" t="n">
        <v>0</v>
      </c>
      <c r="J81" t="n">
        <v>0</v>
      </c>
      <c r="K81" t="n">
        <v>0</v>
      </c>
      <c r="L81" t="n">
        <v>0</v>
      </c>
      <c r="M81" t="n">
        <v>0</v>
      </c>
      <c r="N81" t="n">
        <v>0</v>
      </c>
      <c r="O81" t="n">
        <v>0</v>
      </c>
      <c r="P81" t="n">
        <v>0</v>
      </c>
      <c r="Q81" t="n">
        <v>0</v>
      </c>
      <c r="R81" s="2" t="inlineStr"/>
    </row>
    <row r="82" ht="15" customHeight="1">
      <c r="A82" t="inlineStr">
        <is>
          <t>A 20080-2019</t>
        </is>
      </c>
      <c r="B82" s="1" t="n">
        <v>43570</v>
      </c>
      <c r="C82" s="1" t="n">
        <v>45569</v>
      </c>
      <c r="D82" t="inlineStr">
        <is>
          <t>KALMAR LÄN</t>
        </is>
      </c>
      <c r="E82" t="inlineStr">
        <is>
          <t>VIMMERBY</t>
        </is>
      </c>
      <c r="G82" t="n">
        <v>1.5</v>
      </c>
      <c r="H82" t="n">
        <v>0</v>
      </c>
      <c r="I82" t="n">
        <v>0</v>
      </c>
      <c r="J82" t="n">
        <v>0</v>
      </c>
      <c r="K82" t="n">
        <v>0</v>
      </c>
      <c r="L82" t="n">
        <v>0</v>
      </c>
      <c r="M82" t="n">
        <v>0</v>
      </c>
      <c r="N82" t="n">
        <v>0</v>
      </c>
      <c r="O82" t="n">
        <v>0</v>
      </c>
      <c r="P82" t="n">
        <v>0</v>
      </c>
      <c r="Q82" t="n">
        <v>0</v>
      </c>
      <c r="R82" s="2" t="inlineStr"/>
    </row>
    <row r="83" ht="15" customHeight="1">
      <c r="A83" t="inlineStr">
        <is>
          <t>A 20069-2019</t>
        </is>
      </c>
      <c r="B83" s="1" t="n">
        <v>43570</v>
      </c>
      <c r="C83" s="1" t="n">
        <v>45569</v>
      </c>
      <c r="D83" t="inlineStr">
        <is>
          <t>KALMAR LÄN</t>
        </is>
      </c>
      <c r="E83" t="inlineStr">
        <is>
          <t>VIMMERBY</t>
        </is>
      </c>
      <c r="G83" t="n">
        <v>4.9</v>
      </c>
      <c r="H83" t="n">
        <v>0</v>
      </c>
      <c r="I83" t="n">
        <v>0</v>
      </c>
      <c r="J83" t="n">
        <v>0</v>
      </c>
      <c r="K83" t="n">
        <v>0</v>
      </c>
      <c r="L83" t="n">
        <v>0</v>
      </c>
      <c r="M83" t="n">
        <v>0</v>
      </c>
      <c r="N83" t="n">
        <v>0</v>
      </c>
      <c r="O83" t="n">
        <v>0</v>
      </c>
      <c r="P83" t="n">
        <v>0</v>
      </c>
      <c r="Q83" t="n">
        <v>0</v>
      </c>
      <c r="R83" s="2" t="inlineStr"/>
    </row>
    <row r="84" ht="15" customHeight="1">
      <c r="A84" t="inlineStr">
        <is>
          <t>A 20314-2019</t>
        </is>
      </c>
      <c r="B84" s="1" t="n">
        <v>43571</v>
      </c>
      <c r="C84" s="1" t="n">
        <v>45569</v>
      </c>
      <c r="D84" t="inlineStr">
        <is>
          <t>KALMAR LÄN</t>
        </is>
      </c>
      <c r="E84" t="inlineStr">
        <is>
          <t>VIMMERBY</t>
        </is>
      </c>
      <c r="G84" t="n">
        <v>2.2</v>
      </c>
      <c r="H84" t="n">
        <v>0</v>
      </c>
      <c r="I84" t="n">
        <v>0</v>
      </c>
      <c r="J84" t="n">
        <v>0</v>
      </c>
      <c r="K84" t="n">
        <v>0</v>
      </c>
      <c r="L84" t="n">
        <v>0</v>
      </c>
      <c r="M84" t="n">
        <v>0</v>
      </c>
      <c r="N84" t="n">
        <v>0</v>
      </c>
      <c r="O84" t="n">
        <v>0</v>
      </c>
      <c r="P84" t="n">
        <v>0</v>
      </c>
      <c r="Q84" t="n">
        <v>0</v>
      </c>
      <c r="R84" s="2" t="inlineStr"/>
    </row>
    <row r="85" ht="15" customHeight="1">
      <c r="A85" t="inlineStr">
        <is>
          <t>A 20312-2019</t>
        </is>
      </c>
      <c r="B85" s="1" t="n">
        <v>43571</v>
      </c>
      <c r="C85" s="1" t="n">
        <v>45569</v>
      </c>
      <c r="D85" t="inlineStr">
        <is>
          <t>KALMAR LÄN</t>
        </is>
      </c>
      <c r="E85" t="inlineStr">
        <is>
          <t>VIMMERBY</t>
        </is>
      </c>
      <c r="G85" t="n">
        <v>4.2</v>
      </c>
      <c r="H85" t="n">
        <v>0</v>
      </c>
      <c r="I85" t="n">
        <v>0</v>
      </c>
      <c r="J85" t="n">
        <v>0</v>
      </c>
      <c r="K85" t="n">
        <v>0</v>
      </c>
      <c r="L85" t="n">
        <v>0</v>
      </c>
      <c r="M85" t="n">
        <v>0</v>
      </c>
      <c r="N85" t="n">
        <v>0</v>
      </c>
      <c r="O85" t="n">
        <v>0</v>
      </c>
      <c r="P85" t="n">
        <v>0</v>
      </c>
      <c r="Q85" t="n">
        <v>0</v>
      </c>
      <c r="R85" s="2" t="inlineStr"/>
    </row>
    <row r="86" ht="15" customHeight="1">
      <c r="A86" t="inlineStr">
        <is>
          <t>A 20565-2019</t>
        </is>
      </c>
      <c r="B86" s="1" t="n">
        <v>43572</v>
      </c>
      <c r="C86" s="1" t="n">
        <v>45569</v>
      </c>
      <c r="D86" t="inlineStr">
        <is>
          <t>KALMAR LÄN</t>
        </is>
      </c>
      <c r="E86" t="inlineStr">
        <is>
          <t>VIMMERBY</t>
        </is>
      </c>
      <c r="G86" t="n">
        <v>5.5</v>
      </c>
      <c r="H86" t="n">
        <v>0</v>
      </c>
      <c r="I86" t="n">
        <v>0</v>
      </c>
      <c r="J86" t="n">
        <v>0</v>
      </c>
      <c r="K86" t="n">
        <v>0</v>
      </c>
      <c r="L86" t="n">
        <v>0</v>
      </c>
      <c r="M86" t="n">
        <v>0</v>
      </c>
      <c r="N86" t="n">
        <v>0</v>
      </c>
      <c r="O86" t="n">
        <v>0</v>
      </c>
      <c r="P86" t="n">
        <v>0</v>
      </c>
      <c r="Q86" t="n">
        <v>0</v>
      </c>
      <c r="R86" s="2" t="inlineStr"/>
    </row>
    <row r="87" ht="15" customHeight="1">
      <c r="A87" t="inlineStr">
        <is>
          <t>A 20856-2019</t>
        </is>
      </c>
      <c r="B87" s="1" t="n">
        <v>43578</v>
      </c>
      <c r="C87" s="1" t="n">
        <v>45569</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21557-2019</t>
        </is>
      </c>
      <c r="B88" s="1" t="n">
        <v>43580</v>
      </c>
      <c r="C88" s="1" t="n">
        <v>45569</v>
      </c>
      <c r="D88" t="inlineStr">
        <is>
          <t>KALMAR LÄN</t>
        </is>
      </c>
      <c r="E88" t="inlineStr">
        <is>
          <t>VIMMERBY</t>
        </is>
      </c>
      <c r="G88" t="n">
        <v>13.8</v>
      </c>
      <c r="H88" t="n">
        <v>0</v>
      </c>
      <c r="I88" t="n">
        <v>0</v>
      </c>
      <c r="J88" t="n">
        <v>0</v>
      </c>
      <c r="K88" t="n">
        <v>0</v>
      </c>
      <c r="L88" t="n">
        <v>0</v>
      </c>
      <c r="M88" t="n">
        <v>0</v>
      </c>
      <c r="N88" t="n">
        <v>0</v>
      </c>
      <c r="O88" t="n">
        <v>0</v>
      </c>
      <c r="P88" t="n">
        <v>0</v>
      </c>
      <c r="Q88" t="n">
        <v>0</v>
      </c>
      <c r="R88" s="2" t="inlineStr"/>
    </row>
    <row r="89" ht="15" customHeight="1">
      <c r="A89" t="inlineStr">
        <is>
          <t>A 21500-2019</t>
        </is>
      </c>
      <c r="B89" s="1" t="n">
        <v>43580</v>
      </c>
      <c r="C89" s="1" t="n">
        <v>45569</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21688-2019</t>
        </is>
      </c>
      <c r="B90" s="1" t="n">
        <v>43581</v>
      </c>
      <c r="C90" s="1" t="n">
        <v>45569</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22372-2019</t>
        </is>
      </c>
      <c r="B91" s="1" t="n">
        <v>43587</v>
      </c>
      <c r="C91" s="1" t="n">
        <v>45569</v>
      </c>
      <c r="D91" t="inlineStr">
        <is>
          <t>KALMAR LÄN</t>
        </is>
      </c>
      <c r="E91" t="inlineStr">
        <is>
          <t>VIMMERBY</t>
        </is>
      </c>
      <c r="G91" t="n">
        <v>0.3</v>
      </c>
      <c r="H91" t="n">
        <v>0</v>
      </c>
      <c r="I91" t="n">
        <v>0</v>
      </c>
      <c r="J91" t="n">
        <v>0</v>
      </c>
      <c r="K91" t="n">
        <v>0</v>
      </c>
      <c r="L91" t="n">
        <v>0</v>
      </c>
      <c r="M91" t="n">
        <v>0</v>
      </c>
      <c r="N91" t="n">
        <v>0</v>
      </c>
      <c r="O91" t="n">
        <v>0</v>
      </c>
      <c r="P91" t="n">
        <v>0</v>
      </c>
      <c r="Q91" t="n">
        <v>0</v>
      </c>
      <c r="R91" s="2" t="inlineStr"/>
    </row>
    <row r="92" ht="15" customHeight="1">
      <c r="A92" t="inlineStr">
        <is>
          <t>A 22659-2019</t>
        </is>
      </c>
      <c r="B92" s="1" t="n">
        <v>43588</v>
      </c>
      <c r="C92" s="1" t="n">
        <v>45569</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23498-2019</t>
        </is>
      </c>
      <c r="B93" s="1" t="n">
        <v>43593</v>
      </c>
      <c r="C93" s="1" t="n">
        <v>45569</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24254-2019</t>
        </is>
      </c>
      <c r="B94" s="1" t="n">
        <v>43599</v>
      </c>
      <c r="C94" s="1" t="n">
        <v>45569</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24937-2019</t>
        </is>
      </c>
      <c r="B95" s="1" t="n">
        <v>43602</v>
      </c>
      <c r="C95" s="1" t="n">
        <v>45569</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26073-2019</t>
        </is>
      </c>
      <c r="B96" s="1" t="n">
        <v>43609</v>
      </c>
      <c r="C96" s="1" t="n">
        <v>45569</v>
      </c>
      <c r="D96" t="inlineStr">
        <is>
          <t>KALMAR LÄN</t>
        </is>
      </c>
      <c r="E96" t="inlineStr">
        <is>
          <t>VIMMERBY</t>
        </is>
      </c>
      <c r="G96" t="n">
        <v>0.4</v>
      </c>
      <c r="H96" t="n">
        <v>0</v>
      </c>
      <c r="I96" t="n">
        <v>0</v>
      </c>
      <c r="J96" t="n">
        <v>0</v>
      </c>
      <c r="K96" t="n">
        <v>0</v>
      </c>
      <c r="L96" t="n">
        <v>0</v>
      </c>
      <c r="M96" t="n">
        <v>0</v>
      </c>
      <c r="N96" t="n">
        <v>0</v>
      </c>
      <c r="O96" t="n">
        <v>0</v>
      </c>
      <c r="P96" t="n">
        <v>0</v>
      </c>
      <c r="Q96" t="n">
        <v>0</v>
      </c>
      <c r="R96" s="2" t="inlineStr"/>
    </row>
    <row r="97" ht="15" customHeight="1">
      <c r="A97" t="inlineStr">
        <is>
          <t>A 26660-2019</t>
        </is>
      </c>
      <c r="B97" s="1" t="n">
        <v>43613</v>
      </c>
      <c r="C97" s="1" t="n">
        <v>45569</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28013-2019</t>
        </is>
      </c>
      <c r="B98" s="1" t="n">
        <v>43621</v>
      </c>
      <c r="C98" s="1" t="n">
        <v>45569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28348-2019</t>
        </is>
      </c>
      <c r="B99" s="1" t="n">
        <v>43624</v>
      </c>
      <c r="C99" s="1" t="n">
        <v>45569</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28414-2019</t>
        </is>
      </c>
      <c r="B100" s="1" t="n">
        <v>43626</v>
      </c>
      <c r="C100" s="1" t="n">
        <v>45569</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29004-2019</t>
        </is>
      </c>
      <c r="B101" s="1" t="n">
        <v>43628</v>
      </c>
      <c r="C101" s="1" t="n">
        <v>45569</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29228-2019</t>
        </is>
      </c>
      <c r="B102" s="1" t="n">
        <v>43629</v>
      </c>
      <c r="C102" s="1" t="n">
        <v>45569</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29408-2019</t>
        </is>
      </c>
      <c r="B103" s="1" t="n">
        <v>43629</v>
      </c>
      <c r="C103" s="1" t="n">
        <v>45569</v>
      </c>
      <c r="D103" t="inlineStr">
        <is>
          <t>KALMAR LÄN</t>
        </is>
      </c>
      <c r="E103" t="inlineStr">
        <is>
          <t>VIMMERBY</t>
        </is>
      </c>
      <c r="G103" t="n">
        <v>10.2</v>
      </c>
      <c r="H103" t="n">
        <v>0</v>
      </c>
      <c r="I103" t="n">
        <v>0</v>
      </c>
      <c r="J103" t="n">
        <v>0</v>
      </c>
      <c r="K103" t="n">
        <v>0</v>
      </c>
      <c r="L103" t="n">
        <v>0</v>
      </c>
      <c r="M103" t="n">
        <v>0</v>
      </c>
      <c r="N103" t="n">
        <v>0</v>
      </c>
      <c r="O103" t="n">
        <v>0</v>
      </c>
      <c r="P103" t="n">
        <v>0</v>
      </c>
      <c r="Q103" t="n">
        <v>0</v>
      </c>
      <c r="R103" s="2" t="inlineStr"/>
    </row>
    <row r="104" ht="15" customHeight="1">
      <c r="A104" t="inlineStr">
        <is>
          <t>A 29693-2019</t>
        </is>
      </c>
      <c r="B104" s="1" t="n">
        <v>43630</v>
      </c>
      <c r="C104" s="1" t="n">
        <v>45569</v>
      </c>
      <c r="D104" t="inlineStr">
        <is>
          <t>KALMAR LÄN</t>
        </is>
      </c>
      <c r="E104" t="inlineStr">
        <is>
          <t>VIMMERBY</t>
        </is>
      </c>
      <c r="G104" t="n">
        <v>2.1</v>
      </c>
      <c r="H104" t="n">
        <v>0</v>
      </c>
      <c r="I104" t="n">
        <v>0</v>
      </c>
      <c r="J104" t="n">
        <v>0</v>
      </c>
      <c r="K104" t="n">
        <v>0</v>
      </c>
      <c r="L104" t="n">
        <v>0</v>
      </c>
      <c r="M104" t="n">
        <v>0</v>
      </c>
      <c r="N104" t="n">
        <v>0</v>
      </c>
      <c r="O104" t="n">
        <v>0</v>
      </c>
      <c r="P104" t="n">
        <v>0</v>
      </c>
      <c r="Q104" t="n">
        <v>0</v>
      </c>
      <c r="R104" s="2" t="inlineStr"/>
    </row>
    <row r="105" ht="15" customHeight="1">
      <c r="A105" t="inlineStr">
        <is>
          <t>A 29675-2019</t>
        </is>
      </c>
      <c r="B105" s="1" t="n">
        <v>43630</v>
      </c>
      <c r="C105" s="1" t="n">
        <v>45569</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29775-2019</t>
        </is>
      </c>
      <c r="B106" s="1" t="n">
        <v>43632</v>
      </c>
      <c r="C106" s="1" t="n">
        <v>45569</v>
      </c>
      <c r="D106" t="inlineStr">
        <is>
          <t>KALMAR LÄN</t>
        </is>
      </c>
      <c r="E106" t="inlineStr">
        <is>
          <t>VIMMERBY</t>
        </is>
      </c>
      <c r="G106" t="n">
        <v>2</v>
      </c>
      <c r="H106" t="n">
        <v>0</v>
      </c>
      <c r="I106" t="n">
        <v>0</v>
      </c>
      <c r="J106" t="n">
        <v>0</v>
      </c>
      <c r="K106" t="n">
        <v>0</v>
      </c>
      <c r="L106" t="n">
        <v>0</v>
      </c>
      <c r="M106" t="n">
        <v>0</v>
      </c>
      <c r="N106" t="n">
        <v>0</v>
      </c>
      <c r="O106" t="n">
        <v>0</v>
      </c>
      <c r="P106" t="n">
        <v>0</v>
      </c>
      <c r="Q106" t="n">
        <v>0</v>
      </c>
      <c r="R106" s="2" t="inlineStr"/>
    </row>
    <row r="107" ht="15" customHeight="1">
      <c r="A107" t="inlineStr">
        <is>
          <t>A 29773-2019</t>
        </is>
      </c>
      <c r="B107" s="1" t="n">
        <v>43632</v>
      </c>
      <c r="C107" s="1" t="n">
        <v>45569</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31027-2019</t>
        </is>
      </c>
      <c r="B108" s="1" t="n">
        <v>43636</v>
      </c>
      <c r="C108" s="1" t="n">
        <v>45569</v>
      </c>
      <c r="D108" t="inlineStr">
        <is>
          <t>KALMAR LÄN</t>
        </is>
      </c>
      <c r="E108" t="inlineStr">
        <is>
          <t>VIMMERBY</t>
        </is>
      </c>
      <c r="F108" t="inlineStr">
        <is>
          <t>Övriga statliga verk och myndigheter</t>
        </is>
      </c>
      <c r="G108" t="n">
        <v>0.5</v>
      </c>
      <c r="H108" t="n">
        <v>0</v>
      </c>
      <c r="I108" t="n">
        <v>0</v>
      </c>
      <c r="J108" t="n">
        <v>0</v>
      </c>
      <c r="K108" t="n">
        <v>0</v>
      </c>
      <c r="L108" t="n">
        <v>0</v>
      </c>
      <c r="M108" t="n">
        <v>0</v>
      </c>
      <c r="N108" t="n">
        <v>0</v>
      </c>
      <c r="O108" t="n">
        <v>0</v>
      </c>
      <c r="P108" t="n">
        <v>0</v>
      </c>
      <c r="Q108" t="n">
        <v>0</v>
      </c>
      <c r="R108" s="2" t="inlineStr"/>
    </row>
    <row r="109" ht="15" customHeight="1">
      <c r="A109" t="inlineStr">
        <is>
          <t>A 30994-2019</t>
        </is>
      </c>
      <c r="B109" s="1" t="n">
        <v>43640</v>
      </c>
      <c r="C109" s="1" t="n">
        <v>45569</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31859-2019</t>
        </is>
      </c>
      <c r="B110" s="1" t="n">
        <v>43642</v>
      </c>
      <c r="C110" s="1" t="n">
        <v>45569</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32911-2019</t>
        </is>
      </c>
      <c r="B111" s="1" t="n">
        <v>43648</v>
      </c>
      <c r="C111" s="1" t="n">
        <v>45569</v>
      </c>
      <c r="D111" t="inlineStr">
        <is>
          <t>KALMAR LÄN</t>
        </is>
      </c>
      <c r="E111" t="inlineStr">
        <is>
          <t>VIMMERBY</t>
        </is>
      </c>
      <c r="G111" t="n">
        <v>5</v>
      </c>
      <c r="H111" t="n">
        <v>0</v>
      </c>
      <c r="I111" t="n">
        <v>0</v>
      </c>
      <c r="J111" t="n">
        <v>0</v>
      </c>
      <c r="K111" t="n">
        <v>0</v>
      </c>
      <c r="L111" t="n">
        <v>0</v>
      </c>
      <c r="M111" t="n">
        <v>0</v>
      </c>
      <c r="N111" t="n">
        <v>0</v>
      </c>
      <c r="O111" t="n">
        <v>0</v>
      </c>
      <c r="P111" t="n">
        <v>0</v>
      </c>
      <c r="Q111" t="n">
        <v>0</v>
      </c>
      <c r="R111" s="2" t="inlineStr"/>
    </row>
    <row r="112" ht="15" customHeight="1">
      <c r="A112" t="inlineStr">
        <is>
          <t>A 32924-2019</t>
        </is>
      </c>
      <c r="B112" s="1" t="n">
        <v>43648</v>
      </c>
      <c r="C112" s="1" t="n">
        <v>45569</v>
      </c>
      <c r="D112" t="inlineStr">
        <is>
          <t>KALMAR LÄN</t>
        </is>
      </c>
      <c r="E112" t="inlineStr">
        <is>
          <t>VIMMERBY</t>
        </is>
      </c>
      <c r="G112" t="n">
        <v>2.1</v>
      </c>
      <c r="H112" t="n">
        <v>0</v>
      </c>
      <c r="I112" t="n">
        <v>0</v>
      </c>
      <c r="J112" t="n">
        <v>0</v>
      </c>
      <c r="K112" t="n">
        <v>0</v>
      </c>
      <c r="L112" t="n">
        <v>0</v>
      </c>
      <c r="M112" t="n">
        <v>0</v>
      </c>
      <c r="N112" t="n">
        <v>0</v>
      </c>
      <c r="O112" t="n">
        <v>0</v>
      </c>
      <c r="P112" t="n">
        <v>0</v>
      </c>
      <c r="Q112" t="n">
        <v>0</v>
      </c>
      <c r="R112" s="2" t="inlineStr"/>
    </row>
    <row r="113" ht="15" customHeight="1">
      <c r="A113" t="inlineStr">
        <is>
          <t>A 32918-2019</t>
        </is>
      </c>
      <c r="B113" s="1" t="n">
        <v>43648</v>
      </c>
      <c r="C113" s="1" t="n">
        <v>45569</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32910-2019</t>
        </is>
      </c>
      <c r="B114" s="1" t="n">
        <v>43648</v>
      </c>
      <c r="C114" s="1" t="n">
        <v>45569</v>
      </c>
      <c r="D114" t="inlineStr">
        <is>
          <t>KALMAR LÄN</t>
        </is>
      </c>
      <c r="E114" t="inlineStr">
        <is>
          <t>VIMMERBY</t>
        </is>
      </c>
      <c r="G114" t="n">
        <v>6</v>
      </c>
      <c r="H114" t="n">
        <v>0</v>
      </c>
      <c r="I114" t="n">
        <v>0</v>
      </c>
      <c r="J114" t="n">
        <v>0</v>
      </c>
      <c r="K114" t="n">
        <v>0</v>
      </c>
      <c r="L114" t="n">
        <v>0</v>
      </c>
      <c r="M114" t="n">
        <v>0</v>
      </c>
      <c r="N114" t="n">
        <v>0</v>
      </c>
      <c r="O114" t="n">
        <v>0</v>
      </c>
      <c r="P114" t="n">
        <v>0</v>
      </c>
      <c r="Q114" t="n">
        <v>0</v>
      </c>
      <c r="R114" s="2" t="inlineStr"/>
    </row>
    <row r="115" ht="15" customHeight="1">
      <c r="A115" t="inlineStr">
        <is>
          <t>A 34765-2019</t>
        </is>
      </c>
      <c r="B115" s="1" t="n">
        <v>43649</v>
      </c>
      <c r="C115" s="1" t="n">
        <v>45569</v>
      </c>
      <c r="D115" t="inlineStr">
        <is>
          <t>KALMAR LÄN</t>
        </is>
      </c>
      <c r="E115" t="inlineStr">
        <is>
          <t>VIMMERBY</t>
        </is>
      </c>
      <c r="G115" t="n">
        <v>6.9</v>
      </c>
      <c r="H115" t="n">
        <v>0</v>
      </c>
      <c r="I115" t="n">
        <v>0</v>
      </c>
      <c r="J115" t="n">
        <v>0</v>
      </c>
      <c r="K115" t="n">
        <v>0</v>
      </c>
      <c r="L115" t="n">
        <v>0</v>
      </c>
      <c r="M115" t="n">
        <v>0</v>
      </c>
      <c r="N115" t="n">
        <v>0</v>
      </c>
      <c r="O115" t="n">
        <v>0</v>
      </c>
      <c r="P115" t="n">
        <v>0</v>
      </c>
      <c r="Q115" t="n">
        <v>0</v>
      </c>
      <c r="R115" s="2" t="inlineStr"/>
    </row>
    <row r="116" ht="15" customHeight="1">
      <c r="A116" t="inlineStr">
        <is>
          <t>A 33411-2019</t>
        </is>
      </c>
      <c r="B116" s="1" t="n">
        <v>43650</v>
      </c>
      <c r="C116" s="1" t="n">
        <v>45569</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33410-2019</t>
        </is>
      </c>
      <c r="B117" s="1" t="n">
        <v>43650</v>
      </c>
      <c r="C117" s="1" t="n">
        <v>45569</v>
      </c>
      <c r="D117" t="inlineStr">
        <is>
          <t>KALMAR LÄN</t>
        </is>
      </c>
      <c r="E117" t="inlineStr">
        <is>
          <t>VIMMERBY</t>
        </is>
      </c>
      <c r="G117" t="n">
        <v>4.4</v>
      </c>
      <c r="H117" t="n">
        <v>0</v>
      </c>
      <c r="I117" t="n">
        <v>0</v>
      </c>
      <c r="J117" t="n">
        <v>0</v>
      </c>
      <c r="K117" t="n">
        <v>0</v>
      </c>
      <c r="L117" t="n">
        <v>0</v>
      </c>
      <c r="M117" t="n">
        <v>0</v>
      </c>
      <c r="N117" t="n">
        <v>0</v>
      </c>
      <c r="O117" t="n">
        <v>0</v>
      </c>
      <c r="P117" t="n">
        <v>0</v>
      </c>
      <c r="Q117" t="n">
        <v>0</v>
      </c>
      <c r="R117" s="2" t="inlineStr"/>
    </row>
    <row r="118" ht="15" customHeight="1">
      <c r="A118" t="inlineStr">
        <is>
          <t>A 35259-2019</t>
        </is>
      </c>
      <c r="B118" s="1" t="n">
        <v>43651</v>
      </c>
      <c r="C118" s="1" t="n">
        <v>45569</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33869-2019</t>
        </is>
      </c>
      <c r="B119" s="1" t="n">
        <v>43652</v>
      </c>
      <c r="C119" s="1" t="n">
        <v>45569</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34241-2019</t>
        </is>
      </c>
      <c r="B120" s="1" t="n">
        <v>43655</v>
      </c>
      <c r="C120" s="1" t="n">
        <v>45569</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34244-2019</t>
        </is>
      </c>
      <c r="B121" s="1" t="n">
        <v>43655</v>
      </c>
      <c r="C121" s="1" t="n">
        <v>45569</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34273-2019</t>
        </is>
      </c>
      <c r="B122" s="1" t="n">
        <v>43655</v>
      </c>
      <c r="C122" s="1" t="n">
        <v>45569</v>
      </c>
      <c r="D122" t="inlineStr">
        <is>
          <t>KALMAR LÄN</t>
        </is>
      </c>
      <c r="E122" t="inlineStr">
        <is>
          <t>VIMMERBY</t>
        </is>
      </c>
      <c r="G122" t="n">
        <v>3.1</v>
      </c>
      <c r="H122" t="n">
        <v>0</v>
      </c>
      <c r="I122" t="n">
        <v>0</v>
      </c>
      <c r="J122" t="n">
        <v>0</v>
      </c>
      <c r="K122" t="n">
        <v>0</v>
      </c>
      <c r="L122" t="n">
        <v>0</v>
      </c>
      <c r="M122" t="n">
        <v>0</v>
      </c>
      <c r="N122" t="n">
        <v>0</v>
      </c>
      <c r="O122" t="n">
        <v>0</v>
      </c>
      <c r="P122" t="n">
        <v>0</v>
      </c>
      <c r="Q122" t="n">
        <v>0</v>
      </c>
      <c r="R122" s="2" t="inlineStr"/>
    </row>
    <row r="123" ht="15" customHeight="1">
      <c r="A123" t="inlineStr">
        <is>
          <t>A 35701-2019</t>
        </is>
      </c>
      <c r="B123" s="1" t="n">
        <v>43655</v>
      </c>
      <c r="C123" s="1" t="n">
        <v>45569</v>
      </c>
      <c r="D123" t="inlineStr">
        <is>
          <t>KALMAR LÄN</t>
        </is>
      </c>
      <c r="E123" t="inlineStr">
        <is>
          <t>VIMMERBY</t>
        </is>
      </c>
      <c r="G123" t="n">
        <v>1.3</v>
      </c>
      <c r="H123" t="n">
        <v>0</v>
      </c>
      <c r="I123" t="n">
        <v>0</v>
      </c>
      <c r="J123" t="n">
        <v>0</v>
      </c>
      <c r="K123" t="n">
        <v>0</v>
      </c>
      <c r="L123" t="n">
        <v>0</v>
      </c>
      <c r="M123" t="n">
        <v>0</v>
      </c>
      <c r="N123" t="n">
        <v>0</v>
      </c>
      <c r="O123" t="n">
        <v>0</v>
      </c>
      <c r="P123" t="n">
        <v>0</v>
      </c>
      <c r="Q123" t="n">
        <v>0</v>
      </c>
      <c r="R123" s="2" t="inlineStr"/>
    </row>
    <row r="124" ht="15" customHeight="1">
      <c r="A124" t="inlineStr">
        <is>
          <t>A 34672-2019</t>
        </is>
      </c>
      <c r="B124" s="1" t="n">
        <v>43657</v>
      </c>
      <c r="C124" s="1" t="n">
        <v>45569</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35780-2019</t>
        </is>
      </c>
      <c r="B125" s="1" t="n">
        <v>43665</v>
      </c>
      <c r="C125" s="1" t="n">
        <v>45569</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35834-2019</t>
        </is>
      </c>
      <c r="B126" s="1" t="n">
        <v>43665</v>
      </c>
      <c r="C126" s="1" t="n">
        <v>45569</v>
      </c>
      <c r="D126" t="inlineStr">
        <is>
          <t>KALMAR LÄN</t>
        </is>
      </c>
      <c r="E126" t="inlineStr">
        <is>
          <t>VIMMERBY</t>
        </is>
      </c>
      <c r="G126" t="n">
        <v>0.2</v>
      </c>
      <c r="H126" t="n">
        <v>0</v>
      </c>
      <c r="I126" t="n">
        <v>0</v>
      </c>
      <c r="J126" t="n">
        <v>0</v>
      </c>
      <c r="K126" t="n">
        <v>0</v>
      </c>
      <c r="L126" t="n">
        <v>0</v>
      </c>
      <c r="M126" t="n">
        <v>0</v>
      </c>
      <c r="N126" t="n">
        <v>0</v>
      </c>
      <c r="O126" t="n">
        <v>0</v>
      </c>
      <c r="P126" t="n">
        <v>0</v>
      </c>
      <c r="Q126" t="n">
        <v>0</v>
      </c>
      <c r="R126" s="2" t="inlineStr"/>
    </row>
    <row r="127" ht="15" customHeight="1">
      <c r="A127" t="inlineStr">
        <is>
          <t>A 35829-2019</t>
        </is>
      </c>
      <c r="B127" s="1" t="n">
        <v>43665</v>
      </c>
      <c r="C127" s="1" t="n">
        <v>45569</v>
      </c>
      <c r="D127" t="inlineStr">
        <is>
          <t>KALMAR LÄN</t>
        </is>
      </c>
      <c r="E127" t="inlineStr">
        <is>
          <t>VIMMERBY</t>
        </is>
      </c>
      <c r="G127" t="n">
        <v>1.2</v>
      </c>
      <c r="H127" t="n">
        <v>0</v>
      </c>
      <c r="I127" t="n">
        <v>0</v>
      </c>
      <c r="J127" t="n">
        <v>0</v>
      </c>
      <c r="K127" t="n">
        <v>0</v>
      </c>
      <c r="L127" t="n">
        <v>0</v>
      </c>
      <c r="M127" t="n">
        <v>0</v>
      </c>
      <c r="N127" t="n">
        <v>0</v>
      </c>
      <c r="O127" t="n">
        <v>0</v>
      </c>
      <c r="P127" t="n">
        <v>0</v>
      </c>
      <c r="Q127" t="n">
        <v>0</v>
      </c>
      <c r="R127" s="2" t="inlineStr"/>
    </row>
    <row r="128" ht="15" customHeight="1">
      <c r="A128" t="inlineStr">
        <is>
          <t>A 35919-2019</t>
        </is>
      </c>
      <c r="B128" s="1" t="n">
        <v>43665</v>
      </c>
      <c r="C128" s="1" t="n">
        <v>45569</v>
      </c>
      <c r="D128" t="inlineStr">
        <is>
          <t>KALMAR LÄN</t>
        </is>
      </c>
      <c r="E128" t="inlineStr">
        <is>
          <t>VIMMERBY</t>
        </is>
      </c>
      <c r="G128" t="n">
        <v>7.1</v>
      </c>
      <c r="H128" t="n">
        <v>0</v>
      </c>
      <c r="I128" t="n">
        <v>0</v>
      </c>
      <c r="J128" t="n">
        <v>0</v>
      </c>
      <c r="K128" t="n">
        <v>0</v>
      </c>
      <c r="L128" t="n">
        <v>0</v>
      </c>
      <c r="M128" t="n">
        <v>0</v>
      </c>
      <c r="N128" t="n">
        <v>0</v>
      </c>
      <c r="O128" t="n">
        <v>0</v>
      </c>
      <c r="P128" t="n">
        <v>0</v>
      </c>
      <c r="Q128" t="n">
        <v>0</v>
      </c>
      <c r="R128" s="2" t="inlineStr"/>
    </row>
    <row r="129" ht="15" customHeight="1">
      <c r="A129" t="inlineStr">
        <is>
          <t>A 36027-2019</t>
        </is>
      </c>
      <c r="B129" s="1" t="n">
        <v>43668</v>
      </c>
      <c r="C129" s="1" t="n">
        <v>45569</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36024-2019</t>
        </is>
      </c>
      <c r="B130" s="1" t="n">
        <v>43668</v>
      </c>
      <c r="C130" s="1" t="n">
        <v>45569</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36716-2019</t>
        </is>
      </c>
      <c r="B131" s="1" t="n">
        <v>43669</v>
      </c>
      <c r="C131" s="1" t="n">
        <v>45569</v>
      </c>
      <c r="D131" t="inlineStr">
        <is>
          <t>KALMAR LÄN</t>
        </is>
      </c>
      <c r="E131" t="inlineStr">
        <is>
          <t>VIMMERBY</t>
        </is>
      </c>
      <c r="G131" t="n">
        <v>3.6</v>
      </c>
      <c r="H131" t="n">
        <v>0</v>
      </c>
      <c r="I131" t="n">
        <v>0</v>
      </c>
      <c r="J131" t="n">
        <v>0</v>
      </c>
      <c r="K131" t="n">
        <v>0</v>
      </c>
      <c r="L131" t="n">
        <v>0</v>
      </c>
      <c r="M131" t="n">
        <v>0</v>
      </c>
      <c r="N131" t="n">
        <v>0</v>
      </c>
      <c r="O131" t="n">
        <v>0</v>
      </c>
      <c r="P131" t="n">
        <v>0</v>
      </c>
      <c r="Q131" t="n">
        <v>0</v>
      </c>
      <c r="R131" s="2" t="inlineStr"/>
    </row>
    <row r="132" ht="15" customHeight="1">
      <c r="A132" t="inlineStr">
        <is>
          <t>A 36454-2019</t>
        </is>
      </c>
      <c r="B132" s="1" t="n">
        <v>43670</v>
      </c>
      <c r="C132" s="1" t="n">
        <v>45569</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37031-2019</t>
        </is>
      </c>
      <c r="B133" s="1" t="n">
        <v>43672</v>
      </c>
      <c r="C133" s="1" t="n">
        <v>45569</v>
      </c>
      <c r="D133" t="inlineStr">
        <is>
          <t>KALMAR LÄN</t>
        </is>
      </c>
      <c r="E133" t="inlineStr">
        <is>
          <t>VIMMERBY</t>
        </is>
      </c>
      <c r="G133" t="n">
        <v>16.8</v>
      </c>
      <c r="H133" t="n">
        <v>0</v>
      </c>
      <c r="I133" t="n">
        <v>0</v>
      </c>
      <c r="J133" t="n">
        <v>0</v>
      </c>
      <c r="K133" t="n">
        <v>0</v>
      </c>
      <c r="L133" t="n">
        <v>0</v>
      </c>
      <c r="M133" t="n">
        <v>0</v>
      </c>
      <c r="N133" t="n">
        <v>0</v>
      </c>
      <c r="O133" t="n">
        <v>0</v>
      </c>
      <c r="P133" t="n">
        <v>0</v>
      </c>
      <c r="Q133" t="n">
        <v>0</v>
      </c>
      <c r="R133" s="2" t="inlineStr"/>
    </row>
    <row r="134" ht="15" customHeight="1">
      <c r="A134" t="inlineStr">
        <is>
          <t>A 36830-2019</t>
        </is>
      </c>
      <c r="B134" s="1" t="n">
        <v>43674</v>
      </c>
      <c r="C134" s="1" t="n">
        <v>45569</v>
      </c>
      <c r="D134" t="inlineStr">
        <is>
          <t>KALMAR LÄN</t>
        </is>
      </c>
      <c r="E134" t="inlineStr">
        <is>
          <t>VIMMERBY</t>
        </is>
      </c>
      <c r="G134" t="n">
        <v>7.2</v>
      </c>
      <c r="H134" t="n">
        <v>0</v>
      </c>
      <c r="I134" t="n">
        <v>0</v>
      </c>
      <c r="J134" t="n">
        <v>0</v>
      </c>
      <c r="K134" t="n">
        <v>0</v>
      </c>
      <c r="L134" t="n">
        <v>0</v>
      </c>
      <c r="M134" t="n">
        <v>0</v>
      </c>
      <c r="N134" t="n">
        <v>0</v>
      </c>
      <c r="O134" t="n">
        <v>0</v>
      </c>
      <c r="P134" t="n">
        <v>0</v>
      </c>
      <c r="Q134" t="n">
        <v>0</v>
      </c>
      <c r="R134" s="2" t="inlineStr"/>
    </row>
    <row r="135" ht="15" customHeight="1">
      <c r="A135" t="inlineStr">
        <is>
          <t>A 36936-2019</t>
        </is>
      </c>
      <c r="B135" s="1" t="n">
        <v>43675</v>
      </c>
      <c r="C135" s="1" t="n">
        <v>45569</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37063-2019</t>
        </is>
      </c>
      <c r="B136" s="1" t="n">
        <v>43676</v>
      </c>
      <c r="C136" s="1" t="n">
        <v>45569</v>
      </c>
      <c r="D136" t="inlineStr">
        <is>
          <t>KALMAR LÄN</t>
        </is>
      </c>
      <c r="E136" t="inlineStr">
        <is>
          <t>VIMMERBY</t>
        </is>
      </c>
      <c r="G136" t="n">
        <v>2</v>
      </c>
      <c r="H136" t="n">
        <v>0</v>
      </c>
      <c r="I136" t="n">
        <v>0</v>
      </c>
      <c r="J136" t="n">
        <v>0</v>
      </c>
      <c r="K136" t="n">
        <v>0</v>
      </c>
      <c r="L136" t="n">
        <v>0</v>
      </c>
      <c r="M136" t="n">
        <v>0</v>
      </c>
      <c r="N136" t="n">
        <v>0</v>
      </c>
      <c r="O136" t="n">
        <v>0</v>
      </c>
      <c r="P136" t="n">
        <v>0</v>
      </c>
      <c r="Q136" t="n">
        <v>0</v>
      </c>
      <c r="R136" s="2" t="inlineStr"/>
    </row>
    <row r="137" ht="15" customHeight="1">
      <c r="A137" t="inlineStr">
        <is>
          <t>A 37209-2019</t>
        </is>
      </c>
      <c r="B137" s="1" t="n">
        <v>43677</v>
      </c>
      <c r="C137" s="1" t="n">
        <v>45569</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37412-2019</t>
        </is>
      </c>
      <c r="B138" s="1" t="n">
        <v>43678</v>
      </c>
      <c r="C138" s="1" t="n">
        <v>45569</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38602-2019</t>
        </is>
      </c>
      <c r="B139" s="1" t="n">
        <v>43684</v>
      </c>
      <c r="C139" s="1" t="n">
        <v>45569</v>
      </c>
      <c r="D139" t="inlineStr">
        <is>
          <t>KALMAR LÄN</t>
        </is>
      </c>
      <c r="E139" t="inlineStr">
        <is>
          <t>VIMMERBY</t>
        </is>
      </c>
      <c r="G139" t="n">
        <v>2.7</v>
      </c>
      <c r="H139" t="n">
        <v>0</v>
      </c>
      <c r="I139" t="n">
        <v>0</v>
      </c>
      <c r="J139" t="n">
        <v>0</v>
      </c>
      <c r="K139" t="n">
        <v>0</v>
      </c>
      <c r="L139" t="n">
        <v>0</v>
      </c>
      <c r="M139" t="n">
        <v>0</v>
      </c>
      <c r="N139" t="n">
        <v>0</v>
      </c>
      <c r="O139" t="n">
        <v>0</v>
      </c>
      <c r="P139" t="n">
        <v>0</v>
      </c>
      <c r="Q139" t="n">
        <v>0</v>
      </c>
      <c r="R139" s="2" t="inlineStr"/>
    </row>
    <row r="140" ht="15" customHeight="1">
      <c r="A140" t="inlineStr">
        <is>
          <t>A 38866-2019</t>
        </is>
      </c>
      <c r="B140" s="1" t="n">
        <v>43685</v>
      </c>
      <c r="C140" s="1" t="n">
        <v>45569</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38789-2019</t>
        </is>
      </c>
      <c r="B141" s="1" t="n">
        <v>43687</v>
      </c>
      <c r="C141" s="1" t="n">
        <v>45569</v>
      </c>
      <c r="D141" t="inlineStr">
        <is>
          <t>KALMAR LÄN</t>
        </is>
      </c>
      <c r="E141" t="inlineStr">
        <is>
          <t>VIMMERBY</t>
        </is>
      </c>
      <c r="G141" t="n">
        <v>0.3</v>
      </c>
      <c r="H141" t="n">
        <v>0</v>
      </c>
      <c r="I141" t="n">
        <v>0</v>
      </c>
      <c r="J141" t="n">
        <v>0</v>
      </c>
      <c r="K141" t="n">
        <v>0</v>
      </c>
      <c r="L141" t="n">
        <v>0</v>
      </c>
      <c r="M141" t="n">
        <v>0</v>
      </c>
      <c r="N141" t="n">
        <v>0</v>
      </c>
      <c r="O141" t="n">
        <v>0</v>
      </c>
      <c r="P141" t="n">
        <v>0</v>
      </c>
      <c r="Q141" t="n">
        <v>0</v>
      </c>
      <c r="R141" s="2" t="inlineStr"/>
    </row>
    <row r="142" ht="15" customHeight="1">
      <c r="A142" t="inlineStr">
        <is>
          <t>A 38835-2019</t>
        </is>
      </c>
      <c r="B142" s="1" t="n">
        <v>43689</v>
      </c>
      <c r="C142" s="1" t="n">
        <v>45569</v>
      </c>
      <c r="D142" t="inlineStr">
        <is>
          <t>KALMAR LÄN</t>
        </is>
      </c>
      <c r="E142" t="inlineStr">
        <is>
          <t>VIMMERBY</t>
        </is>
      </c>
      <c r="G142" t="n">
        <v>3.8</v>
      </c>
      <c r="H142" t="n">
        <v>0</v>
      </c>
      <c r="I142" t="n">
        <v>0</v>
      </c>
      <c r="J142" t="n">
        <v>0</v>
      </c>
      <c r="K142" t="n">
        <v>0</v>
      </c>
      <c r="L142" t="n">
        <v>0</v>
      </c>
      <c r="M142" t="n">
        <v>0</v>
      </c>
      <c r="N142" t="n">
        <v>0</v>
      </c>
      <c r="O142" t="n">
        <v>0</v>
      </c>
      <c r="P142" t="n">
        <v>0</v>
      </c>
      <c r="Q142" t="n">
        <v>0</v>
      </c>
      <c r="R142" s="2" t="inlineStr"/>
    </row>
    <row r="143" ht="15" customHeight="1">
      <c r="A143" t="inlineStr">
        <is>
          <t>A 38823-2019</t>
        </is>
      </c>
      <c r="B143" s="1" t="n">
        <v>43689</v>
      </c>
      <c r="C143" s="1" t="n">
        <v>45569</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38837-2019</t>
        </is>
      </c>
      <c r="B144" s="1" t="n">
        <v>43689</v>
      </c>
      <c r="C144" s="1" t="n">
        <v>45569</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38831-2019</t>
        </is>
      </c>
      <c r="B145" s="1" t="n">
        <v>43689</v>
      </c>
      <c r="C145" s="1" t="n">
        <v>45569</v>
      </c>
      <c r="D145" t="inlineStr">
        <is>
          <t>KALMAR LÄN</t>
        </is>
      </c>
      <c r="E145" t="inlineStr">
        <is>
          <t>VIMMERBY</t>
        </is>
      </c>
      <c r="G145" t="n">
        <v>3</v>
      </c>
      <c r="H145" t="n">
        <v>0</v>
      </c>
      <c r="I145" t="n">
        <v>0</v>
      </c>
      <c r="J145" t="n">
        <v>0</v>
      </c>
      <c r="K145" t="n">
        <v>0</v>
      </c>
      <c r="L145" t="n">
        <v>0</v>
      </c>
      <c r="M145" t="n">
        <v>0</v>
      </c>
      <c r="N145" t="n">
        <v>0</v>
      </c>
      <c r="O145" t="n">
        <v>0</v>
      </c>
      <c r="P145" t="n">
        <v>0</v>
      </c>
      <c r="Q145" t="n">
        <v>0</v>
      </c>
      <c r="R145" s="2" t="inlineStr"/>
    </row>
    <row r="146" ht="15" customHeight="1">
      <c r="A146" t="inlineStr">
        <is>
          <t>A 39442-2019</t>
        </is>
      </c>
      <c r="B146" s="1" t="n">
        <v>43691</v>
      </c>
      <c r="C146" s="1" t="n">
        <v>45569</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39575-2019</t>
        </is>
      </c>
      <c r="B147" s="1" t="n">
        <v>43691</v>
      </c>
      <c r="C147" s="1" t="n">
        <v>45569</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39568-2019</t>
        </is>
      </c>
      <c r="B148" s="1" t="n">
        <v>43691</v>
      </c>
      <c r="C148" s="1" t="n">
        <v>45569</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39564-2019</t>
        </is>
      </c>
      <c r="B149" s="1" t="n">
        <v>43691</v>
      </c>
      <c r="C149" s="1" t="n">
        <v>45569</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39577-2019</t>
        </is>
      </c>
      <c r="B150" s="1" t="n">
        <v>43691</v>
      </c>
      <c r="C150" s="1" t="n">
        <v>45569</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39856-2019</t>
        </is>
      </c>
      <c r="B151" s="1" t="n">
        <v>43692</v>
      </c>
      <c r="C151" s="1" t="n">
        <v>45569</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39901-2019</t>
        </is>
      </c>
      <c r="B152" s="1" t="n">
        <v>43692</v>
      </c>
      <c r="C152" s="1" t="n">
        <v>45569</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39962-2019</t>
        </is>
      </c>
      <c r="B153" s="1" t="n">
        <v>43692</v>
      </c>
      <c r="C153" s="1" t="n">
        <v>45569</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39899-2019</t>
        </is>
      </c>
      <c r="B154" s="1" t="n">
        <v>43692</v>
      </c>
      <c r="C154" s="1" t="n">
        <v>45569</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39894-2019</t>
        </is>
      </c>
      <c r="B155" s="1" t="n">
        <v>43692</v>
      </c>
      <c r="C155" s="1" t="n">
        <v>45569</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39920-2019</t>
        </is>
      </c>
      <c r="B156" s="1" t="n">
        <v>43692</v>
      </c>
      <c r="C156" s="1" t="n">
        <v>45569</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39897-2019</t>
        </is>
      </c>
      <c r="B157" s="1" t="n">
        <v>43692</v>
      </c>
      <c r="C157" s="1" t="n">
        <v>45569</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40140-2019</t>
        </is>
      </c>
      <c r="B158" s="1" t="n">
        <v>43693</v>
      </c>
      <c r="C158" s="1" t="n">
        <v>45569</v>
      </c>
      <c r="D158" t="inlineStr">
        <is>
          <t>KALMAR LÄN</t>
        </is>
      </c>
      <c r="E158" t="inlineStr">
        <is>
          <t>VIMMERBY</t>
        </is>
      </c>
      <c r="F158" t="inlineStr">
        <is>
          <t>Kommuner</t>
        </is>
      </c>
      <c r="G158" t="n">
        <v>1.3</v>
      </c>
      <c r="H158" t="n">
        <v>0</v>
      </c>
      <c r="I158" t="n">
        <v>0</v>
      </c>
      <c r="J158" t="n">
        <v>0</v>
      </c>
      <c r="K158" t="n">
        <v>0</v>
      </c>
      <c r="L158" t="n">
        <v>0</v>
      </c>
      <c r="M158" t="n">
        <v>0</v>
      </c>
      <c r="N158" t="n">
        <v>0</v>
      </c>
      <c r="O158" t="n">
        <v>0</v>
      </c>
      <c r="P158" t="n">
        <v>0</v>
      </c>
      <c r="Q158" t="n">
        <v>0</v>
      </c>
      <c r="R158" s="2" t="inlineStr"/>
    </row>
    <row r="159" ht="15" customHeight="1">
      <c r="A159" t="inlineStr">
        <is>
          <t>A 40691-2019</t>
        </is>
      </c>
      <c r="B159" s="1" t="n">
        <v>43696</v>
      </c>
      <c r="C159" s="1" t="n">
        <v>45569</v>
      </c>
      <c r="D159" t="inlineStr">
        <is>
          <t>KALMAR LÄN</t>
        </is>
      </c>
      <c r="E159" t="inlineStr">
        <is>
          <t>VIMMERBY</t>
        </is>
      </c>
      <c r="G159" t="n">
        <v>10.9</v>
      </c>
      <c r="H159" t="n">
        <v>0</v>
      </c>
      <c r="I159" t="n">
        <v>0</v>
      </c>
      <c r="J159" t="n">
        <v>0</v>
      </c>
      <c r="K159" t="n">
        <v>0</v>
      </c>
      <c r="L159" t="n">
        <v>0</v>
      </c>
      <c r="M159" t="n">
        <v>0</v>
      </c>
      <c r="N159" t="n">
        <v>0</v>
      </c>
      <c r="O159" t="n">
        <v>0</v>
      </c>
      <c r="P159" t="n">
        <v>0</v>
      </c>
      <c r="Q159" t="n">
        <v>0</v>
      </c>
      <c r="R159" s="2" t="inlineStr"/>
    </row>
    <row r="160" ht="15" customHeight="1">
      <c r="A160" t="inlineStr">
        <is>
          <t>A 40692-2019</t>
        </is>
      </c>
      <c r="B160" s="1" t="n">
        <v>43696</v>
      </c>
      <c r="C160" s="1" t="n">
        <v>45569</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41347-2019</t>
        </is>
      </c>
      <c r="B161" s="1" t="n">
        <v>43698</v>
      </c>
      <c r="C161" s="1" t="n">
        <v>45569</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42142-2019</t>
        </is>
      </c>
      <c r="B162" s="1" t="n">
        <v>43703</v>
      </c>
      <c r="C162" s="1" t="n">
        <v>45569</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42759-2019</t>
        </is>
      </c>
      <c r="B163" s="1" t="n">
        <v>43704</v>
      </c>
      <c r="C163" s="1" t="n">
        <v>45569</v>
      </c>
      <c r="D163" t="inlineStr">
        <is>
          <t>KALMAR LÄN</t>
        </is>
      </c>
      <c r="E163" t="inlineStr">
        <is>
          <t>VIMMERBY</t>
        </is>
      </c>
      <c r="G163" t="n">
        <v>4.6</v>
      </c>
      <c r="H163" t="n">
        <v>0</v>
      </c>
      <c r="I163" t="n">
        <v>0</v>
      </c>
      <c r="J163" t="n">
        <v>0</v>
      </c>
      <c r="K163" t="n">
        <v>0</v>
      </c>
      <c r="L163" t="n">
        <v>0</v>
      </c>
      <c r="M163" t="n">
        <v>0</v>
      </c>
      <c r="N163" t="n">
        <v>0</v>
      </c>
      <c r="O163" t="n">
        <v>0</v>
      </c>
      <c r="P163" t="n">
        <v>0</v>
      </c>
      <c r="Q163" t="n">
        <v>0</v>
      </c>
      <c r="R163" s="2" t="inlineStr"/>
    </row>
    <row r="164" ht="15" customHeight="1">
      <c r="A164" t="inlineStr">
        <is>
          <t>A 42758-2019</t>
        </is>
      </c>
      <c r="B164" s="1" t="n">
        <v>43704</v>
      </c>
      <c r="C164" s="1" t="n">
        <v>45569</v>
      </c>
      <c r="D164" t="inlineStr">
        <is>
          <t>KALMAR LÄN</t>
        </is>
      </c>
      <c r="E164" t="inlineStr">
        <is>
          <t>VIMMERBY</t>
        </is>
      </c>
      <c r="G164" t="n">
        <v>6.2</v>
      </c>
      <c r="H164" t="n">
        <v>0</v>
      </c>
      <c r="I164" t="n">
        <v>0</v>
      </c>
      <c r="J164" t="n">
        <v>0</v>
      </c>
      <c r="K164" t="n">
        <v>0</v>
      </c>
      <c r="L164" t="n">
        <v>0</v>
      </c>
      <c r="M164" t="n">
        <v>0</v>
      </c>
      <c r="N164" t="n">
        <v>0</v>
      </c>
      <c r="O164" t="n">
        <v>0</v>
      </c>
      <c r="P164" t="n">
        <v>0</v>
      </c>
      <c r="Q164" t="n">
        <v>0</v>
      </c>
      <c r="R164" s="2" t="inlineStr"/>
    </row>
    <row r="165" ht="15" customHeight="1">
      <c r="A165" t="inlineStr">
        <is>
          <t>A 42947-2019</t>
        </is>
      </c>
      <c r="B165" s="1" t="n">
        <v>43705</v>
      </c>
      <c r="C165" s="1" t="n">
        <v>45569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42972-2019</t>
        </is>
      </c>
      <c r="B166" s="1" t="n">
        <v>43705</v>
      </c>
      <c r="C166" s="1" t="n">
        <v>45569</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44202-2019</t>
        </is>
      </c>
      <c r="B167" s="1" t="n">
        <v>43710</v>
      </c>
      <c r="C167" s="1" t="n">
        <v>45569</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44630-2019</t>
        </is>
      </c>
      <c r="B168" s="1" t="n">
        <v>43712</v>
      </c>
      <c r="C168" s="1" t="n">
        <v>45569</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45446-2019</t>
        </is>
      </c>
      <c r="B169" s="1" t="n">
        <v>43714</v>
      </c>
      <c r="C169" s="1" t="n">
        <v>45569</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45413-2019</t>
        </is>
      </c>
      <c r="B170" s="1" t="n">
        <v>43714</v>
      </c>
      <c r="C170" s="1" t="n">
        <v>45569</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45515-2019</t>
        </is>
      </c>
      <c r="B171" s="1" t="n">
        <v>43714</v>
      </c>
      <c r="C171" s="1" t="n">
        <v>45569</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46242-2019</t>
        </is>
      </c>
      <c r="B172" s="1" t="n">
        <v>43718</v>
      </c>
      <c r="C172" s="1" t="n">
        <v>45569</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46845-2019</t>
        </is>
      </c>
      <c r="B173" s="1" t="n">
        <v>43718</v>
      </c>
      <c r="C173" s="1" t="n">
        <v>45569</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46291-2019</t>
        </is>
      </c>
      <c r="B174" s="1" t="n">
        <v>43718</v>
      </c>
      <c r="C174" s="1" t="n">
        <v>45569</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47187-2019</t>
        </is>
      </c>
      <c r="B175" s="1" t="n">
        <v>43719</v>
      </c>
      <c r="C175" s="1" t="n">
        <v>45569</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46619-2019</t>
        </is>
      </c>
      <c r="B176" s="1" t="n">
        <v>43719</v>
      </c>
      <c r="C176" s="1" t="n">
        <v>45569</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46988-2019</t>
        </is>
      </c>
      <c r="B177" s="1" t="n">
        <v>43720</v>
      </c>
      <c r="C177" s="1" t="n">
        <v>45569</v>
      </c>
      <c r="D177" t="inlineStr">
        <is>
          <t>KALMAR LÄN</t>
        </is>
      </c>
      <c r="E177" t="inlineStr">
        <is>
          <t>VIMMERBY</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48029-2019</t>
        </is>
      </c>
      <c r="B178" s="1" t="n">
        <v>43725</v>
      </c>
      <c r="C178" s="1" t="n">
        <v>45569</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48051-2019</t>
        </is>
      </c>
      <c r="B179" s="1" t="n">
        <v>43725</v>
      </c>
      <c r="C179" s="1" t="n">
        <v>45569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48164-2019</t>
        </is>
      </c>
      <c r="B180" s="1" t="n">
        <v>43726</v>
      </c>
      <c r="C180" s="1" t="n">
        <v>45569</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48381-2019</t>
        </is>
      </c>
      <c r="B181" s="1" t="n">
        <v>43726</v>
      </c>
      <c r="C181" s="1" t="n">
        <v>45569</v>
      </c>
      <c r="D181" t="inlineStr">
        <is>
          <t>KALMAR LÄN</t>
        </is>
      </c>
      <c r="E181" t="inlineStr">
        <is>
          <t>VIMMERBY</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48380-2019</t>
        </is>
      </c>
      <c r="B182" s="1" t="n">
        <v>43726</v>
      </c>
      <c r="C182" s="1" t="n">
        <v>45569</v>
      </c>
      <c r="D182" t="inlineStr">
        <is>
          <t>KALMAR LÄN</t>
        </is>
      </c>
      <c r="E182" t="inlineStr">
        <is>
          <t>VIMMERBY</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48834-2019</t>
        </is>
      </c>
      <c r="B183" s="1" t="n">
        <v>43728</v>
      </c>
      <c r="C183" s="1" t="n">
        <v>45569</v>
      </c>
      <c r="D183" t="inlineStr">
        <is>
          <t>KALMAR LÄN</t>
        </is>
      </c>
      <c r="E183" t="inlineStr">
        <is>
          <t>VIMMERBY</t>
        </is>
      </c>
      <c r="G183" t="n">
        <v>5.3</v>
      </c>
      <c r="H183" t="n">
        <v>0</v>
      </c>
      <c r="I183" t="n">
        <v>0</v>
      </c>
      <c r="J183" t="n">
        <v>0</v>
      </c>
      <c r="K183" t="n">
        <v>0</v>
      </c>
      <c r="L183" t="n">
        <v>0</v>
      </c>
      <c r="M183" t="n">
        <v>0</v>
      </c>
      <c r="N183" t="n">
        <v>0</v>
      </c>
      <c r="O183" t="n">
        <v>0</v>
      </c>
      <c r="P183" t="n">
        <v>0</v>
      </c>
      <c r="Q183" t="n">
        <v>0</v>
      </c>
      <c r="R183" s="2" t="inlineStr"/>
    </row>
    <row r="184" ht="15" customHeight="1">
      <c r="A184" t="inlineStr">
        <is>
          <t>A 48921-2019</t>
        </is>
      </c>
      <c r="B184" s="1" t="n">
        <v>43728</v>
      </c>
      <c r="C184" s="1" t="n">
        <v>45569</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49212-2019</t>
        </is>
      </c>
      <c r="B185" s="1" t="n">
        <v>43731</v>
      </c>
      <c r="C185" s="1" t="n">
        <v>45569</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49208-2019</t>
        </is>
      </c>
      <c r="B186" s="1" t="n">
        <v>43731</v>
      </c>
      <c r="C186" s="1" t="n">
        <v>45569</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49206-2019</t>
        </is>
      </c>
      <c r="B187" s="1" t="n">
        <v>43731</v>
      </c>
      <c r="C187" s="1" t="n">
        <v>45569</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49741-2019</t>
        </is>
      </c>
      <c r="B188" s="1" t="n">
        <v>43733</v>
      </c>
      <c r="C188" s="1" t="n">
        <v>45569</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49760-2019</t>
        </is>
      </c>
      <c r="B189" s="1" t="n">
        <v>43733</v>
      </c>
      <c r="C189" s="1" t="n">
        <v>45569</v>
      </c>
      <c r="D189" t="inlineStr">
        <is>
          <t>KALMAR LÄN</t>
        </is>
      </c>
      <c r="E189" t="inlineStr">
        <is>
          <t>VIMMERBY</t>
        </is>
      </c>
      <c r="G189" t="n">
        <v>2.3</v>
      </c>
      <c r="H189" t="n">
        <v>0</v>
      </c>
      <c r="I189" t="n">
        <v>0</v>
      </c>
      <c r="J189" t="n">
        <v>0</v>
      </c>
      <c r="K189" t="n">
        <v>0</v>
      </c>
      <c r="L189" t="n">
        <v>0</v>
      </c>
      <c r="M189" t="n">
        <v>0</v>
      </c>
      <c r="N189" t="n">
        <v>0</v>
      </c>
      <c r="O189" t="n">
        <v>0</v>
      </c>
      <c r="P189" t="n">
        <v>0</v>
      </c>
      <c r="Q189" t="n">
        <v>0</v>
      </c>
      <c r="R189" s="2" t="inlineStr"/>
    </row>
    <row r="190" ht="15" customHeight="1">
      <c r="A190" t="inlineStr">
        <is>
          <t>A 49747-2019</t>
        </is>
      </c>
      <c r="B190" s="1" t="n">
        <v>43733</v>
      </c>
      <c r="C190" s="1" t="n">
        <v>45569</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49855-2019</t>
        </is>
      </c>
      <c r="B191" s="1" t="n">
        <v>43733</v>
      </c>
      <c r="C191" s="1" t="n">
        <v>45569</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49871-2019</t>
        </is>
      </c>
      <c r="B192" s="1" t="n">
        <v>43733</v>
      </c>
      <c r="C192" s="1" t="n">
        <v>45569</v>
      </c>
      <c r="D192" t="inlineStr">
        <is>
          <t>KALMAR LÄN</t>
        </is>
      </c>
      <c r="E192" t="inlineStr">
        <is>
          <t>VIMMERBY</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49880-2019</t>
        </is>
      </c>
      <c r="B193" s="1" t="n">
        <v>43733</v>
      </c>
      <c r="C193" s="1" t="n">
        <v>45569</v>
      </c>
      <c r="D193" t="inlineStr">
        <is>
          <t>KALMAR LÄN</t>
        </is>
      </c>
      <c r="E193" t="inlineStr">
        <is>
          <t>VIMMERBY</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49885-2019</t>
        </is>
      </c>
      <c r="B194" s="1" t="n">
        <v>43733</v>
      </c>
      <c r="C194" s="1" t="n">
        <v>45569</v>
      </c>
      <c r="D194" t="inlineStr">
        <is>
          <t>KALMAR LÄN</t>
        </is>
      </c>
      <c r="E194" t="inlineStr">
        <is>
          <t>VIMMERBY</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49901-2019</t>
        </is>
      </c>
      <c r="B195" s="1" t="n">
        <v>43733</v>
      </c>
      <c r="C195" s="1" t="n">
        <v>45569</v>
      </c>
      <c r="D195" t="inlineStr">
        <is>
          <t>KALMAR LÄN</t>
        </is>
      </c>
      <c r="E195" t="inlineStr">
        <is>
          <t>VIMMERBY</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49891-2019</t>
        </is>
      </c>
      <c r="B196" s="1" t="n">
        <v>43733</v>
      </c>
      <c r="C196" s="1" t="n">
        <v>45569</v>
      </c>
      <c r="D196" t="inlineStr">
        <is>
          <t>KALMAR LÄN</t>
        </is>
      </c>
      <c r="E196" t="inlineStr">
        <is>
          <t>VIMMERBY</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49695-2019</t>
        </is>
      </c>
      <c r="B197" s="1" t="n">
        <v>43733</v>
      </c>
      <c r="C197" s="1" t="n">
        <v>45569</v>
      </c>
      <c r="D197" t="inlineStr">
        <is>
          <t>KALMAR LÄN</t>
        </is>
      </c>
      <c r="E197" t="inlineStr">
        <is>
          <t>VIMMERBY</t>
        </is>
      </c>
      <c r="G197" t="n">
        <v>4.6</v>
      </c>
      <c r="H197" t="n">
        <v>0</v>
      </c>
      <c r="I197" t="n">
        <v>0</v>
      </c>
      <c r="J197" t="n">
        <v>0</v>
      </c>
      <c r="K197" t="n">
        <v>0</v>
      </c>
      <c r="L197" t="n">
        <v>0</v>
      </c>
      <c r="M197" t="n">
        <v>0</v>
      </c>
      <c r="N197" t="n">
        <v>0</v>
      </c>
      <c r="O197" t="n">
        <v>0</v>
      </c>
      <c r="P197" t="n">
        <v>0</v>
      </c>
      <c r="Q197" t="n">
        <v>0</v>
      </c>
      <c r="R197" s="2" t="inlineStr"/>
    </row>
    <row r="198" ht="15" customHeight="1">
      <c r="A198" t="inlineStr">
        <is>
          <t>A 50214-2019</t>
        </is>
      </c>
      <c r="B198" s="1" t="n">
        <v>43734</v>
      </c>
      <c r="C198" s="1" t="n">
        <v>45569</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50317-2019</t>
        </is>
      </c>
      <c r="B199" s="1" t="n">
        <v>43735</v>
      </c>
      <c r="C199" s="1" t="n">
        <v>45569</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50761-2019</t>
        </is>
      </c>
      <c r="B200" s="1" t="n">
        <v>43738</v>
      </c>
      <c r="C200" s="1" t="n">
        <v>45569</v>
      </c>
      <c r="D200" t="inlineStr">
        <is>
          <t>KALMAR LÄN</t>
        </is>
      </c>
      <c r="E200" t="inlineStr">
        <is>
          <t>VIMMERBY</t>
        </is>
      </c>
      <c r="G200" t="n">
        <v>3.9</v>
      </c>
      <c r="H200" t="n">
        <v>0</v>
      </c>
      <c r="I200" t="n">
        <v>0</v>
      </c>
      <c r="J200" t="n">
        <v>0</v>
      </c>
      <c r="K200" t="n">
        <v>0</v>
      </c>
      <c r="L200" t="n">
        <v>0</v>
      </c>
      <c r="M200" t="n">
        <v>0</v>
      </c>
      <c r="N200" t="n">
        <v>0</v>
      </c>
      <c r="O200" t="n">
        <v>0</v>
      </c>
      <c r="P200" t="n">
        <v>0</v>
      </c>
      <c r="Q200" t="n">
        <v>0</v>
      </c>
      <c r="R200" s="2" t="inlineStr"/>
    </row>
    <row r="201" ht="15" customHeight="1">
      <c r="A201" t="inlineStr">
        <is>
          <t>A 51273-2019</t>
        </is>
      </c>
      <c r="B201" s="1" t="n">
        <v>43739</v>
      </c>
      <c r="C201" s="1" t="n">
        <v>45569</v>
      </c>
      <c r="D201" t="inlineStr">
        <is>
          <t>KALMAR LÄN</t>
        </is>
      </c>
      <c r="E201" t="inlineStr">
        <is>
          <t>VIMMERBY</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51277-2019</t>
        </is>
      </c>
      <c r="B202" s="1" t="n">
        <v>43739</v>
      </c>
      <c r="C202" s="1" t="n">
        <v>45569</v>
      </c>
      <c r="D202" t="inlineStr">
        <is>
          <t>KALMAR LÄN</t>
        </is>
      </c>
      <c r="E202" t="inlineStr">
        <is>
          <t>VIMMERBY</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51362-2019</t>
        </is>
      </c>
      <c r="B203" s="1" t="n">
        <v>43740</v>
      </c>
      <c r="C203" s="1" t="n">
        <v>45569</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51552-2019</t>
        </is>
      </c>
      <c r="B204" s="1" t="n">
        <v>43740</v>
      </c>
      <c r="C204" s="1" t="n">
        <v>45569</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51719-2019</t>
        </is>
      </c>
      <c r="B205" s="1" t="n">
        <v>43741</v>
      </c>
      <c r="C205" s="1" t="n">
        <v>45569</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52173-2019</t>
        </is>
      </c>
      <c r="B206" s="1" t="n">
        <v>43742</v>
      </c>
      <c r="C206" s="1" t="n">
        <v>45569</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52356-2019</t>
        </is>
      </c>
      <c r="B207" s="1" t="n">
        <v>43745</v>
      </c>
      <c r="C207" s="1" t="n">
        <v>45569</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52909-2019</t>
        </is>
      </c>
      <c r="B208" s="1" t="n">
        <v>43746</v>
      </c>
      <c r="C208" s="1" t="n">
        <v>45569</v>
      </c>
      <c r="D208" t="inlineStr">
        <is>
          <t>KALMAR LÄN</t>
        </is>
      </c>
      <c r="E208" t="inlineStr">
        <is>
          <t>VIMMERBY</t>
        </is>
      </c>
      <c r="G208" t="n">
        <v>5.8</v>
      </c>
      <c r="H208" t="n">
        <v>0</v>
      </c>
      <c r="I208" t="n">
        <v>0</v>
      </c>
      <c r="J208" t="n">
        <v>0</v>
      </c>
      <c r="K208" t="n">
        <v>0</v>
      </c>
      <c r="L208" t="n">
        <v>0</v>
      </c>
      <c r="M208" t="n">
        <v>0</v>
      </c>
      <c r="N208" t="n">
        <v>0</v>
      </c>
      <c r="O208" t="n">
        <v>0</v>
      </c>
      <c r="P208" t="n">
        <v>0</v>
      </c>
      <c r="Q208" t="n">
        <v>0</v>
      </c>
      <c r="R208" s="2" t="inlineStr"/>
    </row>
    <row r="209" ht="15" customHeight="1">
      <c r="A209" t="inlineStr">
        <is>
          <t>A 52908-2019</t>
        </is>
      </c>
      <c r="B209" s="1" t="n">
        <v>43746</v>
      </c>
      <c r="C209" s="1" t="n">
        <v>45569</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52780-2019</t>
        </is>
      </c>
      <c r="B210" s="1" t="n">
        <v>43746</v>
      </c>
      <c r="C210" s="1" t="n">
        <v>45569</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53691-2019</t>
        </is>
      </c>
      <c r="B211" s="1" t="n">
        <v>43749</v>
      </c>
      <c r="C211" s="1" t="n">
        <v>45569</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54593-2019</t>
        </is>
      </c>
      <c r="B212" s="1" t="n">
        <v>43754</v>
      </c>
      <c r="C212" s="1" t="n">
        <v>45569</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54794-2019</t>
        </is>
      </c>
      <c r="B213" s="1" t="n">
        <v>43755</v>
      </c>
      <c r="C213" s="1" t="n">
        <v>45569</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55757-2019</t>
        </is>
      </c>
      <c r="B214" s="1" t="n">
        <v>43759</v>
      </c>
      <c r="C214" s="1" t="n">
        <v>45569</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57998-2019</t>
        </is>
      </c>
      <c r="B215" s="1" t="n">
        <v>43762</v>
      </c>
      <c r="C215" s="1" t="n">
        <v>45569</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57509-2019</t>
        </is>
      </c>
      <c r="B216" s="1" t="n">
        <v>43767</v>
      </c>
      <c r="C216" s="1" t="n">
        <v>45569</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57886-2019</t>
        </is>
      </c>
      <c r="B217" s="1" t="n">
        <v>43768</v>
      </c>
      <c r="C217" s="1" t="n">
        <v>45569</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59256-2019</t>
        </is>
      </c>
      <c r="B218" s="1" t="n">
        <v>43773</v>
      </c>
      <c r="C218" s="1" t="n">
        <v>45569</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58812-2019</t>
        </is>
      </c>
      <c r="B219" s="1" t="n">
        <v>43774</v>
      </c>
      <c r="C219" s="1" t="n">
        <v>45569</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60253-2019</t>
        </is>
      </c>
      <c r="B220" s="1" t="n">
        <v>43780</v>
      </c>
      <c r="C220" s="1" t="n">
        <v>45569</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60673-2019</t>
        </is>
      </c>
      <c r="B221" s="1" t="n">
        <v>43781</v>
      </c>
      <c r="C221" s="1" t="n">
        <v>45569</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60802-2019</t>
        </is>
      </c>
      <c r="B222" s="1" t="n">
        <v>43781</v>
      </c>
      <c r="C222" s="1" t="n">
        <v>45569</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61049-2019</t>
        </is>
      </c>
      <c r="B223" s="1" t="n">
        <v>43782</v>
      </c>
      <c r="C223" s="1" t="n">
        <v>45569</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63362-2019</t>
        </is>
      </c>
      <c r="B224" s="1" t="n">
        <v>43787</v>
      </c>
      <c r="C224" s="1" t="n">
        <v>45569</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62625-2019</t>
        </is>
      </c>
      <c r="B225" s="1" t="n">
        <v>43789</v>
      </c>
      <c r="C225" s="1" t="n">
        <v>45569</v>
      </c>
      <c r="D225" t="inlineStr">
        <is>
          <t>KALMAR LÄN</t>
        </is>
      </c>
      <c r="E225" t="inlineStr">
        <is>
          <t>VIMMERBY</t>
        </is>
      </c>
      <c r="F225" t="inlineStr">
        <is>
          <t>Övriga Aktiebolag</t>
        </is>
      </c>
      <c r="G225" t="n">
        <v>8.1</v>
      </c>
      <c r="H225" t="n">
        <v>0</v>
      </c>
      <c r="I225" t="n">
        <v>0</v>
      </c>
      <c r="J225" t="n">
        <v>0</v>
      </c>
      <c r="K225" t="n">
        <v>0</v>
      </c>
      <c r="L225" t="n">
        <v>0</v>
      </c>
      <c r="M225" t="n">
        <v>0</v>
      </c>
      <c r="N225" t="n">
        <v>0</v>
      </c>
      <c r="O225" t="n">
        <v>0</v>
      </c>
      <c r="P225" t="n">
        <v>0</v>
      </c>
      <c r="Q225" t="n">
        <v>0</v>
      </c>
      <c r="R225" s="2" t="inlineStr"/>
    </row>
    <row r="226" ht="15" customHeight="1">
      <c r="A226" t="inlineStr">
        <is>
          <t>A 63029-2019</t>
        </is>
      </c>
      <c r="B226" s="1" t="n">
        <v>43791</v>
      </c>
      <c r="C226" s="1" t="n">
        <v>45569</v>
      </c>
      <c r="D226" t="inlineStr">
        <is>
          <t>KALMAR LÄN</t>
        </is>
      </c>
      <c r="E226" t="inlineStr">
        <is>
          <t>VIMMERBY</t>
        </is>
      </c>
      <c r="F226" t="inlineStr">
        <is>
          <t>Kyrkan</t>
        </is>
      </c>
      <c r="G226" t="n">
        <v>3.1</v>
      </c>
      <c r="H226" t="n">
        <v>0</v>
      </c>
      <c r="I226" t="n">
        <v>0</v>
      </c>
      <c r="J226" t="n">
        <v>0</v>
      </c>
      <c r="K226" t="n">
        <v>0</v>
      </c>
      <c r="L226" t="n">
        <v>0</v>
      </c>
      <c r="M226" t="n">
        <v>0</v>
      </c>
      <c r="N226" t="n">
        <v>0</v>
      </c>
      <c r="O226" t="n">
        <v>0</v>
      </c>
      <c r="P226" t="n">
        <v>0</v>
      </c>
      <c r="Q226" t="n">
        <v>0</v>
      </c>
      <c r="R226" s="2" t="inlineStr"/>
    </row>
    <row r="227" ht="15" customHeight="1">
      <c r="A227" t="inlineStr">
        <is>
          <t>A 63746-2019</t>
        </is>
      </c>
      <c r="B227" s="1" t="n">
        <v>43795</v>
      </c>
      <c r="C227" s="1" t="n">
        <v>45569</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64119-2019</t>
        </is>
      </c>
      <c r="B228" s="1" t="n">
        <v>43796</v>
      </c>
      <c r="C228" s="1" t="n">
        <v>45569</v>
      </c>
      <c r="D228" t="inlineStr">
        <is>
          <t>KALMAR LÄN</t>
        </is>
      </c>
      <c r="E228" t="inlineStr">
        <is>
          <t>VIMMERBY</t>
        </is>
      </c>
      <c r="G228" t="n">
        <v>4.6</v>
      </c>
      <c r="H228" t="n">
        <v>0</v>
      </c>
      <c r="I228" t="n">
        <v>0</v>
      </c>
      <c r="J228" t="n">
        <v>0</v>
      </c>
      <c r="K228" t="n">
        <v>0</v>
      </c>
      <c r="L228" t="n">
        <v>0</v>
      </c>
      <c r="M228" t="n">
        <v>0</v>
      </c>
      <c r="N228" t="n">
        <v>0</v>
      </c>
      <c r="O228" t="n">
        <v>0</v>
      </c>
      <c r="P228" t="n">
        <v>0</v>
      </c>
      <c r="Q228" t="n">
        <v>0</v>
      </c>
      <c r="R228" s="2" t="inlineStr"/>
    </row>
    <row r="229" ht="15" customHeight="1">
      <c r="A229" t="inlineStr">
        <is>
          <t>A 64345-2019</t>
        </is>
      </c>
      <c r="B229" s="1" t="n">
        <v>43797</v>
      </c>
      <c r="C229" s="1" t="n">
        <v>45569</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64334-2019</t>
        </is>
      </c>
      <c r="B230" s="1" t="n">
        <v>43797</v>
      </c>
      <c r="C230" s="1" t="n">
        <v>45569</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65267-2019</t>
        </is>
      </c>
      <c r="B231" s="1" t="n">
        <v>43802</v>
      </c>
      <c r="C231" s="1" t="n">
        <v>45569</v>
      </c>
      <c r="D231" t="inlineStr">
        <is>
          <t>KALMAR LÄN</t>
        </is>
      </c>
      <c r="E231" t="inlineStr">
        <is>
          <t>VIMMERBY</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66169-2019</t>
        </is>
      </c>
      <c r="B232" s="1" t="n">
        <v>43808</v>
      </c>
      <c r="C232" s="1" t="n">
        <v>45569</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66172-2019</t>
        </is>
      </c>
      <c r="B233" s="1" t="n">
        <v>43808</v>
      </c>
      <c r="C233" s="1" t="n">
        <v>45569</v>
      </c>
      <c r="D233" t="inlineStr">
        <is>
          <t>KALMAR LÄN</t>
        </is>
      </c>
      <c r="E233" t="inlineStr">
        <is>
          <t>VIMMERBY</t>
        </is>
      </c>
      <c r="G233" t="n">
        <v>3.6</v>
      </c>
      <c r="H233" t="n">
        <v>0</v>
      </c>
      <c r="I233" t="n">
        <v>0</v>
      </c>
      <c r="J233" t="n">
        <v>0</v>
      </c>
      <c r="K233" t="n">
        <v>0</v>
      </c>
      <c r="L233" t="n">
        <v>0</v>
      </c>
      <c r="M233" t="n">
        <v>0</v>
      </c>
      <c r="N233" t="n">
        <v>0</v>
      </c>
      <c r="O233" t="n">
        <v>0</v>
      </c>
      <c r="P233" t="n">
        <v>0</v>
      </c>
      <c r="Q233" t="n">
        <v>0</v>
      </c>
      <c r="R233" s="2" t="inlineStr"/>
    </row>
    <row r="234" ht="15" customHeight="1">
      <c r="A234" t="inlineStr">
        <is>
          <t>A 66151-2019</t>
        </is>
      </c>
      <c r="B234" s="1" t="n">
        <v>43808</v>
      </c>
      <c r="C234" s="1" t="n">
        <v>45569</v>
      </c>
      <c r="D234" t="inlineStr">
        <is>
          <t>KALMAR LÄN</t>
        </is>
      </c>
      <c r="E234" t="inlineStr">
        <is>
          <t>VIMMERBY</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67293-2019</t>
        </is>
      </c>
      <c r="B235" s="1" t="n">
        <v>43812</v>
      </c>
      <c r="C235" s="1" t="n">
        <v>45569</v>
      </c>
      <c r="D235" t="inlineStr">
        <is>
          <t>KALMAR LÄN</t>
        </is>
      </c>
      <c r="E235" t="inlineStr">
        <is>
          <t>VIMMERBY</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67359-2019</t>
        </is>
      </c>
      <c r="B236" s="1" t="n">
        <v>43812</v>
      </c>
      <c r="C236" s="1" t="n">
        <v>45569</v>
      </c>
      <c r="D236" t="inlineStr">
        <is>
          <t>KALMAR LÄN</t>
        </is>
      </c>
      <c r="E236" t="inlineStr">
        <is>
          <t>VIMMERBY</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67346-2019</t>
        </is>
      </c>
      <c r="B237" s="1" t="n">
        <v>43812</v>
      </c>
      <c r="C237" s="1" t="n">
        <v>45569</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447-2020</t>
        </is>
      </c>
      <c r="B238" s="1" t="n">
        <v>43837</v>
      </c>
      <c r="C238" s="1" t="n">
        <v>45569</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306-2020</t>
        </is>
      </c>
      <c r="B239" s="1" t="n">
        <v>43837</v>
      </c>
      <c r="C239" s="1" t="n">
        <v>45569</v>
      </c>
      <c r="D239" t="inlineStr">
        <is>
          <t>KALMAR LÄN</t>
        </is>
      </c>
      <c r="E239" t="inlineStr">
        <is>
          <t>VIMMERBY</t>
        </is>
      </c>
      <c r="G239" t="n">
        <v>9.9</v>
      </c>
      <c r="H239" t="n">
        <v>0</v>
      </c>
      <c r="I239" t="n">
        <v>0</v>
      </c>
      <c r="J239" t="n">
        <v>0</v>
      </c>
      <c r="K239" t="n">
        <v>0</v>
      </c>
      <c r="L239" t="n">
        <v>0</v>
      </c>
      <c r="M239" t="n">
        <v>0</v>
      </c>
      <c r="N239" t="n">
        <v>0</v>
      </c>
      <c r="O239" t="n">
        <v>0</v>
      </c>
      <c r="P239" t="n">
        <v>0</v>
      </c>
      <c r="Q239" t="n">
        <v>0</v>
      </c>
      <c r="R239" s="2" t="inlineStr"/>
    </row>
    <row r="240" ht="15" customHeight="1">
      <c r="A240" t="inlineStr">
        <is>
          <t>A 593-2020</t>
        </is>
      </c>
      <c r="B240" s="1" t="n">
        <v>43838</v>
      </c>
      <c r="C240" s="1" t="n">
        <v>45569</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2473-2020</t>
        </is>
      </c>
      <c r="B241" s="1" t="n">
        <v>43840</v>
      </c>
      <c r="C241" s="1" t="n">
        <v>45569</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1967-2020</t>
        </is>
      </c>
      <c r="B242" s="1" t="n">
        <v>43845</v>
      </c>
      <c r="C242" s="1" t="n">
        <v>45569</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2070-2020</t>
        </is>
      </c>
      <c r="B243" s="1" t="n">
        <v>43845</v>
      </c>
      <c r="C243" s="1" t="n">
        <v>45569</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3434-2020</t>
        </is>
      </c>
      <c r="B244" s="1" t="n">
        <v>43845</v>
      </c>
      <c r="C244" s="1" t="n">
        <v>45569</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2756-2020</t>
        </is>
      </c>
      <c r="B245" s="1" t="n">
        <v>43850</v>
      </c>
      <c r="C245" s="1" t="n">
        <v>45569</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2856-2020</t>
        </is>
      </c>
      <c r="B246" s="1" t="n">
        <v>43850</v>
      </c>
      <c r="C246" s="1" t="n">
        <v>45569</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3211-2020</t>
        </is>
      </c>
      <c r="B247" s="1" t="n">
        <v>43851</v>
      </c>
      <c r="C247" s="1" t="n">
        <v>45569</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3414-2020</t>
        </is>
      </c>
      <c r="B248" s="1" t="n">
        <v>43852</v>
      </c>
      <c r="C248" s="1" t="n">
        <v>45569</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3672-2020</t>
        </is>
      </c>
      <c r="B249" s="1" t="n">
        <v>43853</v>
      </c>
      <c r="C249" s="1" t="n">
        <v>45569</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5047-2020</t>
        </is>
      </c>
      <c r="B250" s="1" t="n">
        <v>43853</v>
      </c>
      <c r="C250" s="1" t="n">
        <v>45569</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5043-2020</t>
        </is>
      </c>
      <c r="B251" s="1" t="n">
        <v>43853</v>
      </c>
      <c r="C251" s="1" t="n">
        <v>45569</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4194-2020</t>
        </is>
      </c>
      <c r="B252" s="1" t="n">
        <v>43857</v>
      </c>
      <c r="C252" s="1" t="n">
        <v>45569</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5362-2020</t>
        </is>
      </c>
      <c r="B253" s="1" t="n">
        <v>43857</v>
      </c>
      <c r="C253" s="1" t="n">
        <v>45569</v>
      </c>
      <c r="D253" t="inlineStr">
        <is>
          <t>KALMAR LÄN</t>
        </is>
      </c>
      <c r="E253" t="inlineStr">
        <is>
          <t>VIMMERBY</t>
        </is>
      </c>
      <c r="G253" t="n">
        <v>2.3</v>
      </c>
      <c r="H253" t="n">
        <v>0</v>
      </c>
      <c r="I253" t="n">
        <v>0</v>
      </c>
      <c r="J253" t="n">
        <v>0</v>
      </c>
      <c r="K253" t="n">
        <v>0</v>
      </c>
      <c r="L253" t="n">
        <v>0</v>
      </c>
      <c r="M253" t="n">
        <v>0</v>
      </c>
      <c r="N253" t="n">
        <v>0</v>
      </c>
      <c r="O253" t="n">
        <v>0</v>
      </c>
      <c r="P253" t="n">
        <v>0</v>
      </c>
      <c r="Q253" t="n">
        <v>0</v>
      </c>
      <c r="R253" s="2" t="inlineStr"/>
    </row>
    <row r="254" ht="15" customHeight="1">
      <c r="A254" t="inlineStr">
        <is>
          <t>A 4472-2020</t>
        </is>
      </c>
      <c r="B254" s="1" t="n">
        <v>43858</v>
      </c>
      <c r="C254" s="1" t="n">
        <v>45569</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5548-2020</t>
        </is>
      </c>
      <c r="B255" s="1" t="n">
        <v>43861</v>
      </c>
      <c r="C255" s="1" t="n">
        <v>45569</v>
      </c>
      <c r="D255" t="inlineStr">
        <is>
          <t>KALMAR LÄN</t>
        </is>
      </c>
      <c r="E255" t="inlineStr">
        <is>
          <t>VIMMERBY</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6042-2020</t>
        </is>
      </c>
      <c r="B256" s="1" t="n">
        <v>43865</v>
      </c>
      <c r="C256" s="1" t="n">
        <v>45569</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7870-2020</t>
        </is>
      </c>
      <c r="B257" s="1" t="n">
        <v>43873</v>
      </c>
      <c r="C257" s="1" t="n">
        <v>45569</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8691-2020</t>
        </is>
      </c>
      <c r="B258" s="1" t="n">
        <v>43878</v>
      </c>
      <c r="C258" s="1" t="n">
        <v>45569</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9151-2020</t>
        </is>
      </c>
      <c r="B259" s="1" t="n">
        <v>43879</v>
      </c>
      <c r="C259" s="1" t="n">
        <v>45569</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9382-2020</t>
        </is>
      </c>
      <c r="B260" s="1" t="n">
        <v>43880</v>
      </c>
      <c r="C260" s="1" t="n">
        <v>45569</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9718-2020</t>
        </is>
      </c>
      <c r="B261" s="1" t="n">
        <v>43881</v>
      </c>
      <c r="C261" s="1" t="n">
        <v>45569</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10474-2020</t>
        </is>
      </c>
      <c r="B262" s="1" t="n">
        <v>43887</v>
      </c>
      <c r="C262" s="1" t="n">
        <v>45569</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10484-2020</t>
        </is>
      </c>
      <c r="B263" s="1" t="n">
        <v>43887</v>
      </c>
      <c r="C263" s="1" t="n">
        <v>45569</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10923-2020</t>
        </is>
      </c>
      <c r="B264" s="1" t="n">
        <v>43889</v>
      </c>
      <c r="C264" s="1" t="n">
        <v>45569</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11243-2020</t>
        </is>
      </c>
      <c r="B265" s="1" t="n">
        <v>43892</v>
      </c>
      <c r="C265" s="1" t="n">
        <v>45569</v>
      </c>
      <c r="D265" t="inlineStr">
        <is>
          <t>KALMAR LÄN</t>
        </is>
      </c>
      <c r="E265" t="inlineStr">
        <is>
          <t>VIMMERBY</t>
        </is>
      </c>
      <c r="G265" t="n">
        <v>1.8</v>
      </c>
      <c r="H265" t="n">
        <v>0</v>
      </c>
      <c r="I265" t="n">
        <v>0</v>
      </c>
      <c r="J265" t="n">
        <v>0</v>
      </c>
      <c r="K265" t="n">
        <v>0</v>
      </c>
      <c r="L265" t="n">
        <v>0</v>
      </c>
      <c r="M265" t="n">
        <v>0</v>
      </c>
      <c r="N265" t="n">
        <v>0</v>
      </c>
      <c r="O265" t="n">
        <v>0</v>
      </c>
      <c r="P265" t="n">
        <v>0</v>
      </c>
      <c r="Q265" t="n">
        <v>0</v>
      </c>
      <c r="R265" s="2" t="inlineStr"/>
    </row>
    <row r="266" ht="15" customHeight="1">
      <c r="A266" t="inlineStr">
        <is>
          <t>A 12823-2020</t>
        </is>
      </c>
      <c r="B266" s="1" t="n">
        <v>43899</v>
      </c>
      <c r="C266" s="1" t="n">
        <v>45569</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13496-2020</t>
        </is>
      </c>
      <c r="B267" s="1" t="n">
        <v>43900</v>
      </c>
      <c r="C267" s="1" t="n">
        <v>45569</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14410-2020</t>
        </is>
      </c>
      <c r="B268" s="1" t="n">
        <v>43902</v>
      </c>
      <c r="C268" s="1" t="n">
        <v>45569</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13606-2020</t>
        </is>
      </c>
      <c r="B269" s="1" t="n">
        <v>43903</v>
      </c>
      <c r="C269" s="1" t="n">
        <v>45569</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14022-2020</t>
        </is>
      </c>
      <c r="B270" s="1" t="n">
        <v>43906</v>
      </c>
      <c r="C270" s="1" t="n">
        <v>45569</v>
      </c>
      <c r="D270" t="inlineStr">
        <is>
          <t>KALMAR LÄN</t>
        </is>
      </c>
      <c r="E270" t="inlineStr">
        <is>
          <t>VIMMERBY</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16222-2020</t>
        </is>
      </c>
      <c r="B271" s="1" t="n">
        <v>43917</v>
      </c>
      <c r="C271" s="1" t="n">
        <v>45569</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18676-2020</t>
        </is>
      </c>
      <c r="B272" s="1" t="n">
        <v>43930</v>
      </c>
      <c r="C272" s="1" t="n">
        <v>45569</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18855-2020</t>
        </is>
      </c>
      <c r="B273" s="1" t="n">
        <v>43930</v>
      </c>
      <c r="C273" s="1" t="n">
        <v>45569</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18885-2020</t>
        </is>
      </c>
      <c r="B274" s="1" t="n">
        <v>43935</v>
      </c>
      <c r="C274" s="1" t="n">
        <v>45569</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18909-2020</t>
        </is>
      </c>
      <c r="B275" s="1" t="n">
        <v>43935</v>
      </c>
      <c r="C275" s="1" t="n">
        <v>45569</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20291-2020</t>
        </is>
      </c>
      <c r="B276" s="1" t="n">
        <v>43945</v>
      </c>
      <c r="C276" s="1" t="n">
        <v>45569</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21408-2020</t>
        </is>
      </c>
      <c r="B277" s="1" t="n">
        <v>43955</v>
      </c>
      <c r="C277" s="1" t="n">
        <v>45569</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21581-2020</t>
        </is>
      </c>
      <c r="B278" s="1" t="n">
        <v>43956</v>
      </c>
      <c r="C278" s="1" t="n">
        <v>45569</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21891-2020</t>
        </is>
      </c>
      <c r="B279" s="1" t="n">
        <v>43958</v>
      </c>
      <c r="C279" s="1" t="n">
        <v>45569</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22267-2020</t>
        </is>
      </c>
      <c r="B280" s="1" t="n">
        <v>43962</v>
      </c>
      <c r="C280" s="1" t="n">
        <v>45569</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22574-2020</t>
        </is>
      </c>
      <c r="B281" s="1" t="n">
        <v>43963</v>
      </c>
      <c r="C281" s="1" t="n">
        <v>45569</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22637-2020</t>
        </is>
      </c>
      <c r="B282" s="1" t="n">
        <v>43963</v>
      </c>
      <c r="C282" s="1" t="n">
        <v>45569</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22828-2020</t>
        </is>
      </c>
      <c r="B283" s="1" t="n">
        <v>43964</v>
      </c>
      <c r="C283" s="1" t="n">
        <v>45569</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23391-2020</t>
        </is>
      </c>
      <c r="B284" s="1" t="n">
        <v>43968</v>
      </c>
      <c r="C284" s="1" t="n">
        <v>45569</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23394-2020</t>
        </is>
      </c>
      <c r="B285" s="1" t="n">
        <v>43968</v>
      </c>
      <c r="C285" s="1" t="n">
        <v>45569</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23705-2020</t>
        </is>
      </c>
      <c r="B286" s="1" t="n">
        <v>43970</v>
      </c>
      <c r="C286" s="1" t="n">
        <v>45569</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23877-2020</t>
        </is>
      </c>
      <c r="B287" s="1" t="n">
        <v>43971</v>
      </c>
      <c r="C287" s="1" t="n">
        <v>45569</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24016-2020</t>
        </is>
      </c>
      <c r="B288" s="1" t="n">
        <v>43971</v>
      </c>
      <c r="C288" s="1" t="n">
        <v>45569</v>
      </c>
      <c r="D288" t="inlineStr">
        <is>
          <t>KALMAR LÄN</t>
        </is>
      </c>
      <c r="E288" t="inlineStr">
        <is>
          <t>VIMMERBY</t>
        </is>
      </c>
      <c r="G288" t="n">
        <v>4.5</v>
      </c>
      <c r="H288" t="n">
        <v>0</v>
      </c>
      <c r="I288" t="n">
        <v>0</v>
      </c>
      <c r="J288" t="n">
        <v>0</v>
      </c>
      <c r="K288" t="n">
        <v>0</v>
      </c>
      <c r="L288" t="n">
        <v>0</v>
      </c>
      <c r="M288" t="n">
        <v>0</v>
      </c>
      <c r="N288" t="n">
        <v>0</v>
      </c>
      <c r="O288" t="n">
        <v>0</v>
      </c>
      <c r="P288" t="n">
        <v>0</v>
      </c>
      <c r="Q288" t="n">
        <v>0</v>
      </c>
      <c r="R288" s="2" t="inlineStr"/>
    </row>
    <row r="289" ht="15" customHeight="1">
      <c r="A289" t="inlineStr">
        <is>
          <t>A 24770-2020</t>
        </is>
      </c>
      <c r="B289" s="1" t="n">
        <v>43978</v>
      </c>
      <c r="C289" s="1" t="n">
        <v>45569</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24784-2020</t>
        </is>
      </c>
      <c r="B290" s="1" t="n">
        <v>43978</v>
      </c>
      <c r="C290" s="1" t="n">
        <v>45569</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24782-2020</t>
        </is>
      </c>
      <c r="B291" s="1" t="n">
        <v>43978</v>
      </c>
      <c r="C291" s="1" t="n">
        <v>45569</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25761-2020</t>
        </is>
      </c>
      <c r="B292" s="1" t="n">
        <v>43984</v>
      </c>
      <c r="C292" s="1" t="n">
        <v>45569</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26723-2020</t>
        </is>
      </c>
      <c r="B293" s="1" t="n">
        <v>43990</v>
      </c>
      <c r="C293" s="1" t="n">
        <v>45569</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27104-2020</t>
        </is>
      </c>
      <c r="B294" s="1" t="n">
        <v>43991</v>
      </c>
      <c r="C294" s="1" t="n">
        <v>45569</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27212-2020</t>
        </is>
      </c>
      <c r="B295" s="1" t="n">
        <v>43992</v>
      </c>
      <c r="C295" s="1" t="n">
        <v>45569</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27316-2020</t>
        </is>
      </c>
      <c r="B296" s="1" t="n">
        <v>43992</v>
      </c>
      <c r="C296" s="1" t="n">
        <v>45569</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27214-2020</t>
        </is>
      </c>
      <c r="B297" s="1" t="n">
        <v>43992</v>
      </c>
      <c r="C297" s="1" t="n">
        <v>45569</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27213-2020</t>
        </is>
      </c>
      <c r="B298" s="1" t="n">
        <v>43992</v>
      </c>
      <c r="C298" s="1" t="n">
        <v>45569</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27236-2020</t>
        </is>
      </c>
      <c r="B299" s="1" t="n">
        <v>43992</v>
      </c>
      <c r="C299" s="1" t="n">
        <v>45569</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28853-2020</t>
        </is>
      </c>
      <c r="B300" s="1" t="n">
        <v>44000</v>
      </c>
      <c r="C300" s="1" t="n">
        <v>45569</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28885-2020</t>
        </is>
      </c>
      <c r="B301" s="1" t="n">
        <v>44000</v>
      </c>
      <c r="C301" s="1" t="n">
        <v>45569</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28969-2020</t>
        </is>
      </c>
      <c r="B302" s="1" t="n">
        <v>44000</v>
      </c>
      <c r="C302" s="1" t="n">
        <v>45569</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29235-2020</t>
        </is>
      </c>
      <c r="B303" s="1" t="n">
        <v>44004</v>
      </c>
      <c r="C303" s="1" t="n">
        <v>45569</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29913-2020</t>
        </is>
      </c>
      <c r="B304" s="1" t="n">
        <v>44006</v>
      </c>
      <c r="C304" s="1" t="n">
        <v>45569</v>
      </c>
      <c r="D304" t="inlineStr">
        <is>
          <t>KALMAR LÄN</t>
        </is>
      </c>
      <c r="E304" t="inlineStr">
        <is>
          <t>VIMMERBY</t>
        </is>
      </c>
      <c r="F304" t="inlineStr">
        <is>
          <t>Kommuner</t>
        </is>
      </c>
      <c r="G304" t="n">
        <v>3.8</v>
      </c>
      <c r="H304" t="n">
        <v>0</v>
      </c>
      <c r="I304" t="n">
        <v>0</v>
      </c>
      <c r="J304" t="n">
        <v>0</v>
      </c>
      <c r="K304" t="n">
        <v>0</v>
      </c>
      <c r="L304" t="n">
        <v>0</v>
      </c>
      <c r="M304" t="n">
        <v>0</v>
      </c>
      <c r="N304" t="n">
        <v>0</v>
      </c>
      <c r="O304" t="n">
        <v>0</v>
      </c>
      <c r="P304" t="n">
        <v>0</v>
      </c>
      <c r="Q304" t="n">
        <v>0</v>
      </c>
      <c r="R304" s="2" t="inlineStr"/>
    </row>
    <row r="305" ht="15" customHeight="1">
      <c r="A305" t="inlineStr">
        <is>
          <t>A 29918-2020</t>
        </is>
      </c>
      <c r="B305" s="1" t="n">
        <v>44006</v>
      </c>
      <c r="C305" s="1" t="n">
        <v>45569</v>
      </c>
      <c r="D305" t="inlineStr">
        <is>
          <t>KALMAR LÄN</t>
        </is>
      </c>
      <c r="E305" t="inlineStr">
        <is>
          <t>VIMMERBY</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29979-2020</t>
        </is>
      </c>
      <c r="B306" s="1" t="n">
        <v>44006</v>
      </c>
      <c r="C306" s="1" t="n">
        <v>45569</v>
      </c>
      <c r="D306" t="inlineStr">
        <is>
          <t>KALMAR LÄN</t>
        </is>
      </c>
      <c r="E306" t="inlineStr">
        <is>
          <t>VIMMERBY</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29935-2020</t>
        </is>
      </c>
      <c r="B307" s="1" t="n">
        <v>44006</v>
      </c>
      <c r="C307" s="1" t="n">
        <v>45569</v>
      </c>
      <c r="D307" t="inlineStr">
        <is>
          <t>KALMAR LÄN</t>
        </is>
      </c>
      <c r="E307" t="inlineStr">
        <is>
          <t>VIMMERBY</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30206-2020</t>
        </is>
      </c>
      <c r="B308" s="1" t="n">
        <v>44007</v>
      </c>
      <c r="C308" s="1" t="n">
        <v>45569</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31289-2020</t>
        </is>
      </c>
      <c r="B309" s="1" t="n">
        <v>44012</v>
      </c>
      <c r="C309" s="1" t="n">
        <v>45569</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33159-2020</t>
        </is>
      </c>
      <c r="B310" s="1" t="n">
        <v>44021</v>
      </c>
      <c r="C310" s="1" t="n">
        <v>45569</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33279-2020</t>
        </is>
      </c>
      <c r="B311" s="1" t="n">
        <v>44022</v>
      </c>
      <c r="C311" s="1" t="n">
        <v>45569</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33856-2020</t>
        </is>
      </c>
      <c r="B312" s="1" t="n">
        <v>44027</v>
      </c>
      <c r="C312" s="1" t="n">
        <v>45569</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34350-2020</t>
        </is>
      </c>
      <c r="B313" s="1" t="n">
        <v>44028</v>
      </c>
      <c r="C313" s="1" t="n">
        <v>45569</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34345-2020</t>
        </is>
      </c>
      <c r="B314" s="1" t="n">
        <v>44028</v>
      </c>
      <c r="C314" s="1" t="n">
        <v>45569</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34719-2020</t>
        </is>
      </c>
      <c r="B315" s="1" t="n">
        <v>44035</v>
      </c>
      <c r="C315" s="1" t="n">
        <v>45569</v>
      </c>
      <c r="D315" t="inlineStr">
        <is>
          <t>KALMAR LÄN</t>
        </is>
      </c>
      <c r="E315" t="inlineStr">
        <is>
          <t>VIMMERBY</t>
        </is>
      </c>
      <c r="G315" t="n">
        <v>3.5</v>
      </c>
      <c r="H315" t="n">
        <v>0</v>
      </c>
      <c r="I315" t="n">
        <v>0</v>
      </c>
      <c r="J315" t="n">
        <v>0</v>
      </c>
      <c r="K315" t="n">
        <v>0</v>
      </c>
      <c r="L315" t="n">
        <v>0</v>
      </c>
      <c r="M315" t="n">
        <v>0</v>
      </c>
      <c r="N315" t="n">
        <v>0</v>
      </c>
      <c r="O315" t="n">
        <v>0</v>
      </c>
      <c r="P315" t="n">
        <v>0</v>
      </c>
      <c r="Q315" t="n">
        <v>0</v>
      </c>
      <c r="R315" s="2" t="inlineStr"/>
    </row>
    <row r="316" ht="15" customHeight="1">
      <c r="A316" t="inlineStr">
        <is>
          <t>A 34907-2020</t>
        </is>
      </c>
      <c r="B316" s="1" t="n">
        <v>44036</v>
      </c>
      <c r="C316" s="1" t="n">
        <v>45569</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35350-2020</t>
        </is>
      </c>
      <c r="B317" s="1" t="n">
        <v>44041</v>
      </c>
      <c r="C317" s="1" t="n">
        <v>45569</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35886-2020</t>
        </is>
      </c>
      <c r="B318" s="1" t="n">
        <v>44047</v>
      </c>
      <c r="C318" s="1" t="n">
        <v>45569</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36085-2020</t>
        </is>
      </c>
      <c r="B319" s="1" t="n">
        <v>44048</v>
      </c>
      <c r="C319" s="1" t="n">
        <v>45569</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36161-2020</t>
        </is>
      </c>
      <c r="B320" s="1" t="n">
        <v>44048</v>
      </c>
      <c r="C320" s="1" t="n">
        <v>45569</v>
      </c>
      <c r="D320" t="inlineStr">
        <is>
          <t>KALMAR LÄN</t>
        </is>
      </c>
      <c r="E320" t="inlineStr">
        <is>
          <t>VIMMERBY</t>
        </is>
      </c>
      <c r="G320" t="n">
        <v>12.5</v>
      </c>
      <c r="H320" t="n">
        <v>0</v>
      </c>
      <c r="I320" t="n">
        <v>0</v>
      </c>
      <c r="J320" t="n">
        <v>0</v>
      </c>
      <c r="K320" t="n">
        <v>0</v>
      </c>
      <c r="L320" t="n">
        <v>0</v>
      </c>
      <c r="M320" t="n">
        <v>0</v>
      </c>
      <c r="N320" t="n">
        <v>0</v>
      </c>
      <c r="O320" t="n">
        <v>0</v>
      </c>
      <c r="P320" t="n">
        <v>0</v>
      </c>
      <c r="Q320" t="n">
        <v>0</v>
      </c>
      <c r="R320" s="2" t="inlineStr"/>
    </row>
    <row r="321" ht="15" customHeight="1">
      <c r="A321" t="inlineStr">
        <is>
          <t>A 37104-2020</t>
        </is>
      </c>
      <c r="B321" s="1" t="n">
        <v>44054</v>
      </c>
      <c r="C321" s="1" t="n">
        <v>45569</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37201-2020</t>
        </is>
      </c>
      <c r="B322" s="1" t="n">
        <v>44054</v>
      </c>
      <c r="C322" s="1" t="n">
        <v>45569</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37078-2020</t>
        </is>
      </c>
      <c r="B323" s="1" t="n">
        <v>44054</v>
      </c>
      <c r="C323" s="1" t="n">
        <v>45569</v>
      </c>
      <c r="D323" t="inlineStr">
        <is>
          <t>KALMAR LÄN</t>
        </is>
      </c>
      <c r="E323" t="inlineStr">
        <is>
          <t>VIMMERBY</t>
        </is>
      </c>
      <c r="G323" t="n">
        <v>4.5</v>
      </c>
      <c r="H323" t="n">
        <v>0</v>
      </c>
      <c r="I323" t="n">
        <v>0</v>
      </c>
      <c r="J323" t="n">
        <v>0</v>
      </c>
      <c r="K323" t="n">
        <v>0</v>
      </c>
      <c r="L323" t="n">
        <v>0</v>
      </c>
      <c r="M323" t="n">
        <v>0</v>
      </c>
      <c r="N323" t="n">
        <v>0</v>
      </c>
      <c r="O323" t="n">
        <v>0</v>
      </c>
      <c r="P323" t="n">
        <v>0</v>
      </c>
      <c r="Q323" t="n">
        <v>0</v>
      </c>
      <c r="R323" s="2" t="inlineStr"/>
    </row>
    <row r="324" ht="15" customHeight="1">
      <c r="A324" t="inlineStr">
        <is>
          <t>A 37362-2020</t>
        </is>
      </c>
      <c r="B324" s="1" t="n">
        <v>44055</v>
      </c>
      <c r="C324" s="1" t="n">
        <v>45569</v>
      </c>
      <c r="D324" t="inlineStr">
        <is>
          <t>KALMAR LÄN</t>
        </is>
      </c>
      <c r="E324" t="inlineStr">
        <is>
          <t>VIMMERBY</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37813-2020</t>
        </is>
      </c>
      <c r="B325" s="1" t="n">
        <v>44057</v>
      </c>
      <c r="C325" s="1" t="n">
        <v>45569</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37973-2020</t>
        </is>
      </c>
      <c r="B326" s="1" t="n">
        <v>44057</v>
      </c>
      <c r="C326" s="1" t="n">
        <v>45569</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38153-2020</t>
        </is>
      </c>
      <c r="B327" s="1" t="n">
        <v>44060</v>
      </c>
      <c r="C327" s="1" t="n">
        <v>45569</v>
      </c>
      <c r="D327" t="inlineStr">
        <is>
          <t>KALMAR LÄN</t>
        </is>
      </c>
      <c r="E327" t="inlineStr">
        <is>
          <t>VIMMERBY</t>
        </is>
      </c>
      <c r="G327" t="n">
        <v>6</v>
      </c>
      <c r="H327" t="n">
        <v>0</v>
      </c>
      <c r="I327" t="n">
        <v>0</v>
      </c>
      <c r="J327" t="n">
        <v>0</v>
      </c>
      <c r="K327" t="n">
        <v>0</v>
      </c>
      <c r="L327" t="n">
        <v>0</v>
      </c>
      <c r="M327" t="n">
        <v>0</v>
      </c>
      <c r="N327" t="n">
        <v>0</v>
      </c>
      <c r="O327" t="n">
        <v>0</v>
      </c>
      <c r="P327" t="n">
        <v>0</v>
      </c>
      <c r="Q327" t="n">
        <v>0</v>
      </c>
      <c r="R327" s="2" t="inlineStr"/>
    </row>
    <row r="328" ht="15" customHeight="1">
      <c r="A328" t="inlineStr">
        <is>
          <t>A 38397-2020</t>
        </is>
      </c>
      <c r="B328" s="1" t="n">
        <v>44060</v>
      </c>
      <c r="C328" s="1" t="n">
        <v>45569</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38530-2020</t>
        </is>
      </c>
      <c r="B329" s="1" t="n">
        <v>44061</v>
      </c>
      <c r="C329" s="1" t="n">
        <v>45569</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38710-2020</t>
        </is>
      </c>
      <c r="B330" s="1" t="n">
        <v>44061</v>
      </c>
      <c r="C330" s="1" t="n">
        <v>45569</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38844-2020</t>
        </is>
      </c>
      <c r="B331" s="1" t="n">
        <v>44062</v>
      </c>
      <c r="C331" s="1" t="n">
        <v>45569</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39191-2020</t>
        </is>
      </c>
      <c r="B332" s="1" t="n">
        <v>44063</v>
      </c>
      <c r="C332" s="1" t="n">
        <v>45569</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39251-2020</t>
        </is>
      </c>
      <c r="B333" s="1" t="n">
        <v>44063</v>
      </c>
      <c r="C333" s="1" t="n">
        <v>45569</v>
      </c>
      <c r="D333" t="inlineStr">
        <is>
          <t>KALMAR LÄN</t>
        </is>
      </c>
      <c r="E333" t="inlineStr">
        <is>
          <t>VIMMERBY</t>
        </is>
      </c>
      <c r="G333" t="n">
        <v>6.1</v>
      </c>
      <c r="H333" t="n">
        <v>0</v>
      </c>
      <c r="I333" t="n">
        <v>0</v>
      </c>
      <c r="J333" t="n">
        <v>0</v>
      </c>
      <c r="K333" t="n">
        <v>0</v>
      </c>
      <c r="L333" t="n">
        <v>0</v>
      </c>
      <c r="M333" t="n">
        <v>0</v>
      </c>
      <c r="N333" t="n">
        <v>0</v>
      </c>
      <c r="O333" t="n">
        <v>0</v>
      </c>
      <c r="P333" t="n">
        <v>0</v>
      </c>
      <c r="Q333" t="n">
        <v>0</v>
      </c>
      <c r="R333" s="2" t="inlineStr"/>
    </row>
    <row r="334" ht="15" customHeight="1">
      <c r="A334" t="inlineStr">
        <is>
          <t>A 39125-2020</t>
        </is>
      </c>
      <c r="B334" s="1" t="n">
        <v>44063</v>
      </c>
      <c r="C334" s="1" t="n">
        <v>45569</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39300-2020</t>
        </is>
      </c>
      <c r="B335" s="1" t="n">
        <v>44063</v>
      </c>
      <c r="C335" s="1" t="n">
        <v>45569</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39288-2020</t>
        </is>
      </c>
      <c r="B336" s="1" t="n">
        <v>44063</v>
      </c>
      <c r="C336" s="1" t="n">
        <v>45569</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39508-2020</t>
        </is>
      </c>
      <c r="B337" s="1" t="n">
        <v>44064</v>
      </c>
      <c r="C337" s="1" t="n">
        <v>45569</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39769-2020</t>
        </is>
      </c>
      <c r="B338" s="1" t="n">
        <v>44064</v>
      </c>
      <c r="C338" s="1" t="n">
        <v>45569</v>
      </c>
      <c r="D338" t="inlineStr">
        <is>
          <t>KALMAR LÄN</t>
        </is>
      </c>
      <c r="E338" t="inlineStr">
        <is>
          <t>VIMMERBY</t>
        </is>
      </c>
      <c r="G338" t="n">
        <v>24.6</v>
      </c>
      <c r="H338" t="n">
        <v>0</v>
      </c>
      <c r="I338" t="n">
        <v>0</v>
      </c>
      <c r="J338" t="n">
        <v>0</v>
      </c>
      <c r="K338" t="n">
        <v>0</v>
      </c>
      <c r="L338" t="n">
        <v>0</v>
      </c>
      <c r="M338" t="n">
        <v>0</v>
      </c>
      <c r="N338" t="n">
        <v>0</v>
      </c>
      <c r="O338" t="n">
        <v>0</v>
      </c>
      <c r="P338" t="n">
        <v>0</v>
      </c>
      <c r="Q338" t="n">
        <v>0</v>
      </c>
      <c r="R338" s="2" t="inlineStr"/>
    </row>
    <row r="339" ht="15" customHeight="1">
      <c r="A339" t="inlineStr">
        <is>
          <t>A 40239-2020</t>
        </is>
      </c>
      <c r="B339" s="1" t="n">
        <v>44068</v>
      </c>
      <c r="C339" s="1" t="n">
        <v>45569</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40766-2020</t>
        </is>
      </c>
      <c r="B340" s="1" t="n">
        <v>44070</v>
      </c>
      <c r="C340" s="1" t="n">
        <v>45569</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40890-2020</t>
        </is>
      </c>
      <c r="B341" s="1" t="n">
        <v>44070</v>
      </c>
      <c r="C341" s="1" t="n">
        <v>45569</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40812-2020</t>
        </is>
      </c>
      <c r="B342" s="1" t="n">
        <v>44070</v>
      </c>
      <c r="C342" s="1" t="n">
        <v>45569</v>
      </c>
      <c r="D342" t="inlineStr">
        <is>
          <t>KALMAR LÄN</t>
        </is>
      </c>
      <c r="E342" t="inlineStr">
        <is>
          <t>VIMMERBY</t>
        </is>
      </c>
      <c r="G342" t="n">
        <v>4.9</v>
      </c>
      <c r="H342" t="n">
        <v>0</v>
      </c>
      <c r="I342" t="n">
        <v>0</v>
      </c>
      <c r="J342" t="n">
        <v>0</v>
      </c>
      <c r="K342" t="n">
        <v>0</v>
      </c>
      <c r="L342" t="n">
        <v>0</v>
      </c>
      <c r="M342" t="n">
        <v>0</v>
      </c>
      <c r="N342" t="n">
        <v>0</v>
      </c>
      <c r="O342" t="n">
        <v>0</v>
      </c>
      <c r="P342" t="n">
        <v>0</v>
      </c>
      <c r="Q342" t="n">
        <v>0</v>
      </c>
      <c r="R342" s="2" t="inlineStr"/>
    </row>
    <row r="343" ht="15" customHeight="1">
      <c r="A343" t="inlineStr">
        <is>
          <t>A 40889-2020</t>
        </is>
      </c>
      <c r="B343" s="1" t="n">
        <v>44070</v>
      </c>
      <c r="C343" s="1" t="n">
        <v>45569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40818-2020</t>
        </is>
      </c>
      <c r="B344" s="1" t="n">
        <v>44070</v>
      </c>
      <c r="C344" s="1" t="n">
        <v>45569</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40808-2020</t>
        </is>
      </c>
      <c r="B345" s="1" t="n">
        <v>44070</v>
      </c>
      <c r="C345" s="1" t="n">
        <v>45569</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42067-2020</t>
        </is>
      </c>
      <c r="B346" s="1" t="n">
        <v>44075</v>
      </c>
      <c r="C346" s="1" t="n">
        <v>45569</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42494-2020</t>
        </is>
      </c>
      <c r="B347" s="1" t="n">
        <v>44077</v>
      </c>
      <c r="C347" s="1" t="n">
        <v>45569</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44000-2020</t>
        </is>
      </c>
      <c r="B348" s="1" t="n">
        <v>44083</v>
      </c>
      <c r="C348" s="1" t="n">
        <v>45569</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43998-2020</t>
        </is>
      </c>
      <c r="B349" s="1" t="n">
        <v>44083</v>
      </c>
      <c r="C349" s="1" t="n">
        <v>45569</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44605-2020</t>
        </is>
      </c>
      <c r="B350" s="1" t="n">
        <v>44085</v>
      </c>
      <c r="C350" s="1" t="n">
        <v>45569</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45050-2020</t>
        </is>
      </c>
      <c r="B351" s="1" t="n">
        <v>44088</v>
      </c>
      <c r="C351" s="1" t="n">
        <v>45569</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45054-2020</t>
        </is>
      </c>
      <c r="B352" s="1" t="n">
        <v>44088</v>
      </c>
      <c r="C352" s="1" t="n">
        <v>45569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45528-2020</t>
        </is>
      </c>
      <c r="B353" s="1" t="n">
        <v>44089</v>
      </c>
      <c r="C353" s="1" t="n">
        <v>45569</v>
      </c>
      <c r="D353" t="inlineStr">
        <is>
          <t>KALMAR LÄN</t>
        </is>
      </c>
      <c r="E353" t="inlineStr">
        <is>
          <t>VIMMERBY</t>
        </is>
      </c>
      <c r="G353" t="n">
        <v>3.8</v>
      </c>
      <c r="H353" t="n">
        <v>0</v>
      </c>
      <c r="I353" t="n">
        <v>0</v>
      </c>
      <c r="J353" t="n">
        <v>0</v>
      </c>
      <c r="K353" t="n">
        <v>0</v>
      </c>
      <c r="L353" t="n">
        <v>0</v>
      </c>
      <c r="M353" t="n">
        <v>0</v>
      </c>
      <c r="N353" t="n">
        <v>0</v>
      </c>
      <c r="O353" t="n">
        <v>0</v>
      </c>
      <c r="P353" t="n">
        <v>0</v>
      </c>
      <c r="Q353" t="n">
        <v>0</v>
      </c>
      <c r="R353" s="2" t="inlineStr"/>
    </row>
    <row r="354" ht="15" customHeight="1">
      <c r="A354" t="inlineStr">
        <is>
          <t>A 45678-2020</t>
        </is>
      </c>
      <c r="B354" s="1" t="n">
        <v>44090</v>
      </c>
      <c r="C354" s="1" t="n">
        <v>45569</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46085-2020</t>
        </is>
      </c>
      <c r="B355" s="1" t="n">
        <v>44091</v>
      </c>
      <c r="C355" s="1" t="n">
        <v>45569</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46461-2020</t>
        </is>
      </c>
      <c r="B356" s="1" t="n">
        <v>44092</v>
      </c>
      <c r="C356" s="1" t="n">
        <v>45569</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46527-2020</t>
        </is>
      </c>
      <c r="B357" s="1" t="n">
        <v>44095</v>
      </c>
      <c r="C357" s="1" t="n">
        <v>45569</v>
      </c>
      <c r="D357" t="inlineStr">
        <is>
          <t>KALMAR LÄN</t>
        </is>
      </c>
      <c r="E357" t="inlineStr">
        <is>
          <t>VIMMERBY</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47295-2020</t>
        </is>
      </c>
      <c r="B358" s="1" t="n">
        <v>44097</v>
      </c>
      <c r="C358" s="1" t="n">
        <v>45569</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49059-2020</t>
        </is>
      </c>
      <c r="B359" s="1" t="n">
        <v>44102</v>
      </c>
      <c r="C359" s="1" t="n">
        <v>45569</v>
      </c>
      <c r="D359" t="inlineStr">
        <is>
          <t>KALMAR LÄN</t>
        </is>
      </c>
      <c r="E359" t="inlineStr">
        <is>
          <t>VIMMERBY</t>
        </is>
      </c>
      <c r="G359" t="n">
        <v>5.8</v>
      </c>
      <c r="H359" t="n">
        <v>0</v>
      </c>
      <c r="I359" t="n">
        <v>0</v>
      </c>
      <c r="J359" t="n">
        <v>0</v>
      </c>
      <c r="K359" t="n">
        <v>0</v>
      </c>
      <c r="L359" t="n">
        <v>0</v>
      </c>
      <c r="M359" t="n">
        <v>0</v>
      </c>
      <c r="N359" t="n">
        <v>0</v>
      </c>
      <c r="O359" t="n">
        <v>0</v>
      </c>
      <c r="P359" t="n">
        <v>0</v>
      </c>
      <c r="Q359" t="n">
        <v>0</v>
      </c>
      <c r="R359" s="2" t="inlineStr"/>
    </row>
    <row r="360" ht="15" customHeight="1">
      <c r="A360" t="inlineStr">
        <is>
          <t>A 48949-2020</t>
        </is>
      </c>
      <c r="B360" s="1" t="n">
        <v>44102</v>
      </c>
      <c r="C360" s="1" t="n">
        <v>45569</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49186-2020</t>
        </is>
      </c>
      <c r="B361" s="1" t="n">
        <v>44105</v>
      </c>
      <c r="C361" s="1" t="n">
        <v>45569</v>
      </c>
      <c r="D361" t="inlineStr">
        <is>
          <t>KALMAR LÄN</t>
        </is>
      </c>
      <c r="E361" t="inlineStr">
        <is>
          <t>VIMMERBY</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51571-2020</t>
        </is>
      </c>
      <c r="B362" s="1" t="n">
        <v>44109</v>
      </c>
      <c r="C362" s="1" t="n">
        <v>45569</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51569-2020</t>
        </is>
      </c>
      <c r="B363" s="1" t="n">
        <v>44109</v>
      </c>
      <c r="C363" s="1" t="n">
        <v>45569</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50764-2020</t>
        </is>
      </c>
      <c r="B364" s="1" t="n">
        <v>44111</v>
      </c>
      <c r="C364" s="1" t="n">
        <v>45569</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51977-2020</t>
        </is>
      </c>
      <c r="B365" s="1" t="n">
        <v>44116</v>
      </c>
      <c r="C365" s="1" t="n">
        <v>45569</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52073-2020</t>
        </is>
      </c>
      <c r="B366" s="1" t="n">
        <v>44117</v>
      </c>
      <c r="C366" s="1" t="n">
        <v>45569</v>
      </c>
      <c r="D366" t="inlineStr">
        <is>
          <t>KALMAR LÄN</t>
        </is>
      </c>
      <c r="E366" t="inlineStr">
        <is>
          <t>VIMMERBY</t>
        </is>
      </c>
      <c r="G366" t="n">
        <v>2.3</v>
      </c>
      <c r="H366" t="n">
        <v>0</v>
      </c>
      <c r="I366" t="n">
        <v>0</v>
      </c>
      <c r="J366" t="n">
        <v>0</v>
      </c>
      <c r="K366" t="n">
        <v>0</v>
      </c>
      <c r="L366" t="n">
        <v>0</v>
      </c>
      <c r="M366" t="n">
        <v>0</v>
      </c>
      <c r="N366" t="n">
        <v>0</v>
      </c>
      <c r="O366" t="n">
        <v>0</v>
      </c>
      <c r="P366" t="n">
        <v>0</v>
      </c>
      <c r="Q366" t="n">
        <v>0</v>
      </c>
      <c r="R366" s="2" t="inlineStr"/>
    </row>
    <row r="367" ht="15" customHeight="1">
      <c r="A367" t="inlineStr">
        <is>
          <t>A 53100-2020</t>
        </is>
      </c>
      <c r="B367" s="1" t="n">
        <v>44120</v>
      </c>
      <c r="C367" s="1" t="n">
        <v>45569</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53387-2020</t>
        </is>
      </c>
      <c r="B368" s="1" t="n">
        <v>44123</v>
      </c>
      <c r="C368" s="1" t="n">
        <v>45569</v>
      </c>
      <c r="D368" t="inlineStr">
        <is>
          <t>KALMAR LÄN</t>
        </is>
      </c>
      <c r="E368" t="inlineStr">
        <is>
          <t>VIMMERBY</t>
        </is>
      </c>
      <c r="G368" t="n">
        <v>7.2</v>
      </c>
      <c r="H368" t="n">
        <v>0</v>
      </c>
      <c r="I368" t="n">
        <v>0</v>
      </c>
      <c r="J368" t="n">
        <v>0</v>
      </c>
      <c r="K368" t="n">
        <v>0</v>
      </c>
      <c r="L368" t="n">
        <v>0</v>
      </c>
      <c r="M368" t="n">
        <v>0</v>
      </c>
      <c r="N368" t="n">
        <v>0</v>
      </c>
      <c r="O368" t="n">
        <v>0</v>
      </c>
      <c r="P368" t="n">
        <v>0</v>
      </c>
      <c r="Q368" t="n">
        <v>0</v>
      </c>
      <c r="R368" s="2" t="inlineStr"/>
    </row>
    <row r="369" ht="15" customHeight="1">
      <c r="A369" t="inlineStr">
        <is>
          <t>A 53711-2020</t>
        </is>
      </c>
      <c r="B369" s="1" t="n">
        <v>44124</v>
      </c>
      <c r="C369" s="1" t="n">
        <v>45569</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54917-2020</t>
        </is>
      </c>
      <c r="B370" s="1" t="n">
        <v>44127</v>
      </c>
      <c r="C370" s="1" t="n">
        <v>45569</v>
      </c>
      <c r="D370" t="inlineStr">
        <is>
          <t>KALMAR LÄN</t>
        </is>
      </c>
      <c r="E370" t="inlineStr">
        <is>
          <t>VIMMERBY</t>
        </is>
      </c>
      <c r="G370" t="n">
        <v>9.5</v>
      </c>
      <c r="H370" t="n">
        <v>0</v>
      </c>
      <c r="I370" t="n">
        <v>0</v>
      </c>
      <c r="J370" t="n">
        <v>0</v>
      </c>
      <c r="K370" t="n">
        <v>0</v>
      </c>
      <c r="L370" t="n">
        <v>0</v>
      </c>
      <c r="M370" t="n">
        <v>0</v>
      </c>
      <c r="N370" t="n">
        <v>0</v>
      </c>
      <c r="O370" t="n">
        <v>0</v>
      </c>
      <c r="P370" t="n">
        <v>0</v>
      </c>
      <c r="Q370" t="n">
        <v>0</v>
      </c>
      <c r="R370" s="2" t="inlineStr"/>
    </row>
    <row r="371" ht="15" customHeight="1">
      <c r="A371" t="inlineStr">
        <is>
          <t>A 55053-2020</t>
        </is>
      </c>
      <c r="B371" s="1" t="n">
        <v>44130</v>
      </c>
      <c r="C371" s="1" t="n">
        <v>45569</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57948-2020</t>
        </is>
      </c>
      <c r="B372" s="1" t="n">
        <v>44142</v>
      </c>
      <c r="C372" s="1" t="n">
        <v>45569</v>
      </c>
      <c r="D372" t="inlineStr">
        <is>
          <t>KALMAR LÄN</t>
        </is>
      </c>
      <c r="E372" t="inlineStr">
        <is>
          <t>VIMMERBY</t>
        </is>
      </c>
      <c r="G372" t="n">
        <v>7.1</v>
      </c>
      <c r="H372" t="n">
        <v>0</v>
      </c>
      <c r="I372" t="n">
        <v>0</v>
      </c>
      <c r="J372" t="n">
        <v>0</v>
      </c>
      <c r="K372" t="n">
        <v>0</v>
      </c>
      <c r="L372" t="n">
        <v>0</v>
      </c>
      <c r="M372" t="n">
        <v>0</v>
      </c>
      <c r="N372" t="n">
        <v>0</v>
      </c>
      <c r="O372" t="n">
        <v>0</v>
      </c>
      <c r="P372" t="n">
        <v>0</v>
      </c>
      <c r="Q372" t="n">
        <v>0</v>
      </c>
      <c r="R372" s="2" t="inlineStr"/>
    </row>
    <row r="373" ht="15" customHeight="1">
      <c r="A373" t="inlineStr">
        <is>
          <t>A 58026-2020</t>
        </is>
      </c>
      <c r="B373" s="1" t="n">
        <v>44144</v>
      </c>
      <c r="C373" s="1" t="n">
        <v>45569</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58145-2020</t>
        </is>
      </c>
      <c r="B374" s="1" t="n">
        <v>44144</v>
      </c>
      <c r="C374" s="1" t="n">
        <v>45569</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60810-2020</t>
        </is>
      </c>
      <c r="B375" s="1" t="n">
        <v>44154</v>
      </c>
      <c r="C375" s="1" t="n">
        <v>45569</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45569</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64707-2020</t>
        </is>
      </c>
      <c r="B377" s="1" t="n">
        <v>44169</v>
      </c>
      <c r="C377" s="1" t="n">
        <v>45569</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65049-2020</t>
        </is>
      </c>
      <c r="B378" s="1" t="n">
        <v>44172</v>
      </c>
      <c r="C378" s="1" t="n">
        <v>45569</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65564-2020</t>
        </is>
      </c>
      <c r="B379" s="1" t="n">
        <v>44172</v>
      </c>
      <c r="C379" s="1" t="n">
        <v>45569</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65956-2020</t>
        </is>
      </c>
      <c r="B380" s="1" t="n">
        <v>44175</v>
      </c>
      <c r="C380" s="1" t="n">
        <v>45569</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65952-2020</t>
        </is>
      </c>
      <c r="B381" s="1" t="n">
        <v>44175</v>
      </c>
      <c r="C381" s="1" t="n">
        <v>45569</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65961-2020</t>
        </is>
      </c>
      <c r="B382" s="1" t="n">
        <v>44175</v>
      </c>
      <c r="C382" s="1" t="n">
        <v>45569</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65973-2020</t>
        </is>
      </c>
      <c r="B383" s="1" t="n">
        <v>44175</v>
      </c>
      <c r="C383" s="1" t="n">
        <v>45569</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66913-2020</t>
        </is>
      </c>
      <c r="B384" s="1" t="n">
        <v>44175</v>
      </c>
      <c r="C384" s="1" t="n">
        <v>45569</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66295-2020</t>
        </is>
      </c>
      <c r="B385" s="1" t="n">
        <v>44176</v>
      </c>
      <c r="C385" s="1" t="n">
        <v>45569</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68744-2020</t>
        </is>
      </c>
      <c r="B386" s="1" t="n">
        <v>44186</v>
      </c>
      <c r="C386" s="1" t="n">
        <v>45569</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68785-2020</t>
        </is>
      </c>
      <c r="B387" s="1" t="n">
        <v>44186</v>
      </c>
      <c r="C387" s="1" t="n">
        <v>45569</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618-2021</t>
        </is>
      </c>
      <c r="B388" s="1" t="n">
        <v>44203</v>
      </c>
      <c r="C388" s="1" t="n">
        <v>45569</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1929-2021</t>
        </is>
      </c>
      <c r="B389" s="1" t="n">
        <v>44210</v>
      </c>
      <c r="C389" s="1" t="n">
        <v>45569</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2555-2021</t>
        </is>
      </c>
      <c r="B390" s="1" t="n">
        <v>44214</v>
      </c>
      <c r="C390" s="1" t="n">
        <v>45569</v>
      </c>
      <c r="D390" t="inlineStr">
        <is>
          <t>KALMAR LÄN</t>
        </is>
      </c>
      <c r="E390" t="inlineStr">
        <is>
          <t>VIMMERBY</t>
        </is>
      </c>
      <c r="G390" t="n">
        <v>7.3</v>
      </c>
      <c r="H390" t="n">
        <v>0</v>
      </c>
      <c r="I390" t="n">
        <v>0</v>
      </c>
      <c r="J390" t="n">
        <v>0</v>
      </c>
      <c r="K390" t="n">
        <v>0</v>
      </c>
      <c r="L390" t="n">
        <v>0</v>
      </c>
      <c r="M390" t="n">
        <v>0</v>
      </c>
      <c r="N390" t="n">
        <v>0</v>
      </c>
      <c r="O390" t="n">
        <v>0</v>
      </c>
      <c r="P390" t="n">
        <v>0</v>
      </c>
      <c r="Q390" t="n">
        <v>0</v>
      </c>
      <c r="R390" s="2" t="inlineStr"/>
    </row>
    <row r="391" ht="15" customHeight="1">
      <c r="A391" t="inlineStr">
        <is>
          <t>A 2654-2021</t>
        </is>
      </c>
      <c r="B391" s="1" t="n">
        <v>44215</v>
      </c>
      <c r="C391" s="1" t="n">
        <v>45569</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3330-2021</t>
        </is>
      </c>
      <c r="B392" s="1" t="n">
        <v>44217</v>
      </c>
      <c r="C392" s="1" t="n">
        <v>45569</v>
      </c>
      <c r="D392" t="inlineStr">
        <is>
          <t>KALMAR LÄN</t>
        </is>
      </c>
      <c r="E392" t="inlineStr">
        <is>
          <t>VIMMERBY</t>
        </is>
      </c>
      <c r="G392" t="n">
        <v>11.1</v>
      </c>
      <c r="H392" t="n">
        <v>0</v>
      </c>
      <c r="I392" t="n">
        <v>0</v>
      </c>
      <c r="J392" t="n">
        <v>0</v>
      </c>
      <c r="K392" t="n">
        <v>0</v>
      </c>
      <c r="L392" t="n">
        <v>0</v>
      </c>
      <c r="M392" t="n">
        <v>0</v>
      </c>
      <c r="N392" t="n">
        <v>0</v>
      </c>
      <c r="O392" t="n">
        <v>0</v>
      </c>
      <c r="P392" t="n">
        <v>0</v>
      </c>
      <c r="Q392" t="n">
        <v>0</v>
      </c>
      <c r="R392" s="2" t="inlineStr"/>
    </row>
    <row r="393" ht="15" customHeight="1">
      <c r="A393" t="inlineStr">
        <is>
          <t>A 3184-2021</t>
        </is>
      </c>
      <c r="B393" s="1" t="n">
        <v>44217</v>
      </c>
      <c r="C393" s="1" t="n">
        <v>45569</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3621-2021</t>
        </is>
      </c>
      <c r="B394" s="1" t="n">
        <v>44221</v>
      </c>
      <c r="C394" s="1" t="n">
        <v>45569</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4762-2021</t>
        </is>
      </c>
      <c r="B395" s="1" t="n">
        <v>44225</v>
      </c>
      <c r="C395" s="1" t="n">
        <v>45569</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5689-2021</t>
        </is>
      </c>
      <c r="B396" s="1" t="n">
        <v>44230</v>
      </c>
      <c r="C396" s="1" t="n">
        <v>45569</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5654-2021</t>
        </is>
      </c>
      <c r="B397" s="1" t="n">
        <v>44230</v>
      </c>
      <c r="C397" s="1" t="n">
        <v>45569</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7072-2021</t>
        </is>
      </c>
      <c r="B398" s="1" t="n">
        <v>44237</v>
      </c>
      <c r="C398" s="1" t="n">
        <v>45569</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7075-2021</t>
        </is>
      </c>
      <c r="B399" s="1" t="n">
        <v>44237</v>
      </c>
      <c r="C399" s="1" t="n">
        <v>45569</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7515-2021</t>
        </is>
      </c>
      <c r="B400" s="1" t="n">
        <v>44238</v>
      </c>
      <c r="C400" s="1" t="n">
        <v>45569</v>
      </c>
      <c r="D400" t="inlineStr">
        <is>
          <t>KALMAR LÄN</t>
        </is>
      </c>
      <c r="E400" t="inlineStr">
        <is>
          <t>VIMMERBY</t>
        </is>
      </c>
      <c r="G400" t="n">
        <v>20.9</v>
      </c>
      <c r="H400" t="n">
        <v>0</v>
      </c>
      <c r="I400" t="n">
        <v>0</v>
      </c>
      <c r="J400" t="n">
        <v>0</v>
      </c>
      <c r="K400" t="n">
        <v>0</v>
      </c>
      <c r="L400" t="n">
        <v>0</v>
      </c>
      <c r="M400" t="n">
        <v>0</v>
      </c>
      <c r="N400" t="n">
        <v>0</v>
      </c>
      <c r="O400" t="n">
        <v>0</v>
      </c>
      <c r="P400" t="n">
        <v>0</v>
      </c>
      <c r="Q400" t="n">
        <v>0</v>
      </c>
      <c r="R400" s="2" t="inlineStr"/>
    </row>
    <row r="401" ht="15" customHeight="1">
      <c r="A401" t="inlineStr">
        <is>
          <t>A 7828-2021</t>
        </is>
      </c>
      <c r="B401" s="1" t="n">
        <v>44242</v>
      </c>
      <c r="C401" s="1" t="n">
        <v>45569</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8121-2021</t>
        </is>
      </c>
      <c r="B402" s="1" t="n">
        <v>44243</v>
      </c>
      <c r="C402" s="1" t="n">
        <v>45569</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8086-2021</t>
        </is>
      </c>
      <c r="B403" s="1" t="n">
        <v>44243</v>
      </c>
      <c r="C403" s="1" t="n">
        <v>45569</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8415-2021</t>
        </is>
      </c>
      <c r="B404" s="1" t="n">
        <v>44245</v>
      </c>
      <c r="C404" s="1" t="n">
        <v>45569</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9836-2021</t>
        </is>
      </c>
      <c r="B405" s="1" t="n">
        <v>44253</v>
      </c>
      <c r="C405" s="1" t="n">
        <v>45569</v>
      </c>
      <c r="D405" t="inlineStr">
        <is>
          <t>KALMAR LÄN</t>
        </is>
      </c>
      <c r="E405" t="inlineStr">
        <is>
          <t>VIMMERBY</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10674-2021</t>
        </is>
      </c>
      <c r="B406" s="1" t="n">
        <v>44258</v>
      </c>
      <c r="C406" s="1" t="n">
        <v>45569</v>
      </c>
      <c r="D406" t="inlineStr">
        <is>
          <t>KALMAR LÄN</t>
        </is>
      </c>
      <c r="E406" t="inlineStr">
        <is>
          <t>VIMMERBY</t>
        </is>
      </c>
      <c r="G406" t="n">
        <v>8.4</v>
      </c>
      <c r="H406" t="n">
        <v>0</v>
      </c>
      <c r="I406" t="n">
        <v>0</v>
      </c>
      <c r="J406" t="n">
        <v>0</v>
      </c>
      <c r="K406" t="n">
        <v>0</v>
      </c>
      <c r="L406" t="n">
        <v>0</v>
      </c>
      <c r="M406" t="n">
        <v>0</v>
      </c>
      <c r="N406" t="n">
        <v>0</v>
      </c>
      <c r="O406" t="n">
        <v>0</v>
      </c>
      <c r="P406" t="n">
        <v>0</v>
      </c>
      <c r="Q406" t="n">
        <v>0</v>
      </c>
      <c r="R406" s="2" t="inlineStr"/>
    </row>
    <row r="407" ht="15" customHeight="1">
      <c r="A407" t="inlineStr">
        <is>
          <t>A 10518-2021</t>
        </is>
      </c>
      <c r="B407" s="1" t="n">
        <v>44258</v>
      </c>
      <c r="C407" s="1" t="n">
        <v>45569</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10744-2021</t>
        </is>
      </c>
      <c r="B408" s="1" t="n">
        <v>44259</v>
      </c>
      <c r="C408" s="1" t="n">
        <v>45569</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10928-2021</t>
        </is>
      </c>
      <c r="B409" s="1" t="n">
        <v>44259</v>
      </c>
      <c r="C409" s="1" t="n">
        <v>45569</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11011-2021</t>
        </is>
      </c>
      <c r="B410" s="1" t="n">
        <v>44260</v>
      </c>
      <c r="C410" s="1" t="n">
        <v>45569</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12241-2021</t>
        </is>
      </c>
      <c r="B411" s="1" t="n">
        <v>44266</v>
      </c>
      <c r="C411" s="1" t="n">
        <v>45569</v>
      </c>
      <c r="D411" t="inlineStr">
        <is>
          <t>KALMAR LÄN</t>
        </is>
      </c>
      <c r="E411" t="inlineStr">
        <is>
          <t>VIMMERBY</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12465-2021</t>
        </is>
      </c>
      <c r="B412" s="1" t="n">
        <v>44267</v>
      </c>
      <c r="C412" s="1" t="n">
        <v>45569</v>
      </c>
      <c r="D412" t="inlineStr">
        <is>
          <t>KALMAR LÄN</t>
        </is>
      </c>
      <c r="E412" t="inlineStr">
        <is>
          <t>VIMMERBY</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12467-2021</t>
        </is>
      </c>
      <c r="B413" s="1" t="n">
        <v>44267</v>
      </c>
      <c r="C413" s="1" t="n">
        <v>45569</v>
      </c>
      <c r="D413" t="inlineStr">
        <is>
          <t>KALMAR LÄN</t>
        </is>
      </c>
      <c r="E413" t="inlineStr">
        <is>
          <t>VIMMERBY</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12586-2021</t>
        </is>
      </c>
      <c r="B414" s="1" t="n">
        <v>44270</v>
      </c>
      <c r="C414" s="1" t="n">
        <v>45569</v>
      </c>
      <c r="D414" t="inlineStr">
        <is>
          <t>KALMAR LÄN</t>
        </is>
      </c>
      <c r="E414" t="inlineStr">
        <is>
          <t>VIMMERBY</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12661-2021</t>
        </is>
      </c>
      <c r="B415" s="1" t="n">
        <v>44270</v>
      </c>
      <c r="C415" s="1" t="n">
        <v>45569</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12757-2021</t>
        </is>
      </c>
      <c r="B416" s="1" t="n">
        <v>44270</v>
      </c>
      <c r="C416" s="1" t="n">
        <v>45569</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12585-2021</t>
        </is>
      </c>
      <c r="B417" s="1" t="n">
        <v>44270</v>
      </c>
      <c r="C417" s="1" t="n">
        <v>45569</v>
      </c>
      <c r="D417" t="inlineStr">
        <is>
          <t>KALMAR LÄN</t>
        </is>
      </c>
      <c r="E417" t="inlineStr">
        <is>
          <t>VIMMERBY</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12597-2021</t>
        </is>
      </c>
      <c r="B418" s="1" t="n">
        <v>44270</v>
      </c>
      <c r="C418" s="1" t="n">
        <v>45569</v>
      </c>
      <c r="D418" t="inlineStr">
        <is>
          <t>KALMAR LÄN</t>
        </is>
      </c>
      <c r="E418" t="inlineStr">
        <is>
          <t>VIMMERBY</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12582-2021</t>
        </is>
      </c>
      <c r="B419" s="1" t="n">
        <v>44270</v>
      </c>
      <c r="C419" s="1" t="n">
        <v>45569</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12596-2021</t>
        </is>
      </c>
      <c r="B420" s="1" t="n">
        <v>44270</v>
      </c>
      <c r="C420" s="1" t="n">
        <v>45569</v>
      </c>
      <c r="D420" t="inlineStr">
        <is>
          <t>KALMAR LÄN</t>
        </is>
      </c>
      <c r="E420" t="inlineStr">
        <is>
          <t>VIMMERBY</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12587-2021</t>
        </is>
      </c>
      <c r="B421" s="1" t="n">
        <v>44270</v>
      </c>
      <c r="C421" s="1" t="n">
        <v>45569</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12595-2021</t>
        </is>
      </c>
      <c r="B422" s="1" t="n">
        <v>44270</v>
      </c>
      <c r="C422" s="1" t="n">
        <v>45569</v>
      </c>
      <c r="D422" t="inlineStr">
        <is>
          <t>KALMAR LÄN</t>
        </is>
      </c>
      <c r="E422" t="inlineStr">
        <is>
          <t>VIMMERBY</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12662-2021</t>
        </is>
      </c>
      <c r="B423" s="1" t="n">
        <v>44270</v>
      </c>
      <c r="C423" s="1" t="n">
        <v>45569</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12848-2021</t>
        </is>
      </c>
      <c r="B424" s="1" t="n">
        <v>44271</v>
      </c>
      <c r="C424" s="1" t="n">
        <v>45569</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13457-2021</t>
        </is>
      </c>
      <c r="B425" s="1" t="n">
        <v>44273</v>
      </c>
      <c r="C425" s="1" t="n">
        <v>45569</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13492-2021</t>
        </is>
      </c>
      <c r="B426" s="1" t="n">
        <v>44273</v>
      </c>
      <c r="C426" s="1" t="n">
        <v>45569</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14220-2021</t>
        </is>
      </c>
      <c r="B427" s="1" t="n">
        <v>44278</v>
      </c>
      <c r="C427" s="1" t="n">
        <v>45569</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14278-2021</t>
        </is>
      </c>
      <c r="B428" s="1" t="n">
        <v>44278</v>
      </c>
      <c r="C428" s="1" t="n">
        <v>45569</v>
      </c>
      <c r="D428" t="inlineStr">
        <is>
          <t>KALMAR LÄN</t>
        </is>
      </c>
      <c r="E428" t="inlineStr">
        <is>
          <t>VIMMERBY</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14347-2021</t>
        </is>
      </c>
      <c r="B429" s="1" t="n">
        <v>44279</v>
      </c>
      <c r="C429" s="1" t="n">
        <v>45569</v>
      </c>
      <c r="D429" t="inlineStr">
        <is>
          <t>KALMAR LÄN</t>
        </is>
      </c>
      <c r="E429" t="inlineStr">
        <is>
          <t>VIMMERBY</t>
        </is>
      </c>
      <c r="G429" t="n">
        <v>6.4</v>
      </c>
      <c r="H429" t="n">
        <v>0</v>
      </c>
      <c r="I429" t="n">
        <v>0</v>
      </c>
      <c r="J429" t="n">
        <v>0</v>
      </c>
      <c r="K429" t="n">
        <v>0</v>
      </c>
      <c r="L429" t="n">
        <v>0</v>
      </c>
      <c r="M429" t="n">
        <v>0</v>
      </c>
      <c r="N429" t="n">
        <v>0</v>
      </c>
      <c r="O429" t="n">
        <v>0</v>
      </c>
      <c r="P429" t="n">
        <v>0</v>
      </c>
      <c r="Q429" t="n">
        <v>0</v>
      </c>
      <c r="R429" s="2" t="inlineStr"/>
    </row>
    <row r="430" ht="15" customHeight="1">
      <c r="A430" t="inlineStr">
        <is>
          <t>A 14451-2021</t>
        </is>
      </c>
      <c r="B430" s="1" t="n">
        <v>44279</v>
      </c>
      <c r="C430" s="1" t="n">
        <v>45569</v>
      </c>
      <c r="D430" t="inlineStr">
        <is>
          <t>KALMAR LÄN</t>
        </is>
      </c>
      <c r="E430" t="inlineStr">
        <is>
          <t>VIMMERBY</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14521-2021</t>
        </is>
      </c>
      <c r="B431" s="1" t="n">
        <v>44279</v>
      </c>
      <c r="C431" s="1" t="n">
        <v>45569</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15092-2021</t>
        </is>
      </c>
      <c r="B432" s="1" t="n">
        <v>44281</v>
      </c>
      <c r="C432" s="1" t="n">
        <v>45569</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15188-2021</t>
        </is>
      </c>
      <c r="B433" s="1" t="n">
        <v>44284</v>
      </c>
      <c r="C433" s="1" t="n">
        <v>45569</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15191-2021</t>
        </is>
      </c>
      <c r="B434" s="1" t="n">
        <v>44284</v>
      </c>
      <c r="C434" s="1" t="n">
        <v>45569</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15200-2021</t>
        </is>
      </c>
      <c r="B435" s="1" t="n">
        <v>44284</v>
      </c>
      <c r="C435" s="1" t="n">
        <v>45569</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15903-2021</t>
        </is>
      </c>
      <c r="B436" s="1" t="n">
        <v>44287</v>
      </c>
      <c r="C436" s="1" t="n">
        <v>45569</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16288-2021</t>
        </is>
      </c>
      <c r="B437" s="1" t="n">
        <v>44292</v>
      </c>
      <c r="C437" s="1" t="n">
        <v>45569</v>
      </c>
      <c r="D437" t="inlineStr">
        <is>
          <t>KALMAR LÄN</t>
        </is>
      </c>
      <c r="E437" t="inlineStr">
        <is>
          <t>VIMMERBY</t>
        </is>
      </c>
      <c r="F437" t="inlineStr">
        <is>
          <t>Övriga Aktiebolag</t>
        </is>
      </c>
      <c r="G437" t="n">
        <v>27.6</v>
      </c>
      <c r="H437" t="n">
        <v>0</v>
      </c>
      <c r="I437" t="n">
        <v>0</v>
      </c>
      <c r="J437" t="n">
        <v>0</v>
      </c>
      <c r="K437" t="n">
        <v>0</v>
      </c>
      <c r="L437" t="n">
        <v>0</v>
      </c>
      <c r="M437" t="n">
        <v>0</v>
      </c>
      <c r="N437" t="n">
        <v>0</v>
      </c>
      <c r="O437" t="n">
        <v>0</v>
      </c>
      <c r="P437" t="n">
        <v>0</v>
      </c>
      <c r="Q437" t="n">
        <v>0</v>
      </c>
      <c r="R437" s="2" t="inlineStr"/>
    </row>
    <row r="438" ht="15" customHeight="1">
      <c r="A438" t="inlineStr">
        <is>
          <t>A 16602-2021</t>
        </is>
      </c>
      <c r="B438" s="1" t="n">
        <v>44294</v>
      </c>
      <c r="C438" s="1" t="n">
        <v>45569</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16607-2021</t>
        </is>
      </c>
      <c r="B439" s="1" t="n">
        <v>44294</v>
      </c>
      <c r="C439" s="1" t="n">
        <v>45569</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17869-2021</t>
        </is>
      </c>
      <c r="B440" s="1" t="n">
        <v>44301</v>
      </c>
      <c r="C440" s="1" t="n">
        <v>45569</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18411-2021</t>
        </is>
      </c>
      <c r="B441" s="1" t="n">
        <v>44302</v>
      </c>
      <c r="C441" s="1" t="n">
        <v>45569</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18276-2021</t>
        </is>
      </c>
      <c r="B442" s="1" t="n">
        <v>44305</v>
      </c>
      <c r="C442" s="1" t="n">
        <v>45569</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18356-2021</t>
        </is>
      </c>
      <c r="B443" s="1" t="n">
        <v>44305</v>
      </c>
      <c r="C443" s="1" t="n">
        <v>45569</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18756-2021</t>
        </is>
      </c>
      <c r="B444" s="1" t="n">
        <v>44307</v>
      </c>
      <c r="C444" s="1" t="n">
        <v>45569</v>
      </c>
      <c r="D444" t="inlineStr">
        <is>
          <t>KALMAR LÄN</t>
        </is>
      </c>
      <c r="E444" t="inlineStr">
        <is>
          <t>VIMMERBY</t>
        </is>
      </c>
      <c r="G444" t="n">
        <v>7.4</v>
      </c>
      <c r="H444" t="n">
        <v>0</v>
      </c>
      <c r="I444" t="n">
        <v>0</v>
      </c>
      <c r="J444" t="n">
        <v>0</v>
      </c>
      <c r="K444" t="n">
        <v>0</v>
      </c>
      <c r="L444" t="n">
        <v>0</v>
      </c>
      <c r="M444" t="n">
        <v>0</v>
      </c>
      <c r="N444" t="n">
        <v>0</v>
      </c>
      <c r="O444" t="n">
        <v>0</v>
      </c>
      <c r="P444" t="n">
        <v>0</v>
      </c>
      <c r="Q444" t="n">
        <v>0</v>
      </c>
      <c r="R444" s="2" t="inlineStr"/>
    </row>
    <row r="445" ht="15" customHeight="1">
      <c r="A445" t="inlineStr">
        <is>
          <t>A 19445-2021</t>
        </is>
      </c>
      <c r="B445" s="1" t="n">
        <v>44310</v>
      </c>
      <c r="C445" s="1" t="n">
        <v>45569</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19863-2021</t>
        </is>
      </c>
      <c r="B446" s="1" t="n">
        <v>44312</v>
      </c>
      <c r="C446" s="1" t="n">
        <v>45569</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19865-2021</t>
        </is>
      </c>
      <c r="B447" s="1" t="n">
        <v>44312</v>
      </c>
      <c r="C447" s="1" t="n">
        <v>45569</v>
      </c>
      <c r="D447" t="inlineStr">
        <is>
          <t>KALMAR LÄN</t>
        </is>
      </c>
      <c r="E447" t="inlineStr">
        <is>
          <t>VIMMERBY</t>
        </is>
      </c>
      <c r="G447" t="n">
        <v>8.6</v>
      </c>
      <c r="H447" t="n">
        <v>0</v>
      </c>
      <c r="I447" t="n">
        <v>0</v>
      </c>
      <c r="J447" t="n">
        <v>0</v>
      </c>
      <c r="K447" t="n">
        <v>0</v>
      </c>
      <c r="L447" t="n">
        <v>0</v>
      </c>
      <c r="M447" t="n">
        <v>0</v>
      </c>
      <c r="N447" t="n">
        <v>0</v>
      </c>
      <c r="O447" t="n">
        <v>0</v>
      </c>
      <c r="P447" t="n">
        <v>0</v>
      </c>
      <c r="Q447" t="n">
        <v>0</v>
      </c>
      <c r="R447" s="2" t="inlineStr"/>
    </row>
    <row r="448" ht="15" customHeight="1">
      <c r="A448" t="inlineStr">
        <is>
          <t>A 22637-2021</t>
        </is>
      </c>
      <c r="B448" s="1" t="n">
        <v>44327</v>
      </c>
      <c r="C448" s="1" t="n">
        <v>45569</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24369-2021</t>
        </is>
      </c>
      <c r="B449" s="1" t="n">
        <v>44337</v>
      </c>
      <c r="C449" s="1" t="n">
        <v>45569</v>
      </c>
      <c r="D449" t="inlineStr">
        <is>
          <t>KALMAR LÄN</t>
        </is>
      </c>
      <c r="E449" t="inlineStr">
        <is>
          <t>VIMMERBY</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24655-2021</t>
        </is>
      </c>
      <c r="B450" s="1" t="n">
        <v>44340</v>
      </c>
      <c r="C450" s="1" t="n">
        <v>45569</v>
      </c>
      <c r="D450" t="inlineStr">
        <is>
          <t>KALMAR LÄN</t>
        </is>
      </c>
      <c r="E450" t="inlineStr">
        <is>
          <t>VIMMERBY</t>
        </is>
      </c>
      <c r="G450" t="n">
        <v>14.9</v>
      </c>
      <c r="H450" t="n">
        <v>0</v>
      </c>
      <c r="I450" t="n">
        <v>0</v>
      </c>
      <c r="J450" t="n">
        <v>0</v>
      </c>
      <c r="K450" t="n">
        <v>0</v>
      </c>
      <c r="L450" t="n">
        <v>0</v>
      </c>
      <c r="M450" t="n">
        <v>0</v>
      </c>
      <c r="N450" t="n">
        <v>0</v>
      </c>
      <c r="O450" t="n">
        <v>0</v>
      </c>
      <c r="P450" t="n">
        <v>0</v>
      </c>
      <c r="Q450" t="n">
        <v>0</v>
      </c>
      <c r="R450" s="2" t="inlineStr"/>
    </row>
    <row r="451" ht="15" customHeight="1">
      <c r="A451" t="inlineStr">
        <is>
          <t>A 24752-2021</t>
        </is>
      </c>
      <c r="B451" s="1" t="n">
        <v>44340</v>
      </c>
      <c r="C451" s="1" t="n">
        <v>45569</v>
      </c>
      <c r="D451" t="inlineStr">
        <is>
          <t>KALMAR LÄN</t>
        </is>
      </c>
      <c r="E451" t="inlineStr">
        <is>
          <t>VIMMERBY</t>
        </is>
      </c>
      <c r="G451" t="n">
        <v>4.1</v>
      </c>
      <c r="H451" t="n">
        <v>0</v>
      </c>
      <c r="I451" t="n">
        <v>0</v>
      </c>
      <c r="J451" t="n">
        <v>0</v>
      </c>
      <c r="K451" t="n">
        <v>0</v>
      </c>
      <c r="L451" t="n">
        <v>0</v>
      </c>
      <c r="M451" t="n">
        <v>0</v>
      </c>
      <c r="N451" t="n">
        <v>0</v>
      </c>
      <c r="O451" t="n">
        <v>0</v>
      </c>
      <c r="P451" t="n">
        <v>0</v>
      </c>
      <c r="Q451" t="n">
        <v>0</v>
      </c>
      <c r="R451" s="2" t="inlineStr"/>
    </row>
    <row r="452" ht="15" customHeight="1">
      <c r="A452" t="inlineStr">
        <is>
          <t>A 24738-2021</t>
        </is>
      </c>
      <c r="B452" s="1" t="n">
        <v>44340</v>
      </c>
      <c r="C452" s="1" t="n">
        <v>45569</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24723-2021</t>
        </is>
      </c>
      <c r="B453" s="1" t="n">
        <v>44340</v>
      </c>
      <c r="C453" s="1" t="n">
        <v>45569</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24999-2021</t>
        </is>
      </c>
      <c r="B454" s="1" t="n">
        <v>44341</v>
      </c>
      <c r="C454" s="1" t="n">
        <v>45569</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27100-2021</t>
        </is>
      </c>
      <c r="B455" s="1" t="n">
        <v>44350</v>
      </c>
      <c r="C455" s="1" t="n">
        <v>45569</v>
      </c>
      <c r="D455" t="inlineStr">
        <is>
          <t>KALMAR LÄN</t>
        </is>
      </c>
      <c r="E455" t="inlineStr">
        <is>
          <t>VIMMERBY</t>
        </is>
      </c>
      <c r="G455" t="n">
        <v>9.6</v>
      </c>
      <c r="H455" t="n">
        <v>0</v>
      </c>
      <c r="I455" t="n">
        <v>0</v>
      </c>
      <c r="J455" t="n">
        <v>0</v>
      </c>
      <c r="K455" t="n">
        <v>0</v>
      </c>
      <c r="L455" t="n">
        <v>0</v>
      </c>
      <c r="M455" t="n">
        <v>0</v>
      </c>
      <c r="N455" t="n">
        <v>0</v>
      </c>
      <c r="O455" t="n">
        <v>0</v>
      </c>
      <c r="P455" t="n">
        <v>0</v>
      </c>
      <c r="Q455" t="n">
        <v>0</v>
      </c>
      <c r="R455" s="2" t="inlineStr"/>
    </row>
    <row r="456" ht="15" customHeight="1">
      <c r="A456" t="inlineStr">
        <is>
          <t>A 27086-2021</t>
        </is>
      </c>
      <c r="B456" s="1" t="n">
        <v>44350</v>
      </c>
      <c r="C456" s="1" t="n">
        <v>45569</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27759-2021</t>
        </is>
      </c>
      <c r="B457" s="1" t="n">
        <v>44354</v>
      </c>
      <c r="C457" s="1" t="n">
        <v>45569</v>
      </c>
      <c r="D457" t="inlineStr">
        <is>
          <t>KALMAR LÄN</t>
        </is>
      </c>
      <c r="E457" t="inlineStr">
        <is>
          <t>VIMMERBY</t>
        </is>
      </c>
      <c r="G457" t="n">
        <v>4.6</v>
      </c>
      <c r="H457" t="n">
        <v>0</v>
      </c>
      <c r="I457" t="n">
        <v>0</v>
      </c>
      <c r="J457" t="n">
        <v>0</v>
      </c>
      <c r="K457" t="n">
        <v>0</v>
      </c>
      <c r="L457" t="n">
        <v>0</v>
      </c>
      <c r="M457" t="n">
        <v>0</v>
      </c>
      <c r="N457" t="n">
        <v>0</v>
      </c>
      <c r="O457" t="n">
        <v>0</v>
      </c>
      <c r="P457" t="n">
        <v>0</v>
      </c>
      <c r="Q457" t="n">
        <v>0</v>
      </c>
      <c r="R457" s="2" t="inlineStr"/>
    </row>
    <row r="458" ht="15" customHeight="1">
      <c r="A458" t="inlineStr">
        <is>
          <t>A 27762-2021</t>
        </is>
      </c>
      <c r="B458" s="1" t="n">
        <v>44354</v>
      </c>
      <c r="C458" s="1" t="n">
        <v>45569</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30682-2021</t>
        </is>
      </c>
      <c r="B459" s="1" t="n">
        <v>44365</v>
      </c>
      <c r="C459" s="1" t="n">
        <v>45569</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31660-2021</t>
        </is>
      </c>
      <c r="B460" s="1" t="n">
        <v>44369</v>
      </c>
      <c r="C460" s="1" t="n">
        <v>45569</v>
      </c>
      <c r="D460" t="inlineStr">
        <is>
          <t>KALMAR LÄN</t>
        </is>
      </c>
      <c r="E460" t="inlineStr">
        <is>
          <t>VIMMERBY</t>
        </is>
      </c>
      <c r="G460" t="n">
        <v>4.2</v>
      </c>
      <c r="H460" t="n">
        <v>0</v>
      </c>
      <c r="I460" t="n">
        <v>0</v>
      </c>
      <c r="J460" t="n">
        <v>0</v>
      </c>
      <c r="K460" t="n">
        <v>0</v>
      </c>
      <c r="L460" t="n">
        <v>0</v>
      </c>
      <c r="M460" t="n">
        <v>0</v>
      </c>
      <c r="N460" t="n">
        <v>0</v>
      </c>
      <c r="O460" t="n">
        <v>0</v>
      </c>
      <c r="P460" t="n">
        <v>0</v>
      </c>
      <c r="Q460" t="n">
        <v>0</v>
      </c>
      <c r="R460" s="2" t="inlineStr"/>
    </row>
    <row r="461" ht="15" customHeight="1">
      <c r="A461" t="inlineStr">
        <is>
          <t>A 32386-2021</t>
        </is>
      </c>
      <c r="B461" s="1" t="n">
        <v>44371</v>
      </c>
      <c r="C461" s="1" t="n">
        <v>45569</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32607-2021</t>
        </is>
      </c>
      <c r="B462" s="1" t="n">
        <v>44375</v>
      </c>
      <c r="C462" s="1" t="n">
        <v>45569</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32603-2021</t>
        </is>
      </c>
      <c r="B463" s="1" t="n">
        <v>44375</v>
      </c>
      <c r="C463" s="1" t="n">
        <v>45569</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33359-2021</t>
        </is>
      </c>
      <c r="B464" s="1" t="n">
        <v>44377</v>
      </c>
      <c r="C464" s="1" t="n">
        <v>45569</v>
      </c>
      <c r="D464" t="inlineStr">
        <is>
          <t>KALMAR LÄN</t>
        </is>
      </c>
      <c r="E464" t="inlineStr">
        <is>
          <t>VIMMERBY</t>
        </is>
      </c>
      <c r="F464" t="inlineStr">
        <is>
          <t>Kommuner</t>
        </is>
      </c>
      <c r="G464" t="n">
        <v>8</v>
      </c>
      <c r="H464" t="n">
        <v>0</v>
      </c>
      <c r="I464" t="n">
        <v>0</v>
      </c>
      <c r="J464" t="n">
        <v>0</v>
      </c>
      <c r="K464" t="n">
        <v>0</v>
      </c>
      <c r="L464" t="n">
        <v>0</v>
      </c>
      <c r="M464" t="n">
        <v>0</v>
      </c>
      <c r="N464" t="n">
        <v>0</v>
      </c>
      <c r="O464" t="n">
        <v>0</v>
      </c>
      <c r="P464" t="n">
        <v>0</v>
      </c>
      <c r="Q464" t="n">
        <v>0</v>
      </c>
      <c r="R464" s="2" t="inlineStr"/>
    </row>
    <row r="465" ht="15" customHeight="1">
      <c r="A465" t="inlineStr">
        <is>
          <t>A 33374-2021</t>
        </is>
      </c>
      <c r="B465" s="1" t="n">
        <v>44377</v>
      </c>
      <c r="C465" s="1" t="n">
        <v>45569</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33446-2021</t>
        </is>
      </c>
      <c r="B466" s="1" t="n">
        <v>44377</v>
      </c>
      <c r="C466" s="1" t="n">
        <v>45569</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35198-2021</t>
        </is>
      </c>
      <c r="B467" s="1" t="n">
        <v>44377</v>
      </c>
      <c r="C467" s="1" t="n">
        <v>45569</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34040-2021</t>
        </is>
      </c>
      <c r="B468" s="1" t="n">
        <v>44379</v>
      </c>
      <c r="C468" s="1" t="n">
        <v>45569</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34036-2021</t>
        </is>
      </c>
      <c r="B469" s="1" t="n">
        <v>44379</v>
      </c>
      <c r="C469" s="1" t="n">
        <v>45569</v>
      </c>
      <c r="D469" t="inlineStr">
        <is>
          <t>KALMAR LÄN</t>
        </is>
      </c>
      <c r="E469" t="inlineStr">
        <is>
          <t>VIMMERBY</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35001-2021</t>
        </is>
      </c>
      <c r="B470" s="1" t="n">
        <v>44383</v>
      </c>
      <c r="C470" s="1" t="n">
        <v>45569</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35316-2021</t>
        </is>
      </c>
      <c r="B471" s="1" t="n">
        <v>44384</v>
      </c>
      <c r="C471" s="1" t="n">
        <v>45569</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35531-2021</t>
        </is>
      </c>
      <c r="B472" s="1" t="n">
        <v>44385</v>
      </c>
      <c r="C472" s="1" t="n">
        <v>45569</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35633-2021</t>
        </is>
      </c>
      <c r="B473" s="1" t="n">
        <v>44386</v>
      </c>
      <c r="C473" s="1" t="n">
        <v>45569</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36117-2021</t>
        </is>
      </c>
      <c r="B474" s="1" t="n">
        <v>44386</v>
      </c>
      <c r="C474" s="1" t="n">
        <v>45569</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36121-2021</t>
        </is>
      </c>
      <c r="B475" s="1" t="n">
        <v>44386</v>
      </c>
      <c r="C475" s="1" t="n">
        <v>45569</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36802-2021</t>
        </is>
      </c>
      <c r="B476" s="1" t="n">
        <v>44392</v>
      </c>
      <c r="C476" s="1" t="n">
        <v>45569</v>
      </c>
      <c r="D476" t="inlineStr">
        <is>
          <t>KALMAR LÄN</t>
        </is>
      </c>
      <c r="E476" t="inlineStr">
        <is>
          <t>VIMMERBY</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38086-2021</t>
        </is>
      </c>
      <c r="B477" s="1" t="n">
        <v>44404</v>
      </c>
      <c r="C477" s="1" t="n">
        <v>45569</v>
      </c>
      <c r="D477" t="inlineStr">
        <is>
          <t>KALMAR LÄN</t>
        </is>
      </c>
      <c r="E477" t="inlineStr">
        <is>
          <t>VIMMERBY</t>
        </is>
      </c>
      <c r="G477" t="n">
        <v>4.4</v>
      </c>
      <c r="H477" t="n">
        <v>0</v>
      </c>
      <c r="I477" t="n">
        <v>0</v>
      </c>
      <c r="J477" t="n">
        <v>0</v>
      </c>
      <c r="K477" t="n">
        <v>0</v>
      </c>
      <c r="L477" t="n">
        <v>0</v>
      </c>
      <c r="M477" t="n">
        <v>0</v>
      </c>
      <c r="N477" t="n">
        <v>0</v>
      </c>
      <c r="O477" t="n">
        <v>0</v>
      </c>
      <c r="P477" t="n">
        <v>0</v>
      </c>
      <c r="Q477" t="n">
        <v>0</v>
      </c>
      <c r="R477" s="2" t="inlineStr"/>
    </row>
    <row r="478" ht="15" customHeight="1">
      <c r="A478" t="inlineStr">
        <is>
          <t>A 38348-2021</t>
        </is>
      </c>
      <c r="B478" s="1" t="n">
        <v>44406</v>
      </c>
      <c r="C478" s="1" t="n">
        <v>45569</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38780-2021</t>
        </is>
      </c>
      <c r="B479" s="1" t="n">
        <v>44410</v>
      </c>
      <c r="C479" s="1" t="n">
        <v>45569</v>
      </c>
      <c r="D479" t="inlineStr">
        <is>
          <t>KALMAR LÄN</t>
        </is>
      </c>
      <c r="E479" t="inlineStr">
        <is>
          <t>VIMMERBY</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38789-2021</t>
        </is>
      </c>
      <c r="B480" s="1" t="n">
        <v>44410</v>
      </c>
      <c r="C480" s="1" t="n">
        <v>45569</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40073-2021</t>
        </is>
      </c>
      <c r="B481" s="1" t="n">
        <v>44418</v>
      </c>
      <c r="C481" s="1" t="n">
        <v>45569</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45569</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40071-2021</t>
        </is>
      </c>
      <c r="B483" s="1" t="n">
        <v>44418</v>
      </c>
      <c r="C483" s="1" t="n">
        <v>45569</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40077-2021</t>
        </is>
      </c>
      <c r="B484" s="1" t="n">
        <v>44418</v>
      </c>
      <c r="C484" s="1" t="n">
        <v>45569</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40971-2021</t>
        </is>
      </c>
      <c r="B485" s="1" t="n">
        <v>44421</v>
      </c>
      <c r="C485" s="1" t="n">
        <v>45569</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42521-2021</t>
        </is>
      </c>
      <c r="B486" s="1" t="n">
        <v>44427</v>
      </c>
      <c r="C486" s="1" t="n">
        <v>45569</v>
      </c>
      <c r="D486" t="inlineStr">
        <is>
          <t>KALMAR LÄN</t>
        </is>
      </c>
      <c r="E486" t="inlineStr">
        <is>
          <t>VIMMERBY</t>
        </is>
      </c>
      <c r="G486" t="n">
        <v>5.4</v>
      </c>
      <c r="H486" t="n">
        <v>0</v>
      </c>
      <c r="I486" t="n">
        <v>0</v>
      </c>
      <c r="J486" t="n">
        <v>0</v>
      </c>
      <c r="K486" t="n">
        <v>0</v>
      </c>
      <c r="L486" t="n">
        <v>0</v>
      </c>
      <c r="M486" t="n">
        <v>0</v>
      </c>
      <c r="N486" t="n">
        <v>0</v>
      </c>
      <c r="O486" t="n">
        <v>0</v>
      </c>
      <c r="P486" t="n">
        <v>0</v>
      </c>
      <c r="Q486" t="n">
        <v>0</v>
      </c>
      <c r="R486" s="2" t="inlineStr"/>
    </row>
    <row r="487" ht="15" customHeight="1">
      <c r="A487" t="inlineStr">
        <is>
          <t>A 42918-2021</t>
        </is>
      </c>
      <c r="B487" s="1" t="n">
        <v>44431</v>
      </c>
      <c r="C487" s="1" t="n">
        <v>45569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43186-2021</t>
        </is>
      </c>
      <c r="B488" s="1" t="n">
        <v>44431</v>
      </c>
      <c r="C488" s="1" t="n">
        <v>45569</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45528-2021</t>
        </is>
      </c>
      <c r="B489" s="1" t="n">
        <v>44440</v>
      </c>
      <c r="C489" s="1" t="n">
        <v>45569</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45390-2021</t>
        </is>
      </c>
      <c r="B490" s="1" t="n">
        <v>44440</v>
      </c>
      <c r="C490" s="1" t="n">
        <v>45569</v>
      </c>
      <c r="D490" t="inlineStr">
        <is>
          <t>KALMAR LÄN</t>
        </is>
      </c>
      <c r="E490" t="inlineStr">
        <is>
          <t>VIMMERBY</t>
        </is>
      </c>
      <c r="G490" t="n">
        <v>3.9</v>
      </c>
      <c r="H490" t="n">
        <v>0</v>
      </c>
      <c r="I490" t="n">
        <v>0</v>
      </c>
      <c r="J490" t="n">
        <v>0</v>
      </c>
      <c r="K490" t="n">
        <v>0</v>
      </c>
      <c r="L490" t="n">
        <v>0</v>
      </c>
      <c r="M490" t="n">
        <v>0</v>
      </c>
      <c r="N490" t="n">
        <v>0</v>
      </c>
      <c r="O490" t="n">
        <v>0</v>
      </c>
      <c r="P490" t="n">
        <v>0</v>
      </c>
      <c r="Q490" t="n">
        <v>0</v>
      </c>
      <c r="R490" s="2" t="inlineStr"/>
    </row>
    <row r="491" ht="15" customHeight="1">
      <c r="A491" t="inlineStr">
        <is>
          <t>A 45560-2021</t>
        </is>
      </c>
      <c r="B491" s="1" t="n">
        <v>44440</v>
      </c>
      <c r="C491" s="1" t="n">
        <v>45569</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47208-2021</t>
        </is>
      </c>
      <c r="B492" s="1" t="n">
        <v>44447</v>
      </c>
      <c r="C492" s="1" t="n">
        <v>45569</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47205-2021</t>
        </is>
      </c>
      <c r="B493" s="1" t="n">
        <v>44447</v>
      </c>
      <c r="C493" s="1" t="n">
        <v>45569</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47473-2021</t>
        </is>
      </c>
      <c r="B494" s="1" t="n">
        <v>44447</v>
      </c>
      <c r="C494" s="1" t="n">
        <v>45569</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48377-2021</t>
        </is>
      </c>
      <c r="B495" s="1" t="n">
        <v>44451</v>
      </c>
      <c r="C495" s="1" t="n">
        <v>45569</v>
      </c>
      <c r="D495" t="inlineStr">
        <is>
          <t>KALMAR LÄN</t>
        </is>
      </c>
      <c r="E495" t="inlineStr">
        <is>
          <t>VIMMERBY</t>
        </is>
      </c>
      <c r="G495" t="n">
        <v>0.4</v>
      </c>
      <c r="H495" t="n">
        <v>0</v>
      </c>
      <c r="I495" t="n">
        <v>0</v>
      </c>
      <c r="J495" t="n">
        <v>0</v>
      </c>
      <c r="K495" t="n">
        <v>0</v>
      </c>
      <c r="L495" t="n">
        <v>0</v>
      </c>
      <c r="M495" t="n">
        <v>0</v>
      </c>
      <c r="N495" t="n">
        <v>0</v>
      </c>
      <c r="O495" t="n">
        <v>0</v>
      </c>
      <c r="P495" t="n">
        <v>0</v>
      </c>
      <c r="Q495" t="n">
        <v>0</v>
      </c>
      <c r="R495" s="2" t="inlineStr"/>
    </row>
    <row r="496" ht="15" customHeight="1">
      <c r="A496" t="inlineStr">
        <is>
          <t>A 48373-2021</t>
        </is>
      </c>
      <c r="B496" s="1" t="n">
        <v>44451</v>
      </c>
      <c r="C496" s="1" t="n">
        <v>45569</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48673-2021</t>
        </is>
      </c>
      <c r="B497" s="1" t="n">
        <v>44452</v>
      </c>
      <c r="C497" s="1" t="n">
        <v>45569</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v>
      </c>
      <c r="C498" s="1" t="n">
        <v>45569</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51972-2021</t>
        </is>
      </c>
      <c r="B499" s="1" t="n">
        <v>44463</v>
      </c>
      <c r="C499" s="1" t="n">
        <v>45569</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52433-2021</t>
        </is>
      </c>
      <c r="B500" s="1" t="n">
        <v>44466</v>
      </c>
      <c r="C500" s="1" t="n">
        <v>45569</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52435-2021</t>
        </is>
      </c>
      <c r="B501" s="1" t="n">
        <v>44466</v>
      </c>
      <c r="C501" s="1" t="n">
        <v>45569</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53083-2021</t>
        </is>
      </c>
      <c r="B502" s="1" t="n">
        <v>44467</v>
      </c>
      <c r="C502" s="1" t="n">
        <v>45569</v>
      </c>
      <c r="D502" t="inlineStr">
        <is>
          <t>KALMAR LÄN</t>
        </is>
      </c>
      <c r="E502" t="inlineStr">
        <is>
          <t>VIMMERBY</t>
        </is>
      </c>
      <c r="G502" t="n">
        <v>6.8</v>
      </c>
      <c r="H502" t="n">
        <v>0</v>
      </c>
      <c r="I502" t="n">
        <v>0</v>
      </c>
      <c r="J502" t="n">
        <v>0</v>
      </c>
      <c r="K502" t="n">
        <v>0</v>
      </c>
      <c r="L502" t="n">
        <v>0</v>
      </c>
      <c r="M502" t="n">
        <v>0</v>
      </c>
      <c r="N502" t="n">
        <v>0</v>
      </c>
      <c r="O502" t="n">
        <v>0</v>
      </c>
      <c r="P502" t="n">
        <v>0</v>
      </c>
      <c r="Q502" t="n">
        <v>0</v>
      </c>
      <c r="R502" s="2" t="inlineStr"/>
    </row>
    <row r="503" ht="15" customHeight="1">
      <c r="A503" t="inlineStr">
        <is>
          <t>A 53080-2021</t>
        </is>
      </c>
      <c r="B503" s="1" t="n">
        <v>44467</v>
      </c>
      <c r="C503" s="1" t="n">
        <v>45569</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54065-2021</t>
        </is>
      </c>
      <c r="B504" s="1" t="n">
        <v>44470</v>
      </c>
      <c r="C504" s="1" t="n">
        <v>45569</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55300-2021</t>
        </is>
      </c>
      <c r="B505" s="1" t="n">
        <v>44475</v>
      </c>
      <c r="C505" s="1" t="n">
        <v>45569</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55297-2021</t>
        </is>
      </c>
      <c r="B506" s="1" t="n">
        <v>44475</v>
      </c>
      <c r="C506" s="1" t="n">
        <v>45569</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55674-2021</t>
        </is>
      </c>
      <c r="B507" s="1" t="n">
        <v>44476</v>
      </c>
      <c r="C507" s="1" t="n">
        <v>45569</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56029-2021</t>
        </is>
      </c>
      <c r="B508" s="1" t="n">
        <v>44477</v>
      </c>
      <c r="C508" s="1" t="n">
        <v>45569</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56343-2021</t>
        </is>
      </c>
      <c r="B509" s="1" t="n">
        <v>44480</v>
      </c>
      <c r="C509" s="1" t="n">
        <v>45569</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56385-2021</t>
        </is>
      </c>
      <c r="B510" s="1" t="n">
        <v>44480</v>
      </c>
      <c r="C510" s="1" t="n">
        <v>45569</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56347-2021</t>
        </is>
      </c>
      <c r="B511" s="1" t="n">
        <v>44480</v>
      </c>
      <c r="C511" s="1" t="n">
        <v>45569</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56378-2021</t>
        </is>
      </c>
      <c r="B512" s="1" t="n">
        <v>44480</v>
      </c>
      <c r="C512" s="1" t="n">
        <v>45569</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56398-2021</t>
        </is>
      </c>
      <c r="B513" s="1" t="n">
        <v>44480</v>
      </c>
      <c r="C513" s="1" t="n">
        <v>45569</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56389-2021</t>
        </is>
      </c>
      <c r="B514" s="1" t="n">
        <v>44480</v>
      </c>
      <c r="C514" s="1" t="n">
        <v>45569</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56754-2021</t>
        </is>
      </c>
      <c r="B515" s="1" t="n">
        <v>44481</v>
      </c>
      <c r="C515" s="1" t="n">
        <v>45569</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57416-2021</t>
        </is>
      </c>
      <c r="B516" s="1" t="n">
        <v>44483</v>
      </c>
      <c r="C516" s="1" t="n">
        <v>45569</v>
      </c>
      <c r="D516" t="inlineStr">
        <is>
          <t>KALMAR LÄN</t>
        </is>
      </c>
      <c r="E516" t="inlineStr">
        <is>
          <t>VIMMERBY</t>
        </is>
      </c>
      <c r="G516" t="n">
        <v>2.9</v>
      </c>
      <c r="H516" t="n">
        <v>0</v>
      </c>
      <c r="I516" t="n">
        <v>0</v>
      </c>
      <c r="J516" t="n">
        <v>0</v>
      </c>
      <c r="K516" t="n">
        <v>0</v>
      </c>
      <c r="L516" t="n">
        <v>0</v>
      </c>
      <c r="M516" t="n">
        <v>0</v>
      </c>
      <c r="N516" t="n">
        <v>0</v>
      </c>
      <c r="O516" t="n">
        <v>0</v>
      </c>
      <c r="P516" t="n">
        <v>0</v>
      </c>
      <c r="Q516" t="n">
        <v>0</v>
      </c>
      <c r="R516" s="2" t="inlineStr"/>
    </row>
    <row r="517" ht="15" customHeight="1">
      <c r="A517" t="inlineStr">
        <is>
          <t>A 57605-2021</t>
        </is>
      </c>
      <c r="B517" s="1" t="n">
        <v>44483</v>
      </c>
      <c r="C517" s="1" t="n">
        <v>45569</v>
      </c>
      <c r="D517" t="inlineStr">
        <is>
          <t>KALMAR LÄN</t>
        </is>
      </c>
      <c r="E517" t="inlineStr">
        <is>
          <t>VIMMERBY</t>
        </is>
      </c>
      <c r="G517" t="n">
        <v>13.1</v>
      </c>
      <c r="H517" t="n">
        <v>0</v>
      </c>
      <c r="I517" t="n">
        <v>0</v>
      </c>
      <c r="J517" t="n">
        <v>0</v>
      </c>
      <c r="K517" t="n">
        <v>0</v>
      </c>
      <c r="L517" t="n">
        <v>0</v>
      </c>
      <c r="M517" t="n">
        <v>0</v>
      </c>
      <c r="N517" t="n">
        <v>0</v>
      </c>
      <c r="O517" t="n">
        <v>0</v>
      </c>
      <c r="P517" t="n">
        <v>0</v>
      </c>
      <c r="Q517" t="n">
        <v>0</v>
      </c>
      <c r="R517" s="2" t="inlineStr"/>
    </row>
    <row r="518" ht="15" customHeight="1">
      <c r="A518" t="inlineStr">
        <is>
          <t>A 58318-2021</t>
        </is>
      </c>
      <c r="B518" s="1" t="n">
        <v>44488</v>
      </c>
      <c r="C518" s="1" t="n">
        <v>45569</v>
      </c>
      <c r="D518" t="inlineStr">
        <is>
          <t>KALMAR LÄN</t>
        </is>
      </c>
      <c r="E518" t="inlineStr">
        <is>
          <t>VIMMERBY</t>
        </is>
      </c>
      <c r="G518" t="n">
        <v>4</v>
      </c>
      <c r="H518" t="n">
        <v>0</v>
      </c>
      <c r="I518" t="n">
        <v>0</v>
      </c>
      <c r="J518" t="n">
        <v>0</v>
      </c>
      <c r="K518" t="n">
        <v>0</v>
      </c>
      <c r="L518" t="n">
        <v>0</v>
      </c>
      <c r="M518" t="n">
        <v>0</v>
      </c>
      <c r="N518" t="n">
        <v>0</v>
      </c>
      <c r="O518" t="n">
        <v>0</v>
      </c>
      <c r="P518" t="n">
        <v>0</v>
      </c>
      <c r="Q518" t="n">
        <v>0</v>
      </c>
      <c r="R518" s="2" t="inlineStr"/>
    </row>
    <row r="519" ht="15" customHeight="1">
      <c r="A519" t="inlineStr">
        <is>
          <t>A 59070-2021</t>
        </is>
      </c>
      <c r="B519" s="1" t="n">
        <v>44490</v>
      </c>
      <c r="C519" s="1" t="n">
        <v>45569</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59781-2021</t>
        </is>
      </c>
      <c r="B520" s="1" t="n">
        <v>44494</v>
      </c>
      <c r="C520" s="1" t="n">
        <v>45569</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59791-2021</t>
        </is>
      </c>
      <c r="B521" s="1" t="n">
        <v>44494</v>
      </c>
      <c r="C521" s="1" t="n">
        <v>45569</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60228-2021</t>
        </is>
      </c>
      <c r="B522" s="1" t="n">
        <v>44495</v>
      </c>
      <c r="C522" s="1" t="n">
        <v>45569</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60225-2021</t>
        </is>
      </c>
      <c r="B523" s="1" t="n">
        <v>44495</v>
      </c>
      <c r="C523" s="1" t="n">
        <v>45569</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60994-2021</t>
        </is>
      </c>
      <c r="B524" s="1" t="n">
        <v>44497</v>
      </c>
      <c r="C524" s="1" t="n">
        <v>45569</v>
      </c>
      <c r="D524" t="inlineStr">
        <is>
          <t>KALMAR LÄN</t>
        </is>
      </c>
      <c r="E524" t="inlineStr">
        <is>
          <t>VIMMERBY</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61939-2021</t>
        </is>
      </c>
      <c r="B525" s="1" t="n">
        <v>44502</v>
      </c>
      <c r="C525" s="1" t="n">
        <v>45569</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63244-2021</t>
        </is>
      </c>
      <c r="B526" s="1" t="n">
        <v>44508</v>
      </c>
      <c r="C526" s="1" t="n">
        <v>45569</v>
      </c>
      <c r="D526" t="inlineStr">
        <is>
          <t>KALMAR LÄN</t>
        </is>
      </c>
      <c r="E526" t="inlineStr">
        <is>
          <t>VIMMERBY</t>
        </is>
      </c>
      <c r="F526" t="inlineStr">
        <is>
          <t>Övriga statliga verk och myndigheter</t>
        </is>
      </c>
      <c r="G526" t="n">
        <v>0.6</v>
      </c>
      <c r="H526" t="n">
        <v>0</v>
      </c>
      <c r="I526" t="n">
        <v>0</v>
      </c>
      <c r="J526" t="n">
        <v>0</v>
      </c>
      <c r="K526" t="n">
        <v>0</v>
      </c>
      <c r="L526" t="n">
        <v>0</v>
      </c>
      <c r="M526" t="n">
        <v>0</v>
      </c>
      <c r="N526" t="n">
        <v>0</v>
      </c>
      <c r="O526" t="n">
        <v>0</v>
      </c>
      <c r="P526" t="n">
        <v>0</v>
      </c>
      <c r="Q526" t="n">
        <v>0</v>
      </c>
      <c r="R526" s="2" t="inlineStr"/>
    </row>
    <row r="527" ht="15" customHeight="1">
      <c r="A527" t="inlineStr">
        <is>
          <t>A 63926-2021</t>
        </is>
      </c>
      <c r="B527" s="1" t="n">
        <v>44509</v>
      </c>
      <c r="C527" s="1" t="n">
        <v>45569</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64143-2021</t>
        </is>
      </c>
      <c r="B528" s="1" t="n">
        <v>44510</v>
      </c>
      <c r="C528" s="1" t="n">
        <v>45569</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v>
      </c>
      <c r="C529" s="1" t="n">
        <v>45569</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64923-2021</t>
        </is>
      </c>
      <c r="B530" s="1" t="n">
        <v>44512</v>
      </c>
      <c r="C530" s="1" t="n">
        <v>45569</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65670-2021</t>
        </is>
      </c>
      <c r="B531" s="1" t="n">
        <v>44516</v>
      </c>
      <c r="C531" s="1" t="n">
        <v>45569</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65864-2021</t>
        </is>
      </c>
      <c r="B532" s="1" t="n">
        <v>44517</v>
      </c>
      <c r="C532" s="1" t="n">
        <v>45569</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65887-2021</t>
        </is>
      </c>
      <c r="B533" s="1" t="n">
        <v>44517</v>
      </c>
      <c r="C533" s="1" t="n">
        <v>45569</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45569</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67952-2021</t>
        </is>
      </c>
      <c r="B535" s="1" t="n">
        <v>44525</v>
      </c>
      <c r="C535" s="1" t="n">
        <v>45569</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67983-2021</t>
        </is>
      </c>
      <c r="B536" s="1" t="n">
        <v>44525</v>
      </c>
      <c r="C536" s="1" t="n">
        <v>45569</v>
      </c>
      <c r="D536" t="inlineStr">
        <is>
          <t>KALMAR LÄN</t>
        </is>
      </c>
      <c r="E536" t="inlineStr">
        <is>
          <t>VIMMERBY</t>
        </is>
      </c>
      <c r="G536" t="n">
        <v>6.1</v>
      </c>
      <c r="H536" t="n">
        <v>0</v>
      </c>
      <c r="I536" t="n">
        <v>0</v>
      </c>
      <c r="J536" t="n">
        <v>0</v>
      </c>
      <c r="K536" t="n">
        <v>0</v>
      </c>
      <c r="L536" t="n">
        <v>0</v>
      </c>
      <c r="M536" t="n">
        <v>0</v>
      </c>
      <c r="N536" t="n">
        <v>0</v>
      </c>
      <c r="O536" t="n">
        <v>0</v>
      </c>
      <c r="P536" t="n">
        <v>0</v>
      </c>
      <c r="Q536" t="n">
        <v>0</v>
      </c>
      <c r="R536" s="2" t="inlineStr"/>
    </row>
    <row r="537" ht="15" customHeight="1">
      <c r="A537" t="inlineStr">
        <is>
          <t>A 68426-2021</t>
        </is>
      </c>
      <c r="B537" s="1" t="n">
        <v>44529</v>
      </c>
      <c r="C537" s="1" t="n">
        <v>45569</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68840-2021</t>
        </is>
      </c>
      <c r="B538" s="1" t="n">
        <v>44530</v>
      </c>
      <c r="C538" s="1" t="n">
        <v>45569</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71775-2021</t>
        </is>
      </c>
      <c r="B539" s="1" t="n">
        <v>44539</v>
      </c>
      <c r="C539" s="1" t="n">
        <v>45569</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45569</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72067-2021</t>
        </is>
      </c>
      <c r="B541" s="1" t="n">
        <v>44540</v>
      </c>
      <c r="C541" s="1" t="n">
        <v>45569</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71631-2021</t>
        </is>
      </c>
      <c r="B542" s="1" t="n">
        <v>44542</v>
      </c>
      <c r="C542" s="1" t="n">
        <v>45569</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71626-2021</t>
        </is>
      </c>
      <c r="B543" s="1" t="n">
        <v>44542</v>
      </c>
      <c r="C543" s="1" t="n">
        <v>45569</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45569</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73938-2021</t>
        </is>
      </c>
      <c r="B545" s="1" t="n">
        <v>44553</v>
      </c>
      <c r="C545" s="1" t="n">
        <v>45569</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172-2022</t>
        </is>
      </c>
      <c r="B546" s="1" t="n">
        <v>44564</v>
      </c>
      <c r="C546" s="1" t="n">
        <v>45569</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165-2022</t>
        </is>
      </c>
      <c r="B547" s="1" t="n">
        <v>44564</v>
      </c>
      <c r="C547" s="1" t="n">
        <v>45569</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529-2022</t>
        </is>
      </c>
      <c r="B548" s="1" t="n">
        <v>44566</v>
      </c>
      <c r="C548" s="1" t="n">
        <v>45569</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1627-2022</t>
        </is>
      </c>
      <c r="B549" s="1" t="n">
        <v>44573</v>
      </c>
      <c r="C549" s="1" t="n">
        <v>45569</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1838-2022</t>
        </is>
      </c>
      <c r="B550" s="1" t="n">
        <v>44574</v>
      </c>
      <c r="C550" s="1" t="n">
        <v>45569</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2069-2022</t>
        </is>
      </c>
      <c r="B551" s="1" t="n">
        <v>44575</v>
      </c>
      <c r="C551" s="1" t="n">
        <v>45569</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v>
      </c>
      <c r="C552" s="1" t="n">
        <v>45569</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2196-2022</t>
        </is>
      </c>
      <c r="B553" s="1" t="n">
        <v>44578</v>
      </c>
      <c r="C553" s="1" t="n">
        <v>45569</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2183-2022</t>
        </is>
      </c>
      <c r="B554" s="1" t="n">
        <v>44578</v>
      </c>
      <c r="C554" s="1" t="n">
        <v>45569</v>
      </c>
      <c r="D554" t="inlineStr">
        <is>
          <t>KALMAR LÄN</t>
        </is>
      </c>
      <c r="E554" t="inlineStr">
        <is>
          <t>VIMMERBY</t>
        </is>
      </c>
      <c r="G554" t="n">
        <v>4.8</v>
      </c>
      <c r="H554" t="n">
        <v>0</v>
      </c>
      <c r="I554" t="n">
        <v>0</v>
      </c>
      <c r="J554" t="n">
        <v>0</v>
      </c>
      <c r="K554" t="n">
        <v>0</v>
      </c>
      <c r="L554" t="n">
        <v>0</v>
      </c>
      <c r="M554" t="n">
        <v>0</v>
      </c>
      <c r="N554" t="n">
        <v>0</v>
      </c>
      <c r="O554" t="n">
        <v>0</v>
      </c>
      <c r="P554" t="n">
        <v>0</v>
      </c>
      <c r="Q554" t="n">
        <v>0</v>
      </c>
      <c r="R554" s="2" t="inlineStr"/>
    </row>
    <row r="555" ht="15" customHeight="1">
      <c r="A555" t="inlineStr">
        <is>
          <t>A 2260-2022</t>
        </is>
      </c>
      <c r="B555" s="1" t="n">
        <v>44578</v>
      </c>
      <c r="C555" s="1" t="n">
        <v>45569</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2411-2022</t>
        </is>
      </c>
      <c r="B556" s="1" t="n">
        <v>44579</v>
      </c>
      <c r="C556" s="1" t="n">
        <v>45569</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2462-2022</t>
        </is>
      </c>
      <c r="B557" s="1" t="n">
        <v>44579</v>
      </c>
      <c r="C557" s="1" t="n">
        <v>45569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3425-2022</t>
        </is>
      </c>
      <c r="B558" s="1" t="n">
        <v>44585</v>
      </c>
      <c r="C558" s="1" t="n">
        <v>45569</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3423-2022</t>
        </is>
      </c>
      <c r="B559" s="1" t="n">
        <v>44585</v>
      </c>
      <c r="C559" s="1" t="n">
        <v>45569</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3426-2022</t>
        </is>
      </c>
      <c r="B560" s="1" t="n">
        <v>44585</v>
      </c>
      <c r="C560" s="1" t="n">
        <v>45569</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3816-2022</t>
        </is>
      </c>
      <c r="B561" s="1" t="n">
        <v>44587</v>
      </c>
      <c r="C561" s="1" t="n">
        <v>45569</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3902-2022</t>
        </is>
      </c>
      <c r="B562" s="1" t="n">
        <v>44587</v>
      </c>
      <c r="C562" s="1" t="n">
        <v>45569</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4046-2022</t>
        </is>
      </c>
      <c r="B563" s="1" t="n">
        <v>44588</v>
      </c>
      <c r="C563" s="1" t="n">
        <v>45569</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4054-2022</t>
        </is>
      </c>
      <c r="B564" s="1" t="n">
        <v>44588</v>
      </c>
      <c r="C564" s="1" t="n">
        <v>45569</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4118-2022</t>
        </is>
      </c>
      <c r="B565" s="1" t="n">
        <v>44588</v>
      </c>
      <c r="C565" s="1" t="n">
        <v>45569</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4126-2022</t>
        </is>
      </c>
      <c r="B566" s="1" t="n">
        <v>44588</v>
      </c>
      <c r="C566" s="1" t="n">
        <v>45569</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4042-2022</t>
        </is>
      </c>
      <c r="B567" s="1" t="n">
        <v>44588</v>
      </c>
      <c r="C567" s="1" t="n">
        <v>45569</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4076-2022</t>
        </is>
      </c>
      <c r="B568" s="1" t="n">
        <v>44588</v>
      </c>
      <c r="C568" s="1" t="n">
        <v>45569</v>
      </c>
      <c r="D568" t="inlineStr">
        <is>
          <t>KALMAR LÄN</t>
        </is>
      </c>
      <c r="E568" t="inlineStr">
        <is>
          <t>VIMMERBY</t>
        </is>
      </c>
      <c r="G568" t="n">
        <v>3</v>
      </c>
      <c r="H568" t="n">
        <v>0</v>
      </c>
      <c r="I568" t="n">
        <v>0</v>
      </c>
      <c r="J568" t="n">
        <v>0</v>
      </c>
      <c r="K568" t="n">
        <v>0</v>
      </c>
      <c r="L568" t="n">
        <v>0</v>
      </c>
      <c r="M568" t="n">
        <v>0</v>
      </c>
      <c r="N568" t="n">
        <v>0</v>
      </c>
      <c r="O568" t="n">
        <v>0</v>
      </c>
      <c r="P568" t="n">
        <v>0</v>
      </c>
      <c r="Q568" t="n">
        <v>0</v>
      </c>
      <c r="R568" s="2" t="inlineStr"/>
    </row>
    <row r="569" ht="15" customHeight="1">
      <c r="A569" t="inlineStr">
        <is>
          <t>A 4122-2022</t>
        </is>
      </c>
      <c r="B569" s="1" t="n">
        <v>44588</v>
      </c>
      <c r="C569" s="1" t="n">
        <v>45569</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45569</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4296-2022</t>
        </is>
      </c>
      <c r="B571" s="1" t="n">
        <v>44588</v>
      </c>
      <c r="C571" s="1" t="n">
        <v>45569</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4532-2022</t>
        </is>
      </c>
      <c r="B572" s="1" t="n">
        <v>44590</v>
      </c>
      <c r="C572" s="1" t="n">
        <v>45569</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5527-2022</t>
        </is>
      </c>
      <c r="B573" s="1" t="n">
        <v>44595</v>
      </c>
      <c r="C573" s="1" t="n">
        <v>45569</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5545-2022</t>
        </is>
      </c>
      <c r="B574" s="1" t="n">
        <v>44595</v>
      </c>
      <c r="C574" s="1" t="n">
        <v>45569</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5618-2022</t>
        </is>
      </c>
      <c r="B575" s="1" t="n">
        <v>44595</v>
      </c>
      <c r="C575" s="1" t="n">
        <v>45569</v>
      </c>
      <c r="D575" t="inlineStr">
        <is>
          <t>KALMAR LÄN</t>
        </is>
      </c>
      <c r="E575" t="inlineStr">
        <is>
          <t>VIMMERBY</t>
        </is>
      </c>
      <c r="G575" t="n">
        <v>3.6</v>
      </c>
      <c r="H575" t="n">
        <v>0</v>
      </c>
      <c r="I575" t="n">
        <v>0</v>
      </c>
      <c r="J575" t="n">
        <v>0</v>
      </c>
      <c r="K575" t="n">
        <v>0</v>
      </c>
      <c r="L575" t="n">
        <v>0</v>
      </c>
      <c r="M575" t="n">
        <v>0</v>
      </c>
      <c r="N575" t="n">
        <v>0</v>
      </c>
      <c r="O575" t="n">
        <v>0</v>
      </c>
      <c r="P575" t="n">
        <v>0</v>
      </c>
      <c r="Q575" t="n">
        <v>0</v>
      </c>
      <c r="R575" s="2" t="inlineStr"/>
    </row>
    <row r="576" ht="15" customHeight="1">
      <c r="A576" t="inlineStr">
        <is>
          <t>A 5864-2022</t>
        </is>
      </c>
      <c r="B576" s="1" t="n">
        <v>44596</v>
      </c>
      <c r="C576" s="1" t="n">
        <v>45569</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v>
      </c>
      <c r="C577" s="1" t="n">
        <v>45569</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5938-2022</t>
        </is>
      </c>
      <c r="B578" s="1" t="n">
        <v>44598</v>
      </c>
      <c r="C578" s="1" t="n">
        <v>45569</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6083-2022</t>
        </is>
      </c>
      <c r="B579" s="1" t="n">
        <v>44599</v>
      </c>
      <c r="C579" s="1" t="n">
        <v>45569</v>
      </c>
      <c r="D579" t="inlineStr">
        <is>
          <t>KALMAR LÄN</t>
        </is>
      </c>
      <c r="E579" t="inlineStr">
        <is>
          <t>VIMMERBY</t>
        </is>
      </c>
      <c r="G579" t="n">
        <v>6.6</v>
      </c>
      <c r="H579" t="n">
        <v>0</v>
      </c>
      <c r="I579" t="n">
        <v>0</v>
      </c>
      <c r="J579" t="n">
        <v>0</v>
      </c>
      <c r="K579" t="n">
        <v>0</v>
      </c>
      <c r="L579" t="n">
        <v>0</v>
      </c>
      <c r="M579" t="n">
        <v>0</v>
      </c>
      <c r="N579" t="n">
        <v>0</v>
      </c>
      <c r="O579" t="n">
        <v>0</v>
      </c>
      <c r="P579" t="n">
        <v>0</v>
      </c>
      <c r="Q579" t="n">
        <v>0</v>
      </c>
      <c r="R579" s="2" t="inlineStr"/>
    </row>
    <row r="580" ht="15" customHeight="1">
      <c r="A580" t="inlineStr">
        <is>
          <t>A 6082-2022</t>
        </is>
      </c>
      <c r="B580" s="1" t="n">
        <v>44599</v>
      </c>
      <c r="C580" s="1" t="n">
        <v>45569</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45569</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6355-2022</t>
        </is>
      </c>
      <c r="B582" s="1" t="n">
        <v>44600</v>
      </c>
      <c r="C582" s="1" t="n">
        <v>45569</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7047-2022</t>
        </is>
      </c>
      <c r="B583" s="1" t="n">
        <v>44603</v>
      </c>
      <c r="C583" s="1" t="n">
        <v>45569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7049-2022</t>
        </is>
      </c>
      <c r="B584" s="1" t="n">
        <v>44603</v>
      </c>
      <c r="C584" s="1" t="n">
        <v>45569</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7167-2022</t>
        </is>
      </c>
      <c r="B585" s="1" t="n">
        <v>44604</v>
      </c>
      <c r="C585" s="1" t="n">
        <v>45569</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7643-2022</t>
        </is>
      </c>
      <c r="B586" s="1" t="n">
        <v>44607</v>
      </c>
      <c r="C586" s="1" t="n">
        <v>45569</v>
      </c>
      <c r="D586" t="inlineStr">
        <is>
          <t>KALMAR LÄN</t>
        </is>
      </c>
      <c r="E586" t="inlineStr">
        <is>
          <t>VIMMERBY</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7804-2022</t>
        </is>
      </c>
      <c r="B587" s="1" t="n">
        <v>44608</v>
      </c>
      <c r="C587" s="1" t="n">
        <v>45569</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7917-2022</t>
        </is>
      </c>
      <c r="B588" s="1" t="n">
        <v>44608</v>
      </c>
      <c r="C588" s="1" t="n">
        <v>45569</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8194-2022</t>
        </is>
      </c>
      <c r="B589" s="1" t="n">
        <v>44609</v>
      </c>
      <c r="C589" s="1" t="n">
        <v>45569</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8454-2022</t>
        </is>
      </c>
      <c r="B590" s="1" t="n">
        <v>44612</v>
      </c>
      <c r="C590" s="1" t="n">
        <v>45569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8453-2022</t>
        </is>
      </c>
      <c r="B591" s="1" t="n">
        <v>44612</v>
      </c>
      <c r="C591" s="1" t="n">
        <v>45569</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8462-2022</t>
        </is>
      </c>
      <c r="B592" s="1" t="n">
        <v>44612</v>
      </c>
      <c r="C592" s="1" t="n">
        <v>45569</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8650-2022</t>
        </is>
      </c>
      <c r="B593" s="1" t="n">
        <v>44613</v>
      </c>
      <c r="C593" s="1" t="n">
        <v>45569</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8908-2022</t>
        </is>
      </c>
      <c r="B594" s="1" t="n">
        <v>44614</v>
      </c>
      <c r="C594" s="1" t="n">
        <v>45569</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9311-2022</t>
        </is>
      </c>
      <c r="B595" s="1" t="n">
        <v>44616</v>
      </c>
      <c r="C595" s="1" t="n">
        <v>45569</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9918-2022</t>
        </is>
      </c>
      <c r="B596" s="1" t="n">
        <v>44620</v>
      </c>
      <c r="C596" s="1" t="n">
        <v>45569</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10086-2022</t>
        </is>
      </c>
      <c r="B597" s="1" t="n">
        <v>44621</v>
      </c>
      <c r="C597" s="1" t="n">
        <v>45569</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10487-2022</t>
        </is>
      </c>
      <c r="B598" s="1" t="n">
        <v>44623</v>
      </c>
      <c r="C598" s="1" t="n">
        <v>45569</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11429-2022</t>
        </is>
      </c>
      <c r="B599" s="1" t="n">
        <v>44630</v>
      </c>
      <c r="C599" s="1" t="n">
        <v>45569</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11733-2022</t>
        </is>
      </c>
      <c r="B600" s="1" t="n">
        <v>44634</v>
      </c>
      <c r="C600" s="1" t="n">
        <v>45569</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11814-2022</t>
        </is>
      </c>
      <c r="B601" s="1" t="n">
        <v>44634</v>
      </c>
      <c r="C601" s="1" t="n">
        <v>45569</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11928-2022</t>
        </is>
      </c>
      <c r="B602" s="1" t="n">
        <v>44635</v>
      </c>
      <c r="C602" s="1" t="n">
        <v>45569</v>
      </c>
      <c r="D602" t="inlineStr">
        <is>
          <t>KALMAR LÄN</t>
        </is>
      </c>
      <c r="E602" t="inlineStr">
        <is>
          <t>VIMMERBY</t>
        </is>
      </c>
      <c r="G602" t="n">
        <v>2.8</v>
      </c>
      <c r="H602" t="n">
        <v>0</v>
      </c>
      <c r="I602" t="n">
        <v>0</v>
      </c>
      <c r="J602" t="n">
        <v>0</v>
      </c>
      <c r="K602" t="n">
        <v>0</v>
      </c>
      <c r="L602" t="n">
        <v>0</v>
      </c>
      <c r="M602" t="n">
        <v>0</v>
      </c>
      <c r="N602" t="n">
        <v>0</v>
      </c>
      <c r="O602" t="n">
        <v>0</v>
      </c>
      <c r="P602" t="n">
        <v>0</v>
      </c>
      <c r="Q602" t="n">
        <v>0</v>
      </c>
      <c r="R602" s="2" t="inlineStr"/>
    </row>
    <row r="603" ht="15" customHeight="1">
      <c r="A603" t="inlineStr">
        <is>
          <t>A 11930-2022</t>
        </is>
      </c>
      <c r="B603" s="1" t="n">
        <v>44635</v>
      </c>
      <c r="C603" s="1" t="n">
        <v>45569</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12107-2022</t>
        </is>
      </c>
      <c r="B604" s="1" t="n">
        <v>44636</v>
      </c>
      <c r="C604" s="1" t="n">
        <v>45569</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12510-2022</t>
        </is>
      </c>
      <c r="B605" s="1" t="n">
        <v>44638</v>
      </c>
      <c r="C605" s="1" t="n">
        <v>45569</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13015-2022</t>
        </is>
      </c>
      <c r="B606" s="1" t="n">
        <v>44643</v>
      </c>
      <c r="C606" s="1" t="n">
        <v>45569</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13180-2022</t>
        </is>
      </c>
      <c r="B607" s="1" t="n">
        <v>44644</v>
      </c>
      <c r="C607" s="1" t="n">
        <v>45569</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14347-2022</t>
        </is>
      </c>
      <c r="B608" s="1" t="n">
        <v>44652</v>
      </c>
      <c r="C608" s="1" t="n">
        <v>45569</v>
      </c>
      <c r="D608" t="inlineStr">
        <is>
          <t>KALMAR LÄN</t>
        </is>
      </c>
      <c r="E608" t="inlineStr">
        <is>
          <t>VIMMERBY</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15146-2022</t>
        </is>
      </c>
      <c r="B609" s="1" t="n">
        <v>44658</v>
      </c>
      <c r="C609" s="1" t="n">
        <v>45569</v>
      </c>
      <c r="D609" t="inlineStr">
        <is>
          <t>KALMAR LÄN</t>
        </is>
      </c>
      <c r="E609" t="inlineStr">
        <is>
          <t>VIMMERBY</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15438-2022</t>
        </is>
      </c>
      <c r="B610" s="1" t="n">
        <v>44659</v>
      </c>
      <c r="C610" s="1" t="n">
        <v>45569</v>
      </c>
      <c r="D610" t="inlineStr">
        <is>
          <t>KALMAR LÄN</t>
        </is>
      </c>
      <c r="E610" t="inlineStr">
        <is>
          <t>VIMMERBY</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15533-2022</t>
        </is>
      </c>
      <c r="B611" s="1" t="n">
        <v>44662</v>
      </c>
      <c r="C611" s="1" t="n">
        <v>45569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15535-2022</t>
        </is>
      </c>
      <c r="B612" s="1" t="n">
        <v>44662</v>
      </c>
      <c r="C612" s="1" t="n">
        <v>45569</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16156-2022</t>
        </is>
      </c>
      <c r="B613" s="1" t="n">
        <v>44666</v>
      </c>
      <c r="C613" s="1" t="n">
        <v>45569</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16288-2022</t>
        </is>
      </c>
      <c r="B614" s="1" t="n">
        <v>44670</v>
      </c>
      <c r="C614" s="1" t="n">
        <v>45569</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16283-2022</t>
        </is>
      </c>
      <c r="B615" s="1" t="n">
        <v>44670</v>
      </c>
      <c r="C615" s="1" t="n">
        <v>45569</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16290-2022</t>
        </is>
      </c>
      <c r="B616" s="1" t="n">
        <v>44670</v>
      </c>
      <c r="C616" s="1" t="n">
        <v>45569</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17029-2022</t>
        </is>
      </c>
      <c r="B617" s="1" t="n">
        <v>44676</v>
      </c>
      <c r="C617" s="1" t="n">
        <v>45569</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17253-2022</t>
        </is>
      </c>
      <c r="B618" s="1" t="n">
        <v>44678</v>
      </c>
      <c r="C618" s="1" t="n">
        <v>45569</v>
      </c>
      <c r="D618" t="inlineStr">
        <is>
          <t>KALMAR LÄN</t>
        </is>
      </c>
      <c r="E618" t="inlineStr">
        <is>
          <t>VIMMERBY</t>
        </is>
      </c>
      <c r="G618" t="n">
        <v>1.9</v>
      </c>
      <c r="H618" t="n">
        <v>0</v>
      </c>
      <c r="I618" t="n">
        <v>0</v>
      </c>
      <c r="J618" t="n">
        <v>0</v>
      </c>
      <c r="K618" t="n">
        <v>0</v>
      </c>
      <c r="L618" t="n">
        <v>0</v>
      </c>
      <c r="M618" t="n">
        <v>0</v>
      </c>
      <c r="N618" t="n">
        <v>0</v>
      </c>
      <c r="O618" t="n">
        <v>0</v>
      </c>
      <c r="P618" t="n">
        <v>0</v>
      </c>
      <c r="Q618" t="n">
        <v>0</v>
      </c>
      <c r="R618" s="2" t="inlineStr"/>
    </row>
    <row r="619" ht="15" customHeight="1">
      <c r="A619" t="inlineStr">
        <is>
          <t>A 19535-2022</t>
        </is>
      </c>
      <c r="B619" s="1" t="n">
        <v>44693</v>
      </c>
      <c r="C619" s="1" t="n">
        <v>45569</v>
      </c>
      <c r="D619" t="inlineStr">
        <is>
          <t>KALMAR LÄN</t>
        </is>
      </c>
      <c r="E619" t="inlineStr">
        <is>
          <t>VIMMERBY</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19537-2022</t>
        </is>
      </c>
      <c r="B620" s="1" t="n">
        <v>44693</v>
      </c>
      <c r="C620" s="1" t="n">
        <v>45569</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v>
      </c>
      <c r="C621" s="1" t="n">
        <v>45569</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23825-2022</t>
        </is>
      </c>
      <c r="B622" s="1" t="n">
        <v>44722</v>
      </c>
      <c r="C622" s="1" t="n">
        <v>45569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25049-2022</t>
        </is>
      </c>
      <c r="B623" s="1" t="n">
        <v>44729</v>
      </c>
      <c r="C623" s="1" t="n">
        <v>45569</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v>
      </c>
      <c r="C624" s="1" t="n">
        <v>45569</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25738-2022</t>
        </is>
      </c>
      <c r="B625" s="1" t="n">
        <v>44733</v>
      </c>
      <c r="C625" s="1" t="n">
        <v>45569</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25859-2022</t>
        </is>
      </c>
      <c r="B626" s="1" t="n">
        <v>44733</v>
      </c>
      <c r="C626" s="1" t="n">
        <v>45569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25868-2022</t>
        </is>
      </c>
      <c r="B627" s="1" t="n">
        <v>44733</v>
      </c>
      <c r="C627" s="1" t="n">
        <v>45569</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27455-2022</t>
        </is>
      </c>
      <c r="B628" s="1" t="n">
        <v>44742</v>
      </c>
      <c r="C628" s="1" t="n">
        <v>45569</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27993-2022</t>
        </is>
      </c>
      <c r="B629" s="1" t="n">
        <v>44745</v>
      </c>
      <c r="C629" s="1" t="n">
        <v>45569</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28034-2022</t>
        </is>
      </c>
      <c r="B630" s="1" t="n">
        <v>44746</v>
      </c>
      <c r="C630" s="1" t="n">
        <v>45569</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28406-2022</t>
        </is>
      </c>
      <c r="B631" s="1" t="n">
        <v>44747</v>
      </c>
      <c r="C631" s="1" t="n">
        <v>45569</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28646-2022</t>
        </is>
      </c>
      <c r="B632" s="1" t="n">
        <v>44748</v>
      </c>
      <c r="C632" s="1" t="n">
        <v>45569</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29616-2022</t>
        </is>
      </c>
      <c r="B633" s="1" t="n">
        <v>44754</v>
      </c>
      <c r="C633" s="1" t="n">
        <v>45569</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29910-2022</t>
        </is>
      </c>
      <c r="B634" s="1" t="n">
        <v>44756</v>
      </c>
      <c r="C634" s="1" t="n">
        <v>45569</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31053-2022</t>
        </is>
      </c>
      <c r="B635" s="1" t="n">
        <v>44769</v>
      </c>
      <c r="C635" s="1" t="n">
        <v>45569</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31056-2022</t>
        </is>
      </c>
      <c r="B636" s="1" t="n">
        <v>44769</v>
      </c>
      <c r="C636" s="1" t="n">
        <v>45569</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31533-2022</t>
        </is>
      </c>
      <c r="B637" s="1" t="n">
        <v>44774</v>
      </c>
      <c r="C637" s="1" t="n">
        <v>45569</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31824-2022</t>
        </is>
      </c>
      <c r="B638" s="1" t="n">
        <v>44776</v>
      </c>
      <c r="C638" s="1" t="n">
        <v>45569</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32835-2022</t>
        </is>
      </c>
      <c r="B639" s="1" t="n">
        <v>44784</v>
      </c>
      <c r="C639" s="1" t="n">
        <v>45569</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v>
      </c>
      <c r="C640" s="1" t="n">
        <v>45569</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33051-2022</t>
        </is>
      </c>
      <c r="B641" s="1" t="n">
        <v>44785</v>
      </c>
      <c r="C641" s="1" t="n">
        <v>45569</v>
      </c>
      <c r="D641" t="inlineStr">
        <is>
          <t>KALMAR LÄN</t>
        </is>
      </c>
      <c r="E641" t="inlineStr">
        <is>
          <t>VIMMERBY</t>
        </is>
      </c>
      <c r="G641" t="n">
        <v>0.3</v>
      </c>
      <c r="H641" t="n">
        <v>0</v>
      </c>
      <c r="I641" t="n">
        <v>0</v>
      </c>
      <c r="J641" t="n">
        <v>0</v>
      </c>
      <c r="K641" t="n">
        <v>0</v>
      </c>
      <c r="L641" t="n">
        <v>0</v>
      </c>
      <c r="M641" t="n">
        <v>0</v>
      </c>
      <c r="N641" t="n">
        <v>0</v>
      </c>
      <c r="O641" t="n">
        <v>0</v>
      </c>
      <c r="P641" t="n">
        <v>0</v>
      </c>
      <c r="Q641" t="n">
        <v>0</v>
      </c>
      <c r="R641" s="2" t="inlineStr"/>
    </row>
    <row r="642" ht="15" customHeight="1">
      <c r="A642" t="inlineStr">
        <is>
          <t>A 33352-2022</t>
        </is>
      </c>
      <c r="B642" s="1" t="n">
        <v>44788</v>
      </c>
      <c r="C642" s="1" t="n">
        <v>45569</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33681-2022</t>
        </is>
      </c>
      <c r="B643" s="1" t="n">
        <v>44789</v>
      </c>
      <c r="C643" s="1" t="n">
        <v>45569</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33690-2022</t>
        </is>
      </c>
      <c r="B644" s="1" t="n">
        <v>44789</v>
      </c>
      <c r="C644" s="1" t="n">
        <v>45569</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33815-2022</t>
        </is>
      </c>
      <c r="B645" s="1" t="n">
        <v>44790</v>
      </c>
      <c r="C645" s="1" t="n">
        <v>45569</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33829-2022</t>
        </is>
      </c>
      <c r="B646" s="1" t="n">
        <v>44790</v>
      </c>
      <c r="C646" s="1" t="n">
        <v>45569</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33838-2022</t>
        </is>
      </c>
      <c r="B647" s="1" t="n">
        <v>44790</v>
      </c>
      <c r="C647" s="1" t="n">
        <v>45569</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33820-2022</t>
        </is>
      </c>
      <c r="B648" s="1" t="n">
        <v>44790</v>
      </c>
      <c r="C648" s="1" t="n">
        <v>45569</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33831-2022</t>
        </is>
      </c>
      <c r="B649" s="1" t="n">
        <v>44790</v>
      </c>
      <c r="C649" s="1" t="n">
        <v>45569</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33842-2022</t>
        </is>
      </c>
      <c r="B650" s="1" t="n">
        <v>44790</v>
      </c>
      <c r="C650" s="1" t="n">
        <v>45569</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33824-2022</t>
        </is>
      </c>
      <c r="B651" s="1" t="n">
        <v>44790</v>
      </c>
      <c r="C651" s="1" t="n">
        <v>45569</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33840-2022</t>
        </is>
      </c>
      <c r="B652" s="1" t="n">
        <v>44790</v>
      </c>
      <c r="C652" s="1" t="n">
        <v>45569</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34376-2022</t>
        </is>
      </c>
      <c r="B653" s="1" t="n">
        <v>44792</v>
      </c>
      <c r="C653" s="1" t="n">
        <v>45569</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34329-2022</t>
        </is>
      </c>
      <c r="B654" s="1" t="n">
        <v>44792</v>
      </c>
      <c r="C654" s="1" t="n">
        <v>45569</v>
      </c>
      <c r="D654" t="inlineStr">
        <is>
          <t>KALMAR LÄN</t>
        </is>
      </c>
      <c r="E654" t="inlineStr">
        <is>
          <t>VIMMERBY</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34597-2022</t>
        </is>
      </c>
      <c r="B655" s="1" t="n">
        <v>44795</v>
      </c>
      <c r="C655" s="1" t="n">
        <v>45569</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35429-2022</t>
        </is>
      </c>
      <c r="B656" s="1" t="n">
        <v>44798</v>
      </c>
      <c r="C656" s="1" t="n">
        <v>45569</v>
      </c>
      <c r="D656" t="inlineStr">
        <is>
          <t>KALMAR LÄN</t>
        </is>
      </c>
      <c r="E656" t="inlineStr">
        <is>
          <t>VIMMERBY</t>
        </is>
      </c>
      <c r="G656" t="n">
        <v>4.9</v>
      </c>
      <c r="H656" t="n">
        <v>0</v>
      </c>
      <c r="I656" t="n">
        <v>0</v>
      </c>
      <c r="J656" t="n">
        <v>0</v>
      </c>
      <c r="K656" t="n">
        <v>0</v>
      </c>
      <c r="L656" t="n">
        <v>0</v>
      </c>
      <c r="M656" t="n">
        <v>0</v>
      </c>
      <c r="N656" t="n">
        <v>0</v>
      </c>
      <c r="O656" t="n">
        <v>0</v>
      </c>
      <c r="P656" t="n">
        <v>0</v>
      </c>
      <c r="Q656" t="n">
        <v>0</v>
      </c>
      <c r="R656" s="2" t="inlineStr"/>
    </row>
    <row r="657" ht="15" customHeight="1">
      <c r="A657" t="inlineStr">
        <is>
          <t>A 35615-2022</t>
        </is>
      </c>
      <c r="B657" s="1" t="n">
        <v>44799</v>
      </c>
      <c r="C657" s="1" t="n">
        <v>45569</v>
      </c>
      <c r="D657" t="inlineStr">
        <is>
          <t>KALMAR LÄN</t>
        </is>
      </c>
      <c r="E657" t="inlineStr">
        <is>
          <t>VIMMERBY</t>
        </is>
      </c>
      <c r="G657" t="n">
        <v>3.8</v>
      </c>
      <c r="H657" t="n">
        <v>0</v>
      </c>
      <c r="I657" t="n">
        <v>0</v>
      </c>
      <c r="J657" t="n">
        <v>0</v>
      </c>
      <c r="K657" t="n">
        <v>0</v>
      </c>
      <c r="L657" t="n">
        <v>0</v>
      </c>
      <c r="M657" t="n">
        <v>0</v>
      </c>
      <c r="N657" t="n">
        <v>0</v>
      </c>
      <c r="O657" t="n">
        <v>0</v>
      </c>
      <c r="P657" t="n">
        <v>0</v>
      </c>
      <c r="Q657" t="n">
        <v>0</v>
      </c>
      <c r="R657" s="2" t="inlineStr"/>
    </row>
    <row r="658" ht="15" customHeight="1">
      <c r="A658" t="inlineStr">
        <is>
          <t>A 36259-2022</t>
        </is>
      </c>
      <c r="B658" s="1" t="n">
        <v>44803</v>
      </c>
      <c r="C658" s="1" t="n">
        <v>45569</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36268-2022</t>
        </is>
      </c>
      <c r="B659" s="1" t="n">
        <v>44803</v>
      </c>
      <c r="C659" s="1" t="n">
        <v>45569</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36320-2022</t>
        </is>
      </c>
      <c r="B660" s="1" t="n">
        <v>44803</v>
      </c>
      <c r="C660" s="1" t="n">
        <v>45569</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39225-2022</t>
        </is>
      </c>
      <c r="B661" s="1" t="n">
        <v>44817</v>
      </c>
      <c r="C661" s="1" t="n">
        <v>45569</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39042-2022</t>
        </is>
      </c>
      <c r="B662" s="1" t="n">
        <v>44817</v>
      </c>
      <c r="C662" s="1" t="n">
        <v>45569</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39959-2022</t>
        </is>
      </c>
      <c r="B663" s="1" t="n">
        <v>44819</v>
      </c>
      <c r="C663" s="1" t="n">
        <v>45569</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40095-2022</t>
        </is>
      </c>
      <c r="B664" s="1" t="n">
        <v>44820</v>
      </c>
      <c r="C664" s="1" t="n">
        <v>45569</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40026-2022</t>
        </is>
      </c>
      <c r="B665" s="1" t="n">
        <v>44820</v>
      </c>
      <c r="C665" s="1" t="n">
        <v>45569</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40916-2022</t>
        </is>
      </c>
      <c r="B666" s="1" t="n">
        <v>44820</v>
      </c>
      <c r="C666" s="1" t="n">
        <v>45569</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40472-2022</t>
        </is>
      </c>
      <c r="B667" s="1" t="n">
        <v>44823</v>
      </c>
      <c r="C667" s="1" t="n">
        <v>45569</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40728-2022</t>
        </is>
      </c>
      <c r="B668" s="1" t="n">
        <v>44824</v>
      </c>
      <c r="C668" s="1" t="n">
        <v>45569</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41056-2022</t>
        </is>
      </c>
      <c r="B669" s="1" t="n">
        <v>44824</v>
      </c>
      <c r="C669" s="1" t="n">
        <v>45569</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40929-2022</t>
        </is>
      </c>
      <c r="B670" s="1" t="n">
        <v>44825</v>
      </c>
      <c r="C670" s="1" t="n">
        <v>45569</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40927-2022</t>
        </is>
      </c>
      <c r="B671" s="1" t="n">
        <v>44825</v>
      </c>
      <c r="C671" s="1" t="n">
        <v>45569</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41424-2022</t>
        </is>
      </c>
      <c r="B672" s="1" t="n">
        <v>44826</v>
      </c>
      <c r="C672" s="1" t="n">
        <v>45569</v>
      </c>
      <c r="D672" t="inlineStr">
        <is>
          <t>KALMAR LÄN</t>
        </is>
      </c>
      <c r="E672" t="inlineStr">
        <is>
          <t>VIMMERBY</t>
        </is>
      </c>
      <c r="G672" t="n">
        <v>4.8</v>
      </c>
      <c r="H672" t="n">
        <v>0</v>
      </c>
      <c r="I672" t="n">
        <v>0</v>
      </c>
      <c r="J672" t="n">
        <v>0</v>
      </c>
      <c r="K672" t="n">
        <v>0</v>
      </c>
      <c r="L672" t="n">
        <v>0</v>
      </c>
      <c r="M672" t="n">
        <v>0</v>
      </c>
      <c r="N672" t="n">
        <v>0</v>
      </c>
      <c r="O672" t="n">
        <v>0</v>
      </c>
      <c r="P672" t="n">
        <v>0</v>
      </c>
      <c r="Q672" t="n">
        <v>0</v>
      </c>
      <c r="R672" s="2" t="inlineStr"/>
    </row>
    <row r="673" ht="15" customHeight="1">
      <c r="A673" t="inlineStr">
        <is>
          <t>A 41438-2022</t>
        </is>
      </c>
      <c r="B673" s="1" t="n">
        <v>44826</v>
      </c>
      <c r="C673" s="1" t="n">
        <v>45569</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42850-2022</t>
        </is>
      </c>
      <c r="B674" s="1" t="n">
        <v>44832</v>
      </c>
      <c r="C674" s="1" t="n">
        <v>45569</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43038-2022</t>
        </is>
      </c>
      <c r="B675" s="1" t="n">
        <v>44833</v>
      </c>
      <c r="C675" s="1" t="n">
        <v>45569</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43272-2022</t>
        </is>
      </c>
      <c r="B676" s="1" t="n">
        <v>44834</v>
      </c>
      <c r="C676" s="1" t="n">
        <v>45569</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43553-2022</t>
        </is>
      </c>
      <c r="B677" s="1" t="n">
        <v>44837</v>
      </c>
      <c r="C677" s="1" t="n">
        <v>45569</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v>
      </c>
      <c r="C678" s="1" t="n">
        <v>45569</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44654-2022</t>
        </is>
      </c>
      <c r="B679" s="1" t="n">
        <v>44840</v>
      </c>
      <c r="C679" s="1" t="n">
        <v>45569</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44651-2022</t>
        </is>
      </c>
      <c r="B680" s="1" t="n">
        <v>44840</v>
      </c>
      <c r="C680" s="1" t="n">
        <v>45569</v>
      </c>
      <c r="D680" t="inlineStr">
        <is>
          <t>KALMAR LÄN</t>
        </is>
      </c>
      <c r="E680" t="inlineStr">
        <is>
          <t>VIMMERBY</t>
        </is>
      </c>
      <c r="G680" t="n">
        <v>5.3</v>
      </c>
      <c r="H680" t="n">
        <v>0</v>
      </c>
      <c r="I680" t="n">
        <v>0</v>
      </c>
      <c r="J680" t="n">
        <v>0</v>
      </c>
      <c r="K680" t="n">
        <v>0</v>
      </c>
      <c r="L680" t="n">
        <v>0</v>
      </c>
      <c r="M680" t="n">
        <v>0</v>
      </c>
      <c r="N680" t="n">
        <v>0</v>
      </c>
      <c r="O680" t="n">
        <v>0</v>
      </c>
      <c r="P680" t="n">
        <v>0</v>
      </c>
      <c r="Q680" t="n">
        <v>0</v>
      </c>
      <c r="R680" s="2" t="inlineStr"/>
    </row>
    <row r="681" ht="15" customHeight="1">
      <c r="A681" t="inlineStr">
        <is>
          <t>A 44656-2022</t>
        </is>
      </c>
      <c r="B681" s="1" t="n">
        <v>44840</v>
      </c>
      <c r="C681" s="1" t="n">
        <v>45569</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45861-2022</t>
        </is>
      </c>
      <c r="B682" s="1" t="n">
        <v>44846</v>
      </c>
      <c r="C682" s="1" t="n">
        <v>45569</v>
      </c>
      <c r="D682" t="inlineStr">
        <is>
          <t>KALMAR LÄN</t>
        </is>
      </c>
      <c r="E682" t="inlineStr">
        <is>
          <t>VIMMERBY</t>
        </is>
      </c>
      <c r="G682" t="n">
        <v>3.5</v>
      </c>
      <c r="H682" t="n">
        <v>0</v>
      </c>
      <c r="I682" t="n">
        <v>0</v>
      </c>
      <c r="J682" t="n">
        <v>0</v>
      </c>
      <c r="K682" t="n">
        <v>0</v>
      </c>
      <c r="L682" t="n">
        <v>0</v>
      </c>
      <c r="M682" t="n">
        <v>0</v>
      </c>
      <c r="N682" t="n">
        <v>0</v>
      </c>
      <c r="O682" t="n">
        <v>0</v>
      </c>
      <c r="P682" t="n">
        <v>0</v>
      </c>
      <c r="Q682" t="n">
        <v>0</v>
      </c>
      <c r="R682" s="2" t="inlineStr"/>
    </row>
    <row r="683" ht="15" customHeight="1">
      <c r="A683" t="inlineStr">
        <is>
          <t>A 45858-2022</t>
        </is>
      </c>
      <c r="B683" s="1" t="n">
        <v>44846</v>
      </c>
      <c r="C683" s="1" t="n">
        <v>45569</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46522-2022</t>
        </is>
      </c>
      <c r="B684" s="1" t="n">
        <v>44848</v>
      </c>
      <c r="C684" s="1" t="n">
        <v>45569</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46964-2022</t>
        </is>
      </c>
      <c r="B685" s="1" t="n">
        <v>44852</v>
      </c>
      <c r="C685" s="1" t="n">
        <v>45569</v>
      </c>
      <c r="D685" t="inlineStr">
        <is>
          <t>KALMAR LÄN</t>
        </is>
      </c>
      <c r="E685" t="inlineStr">
        <is>
          <t>VIMMERBY</t>
        </is>
      </c>
      <c r="G685" t="n">
        <v>0.2</v>
      </c>
      <c r="H685" t="n">
        <v>0</v>
      </c>
      <c r="I685" t="n">
        <v>0</v>
      </c>
      <c r="J685" t="n">
        <v>0</v>
      </c>
      <c r="K685" t="n">
        <v>0</v>
      </c>
      <c r="L685" t="n">
        <v>0</v>
      </c>
      <c r="M685" t="n">
        <v>0</v>
      </c>
      <c r="N685" t="n">
        <v>0</v>
      </c>
      <c r="O685" t="n">
        <v>0</v>
      </c>
      <c r="P685" t="n">
        <v>0</v>
      </c>
      <c r="Q685" t="n">
        <v>0</v>
      </c>
      <c r="R685" s="2" t="inlineStr"/>
    </row>
    <row r="686" ht="15" customHeight="1">
      <c r="A686" t="inlineStr">
        <is>
          <t>A 47214-2022</t>
        </is>
      </c>
      <c r="B686" s="1" t="n">
        <v>44852</v>
      </c>
      <c r="C686" s="1" t="n">
        <v>45569</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47063-2022</t>
        </is>
      </c>
      <c r="B687" s="1" t="n">
        <v>44852</v>
      </c>
      <c r="C687" s="1" t="n">
        <v>45569</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47708-2022</t>
        </is>
      </c>
      <c r="B688" s="1" t="n">
        <v>44854</v>
      </c>
      <c r="C688" s="1" t="n">
        <v>45569</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47769-2022</t>
        </is>
      </c>
      <c r="B689" s="1" t="n">
        <v>44854</v>
      </c>
      <c r="C689" s="1" t="n">
        <v>45569</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48120-2022</t>
        </is>
      </c>
      <c r="B690" s="1" t="n">
        <v>44857</v>
      </c>
      <c r="C690" s="1" t="n">
        <v>45569</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49313-2022</t>
        </is>
      </c>
      <c r="B691" s="1" t="n">
        <v>44861</v>
      </c>
      <c r="C691" s="1" t="n">
        <v>45569</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45569</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50809-2022</t>
        </is>
      </c>
      <c r="B693" s="1" t="n">
        <v>44862</v>
      </c>
      <c r="C693" s="1" t="n">
        <v>45569</v>
      </c>
      <c r="D693" t="inlineStr">
        <is>
          <t>KALMAR LÄN</t>
        </is>
      </c>
      <c r="E693" t="inlineStr">
        <is>
          <t>VIMMERBY</t>
        </is>
      </c>
      <c r="G693" t="n">
        <v>3.7</v>
      </c>
      <c r="H693" t="n">
        <v>0</v>
      </c>
      <c r="I693" t="n">
        <v>0</v>
      </c>
      <c r="J693" t="n">
        <v>0</v>
      </c>
      <c r="K693" t="n">
        <v>0</v>
      </c>
      <c r="L693" t="n">
        <v>0</v>
      </c>
      <c r="M693" t="n">
        <v>0</v>
      </c>
      <c r="N693" t="n">
        <v>0</v>
      </c>
      <c r="O693" t="n">
        <v>0</v>
      </c>
      <c r="P693" t="n">
        <v>0</v>
      </c>
      <c r="Q693" t="n">
        <v>0</v>
      </c>
      <c r="R693" s="2" t="inlineStr"/>
    </row>
    <row r="694" ht="15" customHeight="1">
      <c r="A694" t="inlineStr">
        <is>
          <t>A 50804-2022</t>
        </is>
      </c>
      <c r="B694" s="1" t="n">
        <v>44862</v>
      </c>
      <c r="C694" s="1" t="n">
        <v>45569</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50535-2022</t>
        </is>
      </c>
      <c r="B695" s="1" t="n">
        <v>44866</v>
      </c>
      <c r="C695" s="1" t="n">
        <v>45569</v>
      </c>
      <c r="D695" t="inlineStr">
        <is>
          <t>KALMAR LÄN</t>
        </is>
      </c>
      <c r="E695" t="inlineStr">
        <is>
          <t>VIMMERBY</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50621-2022</t>
        </is>
      </c>
      <c r="B696" s="1" t="n">
        <v>44866</v>
      </c>
      <c r="C696" s="1" t="n">
        <v>45569</v>
      </c>
      <c r="D696" t="inlineStr">
        <is>
          <t>KALMAR LÄN</t>
        </is>
      </c>
      <c r="E696" t="inlineStr">
        <is>
          <t>VIMMERBY</t>
        </is>
      </c>
      <c r="F696" t="inlineStr">
        <is>
          <t>Övriga Aktiebolag</t>
        </is>
      </c>
      <c r="G696" t="n">
        <v>5.1</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45569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50995-2022</t>
        </is>
      </c>
      <c r="B698" s="1" t="n">
        <v>44867</v>
      </c>
      <c r="C698" s="1" t="n">
        <v>45569</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50993-2022</t>
        </is>
      </c>
      <c r="B699" s="1" t="n">
        <v>44867</v>
      </c>
      <c r="C699" s="1" t="n">
        <v>45569</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52753-2022</t>
        </is>
      </c>
      <c r="B700" s="1" t="n">
        <v>44875</v>
      </c>
      <c r="C700" s="1" t="n">
        <v>45569</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52755-2022</t>
        </is>
      </c>
      <c r="B701" s="1" t="n">
        <v>44875</v>
      </c>
      <c r="C701" s="1" t="n">
        <v>45569</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53145-2022</t>
        </is>
      </c>
      <c r="B702" s="1" t="n">
        <v>44876</v>
      </c>
      <c r="C702" s="1" t="n">
        <v>45569</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53247-2022</t>
        </is>
      </c>
      <c r="B703" s="1" t="n">
        <v>44876</v>
      </c>
      <c r="C703" s="1" t="n">
        <v>45569</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53482-2022</t>
        </is>
      </c>
      <c r="B704" s="1" t="n">
        <v>44879</v>
      </c>
      <c r="C704" s="1" t="n">
        <v>45569</v>
      </c>
      <c r="D704" t="inlineStr">
        <is>
          <t>KALMAR LÄN</t>
        </is>
      </c>
      <c r="E704" t="inlineStr">
        <is>
          <t>VIMMERBY</t>
        </is>
      </c>
      <c r="G704" t="n">
        <v>10.1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v>
      </c>
      <c r="C705" s="1" t="n">
        <v>45569</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53483-2022</t>
        </is>
      </c>
      <c r="B706" s="1" t="n">
        <v>44879</v>
      </c>
      <c r="C706" s="1" t="n">
        <v>45569</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54020-2022</t>
        </is>
      </c>
      <c r="B707" s="1" t="n">
        <v>44881</v>
      </c>
      <c r="C707" s="1" t="n">
        <v>45569</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54749-2022</t>
        </is>
      </c>
      <c r="B708" s="1" t="n">
        <v>44883</v>
      </c>
      <c r="C708" s="1" t="n">
        <v>45569</v>
      </c>
      <c r="D708" t="inlineStr">
        <is>
          <t>KALMAR LÄN</t>
        </is>
      </c>
      <c r="E708" t="inlineStr">
        <is>
          <t>VIMMERBY</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54745-2022</t>
        </is>
      </c>
      <c r="B709" s="1" t="n">
        <v>44883</v>
      </c>
      <c r="C709" s="1" t="n">
        <v>45569</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54877-2022</t>
        </is>
      </c>
      <c r="B710" s="1" t="n">
        <v>44886</v>
      </c>
      <c r="C710" s="1" t="n">
        <v>45569</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55333-2022</t>
        </is>
      </c>
      <c r="B711" s="1" t="n">
        <v>44887</v>
      </c>
      <c r="C711" s="1" t="n">
        <v>45569</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57682-2022</t>
        </is>
      </c>
      <c r="B712" s="1" t="n">
        <v>44890</v>
      </c>
      <c r="C712" s="1" t="n">
        <v>45569</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45569</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56536-2022</t>
        </is>
      </c>
      <c r="B714" s="1" t="n">
        <v>44893</v>
      </c>
      <c r="C714" s="1" t="n">
        <v>45569</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v>
      </c>
      <c r="C715" s="1" t="n">
        <v>45569</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57091-2022</t>
        </is>
      </c>
      <c r="B716" s="1" t="n">
        <v>44895</v>
      </c>
      <c r="C716" s="1" t="n">
        <v>45569</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57189-2022</t>
        </is>
      </c>
      <c r="B717" s="1" t="n">
        <v>44895</v>
      </c>
      <c r="C717" s="1" t="n">
        <v>45569</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57190-2022</t>
        </is>
      </c>
      <c r="B718" s="1" t="n">
        <v>44895</v>
      </c>
      <c r="C718" s="1" t="n">
        <v>45569</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58967-2022</t>
        </is>
      </c>
      <c r="B719" s="1" t="n">
        <v>44896</v>
      </c>
      <c r="C719" s="1" t="n">
        <v>45569</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57799-2022</t>
        </is>
      </c>
      <c r="B720" s="1" t="n">
        <v>44897</v>
      </c>
      <c r="C720" s="1" t="n">
        <v>45569</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58046-2022</t>
        </is>
      </c>
      <c r="B721" s="1" t="n">
        <v>44900</v>
      </c>
      <c r="C721" s="1" t="n">
        <v>45569</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58750-2022</t>
        </is>
      </c>
      <c r="B722" s="1" t="n">
        <v>44903</v>
      </c>
      <c r="C722" s="1" t="n">
        <v>45569</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58962-2022</t>
        </is>
      </c>
      <c r="B723" s="1" t="n">
        <v>44903</v>
      </c>
      <c r="C723" s="1" t="n">
        <v>45569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45569</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60230-2022</t>
        </is>
      </c>
      <c r="B725" s="1" t="n">
        <v>44910</v>
      </c>
      <c r="C725" s="1" t="n">
        <v>45569</v>
      </c>
      <c r="D725" t="inlineStr">
        <is>
          <t>KALMAR LÄN</t>
        </is>
      </c>
      <c r="E725" t="inlineStr">
        <is>
          <t>VIMMERBY</t>
        </is>
      </c>
      <c r="G725" t="n">
        <v>11.3</v>
      </c>
      <c r="H725" t="n">
        <v>0</v>
      </c>
      <c r="I725" t="n">
        <v>0</v>
      </c>
      <c r="J725" t="n">
        <v>0</v>
      </c>
      <c r="K725" t="n">
        <v>0</v>
      </c>
      <c r="L725" t="n">
        <v>0</v>
      </c>
      <c r="M725" t="n">
        <v>0</v>
      </c>
      <c r="N725" t="n">
        <v>0</v>
      </c>
      <c r="O725" t="n">
        <v>0</v>
      </c>
      <c r="P725" t="n">
        <v>0</v>
      </c>
      <c r="Q725" t="n">
        <v>0</v>
      </c>
      <c r="R725" s="2" t="inlineStr"/>
    </row>
    <row r="726" ht="15" customHeight="1">
      <c r="A726" t="inlineStr">
        <is>
          <t>A 60215-2022</t>
        </is>
      </c>
      <c r="B726" s="1" t="n">
        <v>44910</v>
      </c>
      <c r="C726" s="1" t="n">
        <v>45569</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60292-2022</t>
        </is>
      </c>
      <c r="B727" s="1" t="n">
        <v>44910</v>
      </c>
      <c r="C727" s="1" t="n">
        <v>45569</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60339-2022</t>
        </is>
      </c>
      <c r="B728" s="1" t="n">
        <v>44910</v>
      </c>
      <c r="C728" s="1" t="n">
        <v>45569</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61538-2022</t>
        </is>
      </c>
      <c r="B729" s="1" t="n">
        <v>44916</v>
      </c>
      <c r="C729" s="1" t="n">
        <v>45569</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62075-2022</t>
        </is>
      </c>
      <c r="B730" s="1" t="n">
        <v>44918</v>
      </c>
      <c r="C730" s="1" t="n">
        <v>45569</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v>
      </c>
      <c r="C731" s="1" t="n">
        <v>45569</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89-2023</t>
        </is>
      </c>
      <c r="B732" s="1" t="n">
        <v>44918</v>
      </c>
      <c r="C732" s="1" t="n">
        <v>45569</v>
      </c>
      <c r="D732" t="inlineStr">
        <is>
          <t>KALMAR LÄN</t>
        </is>
      </c>
      <c r="E732" t="inlineStr">
        <is>
          <t>VIMMERBY</t>
        </is>
      </c>
      <c r="G732" t="n">
        <v>16.1</v>
      </c>
      <c r="H732" t="n">
        <v>0</v>
      </c>
      <c r="I732" t="n">
        <v>0</v>
      </c>
      <c r="J732" t="n">
        <v>0</v>
      </c>
      <c r="K732" t="n">
        <v>0</v>
      </c>
      <c r="L732" t="n">
        <v>0</v>
      </c>
      <c r="M732" t="n">
        <v>0</v>
      </c>
      <c r="N732" t="n">
        <v>0</v>
      </c>
      <c r="O732" t="n">
        <v>0</v>
      </c>
      <c r="P732" t="n">
        <v>0</v>
      </c>
      <c r="Q732" t="n">
        <v>0</v>
      </c>
      <c r="R732" s="2" t="inlineStr"/>
    </row>
    <row r="733" ht="15" customHeight="1">
      <c r="A733" t="inlineStr">
        <is>
          <t>A 346-2023</t>
        </is>
      </c>
      <c r="B733" s="1" t="n">
        <v>44929</v>
      </c>
      <c r="C733" s="1" t="n">
        <v>45569</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343-2023</t>
        </is>
      </c>
      <c r="B734" s="1" t="n">
        <v>44929</v>
      </c>
      <c r="C734" s="1" t="n">
        <v>45569</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502-2023</t>
        </is>
      </c>
      <c r="B735" s="1" t="n">
        <v>44930</v>
      </c>
      <c r="C735" s="1" t="n">
        <v>45569</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508-2023</t>
        </is>
      </c>
      <c r="B736" s="1" t="n">
        <v>44930</v>
      </c>
      <c r="C736" s="1" t="n">
        <v>45569</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845-2023</t>
        </is>
      </c>
      <c r="B737" s="1" t="n">
        <v>44931</v>
      </c>
      <c r="C737" s="1" t="n">
        <v>45569</v>
      </c>
      <c r="D737" t="inlineStr">
        <is>
          <t>KALMAR LÄN</t>
        </is>
      </c>
      <c r="E737" t="inlineStr">
        <is>
          <t>VIMMERBY</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1086-2023</t>
        </is>
      </c>
      <c r="B738" s="1" t="n">
        <v>44935</v>
      </c>
      <c r="C738" s="1" t="n">
        <v>45569</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1081-2023</t>
        </is>
      </c>
      <c r="B739" s="1" t="n">
        <v>44935</v>
      </c>
      <c r="C739" s="1" t="n">
        <v>45569</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1687-2023</t>
        </is>
      </c>
      <c r="B740" s="1" t="n">
        <v>44938</v>
      </c>
      <c r="C740" s="1" t="n">
        <v>45569</v>
      </c>
      <c r="D740" t="inlineStr">
        <is>
          <t>KALMAR LÄN</t>
        </is>
      </c>
      <c r="E740" t="inlineStr">
        <is>
          <t>VIMMERBY</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1667-2023</t>
        </is>
      </c>
      <c r="B741" s="1" t="n">
        <v>44938</v>
      </c>
      <c r="C741" s="1" t="n">
        <v>45569</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1955-2023</t>
        </is>
      </c>
      <c r="B742" s="1" t="n">
        <v>44939</v>
      </c>
      <c r="C742" s="1" t="n">
        <v>45569</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2510-2023</t>
        </is>
      </c>
      <c r="B743" s="1" t="n">
        <v>44943</v>
      </c>
      <c r="C743" s="1" t="n">
        <v>45569</v>
      </c>
      <c r="D743" t="inlineStr">
        <is>
          <t>KALMAR LÄN</t>
        </is>
      </c>
      <c r="E743" t="inlineStr">
        <is>
          <t>VIMMERBY</t>
        </is>
      </c>
      <c r="G743" t="n">
        <v>8.6</v>
      </c>
      <c r="H743" t="n">
        <v>0</v>
      </c>
      <c r="I743" t="n">
        <v>0</v>
      </c>
      <c r="J743" t="n">
        <v>0</v>
      </c>
      <c r="K743" t="n">
        <v>0</v>
      </c>
      <c r="L743" t="n">
        <v>0</v>
      </c>
      <c r="M743" t="n">
        <v>0</v>
      </c>
      <c r="N743" t="n">
        <v>0</v>
      </c>
      <c r="O743" t="n">
        <v>0</v>
      </c>
      <c r="P743" t="n">
        <v>0</v>
      </c>
      <c r="Q743" t="n">
        <v>0</v>
      </c>
      <c r="R743" s="2" t="inlineStr"/>
    </row>
    <row r="744" ht="15" customHeight="1">
      <c r="A744" t="inlineStr">
        <is>
          <t>A 2536-2023</t>
        </is>
      </c>
      <c r="B744" s="1" t="n">
        <v>44943</v>
      </c>
      <c r="C744" s="1" t="n">
        <v>45569</v>
      </c>
      <c r="D744" t="inlineStr">
        <is>
          <t>KALMAR LÄN</t>
        </is>
      </c>
      <c r="E744" t="inlineStr">
        <is>
          <t>VIMMERBY</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v>
      </c>
      <c r="C745" s="1" t="n">
        <v>45569</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2797-2023</t>
        </is>
      </c>
      <c r="B746" s="1" t="n">
        <v>44944</v>
      </c>
      <c r="C746" s="1" t="n">
        <v>45569</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2801-2023</t>
        </is>
      </c>
      <c r="B747" s="1" t="n">
        <v>44944</v>
      </c>
      <c r="C747" s="1" t="n">
        <v>45569</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3331-2023</t>
        </is>
      </c>
      <c r="B748" s="1" t="n">
        <v>44949</v>
      </c>
      <c r="C748" s="1" t="n">
        <v>45569</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3494-2023</t>
        </is>
      </c>
      <c r="B749" s="1" t="n">
        <v>44949</v>
      </c>
      <c r="C749" s="1" t="n">
        <v>45569</v>
      </c>
      <c r="D749" t="inlineStr">
        <is>
          <t>KALMAR LÄN</t>
        </is>
      </c>
      <c r="E749" t="inlineStr">
        <is>
          <t>VIMMERBY</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3587-2023</t>
        </is>
      </c>
      <c r="B750" s="1" t="n">
        <v>44950</v>
      </c>
      <c r="C750" s="1" t="n">
        <v>45569</v>
      </c>
      <c r="D750" t="inlineStr">
        <is>
          <t>KALMAR LÄN</t>
        </is>
      </c>
      <c r="E750" t="inlineStr">
        <is>
          <t>VIMMERBY</t>
        </is>
      </c>
      <c r="G750" t="n">
        <v>6.9</v>
      </c>
      <c r="H750" t="n">
        <v>0</v>
      </c>
      <c r="I750" t="n">
        <v>0</v>
      </c>
      <c r="J750" t="n">
        <v>0</v>
      </c>
      <c r="K750" t="n">
        <v>0</v>
      </c>
      <c r="L750" t="n">
        <v>0</v>
      </c>
      <c r="M750" t="n">
        <v>0</v>
      </c>
      <c r="N750" t="n">
        <v>0</v>
      </c>
      <c r="O750" t="n">
        <v>0</v>
      </c>
      <c r="P750" t="n">
        <v>0</v>
      </c>
      <c r="Q750" t="n">
        <v>0</v>
      </c>
      <c r="R750" s="2" t="inlineStr"/>
    </row>
    <row r="751" ht="15" customHeight="1">
      <c r="A751" t="inlineStr">
        <is>
          <t>A 3938-2023</t>
        </is>
      </c>
      <c r="B751" s="1" t="n">
        <v>44952</v>
      </c>
      <c r="C751" s="1" t="n">
        <v>45569</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3924-2023</t>
        </is>
      </c>
      <c r="B752" s="1" t="n">
        <v>44952</v>
      </c>
      <c r="C752" s="1" t="n">
        <v>45569</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4527-2023</t>
        </is>
      </c>
      <c r="B753" s="1" t="n">
        <v>44956</v>
      </c>
      <c r="C753" s="1" t="n">
        <v>45569</v>
      </c>
      <c r="D753" t="inlineStr">
        <is>
          <t>KALMAR LÄN</t>
        </is>
      </c>
      <c r="E753" t="inlineStr">
        <is>
          <t>VIMMERBY</t>
        </is>
      </c>
      <c r="F753" t="inlineStr">
        <is>
          <t>Kommuner</t>
        </is>
      </c>
      <c r="G753" t="n">
        <v>8.5</v>
      </c>
      <c r="H753" t="n">
        <v>0</v>
      </c>
      <c r="I753" t="n">
        <v>0</v>
      </c>
      <c r="J753" t="n">
        <v>0</v>
      </c>
      <c r="K753" t="n">
        <v>0</v>
      </c>
      <c r="L753" t="n">
        <v>0</v>
      </c>
      <c r="M753" t="n">
        <v>0</v>
      </c>
      <c r="N753" t="n">
        <v>0</v>
      </c>
      <c r="O753" t="n">
        <v>0</v>
      </c>
      <c r="P753" t="n">
        <v>0</v>
      </c>
      <c r="Q753" t="n">
        <v>0</v>
      </c>
      <c r="R753" s="2" t="inlineStr"/>
    </row>
    <row r="754" ht="15" customHeight="1">
      <c r="A754" t="inlineStr">
        <is>
          <t>A 5074-2023</t>
        </is>
      </c>
      <c r="B754" s="1" t="n">
        <v>44958</v>
      </c>
      <c r="C754" s="1" t="n">
        <v>45569</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5342-2023</t>
        </is>
      </c>
      <c r="B755" s="1" t="n">
        <v>44959</v>
      </c>
      <c r="C755" s="1" t="n">
        <v>45569</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5382-2023</t>
        </is>
      </c>
      <c r="B756" s="1" t="n">
        <v>44959</v>
      </c>
      <c r="C756" s="1" t="n">
        <v>45569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5720-2023</t>
        </is>
      </c>
      <c r="B757" s="1" t="n">
        <v>44961</v>
      </c>
      <c r="C757" s="1" t="n">
        <v>45569</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5792-2023</t>
        </is>
      </c>
      <c r="B758" s="1" t="n">
        <v>44963</v>
      </c>
      <c r="C758" s="1" t="n">
        <v>45569</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6028-2023</t>
        </is>
      </c>
      <c r="B759" s="1" t="n">
        <v>44964</v>
      </c>
      <c r="C759" s="1" t="n">
        <v>45569</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6066-2023</t>
        </is>
      </c>
      <c r="B760" s="1" t="n">
        <v>44964</v>
      </c>
      <c r="C760" s="1" t="n">
        <v>45569</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6017-2023</t>
        </is>
      </c>
      <c r="B761" s="1" t="n">
        <v>44964</v>
      </c>
      <c r="C761" s="1" t="n">
        <v>45569</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6368-2023</t>
        </is>
      </c>
      <c r="B762" s="1" t="n">
        <v>44965</v>
      </c>
      <c r="C762" s="1" t="n">
        <v>45569</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6321-2023</t>
        </is>
      </c>
      <c r="B763" s="1" t="n">
        <v>44965</v>
      </c>
      <c r="C763" s="1" t="n">
        <v>45569</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6660-2023</t>
        </is>
      </c>
      <c r="B764" s="1" t="n">
        <v>44966</v>
      </c>
      <c r="C764" s="1" t="n">
        <v>45569</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45569</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6662-2023</t>
        </is>
      </c>
      <c r="B766" s="1" t="n">
        <v>44966</v>
      </c>
      <c r="C766" s="1" t="n">
        <v>45569</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6668-2023</t>
        </is>
      </c>
      <c r="B767" s="1" t="n">
        <v>44966</v>
      </c>
      <c r="C767" s="1" t="n">
        <v>45569</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6538-2023</t>
        </is>
      </c>
      <c r="B768" s="1" t="n">
        <v>44966</v>
      </c>
      <c r="C768" s="1" t="n">
        <v>45569</v>
      </c>
      <c r="D768" t="inlineStr">
        <is>
          <t>KALMAR LÄN</t>
        </is>
      </c>
      <c r="E768" t="inlineStr">
        <is>
          <t>VIMMERBY</t>
        </is>
      </c>
      <c r="G768" t="n">
        <v>4.5</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v>
      </c>
      <c r="C769" s="1" t="n">
        <v>45569</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6850-2023</t>
        </is>
      </c>
      <c r="B770" s="1" t="n">
        <v>44967</v>
      </c>
      <c r="C770" s="1" t="n">
        <v>45569</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7454-2023</t>
        </is>
      </c>
      <c r="B771" s="1" t="n">
        <v>44971</v>
      </c>
      <c r="C771" s="1" t="n">
        <v>45569</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7557-2023</t>
        </is>
      </c>
      <c r="B772" s="1" t="n">
        <v>44972</v>
      </c>
      <c r="C772" s="1" t="n">
        <v>45569</v>
      </c>
      <c r="D772" t="inlineStr">
        <is>
          <t>KALMAR LÄN</t>
        </is>
      </c>
      <c r="E772" t="inlineStr">
        <is>
          <t>VIMMERBY</t>
        </is>
      </c>
      <c r="G772" t="n">
        <v>4.6</v>
      </c>
      <c r="H772" t="n">
        <v>0</v>
      </c>
      <c r="I772" t="n">
        <v>0</v>
      </c>
      <c r="J772" t="n">
        <v>0</v>
      </c>
      <c r="K772" t="n">
        <v>0</v>
      </c>
      <c r="L772" t="n">
        <v>0</v>
      </c>
      <c r="M772" t="n">
        <v>0</v>
      </c>
      <c r="N772" t="n">
        <v>0</v>
      </c>
      <c r="O772" t="n">
        <v>0</v>
      </c>
      <c r="P772" t="n">
        <v>0</v>
      </c>
      <c r="Q772" t="n">
        <v>0</v>
      </c>
      <c r="R772" s="2" t="inlineStr"/>
    </row>
    <row r="773" ht="15" customHeight="1">
      <c r="A773" t="inlineStr">
        <is>
          <t>A 7594-2023</t>
        </is>
      </c>
      <c r="B773" s="1" t="n">
        <v>44972</v>
      </c>
      <c r="C773" s="1" t="n">
        <v>45569</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7797-2023</t>
        </is>
      </c>
      <c r="B774" s="1" t="n">
        <v>44973</v>
      </c>
      <c r="C774" s="1" t="n">
        <v>45569</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7883-2023</t>
        </is>
      </c>
      <c r="B775" s="1" t="n">
        <v>44973</v>
      </c>
      <c r="C775" s="1" t="n">
        <v>45569</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7885-2023</t>
        </is>
      </c>
      <c r="B776" s="1" t="n">
        <v>44973</v>
      </c>
      <c r="C776" s="1" t="n">
        <v>45569</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8219-2023</t>
        </is>
      </c>
      <c r="B777" s="1" t="n">
        <v>44974</v>
      </c>
      <c r="C777" s="1" t="n">
        <v>45569</v>
      </c>
      <c r="D777" t="inlineStr">
        <is>
          <t>KALMAR LÄN</t>
        </is>
      </c>
      <c r="E777" t="inlineStr">
        <is>
          <t>VIMMERBY</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8410-2023</t>
        </is>
      </c>
      <c r="B778" s="1" t="n">
        <v>44977</v>
      </c>
      <c r="C778" s="1" t="n">
        <v>45569</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9024-2023</t>
        </is>
      </c>
      <c r="B779" s="1" t="n">
        <v>44979</v>
      </c>
      <c r="C779" s="1" t="n">
        <v>45569</v>
      </c>
      <c r="D779" t="inlineStr">
        <is>
          <t>KALMAR LÄN</t>
        </is>
      </c>
      <c r="E779" t="inlineStr">
        <is>
          <t>VIMMERBY</t>
        </is>
      </c>
      <c r="G779" t="n">
        <v>5.2</v>
      </c>
      <c r="H779" t="n">
        <v>0</v>
      </c>
      <c r="I779" t="n">
        <v>0</v>
      </c>
      <c r="J779" t="n">
        <v>0</v>
      </c>
      <c r="K779" t="n">
        <v>0</v>
      </c>
      <c r="L779" t="n">
        <v>0</v>
      </c>
      <c r="M779" t="n">
        <v>0</v>
      </c>
      <c r="N779" t="n">
        <v>0</v>
      </c>
      <c r="O779" t="n">
        <v>0</v>
      </c>
      <c r="P779" t="n">
        <v>0</v>
      </c>
      <c r="Q779" t="n">
        <v>0</v>
      </c>
      <c r="R779" s="2" t="inlineStr"/>
    </row>
    <row r="780" ht="15" customHeight="1">
      <c r="A780" t="inlineStr">
        <is>
          <t>A 9113-2023</t>
        </is>
      </c>
      <c r="B780" s="1" t="n">
        <v>44979</v>
      </c>
      <c r="C780" s="1" t="n">
        <v>45569</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9475-2023</t>
        </is>
      </c>
      <c r="B781" s="1" t="n">
        <v>44981</v>
      </c>
      <c r="C781" s="1" t="n">
        <v>45569</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9511-2023</t>
        </is>
      </c>
      <c r="B782" s="1" t="n">
        <v>44981</v>
      </c>
      <c r="C782" s="1" t="n">
        <v>45569</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9644-2023</t>
        </is>
      </c>
      <c r="B783" s="1" t="n">
        <v>44984</v>
      </c>
      <c r="C783" s="1" t="n">
        <v>45569</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v>
      </c>
      <c r="C784" s="1" t="n">
        <v>45569</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45569</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9720-2023</t>
        </is>
      </c>
      <c r="B786" s="1" t="n">
        <v>44984</v>
      </c>
      <c r="C786" s="1" t="n">
        <v>45569</v>
      </c>
      <c r="D786" t="inlineStr">
        <is>
          <t>KALMAR LÄN</t>
        </is>
      </c>
      <c r="E786" t="inlineStr">
        <is>
          <t>VIMMERBY</t>
        </is>
      </c>
      <c r="G786" t="n">
        <v>4.4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45569</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10444-2023</t>
        </is>
      </c>
      <c r="B788" s="1" t="n">
        <v>44987</v>
      </c>
      <c r="C788" s="1" t="n">
        <v>45569</v>
      </c>
      <c r="D788" t="inlineStr">
        <is>
          <t>KALMAR LÄN</t>
        </is>
      </c>
      <c r="E788" t="inlineStr">
        <is>
          <t>VIMMERBY</t>
        </is>
      </c>
      <c r="G788" t="n">
        <v>7.4</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v>
      </c>
      <c r="C789" s="1" t="n">
        <v>45569</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10439-2023</t>
        </is>
      </c>
      <c r="B790" s="1" t="n">
        <v>44987</v>
      </c>
      <c r="C790" s="1" t="n">
        <v>45569</v>
      </c>
      <c r="D790" t="inlineStr">
        <is>
          <t>KALMAR LÄN</t>
        </is>
      </c>
      <c r="E790" t="inlineStr">
        <is>
          <t>VIMMERBY</t>
        </is>
      </c>
      <c r="G790" t="n">
        <v>2.9</v>
      </c>
      <c r="H790" t="n">
        <v>0</v>
      </c>
      <c r="I790" t="n">
        <v>0</v>
      </c>
      <c r="J790" t="n">
        <v>0</v>
      </c>
      <c r="K790" t="n">
        <v>0</v>
      </c>
      <c r="L790" t="n">
        <v>0</v>
      </c>
      <c r="M790" t="n">
        <v>0</v>
      </c>
      <c r="N790" t="n">
        <v>0</v>
      </c>
      <c r="O790" t="n">
        <v>0</v>
      </c>
      <c r="P790" t="n">
        <v>0</v>
      </c>
      <c r="Q790" t="n">
        <v>0</v>
      </c>
      <c r="R790" s="2" t="inlineStr"/>
    </row>
    <row r="791" ht="15" customHeight="1">
      <c r="A791" t="inlineStr">
        <is>
          <t>A 10759-2023</t>
        </is>
      </c>
      <c r="B791" s="1" t="n">
        <v>44988</v>
      </c>
      <c r="C791" s="1" t="n">
        <v>45569</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10800-2023</t>
        </is>
      </c>
      <c r="B792" s="1" t="n">
        <v>44989</v>
      </c>
      <c r="C792" s="1" t="n">
        <v>45569</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10821-2023</t>
        </is>
      </c>
      <c r="B793" s="1" t="n">
        <v>44990</v>
      </c>
      <c r="C793" s="1" t="n">
        <v>45569</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10837-2023</t>
        </is>
      </c>
      <c r="B794" s="1" t="n">
        <v>44991</v>
      </c>
      <c r="C794" s="1" t="n">
        <v>45569</v>
      </c>
      <c r="D794" t="inlineStr">
        <is>
          <t>KALMAR LÄN</t>
        </is>
      </c>
      <c r="E794" t="inlineStr">
        <is>
          <t>VIMMERBY</t>
        </is>
      </c>
      <c r="G794" t="n">
        <v>7.3</v>
      </c>
      <c r="H794" t="n">
        <v>0</v>
      </c>
      <c r="I794" t="n">
        <v>0</v>
      </c>
      <c r="J794" t="n">
        <v>0</v>
      </c>
      <c r="K794" t="n">
        <v>0</v>
      </c>
      <c r="L794" t="n">
        <v>0</v>
      </c>
      <c r="M794" t="n">
        <v>0</v>
      </c>
      <c r="N794" t="n">
        <v>0</v>
      </c>
      <c r="O794" t="n">
        <v>0</v>
      </c>
      <c r="P794" t="n">
        <v>0</v>
      </c>
      <c r="Q794" t="n">
        <v>0</v>
      </c>
      <c r="R794" s="2" t="inlineStr"/>
    </row>
    <row r="795" ht="15" customHeight="1">
      <c r="A795" t="inlineStr">
        <is>
          <t>A 10835-2023</t>
        </is>
      </c>
      <c r="B795" s="1" t="n">
        <v>44991</v>
      </c>
      <c r="C795" s="1" t="n">
        <v>45569</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10838-2023</t>
        </is>
      </c>
      <c r="B796" s="1" t="n">
        <v>44991</v>
      </c>
      <c r="C796" s="1" t="n">
        <v>45569</v>
      </c>
      <c r="D796" t="inlineStr">
        <is>
          <t>KALMAR LÄN</t>
        </is>
      </c>
      <c r="E796" t="inlineStr">
        <is>
          <t>VIMMERBY</t>
        </is>
      </c>
      <c r="G796" t="n">
        <v>5.1</v>
      </c>
      <c r="H796" t="n">
        <v>0</v>
      </c>
      <c r="I796" t="n">
        <v>0</v>
      </c>
      <c r="J796" t="n">
        <v>0</v>
      </c>
      <c r="K796" t="n">
        <v>0</v>
      </c>
      <c r="L796" t="n">
        <v>0</v>
      </c>
      <c r="M796" t="n">
        <v>0</v>
      </c>
      <c r="N796" t="n">
        <v>0</v>
      </c>
      <c r="O796" t="n">
        <v>0</v>
      </c>
      <c r="P796" t="n">
        <v>0</v>
      </c>
      <c r="Q796" t="n">
        <v>0</v>
      </c>
      <c r="R796" s="2" t="inlineStr"/>
    </row>
    <row r="797" ht="15" customHeight="1">
      <c r="A797" t="inlineStr">
        <is>
          <t>A 11027-2023</t>
        </is>
      </c>
      <c r="B797" s="1" t="n">
        <v>44991</v>
      </c>
      <c r="C797" s="1" t="n">
        <v>45569</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11076-2023</t>
        </is>
      </c>
      <c r="B798" s="1" t="n">
        <v>44992</v>
      </c>
      <c r="C798" s="1" t="n">
        <v>45569</v>
      </c>
      <c r="D798" t="inlineStr">
        <is>
          <t>KALMAR LÄN</t>
        </is>
      </c>
      <c r="E798" t="inlineStr">
        <is>
          <t>VIMMERBY</t>
        </is>
      </c>
      <c r="G798" t="n">
        <v>6.1</v>
      </c>
      <c r="H798" t="n">
        <v>0</v>
      </c>
      <c r="I798" t="n">
        <v>0</v>
      </c>
      <c r="J798" t="n">
        <v>0</v>
      </c>
      <c r="K798" t="n">
        <v>0</v>
      </c>
      <c r="L798" t="n">
        <v>0</v>
      </c>
      <c r="M798" t="n">
        <v>0</v>
      </c>
      <c r="N798" t="n">
        <v>0</v>
      </c>
      <c r="O798" t="n">
        <v>0</v>
      </c>
      <c r="P798" t="n">
        <v>0</v>
      </c>
      <c r="Q798" t="n">
        <v>0</v>
      </c>
      <c r="R798" s="2" t="inlineStr"/>
    </row>
    <row r="799" ht="15" customHeight="1">
      <c r="A799" t="inlineStr">
        <is>
          <t>A 11073-2023</t>
        </is>
      </c>
      <c r="B799" s="1" t="n">
        <v>44992</v>
      </c>
      <c r="C799" s="1" t="n">
        <v>45569</v>
      </c>
      <c r="D799" t="inlineStr">
        <is>
          <t>KALMAR LÄN</t>
        </is>
      </c>
      <c r="E799" t="inlineStr">
        <is>
          <t>VIMMERBY</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11147-2023</t>
        </is>
      </c>
      <c r="B800" s="1" t="n">
        <v>44992</v>
      </c>
      <c r="C800" s="1" t="n">
        <v>45569</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11111-2023</t>
        </is>
      </c>
      <c r="B801" s="1" t="n">
        <v>44992</v>
      </c>
      <c r="C801" s="1" t="n">
        <v>45569</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11152-2023</t>
        </is>
      </c>
      <c r="B802" s="1" t="n">
        <v>44992</v>
      </c>
      <c r="C802" s="1" t="n">
        <v>45569</v>
      </c>
      <c r="D802" t="inlineStr">
        <is>
          <t>KALMAR LÄN</t>
        </is>
      </c>
      <c r="E802" t="inlineStr">
        <is>
          <t>VIMMERBY</t>
        </is>
      </c>
      <c r="G802" t="n">
        <v>10.6</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v>
      </c>
      <c r="C803" s="1" t="n">
        <v>45569</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11219-2023</t>
        </is>
      </c>
      <c r="B804" s="1" t="n">
        <v>44992</v>
      </c>
      <c r="C804" s="1" t="n">
        <v>45569</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11416-2023</t>
        </is>
      </c>
      <c r="B805" s="1" t="n">
        <v>44993</v>
      </c>
      <c r="C805" s="1" t="n">
        <v>45569</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11619-2023</t>
        </is>
      </c>
      <c r="B806" s="1" t="n">
        <v>44994</v>
      </c>
      <c r="C806" s="1" t="n">
        <v>45569</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11609-2023</t>
        </is>
      </c>
      <c r="B807" s="1" t="n">
        <v>44994</v>
      </c>
      <c r="C807" s="1" t="n">
        <v>45569</v>
      </c>
      <c r="D807" t="inlineStr">
        <is>
          <t>KALMAR LÄN</t>
        </is>
      </c>
      <c r="E807" t="inlineStr">
        <is>
          <t>VIMMERBY</t>
        </is>
      </c>
      <c r="G807" t="n">
        <v>4.9</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v>
      </c>
      <c r="C808" s="1" t="n">
        <v>45569</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12008-2023</t>
        </is>
      </c>
      <c r="B809" s="1" t="n">
        <v>44995</v>
      </c>
      <c r="C809" s="1" t="n">
        <v>45569</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11999-2023</t>
        </is>
      </c>
      <c r="B810" s="1" t="n">
        <v>44995</v>
      </c>
      <c r="C810" s="1" t="n">
        <v>45569</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12012-2023</t>
        </is>
      </c>
      <c r="B811" s="1" t="n">
        <v>44995</v>
      </c>
      <c r="C811" s="1" t="n">
        <v>45569</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12010-2023</t>
        </is>
      </c>
      <c r="B812" s="1" t="n">
        <v>44995</v>
      </c>
      <c r="C812" s="1" t="n">
        <v>45569</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12325-2023</t>
        </is>
      </c>
      <c r="B813" s="1" t="n">
        <v>44999</v>
      </c>
      <c r="C813" s="1" t="n">
        <v>45569</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12327-2023</t>
        </is>
      </c>
      <c r="B814" s="1" t="n">
        <v>44999</v>
      </c>
      <c r="C814" s="1" t="n">
        <v>45569</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12499-2023</t>
        </is>
      </c>
      <c r="B815" s="1" t="n">
        <v>44999</v>
      </c>
      <c r="C815" s="1" t="n">
        <v>45569</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12500-2023</t>
        </is>
      </c>
      <c r="B816" s="1" t="n">
        <v>44999</v>
      </c>
      <c r="C816" s="1" t="n">
        <v>45569</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12630-2023</t>
        </is>
      </c>
      <c r="B817" s="1" t="n">
        <v>45000</v>
      </c>
      <c r="C817" s="1" t="n">
        <v>45569</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12692-2023</t>
        </is>
      </c>
      <c r="B818" s="1" t="n">
        <v>45000</v>
      </c>
      <c r="C818" s="1" t="n">
        <v>45569</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12810-2023</t>
        </is>
      </c>
      <c r="B819" s="1" t="n">
        <v>45001</v>
      </c>
      <c r="C819" s="1" t="n">
        <v>45569</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12890-2023</t>
        </is>
      </c>
      <c r="B820" s="1" t="n">
        <v>45001</v>
      </c>
      <c r="C820" s="1" t="n">
        <v>45569</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13015-2023</t>
        </is>
      </c>
      <c r="B821" s="1" t="n">
        <v>45002</v>
      </c>
      <c r="C821" s="1" t="n">
        <v>45569</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13462-2023</t>
        </is>
      </c>
      <c r="B822" s="1" t="n">
        <v>45005</v>
      </c>
      <c r="C822" s="1" t="n">
        <v>45569</v>
      </c>
      <c r="D822" t="inlineStr">
        <is>
          <t>KALMAR LÄN</t>
        </is>
      </c>
      <c r="E822" t="inlineStr">
        <is>
          <t>VIMMERBY</t>
        </is>
      </c>
      <c r="G822" t="n">
        <v>1.9</v>
      </c>
      <c r="H822" t="n">
        <v>0</v>
      </c>
      <c r="I822" t="n">
        <v>0</v>
      </c>
      <c r="J822" t="n">
        <v>0</v>
      </c>
      <c r="K822" t="n">
        <v>0</v>
      </c>
      <c r="L822" t="n">
        <v>0</v>
      </c>
      <c r="M822" t="n">
        <v>0</v>
      </c>
      <c r="N822" t="n">
        <v>0</v>
      </c>
      <c r="O822" t="n">
        <v>0</v>
      </c>
      <c r="P822" t="n">
        <v>0</v>
      </c>
      <c r="Q822" t="n">
        <v>0</v>
      </c>
      <c r="R822" s="2" t="inlineStr"/>
    </row>
    <row r="823" ht="15" customHeight="1">
      <c r="A823" t="inlineStr">
        <is>
          <t>A 13797-2023</t>
        </is>
      </c>
      <c r="B823" s="1" t="n">
        <v>45007</v>
      </c>
      <c r="C823" s="1" t="n">
        <v>45569</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14025-2023</t>
        </is>
      </c>
      <c r="B824" s="1" t="n">
        <v>45008</v>
      </c>
      <c r="C824" s="1" t="n">
        <v>45569</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14132-2023</t>
        </is>
      </c>
      <c r="B825" s="1" t="n">
        <v>45009</v>
      </c>
      <c r="C825" s="1" t="n">
        <v>45569</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v>
      </c>
      <c r="C826" s="1" t="n">
        <v>45569</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14142-2023</t>
        </is>
      </c>
      <c r="B827" s="1" t="n">
        <v>45009</v>
      </c>
      <c r="C827" s="1" t="n">
        <v>45569</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14248-2023</t>
        </is>
      </c>
      <c r="B828" s="1" t="n">
        <v>45009</v>
      </c>
      <c r="C828" s="1" t="n">
        <v>45569</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14440-2023</t>
        </is>
      </c>
      <c r="B829" s="1" t="n">
        <v>45012</v>
      </c>
      <c r="C829" s="1" t="n">
        <v>45569</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14438-2023</t>
        </is>
      </c>
      <c r="B830" s="1" t="n">
        <v>45012</v>
      </c>
      <c r="C830" s="1" t="n">
        <v>45569</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14996-2023</t>
        </is>
      </c>
      <c r="B831" s="1" t="n">
        <v>45014</v>
      </c>
      <c r="C831" s="1" t="n">
        <v>45569</v>
      </c>
      <c r="D831" t="inlineStr">
        <is>
          <t>KALMAR LÄN</t>
        </is>
      </c>
      <c r="E831" t="inlineStr">
        <is>
          <t>VIMMERBY</t>
        </is>
      </c>
      <c r="G831" t="n">
        <v>6.9</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45569</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15550-2023</t>
        </is>
      </c>
      <c r="B833" s="1" t="n">
        <v>45020</v>
      </c>
      <c r="C833" s="1" t="n">
        <v>45569</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15449-2023</t>
        </is>
      </c>
      <c r="B834" s="1" t="n">
        <v>45020</v>
      </c>
      <c r="C834" s="1" t="n">
        <v>45569</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15486-2023</t>
        </is>
      </c>
      <c r="B835" s="1" t="n">
        <v>45020</v>
      </c>
      <c r="C835" s="1" t="n">
        <v>45569</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15490-2023</t>
        </is>
      </c>
      <c r="B836" s="1" t="n">
        <v>45020</v>
      </c>
      <c r="C836" s="1" t="n">
        <v>45569</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15740-2023</t>
        </is>
      </c>
      <c r="B837" s="1" t="n">
        <v>45021</v>
      </c>
      <c r="C837" s="1" t="n">
        <v>45569</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15993-2023</t>
        </is>
      </c>
      <c r="B838" s="1" t="n">
        <v>45023</v>
      </c>
      <c r="C838" s="1" t="n">
        <v>45569</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16020-2023</t>
        </is>
      </c>
      <c r="B839" s="1" t="n">
        <v>45026</v>
      </c>
      <c r="C839" s="1" t="n">
        <v>45569</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16119-2023</t>
        </is>
      </c>
      <c r="B840" s="1" t="n">
        <v>45027</v>
      </c>
      <c r="C840" s="1" t="n">
        <v>45569</v>
      </c>
      <c r="D840" t="inlineStr">
        <is>
          <t>KALMAR LÄN</t>
        </is>
      </c>
      <c r="E840" t="inlineStr">
        <is>
          <t>VIMMERBY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45569</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16516-2023</t>
        </is>
      </c>
      <c r="B842" s="1" t="n">
        <v>45029</v>
      </c>
      <c r="C842" s="1" t="n">
        <v>45569</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16734-2023</t>
        </is>
      </c>
      <c r="B843" s="1" t="n">
        <v>45030</v>
      </c>
      <c r="C843" s="1" t="n">
        <v>45569</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16750-2023</t>
        </is>
      </c>
      <c r="B844" s="1" t="n">
        <v>45030</v>
      </c>
      <c r="C844" s="1" t="n">
        <v>45569</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16927-2023</t>
        </is>
      </c>
      <c r="B845" s="1" t="n">
        <v>45033</v>
      </c>
      <c r="C845" s="1" t="n">
        <v>45569</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16983-2023</t>
        </is>
      </c>
      <c r="B846" s="1" t="n">
        <v>45033</v>
      </c>
      <c r="C846" s="1" t="n">
        <v>45569</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17758-2023</t>
        </is>
      </c>
      <c r="B847" s="1" t="n">
        <v>45037</v>
      </c>
      <c r="C847" s="1" t="n">
        <v>45569</v>
      </c>
      <c r="D847" t="inlineStr">
        <is>
          <t>KALMAR LÄN</t>
        </is>
      </c>
      <c r="E847" t="inlineStr">
        <is>
          <t>VIMMERBY</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17964-2023</t>
        </is>
      </c>
      <c r="B848" s="1" t="n">
        <v>45040</v>
      </c>
      <c r="C848" s="1" t="n">
        <v>45569</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18209-2023</t>
        </is>
      </c>
      <c r="B849" s="1" t="n">
        <v>45041</v>
      </c>
      <c r="C849" s="1" t="n">
        <v>45569</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18330-2023</t>
        </is>
      </c>
      <c r="B850" s="1" t="n">
        <v>45041</v>
      </c>
      <c r="C850" s="1" t="n">
        <v>45569</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v>
      </c>
      <c r="C851" s="1" t="n">
        <v>45569</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18328-2023</t>
        </is>
      </c>
      <c r="B852" s="1" t="n">
        <v>45041</v>
      </c>
      <c r="C852" s="1" t="n">
        <v>45569</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18609-2023</t>
        </is>
      </c>
      <c r="B853" s="1" t="n">
        <v>45041</v>
      </c>
      <c r="C853" s="1" t="n">
        <v>45569</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18731-2023</t>
        </is>
      </c>
      <c r="B854" s="1" t="n">
        <v>45043</v>
      </c>
      <c r="C854" s="1" t="n">
        <v>45569</v>
      </c>
      <c r="D854" t="inlineStr">
        <is>
          <t>KALMAR LÄN</t>
        </is>
      </c>
      <c r="E854" t="inlineStr">
        <is>
          <t>VIMMERBY</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19013-2023</t>
        </is>
      </c>
      <c r="B855" s="1" t="n">
        <v>45045</v>
      </c>
      <c r="C855" s="1" t="n">
        <v>45569</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19162-2023</t>
        </is>
      </c>
      <c r="B856" s="1" t="n">
        <v>45048</v>
      </c>
      <c r="C856" s="1" t="n">
        <v>45569</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19833-2023</t>
        </is>
      </c>
      <c r="B857" s="1" t="n">
        <v>45052</v>
      </c>
      <c r="C857" s="1" t="n">
        <v>45569</v>
      </c>
      <c r="D857" t="inlineStr">
        <is>
          <t>KALMAR LÄN</t>
        </is>
      </c>
      <c r="E857" t="inlineStr">
        <is>
          <t>VIMMERBY</t>
        </is>
      </c>
      <c r="G857" t="n">
        <v>6.7</v>
      </c>
      <c r="H857" t="n">
        <v>0</v>
      </c>
      <c r="I857" t="n">
        <v>0</v>
      </c>
      <c r="J857" t="n">
        <v>0</v>
      </c>
      <c r="K857" t="n">
        <v>0</v>
      </c>
      <c r="L857" t="n">
        <v>0</v>
      </c>
      <c r="M857" t="n">
        <v>0</v>
      </c>
      <c r="N857" t="n">
        <v>0</v>
      </c>
      <c r="O857" t="n">
        <v>0</v>
      </c>
      <c r="P857" t="n">
        <v>0</v>
      </c>
      <c r="Q857" t="n">
        <v>0</v>
      </c>
      <c r="R857" s="2" t="inlineStr"/>
    </row>
    <row r="858" ht="15" customHeight="1">
      <c r="A858" t="inlineStr">
        <is>
          <t>A 20054-2023</t>
        </is>
      </c>
      <c r="B858" s="1" t="n">
        <v>45054</v>
      </c>
      <c r="C858" s="1" t="n">
        <v>45569</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20218-2023</t>
        </is>
      </c>
      <c r="B859" s="1" t="n">
        <v>45055</v>
      </c>
      <c r="C859" s="1" t="n">
        <v>45569</v>
      </c>
      <c r="D859" t="inlineStr">
        <is>
          <t>KALMAR LÄN</t>
        </is>
      </c>
      <c r="E859" t="inlineStr">
        <is>
          <t>VIMMERBY</t>
        </is>
      </c>
      <c r="G859" t="n">
        <v>4.9</v>
      </c>
      <c r="H859" t="n">
        <v>0</v>
      </c>
      <c r="I859" t="n">
        <v>0</v>
      </c>
      <c r="J859" t="n">
        <v>0</v>
      </c>
      <c r="K859" t="n">
        <v>0</v>
      </c>
      <c r="L859" t="n">
        <v>0</v>
      </c>
      <c r="M859" t="n">
        <v>0</v>
      </c>
      <c r="N859" t="n">
        <v>0</v>
      </c>
      <c r="O859" t="n">
        <v>0</v>
      </c>
      <c r="P859" t="n">
        <v>0</v>
      </c>
      <c r="Q859" t="n">
        <v>0</v>
      </c>
      <c r="R859" s="2" t="inlineStr"/>
    </row>
    <row r="860" ht="15" customHeight="1">
      <c r="A860" t="inlineStr">
        <is>
          <t>A 20117-2023</t>
        </is>
      </c>
      <c r="B860" s="1" t="n">
        <v>45055</v>
      </c>
      <c r="C860" s="1" t="n">
        <v>45569</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20215-2023</t>
        </is>
      </c>
      <c r="B861" s="1" t="n">
        <v>45055</v>
      </c>
      <c r="C861" s="1" t="n">
        <v>45569</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20216-2023</t>
        </is>
      </c>
      <c r="B862" s="1" t="n">
        <v>45055</v>
      </c>
      <c r="C862" s="1" t="n">
        <v>45569</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20421-2023</t>
        </is>
      </c>
      <c r="B863" s="1" t="n">
        <v>45056</v>
      </c>
      <c r="C863" s="1" t="n">
        <v>45569</v>
      </c>
      <c r="D863" t="inlineStr">
        <is>
          <t>KALMAR LÄN</t>
        </is>
      </c>
      <c r="E863" t="inlineStr">
        <is>
          <t>VIMMERBY</t>
        </is>
      </c>
      <c r="G863" t="n">
        <v>5.2</v>
      </c>
      <c r="H863" t="n">
        <v>0</v>
      </c>
      <c r="I863" t="n">
        <v>0</v>
      </c>
      <c r="J863" t="n">
        <v>0</v>
      </c>
      <c r="K863" t="n">
        <v>0</v>
      </c>
      <c r="L863" t="n">
        <v>0</v>
      </c>
      <c r="M863" t="n">
        <v>0</v>
      </c>
      <c r="N863" t="n">
        <v>0</v>
      </c>
      <c r="O863" t="n">
        <v>0</v>
      </c>
      <c r="P863" t="n">
        <v>0</v>
      </c>
      <c r="Q863" t="n">
        <v>0</v>
      </c>
      <c r="R863" s="2" t="inlineStr"/>
    </row>
    <row r="864" ht="15" customHeight="1">
      <c r="A864" t="inlineStr">
        <is>
          <t>A 20542-2023</t>
        </is>
      </c>
      <c r="B864" s="1" t="n">
        <v>45057</v>
      </c>
      <c r="C864" s="1" t="n">
        <v>45569</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20699-2023</t>
        </is>
      </c>
      <c r="B865" s="1" t="n">
        <v>45058</v>
      </c>
      <c r="C865" s="1" t="n">
        <v>45569</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20736-2023</t>
        </is>
      </c>
      <c r="B866" s="1" t="n">
        <v>45058</v>
      </c>
      <c r="C866" s="1" t="n">
        <v>45569</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21025-2023</t>
        </is>
      </c>
      <c r="B867" s="1" t="n">
        <v>45061</v>
      </c>
      <c r="C867" s="1" t="n">
        <v>45569</v>
      </c>
      <c r="D867" t="inlineStr">
        <is>
          <t>KALMAR LÄN</t>
        </is>
      </c>
      <c r="E867" t="inlineStr">
        <is>
          <t>VIMMERBY</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45569</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21496-2023</t>
        </is>
      </c>
      <c r="B869" s="1" t="n">
        <v>45063</v>
      </c>
      <c r="C869" s="1" t="n">
        <v>45569</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21507-2023</t>
        </is>
      </c>
      <c r="B870" s="1" t="n">
        <v>45063</v>
      </c>
      <c r="C870" s="1" t="n">
        <v>45569</v>
      </c>
      <c r="D870" t="inlineStr">
        <is>
          <t>KALMAR LÄN</t>
        </is>
      </c>
      <c r="E870" t="inlineStr">
        <is>
          <t>VIMMERBY</t>
        </is>
      </c>
      <c r="G870" t="n">
        <v>2.8</v>
      </c>
      <c r="H870" t="n">
        <v>0</v>
      </c>
      <c r="I870" t="n">
        <v>0</v>
      </c>
      <c r="J870" t="n">
        <v>0</v>
      </c>
      <c r="K870" t="n">
        <v>0</v>
      </c>
      <c r="L870" t="n">
        <v>0</v>
      </c>
      <c r="M870" t="n">
        <v>0</v>
      </c>
      <c r="N870" t="n">
        <v>0</v>
      </c>
      <c r="O870" t="n">
        <v>0</v>
      </c>
      <c r="P870" t="n">
        <v>0</v>
      </c>
      <c r="Q870" t="n">
        <v>0</v>
      </c>
      <c r="R870" s="2" t="inlineStr"/>
    </row>
    <row r="871" ht="15" customHeight="1">
      <c r="A871" t="inlineStr">
        <is>
          <t>A 21911-2023</t>
        </is>
      </c>
      <c r="B871" s="1" t="n">
        <v>45068</v>
      </c>
      <c r="C871" s="1" t="n">
        <v>45569</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22415-2023</t>
        </is>
      </c>
      <c r="B872" s="1" t="n">
        <v>45070</v>
      </c>
      <c r="C872" s="1" t="n">
        <v>45569</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v>
      </c>
      <c r="C873" s="1" t="n">
        <v>45569</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22421-2023</t>
        </is>
      </c>
      <c r="B874" s="1" t="n">
        <v>45070</v>
      </c>
      <c r="C874" s="1" t="n">
        <v>45569</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22266-2023</t>
        </is>
      </c>
      <c r="B875" s="1" t="n">
        <v>45070</v>
      </c>
      <c r="C875" s="1" t="n">
        <v>45569</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22418-2023</t>
        </is>
      </c>
      <c r="B876" s="1" t="n">
        <v>45070</v>
      </c>
      <c r="C876" s="1" t="n">
        <v>45569</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22426-2023</t>
        </is>
      </c>
      <c r="B877" s="1" t="n">
        <v>45070</v>
      </c>
      <c r="C877" s="1" t="n">
        <v>45569</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22423-2023</t>
        </is>
      </c>
      <c r="B878" s="1" t="n">
        <v>45070</v>
      </c>
      <c r="C878" s="1" t="n">
        <v>45569</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c r="U878">
        <f>HYPERLINK("https://klasma.github.io/Logging_0884/knärot/A 22423-2023 karta knärot.png", "A 22423-2023")</f>
        <v/>
      </c>
      <c r="V878">
        <f>HYPERLINK("https://klasma.github.io/Logging_0884/klagomål/A 22423-2023 FSC-klagomål.docx", "A 22423-2023")</f>
        <v/>
      </c>
      <c r="W878">
        <f>HYPERLINK("https://klasma.github.io/Logging_0884/klagomålsmail/A 22423-2023 FSC-klagomål mail.docx", "A 22423-2023")</f>
        <v/>
      </c>
      <c r="X878">
        <f>HYPERLINK("https://klasma.github.io/Logging_0884/tillsyn/A 22423-2023 tillsynsbegäran.docx", "A 22423-2023")</f>
        <v/>
      </c>
      <c r="Y878">
        <f>HYPERLINK("https://klasma.github.io/Logging_0884/tillsynsmail/A 22423-2023 tillsynsbegäran mail.docx", "A 22423-2023")</f>
        <v/>
      </c>
    </row>
    <row r="879" ht="15" customHeight="1">
      <c r="A879" t="inlineStr">
        <is>
          <t>A 22643-2023</t>
        </is>
      </c>
      <c r="B879" s="1" t="n">
        <v>45071</v>
      </c>
      <c r="C879" s="1" t="n">
        <v>45569</v>
      </c>
      <c r="D879" t="inlineStr">
        <is>
          <t>KALMAR LÄN</t>
        </is>
      </c>
      <c r="E879" t="inlineStr">
        <is>
          <t>VIMMERBY</t>
        </is>
      </c>
      <c r="G879" t="n">
        <v>3.9</v>
      </c>
      <c r="H879" t="n">
        <v>0</v>
      </c>
      <c r="I879" t="n">
        <v>0</v>
      </c>
      <c r="J879" t="n">
        <v>0</v>
      </c>
      <c r="K879" t="n">
        <v>0</v>
      </c>
      <c r="L879" t="n">
        <v>0</v>
      </c>
      <c r="M879" t="n">
        <v>0</v>
      </c>
      <c r="N879" t="n">
        <v>0</v>
      </c>
      <c r="O879" t="n">
        <v>0</v>
      </c>
      <c r="P879" t="n">
        <v>0</v>
      </c>
      <c r="Q879" t="n">
        <v>0</v>
      </c>
      <c r="R879" s="2" t="inlineStr"/>
    </row>
    <row r="880" ht="15" customHeight="1">
      <c r="A880" t="inlineStr">
        <is>
          <t>A 22760-2023</t>
        </is>
      </c>
      <c r="B880" s="1" t="n">
        <v>45072</v>
      </c>
      <c r="C880" s="1" t="n">
        <v>45569</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23032-2023</t>
        </is>
      </c>
      <c r="B881" s="1" t="n">
        <v>45074</v>
      </c>
      <c r="C881" s="1" t="n">
        <v>45569</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23095-2023</t>
        </is>
      </c>
      <c r="B882" s="1" t="n">
        <v>45075</v>
      </c>
      <c r="C882" s="1" t="n">
        <v>45569</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23425-2023</t>
        </is>
      </c>
      <c r="B883" s="1" t="n">
        <v>45076</v>
      </c>
      <c r="C883" s="1" t="n">
        <v>45569</v>
      </c>
      <c r="D883" t="inlineStr">
        <is>
          <t>KALMAR LÄN</t>
        </is>
      </c>
      <c r="E883" t="inlineStr">
        <is>
          <t>VIMMERBY</t>
        </is>
      </c>
      <c r="G883" t="n">
        <v>4.8</v>
      </c>
      <c r="H883" t="n">
        <v>0</v>
      </c>
      <c r="I883" t="n">
        <v>0</v>
      </c>
      <c r="J883" t="n">
        <v>0</v>
      </c>
      <c r="K883" t="n">
        <v>0</v>
      </c>
      <c r="L883" t="n">
        <v>0</v>
      </c>
      <c r="M883" t="n">
        <v>0</v>
      </c>
      <c r="N883" t="n">
        <v>0</v>
      </c>
      <c r="O883" t="n">
        <v>0</v>
      </c>
      <c r="P883" t="n">
        <v>0</v>
      </c>
      <c r="Q883" t="n">
        <v>0</v>
      </c>
      <c r="R883" s="2" t="inlineStr"/>
    </row>
    <row r="884" ht="15" customHeight="1">
      <c r="A884" t="inlineStr">
        <is>
          <t>A 23539-2023</t>
        </is>
      </c>
      <c r="B884" s="1" t="n">
        <v>45077</v>
      </c>
      <c r="C884" s="1" t="n">
        <v>45569</v>
      </c>
      <c r="D884" t="inlineStr">
        <is>
          <t>KALMAR LÄN</t>
        </is>
      </c>
      <c r="E884" t="inlineStr">
        <is>
          <t>VIMMERBY</t>
        </is>
      </c>
      <c r="G884" t="n">
        <v>6.9</v>
      </c>
      <c r="H884" t="n">
        <v>0</v>
      </c>
      <c r="I884" t="n">
        <v>0</v>
      </c>
      <c r="J884" t="n">
        <v>0</v>
      </c>
      <c r="K884" t="n">
        <v>0</v>
      </c>
      <c r="L884" t="n">
        <v>0</v>
      </c>
      <c r="M884" t="n">
        <v>0</v>
      </c>
      <c r="N884" t="n">
        <v>0</v>
      </c>
      <c r="O884" t="n">
        <v>0</v>
      </c>
      <c r="P884" t="n">
        <v>0</v>
      </c>
      <c r="Q884" t="n">
        <v>0</v>
      </c>
      <c r="R884" s="2" t="inlineStr"/>
    </row>
    <row r="885" ht="15" customHeight="1">
      <c r="A885" t="inlineStr">
        <is>
          <t>A 23695-2023</t>
        </is>
      </c>
      <c r="B885" s="1" t="n">
        <v>45077</v>
      </c>
      <c r="C885" s="1" t="n">
        <v>45569</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24283-2023</t>
        </is>
      </c>
      <c r="B886" s="1" t="n">
        <v>45079</v>
      </c>
      <c r="C886" s="1" t="n">
        <v>45569</v>
      </c>
      <c r="D886" t="inlineStr">
        <is>
          <t>KALMAR LÄN</t>
        </is>
      </c>
      <c r="E886" t="inlineStr">
        <is>
          <t>VIMMERBY</t>
        </is>
      </c>
      <c r="G886" t="n">
        <v>2</v>
      </c>
      <c r="H886" t="n">
        <v>0</v>
      </c>
      <c r="I886" t="n">
        <v>0</v>
      </c>
      <c r="J886" t="n">
        <v>0</v>
      </c>
      <c r="K886" t="n">
        <v>0</v>
      </c>
      <c r="L886" t="n">
        <v>0</v>
      </c>
      <c r="M886" t="n">
        <v>0</v>
      </c>
      <c r="N886" t="n">
        <v>0</v>
      </c>
      <c r="O886" t="n">
        <v>0</v>
      </c>
      <c r="P886" t="n">
        <v>0</v>
      </c>
      <c r="Q886" t="n">
        <v>0</v>
      </c>
      <c r="R886" s="2" t="inlineStr"/>
    </row>
    <row r="887" ht="15" customHeight="1">
      <c r="A887" t="inlineStr">
        <is>
          <t>A 24285-2023</t>
        </is>
      </c>
      <c r="B887" s="1" t="n">
        <v>45079</v>
      </c>
      <c r="C887" s="1" t="n">
        <v>45569</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24288-2023</t>
        </is>
      </c>
      <c r="B888" s="1" t="n">
        <v>45080</v>
      </c>
      <c r="C888" s="1" t="n">
        <v>45569</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25109-2023</t>
        </is>
      </c>
      <c r="B889" s="1" t="n">
        <v>45086</v>
      </c>
      <c r="C889" s="1" t="n">
        <v>45569</v>
      </c>
      <c r="D889" t="inlineStr">
        <is>
          <t>KALMAR LÄN</t>
        </is>
      </c>
      <c r="E889" t="inlineStr">
        <is>
          <t>VIMMERBY</t>
        </is>
      </c>
      <c r="G889" t="n">
        <v>1.5</v>
      </c>
      <c r="H889" t="n">
        <v>0</v>
      </c>
      <c r="I889" t="n">
        <v>0</v>
      </c>
      <c r="J889" t="n">
        <v>0</v>
      </c>
      <c r="K889" t="n">
        <v>0</v>
      </c>
      <c r="L889" t="n">
        <v>0</v>
      </c>
      <c r="M889" t="n">
        <v>0</v>
      </c>
      <c r="N889" t="n">
        <v>0</v>
      </c>
      <c r="O889" t="n">
        <v>0</v>
      </c>
      <c r="P889" t="n">
        <v>0</v>
      </c>
      <c r="Q889" t="n">
        <v>0</v>
      </c>
      <c r="R889" s="2" t="inlineStr"/>
    </row>
    <row r="890" ht="15" customHeight="1">
      <c r="A890" t="inlineStr">
        <is>
          <t>A 25236-2023</t>
        </is>
      </c>
      <c r="B890" s="1" t="n">
        <v>45086</v>
      </c>
      <c r="C890" s="1" t="n">
        <v>45569</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25244-2023</t>
        </is>
      </c>
      <c r="B891" s="1" t="n">
        <v>45086</v>
      </c>
      <c r="C891" s="1" t="n">
        <v>45569</v>
      </c>
      <c r="D891" t="inlineStr">
        <is>
          <t>KALMAR LÄN</t>
        </is>
      </c>
      <c r="E891" t="inlineStr">
        <is>
          <t>VIMMERBY</t>
        </is>
      </c>
      <c r="G891" t="n">
        <v>4.7</v>
      </c>
      <c r="H891" t="n">
        <v>0</v>
      </c>
      <c r="I891" t="n">
        <v>0</v>
      </c>
      <c r="J891" t="n">
        <v>0</v>
      </c>
      <c r="K891" t="n">
        <v>0</v>
      </c>
      <c r="L891" t="n">
        <v>0</v>
      </c>
      <c r="M891" t="n">
        <v>0</v>
      </c>
      <c r="N891" t="n">
        <v>0</v>
      </c>
      <c r="O891" t="n">
        <v>0</v>
      </c>
      <c r="P891" t="n">
        <v>0</v>
      </c>
      <c r="Q891" t="n">
        <v>0</v>
      </c>
      <c r="R891" s="2" t="inlineStr"/>
    </row>
    <row r="892" ht="15" customHeight="1">
      <c r="A892" t="inlineStr">
        <is>
          <t>A 25234-2023</t>
        </is>
      </c>
      <c r="B892" s="1" t="n">
        <v>45086</v>
      </c>
      <c r="C892" s="1" t="n">
        <v>45569</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25885-2023</t>
        </is>
      </c>
      <c r="B893" s="1" t="n">
        <v>45090</v>
      </c>
      <c r="C893" s="1" t="n">
        <v>45569</v>
      </c>
      <c r="D893" t="inlineStr">
        <is>
          <t>KALMAR LÄN</t>
        </is>
      </c>
      <c r="E893" t="inlineStr">
        <is>
          <t>VIMMERBY</t>
        </is>
      </c>
      <c r="G893" t="n">
        <v>4.6</v>
      </c>
      <c r="H893" t="n">
        <v>0</v>
      </c>
      <c r="I893" t="n">
        <v>0</v>
      </c>
      <c r="J893" t="n">
        <v>0</v>
      </c>
      <c r="K893" t="n">
        <v>0</v>
      </c>
      <c r="L893" t="n">
        <v>0</v>
      </c>
      <c r="M893" t="n">
        <v>0</v>
      </c>
      <c r="N893" t="n">
        <v>0</v>
      </c>
      <c r="O893" t="n">
        <v>0</v>
      </c>
      <c r="P893" t="n">
        <v>0</v>
      </c>
      <c r="Q893" t="n">
        <v>0</v>
      </c>
      <c r="R893" s="2" t="inlineStr"/>
    </row>
    <row r="894" ht="15" customHeight="1">
      <c r="A894" t="inlineStr">
        <is>
          <t>A 25799-2023</t>
        </is>
      </c>
      <c r="B894" s="1" t="n">
        <v>45090</v>
      </c>
      <c r="C894" s="1" t="n">
        <v>45569</v>
      </c>
      <c r="D894" t="inlineStr">
        <is>
          <t>KALMAR LÄN</t>
        </is>
      </c>
      <c r="E894" t="inlineStr">
        <is>
          <t>VIMMERBY</t>
        </is>
      </c>
      <c r="G894" t="n">
        <v>7.7</v>
      </c>
      <c r="H894" t="n">
        <v>0</v>
      </c>
      <c r="I894" t="n">
        <v>0</v>
      </c>
      <c r="J894" t="n">
        <v>0</v>
      </c>
      <c r="K894" t="n">
        <v>0</v>
      </c>
      <c r="L894" t="n">
        <v>0</v>
      </c>
      <c r="M894" t="n">
        <v>0</v>
      </c>
      <c r="N894" t="n">
        <v>0</v>
      </c>
      <c r="O894" t="n">
        <v>0</v>
      </c>
      <c r="P894" t="n">
        <v>0</v>
      </c>
      <c r="Q894" t="n">
        <v>0</v>
      </c>
      <c r="R894" s="2" t="inlineStr"/>
    </row>
    <row r="895" ht="15" customHeight="1">
      <c r="A895" t="inlineStr">
        <is>
          <t>A 25979-2023</t>
        </is>
      </c>
      <c r="B895" s="1" t="n">
        <v>45090</v>
      </c>
      <c r="C895" s="1" t="n">
        <v>45569</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25976-2023</t>
        </is>
      </c>
      <c r="B896" s="1" t="n">
        <v>45090</v>
      </c>
      <c r="C896" s="1" t="n">
        <v>45569</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25980-2023</t>
        </is>
      </c>
      <c r="B897" s="1" t="n">
        <v>45090</v>
      </c>
      <c r="C897" s="1" t="n">
        <v>45569</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25977-2023</t>
        </is>
      </c>
      <c r="B898" s="1" t="n">
        <v>45090</v>
      </c>
      <c r="C898" s="1" t="n">
        <v>45569</v>
      </c>
      <c r="D898" t="inlineStr">
        <is>
          <t>KALMAR LÄN</t>
        </is>
      </c>
      <c r="E898" t="inlineStr">
        <is>
          <t>VIMMERBY</t>
        </is>
      </c>
      <c r="G898" t="n">
        <v>0.9</v>
      </c>
      <c r="H898" t="n">
        <v>0</v>
      </c>
      <c r="I898" t="n">
        <v>0</v>
      </c>
      <c r="J898" t="n">
        <v>0</v>
      </c>
      <c r="K898" t="n">
        <v>0</v>
      </c>
      <c r="L898" t="n">
        <v>0</v>
      </c>
      <c r="M898" t="n">
        <v>0</v>
      </c>
      <c r="N898" t="n">
        <v>0</v>
      </c>
      <c r="O898" t="n">
        <v>0</v>
      </c>
      <c r="P898" t="n">
        <v>0</v>
      </c>
      <c r="Q898" t="n">
        <v>0</v>
      </c>
      <c r="R898" s="2" t="inlineStr"/>
    </row>
    <row r="899" ht="15" customHeight="1">
      <c r="A899" t="inlineStr">
        <is>
          <t>A 26318-2023</t>
        </is>
      </c>
      <c r="B899" s="1" t="n">
        <v>45091</v>
      </c>
      <c r="C899" s="1" t="n">
        <v>45569</v>
      </c>
      <c r="D899" t="inlineStr">
        <is>
          <t>KALMAR LÄN</t>
        </is>
      </c>
      <c r="E899" t="inlineStr">
        <is>
          <t>VIMMERBY</t>
        </is>
      </c>
      <c r="G899" t="n">
        <v>3.8</v>
      </c>
      <c r="H899" t="n">
        <v>0</v>
      </c>
      <c r="I899" t="n">
        <v>0</v>
      </c>
      <c r="J899" t="n">
        <v>0</v>
      </c>
      <c r="K899" t="n">
        <v>0</v>
      </c>
      <c r="L899" t="n">
        <v>0</v>
      </c>
      <c r="M899" t="n">
        <v>0</v>
      </c>
      <c r="N899" t="n">
        <v>0</v>
      </c>
      <c r="O899" t="n">
        <v>0</v>
      </c>
      <c r="P899" t="n">
        <v>0</v>
      </c>
      <c r="Q899" t="n">
        <v>0</v>
      </c>
      <c r="R899" s="2" t="inlineStr"/>
    </row>
    <row r="900" ht="15" customHeight="1">
      <c r="A900" t="inlineStr">
        <is>
          <t>A 26626-2023</t>
        </is>
      </c>
      <c r="B900" s="1" t="n">
        <v>45092</v>
      </c>
      <c r="C900" s="1" t="n">
        <v>45569</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26937-2023</t>
        </is>
      </c>
      <c r="B901" s="1" t="n">
        <v>45093</v>
      </c>
      <c r="C901" s="1" t="n">
        <v>45569</v>
      </c>
      <c r="D901" t="inlineStr">
        <is>
          <t>KALMAR LÄN</t>
        </is>
      </c>
      <c r="E901" t="inlineStr">
        <is>
          <t>VIMMERBY</t>
        </is>
      </c>
      <c r="F901" t="inlineStr">
        <is>
          <t>Sveaskog</t>
        </is>
      </c>
      <c r="G901" t="n">
        <v>14.5</v>
      </c>
      <c r="H901" t="n">
        <v>0</v>
      </c>
      <c r="I901" t="n">
        <v>0</v>
      </c>
      <c r="J901" t="n">
        <v>0</v>
      </c>
      <c r="K901" t="n">
        <v>0</v>
      </c>
      <c r="L901" t="n">
        <v>0</v>
      </c>
      <c r="M901" t="n">
        <v>0</v>
      </c>
      <c r="N901" t="n">
        <v>0</v>
      </c>
      <c r="O901" t="n">
        <v>0</v>
      </c>
      <c r="P901" t="n">
        <v>0</v>
      </c>
      <c r="Q901" t="n">
        <v>0</v>
      </c>
      <c r="R901" s="2" t="inlineStr"/>
    </row>
    <row r="902" ht="15" customHeight="1">
      <c r="A902" t="inlineStr">
        <is>
          <t>A 27122-2023</t>
        </is>
      </c>
      <c r="B902" s="1" t="n">
        <v>45096</v>
      </c>
      <c r="C902" s="1" t="n">
        <v>45569</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27138-2023</t>
        </is>
      </c>
      <c r="B903" s="1" t="n">
        <v>45096</v>
      </c>
      <c r="C903" s="1" t="n">
        <v>45569</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28988-2023</t>
        </is>
      </c>
      <c r="B904" s="1" t="n">
        <v>45096</v>
      </c>
      <c r="C904" s="1" t="n">
        <v>45569</v>
      </c>
      <c r="D904" t="inlineStr">
        <is>
          <t>KALMAR LÄN</t>
        </is>
      </c>
      <c r="E904" t="inlineStr">
        <is>
          <t>VIMMERBY</t>
        </is>
      </c>
      <c r="G904" t="n">
        <v>6</v>
      </c>
      <c r="H904" t="n">
        <v>0</v>
      </c>
      <c r="I904" t="n">
        <v>0</v>
      </c>
      <c r="J904" t="n">
        <v>0</v>
      </c>
      <c r="K904" t="n">
        <v>0</v>
      </c>
      <c r="L904" t="n">
        <v>0</v>
      </c>
      <c r="M904" t="n">
        <v>0</v>
      </c>
      <c r="N904" t="n">
        <v>0</v>
      </c>
      <c r="O904" t="n">
        <v>0</v>
      </c>
      <c r="P904" t="n">
        <v>0</v>
      </c>
      <c r="Q904" t="n">
        <v>0</v>
      </c>
      <c r="R904" s="2" t="inlineStr"/>
    </row>
    <row r="905" ht="15" customHeight="1">
      <c r="A905" t="inlineStr">
        <is>
          <t>A 27443-2023</t>
        </is>
      </c>
      <c r="B905" s="1" t="n">
        <v>45097</v>
      </c>
      <c r="C905" s="1" t="n">
        <v>45569</v>
      </c>
      <c r="D905" t="inlineStr">
        <is>
          <t>KALMAR LÄN</t>
        </is>
      </c>
      <c r="E905" t="inlineStr">
        <is>
          <t>VIMMERBY</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27705-2023</t>
        </is>
      </c>
      <c r="B906" s="1" t="n">
        <v>45098</v>
      </c>
      <c r="C906" s="1" t="n">
        <v>45569</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28123-2023</t>
        </is>
      </c>
      <c r="B907" s="1" t="n">
        <v>45099</v>
      </c>
      <c r="C907" s="1" t="n">
        <v>45569</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28129-2023</t>
        </is>
      </c>
      <c r="B908" s="1" t="n">
        <v>45099</v>
      </c>
      <c r="C908" s="1" t="n">
        <v>45569</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28395-2023</t>
        </is>
      </c>
      <c r="B909" s="1" t="n">
        <v>45100</v>
      </c>
      <c r="C909" s="1" t="n">
        <v>45569</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28403-2023</t>
        </is>
      </c>
      <c r="B910" s="1" t="n">
        <v>45100</v>
      </c>
      <c r="C910" s="1" t="n">
        <v>45569</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29093-2023</t>
        </is>
      </c>
      <c r="B911" s="1" t="n">
        <v>45105</v>
      </c>
      <c r="C911" s="1" t="n">
        <v>45569</v>
      </c>
      <c r="D911" t="inlineStr">
        <is>
          <t>KALMAR LÄN</t>
        </is>
      </c>
      <c r="E911" t="inlineStr">
        <is>
          <t>VIMMERBY</t>
        </is>
      </c>
      <c r="G911" t="n">
        <v>2.9</v>
      </c>
      <c r="H911" t="n">
        <v>0</v>
      </c>
      <c r="I911" t="n">
        <v>0</v>
      </c>
      <c r="J911" t="n">
        <v>0</v>
      </c>
      <c r="K911" t="n">
        <v>0</v>
      </c>
      <c r="L911" t="n">
        <v>0</v>
      </c>
      <c r="M911" t="n">
        <v>0</v>
      </c>
      <c r="N911" t="n">
        <v>0</v>
      </c>
      <c r="O911" t="n">
        <v>0</v>
      </c>
      <c r="P911" t="n">
        <v>0</v>
      </c>
      <c r="Q911" t="n">
        <v>0</v>
      </c>
      <c r="R911" s="2" t="inlineStr"/>
    </row>
    <row r="912" ht="15" customHeight="1">
      <c r="A912" t="inlineStr">
        <is>
          <t>A 29196-2023</t>
        </is>
      </c>
      <c r="B912" s="1" t="n">
        <v>45105</v>
      </c>
      <c r="C912" s="1" t="n">
        <v>45569</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29351-2023</t>
        </is>
      </c>
      <c r="B913" s="1" t="n">
        <v>45106</v>
      </c>
      <c r="C913" s="1" t="n">
        <v>45569</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29350-2023</t>
        </is>
      </c>
      <c r="B914" s="1" t="n">
        <v>45106</v>
      </c>
      <c r="C914" s="1" t="n">
        <v>45569</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29348-2023</t>
        </is>
      </c>
      <c r="B915" s="1" t="n">
        <v>45106</v>
      </c>
      <c r="C915" s="1" t="n">
        <v>45569</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29349-2023</t>
        </is>
      </c>
      <c r="B916" s="1" t="n">
        <v>45106</v>
      </c>
      <c r="C916" s="1" t="n">
        <v>45569</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29973-2023</t>
        </is>
      </c>
      <c r="B917" s="1" t="n">
        <v>45108</v>
      </c>
      <c r="C917" s="1" t="n">
        <v>45569</v>
      </c>
      <c r="D917" t="inlineStr">
        <is>
          <t>KALMAR LÄN</t>
        </is>
      </c>
      <c r="E917" t="inlineStr">
        <is>
          <t>VIMMERBY</t>
        </is>
      </c>
      <c r="G917" t="n">
        <v>4</v>
      </c>
      <c r="H917" t="n">
        <v>0</v>
      </c>
      <c r="I917" t="n">
        <v>0</v>
      </c>
      <c r="J917" t="n">
        <v>0</v>
      </c>
      <c r="K917" t="n">
        <v>0</v>
      </c>
      <c r="L917" t="n">
        <v>0</v>
      </c>
      <c r="M917" t="n">
        <v>0</v>
      </c>
      <c r="N917" t="n">
        <v>0</v>
      </c>
      <c r="O917" t="n">
        <v>0</v>
      </c>
      <c r="P917" t="n">
        <v>0</v>
      </c>
      <c r="Q917" t="n">
        <v>0</v>
      </c>
      <c r="R917" s="2" t="inlineStr"/>
    </row>
    <row r="918" ht="15" customHeight="1">
      <c r="A918" t="inlineStr">
        <is>
          <t>A 30070-2023</t>
        </is>
      </c>
      <c r="B918" s="1" t="n">
        <v>45110</v>
      </c>
      <c r="C918" s="1" t="n">
        <v>45569</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30063-2023</t>
        </is>
      </c>
      <c r="B919" s="1" t="n">
        <v>45110</v>
      </c>
      <c r="C919" s="1" t="n">
        <v>45569</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30090-2023</t>
        </is>
      </c>
      <c r="B920" s="1" t="n">
        <v>45110</v>
      </c>
      <c r="C920" s="1" t="n">
        <v>45569</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30503-2023</t>
        </is>
      </c>
      <c r="B921" s="1" t="n">
        <v>45111</v>
      </c>
      <c r="C921" s="1" t="n">
        <v>45569</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30380-2023</t>
        </is>
      </c>
      <c r="B922" s="1" t="n">
        <v>45111</v>
      </c>
      <c r="C922" s="1" t="n">
        <v>45569</v>
      </c>
      <c r="D922" t="inlineStr">
        <is>
          <t>KALMAR LÄN</t>
        </is>
      </c>
      <c r="E922" t="inlineStr">
        <is>
          <t>VIMMERBY</t>
        </is>
      </c>
      <c r="G922" t="n">
        <v>1.6</v>
      </c>
      <c r="H922" t="n">
        <v>0</v>
      </c>
      <c r="I922" t="n">
        <v>0</v>
      </c>
      <c r="J922" t="n">
        <v>0</v>
      </c>
      <c r="K922" t="n">
        <v>0</v>
      </c>
      <c r="L922" t="n">
        <v>0</v>
      </c>
      <c r="M922" t="n">
        <v>0</v>
      </c>
      <c r="N922" t="n">
        <v>0</v>
      </c>
      <c r="O922" t="n">
        <v>0</v>
      </c>
      <c r="P922" t="n">
        <v>0</v>
      </c>
      <c r="Q922" t="n">
        <v>0</v>
      </c>
      <c r="R922" s="2" t="inlineStr"/>
    </row>
    <row r="923" ht="15" customHeight="1">
      <c r="A923" t="inlineStr">
        <is>
          <t>A 30400-2023</t>
        </is>
      </c>
      <c r="B923" s="1" t="n">
        <v>45111</v>
      </c>
      <c r="C923" s="1" t="n">
        <v>45569</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30318-2023</t>
        </is>
      </c>
      <c r="B924" s="1" t="n">
        <v>45111</v>
      </c>
      <c r="C924" s="1" t="n">
        <v>45569</v>
      </c>
      <c r="D924" t="inlineStr">
        <is>
          <t>KALMAR LÄN</t>
        </is>
      </c>
      <c r="E924" t="inlineStr">
        <is>
          <t>VIMMERBY</t>
        </is>
      </c>
      <c r="G924" t="n">
        <v>2.6</v>
      </c>
      <c r="H924" t="n">
        <v>0</v>
      </c>
      <c r="I924" t="n">
        <v>0</v>
      </c>
      <c r="J924" t="n">
        <v>0</v>
      </c>
      <c r="K924" t="n">
        <v>0</v>
      </c>
      <c r="L924" t="n">
        <v>0</v>
      </c>
      <c r="M924" t="n">
        <v>0</v>
      </c>
      <c r="N924" t="n">
        <v>0</v>
      </c>
      <c r="O924" t="n">
        <v>0</v>
      </c>
      <c r="P924" t="n">
        <v>0</v>
      </c>
      <c r="Q924" t="n">
        <v>0</v>
      </c>
      <c r="R924" s="2" t="inlineStr"/>
    </row>
    <row r="925" ht="15" customHeight="1">
      <c r="A925" t="inlineStr">
        <is>
          <t>A 30402-2023</t>
        </is>
      </c>
      <c r="B925" s="1" t="n">
        <v>45111</v>
      </c>
      <c r="C925" s="1" t="n">
        <v>45569</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v>
      </c>
      <c r="C926" s="1" t="n">
        <v>45569</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30404-2023</t>
        </is>
      </c>
      <c r="B927" s="1" t="n">
        <v>45111</v>
      </c>
      <c r="C927" s="1" t="n">
        <v>45569</v>
      </c>
      <c r="D927" t="inlineStr">
        <is>
          <t>KALMAR LÄN</t>
        </is>
      </c>
      <c r="E927" t="inlineStr">
        <is>
          <t>VIMMERBY</t>
        </is>
      </c>
      <c r="G927" t="n">
        <v>0.6</v>
      </c>
      <c r="H927" t="n">
        <v>0</v>
      </c>
      <c r="I927" t="n">
        <v>0</v>
      </c>
      <c r="J927" t="n">
        <v>0</v>
      </c>
      <c r="K927" t="n">
        <v>0</v>
      </c>
      <c r="L927" t="n">
        <v>0</v>
      </c>
      <c r="M927" t="n">
        <v>0</v>
      </c>
      <c r="N927" t="n">
        <v>0</v>
      </c>
      <c r="O927" t="n">
        <v>0</v>
      </c>
      <c r="P927" t="n">
        <v>0</v>
      </c>
      <c r="Q927" t="n">
        <v>0</v>
      </c>
      <c r="R927" s="2" t="inlineStr"/>
    </row>
    <row r="928" ht="15" customHeight="1">
      <c r="A928" t="inlineStr">
        <is>
          <t>A 30408-2023</t>
        </is>
      </c>
      <c r="B928" s="1" t="n">
        <v>45111</v>
      </c>
      <c r="C928" s="1" t="n">
        <v>45569</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30586-2023</t>
        </is>
      </c>
      <c r="B929" s="1" t="n">
        <v>45112</v>
      </c>
      <c r="C929" s="1" t="n">
        <v>45569</v>
      </c>
      <c r="D929" t="inlineStr">
        <is>
          <t>KALMAR LÄN</t>
        </is>
      </c>
      <c r="E929" t="inlineStr">
        <is>
          <t>VIMMERBY</t>
        </is>
      </c>
      <c r="G929" t="n">
        <v>3.6</v>
      </c>
      <c r="H929" t="n">
        <v>0</v>
      </c>
      <c r="I929" t="n">
        <v>0</v>
      </c>
      <c r="J929" t="n">
        <v>0</v>
      </c>
      <c r="K929" t="n">
        <v>0</v>
      </c>
      <c r="L929" t="n">
        <v>0</v>
      </c>
      <c r="M929" t="n">
        <v>0</v>
      </c>
      <c r="N929" t="n">
        <v>0</v>
      </c>
      <c r="O929" t="n">
        <v>0</v>
      </c>
      <c r="P929" t="n">
        <v>0</v>
      </c>
      <c r="Q929" t="n">
        <v>0</v>
      </c>
      <c r="R929" s="2" t="inlineStr"/>
    </row>
    <row r="930" ht="15" customHeight="1">
      <c r="A930" t="inlineStr">
        <is>
          <t>A 30588-2023</t>
        </is>
      </c>
      <c r="B930" s="1" t="n">
        <v>45112</v>
      </c>
      <c r="C930" s="1" t="n">
        <v>45569</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30896-2023</t>
        </is>
      </c>
      <c r="B931" s="1" t="n">
        <v>45113</v>
      </c>
      <c r="C931" s="1" t="n">
        <v>45569</v>
      </c>
      <c r="D931" t="inlineStr">
        <is>
          <t>KALMAR LÄN</t>
        </is>
      </c>
      <c r="E931" t="inlineStr">
        <is>
          <t>VIMMERBY</t>
        </is>
      </c>
      <c r="G931" t="n">
        <v>3.2</v>
      </c>
      <c r="H931" t="n">
        <v>0</v>
      </c>
      <c r="I931" t="n">
        <v>0</v>
      </c>
      <c r="J931" t="n">
        <v>0</v>
      </c>
      <c r="K931" t="n">
        <v>0</v>
      </c>
      <c r="L931" t="n">
        <v>0</v>
      </c>
      <c r="M931" t="n">
        <v>0</v>
      </c>
      <c r="N931" t="n">
        <v>0</v>
      </c>
      <c r="O931" t="n">
        <v>0</v>
      </c>
      <c r="P931" t="n">
        <v>0</v>
      </c>
      <c r="Q931" t="n">
        <v>0</v>
      </c>
      <c r="R931" s="2" t="inlineStr"/>
    </row>
    <row r="932" ht="15" customHeight="1">
      <c r="A932" t="inlineStr">
        <is>
          <t>A 30899-2023</t>
        </is>
      </c>
      <c r="B932" s="1" t="n">
        <v>45113</v>
      </c>
      <c r="C932" s="1" t="n">
        <v>45569</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30912-2023</t>
        </is>
      </c>
      <c r="B933" s="1" t="n">
        <v>45113</v>
      </c>
      <c r="C933" s="1" t="n">
        <v>45569</v>
      </c>
      <c r="D933" t="inlineStr">
        <is>
          <t>KALMAR LÄN</t>
        </is>
      </c>
      <c r="E933" t="inlineStr">
        <is>
          <t>VIMMERBY</t>
        </is>
      </c>
      <c r="G933" t="n">
        <v>5</v>
      </c>
      <c r="H933" t="n">
        <v>0</v>
      </c>
      <c r="I933" t="n">
        <v>0</v>
      </c>
      <c r="J933" t="n">
        <v>0</v>
      </c>
      <c r="K933" t="n">
        <v>0</v>
      </c>
      <c r="L933" t="n">
        <v>0</v>
      </c>
      <c r="M933" t="n">
        <v>0</v>
      </c>
      <c r="N933" t="n">
        <v>0</v>
      </c>
      <c r="O933" t="n">
        <v>0</v>
      </c>
      <c r="P933" t="n">
        <v>0</v>
      </c>
      <c r="Q933" t="n">
        <v>0</v>
      </c>
      <c r="R933" s="2" t="inlineStr"/>
    </row>
    <row r="934" ht="15" customHeight="1">
      <c r="A934" t="inlineStr">
        <is>
          <t>A 30920-2023</t>
        </is>
      </c>
      <c r="B934" s="1" t="n">
        <v>45113</v>
      </c>
      <c r="C934" s="1" t="n">
        <v>45569</v>
      </c>
      <c r="D934" t="inlineStr">
        <is>
          <t>KALMAR LÄN</t>
        </is>
      </c>
      <c r="E934" t="inlineStr">
        <is>
          <t>VIMMERBY</t>
        </is>
      </c>
      <c r="G934" t="n">
        <v>3.1</v>
      </c>
      <c r="H934" t="n">
        <v>0</v>
      </c>
      <c r="I934" t="n">
        <v>0</v>
      </c>
      <c r="J934" t="n">
        <v>0</v>
      </c>
      <c r="K934" t="n">
        <v>0</v>
      </c>
      <c r="L934" t="n">
        <v>0</v>
      </c>
      <c r="M934" t="n">
        <v>0</v>
      </c>
      <c r="N934" t="n">
        <v>0</v>
      </c>
      <c r="O934" t="n">
        <v>0</v>
      </c>
      <c r="P934" t="n">
        <v>0</v>
      </c>
      <c r="Q934" t="n">
        <v>0</v>
      </c>
      <c r="R934" s="2" t="inlineStr"/>
    </row>
    <row r="935" ht="15" customHeight="1">
      <c r="A935" t="inlineStr">
        <is>
          <t>A 30894-2023</t>
        </is>
      </c>
      <c r="B935" s="1" t="n">
        <v>45113</v>
      </c>
      <c r="C935" s="1" t="n">
        <v>45569</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30898-2023</t>
        </is>
      </c>
      <c r="B936" s="1" t="n">
        <v>45113</v>
      </c>
      <c r="C936" s="1" t="n">
        <v>45569</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31013-2023</t>
        </is>
      </c>
      <c r="B937" s="1" t="n">
        <v>45113</v>
      </c>
      <c r="C937" s="1" t="n">
        <v>45569</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31017-2023</t>
        </is>
      </c>
      <c r="B938" s="1" t="n">
        <v>45113</v>
      </c>
      <c r="C938" s="1" t="n">
        <v>45569</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31340-2023</t>
        </is>
      </c>
      <c r="B939" s="1" t="n">
        <v>45114</v>
      </c>
      <c r="C939" s="1" t="n">
        <v>45569</v>
      </c>
      <c r="D939" t="inlineStr">
        <is>
          <t>KALMAR LÄN</t>
        </is>
      </c>
      <c r="E939" t="inlineStr">
        <is>
          <t>VIMMERBY</t>
        </is>
      </c>
      <c r="G939" t="n">
        <v>1.8</v>
      </c>
      <c r="H939" t="n">
        <v>0</v>
      </c>
      <c r="I939" t="n">
        <v>0</v>
      </c>
      <c r="J939" t="n">
        <v>0</v>
      </c>
      <c r="K939" t="n">
        <v>0</v>
      </c>
      <c r="L939" t="n">
        <v>0</v>
      </c>
      <c r="M939" t="n">
        <v>0</v>
      </c>
      <c r="N939" t="n">
        <v>0</v>
      </c>
      <c r="O939" t="n">
        <v>0</v>
      </c>
      <c r="P939" t="n">
        <v>0</v>
      </c>
      <c r="Q939" t="n">
        <v>0</v>
      </c>
      <c r="R939" s="2" t="inlineStr"/>
    </row>
    <row r="940" ht="15" customHeight="1">
      <c r="A940" t="inlineStr">
        <is>
          <t>A 31369-2023</t>
        </is>
      </c>
      <c r="B940" s="1" t="n">
        <v>45114</v>
      </c>
      <c r="C940" s="1" t="n">
        <v>45569</v>
      </c>
      <c r="D940" t="inlineStr">
        <is>
          <t>KALMAR LÄN</t>
        </is>
      </c>
      <c r="E940" t="inlineStr">
        <is>
          <t>VIMMERBY</t>
        </is>
      </c>
      <c r="G940" t="n">
        <v>2.3</v>
      </c>
      <c r="H940" t="n">
        <v>0</v>
      </c>
      <c r="I940" t="n">
        <v>0</v>
      </c>
      <c r="J940" t="n">
        <v>0</v>
      </c>
      <c r="K940" t="n">
        <v>0</v>
      </c>
      <c r="L940" t="n">
        <v>0</v>
      </c>
      <c r="M940" t="n">
        <v>0</v>
      </c>
      <c r="N940" t="n">
        <v>0</v>
      </c>
      <c r="O940" t="n">
        <v>0</v>
      </c>
      <c r="P940" t="n">
        <v>0</v>
      </c>
      <c r="Q940" t="n">
        <v>0</v>
      </c>
      <c r="R940" s="2" t="inlineStr"/>
    </row>
    <row r="941" ht="15" customHeight="1">
      <c r="A941" t="inlineStr">
        <is>
          <t>A 31377-2023</t>
        </is>
      </c>
      <c r="B941" s="1" t="n">
        <v>45114</v>
      </c>
      <c r="C941" s="1" t="n">
        <v>45569</v>
      </c>
      <c r="D941" t="inlineStr">
        <is>
          <t>KALMAR LÄN</t>
        </is>
      </c>
      <c r="E941" t="inlineStr">
        <is>
          <t>VIMMERBY</t>
        </is>
      </c>
      <c r="G941" t="n">
        <v>2</v>
      </c>
      <c r="H941" t="n">
        <v>0</v>
      </c>
      <c r="I941" t="n">
        <v>0</v>
      </c>
      <c r="J941" t="n">
        <v>0</v>
      </c>
      <c r="K941" t="n">
        <v>0</v>
      </c>
      <c r="L941" t="n">
        <v>0</v>
      </c>
      <c r="M941" t="n">
        <v>0</v>
      </c>
      <c r="N941" t="n">
        <v>0</v>
      </c>
      <c r="O941" t="n">
        <v>0</v>
      </c>
      <c r="P941" t="n">
        <v>0</v>
      </c>
      <c r="Q941" t="n">
        <v>0</v>
      </c>
      <c r="R941" s="2" t="inlineStr"/>
    </row>
    <row r="942" ht="15" customHeight="1">
      <c r="A942" t="inlineStr">
        <is>
          <t>A 31382-2023</t>
        </is>
      </c>
      <c r="B942" s="1" t="n">
        <v>45114</v>
      </c>
      <c r="C942" s="1" t="n">
        <v>45569</v>
      </c>
      <c r="D942" t="inlineStr">
        <is>
          <t>KALMAR LÄN</t>
        </is>
      </c>
      <c r="E942" t="inlineStr">
        <is>
          <t>VIMMERBY</t>
        </is>
      </c>
      <c r="G942" t="n">
        <v>3.7</v>
      </c>
      <c r="H942" t="n">
        <v>0</v>
      </c>
      <c r="I942" t="n">
        <v>0</v>
      </c>
      <c r="J942" t="n">
        <v>0</v>
      </c>
      <c r="K942" t="n">
        <v>0</v>
      </c>
      <c r="L942" t="n">
        <v>0</v>
      </c>
      <c r="M942" t="n">
        <v>0</v>
      </c>
      <c r="N942" t="n">
        <v>0</v>
      </c>
      <c r="O942" t="n">
        <v>0</v>
      </c>
      <c r="P942" t="n">
        <v>0</v>
      </c>
      <c r="Q942" t="n">
        <v>0</v>
      </c>
      <c r="R942" s="2" t="inlineStr"/>
    </row>
    <row r="943" ht="15" customHeight="1">
      <c r="A943" t="inlineStr">
        <is>
          <t>A 31405-2023</t>
        </is>
      </c>
      <c r="B943" s="1" t="n">
        <v>45114</v>
      </c>
      <c r="C943" s="1" t="n">
        <v>45569</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31336-2023</t>
        </is>
      </c>
      <c r="B944" s="1" t="n">
        <v>45114</v>
      </c>
      <c r="C944" s="1" t="n">
        <v>45569</v>
      </c>
      <c r="D944" t="inlineStr">
        <is>
          <t>KALMAR LÄN</t>
        </is>
      </c>
      <c r="E944" t="inlineStr">
        <is>
          <t>VIMMERBY</t>
        </is>
      </c>
      <c r="G944" t="n">
        <v>1.3</v>
      </c>
      <c r="H944" t="n">
        <v>0</v>
      </c>
      <c r="I944" t="n">
        <v>0</v>
      </c>
      <c r="J944" t="n">
        <v>0</v>
      </c>
      <c r="K944" t="n">
        <v>0</v>
      </c>
      <c r="L944" t="n">
        <v>0</v>
      </c>
      <c r="M944" t="n">
        <v>0</v>
      </c>
      <c r="N944" t="n">
        <v>0</v>
      </c>
      <c r="O944" t="n">
        <v>0</v>
      </c>
      <c r="P944" t="n">
        <v>0</v>
      </c>
      <c r="Q944" t="n">
        <v>0</v>
      </c>
      <c r="R944" s="2" t="inlineStr"/>
    </row>
    <row r="945" ht="15" customHeight="1">
      <c r="A945" t="inlineStr">
        <is>
          <t>A 31355-2023</t>
        </is>
      </c>
      <c r="B945" s="1" t="n">
        <v>45114</v>
      </c>
      <c r="C945" s="1" t="n">
        <v>45569</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31390-2023</t>
        </is>
      </c>
      <c r="B946" s="1" t="n">
        <v>45114</v>
      </c>
      <c r="C946" s="1" t="n">
        <v>45569</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31408-2023</t>
        </is>
      </c>
      <c r="B947" s="1" t="n">
        <v>45114</v>
      </c>
      <c r="C947" s="1" t="n">
        <v>45569</v>
      </c>
      <c r="D947" t="inlineStr">
        <is>
          <t>KALMAR LÄN</t>
        </is>
      </c>
      <c r="E947" t="inlineStr">
        <is>
          <t>VIMMERBY</t>
        </is>
      </c>
      <c r="G947" t="n">
        <v>4.4</v>
      </c>
      <c r="H947" t="n">
        <v>0</v>
      </c>
      <c r="I947" t="n">
        <v>0</v>
      </c>
      <c r="J947" t="n">
        <v>0</v>
      </c>
      <c r="K947" t="n">
        <v>0</v>
      </c>
      <c r="L947" t="n">
        <v>0</v>
      </c>
      <c r="M947" t="n">
        <v>0</v>
      </c>
      <c r="N947" t="n">
        <v>0</v>
      </c>
      <c r="O947" t="n">
        <v>0</v>
      </c>
      <c r="P947" t="n">
        <v>0</v>
      </c>
      <c r="Q947" t="n">
        <v>0</v>
      </c>
      <c r="R947" s="2" t="inlineStr"/>
    </row>
    <row r="948" ht="15" customHeight="1">
      <c r="A948" t="inlineStr">
        <is>
          <t>A 31682-2023</t>
        </is>
      </c>
      <c r="B948" s="1" t="n">
        <v>45117</v>
      </c>
      <c r="C948" s="1" t="n">
        <v>45569</v>
      </c>
      <c r="D948" t="inlineStr">
        <is>
          <t>KALMAR LÄN</t>
        </is>
      </c>
      <c r="E948" t="inlineStr">
        <is>
          <t>VIMMERBY</t>
        </is>
      </c>
      <c r="G948" t="n">
        <v>2.2</v>
      </c>
      <c r="H948" t="n">
        <v>0</v>
      </c>
      <c r="I948" t="n">
        <v>0</v>
      </c>
      <c r="J948" t="n">
        <v>0</v>
      </c>
      <c r="K948" t="n">
        <v>0</v>
      </c>
      <c r="L948" t="n">
        <v>0</v>
      </c>
      <c r="M948" t="n">
        <v>0</v>
      </c>
      <c r="N948" t="n">
        <v>0</v>
      </c>
      <c r="O948" t="n">
        <v>0</v>
      </c>
      <c r="P948" t="n">
        <v>0</v>
      </c>
      <c r="Q948" t="n">
        <v>0</v>
      </c>
      <c r="R948" s="2" t="inlineStr"/>
    </row>
    <row r="949" ht="15" customHeight="1">
      <c r="A949" t="inlineStr">
        <is>
          <t>A 32633-2023</t>
        </is>
      </c>
      <c r="B949" s="1" t="n">
        <v>45121</v>
      </c>
      <c r="C949" s="1" t="n">
        <v>45569</v>
      </c>
      <c r="D949" t="inlineStr">
        <is>
          <t>KALMAR LÄN</t>
        </is>
      </c>
      <c r="E949" t="inlineStr">
        <is>
          <t>VIMMERBY</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32651-2023</t>
        </is>
      </c>
      <c r="B950" s="1" t="n">
        <v>45121</v>
      </c>
      <c r="C950" s="1" t="n">
        <v>45569</v>
      </c>
      <c r="D950" t="inlineStr">
        <is>
          <t>KALMAR LÄN</t>
        </is>
      </c>
      <c r="E950" t="inlineStr">
        <is>
          <t>VIMMERBY</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32655-2023</t>
        </is>
      </c>
      <c r="B951" s="1" t="n">
        <v>45121</v>
      </c>
      <c r="C951" s="1" t="n">
        <v>45569</v>
      </c>
      <c r="D951" t="inlineStr">
        <is>
          <t>KALMAR LÄN</t>
        </is>
      </c>
      <c r="E951" t="inlineStr">
        <is>
          <t>VIMMERBY</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32669-2023</t>
        </is>
      </c>
      <c r="B952" s="1" t="n">
        <v>45121</v>
      </c>
      <c r="C952" s="1" t="n">
        <v>45569</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32614-2023</t>
        </is>
      </c>
      <c r="B953" s="1" t="n">
        <v>45121</v>
      </c>
      <c r="C953" s="1" t="n">
        <v>45569</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32642-2023</t>
        </is>
      </c>
      <c r="B954" s="1" t="n">
        <v>45121</v>
      </c>
      <c r="C954" s="1" t="n">
        <v>45569</v>
      </c>
      <c r="D954" t="inlineStr">
        <is>
          <t>KALMAR LÄN</t>
        </is>
      </c>
      <c r="E954" t="inlineStr">
        <is>
          <t>VIMMERBY</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32639-2023</t>
        </is>
      </c>
      <c r="B955" s="1" t="n">
        <v>45121</v>
      </c>
      <c r="C955" s="1" t="n">
        <v>45569</v>
      </c>
      <c r="D955" t="inlineStr">
        <is>
          <t>KALMAR LÄN</t>
        </is>
      </c>
      <c r="E955" t="inlineStr">
        <is>
          <t>VIMMERBY</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32865-2023</t>
        </is>
      </c>
      <c r="B956" s="1" t="n">
        <v>45124</v>
      </c>
      <c r="C956" s="1" t="n">
        <v>45569</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32984-2023</t>
        </is>
      </c>
      <c r="B957" s="1" t="n">
        <v>45125</v>
      </c>
      <c r="C957" s="1" t="n">
        <v>45569</v>
      </c>
      <c r="D957" t="inlineStr">
        <is>
          <t>KALMAR LÄN</t>
        </is>
      </c>
      <c r="E957" t="inlineStr">
        <is>
          <t>VIMMERBY</t>
        </is>
      </c>
      <c r="G957" t="n">
        <v>1.7</v>
      </c>
      <c r="H957" t="n">
        <v>0</v>
      </c>
      <c r="I957" t="n">
        <v>0</v>
      </c>
      <c r="J957" t="n">
        <v>0</v>
      </c>
      <c r="K957" t="n">
        <v>0</v>
      </c>
      <c r="L957" t="n">
        <v>0</v>
      </c>
      <c r="M957" t="n">
        <v>0</v>
      </c>
      <c r="N957" t="n">
        <v>0</v>
      </c>
      <c r="O957" t="n">
        <v>0</v>
      </c>
      <c r="P957" t="n">
        <v>0</v>
      </c>
      <c r="Q957" t="n">
        <v>0</v>
      </c>
      <c r="R957" s="2" t="inlineStr"/>
    </row>
    <row r="958" ht="15" customHeight="1">
      <c r="A958" t="inlineStr">
        <is>
          <t>A 33236-2023</t>
        </is>
      </c>
      <c r="B958" s="1" t="n">
        <v>45127</v>
      </c>
      <c r="C958" s="1" t="n">
        <v>45569</v>
      </c>
      <c r="D958" t="inlineStr">
        <is>
          <t>KALMAR LÄN</t>
        </is>
      </c>
      <c r="E958" t="inlineStr">
        <is>
          <t>VIMMERBY</t>
        </is>
      </c>
      <c r="G958" t="n">
        <v>2.5</v>
      </c>
      <c r="H958" t="n">
        <v>0</v>
      </c>
      <c r="I958" t="n">
        <v>0</v>
      </c>
      <c r="J958" t="n">
        <v>0</v>
      </c>
      <c r="K958" t="n">
        <v>0</v>
      </c>
      <c r="L958" t="n">
        <v>0</v>
      </c>
      <c r="M958" t="n">
        <v>0</v>
      </c>
      <c r="N958" t="n">
        <v>0</v>
      </c>
      <c r="O958" t="n">
        <v>0</v>
      </c>
      <c r="P958" t="n">
        <v>0</v>
      </c>
      <c r="Q958" t="n">
        <v>0</v>
      </c>
      <c r="R958" s="2" t="inlineStr"/>
    </row>
    <row r="959" ht="15" customHeight="1">
      <c r="A959" t="inlineStr">
        <is>
          <t>A 33340-2023</t>
        </is>
      </c>
      <c r="B959" s="1" t="n">
        <v>45128</v>
      </c>
      <c r="C959" s="1" t="n">
        <v>45569</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33383-2023</t>
        </is>
      </c>
      <c r="B960" s="1" t="n">
        <v>45128</v>
      </c>
      <c r="C960" s="1" t="n">
        <v>45569</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33380-2023</t>
        </is>
      </c>
      <c r="B961" s="1" t="n">
        <v>45128</v>
      </c>
      <c r="C961" s="1" t="n">
        <v>45569</v>
      </c>
      <c r="D961" t="inlineStr">
        <is>
          <t>KALMAR LÄN</t>
        </is>
      </c>
      <c r="E961" t="inlineStr">
        <is>
          <t>VIMMERBY</t>
        </is>
      </c>
      <c r="G961" t="n">
        <v>5.2</v>
      </c>
      <c r="H961" t="n">
        <v>0</v>
      </c>
      <c r="I961" t="n">
        <v>0</v>
      </c>
      <c r="J961" t="n">
        <v>0</v>
      </c>
      <c r="K961" t="n">
        <v>0</v>
      </c>
      <c r="L961" t="n">
        <v>0</v>
      </c>
      <c r="M961" t="n">
        <v>0</v>
      </c>
      <c r="N961" t="n">
        <v>0</v>
      </c>
      <c r="O961" t="n">
        <v>0</v>
      </c>
      <c r="P961" t="n">
        <v>0</v>
      </c>
      <c r="Q961" t="n">
        <v>0</v>
      </c>
      <c r="R961" s="2" t="inlineStr"/>
    </row>
    <row r="962" ht="15" customHeight="1">
      <c r="A962" t="inlineStr">
        <is>
          <t>A 33417-2023</t>
        </is>
      </c>
      <c r="B962" s="1" t="n">
        <v>45128</v>
      </c>
      <c r="C962" s="1" t="n">
        <v>45569</v>
      </c>
      <c r="D962" t="inlineStr">
        <is>
          <t>KALMAR LÄN</t>
        </is>
      </c>
      <c r="E962" t="inlineStr">
        <is>
          <t>VIMMERBY</t>
        </is>
      </c>
      <c r="G962" t="n">
        <v>4.8</v>
      </c>
      <c r="H962" t="n">
        <v>0</v>
      </c>
      <c r="I962" t="n">
        <v>0</v>
      </c>
      <c r="J962" t="n">
        <v>0</v>
      </c>
      <c r="K962" t="n">
        <v>0</v>
      </c>
      <c r="L962" t="n">
        <v>0</v>
      </c>
      <c r="M962" t="n">
        <v>0</v>
      </c>
      <c r="N962" t="n">
        <v>0</v>
      </c>
      <c r="O962" t="n">
        <v>0</v>
      </c>
      <c r="P962" t="n">
        <v>0</v>
      </c>
      <c r="Q962" t="n">
        <v>0</v>
      </c>
      <c r="R962" s="2" t="inlineStr"/>
    </row>
    <row r="963" ht="15" customHeight="1">
      <c r="A963" t="inlineStr">
        <is>
          <t>A 33425-2023</t>
        </is>
      </c>
      <c r="B963" s="1" t="n">
        <v>45129</v>
      </c>
      <c r="C963" s="1" t="n">
        <v>45569</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33424-2023</t>
        </is>
      </c>
      <c r="B964" s="1" t="n">
        <v>45129</v>
      </c>
      <c r="C964" s="1" t="n">
        <v>45569</v>
      </c>
      <c r="D964" t="inlineStr">
        <is>
          <t>KALMAR LÄN</t>
        </is>
      </c>
      <c r="E964" t="inlineStr">
        <is>
          <t>VIMMERBY</t>
        </is>
      </c>
      <c r="G964" t="n">
        <v>2.4</v>
      </c>
      <c r="H964" t="n">
        <v>0</v>
      </c>
      <c r="I964" t="n">
        <v>0</v>
      </c>
      <c r="J964" t="n">
        <v>0</v>
      </c>
      <c r="K964" t="n">
        <v>0</v>
      </c>
      <c r="L964" t="n">
        <v>0</v>
      </c>
      <c r="M964" t="n">
        <v>0</v>
      </c>
      <c r="N964" t="n">
        <v>0</v>
      </c>
      <c r="O964" t="n">
        <v>0</v>
      </c>
      <c r="P964" t="n">
        <v>0</v>
      </c>
      <c r="Q964" t="n">
        <v>0</v>
      </c>
      <c r="R964" s="2" t="inlineStr"/>
    </row>
    <row r="965" ht="15" customHeight="1">
      <c r="A965" t="inlineStr">
        <is>
          <t>A 33649-2023</t>
        </is>
      </c>
      <c r="B965" s="1" t="n">
        <v>45132</v>
      </c>
      <c r="C965" s="1" t="n">
        <v>45569</v>
      </c>
      <c r="D965" t="inlineStr">
        <is>
          <t>KALMAR LÄN</t>
        </is>
      </c>
      <c r="E965" t="inlineStr">
        <is>
          <t>VIMMERBY</t>
        </is>
      </c>
      <c r="G965" t="n">
        <v>4.9</v>
      </c>
      <c r="H965" t="n">
        <v>0</v>
      </c>
      <c r="I965" t="n">
        <v>0</v>
      </c>
      <c r="J965" t="n">
        <v>0</v>
      </c>
      <c r="K965" t="n">
        <v>0</v>
      </c>
      <c r="L965" t="n">
        <v>0</v>
      </c>
      <c r="M965" t="n">
        <v>0</v>
      </c>
      <c r="N965" t="n">
        <v>0</v>
      </c>
      <c r="O965" t="n">
        <v>0</v>
      </c>
      <c r="P965" t="n">
        <v>0</v>
      </c>
      <c r="Q965" t="n">
        <v>0</v>
      </c>
      <c r="R965" s="2" t="inlineStr"/>
    </row>
    <row r="966" ht="15" customHeight="1">
      <c r="A966" t="inlineStr">
        <is>
          <t>A 34205-2023</t>
        </is>
      </c>
      <c r="B966" s="1" t="n">
        <v>45138</v>
      </c>
      <c r="C966" s="1" t="n">
        <v>45569</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34300-2023</t>
        </is>
      </c>
      <c r="B967" s="1" t="n">
        <v>45138</v>
      </c>
      <c r="C967" s="1" t="n">
        <v>45569</v>
      </c>
      <c r="D967" t="inlineStr">
        <is>
          <t>KALMAR LÄN</t>
        </is>
      </c>
      <c r="E967" t="inlineStr">
        <is>
          <t>VIMMERBY</t>
        </is>
      </c>
      <c r="G967" t="n">
        <v>0.9</v>
      </c>
      <c r="H967" t="n">
        <v>0</v>
      </c>
      <c r="I967" t="n">
        <v>0</v>
      </c>
      <c r="J967" t="n">
        <v>0</v>
      </c>
      <c r="K967" t="n">
        <v>0</v>
      </c>
      <c r="L967" t="n">
        <v>0</v>
      </c>
      <c r="M967" t="n">
        <v>0</v>
      </c>
      <c r="N967" t="n">
        <v>0</v>
      </c>
      <c r="O967" t="n">
        <v>0</v>
      </c>
      <c r="P967" t="n">
        <v>0</v>
      </c>
      <c r="Q967" t="n">
        <v>0</v>
      </c>
      <c r="R967" s="2" t="inlineStr"/>
    </row>
    <row r="968" ht="15" customHeight="1">
      <c r="A968" t="inlineStr">
        <is>
          <t>A 34956-2023</t>
        </is>
      </c>
      <c r="B968" s="1" t="n">
        <v>45142</v>
      </c>
      <c r="C968" s="1" t="n">
        <v>45569</v>
      </c>
      <c r="D968" t="inlineStr">
        <is>
          <t>KALMAR LÄN</t>
        </is>
      </c>
      <c r="E968" t="inlineStr">
        <is>
          <t>VIMMERBY</t>
        </is>
      </c>
      <c r="G968" t="n">
        <v>1</v>
      </c>
      <c r="H968" t="n">
        <v>0</v>
      </c>
      <c r="I968" t="n">
        <v>0</v>
      </c>
      <c r="J968" t="n">
        <v>0</v>
      </c>
      <c r="K968" t="n">
        <v>0</v>
      </c>
      <c r="L968" t="n">
        <v>0</v>
      </c>
      <c r="M968" t="n">
        <v>0</v>
      </c>
      <c r="N968" t="n">
        <v>0</v>
      </c>
      <c r="O968" t="n">
        <v>0</v>
      </c>
      <c r="P968" t="n">
        <v>0</v>
      </c>
      <c r="Q968" t="n">
        <v>0</v>
      </c>
      <c r="R968" s="2" t="inlineStr"/>
    </row>
    <row r="969" ht="15" customHeight="1">
      <c r="A969" t="inlineStr">
        <is>
          <t>A 35190-2023</t>
        </is>
      </c>
      <c r="B969" s="1" t="n">
        <v>45145</v>
      </c>
      <c r="C969" s="1" t="n">
        <v>45569</v>
      </c>
      <c r="D969" t="inlineStr">
        <is>
          <t>KALMAR LÄN</t>
        </is>
      </c>
      <c r="E969" t="inlineStr">
        <is>
          <t>VIMMERBY</t>
        </is>
      </c>
      <c r="G969" t="n">
        <v>3.5</v>
      </c>
      <c r="H969" t="n">
        <v>0</v>
      </c>
      <c r="I969" t="n">
        <v>0</v>
      </c>
      <c r="J969" t="n">
        <v>0</v>
      </c>
      <c r="K969" t="n">
        <v>0</v>
      </c>
      <c r="L969" t="n">
        <v>0</v>
      </c>
      <c r="M969" t="n">
        <v>0</v>
      </c>
      <c r="N969" t="n">
        <v>0</v>
      </c>
      <c r="O969" t="n">
        <v>0</v>
      </c>
      <c r="P969" t="n">
        <v>0</v>
      </c>
      <c r="Q969" t="n">
        <v>0</v>
      </c>
      <c r="R969" s="2" t="inlineStr"/>
    </row>
    <row r="970" ht="15" customHeight="1">
      <c r="A970" t="inlineStr">
        <is>
          <t>A 35198-2023</t>
        </is>
      </c>
      <c r="B970" s="1" t="n">
        <v>45145</v>
      </c>
      <c r="C970" s="1" t="n">
        <v>45569</v>
      </c>
      <c r="D970" t="inlineStr">
        <is>
          <t>KALMAR LÄN</t>
        </is>
      </c>
      <c r="E970" t="inlineStr">
        <is>
          <t>VIMMERBY</t>
        </is>
      </c>
      <c r="G970" t="n">
        <v>1.6</v>
      </c>
      <c r="H970" t="n">
        <v>0</v>
      </c>
      <c r="I970" t="n">
        <v>0</v>
      </c>
      <c r="J970" t="n">
        <v>0</v>
      </c>
      <c r="K970" t="n">
        <v>0</v>
      </c>
      <c r="L970" t="n">
        <v>0</v>
      </c>
      <c r="M970" t="n">
        <v>0</v>
      </c>
      <c r="N970" t="n">
        <v>0</v>
      </c>
      <c r="O970" t="n">
        <v>0</v>
      </c>
      <c r="P970" t="n">
        <v>0</v>
      </c>
      <c r="Q970" t="n">
        <v>0</v>
      </c>
      <c r="R970" s="2" t="inlineStr"/>
    </row>
    <row r="971" ht="15" customHeight="1">
      <c r="A971" t="inlineStr">
        <is>
          <t>A 35372-2023</t>
        </is>
      </c>
      <c r="B971" s="1" t="n">
        <v>45146</v>
      </c>
      <c r="C971" s="1" t="n">
        <v>45569</v>
      </c>
      <c r="D971" t="inlineStr">
        <is>
          <t>KALMAR LÄN</t>
        </is>
      </c>
      <c r="E971" t="inlineStr">
        <is>
          <t>VIMMERBY</t>
        </is>
      </c>
      <c r="G971" t="n">
        <v>1.4</v>
      </c>
      <c r="H971" t="n">
        <v>0</v>
      </c>
      <c r="I971" t="n">
        <v>0</v>
      </c>
      <c r="J971" t="n">
        <v>0</v>
      </c>
      <c r="K971" t="n">
        <v>0</v>
      </c>
      <c r="L971" t="n">
        <v>0</v>
      </c>
      <c r="M971" t="n">
        <v>0</v>
      </c>
      <c r="N971" t="n">
        <v>0</v>
      </c>
      <c r="O971" t="n">
        <v>0</v>
      </c>
      <c r="P971" t="n">
        <v>0</v>
      </c>
      <c r="Q971" t="n">
        <v>0</v>
      </c>
      <c r="R971" s="2" t="inlineStr"/>
    </row>
    <row r="972" ht="15" customHeight="1">
      <c r="A972" t="inlineStr">
        <is>
          <t>A 35670-2023</t>
        </is>
      </c>
      <c r="B972" s="1" t="n">
        <v>45147</v>
      </c>
      <c r="C972" s="1" t="n">
        <v>45569</v>
      </c>
      <c r="D972" t="inlineStr">
        <is>
          <t>KALMAR LÄN</t>
        </is>
      </c>
      <c r="E972" t="inlineStr">
        <is>
          <t>VIMMERBY</t>
        </is>
      </c>
      <c r="G972" t="n">
        <v>6.4</v>
      </c>
      <c r="H972" t="n">
        <v>0</v>
      </c>
      <c r="I972" t="n">
        <v>0</v>
      </c>
      <c r="J972" t="n">
        <v>0</v>
      </c>
      <c r="K972" t="n">
        <v>0</v>
      </c>
      <c r="L972" t="n">
        <v>0</v>
      </c>
      <c r="M972" t="n">
        <v>0</v>
      </c>
      <c r="N972" t="n">
        <v>0</v>
      </c>
      <c r="O972" t="n">
        <v>0</v>
      </c>
      <c r="P972" t="n">
        <v>0</v>
      </c>
      <c r="Q972" t="n">
        <v>0</v>
      </c>
      <c r="R972" s="2" t="inlineStr"/>
    </row>
    <row r="973" ht="15" customHeight="1">
      <c r="A973" t="inlineStr">
        <is>
          <t>A 35678-2023</t>
        </is>
      </c>
      <c r="B973" s="1" t="n">
        <v>45147</v>
      </c>
      <c r="C973" s="1" t="n">
        <v>45569</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35710-2023</t>
        </is>
      </c>
      <c r="B974" s="1" t="n">
        <v>45147</v>
      </c>
      <c r="C974" s="1" t="n">
        <v>45569</v>
      </c>
      <c r="D974" t="inlineStr">
        <is>
          <t>KALMAR LÄN</t>
        </is>
      </c>
      <c r="E974" t="inlineStr">
        <is>
          <t>VIMMERBY</t>
        </is>
      </c>
      <c r="G974" t="n">
        <v>3.1</v>
      </c>
      <c r="H974" t="n">
        <v>0</v>
      </c>
      <c r="I974" t="n">
        <v>0</v>
      </c>
      <c r="J974" t="n">
        <v>0</v>
      </c>
      <c r="K974" t="n">
        <v>0</v>
      </c>
      <c r="L974" t="n">
        <v>0</v>
      </c>
      <c r="M974" t="n">
        <v>0</v>
      </c>
      <c r="N974" t="n">
        <v>0</v>
      </c>
      <c r="O974" t="n">
        <v>0</v>
      </c>
      <c r="P974" t="n">
        <v>0</v>
      </c>
      <c r="Q974" t="n">
        <v>0</v>
      </c>
      <c r="R974" s="2" t="inlineStr"/>
    </row>
    <row r="975" ht="15" customHeight="1">
      <c r="A975" t="inlineStr">
        <is>
          <t>A 35671-2023</t>
        </is>
      </c>
      <c r="B975" s="1" t="n">
        <v>45147</v>
      </c>
      <c r="C975" s="1" t="n">
        <v>45569</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35711-2023</t>
        </is>
      </c>
      <c r="B976" s="1" t="n">
        <v>45147</v>
      </c>
      <c r="C976" s="1" t="n">
        <v>45569</v>
      </c>
      <c r="D976" t="inlineStr">
        <is>
          <t>KALMAR LÄN</t>
        </is>
      </c>
      <c r="E976" t="inlineStr">
        <is>
          <t>VIMMERBY</t>
        </is>
      </c>
      <c r="G976" t="n">
        <v>1</v>
      </c>
      <c r="H976" t="n">
        <v>0</v>
      </c>
      <c r="I976" t="n">
        <v>0</v>
      </c>
      <c r="J976" t="n">
        <v>0</v>
      </c>
      <c r="K976" t="n">
        <v>0</v>
      </c>
      <c r="L976" t="n">
        <v>0</v>
      </c>
      <c r="M976" t="n">
        <v>0</v>
      </c>
      <c r="N976" t="n">
        <v>0</v>
      </c>
      <c r="O976" t="n">
        <v>0</v>
      </c>
      <c r="P976" t="n">
        <v>0</v>
      </c>
      <c r="Q976" t="n">
        <v>0</v>
      </c>
      <c r="R976" s="2" t="inlineStr"/>
    </row>
    <row r="977" ht="15" customHeight="1">
      <c r="A977" t="inlineStr">
        <is>
          <t>A 35672-2023</t>
        </is>
      </c>
      <c r="B977" s="1" t="n">
        <v>45147</v>
      </c>
      <c r="C977" s="1" t="n">
        <v>45569</v>
      </c>
      <c r="D977" t="inlineStr">
        <is>
          <t>KALMAR LÄN</t>
        </is>
      </c>
      <c r="E977" t="inlineStr">
        <is>
          <t>VIMMERBY</t>
        </is>
      </c>
      <c r="G977" t="n">
        <v>1.1</v>
      </c>
      <c r="H977" t="n">
        <v>0</v>
      </c>
      <c r="I977" t="n">
        <v>0</v>
      </c>
      <c r="J977" t="n">
        <v>0</v>
      </c>
      <c r="K977" t="n">
        <v>0</v>
      </c>
      <c r="L977" t="n">
        <v>0</v>
      </c>
      <c r="M977" t="n">
        <v>0</v>
      </c>
      <c r="N977" t="n">
        <v>0</v>
      </c>
      <c r="O977" t="n">
        <v>0</v>
      </c>
      <c r="P977" t="n">
        <v>0</v>
      </c>
      <c r="Q977" t="n">
        <v>0</v>
      </c>
      <c r="R977" s="2" t="inlineStr"/>
    </row>
    <row r="978" ht="15" customHeight="1">
      <c r="A978" t="inlineStr">
        <is>
          <t>A 35713-2023</t>
        </is>
      </c>
      <c r="B978" s="1" t="n">
        <v>45147</v>
      </c>
      <c r="C978" s="1" t="n">
        <v>45569</v>
      </c>
      <c r="D978" t="inlineStr">
        <is>
          <t>KALMAR LÄN</t>
        </is>
      </c>
      <c r="E978" t="inlineStr">
        <is>
          <t>VIMMERBY</t>
        </is>
      </c>
      <c r="G978" t="n">
        <v>1.6</v>
      </c>
      <c r="H978" t="n">
        <v>0</v>
      </c>
      <c r="I978" t="n">
        <v>0</v>
      </c>
      <c r="J978" t="n">
        <v>0</v>
      </c>
      <c r="K978" t="n">
        <v>0</v>
      </c>
      <c r="L978" t="n">
        <v>0</v>
      </c>
      <c r="M978" t="n">
        <v>0</v>
      </c>
      <c r="N978" t="n">
        <v>0</v>
      </c>
      <c r="O978" t="n">
        <v>0</v>
      </c>
      <c r="P978" t="n">
        <v>0</v>
      </c>
      <c r="Q978" t="n">
        <v>0</v>
      </c>
      <c r="R978" s="2" t="inlineStr"/>
    </row>
    <row r="979" ht="15" customHeight="1">
      <c r="A979" t="inlineStr">
        <is>
          <t>A 35839-2023</t>
        </is>
      </c>
      <c r="B979" s="1" t="n">
        <v>45148</v>
      </c>
      <c r="C979" s="1" t="n">
        <v>45569</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35846-2023</t>
        </is>
      </c>
      <c r="B980" s="1" t="n">
        <v>45148</v>
      </c>
      <c r="C980" s="1" t="n">
        <v>45569</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35913-2023</t>
        </is>
      </c>
      <c r="B981" s="1" t="n">
        <v>45148</v>
      </c>
      <c r="C981" s="1" t="n">
        <v>45569</v>
      </c>
      <c r="D981" t="inlineStr">
        <is>
          <t>KALMAR LÄN</t>
        </is>
      </c>
      <c r="E981" t="inlineStr">
        <is>
          <t>VIMMERBY</t>
        </is>
      </c>
      <c r="G981" t="n">
        <v>6.9</v>
      </c>
      <c r="H981" t="n">
        <v>0</v>
      </c>
      <c r="I981" t="n">
        <v>0</v>
      </c>
      <c r="J981" t="n">
        <v>0</v>
      </c>
      <c r="K981" t="n">
        <v>0</v>
      </c>
      <c r="L981" t="n">
        <v>0</v>
      </c>
      <c r="M981" t="n">
        <v>0</v>
      </c>
      <c r="N981" t="n">
        <v>0</v>
      </c>
      <c r="O981" t="n">
        <v>0</v>
      </c>
      <c r="P981" t="n">
        <v>0</v>
      </c>
      <c r="Q981" t="n">
        <v>0</v>
      </c>
      <c r="R981" s="2" t="inlineStr"/>
    </row>
    <row r="982" ht="15" customHeight="1">
      <c r="A982" t="inlineStr">
        <is>
          <t>A 36155-2023</t>
        </is>
      </c>
      <c r="B982" s="1" t="n">
        <v>45149</v>
      </c>
      <c r="C982" s="1" t="n">
        <v>45569</v>
      </c>
      <c r="D982" t="inlineStr">
        <is>
          <t>KALMAR LÄN</t>
        </is>
      </c>
      <c r="E982" t="inlineStr">
        <is>
          <t>VIMMERBY</t>
        </is>
      </c>
      <c r="G982" t="n">
        <v>5</v>
      </c>
      <c r="H982" t="n">
        <v>0</v>
      </c>
      <c r="I982" t="n">
        <v>0</v>
      </c>
      <c r="J982" t="n">
        <v>0</v>
      </c>
      <c r="K982" t="n">
        <v>0</v>
      </c>
      <c r="L982" t="n">
        <v>0</v>
      </c>
      <c r="M982" t="n">
        <v>0</v>
      </c>
      <c r="N982" t="n">
        <v>0</v>
      </c>
      <c r="O982" t="n">
        <v>0</v>
      </c>
      <c r="P982" t="n">
        <v>0</v>
      </c>
      <c r="Q982" t="n">
        <v>0</v>
      </c>
      <c r="R982" s="2" t="inlineStr"/>
    </row>
    <row r="983" ht="15" customHeight="1">
      <c r="A983" t="inlineStr">
        <is>
          <t>A 36385-2023</t>
        </is>
      </c>
      <c r="B983" s="1" t="n">
        <v>45152</v>
      </c>
      <c r="C983" s="1" t="n">
        <v>45569</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36526-2023</t>
        </is>
      </c>
      <c r="B984" s="1" t="n">
        <v>45153</v>
      </c>
      <c r="C984" s="1" t="n">
        <v>45569</v>
      </c>
      <c r="D984" t="inlineStr">
        <is>
          <t>KALMAR LÄN</t>
        </is>
      </c>
      <c r="E984" t="inlineStr">
        <is>
          <t>VIMMERBY</t>
        </is>
      </c>
      <c r="G984" t="n">
        <v>2.7</v>
      </c>
      <c r="H984" t="n">
        <v>0</v>
      </c>
      <c r="I984" t="n">
        <v>0</v>
      </c>
      <c r="J984" t="n">
        <v>0</v>
      </c>
      <c r="K984" t="n">
        <v>0</v>
      </c>
      <c r="L984" t="n">
        <v>0</v>
      </c>
      <c r="M984" t="n">
        <v>0</v>
      </c>
      <c r="N984" t="n">
        <v>0</v>
      </c>
      <c r="O984" t="n">
        <v>0</v>
      </c>
      <c r="P984" t="n">
        <v>0</v>
      </c>
      <c r="Q984" t="n">
        <v>0</v>
      </c>
      <c r="R984" s="2" t="inlineStr"/>
    </row>
    <row r="985" ht="15" customHeight="1">
      <c r="A985" t="inlineStr">
        <is>
          <t>A 36843-2023</t>
        </is>
      </c>
      <c r="B985" s="1" t="n">
        <v>45154</v>
      </c>
      <c r="C985" s="1" t="n">
        <v>45569</v>
      </c>
      <c r="D985" t="inlineStr">
        <is>
          <t>KALMAR LÄN</t>
        </is>
      </c>
      <c r="E985" t="inlineStr">
        <is>
          <t>VIMMERBY</t>
        </is>
      </c>
      <c r="G985" t="n">
        <v>2</v>
      </c>
      <c r="H985" t="n">
        <v>0</v>
      </c>
      <c r="I985" t="n">
        <v>0</v>
      </c>
      <c r="J985" t="n">
        <v>0</v>
      </c>
      <c r="K985" t="n">
        <v>0</v>
      </c>
      <c r="L985" t="n">
        <v>0</v>
      </c>
      <c r="M985" t="n">
        <v>0</v>
      </c>
      <c r="N985" t="n">
        <v>0</v>
      </c>
      <c r="O985" t="n">
        <v>0</v>
      </c>
      <c r="P985" t="n">
        <v>0</v>
      </c>
      <c r="Q985" t="n">
        <v>0</v>
      </c>
      <c r="R985" s="2" t="inlineStr"/>
    </row>
    <row r="986" ht="15" customHeight="1">
      <c r="A986" t="inlineStr">
        <is>
          <t>A 37373-2023</t>
        </is>
      </c>
      <c r="B986" s="1" t="n">
        <v>45156</v>
      </c>
      <c r="C986" s="1" t="n">
        <v>45569</v>
      </c>
      <c r="D986" t="inlineStr">
        <is>
          <t>KALMAR LÄN</t>
        </is>
      </c>
      <c r="E986" t="inlineStr">
        <is>
          <t>VIMMERBY</t>
        </is>
      </c>
      <c r="F986" t="inlineStr">
        <is>
          <t>Övriga Aktiebolag</t>
        </is>
      </c>
      <c r="G986" t="n">
        <v>4.7</v>
      </c>
      <c r="H986" t="n">
        <v>0</v>
      </c>
      <c r="I986" t="n">
        <v>0</v>
      </c>
      <c r="J986" t="n">
        <v>0</v>
      </c>
      <c r="K986" t="n">
        <v>0</v>
      </c>
      <c r="L986" t="n">
        <v>0</v>
      </c>
      <c r="M986" t="n">
        <v>0</v>
      </c>
      <c r="N986" t="n">
        <v>0</v>
      </c>
      <c r="O986" t="n">
        <v>0</v>
      </c>
      <c r="P986" t="n">
        <v>0</v>
      </c>
      <c r="Q986" t="n">
        <v>0</v>
      </c>
      <c r="R986" s="2" t="inlineStr"/>
    </row>
    <row r="987" ht="15" customHeight="1">
      <c r="A987" t="inlineStr">
        <is>
          <t>A 38254-2023</t>
        </is>
      </c>
      <c r="B987" s="1" t="n">
        <v>45160</v>
      </c>
      <c r="C987" s="1" t="n">
        <v>45569</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38261-2023</t>
        </is>
      </c>
      <c r="B988" s="1" t="n">
        <v>45160</v>
      </c>
      <c r="C988" s="1" t="n">
        <v>45569</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38274-2023</t>
        </is>
      </c>
      <c r="B989" s="1" t="n">
        <v>45161</v>
      </c>
      <c r="C989" s="1" t="n">
        <v>45569</v>
      </c>
      <c r="D989" t="inlineStr">
        <is>
          <t>KALMAR LÄN</t>
        </is>
      </c>
      <c r="E989" t="inlineStr">
        <is>
          <t>VIMMERBY</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38969-2023</t>
        </is>
      </c>
      <c r="B990" s="1" t="n">
        <v>45163</v>
      </c>
      <c r="C990" s="1" t="n">
        <v>45569</v>
      </c>
      <c r="D990" t="inlineStr">
        <is>
          <t>KALMAR LÄN</t>
        </is>
      </c>
      <c r="E990" t="inlineStr">
        <is>
          <t>VIMMERBY</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38993-2023</t>
        </is>
      </c>
      <c r="B991" s="1" t="n">
        <v>45163</v>
      </c>
      <c r="C991" s="1" t="n">
        <v>45569</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38851-2023</t>
        </is>
      </c>
      <c r="B992" s="1" t="n">
        <v>45163</v>
      </c>
      <c r="C992" s="1" t="n">
        <v>45569</v>
      </c>
      <c r="D992" t="inlineStr">
        <is>
          <t>KALMAR LÄN</t>
        </is>
      </c>
      <c r="E992" t="inlineStr">
        <is>
          <t>VIMMERBY</t>
        </is>
      </c>
      <c r="G992" t="n">
        <v>4.3</v>
      </c>
      <c r="H992" t="n">
        <v>0</v>
      </c>
      <c r="I992" t="n">
        <v>0</v>
      </c>
      <c r="J992" t="n">
        <v>0</v>
      </c>
      <c r="K992" t="n">
        <v>0</v>
      </c>
      <c r="L992" t="n">
        <v>0</v>
      </c>
      <c r="M992" t="n">
        <v>0</v>
      </c>
      <c r="N992" t="n">
        <v>0</v>
      </c>
      <c r="O992" t="n">
        <v>0</v>
      </c>
      <c r="P992" t="n">
        <v>0</v>
      </c>
      <c r="Q992" t="n">
        <v>0</v>
      </c>
      <c r="R992" s="2" t="inlineStr"/>
    </row>
    <row r="993" ht="15" customHeight="1">
      <c r="A993" t="inlineStr">
        <is>
          <t>A 38995-2023</t>
        </is>
      </c>
      <c r="B993" s="1" t="n">
        <v>45163</v>
      </c>
      <c r="C993" s="1" t="n">
        <v>45569</v>
      </c>
      <c r="D993" t="inlineStr">
        <is>
          <t>KALMAR LÄN</t>
        </is>
      </c>
      <c r="E993" t="inlineStr">
        <is>
          <t>VIMMERBY</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38779-2023</t>
        </is>
      </c>
      <c r="B994" s="1" t="n">
        <v>45163</v>
      </c>
      <c r="C994" s="1" t="n">
        <v>45569</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38757-2023</t>
        </is>
      </c>
      <c r="B995" s="1" t="n">
        <v>45163</v>
      </c>
      <c r="C995" s="1" t="n">
        <v>45569</v>
      </c>
      <c r="D995" t="inlineStr">
        <is>
          <t>KALMAR LÄN</t>
        </is>
      </c>
      <c r="E995" t="inlineStr">
        <is>
          <t>VIMMERBY</t>
        </is>
      </c>
      <c r="G995" t="n">
        <v>2.5</v>
      </c>
      <c r="H995" t="n">
        <v>0</v>
      </c>
      <c r="I995" t="n">
        <v>0</v>
      </c>
      <c r="J995" t="n">
        <v>0</v>
      </c>
      <c r="K995" t="n">
        <v>0</v>
      </c>
      <c r="L995" t="n">
        <v>0</v>
      </c>
      <c r="M995" t="n">
        <v>0</v>
      </c>
      <c r="N995" t="n">
        <v>0</v>
      </c>
      <c r="O995" t="n">
        <v>0</v>
      </c>
      <c r="P995" t="n">
        <v>0</v>
      </c>
      <c r="Q995" t="n">
        <v>0</v>
      </c>
      <c r="R995" s="2" t="inlineStr"/>
    </row>
    <row r="996" ht="15" customHeight="1">
      <c r="A996" t="inlineStr">
        <is>
          <t>A 38799-2023</t>
        </is>
      </c>
      <c r="B996" s="1" t="n">
        <v>45163</v>
      </c>
      <c r="C996" s="1" t="n">
        <v>45569</v>
      </c>
      <c r="D996" t="inlineStr">
        <is>
          <t>KALMAR LÄN</t>
        </is>
      </c>
      <c r="E996" t="inlineStr">
        <is>
          <t>VIMMERBY</t>
        </is>
      </c>
      <c r="G996" t="n">
        <v>4.9</v>
      </c>
      <c r="H996" t="n">
        <v>0</v>
      </c>
      <c r="I996" t="n">
        <v>0</v>
      </c>
      <c r="J996" t="n">
        <v>0</v>
      </c>
      <c r="K996" t="n">
        <v>0</v>
      </c>
      <c r="L996" t="n">
        <v>0</v>
      </c>
      <c r="M996" t="n">
        <v>0</v>
      </c>
      <c r="N996" t="n">
        <v>0</v>
      </c>
      <c r="O996" t="n">
        <v>0</v>
      </c>
      <c r="P996" t="n">
        <v>0</v>
      </c>
      <c r="Q996" t="n">
        <v>0</v>
      </c>
      <c r="R996" s="2" t="inlineStr"/>
    </row>
    <row r="997" ht="15" customHeight="1">
      <c r="A997" t="inlineStr">
        <is>
          <t>A 38803-2023</t>
        </is>
      </c>
      <c r="B997" s="1" t="n">
        <v>45163</v>
      </c>
      <c r="C997" s="1" t="n">
        <v>45569</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39129-2023</t>
        </is>
      </c>
      <c r="B998" s="1" t="n">
        <v>45165</v>
      </c>
      <c r="C998" s="1" t="n">
        <v>45569</v>
      </c>
      <c r="D998" t="inlineStr">
        <is>
          <t>KALMAR LÄN</t>
        </is>
      </c>
      <c r="E998" t="inlineStr">
        <is>
          <t>VIMMERBY</t>
        </is>
      </c>
      <c r="G998" t="n">
        <v>1.7</v>
      </c>
      <c r="H998" t="n">
        <v>0</v>
      </c>
      <c r="I998" t="n">
        <v>0</v>
      </c>
      <c r="J998" t="n">
        <v>0</v>
      </c>
      <c r="K998" t="n">
        <v>0</v>
      </c>
      <c r="L998" t="n">
        <v>0</v>
      </c>
      <c r="M998" t="n">
        <v>0</v>
      </c>
      <c r="N998" t="n">
        <v>0</v>
      </c>
      <c r="O998" t="n">
        <v>0</v>
      </c>
      <c r="P998" t="n">
        <v>0</v>
      </c>
      <c r="Q998" t="n">
        <v>0</v>
      </c>
      <c r="R998" s="2" t="inlineStr"/>
    </row>
    <row r="999" ht="15" customHeight="1">
      <c r="A999" t="inlineStr">
        <is>
          <t>A 39401-2023</t>
        </is>
      </c>
      <c r="B999" s="1" t="n">
        <v>45166</v>
      </c>
      <c r="C999" s="1" t="n">
        <v>45569</v>
      </c>
      <c r="D999" t="inlineStr">
        <is>
          <t>KALMAR LÄN</t>
        </is>
      </c>
      <c r="E999" t="inlineStr">
        <is>
          <t>VIMMERBY</t>
        </is>
      </c>
      <c r="G999" t="n">
        <v>0.8</v>
      </c>
      <c r="H999" t="n">
        <v>0</v>
      </c>
      <c r="I999" t="n">
        <v>0</v>
      </c>
      <c r="J999" t="n">
        <v>0</v>
      </c>
      <c r="K999" t="n">
        <v>0</v>
      </c>
      <c r="L999" t="n">
        <v>0</v>
      </c>
      <c r="M999" t="n">
        <v>0</v>
      </c>
      <c r="N999" t="n">
        <v>0</v>
      </c>
      <c r="O999" t="n">
        <v>0</v>
      </c>
      <c r="P999" t="n">
        <v>0</v>
      </c>
      <c r="Q999" t="n">
        <v>0</v>
      </c>
      <c r="R999" s="2" t="inlineStr"/>
    </row>
    <row r="1000" ht="15" customHeight="1">
      <c r="A1000" t="inlineStr">
        <is>
          <t>A 40079-2023</t>
        </is>
      </c>
      <c r="B1000" s="1" t="n">
        <v>45168</v>
      </c>
      <c r="C1000" s="1" t="n">
        <v>45569</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40083-2023</t>
        </is>
      </c>
      <c r="B1001" s="1" t="n">
        <v>45168</v>
      </c>
      <c r="C1001" s="1" t="n">
        <v>45569</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39912-2023</t>
        </is>
      </c>
      <c r="B1002" s="1" t="n">
        <v>45168</v>
      </c>
      <c r="C1002" s="1" t="n">
        <v>45569</v>
      </c>
      <c r="D1002" t="inlineStr">
        <is>
          <t>KALMAR LÄN</t>
        </is>
      </c>
      <c r="E1002" t="inlineStr">
        <is>
          <t>VIMMERBY</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40084-2023</t>
        </is>
      </c>
      <c r="B1003" s="1" t="n">
        <v>45168</v>
      </c>
      <c r="C1003" s="1" t="n">
        <v>45569</v>
      </c>
      <c r="D1003" t="inlineStr">
        <is>
          <t>KALMAR LÄN</t>
        </is>
      </c>
      <c r="E1003" t="inlineStr">
        <is>
          <t>VIMMERBY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40147-2023</t>
        </is>
      </c>
      <c r="B1004" s="1" t="n">
        <v>45169</v>
      </c>
      <c r="C1004" s="1" t="n">
        <v>45569</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40151-2023</t>
        </is>
      </c>
      <c r="B1005" s="1" t="n">
        <v>45169</v>
      </c>
      <c r="C1005" s="1" t="n">
        <v>45569</v>
      </c>
      <c r="D1005" t="inlineStr">
        <is>
          <t>KALMAR LÄN</t>
        </is>
      </c>
      <c r="E1005" t="inlineStr">
        <is>
          <t>VIMMERBY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40380-2023</t>
        </is>
      </c>
      <c r="B1006" s="1" t="n">
        <v>45169</v>
      </c>
      <c r="C1006" s="1" t="n">
        <v>45569</v>
      </c>
      <c r="D1006" t="inlineStr">
        <is>
          <t>KALMAR LÄN</t>
        </is>
      </c>
      <c r="E1006" t="inlineStr">
        <is>
          <t>VIMMERBY</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40472-2023</t>
        </is>
      </c>
      <c r="B1007" s="1" t="n">
        <v>45170</v>
      </c>
      <c r="C1007" s="1" t="n">
        <v>45569</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40477-2023</t>
        </is>
      </c>
      <c r="B1008" s="1" t="n">
        <v>45170</v>
      </c>
      <c r="C1008" s="1" t="n">
        <v>45569</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40665-2023</t>
        </is>
      </c>
      <c r="B1009" s="1" t="n">
        <v>45170</v>
      </c>
      <c r="C1009" s="1" t="n">
        <v>45569</v>
      </c>
      <c r="D1009" t="inlineStr">
        <is>
          <t>KALMAR LÄN</t>
        </is>
      </c>
      <c r="E1009" t="inlineStr">
        <is>
          <t>VIMMERBY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40828-2023</t>
        </is>
      </c>
      <c r="B1010" s="1" t="n">
        <v>45172</v>
      </c>
      <c r="C1010" s="1" t="n">
        <v>45569</v>
      </c>
      <c r="D1010" t="inlineStr">
        <is>
          <t>KALMAR LÄN</t>
        </is>
      </c>
      <c r="E1010" t="inlineStr">
        <is>
          <t>VIMMERBY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40823-2023</t>
        </is>
      </c>
      <c r="B1011" s="1" t="n">
        <v>45171</v>
      </c>
      <c r="C1011" s="1" t="n">
        <v>45569</v>
      </c>
      <c r="D1011" t="inlineStr">
        <is>
          <t>KALMAR LÄN</t>
        </is>
      </c>
      <c r="E1011" t="inlineStr">
        <is>
          <t>VIMMERBY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41084-2023</t>
        </is>
      </c>
      <c r="B1012" s="1" t="n">
        <v>45173</v>
      </c>
      <c r="C1012" s="1" t="n">
        <v>45569</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41088-2023</t>
        </is>
      </c>
      <c r="B1013" s="1" t="n">
        <v>45173</v>
      </c>
      <c r="C1013" s="1" t="n">
        <v>45569</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41199-2023</t>
        </is>
      </c>
      <c r="B1014" s="1" t="n">
        <v>45174</v>
      </c>
      <c r="C1014" s="1" t="n">
        <v>45569</v>
      </c>
      <c r="D1014" t="inlineStr">
        <is>
          <t>KALMAR LÄN</t>
        </is>
      </c>
      <c r="E1014" t="inlineStr">
        <is>
          <t>VIMMERBY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41311-2023</t>
        </is>
      </c>
      <c r="B1015" s="1" t="n">
        <v>45174</v>
      </c>
      <c r="C1015" s="1" t="n">
        <v>45569</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41158-2023</t>
        </is>
      </c>
      <c r="B1016" s="1" t="n">
        <v>45174</v>
      </c>
      <c r="C1016" s="1" t="n">
        <v>45569</v>
      </c>
      <c r="D1016" t="inlineStr">
        <is>
          <t>KALMAR LÄN</t>
        </is>
      </c>
      <c r="E1016" t="inlineStr">
        <is>
          <t>VIMMERBY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41202-2023</t>
        </is>
      </c>
      <c r="B1017" s="1" t="n">
        <v>45174</v>
      </c>
      <c r="C1017" s="1" t="n">
        <v>45569</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41894-2023</t>
        </is>
      </c>
      <c r="B1018" s="1" t="n">
        <v>45176</v>
      </c>
      <c r="C1018" s="1" t="n">
        <v>45569</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41896-2023</t>
        </is>
      </c>
      <c r="B1019" s="1" t="n">
        <v>45176</v>
      </c>
      <c r="C1019" s="1" t="n">
        <v>45569</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42241-2023</t>
        </is>
      </c>
      <c r="B1020" s="1" t="n">
        <v>45180</v>
      </c>
      <c r="C1020" s="1" t="n">
        <v>45569</v>
      </c>
      <c r="D1020" t="inlineStr">
        <is>
          <t>KALMAR LÄN</t>
        </is>
      </c>
      <c r="E1020" t="inlineStr">
        <is>
          <t>VIMMERBY</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42689-2023</t>
        </is>
      </c>
      <c r="B1021" s="1" t="n">
        <v>45181</v>
      </c>
      <c r="C1021" s="1" t="n">
        <v>45569</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42644-2023</t>
        </is>
      </c>
      <c r="B1022" s="1" t="n">
        <v>45181</v>
      </c>
      <c r="C1022" s="1" t="n">
        <v>45569</v>
      </c>
      <c r="D1022" t="inlineStr">
        <is>
          <t>KALMAR LÄN</t>
        </is>
      </c>
      <c r="E1022" t="inlineStr">
        <is>
          <t>VIMMERBY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43068-2023</t>
        </is>
      </c>
      <c r="B1023" s="1" t="n">
        <v>45182</v>
      </c>
      <c r="C1023" s="1" t="n">
        <v>45569</v>
      </c>
      <c r="D1023" t="inlineStr">
        <is>
          <t>KALMAR LÄN</t>
        </is>
      </c>
      <c r="E1023" t="inlineStr">
        <is>
          <t>VIMMERBY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43705-2023</t>
        </is>
      </c>
      <c r="B1024" s="1" t="n">
        <v>45187</v>
      </c>
      <c r="C1024" s="1" t="n">
        <v>45569</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43853-2023</t>
        </is>
      </c>
      <c r="B1025" s="1" t="n">
        <v>45187</v>
      </c>
      <c r="C1025" s="1" t="n">
        <v>45569</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43706-2023</t>
        </is>
      </c>
      <c r="B1026" s="1" t="n">
        <v>45187</v>
      </c>
      <c r="C1026" s="1" t="n">
        <v>45569</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43774-2023</t>
        </is>
      </c>
      <c r="B1027" s="1" t="n">
        <v>45187</v>
      </c>
      <c r="C1027" s="1" t="n">
        <v>45569</v>
      </c>
      <c r="D1027" t="inlineStr">
        <is>
          <t>KALMAR LÄN</t>
        </is>
      </c>
      <c r="E1027" t="inlineStr">
        <is>
          <t>VIMMERBY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44660-2023</t>
        </is>
      </c>
      <c r="B1028" s="1" t="n">
        <v>45189</v>
      </c>
      <c r="C1028" s="1" t="n">
        <v>45569</v>
      </c>
      <c r="D1028" t="inlineStr">
        <is>
          <t>KALMAR LÄN</t>
        </is>
      </c>
      <c r="E1028" t="inlineStr">
        <is>
          <t>VIMMERBY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44423-2023</t>
        </is>
      </c>
      <c r="B1029" s="1" t="n">
        <v>45189</v>
      </c>
      <c r="C1029" s="1" t="n">
        <v>45569</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44833-2023</t>
        </is>
      </c>
      <c r="B1030" s="1" t="n">
        <v>45190</v>
      </c>
      <c r="C1030" s="1" t="n">
        <v>45569</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44962-2023</t>
        </is>
      </c>
      <c r="B1031" s="1" t="n">
        <v>45190</v>
      </c>
      <c r="C1031" s="1" t="n">
        <v>45569</v>
      </c>
      <c r="D1031" t="inlineStr">
        <is>
          <t>KALMAR LÄN</t>
        </is>
      </c>
      <c r="E1031" t="inlineStr">
        <is>
          <t>VIMMERBY</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44887-2023</t>
        </is>
      </c>
      <c r="B1032" s="1" t="n">
        <v>45190</v>
      </c>
      <c r="C1032" s="1" t="n">
        <v>45569</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44884-2023</t>
        </is>
      </c>
      <c r="B1033" s="1" t="n">
        <v>45190</v>
      </c>
      <c r="C1033" s="1" t="n">
        <v>45569</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45838-2023</t>
        </is>
      </c>
      <c r="B1034" s="1" t="n">
        <v>45195</v>
      </c>
      <c r="C1034" s="1" t="n">
        <v>45569</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45846-2023</t>
        </is>
      </c>
      <c r="B1035" s="1" t="n">
        <v>45195</v>
      </c>
      <c r="C1035" s="1" t="n">
        <v>45569</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45731-2023</t>
        </is>
      </c>
      <c r="B1036" s="1" t="n">
        <v>45195</v>
      </c>
      <c r="C1036" s="1" t="n">
        <v>45569</v>
      </c>
      <c r="D1036" t="inlineStr">
        <is>
          <t>KALMAR LÄN</t>
        </is>
      </c>
      <c r="E1036" t="inlineStr">
        <is>
          <t>VIMMERBY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45808-2023</t>
        </is>
      </c>
      <c r="B1037" s="1" t="n">
        <v>45195</v>
      </c>
      <c r="C1037" s="1" t="n">
        <v>45569</v>
      </c>
      <c r="D1037" t="inlineStr">
        <is>
          <t>KALMAR LÄN</t>
        </is>
      </c>
      <c r="E1037" t="inlineStr">
        <is>
          <t>VIMMERBY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45839-2023</t>
        </is>
      </c>
      <c r="B1038" s="1" t="n">
        <v>45195</v>
      </c>
      <c r="C1038" s="1" t="n">
        <v>45569</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46116-2023</t>
        </is>
      </c>
      <c r="B1039" s="1" t="n">
        <v>45196</v>
      </c>
      <c r="C1039" s="1" t="n">
        <v>45569</v>
      </c>
      <c r="D1039" t="inlineStr">
        <is>
          <t>KALMAR LÄN</t>
        </is>
      </c>
      <c r="E1039" t="inlineStr">
        <is>
          <t>VIMMERBY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46078-2023</t>
        </is>
      </c>
      <c r="B1040" s="1" t="n">
        <v>45196</v>
      </c>
      <c r="C1040" s="1" t="n">
        <v>45569</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46144-2023</t>
        </is>
      </c>
      <c r="B1041" s="1" t="n">
        <v>45196</v>
      </c>
      <c r="C1041" s="1" t="n">
        <v>45569</v>
      </c>
      <c r="D1041" t="inlineStr">
        <is>
          <t>KALMAR LÄN</t>
        </is>
      </c>
      <c r="E1041" t="inlineStr">
        <is>
          <t>VIMMERBY</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46697-2023</t>
        </is>
      </c>
      <c r="B1042" s="1" t="n">
        <v>45198</v>
      </c>
      <c r="C1042" s="1" t="n">
        <v>45569</v>
      </c>
      <c r="D1042" t="inlineStr">
        <is>
          <t>KALMAR LÄN</t>
        </is>
      </c>
      <c r="E1042" t="inlineStr">
        <is>
          <t>VIMMERBY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46695-2023</t>
        </is>
      </c>
      <c r="B1043" s="1" t="n">
        <v>45198</v>
      </c>
      <c r="C1043" s="1" t="n">
        <v>45569</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46916-2023</t>
        </is>
      </c>
      <c r="B1044" s="1" t="n">
        <v>45201</v>
      </c>
      <c r="C1044" s="1" t="n">
        <v>45569</v>
      </c>
      <c r="D1044" t="inlineStr">
        <is>
          <t>KALMAR LÄN</t>
        </is>
      </c>
      <c r="E1044" t="inlineStr">
        <is>
          <t>VIMMERBY</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46921-2023</t>
        </is>
      </c>
      <c r="B1045" s="1" t="n">
        <v>45201</v>
      </c>
      <c r="C1045" s="1" t="n">
        <v>45569</v>
      </c>
      <c r="D1045" t="inlineStr">
        <is>
          <t>KALMAR LÄN</t>
        </is>
      </c>
      <c r="E1045" t="inlineStr">
        <is>
          <t>VIMMERBY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46941-2023</t>
        </is>
      </c>
      <c r="B1046" s="1" t="n">
        <v>45201</v>
      </c>
      <c r="C1046" s="1" t="n">
        <v>45569</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46979-2023</t>
        </is>
      </c>
      <c r="B1047" s="1" t="n">
        <v>45201</v>
      </c>
      <c r="C1047" s="1" t="n">
        <v>45569</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47084-2023</t>
        </is>
      </c>
      <c r="B1048" s="1" t="n">
        <v>45201</v>
      </c>
      <c r="C1048" s="1" t="n">
        <v>45569</v>
      </c>
      <c r="D1048" t="inlineStr">
        <is>
          <t>KALMAR LÄN</t>
        </is>
      </c>
      <c r="E1048" t="inlineStr">
        <is>
          <t>VIMMERBY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47247-2023</t>
        </is>
      </c>
      <c r="B1049" s="1" t="n">
        <v>45202</v>
      </c>
      <c r="C1049" s="1" t="n">
        <v>45569</v>
      </c>
      <c r="D1049" t="inlineStr">
        <is>
          <t>KALMAR LÄN</t>
        </is>
      </c>
      <c r="E1049" t="inlineStr">
        <is>
          <t>VIMMERBY</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47256-2023</t>
        </is>
      </c>
      <c r="B1050" s="1" t="n">
        <v>45202</v>
      </c>
      <c r="C1050" s="1" t="n">
        <v>45569</v>
      </c>
      <c r="D1050" t="inlineStr">
        <is>
          <t>KALMAR LÄN</t>
        </is>
      </c>
      <c r="E1050" t="inlineStr">
        <is>
          <t>VIMMERBY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47263-2023</t>
        </is>
      </c>
      <c r="B1051" s="1" t="n">
        <v>45202</v>
      </c>
      <c r="C1051" s="1" t="n">
        <v>45569</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47524-2023</t>
        </is>
      </c>
      <c r="B1052" s="1" t="n">
        <v>45203</v>
      </c>
      <c r="C1052" s="1" t="n">
        <v>45569</v>
      </c>
      <c r="D1052" t="inlineStr">
        <is>
          <t>KALMAR LÄN</t>
        </is>
      </c>
      <c r="E1052" t="inlineStr">
        <is>
          <t>VIMMERBY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47515-2023</t>
        </is>
      </c>
      <c r="B1053" s="1" t="n">
        <v>45203</v>
      </c>
      <c r="C1053" s="1" t="n">
        <v>45569</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47517-2023</t>
        </is>
      </c>
      <c r="B1054" s="1" t="n">
        <v>45203</v>
      </c>
      <c r="C1054" s="1" t="n">
        <v>45569</v>
      </c>
      <c r="D1054" t="inlineStr">
        <is>
          <t>KALMAR LÄN</t>
        </is>
      </c>
      <c r="E1054" t="inlineStr">
        <is>
          <t>VIMMERBY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47521-2023</t>
        </is>
      </c>
      <c r="B1055" s="1" t="n">
        <v>45203</v>
      </c>
      <c r="C1055" s="1" t="n">
        <v>45569</v>
      </c>
      <c r="D1055" t="inlineStr">
        <is>
          <t>KALMAR LÄN</t>
        </is>
      </c>
      <c r="E1055" t="inlineStr">
        <is>
          <t>VIMMERBY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48346-2023</t>
        </is>
      </c>
      <c r="B1056" s="1" t="n">
        <v>45205</v>
      </c>
      <c r="C1056" s="1" t="n">
        <v>45569</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49382-2023</t>
        </is>
      </c>
      <c r="B1057" s="1" t="n">
        <v>45208</v>
      </c>
      <c r="C1057" s="1" t="n">
        <v>45569</v>
      </c>
      <c r="D1057" t="inlineStr">
        <is>
          <t>KALMAR LÄN</t>
        </is>
      </c>
      <c r="E1057" t="inlineStr">
        <is>
          <t>VIMMERBY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49261-2023</t>
        </is>
      </c>
      <c r="B1058" s="1" t="n">
        <v>45210</v>
      </c>
      <c r="C1058" s="1" t="n">
        <v>45569</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49254-2023</t>
        </is>
      </c>
      <c r="B1059" s="1" t="n">
        <v>45210</v>
      </c>
      <c r="C1059" s="1" t="n">
        <v>45569</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49246-2023</t>
        </is>
      </c>
      <c r="B1060" s="1" t="n">
        <v>45210</v>
      </c>
      <c r="C1060" s="1" t="n">
        <v>45569</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49408-2023</t>
        </is>
      </c>
      <c r="B1061" s="1" t="n">
        <v>45211</v>
      </c>
      <c r="C1061" s="1" t="n">
        <v>45569</v>
      </c>
      <c r="D1061" t="inlineStr">
        <is>
          <t>KALMAR LÄN</t>
        </is>
      </c>
      <c r="E1061" t="inlineStr">
        <is>
          <t>VIMMERBY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49458-2023</t>
        </is>
      </c>
      <c r="B1062" s="1" t="n">
        <v>45211</v>
      </c>
      <c r="C1062" s="1" t="n">
        <v>45569</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49461-2023</t>
        </is>
      </c>
      <c r="B1063" s="1" t="n">
        <v>45211</v>
      </c>
      <c r="C1063" s="1" t="n">
        <v>45569</v>
      </c>
      <c r="D1063" t="inlineStr">
        <is>
          <t>KALMAR LÄN</t>
        </is>
      </c>
      <c r="E1063" t="inlineStr">
        <is>
          <t>VIMMERBY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49474-2023</t>
        </is>
      </c>
      <c r="B1064" s="1" t="n">
        <v>45211</v>
      </c>
      <c r="C1064" s="1" t="n">
        <v>45569</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49488-2023</t>
        </is>
      </c>
      <c r="B1065" s="1" t="n">
        <v>45211</v>
      </c>
      <c r="C1065" s="1" t="n">
        <v>45569</v>
      </c>
      <c r="D1065" t="inlineStr">
        <is>
          <t>KALMAR LÄN</t>
        </is>
      </c>
      <c r="E1065" t="inlineStr">
        <is>
          <t>VIMMERBY</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49756-2023</t>
        </is>
      </c>
      <c r="B1066" s="1" t="n">
        <v>45212</v>
      </c>
      <c r="C1066" s="1" t="n">
        <v>45569</v>
      </c>
      <c r="D1066" t="inlineStr">
        <is>
          <t>KALMAR LÄN</t>
        </is>
      </c>
      <c r="E1066" t="inlineStr">
        <is>
          <t>VIMMERBY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50087-2023</t>
        </is>
      </c>
      <c r="B1067" s="1" t="n">
        <v>45215</v>
      </c>
      <c r="C1067" s="1" t="n">
        <v>45569</v>
      </c>
      <c r="D1067" t="inlineStr">
        <is>
          <t>KALMAR LÄN</t>
        </is>
      </c>
      <c r="E1067" t="inlineStr">
        <is>
          <t>VIMMERBY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50088-2023</t>
        </is>
      </c>
      <c r="B1068" s="1" t="n">
        <v>45215</v>
      </c>
      <c r="C1068" s="1" t="n">
        <v>45569</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50093-2023</t>
        </is>
      </c>
      <c r="B1069" s="1" t="n">
        <v>45215</v>
      </c>
      <c r="C1069" s="1" t="n">
        <v>45569</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50091-2023</t>
        </is>
      </c>
      <c r="B1070" s="1" t="n">
        <v>45215</v>
      </c>
      <c r="C1070" s="1" t="n">
        <v>45569</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50085-2023</t>
        </is>
      </c>
      <c r="B1071" s="1" t="n">
        <v>45215</v>
      </c>
      <c r="C1071" s="1" t="n">
        <v>45569</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50648-2023</t>
        </is>
      </c>
      <c r="B1072" s="1" t="n">
        <v>45217</v>
      </c>
      <c r="C1072" s="1" t="n">
        <v>45569</v>
      </c>
      <c r="D1072" t="inlineStr">
        <is>
          <t>KALMAR LÄN</t>
        </is>
      </c>
      <c r="E1072" t="inlineStr">
        <is>
          <t>VIMMERBY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52257-2023</t>
        </is>
      </c>
      <c r="B1073" s="1" t="n">
        <v>45217</v>
      </c>
      <c r="C1073" s="1" t="n">
        <v>45569</v>
      </c>
      <c r="D1073" t="inlineStr">
        <is>
          <t>KALMAR LÄN</t>
        </is>
      </c>
      <c r="E1073" t="inlineStr">
        <is>
          <t>VIMMERBY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50934-2023</t>
        </is>
      </c>
      <c r="B1074" s="1" t="n">
        <v>45218</v>
      </c>
      <c r="C1074" s="1" t="n">
        <v>45569</v>
      </c>
      <c r="D1074" t="inlineStr">
        <is>
          <t>KALMAR LÄN</t>
        </is>
      </c>
      <c r="E1074" t="inlineStr">
        <is>
          <t>VIMMERBY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51408-2023</t>
        </is>
      </c>
      <c r="B1075" s="1" t="n">
        <v>45219</v>
      </c>
      <c r="C1075" s="1" t="n">
        <v>45569</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51187-2023</t>
        </is>
      </c>
      <c r="B1076" s="1" t="n">
        <v>45219</v>
      </c>
      <c r="C1076" s="1" t="n">
        <v>45569</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51775-2023</t>
        </is>
      </c>
      <c r="B1077" s="1" t="n">
        <v>45222</v>
      </c>
      <c r="C1077" s="1" t="n">
        <v>45569</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51552-2023</t>
        </is>
      </c>
      <c r="B1078" s="1" t="n">
        <v>45222</v>
      </c>
      <c r="C1078" s="1" t="n">
        <v>45569</v>
      </c>
      <c r="D1078" t="inlineStr">
        <is>
          <t>KALMAR LÄN</t>
        </is>
      </c>
      <c r="E1078" t="inlineStr">
        <is>
          <t>VIMMERBY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52279-2023</t>
        </is>
      </c>
      <c r="B1079" s="1" t="n">
        <v>45224</v>
      </c>
      <c r="C1079" s="1" t="n">
        <v>45569</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52294-2023</t>
        </is>
      </c>
      <c r="B1080" s="1" t="n">
        <v>45224</v>
      </c>
      <c r="C1080" s="1" t="n">
        <v>45569</v>
      </c>
      <c r="D1080" t="inlineStr">
        <is>
          <t>KALMAR LÄN</t>
        </is>
      </c>
      <c r="E1080" t="inlineStr">
        <is>
          <t>VIMMERBY</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52327-2023</t>
        </is>
      </c>
      <c r="B1081" s="1" t="n">
        <v>45224</v>
      </c>
      <c r="C1081" s="1" t="n">
        <v>45569</v>
      </c>
      <c r="D1081" t="inlineStr">
        <is>
          <t>KALMAR LÄN</t>
        </is>
      </c>
      <c r="E1081" t="inlineStr">
        <is>
          <t>VIMMERBY</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52208-2023</t>
        </is>
      </c>
      <c r="B1082" s="1" t="n">
        <v>45224</v>
      </c>
      <c r="C1082" s="1" t="n">
        <v>45569</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52324-2023</t>
        </is>
      </c>
      <c r="B1083" s="1" t="n">
        <v>45224</v>
      </c>
      <c r="C1083" s="1" t="n">
        <v>45569</v>
      </c>
      <c r="D1083" t="inlineStr">
        <is>
          <t>KALMAR LÄN</t>
        </is>
      </c>
      <c r="E1083" t="inlineStr">
        <is>
          <t>VIMMERBY</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52411-2023</t>
        </is>
      </c>
      <c r="B1084" s="1" t="n">
        <v>45225</v>
      </c>
      <c r="C1084" s="1" t="n">
        <v>45569</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52588-2023</t>
        </is>
      </c>
      <c r="B1085" s="1" t="n">
        <v>45225</v>
      </c>
      <c r="C1085" s="1" t="n">
        <v>45569</v>
      </c>
      <c r="D1085" t="inlineStr">
        <is>
          <t>KALMAR LÄN</t>
        </is>
      </c>
      <c r="E1085" t="inlineStr">
        <is>
          <t>VIMMERBY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52616-2023</t>
        </is>
      </c>
      <c r="B1086" s="1" t="n">
        <v>45225</v>
      </c>
      <c r="C1086" s="1" t="n">
        <v>45569</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52623-2023</t>
        </is>
      </c>
      <c r="B1087" s="1" t="n">
        <v>45225</v>
      </c>
      <c r="C1087" s="1" t="n">
        <v>45569</v>
      </c>
      <c r="D1087" t="inlineStr">
        <is>
          <t>KALMAR LÄN</t>
        </is>
      </c>
      <c r="E1087" t="inlineStr">
        <is>
          <t>VIMMERBY</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52703-2023</t>
        </is>
      </c>
      <c r="B1088" s="1" t="n">
        <v>45225</v>
      </c>
      <c r="C1088" s="1" t="n">
        <v>45569</v>
      </c>
      <c r="D1088" t="inlineStr">
        <is>
          <t>KALMAR LÄN</t>
        </is>
      </c>
      <c r="E1088" t="inlineStr">
        <is>
          <t>VIMMERBY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53220-2023</t>
        </is>
      </c>
      <c r="B1089" s="1" t="n">
        <v>45229</v>
      </c>
      <c r="C1089" s="1" t="n">
        <v>45569</v>
      </c>
      <c r="D1089" t="inlineStr">
        <is>
          <t>KALMAR LÄN</t>
        </is>
      </c>
      <c r="E1089" t="inlineStr">
        <is>
          <t>VIMMERBY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54084-2023</t>
        </is>
      </c>
      <c r="B1090" s="1" t="n">
        <v>45232</v>
      </c>
      <c r="C1090" s="1" t="n">
        <v>45569</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54086-2023</t>
        </is>
      </c>
      <c r="B1091" s="1" t="n">
        <v>45232</v>
      </c>
      <c r="C1091" s="1" t="n">
        <v>45569</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55716-2023</t>
        </is>
      </c>
      <c r="B1092" s="1" t="n">
        <v>45232</v>
      </c>
      <c r="C1092" s="1" t="n">
        <v>45569</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54785-2023</t>
        </is>
      </c>
      <c r="B1093" s="1" t="n">
        <v>45236</v>
      </c>
      <c r="C1093" s="1" t="n">
        <v>45569</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54787-2023</t>
        </is>
      </c>
      <c r="B1094" s="1" t="n">
        <v>45236</v>
      </c>
      <c r="C1094" s="1" t="n">
        <v>45569</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55236-2023</t>
        </is>
      </c>
      <c r="B1095" s="1" t="n">
        <v>45237</v>
      </c>
      <c r="C1095" s="1" t="n">
        <v>45569</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55245-2023</t>
        </is>
      </c>
      <c r="B1096" s="1" t="n">
        <v>45237</v>
      </c>
      <c r="C1096" s="1" t="n">
        <v>45569</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55279-2023</t>
        </is>
      </c>
      <c r="B1097" s="1" t="n">
        <v>45237</v>
      </c>
      <c r="C1097" s="1" t="n">
        <v>45569</v>
      </c>
      <c r="D1097" t="inlineStr">
        <is>
          <t>KALMAR LÄN</t>
        </is>
      </c>
      <c r="E1097" t="inlineStr">
        <is>
          <t>VIMMERBY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55457-2023</t>
        </is>
      </c>
      <c r="B1098" s="1" t="n">
        <v>45238</v>
      </c>
      <c r="C1098" s="1" t="n">
        <v>45569</v>
      </c>
      <c r="D1098" t="inlineStr">
        <is>
          <t>KALMAR LÄN</t>
        </is>
      </c>
      <c r="E1098" t="inlineStr">
        <is>
          <t>VIMMERBY</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55470-2023</t>
        </is>
      </c>
      <c r="B1099" s="1" t="n">
        <v>45238</v>
      </c>
      <c r="C1099" s="1" t="n">
        <v>45569</v>
      </c>
      <c r="D1099" t="inlineStr">
        <is>
          <t>KALMAR LÄN</t>
        </is>
      </c>
      <c r="E1099" t="inlineStr">
        <is>
          <t>VIMMERBY</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55436-2023</t>
        </is>
      </c>
      <c r="B1100" s="1" t="n">
        <v>45238</v>
      </c>
      <c r="C1100" s="1" t="n">
        <v>45569</v>
      </c>
      <c r="D1100" t="inlineStr">
        <is>
          <t>KALMAR LÄN</t>
        </is>
      </c>
      <c r="E1100" t="inlineStr">
        <is>
          <t>VIMMERBY</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55510-2023</t>
        </is>
      </c>
      <c r="B1101" s="1" t="n">
        <v>45238</v>
      </c>
      <c r="C1101" s="1" t="n">
        <v>45569</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55442-2023</t>
        </is>
      </c>
      <c r="B1102" s="1" t="n">
        <v>45238</v>
      </c>
      <c r="C1102" s="1" t="n">
        <v>45569</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56657-2023</t>
        </is>
      </c>
      <c r="B1103" s="1" t="n">
        <v>45243</v>
      </c>
      <c r="C1103" s="1" t="n">
        <v>45569</v>
      </c>
      <c r="D1103" t="inlineStr">
        <is>
          <t>KALMAR LÄN</t>
        </is>
      </c>
      <c r="E1103" t="inlineStr">
        <is>
          <t>VIMMERBY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56659-2023</t>
        </is>
      </c>
      <c r="B1104" s="1" t="n">
        <v>45243</v>
      </c>
      <c r="C1104" s="1" t="n">
        <v>45569</v>
      </c>
      <c r="D1104" t="inlineStr">
        <is>
          <t>KALMAR LÄN</t>
        </is>
      </c>
      <c r="E1104" t="inlineStr">
        <is>
          <t>VIMMERBY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57036-2023</t>
        </is>
      </c>
      <c r="B1105" s="1" t="n">
        <v>45244</v>
      </c>
      <c r="C1105" s="1" t="n">
        <v>45569</v>
      </c>
      <c r="D1105" t="inlineStr">
        <is>
          <t>KALMAR LÄN</t>
        </is>
      </c>
      <c r="E1105" t="inlineStr">
        <is>
          <t>VIMMERBY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57040-2023</t>
        </is>
      </c>
      <c r="B1106" s="1" t="n">
        <v>45244</v>
      </c>
      <c r="C1106" s="1" t="n">
        <v>45569</v>
      </c>
      <c r="D1106" t="inlineStr">
        <is>
          <t>KALMAR LÄN</t>
        </is>
      </c>
      <c r="E1106" t="inlineStr">
        <is>
          <t>VIMMERBY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57254-2023</t>
        </is>
      </c>
      <c r="B1107" s="1" t="n">
        <v>45245</v>
      </c>
      <c r="C1107" s="1" t="n">
        <v>45569</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57114-2023</t>
        </is>
      </c>
      <c r="B1108" s="1" t="n">
        <v>45245</v>
      </c>
      <c r="C1108" s="1" t="n">
        <v>45569</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57264-2023</t>
        </is>
      </c>
      <c r="B1109" s="1" t="n">
        <v>45245</v>
      </c>
      <c r="C1109" s="1" t="n">
        <v>45569</v>
      </c>
      <c r="D1109" t="inlineStr">
        <is>
          <t>KALMAR LÄN</t>
        </is>
      </c>
      <c r="E1109" t="inlineStr">
        <is>
          <t>VIMMERBY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57311-2023</t>
        </is>
      </c>
      <c r="B1110" s="1" t="n">
        <v>45245</v>
      </c>
      <c r="C1110" s="1" t="n">
        <v>45569</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57256-2023</t>
        </is>
      </c>
      <c r="B1111" s="1" t="n">
        <v>45245</v>
      </c>
      <c r="C1111" s="1" t="n">
        <v>45569</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57269-2023</t>
        </is>
      </c>
      <c r="B1112" s="1" t="n">
        <v>45245</v>
      </c>
      <c r="C1112" s="1" t="n">
        <v>45569</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57317-2023</t>
        </is>
      </c>
      <c r="B1113" s="1" t="n">
        <v>45245</v>
      </c>
      <c r="C1113" s="1" t="n">
        <v>45569</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57329-2023</t>
        </is>
      </c>
      <c r="B1114" s="1" t="n">
        <v>45245</v>
      </c>
      <c r="C1114" s="1" t="n">
        <v>45569</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58278-2023</t>
        </is>
      </c>
      <c r="B1115" s="1" t="n">
        <v>45250</v>
      </c>
      <c r="C1115" s="1" t="n">
        <v>45569</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59598-2023</t>
        </is>
      </c>
      <c r="B1116" s="1" t="n">
        <v>45254</v>
      </c>
      <c r="C1116" s="1" t="n">
        <v>45569</v>
      </c>
      <c r="D1116" t="inlineStr">
        <is>
          <t>KALMAR LÄN</t>
        </is>
      </c>
      <c r="E1116" t="inlineStr">
        <is>
          <t>VIMMERBY</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59943-2023</t>
        </is>
      </c>
      <c r="B1117" s="1" t="n">
        <v>45257</v>
      </c>
      <c r="C1117" s="1" t="n">
        <v>45569</v>
      </c>
      <c r="D1117" t="inlineStr">
        <is>
          <t>KALMAR LÄN</t>
        </is>
      </c>
      <c r="E1117" t="inlineStr">
        <is>
          <t>VIMMERBY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59955-2023</t>
        </is>
      </c>
      <c r="B1118" s="1" t="n">
        <v>45257</v>
      </c>
      <c r="C1118" s="1" t="n">
        <v>45569</v>
      </c>
      <c r="D1118" t="inlineStr">
        <is>
          <t>KALMAR LÄN</t>
        </is>
      </c>
      <c r="E1118" t="inlineStr">
        <is>
          <t>VIMMERBY</t>
        </is>
      </c>
      <c r="G1118" t="n">
        <v>13.8</v>
      </c>
      <c r="H1118" t="n">
        <v>0</v>
      </c>
      <c r="I1118" t="n">
        <v>0</v>
      </c>
      <c r="J1118" t="n">
        <v>0</v>
      </c>
      <c r="K1118" t="n">
        <v>0</v>
      </c>
      <c r="L1118" t="n">
        <v>0</v>
      </c>
      <c r="M1118" t="n">
        <v>0</v>
      </c>
      <c r="N1118" t="n">
        <v>0</v>
      </c>
      <c r="O1118" t="n">
        <v>0</v>
      </c>
      <c r="P1118" t="n">
        <v>0</v>
      </c>
      <c r="Q1118" t="n">
        <v>0</v>
      </c>
      <c r="R1118" s="2" t="inlineStr"/>
    </row>
    <row r="1119" ht="15" customHeight="1">
      <c r="A1119" t="inlineStr">
        <is>
          <t>A 60438-2023</t>
        </is>
      </c>
      <c r="B1119" s="1" t="n">
        <v>45259</v>
      </c>
      <c r="C1119" s="1" t="n">
        <v>45569</v>
      </c>
      <c r="D1119" t="inlineStr">
        <is>
          <t>KALMAR LÄN</t>
        </is>
      </c>
      <c r="E1119" t="inlineStr">
        <is>
          <t>VIMMERBY</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60437-2023</t>
        </is>
      </c>
      <c r="B1120" s="1" t="n">
        <v>45259</v>
      </c>
      <c r="C1120" s="1" t="n">
        <v>45569</v>
      </c>
      <c r="D1120" t="inlineStr">
        <is>
          <t>KALMAR LÄN</t>
        </is>
      </c>
      <c r="E1120" t="inlineStr">
        <is>
          <t>VIMMERBY</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60675-2023</t>
        </is>
      </c>
      <c r="B1121" s="1" t="n">
        <v>45260</v>
      </c>
      <c r="C1121" s="1" t="n">
        <v>45569</v>
      </c>
      <c r="D1121" t="inlineStr">
        <is>
          <t>KALMAR LÄN</t>
        </is>
      </c>
      <c r="E1121" t="inlineStr">
        <is>
          <t>VIMMERBY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60951-2023</t>
        </is>
      </c>
      <c r="B1122" s="1" t="n">
        <v>45261</v>
      </c>
      <c r="C1122" s="1" t="n">
        <v>45569</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61189-2023</t>
        </is>
      </c>
      <c r="B1123" s="1" t="n">
        <v>45264</v>
      </c>
      <c r="C1123" s="1" t="n">
        <v>45569</v>
      </c>
      <c r="D1123" t="inlineStr">
        <is>
          <t>KALMAR LÄN</t>
        </is>
      </c>
      <c r="E1123" t="inlineStr">
        <is>
          <t>VIMMERBY</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61227-2023</t>
        </is>
      </c>
      <c r="B1124" s="1" t="n">
        <v>45264</v>
      </c>
      <c r="C1124" s="1" t="n">
        <v>45569</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61224-2023</t>
        </is>
      </c>
      <c r="B1125" s="1" t="n">
        <v>45264</v>
      </c>
      <c r="C1125" s="1" t="n">
        <v>45569</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61221-2023</t>
        </is>
      </c>
      <c r="B1126" s="1" t="n">
        <v>45264</v>
      </c>
      <c r="C1126" s="1" t="n">
        <v>45569</v>
      </c>
      <c r="D1126" t="inlineStr">
        <is>
          <t>KALMAR LÄN</t>
        </is>
      </c>
      <c r="E1126" t="inlineStr">
        <is>
          <t>VIMMERBY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61817-2023</t>
        </is>
      </c>
      <c r="B1127" s="1" t="n">
        <v>45266</v>
      </c>
      <c r="C1127" s="1" t="n">
        <v>45569</v>
      </c>
      <c r="D1127" t="inlineStr">
        <is>
          <t>KALMAR LÄN</t>
        </is>
      </c>
      <c r="E1127" t="inlineStr">
        <is>
          <t>VIMMERBY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61825-2023</t>
        </is>
      </c>
      <c r="B1128" s="1" t="n">
        <v>45266</v>
      </c>
      <c r="C1128" s="1" t="n">
        <v>45569</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61820-2023</t>
        </is>
      </c>
      <c r="B1129" s="1" t="n">
        <v>45266</v>
      </c>
      <c r="C1129" s="1" t="n">
        <v>45569</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62615-2023</t>
        </is>
      </c>
      <c r="B1130" s="1" t="n">
        <v>45271</v>
      </c>
      <c r="C1130" s="1" t="n">
        <v>45569</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62779-2023</t>
        </is>
      </c>
      <c r="B1131" s="1" t="n">
        <v>45271</v>
      </c>
      <c r="C1131" s="1" t="n">
        <v>45569</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62852-2023</t>
        </is>
      </c>
      <c r="B1132" s="1" t="n">
        <v>45272</v>
      </c>
      <c r="C1132" s="1" t="n">
        <v>45569</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62997-2023</t>
        </is>
      </c>
      <c r="B1133" s="1" t="n">
        <v>45272</v>
      </c>
      <c r="C1133" s="1" t="n">
        <v>45569</v>
      </c>
      <c r="D1133" t="inlineStr">
        <is>
          <t>KALMAR LÄN</t>
        </is>
      </c>
      <c r="E1133" t="inlineStr">
        <is>
          <t>VIMMERBY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63284-2023</t>
        </is>
      </c>
      <c r="B1134" s="1" t="n">
        <v>45273</v>
      </c>
      <c r="C1134" s="1" t="n">
        <v>45569</v>
      </c>
      <c r="D1134" t="inlineStr">
        <is>
          <t>KALMAR LÄN</t>
        </is>
      </c>
      <c r="E1134" t="inlineStr">
        <is>
          <t>VIMMERBY</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63541-2023</t>
        </is>
      </c>
      <c r="B1135" s="1" t="n">
        <v>45275</v>
      </c>
      <c r="C1135" s="1" t="n">
        <v>45569</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63583-2023</t>
        </is>
      </c>
      <c r="B1136" s="1" t="n">
        <v>45275</v>
      </c>
      <c r="C1136" s="1" t="n">
        <v>45569</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63969-2023</t>
        </is>
      </c>
      <c r="B1137" s="1" t="n">
        <v>45278</v>
      </c>
      <c r="C1137" s="1" t="n">
        <v>45569</v>
      </c>
      <c r="D1137" t="inlineStr">
        <is>
          <t>KALMAR LÄN</t>
        </is>
      </c>
      <c r="E1137" t="inlineStr">
        <is>
          <t>VIMMERBY</t>
        </is>
      </c>
      <c r="F1137" t="inlineStr">
        <is>
          <t>Kyrkan</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63950-2023</t>
        </is>
      </c>
      <c r="B1138" s="1" t="n">
        <v>45278</v>
      </c>
      <c r="C1138" s="1" t="n">
        <v>45569</v>
      </c>
      <c r="D1138" t="inlineStr">
        <is>
          <t>KALMAR LÄN</t>
        </is>
      </c>
      <c r="E1138" t="inlineStr">
        <is>
          <t>VIMMERBY</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64428-2023</t>
        </is>
      </c>
      <c r="B1139" s="1" t="n">
        <v>45280</v>
      </c>
      <c r="C1139" s="1" t="n">
        <v>45569</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65237-2023</t>
        </is>
      </c>
      <c r="B1140" s="1" t="n">
        <v>45289</v>
      </c>
      <c r="C1140" s="1" t="n">
        <v>45569</v>
      </c>
      <c r="D1140" t="inlineStr">
        <is>
          <t>KALMAR LÄN</t>
        </is>
      </c>
      <c r="E1140" t="inlineStr">
        <is>
          <t>VIMMERBY</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65238-2023</t>
        </is>
      </c>
      <c r="B1141" s="1" t="n">
        <v>45289</v>
      </c>
      <c r="C1141" s="1" t="n">
        <v>45569</v>
      </c>
      <c r="D1141" t="inlineStr">
        <is>
          <t>KALMAR LÄN</t>
        </is>
      </c>
      <c r="E1141" t="inlineStr">
        <is>
          <t>VIMMERBY</t>
        </is>
      </c>
      <c r="F1141" t="inlineStr">
        <is>
          <t>Kyrkan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205-2024</t>
        </is>
      </c>
      <c r="B1142" s="1" t="n">
        <v>45294</v>
      </c>
      <c r="C1142" s="1" t="n">
        <v>45569</v>
      </c>
      <c r="D1142" t="inlineStr">
        <is>
          <t>KALMAR LÄN</t>
        </is>
      </c>
      <c r="E1142" t="inlineStr">
        <is>
          <t>VIMMERBY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526-2024</t>
        </is>
      </c>
      <c r="B1143" s="1" t="n">
        <v>45299</v>
      </c>
      <c r="C1143" s="1" t="n">
        <v>45569</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627-2024</t>
        </is>
      </c>
      <c r="B1144" s="1" t="n">
        <v>45299</v>
      </c>
      <c r="C1144" s="1" t="n">
        <v>45569</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529-2024</t>
        </is>
      </c>
      <c r="B1145" s="1" t="n">
        <v>45299</v>
      </c>
      <c r="C1145" s="1" t="n">
        <v>45569</v>
      </c>
      <c r="D1145" t="inlineStr">
        <is>
          <t>KALMAR LÄN</t>
        </is>
      </c>
      <c r="E1145" t="inlineStr">
        <is>
          <t>VIMMERBY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527-2024</t>
        </is>
      </c>
      <c r="B1146" s="1" t="n">
        <v>45299</v>
      </c>
      <c r="C1146" s="1" t="n">
        <v>45569</v>
      </c>
      <c r="D1146" t="inlineStr">
        <is>
          <t>KALMAR LÄN</t>
        </is>
      </c>
      <c r="E1146" t="inlineStr">
        <is>
          <t>VIMMERBY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585-2024</t>
        </is>
      </c>
      <c r="B1147" s="1" t="n">
        <v>45299</v>
      </c>
      <c r="C1147" s="1" t="n">
        <v>45569</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690-2024</t>
        </is>
      </c>
      <c r="B1148" s="1" t="n">
        <v>45300</v>
      </c>
      <c r="C1148" s="1" t="n">
        <v>45569</v>
      </c>
      <c r="D1148" t="inlineStr">
        <is>
          <t>KALMAR LÄN</t>
        </is>
      </c>
      <c r="E1148" t="inlineStr">
        <is>
          <t>VIMMERBY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694-2024</t>
        </is>
      </c>
      <c r="B1149" s="1" t="n">
        <v>45300</v>
      </c>
      <c r="C1149" s="1" t="n">
        <v>45569</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1017-2024</t>
        </is>
      </c>
      <c r="B1150" s="1" t="n">
        <v>45301</v>
      </c>
      <c r="C1150" s="1" t="n">
        <v>45569</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1021-2024</t>
        </is>
      </c>
      <c r="B1151" s="1" t="n">
        <v>45301</v>
      </c>
      <c r="C1151" s="1" t="n">
        <v>45569</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1015-2024</t>
        </is>
      </c>
      <c r="B1152" s="1" t="n">
        <v>45301</v>
      </c>
      <c r="C1152" s="1" t="n">
        <v>45569</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1018-2024</t>
        </is>
      </c>
      <c r="B1153" s="1" t="n">
        <v>45301</v>
      </c>
      <c r="C1153" s="1" t="n">
        <v>45569</v>
      </c>
      <c r="D1153" t="inlineStr">
        <is>
          <t>KALMAR LÄN</t>
        </is>
      </c>
      <c r="E1153" t="inlineStr">
        <is>
          <t>VIMMERBY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1023-2024</t>
        </is>
      </c>
      <c r="B1154" s="1" t="n">
        <v>45301</v>
      </c>
      <c r="C1154" s="1" t="n">
        <v>45569</v>
      </c>
      <c r="D1154" t="inlineStr">
        <is>
          <t>KALMAR LÄN</t>
        </is>
      </c>
      <c r="E1154" t="inlineStr">
        <is>
          <t>VIMMERBY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1016-2024</t>
        </is>
      </c>
      <c r="B1155" s="1" t="n">
        <v>45301</v>
      </c>
      <c r="C1155" s="1" t="n">
        <v>45569</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1024-2024</t>
        </is>
      </c>
      <c r="B1156" s="1" t="n">
        <v>45301</v>
      </c>
      <c r="C1156" s="1" t="n">
        <v>45569</v>
      </c>
      <c r="D1156" t="inlineStr">
        <is>
          <t>KALMAR LÄN</t>
        </is>
      </c>
      <c r="E1156" t="inlineStr">
        <is>
          <t>VIMMERBY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1225-2024</t>
        </is>
      </c>
      <c r="B1157" s="1" t="n">
        <v>45302</v>
      </c>
      <c r="C1157" s="1" t="n">
        <v>45569</v>
      </c>
      <c r="D1157" t="inlineStr">
        <is>
          <t>KALMAR LÄN</t>
        </is>
      </c>
      <c r="E1157" t="inlineStr">
        <is>
          <t>VIMMERBY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1417-2024</t>
        </is>
      </c>
      <c r="B1158" s="1" t="n">
        <v>45303</v>
      </c>
      <c r="C1158" s="1" t="n">
        <v>45569</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1626-2024</t>
        </is>
      </c>
      <c r="B1159" s="1" t="n">
        <v>45306</v>
      </c>
      <c r="C1159" s="1" t="n">
        <v>45569</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1628-2024</t>
        </is>
      </c>
      <c r="B1160" s="1" t="n">
        <v>45306</v>
      </c>
      <c r="C1160" s="1" t="n">
        <v>45569</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1985-2024</t>
        </is>
      </c>
      <c r="B1161" s="1" t="n">
        <v>45308</v>
      </c>
      <c r="C1161" s="1" t="n">
        <v>45569</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1978-2024</t>
        </is>
      </c>
      <c r="B1162" s="1" t="n">
        <v>45308</v>
      </c>
      <c r="C1162" s="1" t="n">
        <v>45569</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1986-2024</t>
        </is>
      </c>
      <c r="B1163" s="1" t="n">
        <v>45308</v>
      </c>
      <c r="C1163" s="1" t="n">
        <v>45569</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1987-2024</t>
        </is>
      </c>
      <c r="B1164" s="1" t="n">
        <v>45308</v>
      </c>
      <c r="C1164" s="1" t="n">
        <v>45569</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2157-2024</t>
        </is>
      </c>
      <c r="B1165" s="1" t="n">
        <v>45309</v>
      </c>
      <c r="C1165" s="1" t="n">
        <v>45569</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2213-2024</t>
        </is>
      </c>
      <c r="B1166" s="1" t="n">
        <v>45309</v>
      </c>
      <c r="C1166" s="1" t="n">
        <v>45569</v>
      </c>
      <c r="D1166" t="inlineStr">
        <is>
          <t>KALMAR LÄN</t>
        </is>
      </c>
      <c r="E1166" t="inlineStr">
        <is>
          <t>VIMMERBY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2331-2024</t>
        </is>
      </c>
      <c r="B1167" s="1" t="n">
        <v>45310</v>
      </c>
      <c r="C1167" s="1" t="n">
        <v>45569</v>
      </c>
      <c r="D1167" t="inlineStr">
        <is>
          <t>KALMAR LÄN</t>
        </is>
      </c>
      <c r="E1167" t="inlineStr">
        <is>
          <t>VIMMERBY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2330-2024</t>
        </is>
      </c>
      <c r="B1168" s="1" t="n">
        <v>45310</v>
      </c>
      <c r="C1168" s="1" t="n">
        <v>45569</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3031-2024</t>
        </is>
      </c>
      <c r="B1169" s="1" t="n">
        <v>45316</v>
      </c>
      <c r="C1169" s="1" t="n">
        <v>45569</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3029-2024</t>
        </is>
      </c>
      <c r="B1170" s="1" t="n">
        <v>45316</v>
      </c>
      <c r="C1170" s="1" t="n">
        <v>45569</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3028-2024</t>
        </is>
      </c>
      <c r="B1171" s="1" t="n">
        <v>45316</v>
      </c>
      <c r="C1171" s="1" t="n">
        <v>45569</v>
      </c>
      <c r="D1171" t="inlineStr">
        <is>
          <t>KALMAR LÄN</t>
        </is>
      </c>
      <c r="E1171" t="inlineStr">
        <is>
          <t>VIMMERBY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3156-2024</t>
        </is>
      </c>
      <c r="B1172" s="1" t="n">
        <v>45316</v>
      </c>
      <c r="C1172" s="1" t="n">
        <v>45569</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3269-2024</t>
        </is>
      </c>
      <c r="B1173" s="1" t="n">
        <v>45317</v>
      </c>
      <c r="C1173" s="1" t="n">
        <v>45569</v>
      </c>
      <c r="D1173" t="inlineStr">
        <is>
          <t>KALMAR LÄN</t>
        </is>
      </c>
      <c r="E1173" t="inlineStr">
        <is>
          <t>VIMMERBY</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3268-2024</t>
        </is>
      </c>
      <c r="B1174" s="1" t="n">
        <v>45317</v>
      </c>
      <c r="C1174" s="1" t="n">
        <v>45569</v>
      </c>
      <c r="D1174" t="inlineStr">
        <is>
          <t>KALMAR LÄN</t>
        </is>
      </c>
      <c r="E1174" t="inlineStr">
        <is>
          <t>VIMMERBY</t>
        </is>
      </c>
      <c r="F1174" t="inlineStr">
        <is>
          <t>Övriga Aktiebolag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3373-2024</t>
        </is>
      </c>
      <c r="B1175" s="1" t="n">
        <v>45317</v>
      </c>
      <c r="C1175" s="1" t="n">
        <v>45569</v>
      </c>
      <c r="D1175" t="inlineStr">
        <is>
          <t>KALMAR LÄN</t>
        </is>
      </c>
      <c r="E1175" t="inlineStr">
        <is>
          <t>VIMMERBY</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3609-2024</t>
        </is>
      </c>
      <c r="B1176" s="1" t="n">
        <v>45320</v>
      </c>
      <c r="C1176" s="1" t="n">
        <v>45569</v>
      </c>
      <c r="D1176" t="inlineStr">
        <is>
          <t>KALMAR LÄN</t>
        </is>
      </c>
      <c r="E1176" t="inlineStr">
        <is>
          <t>VIMMERBY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4058-2024</t>
        </is>
      </c>
      <c r="B1177" s="1" t="n">
        <v>45323</v>
      </c>
      <c r="C1177" s="1" t="n">
        <v>45569</v>
      </c>
      <c r="D1177" t="inlineStr">
        <is>
          <t>KALMAR LÄN</t>
        </is>
      </c>
      <c r="E1177" t="inlineStr">
        <is>
          <t>VIMMERBY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4359-2024</t>
        </is>
      </c>
      <c r="B1178" s="1" t="n">
        <v>45325</v>
      </c>
      <c r="C1178" s="1" t="n">
        <v>45569</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45569</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45569</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45569</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45569</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45569</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45569</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45569</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45569</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45569</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45569</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45569</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45569</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45569</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45569</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45569</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45569</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45569</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45569</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45569</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45569</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45569</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45569</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45569</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45569</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45569</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45569</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45569</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45569</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45569</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45569</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45569</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45569</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45569</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45569</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45569</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45569</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45569</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45569</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45569</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45569</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45569</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45569</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45569</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45569</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45569</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45569</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45569</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45569</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45569</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45569</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45569</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45569</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45569</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45569</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45569</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45569</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45569</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45569</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45569</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45569</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45569</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45569</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45569</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45569</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45569</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45569</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45569</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45569</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45569</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45569</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45569</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45569</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45569</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45569</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45569</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45569</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45569</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45569</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45569</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45569</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45569</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45569</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45569</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45569</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45569</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45569</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45569</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45569</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45569</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45569</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45569</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45569</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45569</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45569</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45569</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45569</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45569</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45569</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45569</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45569</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45569</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45569</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45569</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45569</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45569</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45569</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45569</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45569</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45569</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45569</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45569</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45569</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45569</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45569</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45569</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45569</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45569</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45569</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45569</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45569</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45569</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45569</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45569</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45569</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45569</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45569</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45569</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45569</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45569</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45569</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45569</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45569</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45569</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45569</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45569</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45569</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45569</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45569</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45569</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45569</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45569</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45569</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45569</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45569</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45569</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45569</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45569</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45569</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45569</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45569</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45569</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45569</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45569</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45569</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45569</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45569</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45569</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45569</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45569</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45569</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45569</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45569</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45569</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45569</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45569</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45569</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45569</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45569</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45569</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45569</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45569</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45569</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45569</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45569</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45569</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45569</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45569</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45569</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45569</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45569</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45569</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45569</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45569</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45569</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45569</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45569</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45569</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45569</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45569</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45569</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45569</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45569</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45569</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45569</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37329-2024</t>
        </is>
      </c>
      <c r="B1373" s="1" t="n">
        <v>45540</v>
      </c>
      <c r="C1373" s="1" t="n">
        <v>45569</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37323-2024</t>
        </is>
      </c>
      <c r="B1374" s="1" t="n">
        <v>45540</v>
      </c>
      <c r="C1374" s="1" t="n">
        <v>45569</v>
      </c>
      <c r="D1374" t="inlineStr">
        <is>
          <t>KALMAR LÄN</t>
        </is>
      </c>
      <c r="E1374" t="inlineStr">
        <is>
          <t>VIMMERBY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45569</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45569</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45569</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39043-2024</t>
        </is>
      </c>
      <c r="B1378" s="1" t="n">
        <v>45548</v>
      </c>
      <c r="C1378" s="1" t="n">
        <v>45569</v>
      </c>
      <c r="D1378" t="inlineStr">
        <is>
          <t>KALMAR LÄN</t>
        </is>
      </c>
      <c r="E1378" t="inlineStr">
        <is>
          <t>VIMMERBY</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39053-2024</t>
        </is>
      </c>
      <c r="B1379" s="1" t="n">
        <v>45548</v>
      </c>
      <c r="C1379" s="1" t="n">
        <v>45569</v>
      </c>
      <c r="D1379" t="inlineStr">
        <is>
          <t>KALMAR LÄN</t>
        </is>
      </c>
      <c r="E1379" t="inlineStr">
        <is>
          <t>VIMMERBY</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45569</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45569</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45569</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45569</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45569</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45569</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45569</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45569</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45569</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45569</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45569</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45569</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41066-2024</t>
        </is>
      </c>
      <c r="B1392" s="1" t="n">
        <v>45559</v>
      </c>
      <c r="C1392" s="1" t="n">
        <v>45569</v>
      </c>
      <c r="D1392" t="inlineStr">
        <is>
          <t>KALMAR LÄN</t>
        </is>
      </c>
      <c r="E1392" t="inlineStr">
        <is>
          <t>VIMMERBY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41071-2024</t>
        </is>
      </c>
      <c r="B1393" s="1" t="n">
        <v>45559</v>
      </c>
      <c r="C1393" s="1" t="n">
        <v>45569</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41119-2024</t>
        </is>
      </c>
      <c r="B1394" s="1" t="n">
        <v>45559</v>
      </c>
      <c r="C1394" s="1" t="n">
        <v>45569</v>
      </c>
      <c r="D1394" t="inlineStr">
        <is>
          <t>KALMAR LÄN</t>
        </is>
      </c>
      <c r="E1394" t="inlineStr">
        <is>
          <t>VIMMERBY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41084-2024</t>
        </is>
      </c>
      <c r="B1395" s="1" t="n">
        <v>45559</v>
      </c>
      <c r="C1395" s="1" t="n">
        <v>45569</v>
      </c>
      <c r="D1395" t="inlineStr">
        <is>
          <t>KALMAR LÄN</t>
        </is>
      </c>
      <c r="E1395" t="inlineStr">
        <is>
          <t>VIMMERBY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45569</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42464-2024</t>
        </is>
      </c>
      <c r="B1397" s="1" t="n">
        <v>45565</v>
      </c>
      <c r="C1397" s="1" t="n">
        <v>45569</v>
      </c>
      <c r="D1397" t="inlineStr">
        <is>
          <t>KALMAR LÄN</t>
        </is>
      </c>
      <c r="E1397" t="inlineStr">
        <is>
          <t>VIMMERBY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42429-2024</t>
        </is>
      </c>
      <c r="B1398" s="1" t="n">
        <v>45565</v>
      </c>
      <c r="C1398" s="1" t="n">
        <v>45569</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42693-2024</t>
        </is>
      </c>
      <c r="B1399" s="1" t="n">
        <v>45566</v>
      </c>
      <c r="C1399" s="1" t="n">
        <v>45569</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42737-2024</t>
        </is>
      </c>
      <c r="B1400" s="1" t="n">
        <v>45566</v>
      </c>
      <c r="C1400" s="1" t="n">
        <v>45569</v>
      </c>
      <c r="D1400" t="inlineStr">
        <is>
          <t>KALMAR LÄN</t>
        </is>
      </c>
      <c r="E1400" t="inlineStr">
        <is>
          <t>VIMMERBY</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43081-2024</t>
        </is>
      </c>
      <c r="B1401" s="1" t="n">
        <v>45567</v>
      </c>
      <c r="C1401" s="1" t="n">
        <v>45569</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43085-2024</t>
        </is>
      </c>
      <c r="B1402" s="1" t="n">
        <v>45567</v>
      </c>
      <c r="C1402" s="1" t="n">
        <v>45569</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43122-2024</t>
        </is>
      </c>
      <c r="B1403" s="1" t="n">
        <v>45567</v>
      </c>
      <c r="C1403" s="1" t="n">
        <v>45569</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43083-2024</t>
        </is>
      </c>
      <c r="B1404" s="1" t="n">
        <v>45567</v>
      </c>
      <c r="C1404" s="1" t="n">
        <v>45569</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43092-2024</t>
        </is>
      </c>
      <c r="B1405" s="1" t="n">
        <v>45567</v>
      </c>
      <c r="C1405" s="1" t="n">
        <v>45569</v>
      </c>
      <c r="D1405" t="inlineStr">
        <is>
          <t>KALMAR LÄN</t>
        </is>
      </c>
      <c r="E1405" t="inlineStr">
        <is>
          <t>VIMMERBY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43030-2024</t>
        </is>
      </c>
      <c r="B1406" s="1" t="n">
        <v>45567</v>
      </c>
      <c r="C1406" s="1" t="n">
        <v>45569</v>
      </c>
      <c r="D1406" t="inlineStr">
        <is>
          <t>KALMAR LÄN</t>
        </is>
      </c>
      <c r="E1406" t="inlineStr">
        <is>
          <t>VIMMERBY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45569</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45569</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43084-2024</t>
        </is>
      </c>
      <c r="B1409" s="1" t="n">
        <v>45567</v>
      </c>
      <c r="C1409" s="1" t="n">
        <v>45569</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43088-2024</t>
        </is>
      </c>
      <c r="B1410" s="1" t="n">
        <v>45567</v>
      </c>
      <c r="C1410" s="1" t="n">
        <v>45569</v>
      </c>
      <c r="D1410" t="inlineStr">
        <is>
          <t>KALMAR LÄN</t>
        </is>
      </c>
      <c r="E1410" t="inlineStr">
        <is>
          <t>VIMMERBY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43093-2024</t>
        </is>
      </c>
      <c r="B1411" s="1" t="n">
        <v>45567</v>
      </c>
      <c r="C1411" s="1" t="n">
        <v>45569</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43266-2024</t>
        </is>
      </c>
      <c r="B1412" s="1" t="n">
        <v>45568</v>
      </c>
      <c r="C1412" s="1" t="n">
        <v>45569</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43305-2024</t>
        </is>
      </c>
      <c r="B1413" s="1" t="n">
        <v>45568</v>
      </c>
      <c r="C1413" s="1" t="n">
        <v>45569</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43243-2024</t>
        </is>
      </c>
      <c r="B1414" s="1" t="n">
        <v>45568</v>
      </c>
      <c r="C1414" s="1" t="n">
        <v>45569</v>
      </c>
      <c r="D1414" t="inlineStr">
        <is>
          <t>KALMAR LÄN</t>
        </is>
      </c>
      <c r="E1414" t="inlineStr">
        <is>
          <t>VIMMERBY</t>
        </is>
      </c>
      <c r="G1414" t="n">
        <v>1.9</v>
      </c>
      <c r="H1414" t="n">
        <v>0</v>
      </c>
      <c r="I1414" t="n">
        <v>0</v>
      </c>
      <c r="J1414" t="n">
        <v>0</v>
      </c>
      <c r="K1414" t="n">
        <v>0</v>
      </c>
      <c r="L1414" t="n">
        <v>0</v>
      </c>
      <c r="M1414" t="n">
        <v>0</v>
      </c>
      <c r="N1414" t="n">
        <v>0</v>
      </c>
      <c r="O1414" t="n">
        <v>0</v>
      </c>
      <c r="P1414" t="n">
        <v>0</v>
      </c>
      <c r="Q1414" t="n">
        <v>0</v>
      </c>
      <c r="R1414" s="2" t="inlineStr"/>
    </row>
    <row r="1415">
      <c r="A1415" t="inlineStr">
        <is>
          <t>A 43242-2024</t>
        </is>
      </c>
      <c r="B1415" s="1" t="n">
        <v>45568</v>
      </c>
      <c r="C1415" s="1" t="n">
        <v>45569</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2024-10-04T13:00:52Z</dcterms:created>
  <dcterms:modified xmlns:dcterms="http://purl.org/dc/terms/" xmlns:xsi="http://www.w3.org/2001/XMLSchema-instance" xsi:type="dcterms:W3CDTF">2024-10-04T13:00:53Z</dcterms:modified>
</cp:coreProperties>
</file>