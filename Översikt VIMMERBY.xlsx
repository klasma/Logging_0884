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46194</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46194</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46194</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46194</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12081-2024</t>
        </is>
      </c>
      <c r="B7" s="1" t="n">
        <v>45377</v>
      </c>
      <c r="C7" s="1" t="n">
        <v>46194</v>
      </c>
      <c r="D7" t="inlineStr">
        <is>
          <t>KALMAR LÄN</t>
        </is>
      </c>
      <c r="E7" t="inlineStr">
        <is>
          <t>VIMMERBY</t>
        </is>
      </c>
      <c r="G7" t="n">
        <v>1.5</v>
      </c>
      <c r="H7" t="n">
        <v>1</v>
      </c>
      <c r="I7" t="n">
        <v>4</v>
      </c>
      <c r="J7" t="n">
        <v>1</v>
      </c>
      <c r="K7" t="n">
        <v>0</v>
      </c>
      <c r="L7" t="n">
        <v>0</v>
      </c>
      <c r="M7" t="n">
        <v>0</v>
      </c>
      <c r="N7" t="n">
        <v>0</v>
      </c>
      <c r="O7" t="n">
        <v>1</v>
      </c>
      <c r="P7" t="n">
        <v>0</v>
      </c>
      <c r="Q7" t="n">
        <v>5</v>
      </c>
      <c r="R7" s="2" t="inlineStr">
        <is>
          <t>Gullklöver
Dvärghäxört
Springkorn
Tibast
Tvåblad</t>
        </is>
      </c>
      <c r="S7">
        <f>HYPERLINK("https://klasma.github.io/Logging_0884/artfynd/A 12081-2024 artfynd.xlsx", "A 12081-2024")</f>
        <v/>
      </c>
      <c r="T7">
        <f>HYPERLINK("https://klasma.github.io/Logging_0884/kartor/A 12081-2024 karta.png", "A 12081-2024")</f>
        <v/>
      </c>
      <c r="V7">
        <f>HYPERLINK("https://klasma.github.io/Logging_0884/klagomål/A 12081-2024 FSC-klagomål.docx", "A 12081-2024")</f>
        <v/>
      </c>
      <c r="W7">
        <f>HYPERLINK("https://klasma.github.io/Logging_0884/klagomålsmail/A 12081-2024 FSC-klagomål mail.docx", "A 12081-2024")</f>
        <v/>
      </c>
      <c r="X7">
        <f>HYPERLINK("https://klasma.github.io/Logging_0884/tillsyn/A 12081-2024 tillsynsbegäran.docx", "A 12081-2024")</f>
        <v/>
      </c>
      <c r="Y7">
        <f>HYPERLINK("https://klasma.github.io/Logging_0884/tillsynsmail/A 12081-2024 tillsynsbegäran mail.docx", "A 12081-2024")</f>
        <v/>
      </c>
    </row>
    <row r="8" ht="15" customHeight="1">
      <c r="A8" t="inlineStr">
        <is>
          <t>A 37901-2022</t>
        </is>
      </c>
      <c r="B8" s="1" t="n">
        <v>44811</v>
      </c>
      <c r="C8" s="1" t="n">
        <v>46194</v>
      </c>
      <c r="D8" t="inlineStr">
        <is>
          <t>KALMAR LÄN</t>
        </is>
      </c>
      <c r="E8" t="inlineStr">
        <is>
          <t>VIMMERBY</t>
        </is>
      </c>
      <c r="G8" t="n">
        <v>3.9</v>
      </c>
      <c r="H8" t="n">
        <v>1</v>
      </c>
      <c r="I8" t="n">
        <v>3</v>
      </c>
      <c r="J8" t="n">
        <v>1</v>
      </c>
      <c r="K8" t="n">
        <v>0</v>
      </c>
      <c r="L8" t="n">
        <v>0</v>
      </c>
      <c r="M8" t="n">
        <v>0</v>
      </c>
      <c r="N8" t="n">
        <v>0</v>
      </c>
      <c r="O8" t="n">
        <v>1</v>
      </c>
      <c r="P8" t="n">
        <v>0</v>
      </c>
      <c r="Q8" t="n">
        <v>5</v>
      </c>
      <c r="R8" s="2" t="inlineStr">
        <is>
          <t>Tallticka
Dvärgtufs
Kornig nållav
Rävticka
Revlummer</t>
        </is>
      </c>
      <c r="S8">
        <f>HYPERLINK("https://klasma.github.io/Logging_0884/artfynd/A 37901-2022 artfynd.xlsx", "A 37901-2022")</f>
        <v/>
      </c>
      <c r="T8">
        <f>HYPERLINK("https://klasma.github.io/Logging_0884/kartor/A 37901-2022 karta.png", "A 37901-2022")</f>
        <v/>
      </c>
      <c r="V8">
        <f>HYPERLINK("https://klasma.github.io/Logging_0884/klagomål/A 37901-2022 FSC-klagomål.docx", "A 37901-2022")</f>
        <v/>
      </c>
      <c r="W8">
        <f>HYPERLINK("https://klasma.github.io/Logging_0884/klagomålsmail/A 37901-2022 FSC-klagomål mail.docx", "A 37901-2022")</f>
        <v/>
      </c>
      <c r="X8">
        <f>HYPERLINK("https://klasma.github.io/Logging_0884/tillsyn/A 37901-2022 tillsynsbegäran.docx", "A 37901-2022")</f>
        <v/>
      </c>
      <c r="Y8">
        <f>HYPERLINK("https://klasma.github.io/Logging_0884/tillsynsmail/A 37901-2022 tillsynsbegäran mail.docx", "A 37901-2022")</f>
        <v/>
      </c>
    </row>
    <row r="9" ht="15" customHeight="1">
      <c r="A9" t="inlineStr">
        <is>
          <t>A 32645-2023</t>
        </is>
      </c>
      <c r="B9" s="1" t="n">
        <v>45121</v>
      </c>
      <c r="C9" s="1" t="n">
        <v>46194</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1023-2024</t>
        </is>
      </c>
      <c r="B10" s="1" t="n">
        <v>45301</v>
      </c>
      <c r="C10" s="1" t="n">
        <v>46194</v>
      </c>
      <c r="D10" t="inlineStr">
        <is>
          <t>KALMAR LÄN</t>
        </is>
      </c>
      <c r="E10" t="inlineStr">
        <is>
          <t>VIMMERBY</t>
        </is>
      </c>
      <c r="G10" t="n">
        <v>4.4</v>
      </c>
      <c r="H10" t="n">
        <v>4</v>
      </c>
      <c r="I10" t="n">
        <v>0</v>
      </c>
      <c r="J10" t="n">
        <v>2</v>
      </c>
      <c r="K10" t="n">
        <v>1</v>
      </c>
      <c r="L10" t="n">
        <v>0</v>
      </c>
      <c r="M10" t="n">
        <v>0</v>
      </c>
      <c r="N10" t="n">
        <v>0</v>
      </c>
      <c r="O10" t="n">
        <v>3</v>
      </c>
      <c r="P10" t="n">
        <v>1</v>
      </c>
      <c r="Q10" t="n">
        <v>5</v>
      </c>
      <c r="R10" s="2" t="inlineStr">
        <is>
          <t>Knärot
Talltita
Ullticka
Spillkråka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46194</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46194</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15427-2023</t>
        </is>
      </c>
      <c r="B13" s="1" t="n">
        <v>45020</v>
      </c>
      <c r="C13" s="1" t="n">
        <v>46194</v>
      </c>
      <c r="D13" t="inlineStr">
        <is>
          <t>KALMAR LÄN</t>
        </is>
      </c>
      <c r="E13" t="inlineStr">
        <is>
          <t>VIMMERBY</t>
        </is>
      </c>
      <c r="G13" t="n">
        <v>4.1</v>
      </c>
      <c r="H13" t="n">
        <v>0</v>
      </c>
      <c r="I13" t="n">
        <v>1</v>
      </c>
      <c r="J13" t="n">
        <v>2</v>
      </c>
      <c r="K13" t="n">
        <v>0</v>
      </c>
      <c r="L13" t="n">
        <v>0</v>
      </c>
      <c r="M13" t="n">
        <v>0</v>
      </c>
      <c r="N13" t="n">
        <v>0</v>
      </c>
      <c r="O13" t="n">
        <v>2</v>
      </c>
      <c r="P13" t="n">
        <v>0</v>
      </c>
      <c r="Q13" t="n">
        <v>3</v>
      </c>
      <c r="R13" s="2" t="inlineStr">
        <is>
          <t>Slåtterfibbla
Solvända
Strävlosta</t>
        </is>
      </c>
      <c r="S13">
        <f>HYPERLINK("https://klasma.github.io/Logging_0884/artfynd/A 15427-2023 artfynd.xlsx", "A 15427-2023")</f>
        <v/>
      </c>
      <c r="T13">
        <f>HYPERLINK("https://klasma.github.io/Logging_0884/kartor/A 15427-2023 karta.png", "A 15427-2023")</f>
        <v/>
      </c>
      <c r="V13">
        <f>HYPERLINK("https://klasma.github.io/Logging_0884/klagomål/A 15427-2023 FSC-klagomål.docx", "A 15427-2023")</f>
        <v/>
      </c>
      <c r="W13">
        <f>HYPERLINK("https://klasma.github.io/Logging_0884/klagomålsmail/A 15427-2023 FSC-klagomål mail.docx", "A 15427-2023")</f>
        <v/>
      </c>
      <c r="X13">
        <f>HYPERLINK("https://klasma.github.io/Logging_0884/tillsyn/A 15427-2023 tillsynsbegäran.docx", "A 15427-2023")</f>
        <v/>
      </c>
      <c r="Y13">
        <f>HYPERLINK("https://klasma.github.io/Logging_0884/tillsynsmail/A 15427-2023 tillsynsbegäran mail.docx", "A 15427-2023")</f>
        <v/>
      </c>
    </row>
    <row r="14" ht="15" customHeight="1">
      <c r="A14" t="inlineStr">
        <is>
          <t>A 23602-2023</t>
        </is>
      </c>
      <c r="B14" s="1" t="n">
        <v>45077</v>
      </c>
      <c r="C14" s="1" t="n">
        <v>46194</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57053-2025</t>
        </is>
      </c>
      <c r="B15" s="1" t="n">
        <v>45979</v>
      </c>
      <c r="C15" s="1" t="n">
        <v>46194</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46194</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46194</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46194</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46194</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46194</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46194</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46194</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17935-2025</t>
        </is>
      </c>
      <c r="B23" s="1" t="n">
        <v>45760</v>
      </c>
      <c r="C23" s="1" t="n">
        <v>46194</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2604-2025</t>
        </is>
      </c>
      <c r="B24" s="1" t="n">
        <v>45674</v>
      </c>
      <c r="C24" s="1" t="n">
        <v>46194</v>
      </c>
      <c r="D24" t="inlineStr">
        <is>
          <t>KALMAR LÄN</t>
        </is>
      </c>
      <c r="E24" t="inlineStr">
        <is>
          <t>VIMMERBY</t>
        </is>
      </c>
      <c r="G24" t="n">
        <v>7.6</v>
      </c>
      <c r="H24" t="n">
        <v>0</v>
      </c>
      <c r="I24" t="n">
        <v>0</v>
      </c>
      <c r="J24" t="n">
        <v>2</v>
      </c>
      <c r="K24" t="n">
        <v>0</v>
      </c>
      <c r="L24" t="n">
        <v>0</v>
      </c>
      <c r="M24" t="n">
        <v>0</v>
      </c>
      <c r="N24" t="n">
        <v>0</v>
      </c>
      <c r="O24" t="n">
        <v>2</v>
      </c>
      <c r="P24" t="n">
        <v>0</v>
      </c>
      <c r="Q24" t="n">
        <v>2</v>
      </c>
      <c r="R24" s="2" t="inlineStr">
        <is>
          <t>Långfibbla
Spretfibbla</t>
        </is>
      </c>
      <c r="S24">
        <f>HYPERLINK("https://klasma.github.io/Logging_0884/artfynd/A 2604-2025 artfynd.xlsx", "A 2604-2025")</f>
        <v/>
      </c>
      <c r="T24">
        <f>HYPERLINK("https://klasma.github.io/Logging_0884/kartor/A 2604-2025 karta.png", "A 2604-2025")</f>
        <v/>
      </c>
      <c r="V24">
        <f>HYPERLINK("https://klasma.github.io/Logging_0884/klagomål/A 2604-2025 FSC-klagomål.docx", "A 2604-2025")</f>
        <v/>
      </c>
      <c r="W24">
        <f>HYPERLINK("https://klasma.github.io/Logging_0884/klagomålsmail/A 2604-2025 FSC-klagomål mail.docx", "A 2604-2025")</f>
        <v/>
      </c>
      <c r="X24">
        <f>HYPERLINK("https://klasma.github.io/Logging_0884/tillsyn/A 2604-2025 tillsynsbegäran.docx", "A 2604-2025")</f>
        <v/>
      </c>
      <c r="Y24">
        <f>HYPERLINK("https://klasma.github.io/Logging_0884/tillsynsmail/A 2604-2025 tillsynsbegäran mail.docx", "A 2604-2025")</f>
        <v/>
      </c>
    </row>
    <row r="25" ht="15" customHeight="1">
      <c r="A25" t="inlineStr">
        <is>
          <t>A 37930-2021</t>
        </is>
      </c>
      <c r="B25" s="1" t="n">
        <v>44403</v>
      </c>
      <c r="C25" s="1" t="n">
        <v>46194</v>
      </c>
      <c r="D25" t="inlineStr">
        <is>
          <t>KALMAR LÄN</t>
        </is>
      </c>
      <c r="E25" t="inlineStr">
        <is>
          <t>VIMMERBY</t>
        </is>
      </c>
      <c r="G25" t="n">
        <v>4.4</v>
      </c>
      <c r="H25" t="n">
        <v>1</v>
      </c>
      <c r="I25" t="n">
        <v>1</v>
      </c>
      <c r="J25" t="n">
        <v>1</v>
      </c>
      <c r="K25" t="n">
        <v>0</v>
      </c>
      <c r="L25" t="n">
        <v>0</v>
      </c>
      <c r="M25" t="n">
        <v>0</v>
      </c>
      <c r="N25" t="n">
        <v>0</v>
      </c>
      <c r="O25" t="n">
        <v>1</v>
      </c>
      <c r="P25" t="n">
        <v>0</v>
      </c>
      <c r="Q25" t="n">
        <v>2</v>
      </c>
      <c r="R25" s="2" t="inlineStr">
        <is>
          <t>Spindelört
Grön sköldmossa</t>
        </is>
      </c>
      <c r="S25">
        <f>HYPERLINK("https://klasma.github.io/Logging_0884/artfynd/A 37930-2021 artfynd.xlsx", "A 37930-2021")</f>
        <v/>
      </c>
      <c r="T25">
        <f>HYPERLINK("https://klasma.github.io/Logging_0884/kartor/A 37930-2021 karta.png", "A 37930-2021")</f>
        <v/>
      </c>
      <c r="V25">
        <f>HYPERLINK("https://klasma.github.io/Logging_0884/klagomål/A 37930-2021 FSC-klagomål.docx", "A 37930-2021")</f>
        <v/>
      </c>
      <c r="W25">
        <f>HYPERLINK("https://klasma.github.io/Logging_0884/klagomålsmail/A 37930-2021 FSC-klagomål mail.docx", "A 37930-2021")</f>
        <v/>
      </c>
      <c r="X25">
        <f>HYPERLINK("https://klasma.github.io/Logging_0884/tillsyn/A 37930-2021 tillsynsbegäran.docx", "A 37930-2021")</f>
        <v/>
      </c>
      <c r="Y25">
        <f>HYPERLINK("https://klasma.github.io/Logging_0884/tillsynsmail/A 37930-2021 tillsynsbegäran mail.docx", "A 37930-2021")</f>
        <v/>
      </c>
    </row>
    <row r="26" ht="15" customHeight="1">
      <c r="A26" t="inlineStr">
        <is>
          <t>A 40083-2023</t>
        </is>
      </c>
      <c r="B26" s="1" t="n">
        <v>45168</v>
      </c>
      <c r="C26" s="1" t="n">
        <v>46194</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46194</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42802-2025</t>
        </is>
      </c>
      <c r="B28" s="1" t="n">
        <v>45908</v>
      </c>
      <c r="C28" s="1" t="n">
        <v>46194</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46194</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v>
      </c>
      <c r="C30" s="1" t="n">
        <v>46194</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46194</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46194</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22396-2025</t>
        </is>
      </c>
      <c r="B33" s="1" t="n">
        <v>45786</v>
      </c>
      <c r="C33" s="1" t="n">
        <v>46194</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16288-2022</t>
        </is>
      </c>
      <c r="B34" s="1" t="n">
        <v>44670</v>
      </c>
      <c r="C34" s="1" t="n">
        <v>46194</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46194</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6358-2022</t>
        </is>
      </c>
      <c r="B36" s="1" t="n">
        <v>44600</v>
      </c>
      <c r="C36" s="1" t="n">
        <v>46194</v>
      </c>
      <c r="D36" t="inlineStr">
        <is>
          <t>KALMAR LÄN</t>
        </is>
      </c>
      <c r="E36" t="inlineStr">
        <is>
          <t>VIMMERBY</t>
        </is>
      </c>
      <c r="G36" t="n">
        <v>1.7</v>
      </c>
      <c r="H36" t="n">
        <v>1</v>
      </c>
      <c r="I36" t="n">
        <v>1</v>
      </c>
      <c r="J36" t="n">
        <v>0</v>
      </c>
      <c r="K36" t="n">
        <v>0</v>
      </c>
      <c r="L36" t="n">
        <v>0</v>
      </c>
      <c r="M36" t="n">
        <v>0</v>
      </c>
      <c r="N36" t="n">
        <v>0</v>
      </c>
      <c r="O36" t="n">
        <v>0</v>
      </c>
      <c r="P36" t="n">
        <v>0</v>
      </c>
      <c r="Q36" t="n">
        <v>1</v>
      </c>
      <c r="R36" s="2" t="inlineStr">
        <is>
          <t>Ekoxe</t>
        </is>
      </c>
      <c r="S36">
        <f>HYPERLINK("https://klasma.github.io/Logging_0884/artfynd/A 6358-2022 artfynd.xlsx", "A 6358-2022")</f>
        <v/>
      </c>
      <c r="T36">
        <f>HYPERLINK("https://klasma.github.io/Logging_0884/kartor/A 6358-2022 karta.png", "A 6358-2022")</f>
        <v/>
      </c>
      <c r="V36">
        <f>HYPERLINK("https://klasma.github.io/Logging_0884/klagomål/A 6358-2022 FSC-klagomål.docx", "A 6358-2022")</f>
        <v/>
      </c>
      <c r="W36">
        <f>HYPERLINK("https://klasma.github.io/Logging_0884/klagomålsmail/A 6358-2022 FSC-klagomål mail.docx", "A 6358-2022")</f>
        <v/>
      </c>
      <c r="X36">
        <f>HYPERLINK("https://klasma.github.io/Logging_0884/tillsyn/A 6358-2022 tillsynsbegäran.docx", "A 6358-2022")</f>
        <v/>
      </c>
      <c r="Y36">
        <f>HYPERLINK("https://klasma.github.io/Logging_0884/tillsynsmail/A 6358-2022 tillsynsbegäran mail.docx", "A 6358-2022")</f>
        <v/>
      </c>
    </row>
    <row r="37" ht="15" customHeight="1">
      <c r="A37" t="inlineStr">
        <is>
          <t>A 47473-2021</t>
        </is>
      </c>
      <c r="B37" s="1" t="n">
        <v>44447</v>
      </c>
      <c r="C37" s="1" t="n">
        <v>46194</v>
      </c>
      <c r="D37" t="inlineStr">
        <is>
          <t>KALMAR LÄN</t>
        </is>
      </c>
      <c r="E37" t="inlineStr">
        <is>
          <t>VIMMERBY</t>
        </is>
      </c>
      <c r="F37" t="inlineStr">
        <is>
          <t>Sveaskog</t>
        </is>
      </c>
      <c r="G37" t="n">
        <v>1.7</v>
      </c>
      <c r="H37" t="n">
        <v>0</v>
      </c>
      <c r="I37" t="n">
        <v>0</v>
      </c>
      <c r="J37" t="n">
        <v>1</v>
      </c>
      <c r="K37" t="n">
        <v>0</v>
      </c>
      <c r="L37" t="n">
        <v>0</v>
      </c>
      <c r="M37" t="n">
        <v>0</v>
      </c>
      <c r="N37" t="n">
        <v>0</v>
      </c>
      <c r="O37" t="n">
        <v>1</v>
      </c>
      <c r="P37" t="n">
        <v>0</v>
      </c>
      <c r="Q37" t="n">
        <v>1</v>
      </c>
      <c r="R37" s="2" t="inlineStr">
        <is>
          <t>Svart skogssnigel</t>
        </is>
      </c>
      <c r="S37">
        <f>HYPERLINK("https://klasma.github.io/Logging_0884/artfynd/A 47473-2021 artfynd.xlsx", "A 47473-2021")</f>
        <v/>
      </c>
      <c r="T37">
        <f>HYPERLINK("https://klasma.github.io/Logging_0884/kartor/A 47473-2021 karta.png", "A 47473-2021")</f>
        <v/>
      </c>
      <c r="V37">
        <f>HYPERLINK("https://klasma.github.io/Logging_0884/klagomål/A 47473-2021 FSC-klagomål.docx", "A 47473-2021")</f>
        <v/>
      </c>
      <c r="W37">
        <f>HYPERLINK("https://klasma.github.io/Logging_0884/klagomålsmail/A 47473-2021 FSC-klagomål mail.docx", "A 47473-2021")</f>
        <v/>
      </c>
      <c r="X37">
        <f>HYPERLINK("https://klasma.github.io/Logging_0884/tillsyn/A 47473-2021 tillsynsbegäran.docx", "A 47473-2021")</f>
        <v/>
      </c>
      <c r="Y37">
        <f>HYPERLINK("https://klasma.github.io/Logging_0884/tillsynsmail/A 47473-2021 tillsynsbegäran mail.docx", "A 47473-2021")</f>
        <v/>
      </c>
    </row>
    <row r="38" ht="15" customHeight="1">
      <c r="A38" t="inlineStr">
        <is>
          <t>A 52301-2023</t>
        </is>
      </c>
      <c r="B38" s="1" t="n">
        <v>45224</v>
      </c>
      <c r="C38" s="1" t="n">
        <v>46194</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22266-2023</t>
        </is>
      </c>
      <c r="B39" s="1" t="n">
        <v>45070</v>
      </c>
      <c r="C39" s="1" t="n">
        <v>46194</v>
      </c>
      <c r="D39" t="inlineStr">
        <is>
          <t>KALMAR LÄN</t>
        </is>
      </c>
      <c r="E39" t="inlineStr">
        <is>
          <t>VIMMERBY</t>
        </is>
      </c>
      <c r="G39" t="n">
        <v>0.5</v>
      </c>
      <c r="H39" t="n">
        <v>0</v>
      </c>
      <c r="I39" t="n">
        <v>1</v>
      </c>
      <c r="J39" t="n">
        <v>0</v>
      </c>
      <c r="K39" t="n">
        <v>0</v>
      </c>
      <c r="L39" t="n">
        <v>0</v>
      </c>
      <c r="M39" t="n">
        <v>0</v>
      </c>
      <c r="N39" t="n">
        <v>0</v>
      </c>
      <c r="O39" t="n">
        <v>0</v>
      </c>
      <c r="P39" t="n">
        <v>0</v>
      </c>
      <c r="Q39" t="n">
        <v>1</v>
      </c>
      <c r="R39" s="2" t="inlineStr">
        <is>
          <t>Vätteros</t>
        </is>
      </c>
      <c r="S39">
        <f>HYPERLINK("https://klasma.github.io/Logging_0884/artfynd/A 22266-2023 artfynd.xlsx", "A 22266-2023")</f>
        <v/>
      </c>
      <c r="T39">
        <f>HYPERLINK("https://klasma.github.io/Logging_0884/kartor/A 22266-2023 karta.png", "A 22266-2023")</f>
        <v/>
      </c>
      <c r="V39">
        <f>HYPERLINK("https://klasma.github.io/Logging_0884/klagomål/A 22266-2023 FSC-klagomål.docx", "A 22266-2023")</f>
        <v/>
      </c>
      <c r="W39">
        <f>HYPERLINK("https://klasma.github.io/Logging_0884/klagomålsmail/A 22266-2023 FSC-klagomål mail.docx", "A 22266-2023")</f>
        <v/>
      </c>
      <c r="X39">
        <f>HYPERLINK("https://klasma.github.io/Logging_0884/tillsyn/A 22266-2023 tillsynsbegäran.docx", "A 22266-2023")</f>
        <v/>
      </c>
      <c r="Y39">
        <f>HYPERLINK("https://klasma.github.io/Logging_0884/tillsynsmail/A 22266-2023 tillsynsbegäran mail.docx", "A 22266-2023")</f>
        <v/>
      </c>
    </row>
    <row r="40" ht="15" customHeight="1">
      <c r="A40" t="inlineStr">
        <is>
          <t>A 13015-2023</t>
        </is>
      </c>
      <c r="B40" s="1" t="n">
        <v>45002</v>
      </c>
      <c r="C40" s="1" t="n">
        <v>46194</v>
      </c>
      <c r="D40" t="inlineStr">
        <is>
          <t>KALMAR LÄN</t>
        </is>
      </c>
      <c r="E40" t="inlineStr">
        <is>
          <t>VIMMERBY</t>
        </is>
      </c>
      <c r="G40" t="n">
        <v>3.2</v>
      </c>
      <c r="H40" t="n">
        <v>0</v>
      </c>
      <c r="I40" t="n">
        <v>0</v>
      </c>
      <c r="J40" t="n">
        <v>0</v>
      </c>
      <c r="K40" t="n">
        <v>1</v>
      </c>
      <c r="L40" t="n">
        <v>0</v>
      </c>
      <c r="M40" t="n">
        <v>0</v>
      </c>
      <c r="N40" t="n">
        <v>0</v>
      </c>
      <c r="O40" t="n">
        <v>1</v>
      </c>
      <c r="P40" t="n">
        <v>1</v>
      </c>
      <c r="Q40" t="n">
        <v>1</v>
      </c>
      <c r="R40" s="2" t="inlineStr">
        <is>
          <t>Bredbrämad bastardsvärmare</t>
        </is>
      </c>
      <c r="S40">
        <f>HYPERLINK("https://klasma.github.io/Logging_0884/artfynd/A 13015-2023 artfynd.xlsx", "A 13015-2023")</f>
        <v/>
      </c>
      <c r="T40">
        <f>HYPERLINK("https://klasma.github.io/Logging_0884/kartor/A 13015-2023 karta.png", "A 13015-2023")</f>
        <v/>
      </c>
      <c r="V40">
        <f>HYPERLINK("https://klasma.github.io/Logging_0884/klagomål/A 13015-2023 FSC-klagomål.docx", "A 13015-2023")</f>
        <v/>
      </c>
      <c r="W40">
        <f>HYPERLINK("https://klasma.github.io/Logging_0884/klagomålsmail/A 13015-2023 FSC-klagomål mail.docx", "A 13015-2023")</f>
        <v/>
      </c>
      <c r="X40">
        <f>HYPERLINK("https://klasma.github.io/Logging_0884/tillsyn/A 13015-2023 tillsynsbegäran.docx", "A 13015-2023")</f>
        <v/>
      </c>
      <c r="Y40">
        <f>HYPERLINK("https://klasma.github.io/Logging_0884/tillsynsmail/A 13015-2023 tillsynsbegäran mail.docx", "A 13015-2023")</f>
        <v/>
      </c>
    </row>
    <row r="41" ht="15" customHeight="1">
      <c r="A41" t="inlineStr">
        <is>
          <t>A 33436-2021</t>
        </is>
      </c>
      <c r="B41" s="1" t="n">
        <v>44377</v>
      </c>
      <c r="C41" s="1" t="n">
        <v>46194</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17511-2024</t>
        </is>
      </c>
      <c r="B42" s="1" t="n">
        <v>45415</v>
      </c>
      <c r="C42" s="1" t="n">
        <v>46194</v>
      </c>
      <c r="D42" t="inlineStr">
        <is>
          <t>KALMAR LÄN</t>
        </is>
      </c>
      <c r="E42" t="inlineStr">
        <is>
          <t>VIMMERBY</t>
        </is>
      </c>
      <c r="G42" t="n">
        <v>5.3</v>
      </c>
      <c r="H42" t="n">
        <v>0</v>
      </c>
      <c r="I42" t="n">
        <v>0</v>
      </c>
      <c r="J42" t="n">
        <v>1</v>
      </c>
      <c r="K42" t="n">
        <v>0</v>
      </c>
      <c r="L42" t="n">
        <v>0</v>
      </c>
      <c r="M42" t="n">
        <v>0</v>
      </c>
      <c r="N42" t="n">
        <v>0</v>
      </c>
      <c r="O42" t="n">
        <v>1</v>
      </c>
      <c r="P42" t="n">
        <v>0</v>
      </c>
      <c r="Q42" t="n">
        <v>1</v>
      </c>
      <c r="R42" s="2" t="inlineStr">
        <is>
          <t>Sydspärgel</t>
        </is>
      </c>
      <c r="S42">
        <f>HYPERLINK("https://klasma.github.io/Logging_0884/artfynd/A 17511-2024 artfynd.xlsx", "A 17511-2024")</f>
        <v/>
      </c>
      <c r="T42">
        <f>HYPERLINK("https://klasma.github.io/Logging_0884/kartor/A 17511-2024 karta.png", "A 17511-2024")</f>
        <v/>
      </c>
      <c r="V42">
        <f>HYPERLINK("https://klasma.github.io/Logging_0884/klagomål/A 17511-2024 FSC-klagomål.docx", "A 17511-2024")</f>
        <v/>
      </c>
      <c r="W42">
        <f>HYPERLINK("https://klasma.github.io/Logging_0884/klagomålsmail/A 17511-2024 FSC-klagomål mail.docx", "A 17511-2024")</f>
        <v/>
      </c>
      <c r="X42">
        <f>HYPERLINK("https://klasma.github.io/Logging_0884/tillsyn/A 17511-2024 tillsynsbegäran.docx", "A 17511-2024")</f>
        <v/>
      </c>
      <c r="Y42">
        <f>HYPERLINK("https://klasma.github.io/Logging_0884/tillsynsmail/A 17511-2024 tillsynsbegäran mail.docx", "A 17511-2024")</f>
        <v/>
      </c>
    </row>
    <row r="43" ht="15" customHeight="1">
      <c r="A43" t="inlineStr">
        <is>
          <t>A 53404-2025</t>
        </is>
      </c>
      <c r="B43" s="1" t="n">
        <v>45959</v>
      </c>
      <c r="C43" s="1" t="n">
        <v>46194</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29183-2025</t>
        </is>
      </c>
      <c r="B44" s="1" t="n">
        <v>45821</v>
      </c>
      <c r="C44" s="1" t="n">
        <v>46194</v>
      </c>
      <c r="D44" t="inlineStr">
        <is>
          <t>KALMAR LÄN</t>
        </is>
      </c>
      <c r="E44" t="inlineStr">
        <is>
          <t>VIMMERBY</t>
        </is>
      </c>
      <c r="G44" t="n">
        <v>2.7</v>
      </c>
      <c r="H44" t="n">
        <v>0</v>
      </c>
      <c r="I44" t="n">
        <v>0</v>
      </c>
      <c r="J44" t="n">
        <v>1</v>
      </c>
      <c r="K44" t="n">
        <v>0</v>
      </c>
      <c r="L44" t="n">
        <v>0</v>
      </c>
      <c r="M44" t="n">
        <v>0</v>
      </c>
      <c r="N44" t="n">
        <v>0</v>
      </c>
      <c r="O44" t="n">
        <v>1</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57062-2025</t>
        </is>
      </c>
      <c r="B45" s="1" t="n">
        <v>45979</v>
      </c>
      <c r="C45" s="1" t="n">
        <v>46194</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15122-2024</t>
        </is>
      </c>
      <c r="B46" s="1" t="n">
        <v>45399</v>
      </c>
      <c r="C46" s="1" t="n">
        <v>46194</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46194</v>
      </c>
      <c r="D47" t="inlineStr">
        <is>
          <t>KALMAR LÄN</t>
        </is>
      </c>
      <c r="E47" t="inlineStr">
        <is>
          <t>VIMMERBY</t>
        </is>
      </c>
      <c r="G47" t="n">
        <v>1.9</v>
      </c>
      <c r="H47" t="n">
        <v>0</v>
      </c>
      <c r="I47" t="n">
        <v>0</v>
      </c>
      <c r="J47" t="n">
        <v>0</v>
      </c>
      <c r="K47" t="n">
        <v>1</v>
      </c>
      <c r="L47" t="n">
        <v>0</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46194</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v>
      </c>
      <c r="C49" s="1" t="n">
        <v>46194</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5527-2022</t>
        </is>
      </c>
      <c r="B50" s="1" t="n">
        <v>44595</v>
      </c>
      <c r="C50" s="1" t="n">
        <v>46194</v>
      </c>
      <c r="D50" t="inlineStr">
        <is>
          <t>KALMAR LÄN</t>
        </is>
      </c>
      <c r="E50" t="inlineStr">
        <is>
          <t>VIMMERBY</t>
        </is>
      </c>
      <c r="G50" t="n">
        <v>3.6</v>
      </c>
      <c r="H50" t="n">
        <v>0</v>
      </c>
      <c r="I50" t="n">
        <v>0</v>
      </c>
      <c r="J50" t="n">
        <v>1</v>
      </c>
      <c r="K50" t="n">
        <v>0</v>
      </c>
      <c r="L50" t="n">
        <v>0</v>
      </c>
      <c r="M50" t="n">
        <v>0</v>
      </c>
      <c r="N50" t="n">
        <v>0</v>
      </c>
      <c r="O50" t="n">
        <v>1</v>
      </c>
      <c r="P50" t="n">
        <v>0</v>
      </c>
      <c r="Q50" t="n">
        <v>1</v>
      </c>
      <c r="R50" s="2" t="inlineStr">
        <is>
          <t>Koralltaggsvamp</t>
        </is>
      </c>
      <c r="S50">
        <f>HYPERLINK("https://klasma.github.io/Logging_0884/artfynd/A 5527-2022 artfynd.xlsx", "A 5527-2022")</f>
        <v/>
      </c>
      <c r="T50">
        <f>HYPERLINK("https://klasma.github.io/Logging_0884/kartor/A 5527-2022 karta.png", "A 5527-2022")</f>
        <v/>
      </c>
      <c r="V50">
        <f>HYPERLINK("https://klasma.github.io/Logging_0884/klagomål/A 5527-2022 FSC-klagomål.docx", "A 5527-2022")</f>
        <v/>
      </c>
      <c r="W50">
        <f>HYPERLINK("https://klasma.github.io/Logging_0884/klagomålsmail/A 5527-2022 FSC-klagomål mail.docx", "A 5527-2022")</f>
        <v/>
      </c>
      <c r="X50">
        <f>HYPERLINK("https://klasma.github.io/Logging_0884/tillsyn/A 5527-2022 tillsynsbegäran.docx", "A 5527-2022")</f>
        <v/>
      </c>
      <c r="Y50">
        <f>HYPERLINK("https://klasma.github.io/Logging_0884/tillsynsmail/A 5527-2022 tillsynsbegäran mail.docx", "A 5527-2022")</f>
        <v/>
      </c>
    </row>
    <row r="51" ht="15" customHeight="1">
      <c r="A51" t="inlineStr">
        <is>
          <t>A 61860-2024</t>
        </is>
      </c>
      <c r="B51" s="1" t="n">
        <v>45649</v>
      </c>
      <c r="C51" s="1" t="n">
        <v>46194</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1201-2025</t>
        </is>
      </c>
      <c r="B52" s="1" t="n">
        <v>45667</v>
      </c>
      <c r="C52" s="1" t="n">
        <v>46194</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59070-2021</t>
        </is>
      </c>
      <c r="B53" s="1" t="n">
        <v>44490</v>
      </c>
      <c r="C53" s="1" t="n">
        <v>46194</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46194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46194</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46194</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46194</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46194</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38348-2021</t>
        </is>
      </c>
      <c r="B59" s="1" t="n">
        <v>44406</v>
      </c>
      <c r="C59" s="1" t="n">
        <v>46194</v>
      </c>
      <c r="D59" t="inlineStr">
        <is>
          <t>KALMAR LÄN</t>
        </is>
      </c>
      <c r="E59" t="inlineStr">
        <is>
          <t>VIMMERBY</t>
        </is>
      </c>
      <c r="G59" t="n">
        <v>2.2</v>
      </c>
      <c r="H59" t="n">
        <v>0</v>
      </c>
      <c r="I59" t="n">
        <v>0</v>
      </c>
      <c r="J59" t="n">
        <v>0</v>
      </c>
      <c r="K59" t="n">
        <v>0</v>
      </c>
      <c r="L59" t="n">
        <v>0</v>
      </c>
      <c r="M59" t="n">
        <v>0</v>
      </c>
      <c r="N59" t="n">
        <v>0</v>
      </c>
      <c r="O59" t="n">
        <v>0</v>
      </c>
      <c r="P59" t="n">
        <v>0</v>
      </c>
      <c r="Q59" t="n">
        <v>0</v>
      </c>
      <c r="R59" s="2" t="inlineStr"/>
    </row>
    <row r="60" ht="15" customHeight="1">
      <c r="A60" t="inlineStr">
        <is>
          <t>A 63926-2021</t>
        </is>
      </c>
      <c r="B60" s="1" t="n">
        <v>44509</v>
      </c>
      <c r="C60" s="1" t="n">
        <v>46194</v>
      </c>
      <c r="D60" t="inlineStr">
        <is>
          <t>KALMAR LÄN</t>
        </is>
      </c>
      <c r="E60" t="inlineStr">
        <is>
          <t>VIMMERBY</t>
        </is>
      </c>
      <c r="G60" t="n">
        <v>0.7</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46194</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46194</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46194</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46194</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46194</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46194</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46194</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2183-2022</t>
        </is>
      </c>
      <c r="B68" s="1" t="n">
        <v>44578</v>
      </c>
      <c r="C68" s="1" t="n">
        <v>46194</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v>
      </c>
      <c r="C69" s="1" t="n">
        <v>46194</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46194</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46194</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46194</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46194</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57416-2021</t>
        </is>
      </c>
      <c r="B74" s="1" t="n">
        <v>44483</v>
      </c>
      <c r="C74" s="1" t="n">
        <v>46194</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46194</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71626-2021</t>
        </is>
      </c>
      <c r="B76" s="1" t="n">
        <v>44542</v>
      </c>
      <c r="C76" s="1" t="n">
        <v>46194</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46194</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46194</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46194</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46194</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46194</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46194</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46194</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46194</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46194</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46194</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46194</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46194</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46194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46194</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v>
      </c>
      <c r="C91" s="1" t="n">
        <v>46194</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46194</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46194</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46194</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46194</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46194</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46194</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v>
      </c>
      <c r="C99" s="1" t="n">
        <v>46194</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46194</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46194</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46194</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46194</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46194</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7917-2022</t>
        </is>
      </c>
      <c r="B105" s="1" t="n">
        <v>44608</v>
      </c>
      <c r="C105" s="1" t="n">
        <v>46194</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47208-2021</t>
        </is>
      </c>
      <c r="B106" s="1" t="n">
        <v>44447</v>
      </c>
      <c r="C106" s="1" t="n">
        <v>46194</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46194</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46194</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46194</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46194</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46194</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46194</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46194</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46194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46194</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46194</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46194</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46194</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46194</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v>
      </c>
      <c r="C123" s="1" t="n">
        <v>46194</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v>
      </c>
      <c r="C124" s="1" t="n">
        <v>46194</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29180-2024</t>
        </is>
      </c>
      <c r="B126" s="1" t="n">
        <v>45482</v>
      </c>
      <c r="C126" s="1" t="n">
        <v>46194</v>
      </c>
      <c r="D126" t="inlineStr">
        <is>
          <t>KALMAR LÄN</t>
        </is>
      </c>
      <c r="E126" t="inlineStr">
        <is>
          <t>VIMMERBY</t>
        </is>
      </c>
      <c r="G126" t="n">
        <v>3.8</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v>
      </c>
      <c r="C127" s="1" t="n">
        <v>46194</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46194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54838-2024</t>
        </is>
      </c>
      <c r="B129" s="1" t="n">
        <v>45618</v>
      </c>
      <c r="C129" s="1" t="n">
        <v>46194</v>
      </c>
      <c r="D129" t="inlineStr">
        <is>
          <t>KALMAR LÄN</t>
        </is>
      </c>
      <c r="E129" t="inlineStr">
        <is>
          <t>VIMMERBY</t>
        </is>
      </c>
      <c r="G129" t="n">
        <v>3.3</v>
      </c>
      <c r="H129" t="n">
        <v>0</v>
      </c>
      <c r="I129" t="n">
        <v>0</v>
      </c>
      <c r="J129" t="n">
        <v>0</v>
      </c>
      <c r="K129" t="n">
        <v>0</v>
      </c>
      <c r="L129" t="n">
        <v>0</v>
      </c>
      <c r="M129" t="n">
        <v>0</v>
      </c>
      <c r="N129" t="n">
        <v>0</v>
      </c>
      <c r="O129" t="n">
        <v>0</v>
      </c>
      <c r="P129" t="n">
        <v>0</v>
      </c>
      <c r="Q129" t="n">
        <v>0</v>
      </c>
      <c r="R129" s="2" t="inlineStr"/>
    </row>
    <row r="130" ht="15" customHeight="1">
      <c r="A130" t="inlineStr">
        <is>
          <t>A 25987-2024</t>
        </is>
      </c>
      <c r="B130" s="1" t="n">
        <v>45467</v>
      </c>
      <c r="C130" s="1" t="n">
        <v>46194</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25109-2023</t>
        </is>
      </c>
      <c r="B131" s="1" t="n">
        <v>45086</v>
      </c>
      <c r="C131" s="1" t="n">
        <v>46194</v>
      </c>
      <c r="D131" t="inlineStr">
        <is>
          <t>KALMAR LÄN</t>
        </is>
      </c>
      <c r="E131" t="inlineStr">
        <is>
          <t>VIMMERBY</t>
        </is>
      </c>
      <c r="G131" t="n">
        <v>1.5</v>
      </c>
      <c r="H131" t="n">
        <v>0</v>
      </c>
      <c r="I131" t="n">
        <v>0</v>
      </c>
      <c r="J131" t="n">
        <v>0</v>
      </c>
      <c r="K131" t="n">
        <v>0</v>
      </c>
      <c r="L131" t="n">
        <v>0</v>
      </c>
      <c r="M131" t="n">
        <v>0</v>
      </c>
      <c r="N131" t="n">
        <v>0</v>
      </c>
      <c r="O131" t="n">
        <v>0</v>
      </c>
      <c r="P131" t="n">
        <v>0</v>
      </c>
      <c r="Q131" t="n">
        <v>0</v>
      </c>
      <c r="R131" s="2" t="inlineStr"/>
    </row>
    <row r="132" ht="15" customHeight="1">
      <c r="A132" t="inlineStr">
        <is>
          <t>A 6850-2023</t>
        </is>
      </c>
      <c r="B132" s="1" t="n">
        <v>44967</v>
      </c>
      <c r="C132" s="1" t="n">
        <v>46194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62023-2022</t>
        </is>
      </c>
      <c r="B133" s="1" t="n">
        <v>44918</v>
      </c>
      <c r="C133" s="1" t="n">
        <v>46194</v>
      </c>
      <c r="D133" t="inlineStr">
        <is>
          <t>KALMAR LÄN</t>
        </is>
      </c>
      <c r="E133" t="inlineStr">
        <is>
          <t>VIMMERBY</t>
        </is>
      </c>
      <c r="G133" t="n">
        <v>0.3</v>
      </c>
      <c r="H133" t="n">
        <v>0</v>
      </c>
      <c r="I133" t="n">
        <v>0</v>
      </c>
      <c r="J133" t="n">
        <v>0</v>
      </c>
      <c r="K133" t="n">
        <v>0</v>
      </c>
      <c r="L133" t="n">
        <v>0</v>
      </c>
      <c r="M133" t="n">
        <v>0</v>
      </c>
      <c r="N133" t="n">
        <v>0</v>
      </c>
      <c r="O133" t="n">
        <v>0</v>
      </c>
      <c r="P133" t="n">
        <v>0</v>
      </c>
      <c r="Q133" t="n">
        <v>0</v>
      </c>
      <c r="R133" s="2" t="inlineStr"/>
    </row>
    <row r="134" ht="15" customHeight="1">
      <c r="A134" t="inlineStr">
        <is>
          <t>A 43853-2023</t>
        </is>
      </c>
      <c r="B134" s="1" t="n">
        <v>45187</v>
      </c>
      <c r="C134" s="1" t="n">
        <v>46194</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58104-2024</t>
        </is>
      </c>
      <c r="B135" s="1" t="n">
        <v>45632</v>
      </c>
      <c r="C135" s="1" t="n">
        <v>46194</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12215-2024</t>
        </is>
      </c>
      <c r="B136" s="1" t="n">
        <v>45378</v>
      </c>
      <c r="C136" s="1" t="n">
        <v>46194</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30920-2024</t>
        </is>
      </c>
      <c r="B137" s="1" t="n">
        <v>45498</v>
      </c>
      <c r="C137" s="1" t="n">
        <v>46194</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48673-2021</t>
        </is>
      </c>
      <c r="B138" s="1" t="n">
        <v>44452</v>
      </c>
      <c r="C138" s="1" t="n">
        <v>46194</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56536-2022</t>
        </is>
      </c>
      <c r="B139" s="1" t="n">
        <v>44893</v>
      </c>
      <c r="C139" s="1" t="n">
        <v>46194</v>
      </c>
      <c r="D139" t="inlineStr">
        <is>
          <t>KALMAR LÄN</t>
        </is>
      </c>
      <c r="E139" t="inlineStr">
        <is>
          <t>VIMMERBY</t>
        </is>
      </c>
      <c r="G139" t="n">
        <v>3.2</v>
      </c>
      <c r="H139" t="n">
        <v>0</v>
      </c>
      <c r="I139" t="n">
        <v>0</v>
      </c>
      <c r="J139" t="n">
        <v>0</v>
      </c>
      <c r="K139" t="n">
        <v>0</v>
      </c>
      <c r="L139" t="n">
        <v>0</v>
      </c>
      <c r="M139" t="n">
        <v>0</v>
      </c>
      <c r="N139" t="n">
        <v>0</v>
      </c>
      <c r="O139" t="n">
        <v>0</v>
      </c>
      <c r="P139" t="n">
        <v>0</v>
      </c>
      <c r="Q139" t="n">
        <v>0</v>
      </c>
      <c r="R139" s="2" t="inlineStr"/>
    </row>
    <row r="140" ht="15" customHeight="1">
      <c r="A140" t="inlineStr">
        <is>
          <t>A 63541-2023</t>
        </is>
      </c>
      <c r="B140" s="1" t="n">
        <v>45275</v>
      </c>
      <c r="C140" s="1" t="n">
        <v>46194</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37323-2024</t>
        </is>
      </c>
      <c r="B141" s="1" t="n">
        <v>45540</v>
      </c>
      <c r="C141" s="1" t="n">
        <v>46194</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14137-2023</t>
        </is>
      </c>
      <c r="B142" s="1" t="n">
        <v>45009</v>
      </c>
      <c r="C142" s="1" t="n">
        <v>46194</v>
      </c>
      <c r="D142" t="inlineStr">
        <is>
          <t>KALMAR LÄN</t>
        </is>
      </c>
      <c r="E142" t="inlineStr">
        <is>
          <t>VIMMERBY</t>
        </is>
      </c>
      <c r="G142" t="n">
        <v>1.3</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46194</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v>
      </c>
      <c r="C144" s="1" t="n">
        <v>46194</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38780-2021</t>
        </is>
      </c>
      <c r="B145" s="1" t="n">
        <v>44410</v>
      </c>
      <c r="C145" s="1" t="n">
        <v>46194</v>
      </c>
      <c r="D145" t="inlineStr">
        <is>
          <t>KALMAR LÄN</t>
        </is>
      </c>
      <c r="E145" t="inlineStr">
        <is>
          <t>VIMMERBY</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30503-2023</t>
        </is>
      </c>
      <c r="B146" s="1" t="n">
        <v>45111</v>
      </c>
      <c r="C146" s="1" t="n">
        <v>46194</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11429-2022</t>
        </is>
      </c>
      <c r="B147" s="1" t="n">
        <v>44630</v>
      </c>
      <c r="C147" s="1" t="n">
        <v>46194</v>
      </c>
      <c r="D147" t="inlineStr">
        <is>
          <t>KALMAR LÄN</t>
        </is>
      </c>
      <c r="E147" t="inlineStr">
        <is>
          <t>VIMMERBY</t>
        </is>
      </c>
      <c r="G147" t="n">
        <v>2.6</v>
      </c>
      <c r="H147" t="n">
        <v>0</v>
      </c>
      <c r="I147" t="n">
        <v>0</v>
      </c>
      <c r="J147" t="n">
        <v>0</v>
      </c>
      <c r="K147" t="n">
        <v>0</v>
      </c>
      <c r="L147" t="n">
        <v>0</v>
      </c>
      <c r="M147" t="n">
        <v>0</v>
      </c>
      <c r="N147" t="n">
        <v>0</v>
      </c>
      <c r="O147" t="n">
        <v>0</v>
      </c>
      <c r="P147" t="n">
        <v>0</v>
      </c>
      <c r="Q147" t="n">
        <v>0</v>
      </c>
      <c r="R147" s="2" t="inlineStr"/>
    </row>
    <row r="148" ht="15" customHeight="1">
      <c r="A148" t="inlineStr">
        <is>
          <t>A 56582-2022</t>
        </is>
      </c>
      <c r="B148" s="1" t="n">
        <v>44893</v>
      </c>
      <c r="C148" s="1" t="n">
        <v>46194</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60110-2022</t>
        </is>
      </c>
      <c r="B149" s="1" t="n">
        <v>44909</v>
      </c>
      <c r="C149" s="1" t="n">
        <v>46194</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v>
      </c>
      <c r="C150" s="1" t="n">
        <v>46194</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53145-2022</t>
        </is>
      </c>
      <c r="B151" s="1" t="n">
        <v>44876</v>
      </c>
      <c r="C151" s="1" t="n">
        <v>46194</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25738-2022</t>
        </is>
      </c>
      <c r="B152" s="1" t="n">
        <v>44733</v>
      </c>
      <c r="C152" s="1" t="n">
        <v>46194</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6408-2025</t>
        </is>
      </c>
      <c r="B153" s="1" t="n">
        <v>45699</v>
      </c>
      <c r="C153" s="1" t="n">
        <v>46194</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11609-2023</t>
        </is>
      </c>
      <c r="B154" s="1" t="n">
        <v>44994</v>
      </c>
      <c r="C154" s="1" t="n">
        <v>46194</v>
      </c>
      <c r="D154" t="inlineStr">
        <is>
          <t>KALMAR LÄN</t>
        </is>
      </c>
      <c r="E154" t="inlineStr">
        <is>
          <t>VIMMERBY</t>
        </is>
      </c>
      <c r="G154" t="n">
        <v>4.9</v>
      </c>
      <c r="H154" t="n">
        <v>0</v>
      </c>
      <c r="I154" t="n">
        <v>0</v>
      </c>
      <c r="J154" t="n">
        <v>0</v>
      </c>
      <c r="K154" t="n">
        <v>0</v>
      </c>
      <c r="L154" t="n">
        <v>0</v>
      </c>
      <c r="M154" t="n">
        <v>0</v>
      </c>
      <c r="N154" t="n">
        <v>0</v>
      </c>
      <c r="O154" t="n">
        <v>0</v>
      </c>
      <c r="P154" t="n">
        <v>0</v>
      </c>
      <c r="Q154" t="n">
        <v>0</v>
      </c>
      <c r="R154" s="2" t="inlineStr"/>
    </row>
    <row r="155" ht="15" customHeight="1">
      <c r="A155" t="inlineStr">
        <is>
          <t>A 44464-2024</t>
        </is>
      </c>
      <c r="B155" s="1" t="n">
        <v>45574</v>
      </c>
      <c r="C155" s="1" t="n">
        <v>46194</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8194-2022</t>
        </is>
      </c>
      <c r="B156" s="1" t="n">
        <v>44609</v>
      </c>
      <c r="C156" s="1" t="n">
        <v>46194</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41066-2024</t>
        </is>
      </c>
      <c r="B157" s="1" t="n">
        <v>45559</v>
      </c>
      <c r="C157" s="1" t="n">
        <v>46194</v>
      </c>
      <c r="D157" t="inlineStr">
        <is>
          <t>KALMAR LÄN</t>
        </is>
      </c>
      <c r="E157" t="inlineStr">
        <is>
          <t>VIMMERBY</t>
        </is>
      </c>
      <c r="G157" t="n">
        <v>2.4</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46194</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18329-2023</t>
        </is>
      </c>
      <c r="B159" s="1" t="n">
        <v>45041</v>
      </c>
      <c r="C159" s="1" t="n">
        <v>46194</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5720-2023</t>
        </is>
      </c>
      <c r="B160" s="1" t="n">
        <v>44961</v>
      </c>
      <c r="C160" s="1" t="n">
        <v>46194</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61538-2022</t>
        </is>
      </c>
      <c r="B161" s="1" t="n">
        <v>44916</v>
      </c>
      <c r="C161" s="1" t="n">
        <v>46194</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3816-2022</t>
        </is>
      </c>
      <c r="B162" s="1" t="n">
        <v>44587</v>
      </c>
      <c r="C162" s="1" t="n">
        <v>46194</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46194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46194</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8453-2022</t>
        </is>
      </c>
      <c r="B165" s="1" t="n">
        <v>44612</v>
      </c>
      <c r="C165" s="1" t="n">
        <v>46194</v>
      </c>
      <c r="D165" t="inlineStr">
        <is>
          <t>KALMAR LÄN</t>
        </is>
      </c>
      <c r="E165" t="inlineStr">
        <is>
          <t>VIMMERBY</t>
        </is>
      </c>
      <c r="G165" t="n">
        <v>1.7</v>
      </c>
      <c r="H165" t="n">
        <v>0</v>
      </c>
      <c r="I165" t="n">
        <v>0</v>
      </c>
      <c r="J165" t="n">
        <v>0</v>
      </c>
      <c r="K165" t="n">
        <v>0</v>
      </c>
      <c r="L165" t="n">
        <v>0</v>
      </c>
      <c r="M165" t="n">
        <v>0</v>
      </c>
      <c r="N165" t="n">
        <v>0</v>
      </c>
      <c r="O165" t="n">
        <v>0</v>
      </c>
      <c r="P165" t="n">
        <v>0</v>
      </c>
      <c r="Q165" t="n">
        <v>0</v>
      </c>
      <c r="R165" s="2" t="inlineStr"/>
    </row>
    <row r="166" ht="15" customHeight="1">
      <c r="A166" t="inlineStr">
        <is>
          <t>A 694-2024</t>
        </is>
      </c>
      <c r="B166" s="1" t="n">
        <v>45300</v>
      </c>
      <c r="C166" s="1" t="n">
        <v>46194</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v>
      </c>
      <c r="C167" s="1" t="n">
        <v>46194</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v>
      </c>
      <c r="C168" s="1" t="n">
        <v>46194</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57114-2023</t>
        </is>
      </c>
      <c r="B169" s="1" t="n">
        <v>45245</v>
      </c>
      <c r="C169" s="1" t="n">
        <v>46194</v>
      </c>
      <c r="D169" t="inlineStr">
        <is>
          <t>KALMAR LÄN</t>
        </is>
      </c>
      <c r="E169" t="inlineStr">
        <is>
          <t>VIMMERBY</t>
        </is>
      </c>
      <c r="G169" t="n">
        <v>1.5</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46194</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54065-2021</t>
        </is>
      </c>
      <c r="B171" s="1" t="n">
        <v>44470</v>
      </c>
      <c r="C171" s="1" t="n">
        <v>46194</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1081-2023</t>
        </is>
      </c>
      <c r="B172" s="1" t="n">
        <v>44935</v>
      </c>
      <c r="C172" s="1" t="n">
        <v>46194</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7047-2022</t>
        </is>
      </c>
      <c r="B173" s="1" t="n">
        <v>44603</v>
      </c>
      <c r="C173" s="1" t="n">
        <v>46194</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46194</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12499-2023</t>
        </is>
      </c>
      <c r="B175" s="1" t="n">
        <v>44999</v>
      </c>
      <c r="C175" s="1" t="n">
        <v>46194</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12500-2023</t>
        </is>
      </c>
      <c r="B176" s="1" t="n">
        <v>44999</v>
      </c>
      <c r="C176" s="1" t="n">
        <v>46194</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46194</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12327-2023</t>
        </is>
      </c>
      <c r="B178" s="1" t="n">
        <v>44999</v>
      </c>
      <c r="C178" s="1" t="n">
        <v>46194</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6066-2023</t>
        </is>
      </c>
      <c r="B179" s="1" t="n">
        <v>44964</v>
      </c>
      <c r="C179" s="1" t="n">
        <v>46194</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33103-2024</t>
        </is>
      </c>
      <c r="B180" s="1" t="n">
        <v>45517</v>
      </c>
      <c r="C180" s="1" t="n">
        <v>46194</v>
      </c>
      <c r="D180" t="inlineStr">
        <is>
          <t>KALMAR LÄN</t>
        </is>
      </c>
      <c r="E180" t="inlineStr">
        <is>
          <t>VIMMERBY</t>
        </is>
      </c>
      <c r="G180" t="n">
        <v>1.6</v>
      </c>
      <c r="H180" t="n">
        <v>0</v>
      </c>
      <c r="I180" t="n">
        <v>0</v>
      </c>
      <c r="J180" t="n">
        <v>0</v>
      </c>
      <c r="K180" t="n">
        <v>0</v>
      </c>
      <c r="L180" t="n">
        <v>0</v>
      </c>
      <c r="M180" t="n">
        <v>0</v>
      </c>
      <c r="N180" t="n">
        <v>0</v>
      </c>
      <c r="O180" t="n">
        <v>0</v>
      </c>
      <c r="P180" t="n">
        <v>0</v>
      </c>
      <c r="Q180" t="n">
        <v>0</v>
      </c>
      <c r="R180" s="2" t="inlineStr"/>
    </row>
    <row r="181" ht="15" customHeight="1">
      <c r="A181" t="inlineStr">
        <is>
          <t>A 12510-2022</t>
        </is>
      </c>
      <c r="B181" s="1" t="n">
        <v>44638</v>
      </c>
      <c r="C181" s="1" t="n">
        <v>46194</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v>
      </c>
      <c r="C182" s="1" t="n">
        <v>46194</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46194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30633-2024</t>
        </is>
      </c>
      <c r="B184" s="1" t="n">
        <v>45495</v>
      </c>
      <c r="C184" s="1" t="n">
        <v>46194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33424-2023</t>
        </is>
      </c>
      <c r="B185" s="1" t="n">
        <v>45128</v>
      </c>
      <c r="C185" s="1" t="n">
        <v>46194</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33425-2023</t>
        </is>
      </c>
      <c r="B186" s="1" t="n">
        <v>45128</v>
      </c>
      <c r="C186" s="1" t="n">
        <v>46194</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3609-2024</t>
        </is>
      </c>
      <c r="B187" s="1" t="n">
        <v>45320</v>
      </c>
      <c r="C187" s="1" t="n">
        <v>46194</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v>
      </c>
      <c r="C188" s="1" t="n">
        <v>46194</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25728-2023</t>
        </is>
      </c>
      <c r="B189" s="1" t="n">
        <v>45090</v>
      </c>
      <c r="C189" s="1" t="n">
        <v>46194</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1146-2025</t>
        </is>
      </c>
      <c r="B190" s="1" t="n">
        <v>45666</v>
      </c>
      <c r="C190" s="1" t="n">
        <v>46194</v>
      </c>
      <c r="D190" t="inlineStr">
        <is>
          <t>KALMAR LÄN</t>
        </is>
      </c>
      <c r="E190" t="inlineStr">
        <is>
          <t>VIMMERBY</t>
        </is>
      </c>
      <c r="G190" t="n">
        <v>4</v>
      </c>
      <c r="H190" t="n">
        <v>0</v>
      </c>
      <c r="I190" t="n">
        <v>0</v>
      </c>
      <c r="J190" t="n">
        <v>0</v>
      </c>
      <c r="K190" t="n">
        <v>0</v>
      </c>
      <c r="L190" t="n">
        <v>0</v>
      </c>
      <c r="M190" t="n">
        <v>0</v>
      </c>
      <c r="N190" t="n">
        <v>0</v>
      </c>
      <c r="O190" t="n">
        <v>0</v>
      </c>
      <c r="P190" t="n">
        <v>0</v>
      </c>
      <c r="Q190" t="n">
        <v>0</v>
      </c>
      <c r="R190" s="2" t="inlineStr"/>
    </row>
    <row r="191" ht="15" customHeight="1">
      <c r="A191" t="inlineStr">
        <is>
          <t>A 12890-2023</t>
        </is>
      </c>
      <c r="B191" s="1" t="n">
        <v>45001</v>
      </c>
      <c r="C191" s="1" t="n">
        <v>46194</v>
      </c>
      <c r="D191" t="inlineStr">
        <is>
          <t>KALMAR LÄN</t>
        </is>
      </c>
      <c r="E191" t="inlineStr">
        <is>
          <t>VIMMERBY</t>
        </is>
      </c>
      <c r="G191" t="n">
        <v>2.8</v>
      </c>
      <c r="H191" t="n">
        <v>0</v>
      </c>
      <c r="I191" t="n">
        <v>0</v>
      </c>
      <c r="J191" t="n">
        <v>0</v>
      </c>
      <c r="K191" t="n">
        <v>0</v>
      </c>
      <c r="L191" t="n">
        <v>0</v>
      </c>
      <c r="M191" t="n">
        <v>0</v>
      </c>
      <c r="N191" t="n">
        <v>0</v>
      </c>
      <c r="O191" t="n">
        <v>0</v>
      </c>
      <c r="P191" t="n">
        <v>0</v>
      </c>
      <c r="Q191" t="n">
        <v>0</v>
      </c>
      <c r="R191" s="2" t="inlineStr"/>
    </row>
    <row r="192" ht="15" customHeight="1">
      <c r="A192" t="inlineStr">
        <is>
          <t>A 3902-2022</t>
        </is>
      </c>
      <c r="B192" s="1" t="n">
        <v>44587</v>
      </c>
      <c r="C192" s="1" t="n">
        <v>46194</v>
      </c>
      <c r="D192" t="inlineStr">
        <is>
          <t>KALMAR LÄN</t>
        </is>
      </c>
      <c r="E192" t="inlineStr">
        <is>
          <t>VIMMERBY</t>
        </is>
      </c>
      <c r="G192" t="n">
        <v>2.6</v>
      </c>
      <c r="H192" t="n">
        <v>0</v>
      </c>
      <c r="I192" t="n">
        <v>0</v>
      </c>
      <c r="J192" t="n">
        <v>0</v>
      </c>
      <c r="K192" t="n">
        <v>0</v>
      </c>
      <c r="L192" t="n">
        <v>0</v>
      </c>
      <c r="M192" t="n">
        <v>0</v>
      </c>
      <c r="N192" t="n">
        <v>0</v>
      </c>
      <c r="O192" t="n">
        <v>0</v>
      </c>
      <c r="P192" t="n">
        <v>0</v>
      </c>
      <c r="Q192" t="n">
        <v>0</v>
      </c>
      <c r="R192" s="2" t="inlineStr"/>
    </row>
    <row r="193" ht="15" customHeight="1">
      <c r="A193" t="inlineStr">
        <is>
          <t>A 89-2023</t>
        </is>
      </c>
      <c r="B193" s="1" t="n">
        <v>44918</v>
      </c>
      <c r="C193" s="1" t="n">
        <v>46194</v>
      </c>
      <c r="D193" t="inlineStr">
        <is>
          <t>KALMAR LÄN</t>
        </is>
      </c>
      <c r="E193" t="inlineStr">
        <is>
          <t>VIMMERBY</t>
        </is>
      </c>
      <c r="G193" t="n">
        <v>16.1</v>
      </c>
      <c r="H193" t="n">
        <v>0</v>
      </c>
      <c r="I193" t="n">
        <v>0</v>
      </c>
      <c r="J193" t="n">
        <v>0</v>
      </c>
      <c r="K193" t="n">
        <v>0</v>
      </c>
      <c r="L193" t="n">
        <v>0</v>
      </c>
      <c r="M193" t="n">
        <v>0</v>
      </c>
      <c r="N193" t="n">
        <v>0</v>
      </c>
      <c r="O193" t="n">
        <v>0</v>
      </c>
      <c r="P193" t="n">
        <v>0</v>
      </c>
      <c r="Q193" t="n">
        <v>0</v>
      </c>
      <c r="R193" s="2" t="inlineStr"/>
    </row>
    <row r="194" ht="15" customHeight="1">
      <c r="A194" t="inlineStr">
        <is>
          <t>A 5382-2023</t>
        </is>
      </c>
      <c r="B194" s="1" t="n">
        <v>44959</v>
      </c>
      <c r="C194" s="1" t="n">
        <v>46194</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6668-2023</t>
        </is>
      </c>
      <c r="B195" s="1" t="n">
        <v>44966</v>
      </c>
      <c r="C195" s="1" t="n">
        <v>46194</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8650-2022</t>
        </is>
      </c>
      <c r="B196" s="1" t="n">
        <v>44613</v>
      </c>
      <c r="C196" s="1" t="n">
        <v>46194</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30634-2024</t>
        </is>
      </c>
      <c r="B197" s="1" t="n">
        <v>45495</v>
      </c>
      <c r="C197" s="1" t="n">
        <v>46194</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6355-2022</t>
        </is>
      </c>
      <c r="B198" s="1" t="n">
        <v>44600</v>
      </c>
      <c r="C198" s="1" t="n">
        <v>46194</v>
      </c>
      <c r="D198" t="inlineStr">
        <is>
          <t>KALMAR LÄN</t>
        </is>
      </c>
      <c r="E198" t="inlineStr">
        <is>
          <t>VIMMERBY</t>
        </is>
      </c>
      <c r="G198" t="n">
        <v>4.9</v>
      </c>
      <c r="H198" t="n">
        <v>0</v>
      </c>
      <c r="I198" t="n">
        <v>0</v>
      </c>
      <c r="J198" t="n">
        <v>0</v>
      </c>
      <c r="K198" t="n">
        <v>0</v>
      </c>
      <c r="L198" t="n">
        <v>0</v>
      </c>
      <c r="M198" t="n">
        <v>0</v>
      </c>
      <c r="N198" t="n">
        <v>0</v>
      </c>
      <c r="O198" t="n">
        <v>0</v>
      </c>
      <c r="P198" t="n">
        <v>0</v>
      </c>
      <c r="Q198" t="n">
        <v>0</v>
      </c>
      <c r="R198" s="2" t="inlineStr"/>
    </row>
    <row r="199" ht="15" customHeight="1">
      <c r="A199" t="inlineStr">
        <is>
          <t>A 16020-2023</t>
        </is>
      </c>
      <c r="B199" s="1" t="n">
        <v>45026</v>
      </c>
      <c r="C199" s="1" t="n">
        <v>46194</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60292-2022</t>
        </is>
      </c>
      <c r="B200" s="1" t="n">
        <v>44910</v>
      </c>
      <c r="C200" s="1" t="n">
        <v>46194</v>
      </c>
      <c r="D200" t="inlineStr">
        <is>
          <t>KALMAR LÄN</t>
        </is>
      </c>
      <c r="E200" t="inlineStr">
        <is>
          <t>VIMMERBY</t>
        </is>
      </c>
      <c r="G200" t="n">
        <v>4.4</v>
      </c>
      <c r="H200" t="n">
        <v>0</v>
      </c>
      <c r="I200" t="n">
        <v>0</v>
      </c>
      <c r="J200" t="n">
        <v>0</v>
      </c>
      <c r="K200" t="n">
        <v>0</v>
      </c>
      <c r="L200" t="n">
        <v>0</v>
      </c>
      <c r="M200" t="n">
        <v>0</v>
      </c>
      <c r="N200" t="n">
        <v>0</v>
      </c>
      <c r="O200" t="n">
        <v>0</v>
      </c>
      <c r="P200" t="n">
        <v>0</v>
      </c>
      <c r="Q200" t="n">
        <v>0</v>
      </c>
      <c r="R200" s="2" t="inlineStr"/>
    </row>
    <row r="201" ht="15" customHeight="1">
      <c r="A201" t="inlineStr">
        <is>
          <t>A 11147-2023</t>
        </is>
      </c>
      <c r="B201" s="1" t="n">
        <v>44992</v>
      </c>
      <c r="C201" s="1" t="n">
        <v>46194</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43034-2024</t>
        </is>
      </c>
      <c r="B202" s="1" t="n">
        <v>45567</v>
      </c>
      <c r="C202" s="1" t="n">
        <v>46194</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40256-2024</t>
        </is>
      </c>
      <c r="B203" s="1" t="n">
        <v>45554</v>
      </c>
      <c r="C203" s="1" t="n">
        <v>46194</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16676-2023</t>
        </is>
      </c>
      <c r="B204" s="1" t="n">
        <v>45028</v>
      </c>
      <c r="C204" s="1" t="n">
        <v>46194</v>
      </c>
      <c r="D204" t="inlineStr">
        <is>
          <t>KALMAR LÄN</t>
        </is>
      </c>
      <c r="E204" t="inlineStr">
        <is>
          <t>VIMMERBY</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23263-2024</t>
        </is>
      </c>
      <c r="B205" s="1" t="n">
        <v>45453</v>
      </c>
      <c r="C205" s="1" t="n">
        <v>46194</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43093-2024</t>
        </is>
      </c>
      <c r="B206" s="1" t="n">
        <v>45567</v>
      </c>
      <c r="C206" s="1" t="n">
        <v>46194</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52435-2021</t>
        </is>
      </c>
      <c r="B207" s="1" t="n">
        <v>44466</v>
      </c>
      <c r="C207" s="1" t="n">
        <v>46194</v>
      </c>
      <c r="D207" t="inlineStr">
        <is>
          <t>KALMAR LÄN</t>
        </is>
      </c>
      <c r="E207" t="inlineStr">
        <is>
          <t>VIMMERBY</t>
        </is>
      </c>
      <c r="G207" t="n">
        <v>2.8</v>
      </c>
      <c r="H207" t="n">
        <v>0</v>
      </c>
      <c r="I207" t="n">
        <v>0</v>
      </c>
      <c r="J207" t="n">
        <v>0</v>
      </c>
      <c r="K207" t="n">
        <v>0</v>
      </c>
      <c r="L207" t="n">
        <v>0</v>
      </c>
      <c r="M207" t="n">
        <v>0</v>
      </c>
      <c r="N207" t="n">
        <v>0</v>
      </c>
      <c r="O207" t="n">
        <v>0</v>
      </c>
      <c r="P207" t="n">
        <v>0</v>
      </c>
      <c r="Q207" t="n">
        <v>0</v>
      </c>
      <c r="R207" s="2" t="inlineStr"/>
    </row>
    <row r="208" ht="15" customHeight="1">
      <c r="A208" t="inlineStr">
        <is>
          <t>A 29093-2023</t>
        </is>
      </c>
      <c r="B208" s="1" t="n">
        <v>45105</v>
      </c>
      <c r="C208" s="1" t="n">
        <v>46194</v>
      </c>
      <c r="D208" t="inlineStr">
        <is>
          <t>KALMAR LÄN</t>
        </is>
      </c>
      <c r="E208" t="inlineStr">
        <is>
          <t>VIMMERBY</t>
        </is>
      </c>
      <c r="G208" t="n">
        <v>2.9</v>
      </c>
      <c r="H208" t="n">
        <v>0</v>
      </c>
      <c r="I208" t="n">
        <v>0</v>
      </c>
      <c r="J208" t="n">
        <v>0</v>
      </c>
      <c r="K208" t="n">
        <v>0</v>
      </c>
      <c r="L208" t="n">
        <v>0</v>
      </c>
      <c r="M208" t="n">
        <v>0</v>
      </c>
      <c r="N208" t="n">
        <v>0</v>
      </c>
      <c r="O208" t="n">
        <v>0</v>
      </c>
      <c r="P208" t="n">
        <v>0</v>
      </c>
      <c r="Q208" t="n">
        <v>0</v>
      </c>
      <c r="R208" s="2" t="inlineStr"/>
    </row>
    <row r="209" ht="15" customHeight="1">
      <c r="A209" t="inlineStr">
        <is>
          <t>A 49488-2023</t>
        </is>
      </c>
      <c r="B209" s="1" t="n">
        <v>45211</v>
      </c>
      <c r="C209" s="1" t="n">
        <v>46194</v>
      </c>
      <c r="D209" t="inlineStr">
        <is>
          <t>KALMAR LÄN</t>
        </is>
      </c>
      <c r="E209" t="inlineStr">
        <is>
          <t>VIMMERBY</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35198-2023</t>
        </is>
      </c>
      <c r="B210" s="1" t="n">
        <v>45145</v>
      </c>
      <c r="C210" s="1" t="n">
        <v>46194</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33359-2021</t>
        </is>
      </c>
      <c r="B211" s="1" t="n">
        <v>44377</v>
      </c>
      <c r="C211" s="1" t="n">
        <v>46194</v>
      </c>
      <c r="D211" t="inlineStr">
        <is>
          <t>KALMAR LÄN</t>
        </is>
      </c>
      <c r="E211" t="inlineStr">
        <is>
          <t>VIMMERBY</t>
        </is>
      </c>
      <c r="F211" t="inlineStr">
        <is>
          <t>Kommuner</t>
        </is>
      </c>
      <c r="G211" t="n">
        <v>8</v>
      </c>
      <c r="H211" t="n">
        <v>0</v>
      </c>
      <c r="I211" t="n">
        <v>0</v>
      </c>
      <c r="J211" t="n">
        <v>0</v>
      </c>
      <c r="K211" t="n">
        <v>0</v>
      </c>
      <c r="L211" t="n">
        <v>0</v>
      </c>
      <c r="M211" t="n">
        <v>0</v>
      </c>
      <c r="N211" t="n">
        <v>0</v>
      </c>
      <c r="O211" t="n">
        <v>0</v>
      </c>
      <c r="P211" t="n">
        <v>0</v>
      </c>
      <c r="Q211" t="n">
        <v>0</v>
      </c>
      <c r="R211" s="2" t="inlineStr"/>
    </row>
    <row r="212" ht="15" customHeight="1">
      <c r="A212" t="inlineStr">
        <is>
          <t>A 32603-2021</t>
        </is>
      </c>
      <c r="B212" s="1" t="n">
        <v>44375</v>
      </c>
      <c r="C212" s="1" t="n">
        <v>46194</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43038-2022</t>
        </is>
      </c>
      <c r="B213" s="1" t="n">
        <v>44833</v>
      </c>
      <c r="C213" s="1" t="n">
        <v>46194</v>
      </c>
      <c r="D213" t="inlineStr">
        <is>
          <t>KALMAR LÄN</t>
        </is>
      </c>
      <c r="E213" t="inlineStr">
        <is>
          <t>VIMMERBY</t>
        </is>
      </c>
      <c r="G213" t="n">
        <v>4.2</v>
      </c>
      <c r="H213" t="n">
        <v>0</v>
      </c>
      <c r="I213" t="n">
        <v>0</v>
      </c>
      <c r="J213" t="n">
        <v>0</v>
      </c>
      <c r="K213" t="n">
        <v>0</v>
      </c>
      <c r="L213" t="n">
        <v>0</v>
      </c>
      <c r="M213" t="n">
        <v>0</v>
      </c>
      <c r="N213" t="n">
        <v>0</v>
      </c>
      <c r="O213" t="n">
        <v>0</v>
      </c>
      <c r="P213" t="n">
        <v>0</v>
      </c>
      <c r="Q213" t="n">
        <v>0</v>
      </c>
      <c r="R213" s="2" t="inlineStr"/>
    </row>
    <row r="214" ht="15" customHeight="1">
      <c r="A214" t="inlineStr">
        <is>
          <t>A 50087-2023</t>
        </is>
      </c>
      <c r="B214" s="1" t="n">
        <v>45215</v>
      </c>
      <c r="C214" s="1" t="n">
        <v>46194</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33681-2022</t>
        </is>
      </c>
      <c r="B215" s="1" t="n">
        <v>44789</v>
      </c>
      <c r="C215" s="1" t="n">
        <v>46194</v>
      </c>
      <c r="D215" t="inlineStr">
        <is>
          <t>KALMAR LÄN</t>
        </is>
      </c>
      <c r="E215" t="inlineStr">
        <is>
          <t>VIMMERBY</t>
        </is>
      </c>
      <c r="G215" t="n">
        <v>3.2</v>
      </c>
      <c r="H215" t="n">
        <v>0</v>
      </c>
      <c r="I215" t="n">
        <v>0</v>
      </c>
      <c r="J215" t="n">
        <v>0</v>
      </c>
      <c r="K215" t="n">
        <v>0</v>
      </c>
      <c r="L215" t="n">
        <v>0</v>
      </c>
      <c r="M215" t="n">
        <v>0</v>
      </c>
      <c r="N215" t="n">
        <v>0</v>
      </c>
      <c r="O215" t="n">
        <v>0</v>
      </c>
      <c r="P215" t="n">
        <v>0</v>
      </c>
      <c r="Q215" t="n">
        <v>0</v>
      </c>
      <c r="R215" s="2" t="inlineStr"/>
    </row>
    <row r="216" ht="15" customHeight="1">
      <c r="A216" t="inlineStr">
        <is>
          <t>A 36117-2021</t>
        </is>
      </c>
      <c r="B216" s="1" t="n">
        <v>44386</v>
      </c>
      <c r="C216" s="1" t="n">
        <v>46194</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42521-2021</t>
        </is>
      </c>
      <c r="B217" s="1" t="n">
        <v>44427</v>
      </c>
      <c r="C217" s="1" t="n">
        <v>46194</v>
      </c>
      <c r="D217" t="inlineStr">
        <is>
          <t>KALMAR LÄN</t>
        </is>
      </c>
      <c r="E217" t="inlineStr">
        <is>
          <t>VIMMERBY</t>
        </is>
      </c>
      <c r="G217" t="n">
        <v>5.4</v>
      </c>
      <c r="H217" t="n">
        <v>0</v>
      </c>
      <c r="I217" t="n">
        <v>0</v>
      </c>
      <c r="J217" t="n">
        <v>0</v>
      </c>
      <c r="K217" t="n">
        <v>0</v>
      </c>
      <c r="L217" t="n">
        <v>0</v>
      </c>
      <c r="M217" t="n">
        <v>0</v>
      </c>
      <c r="N217" t="n">
        <v>0</v>
      </c>
      <c r="O217" t="n">
        <v>0</v>
      </c>
      <c r="P217" t="n">
        <v>0</v>
      </c>
      <c r="Q217" t="n">
        <v>0</v>
      </c>
      <c r="R217" s="2" t="inlineStr"/>
    </row>
    <row r="218" ht="15" customHeight="1">
      <c r="A218" t="inlineStr">
        <is>
          <t>A 72067-2021</t>
        </is>
      </c>
      <c r="B218" s="1" t="n">
        <v>44540</v>
      </c>
      <c r="C218" s="1" t="n">
        <v>46194</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41158-2023</t>
        </is>
      </c>
      <c r="B219" s="1" t="n">
        <v>45174</v>
      </c>
      <c r="C219" s="1" t="n">
        <v>46194</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55300-2021</t>
        </is>
      </c>
      <c r="B220" s="1" t="n">
        <v>44475</v>
      </c>
      <c r="C220" s="1" t="n">
        <v>46194</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9511-2023</t>
        </is>
      </c>
      <c r="B221" s="1" t="n">
        <v>44981</v>
      </c>
      <c r="C221" s="1" t="n">
        <v>46194</v>
      </c>
      <c r="D221" t="inlineStr">
        <is>
          <t>KALMAR LÄN</t>
        </is>
      </c>
      <c r="E221" t="inlineStr">
        <is>
          <t>VIMMERBY</t>
        </is>
      </c>
      <c r="G221" t="n">
        <v>3.5</v>
      </c>
      <c r="H221" t="n">
        <v>0</v>
      </c>
      <c r="I221" t="n">
        <v>0</v>
      </c>
      <c r="J221" t="n">
        <v>0</v>
      </c>
      <c r="K221" t="n">
        <v>0</v>
      </c>
      <c r="L221" t="n">
        <v>0</v>
      </c>
      <c r="M221" t="n">
        <v>0</v>
      </c>
      <c r="N221" t="n">
        <v>0</v>
      </c>
      <c r="O221" t="n">
        <v>0</v>
      </c>
      <c r="P221" t="n">
        <v>0</v>
      </c>
      <c r="Q221" t="n">
        <v>0</v>
      </c>
      <c r="R221" s="2" t="inlineStr"/>
    </row>
    <row r="222" ht="15" customHeight="1">
      <c r="A222" t="inlineStr">
        <is>
          <t>A 47263-2023</t>
        </is>
      </c>
      <c r="B222" s="1" t="n">
        <v>45202</v>
      </c>
      <c r="C222" s="1" t="n">
        <v>46194</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16825-2024</t>
        </is>
      </c>
      <c r="B223" s="1" t="n">
        <v>45411</v>
      </c>
      <c r="C223" s="1" t="n">
        <v>46194</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2536-2023</t>
        </is>
      </c>
      <c r="B224" s="1" t="n">
        <v>44943</v>
      </c>
      <c r="C224" s="1" t="n">
        <v>46194</v>
      </c>
      <c r="D224" t="inlineStr">
        <is>
          <t>KALMAR LÄN</t>
        </is>
      </c>
      <c r="E224" t="inlineStr">
        <is>
          <t>VIMMERBY</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2801-2023</t>
        </is>
      </c>
      <c r="B225" s="1" t="n">
        <v>44944</v>
      </c>
      <c r="C225" s="1" t="n">
        <v>46194</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12033-2024</t>
        </is>
      </c>
      <c r="B226" s="1" t="n">
        <v>45377</v>
      </c>
      <c r="C226" s="1" t="n">
        <v>46194</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49408-2023</t>
        </is>
      </c>
      <c r="B227" s="1" t="n">
        <v>45211</v>
      </c>
      <c r="C227" s="1" t="n">
        <v>46194</v>
      </c>
      <c r="D227" t="inlineStr">
        <is>
          <t>KALMAR LÄN</t>
        </is>
      </c>
      <c r="E227" t="inlineStr">
        <is>
          <t>VIMMERBY</t>
        </is>
      </c>
      <c r="G227" t="n">
        <v>13.1</v>
      </c>
      <c r="H227" t="n">
        <v>0</v>
      </c>
      <c r="I227" t="n">
        <v>0</v>
      </c>
      <c r="J227" t="n">
        <v>0</v>
      </c>
      <c r="K227" t="n">
        <v>0</v>
      </c>
      <c r="L227" t="n">
        <v>0</v>
      </c>
      <c r="M227" t="n">
        <v>0</v>
      </c>
      <c r="N227" t="n">
        <v>0</v>
      </c>
      <c r="O227" t="n">
        <v>0</v>
      </c>
      <c r="P227" t="n">
        <v>0</v>
      </c>
      <c r="Q227" t="n">
        <v>0</v>
      </c>
      <c r="R227" s="2" t="inlineStr"/>
    </row>
    <row r="228" ht="15" customHeight="1">
      <c r="A228" t="inlineStr">
        <is>
          <t>A 27443-2023</t>
        </is>
      </c>
      <c r="B228" s="1" t="n">
        <v>45097</v>
      </c>
      <c r="C228" s="1" t="n">
        <v>46194</v>
      </c>
      <c r="D228" t="inlineStr">
        <is>
          <t>KALMAR LÄN</t>
        </is>
      </c>
      <c r="E228" t="inlineStr">
        <is>
          <t>VIMMERBY</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34205-2023</t>
        </is>
      </c>
      <c r="B229" s="1" t="n">
        <v>45138</v>
      </c>
      <c r="C229" s="1" t="n">
        <v>46194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28395-2023</t>
        </is>
      </c>
      <c r="B230" s="1" t="n">
        <v>45100</v>
      </c>
      <c r="C230" s="1" t="n">
        <v>46194</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14451-2024</t>
        </is>
      </c>
      <c r="B231" s="1" t="n">
        <v>45394</v>
      </c>
      <c r="C231" s="1" t="n">
        <v>46194</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18501-2024</t>
        </is>
      </c>
      <c r="B232" s="1" t="n">
        <v>45425</v>
      </c>
      <c r="C232" s="1" t="n">
        <v>46194</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57091-2022</t>
        </is>
      </c>
      <c r="B233" s="1" t="n">
        <v>44895</v>
      </c>
      <c r="C233" s="1" t="n">
        <v>46194</v>
      </c>
      <c r="D233" t="inlineStr">
        <is>
          <t>KALMAR LÄN</t>
        </is>
      </c>
      <c r="E233" t="inlineStr">
        <is>
          <t>VIMMERBY</t>
        </is>
      </c>
      <c r="G233" t="n">
        <v>2.6</v>
      </c>
      <c r="H233" t="n">
        <v>0</v>
      </c>
      <c r="I233" t="n">
        <v>0</v>
      </c>
      <c r="J233" t="n">
        <v>0</v>
      </c>
      <c r="K233" t="n">
        <v>0</v>
      </c>
      <c r="L233" t="n">
        <v>0</v>
      </c>
      <c r="M233" t="n">
        <v>0</v>
      </c>
      <c r="N233" t="n">
        <v>0</v>
      </c>
      <c r="O233" t="n">
        <v>0</v>
      </c>
      <c r="P233" t="n">
        <v>0</v>
      </c>
      <c r="Q233" t="n">
        <v>0</v>
      </c>
      <c r="R233" s="2" t="inlineStr"/>
    </row>
    <row r="234" ht="15" customHeight="1">
      <c r="A234" t="inlineStr">
        <is>
          <t>A 50993-2022</t>
        </is>
      </c>
      <c r="B234" s="1" t="n">
        <v>44867</v>
      </c>
      <c r="C234" s="1" t="n">
        <v>46194</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46225-2024</t>
        </is>
      </c>
      <c r="B235" s="1" t="n">
        <v>45581</v>
      </c>
      <c r="C235" s="1" t="n">
        <v>46194</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v>
      </c>
      <c r="C236" s="1" t="n">
        <v>46194</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6807-2025</t>
        </is>
      </c>
      <c r="B237" s="1" t="n">
        <v>45700</v>
      </c>
      <c r="C237" s="1" t="n">
        <v>46194</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46194</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47859-2024</t>
        </is>
      </c>
      <c r="B239" s="1" t="n">
        <v>45588</v>
      </c>
      <c r="C239" s="1" t="n">
        <v>46194</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38851-2023</t>
        </is>
      </c>
      <c r="B240" s="1" t="n">
        <v>45163</v>
      </c>
      <c r="C240" s="1" t="n">
        <v>46194</v>
      </c>
      <c r="D240" t="inlineStr">
        <is>
          <t>KALMAR LÄN</t>
        </is>
      </c>
      <c r="E240" t="inlineStr">
        <is>
          <t>VIMMERBY</t>
        </is>
      </c>
      <c r="G240" t="n">
        <v>4.3</v>
      </c>
      <c r="H240" t="n">
        <v>0</v>
      </c>
      <c r="I240" t="n">
        <v>0</v>
      </c>
      <c r="J240" t="n">
        <v>0</v>
      </c>
      <c r="K240" t="n">
        <v>0</v>
      </c>
      <c r="L240" t="n">
        <v>0</v>
      </c>
      <c r="M240" t="n">
        <v>0</v>
      </c>
      <c r="N240" t="n">
        <v>0</v>
      </c>
      <c r="O240" t="n">
        <v>0</v>
      </c>
      <c r="P240" t="n">
        <v>0</v>
      </c>
      <c r="Q240" t="n">
        <v>0</v>
      </c>
      <c r="R240" s="2" t="inlineStr"/>
    </row>
    <row r="241" ht="15" customHeight="1">
      <c r="A241" t="inlineStr">
        <is>
          <t>A 32835-2022</t>
        </is>
      </c>
      <c r="B241" s="1" t="n">
        <v>44784</v>
      </c>
      <c r="C241" s="1" t="n">
        <v>46194</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v>
      </c>
      <c r="C242" s="1" t="n">
        <v>46194</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23088-2024</t>
        </is>
      </c>
      <c r="B243" s="1" t="n">
        <v>45450</v>
      </c>
      <c r="C243" s="1" t="n">
        <v>46194</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23252-2024</t>
        </is>
      </c>
      <c r="B244" s="1" t="n">
        <v>45453</v>
      </c>
      <c r="C244" s="1" t="n">
        <v>46194</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41896-2023</t>
        </is>
      </c>
      <c r="B245" s="1" t="n">
        <v>45176</v>
      </c>
      <c r="C245" s="1" t="n">
        <v>46194</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5792-2023</t>
        </is>
      </c>
      <c r="B246" s="1" t="n">
        <v>44963</v>
      </c>
      <c r="C246" s="1" t="n">
        <v>46194</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2797-2023</t>
        </is>
      </c>
      <c r="B247" s="1" t="n">
        <v>44944</v>
      </c>
      <c r="C247" s="1" t="n">
        <v>46194</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2799-2023</t>
        </is>
      </c>
      <c r="B248" s="1" t="n">
        <v>44944</v>
      </c>
      <c r="C248" s="1" t="n">
        <v>46194</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57189-2022</t>
        </is>
      </c>
      <c r="B249" s="1" t="n">
        <v>44895</v>
      </c>
      <c r="C249" s="1" t="n">
        <v>46194</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38604-2025</t>
        </is>
      </c>
      <c r="B250" s="1" t="n">
        <v>45884</v>
      </c>
      <c r="C250" s="1" t="n">
        <v>46194</v>
      </c>
      <c r="D250" t="inlineStr">
        <is>
          <t>KALMAR LÄN</t>
        </is>
      </c>
      <c r="E250" t="inlineStr">
        <is>
          <t>VIMMERBY</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43606-2024</t>
        </is>
      </c>
      <c r="B251" s="1" t="n">
        <v>45569</v>
      </c>
      <c r="C251" s="1" t="n">
        <v>46194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1987-2024</t>
        </is>
      </c>
      <c r="B252" s="1" t="n">
        <v>45308</v>
      </c>
      <c r="C252" s="1" t="n">
        <v>46194</v>
      </c>
      <c r="D252" t="inlineStr">
        <is>
          <t>KALMAR LÄN</t>
        </is>
      </c>
      <c r="E252" t="inlineStr">
        <is>
          <t>VIMMERBY</t>
        </is>
      </c>
      <c r="G252" t="n">
        <v>3</v>
      </c>
      <c r="H252" t="n">
        <v>0</v>
      </c>
      <c r="I252" t="n">
        <v>0</v>
      </c>
      <c r="J252" t="n">
        <v>0</v>
      </c>
      <c r="K252" t="n">
        <v>0</v>
      </c>
      <c r="L252" t="n">
        <v>0</v>
      </c>
      <c r="M252" t="n">
        <v>0</v>
      </c>
      <c r="N252" t="n">
        <v>0</v>
      </c>
      <c r="O252" t="n">
        <v>0</v>
      </c>
      <c r="P252" t="n">
        <v>0</v>
      </c>
      <c r="Q252" t="n">
        <v>0</v>
      </c>
      <c r="R252" s="2" t="inlineStr"/>
    </row>
    <row r="253" ht="15" customHeight="1">
      <c r="A253" t="inlineStr">
        <is>
          <t>A 527-2024</t>
        </is>
      </c>
      <c r="B253" s="1" t="n">
        <v>45299</v>
      </c>
      <c r="C253" s="1" t="n">
        <v>46194</v>
      </c>
      <c r="D253" t="inlineStr">
        <is>
          <t>KALMAR LÄN</t>
        </is>
      </c>
      <c r="E253" t="inlineStr">
        <is>
          <t>VIMMERBY</t>
        </is>
      </c>
      <c r="G253" t="n">
        <v>2.2</v>
      </c>
      <c r="H253" t="n">
        <v>0</v>
      </c>
      <c r="I253" t="n">
        <v>0</v>
      </c>
      <c r="J253" t="n">
        <v>0</v>
      </c>
      <c r="K253" t="n">
        <v>0</v>
      </c>
      <c r="L253" t="n">
        <v>0</v>
      </c>
      <c r="M253" t="n">
        <v>0</v>
      </c>
      <c r="N253" t="n">
        <v>0</v>
      </c>
      <c r="O253" t="n">
        <v>0</v>
      </c>
      <c r="P253" t="n">
        <v>0</v>
      </c>
      <c r="Q253" t="n">
        <v>0</v>
      </c>
      <c r="R253" s="2" t="inlineStr"/>
    </row>
    <row r="254" ht="15" customHeight="1">
      <c r="A254" t="inlineStr">
        <is>
          <t>A 12325-2023</t>
        </is>
      </c>
      <c r="B254" s="1" t="n">
        <v>44999</v>
      </c>
      <c r="C254" s="1" t="n">
        <v>46194</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58278-2023</t>
        </is>
      </c>
      <c r="B255" s="1" t="n">
        <v>45250</v>
      </c>
      <c r="C255" s="1" t="n">
        <v>46194</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36259-2022</t>
        </is>
      </c>
      <c r="B256" s="1" t="n">
        <v>44803</v>
      </c>
      <c r="C256" s="1" t="n">
        <v>46194</v>
      </c>
      <c r="D256" t="inlineStr">
        <is>
          <t>KALMAR LÄN</t>
        </is>
      </c>
      <c r="E256" t="inlineStr">
        <is>
          <t>VIMMERBY</t>
        </is>
      </c>
      <c r="G256" t="n">
        <v>3.9</v>
      </c>
      <c r="H256" t="n">
        <v>0</v>
      </c>
      <c r="I256" t="n">
        <v>0</v>
      </c>
      <c r="J256" t="n">
        <v>0</v>
      </c>
      <c r="K256" t="n">
        <v>0</v>
      </c>
      <c r="L256" t="n">
        <v>0</v>
      </c>
      <c r="M256" t="n">
        <v>0</v>
      </c>
      <c r="N256" t="n">
        <v>0</v>
      </c>
      <c r="O256" t="n">
        <v>0</v>
      </c>
      <c r="P256" t="n">
        <v>0</v>
      </c>
      <c r="Q256" t="n">
        <v>0</v>
      </c>
      <c r="R256" s="2" t="inlineStr"/>
    </row>
    <row r="257" ht="15" customHeight="1">
      <c r="A257" t="inlineStr">
        <is>
          <t>A 36526-2023</t>
        </is>
      </c>
      <c r="B257" s="1" t="n">
        <v>45153</v>
      </c>
      <c r="C257" s="1" t="n">
        <v>46194</v>
      </c>
      <c r="D257" t="inlineStr">
        <is>
          <t>KALMAR LÄN</t>
        </is>
      </c>
      <c r="E257" t="inlineStr">
        <is>
          <t>VIMMERBY</t>
        </is>
      </c>
      <c r="G257" t="n">
        <v>2.7</v>
      </c>
      <c r="H257" t="n">
        <v>0</v>
      </c>
      <c r="I257" t="n">
        <v>0</v>
      </c>
      <c r="J257" t="n">
        <v>0</v>
      </c>
      <c r="K257" t="n">
        <v>0</v>
      </c>
      <c r="L257" t="n">
        <v>0</v>
      </c>
      <c r="M257" t="n">
        <v>0</v>
      </c>
      <c r="N257" t="n">
        <v>0</v>
      </c>
      <c r="O257" t="n">
        <v>0</v>
      </c>
      <c r="P257" t="n">
        <v>0</v>
      </c>
      <c r="Q257" t="n">
        <v>0</v>
      </c>
      <c r="R257" s="2" t="inlineStr"/>
    </row>
    <row r="258" ht="15" customHeight="1">
      <c r="A258" t="inlineStr">
        <is>
          <t>A 37192-2024</t>
        </is>
      </c>
      <c r="B258" s="1" t="n">
        <v>45539</v>
      </c>
      <c r="C258" s="1" t="n">
        <v>46194</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40665-2023</t>
        </is>
      </c>
      <c r="B259" s="1" t="n">
        <v>45170</v>
      </c>
      <c r="C259" s="1" t="n">
        <v>46194</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28034-2022</t>
        </is>
      </c>
      <c r="B260" s="1" t="n">
        <v>44746</v>
      </c>
      <c r="C260" s="1" t="n">
        <v>46194</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47063-2022</t>
        </is>
      </c>
      <c r="B261" s="1" t="n">
        <v>44852</v>
      </c>
      <c r="C261" s="1" t="n">
        <v>46194</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12819-2024</t>
        </is>
      </c>
      <c r="B262" s="1" t="n">
        <v>45384</v>
      </c>
      <c r="C262" s="1" t="n">
        <v>46194</v>
      </c>
      <c r="D262" t="inlineStr">
        <is>
          <t>KALMAR LÄN</t>
        </is>
      </c>
      <c r="E262" t="inlineStr">
        <is>
          <t>VIMMERBY</t>
        </is>
      </c>
      <c r="G262" t="n">
        <v>5.1</v>
      </c>
      <c r="H262" t="n">
        <v>0</v>
      </c>
      <c r="I262" t="n">
        <v>0</v>
      </c>
      <c r="J262" t="n">
        <v>0</v>
      </c>
      <c r="K262" t="n">
        <v>0</v>
      </c>
      <c r="L262" t="n">
        <v>0</v>
      </c>
      <c r="M262" t="n">
        <v>0</v>
      </c>
      <c r="N262" t="n">
        <v>0</v>
      </c>
      <c r="O262" t="n">
        <v>0</v>
      </c>
      <c r="P262" t="n">
        <v>0</v>
      </c>
      <c r="Q262" t="n">
        <v>0</v>
      </c>
      <c r="R262" s="2" t="inlineStr"/>
    </row>
    <row r="263" ht="15" customHeight="1">
      <c r="A263" t="inlineStr">
        <is>
          <t>A 29350-2023</t>
        </is>
      </c>
      <c r="B263" s="1" t="n">
        <v>45106</v>
      </c>
      <c r="C263" s="1" t="n">
        <v>46194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29351-2023</t>
        </is>
      </c>
      <c r="B264" s="1" t="n">
        <v>45106</v>
      </c>
      <c r="C264" s="1" t="n">
        <v>46194</v>
      </c>
      <c r="D264" t="inlineStr">
        <is>
          <t>KALMAR LÄN</t>
        </is>
      </c>
      <c r="E264" t="inlineStr">
        <is>
          <t>VIMMERBY</t>
        </is>
      </c>
      <c r="G264" t="n">
        <v>0.4</v>
      </c>
      <c r="H264" t="n">
        <v>0</v>
      </c>
      <c r="I264" t="n">
        <v>0</v>
      </c>
      <c r="J264" t="n">
        <v>0</v>
      </c>
      <c r="K264" t="n">
        <v>0</v>
      </c>
      <c r="L264" t="n">
        <v>0</v>
      </c>
      <c r="M264" t="n">
        <v>0</v>
      </c>
      <c r="N264" t="n">
        <v>0</v>
      </c>
      <c r="O264" t="n">
        <v>0</v>
      </c>
      <c r="P264" t="n">
        <v>0</v>
      </c>
      <c r="Q264" t="n">
        <v>0</v>
      </c>
      <c r="R264" s="2" t="inlineStr"/>
    </row>
    <row r="265" ht="15" customHeight="1">
      <c r="A265" t="inlineStr">
        <is>
          <t>A 6474-2025</t>
        </is>
      </c>
      <c r="B265" s="1" t="n">
        <v>45699</v>
      </c>
      <c r="C265" s="1" t="n">
        <v>46194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55605-2024</t>
        </is>
      </c>
      <c r="B266" s="1" t="n">
        <v>45622</v>
      </c>
      <c r="C266" s="1" t="n">
        <v>46194</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42165-2024</t>
        </is>
      </c>
      <c r="B267" s="1" t="n">
        <v>45562</v>
      </c>
      <c r="C267" s="1" t="n">
        <v>46194</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31382-2023</t>
        </is>
      </c>
      <c r="B268" s="1" t="n">
        <v>45114</v>
      </c>
      <c r="C268" s="1" t="n">
        <v>46194</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11073-2023</t>
        </is>
      </c>
      <c r="B269" s="1" t="n">
        <v>44992</v>
      </c>
      <c r="C269" s="1" t="n">
        <v>46194</v>
      </c>
      <c r="D269" t="inlineStr">
        <is>
          <t>KALMAR LÄN</t>
        </is>
      </c>
      <c r="E269" t="inlineStr">
        <is>
          <t>VIMMERBY</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23095-2023</t>
        </is>
      </c>
      <c r="B270" s="1" t="n">
        <v>45075</v>
      </c>
      <c r="C270" s="1" t="n">
        <v>46194</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32919-2022</t>
        </is>
      </c>
      <c r="B271" s="1" t="n">
        <v>44784</v>
      </c>
      <c r="C271" s="1" t="n">
        <v>46194</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57555-2024</t>
        </is>
      </c>
      <c r="B272" s="1" t="n">
        <v>45630</v>
      </c>
      <c r="C272" s="1" t="n">
        <v>46194</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59955-2023</t>
        </is>
      </c>
      <c r="B273" s="1" t="n">
        <v>45257</v>
      </c>
      <c r="C273" s="1" t="n">
        <v>46194</v>
      </c>
      <c r="D273" t="inlineStr">
        <is>
          <t>KALMAR LÄN</t>
        </is>
      </c>
      <c r="E273" t="inlineStr">
        <is>
          <t>VIMMERBY</t>
        </is>
      </c>
      <c r="G273" t="n">
        <v>13.8</v>
      </c>
      <c r="H273" t="n">
        <v>0</v>
      </c>
      <c r="I273" t="n">
        <v>0</v>
      </c>
      <c r="J273" t="n">
        <v>0</v>
      </c>
      <c r="K273" t="n">
        <v>0</v>
      </c>
      <c r="L273" t="n">
        <v>0</v>
      </c>
      <c r="M273" t="n">
        <v>0</v>
      </c>
      <c r="N273" t="n">
        <v>0</v>
      </c>
      <c r="O273" t="n">
        <v>0</v>
      </c>
      <c r="P273" t="n">
        <v>0</v>
      </c>
      <c r="Q273" t="n">
        <v>0</v>
      </c>
      <c r="R273" s="2" t="inlineStr"/>
    </row>
    <row r="274" ht="15" customHeight="1">
      <c r="A274" t="inlineStr">
        <is>
          <t>A 52279-2023</t>
        </is>
      </c>
      <c r="B274" s="1" t="n">
        <v>45224</v>
      </c>
      <c r="C274" s="1" t="n">
        <v>46194</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7068-2024</t>
        </is>
      </c>
      <c r="B275" s="1" t="n">
        <v>45343</v>
      </c>
      <c r="C275" s="1" t="n">
        <v>46194</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52324-2023</t>
        </is>
      </c>
      <c r="B276" s="1" t="n">
        <v>45224</v>
      </c>
      <c r="C276" s="1" t="n">
        <v>46194</v>
      </c>
      <c r="D276" t="inlineStr">
        <is>
          <t>KALMAR LÄN</t>
        </is>
      </c>
      <c r="E276" t="inlineStr">
        <is>
          <t>VIMMERBY</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36802-2021</t>
        </is>
      </c>
      <c r="B277" s="1" t="n">
        <v>44392</v>
      </c>
      <c r="C277" s="1" t="n">
        <v>46194</v>
      </c>
      <c r="D277" t="inlineStr">
        <is>
          <t>KALMAR LÄN</t>
        </is>
      </c>
      <c r="E277" t="inlineStr">
        <is>
          <t>VIMMERBY</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61820-2023</t>
        </is>
      </c>
      <c r="B278" s="1" t="n">
        <v>45266</v>
      </c>
      <c r="C278" s="1" t="n">
        <v>46194</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32655-2023</t>
        </is>
      </c>
      <c r="B279" s="1" t="n">
        <v>45121</v>
      </c>
      <c r="C279" s="1" t="n">
        <v>46194</v>
      </c>
      <c r="D279" t="inlineStr">
        <is>
          <t>KALMAR LÄN</t>
        </is>
      </c>
      <c r="E279" t="inlineStr">
        <is>
          <t>VIMMERBY</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3269-2024</t>
        </is>
      </c>
      <c r="B280" s="1" t="n">
        <v>45317</v>
      </c>
      <c r="C280" s="1" t="n">
        <v>46194</v>
      </c>
      <c r="D280" t="inlineStr">
        <is>
          <t>KALMAR LÄN</t>
        </is>
      </c>
      <c r="E280" t="inlineStr">
        <is>
          <t>VIMMERBY</t>
        </is>
      </c>
      <c r="F280" t="inlineStr">
        <is>
          <t>Övriga Aktiebolag</t>
        </is>
      </c>
      <c r="G280" t="n">
        <v>1.7</v>
      </c>
      <c r="H280" t="n">
        <v>0</v>
      </c>
      <c r="I280" t="n">
        <v>0</v>
      </c>
      <c r="J280" t="n">
        <v>0</v>
      </c>
      <c r="K280" t="n">
        <v>0</v>
      </c>
      <c r="L280" t="n">
        <v>0</v>
      </c>
      <c r="M280" t="n">
        <v>0</v>
      </c>
      <c r="N280" t="n">
        <v>0</v>
      </c>
      <c r="O280" t="n">
        <v>0</v>
      </c>
      <c r="P280" t="n">
        <v>0</v>
      </c>
      <c r="Q280" t="n">
        <v>0</v>
      </c>
      <c r="R280" s="2" t="inlineStr"/>
    </row>
    <row r="281" ht="15" customHeight="1">
      <c r="A281" t="inlineStr">
        <is>
          <t>A 2157-2024</t>
        </is>
      </c>
      <c r="B281" s="1" t="n">
        <v>45309</v>
      </c>
      <c r="C281" s="1" t="n">
        <v>46194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54409-2024</t>
        </is>
      </c>
      <c r="B282" s="1" t="n">
        <v>45617</v>
      </c>
      <c r="C282" s="1" t="n">
        <v>46194</v>
      </c>
      <c r="D282" t="inlineStr">
        <is>
          <t>KALMAR LÄN</t>
        </is>
      </c>
      <c r="E282" t="inlineStr">
        <is>
          <t>VIMMERBY</t>
        </is>
      </c>
      <c r="G282" t="n">
        <v>4.3</v>
      </c>
      <c r="H282" t="n">
        <v>0</v>
      </c>
      <c r="I282" t="n">
        <v>0</v>
      </c>
      <c r="J282" t="n">
        <v>0</v>
      </c>
      <c r="K282" t="n">
        <v>0</v>
      </c>
      <c r="L282" t="n">
        <v>0</v>
      </c>
      <c r="M282" t="n">
        <v>0</v>
      </c>
      <c r="N282" t="n">
        <v>0</v>
      </c>
      <c r="O282" t="n">
        <v>0</v>
      </c>
      <c r="P282" t="n">
        <v>0</v>
      </c>
      <c r="Q282" t="n">
        <v>0</v>
      </c>
      <c r="R282" s="2" t="inlineStr"/>
    </row>
    <row r="283" ht="15" customHeight="1">
      <c r="A283" t="inlineStr">
        <is>
          <t>A 40730-2024</t>
        </is>
      </c>
      <c r="B283" s="1" t="n">
        <v>45558</v>
      </c>
      <c r="C283" s="1" t="n">
        <v>46194</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9416-2024</t>
        </is>
      </c>
      <c r="B284" s="1" t="n">
        <v>45359</v>
      </c>
      <c r="C284" s="1" t="n">
        <v>46194</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58318-2021</t>
        </is>
      </c>
      <c r="B285" s="1" t="n">
        <v>44488</v>
      </c>
      <c r="C285" s="1" t="n">
        <v>46194</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53083-2021</t>
        </is>
      </c>
      <c r="B286" s="1" t="n">
        <v>44467</v>
      </c>
      <c r="C286" s="1" t="n">
        <v>46194</v>
      </c>
      <c r="D286" t="inlineStr">
        <is>
          <t>KALMAR LÄN</t>
        </is>
      </c>
      <c r="E286" t="inlineStr">
        <is>
          <t>VIMMERBY</t>
        </is>
      </c>
      <c r="G286" t="n">
        <v>6.8</v>
      </c>
      <c r="H286" t="n">
        <v>0</v>
      </c>
      <c r="I286" t="n">
        <v>0</v>
      </c>
      <c r="J286" t="n">
        <v>0</v>
      </c>
      <c r="K286" t="n">
        <v>0</v>
      </c>
      <c r="L286" t="n">
        <v>0</v>
      </c>
      <c r="M286" t="n">
        <v>0</v>
      </c>
      <c r="N286" t="n">
        <v>0</v>
      </c>
      <c r="O286" t="n">
        <v>0</v>
      </c>
      <c r="P286" t="n">
        <v>0</v>
      </c>
      <c r="Q286" t="n">
        <v>0</v>
      </c>
      <c r="R286" s="2" t="inlineStr"/>
    </row>
    <row r="287" ht="15" customHeight="1">
      <c r="A287" t="inlineStr">
        <is>
          <t>A 29173-2024</t>
        </is>
      </c>
      <c r="B287" s="1" t="n">
        <v>45482</v>
      </c>
      <c r="C287" s="1" t="n">
        <v>46194</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11111-2024</t>
        </is>
      </c>
      <c r="B288" s="1" t="n">
        <v>45371</v>
      </c>
      <c r="C288" s="1" t="n">
        <v>46194</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11141-2024</t>
        </is>
      </c>
      <c r="B289" s="1" t="n">
        <v>45371</v>
      </c>
      <c r="C289" s="1" t="n">
        <v>46194</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9643-2023</t>
        </is>
      </c>
      <c r="B290" s="1" t="n">
        <v>44984</v>
      </c>
      <c r="C290" s="1" t="n">
        <v>46194</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56213-2024</t>
        </is>
      </c>
      <c r="B291" s="1" t="n">
        <v>45624</v>
      </c>
      <c r="C291" s="1" t="n">
        <v>46194</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9418-2024</t>
        </is>
      </c>
      <c r="B292" s="1" t="n">
        <v>45359</v>
      </c>
      <c r="C292" s="1" t="n">
        <v>46194</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9694-2023</t>
        </is>
      </c>
      <c r="B293" s="1" t="n">
        <v>44984</v>
      </c>
      <c r="C293" s="1" t="n">
        <v>46194</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9710-2023</t>
        </is>
      </c>
      <c r="B294" s="1" t="n">
        <v>44984</v>
      </c>
      <c r="C294" s="1" t="n">
        <v>46194</v>
      </c>
      <c r="D294" t="inlineStr">
        <is>
          <t>KALMAR LÄN</t>
        </is>
      </c>
      <c r="E294" t="inlineStr">
        <is>
          <t>VIMMERBY</t>
        </is>
      </c>
      <c r="G294" t="n">
        <v>3.7</v>
      </c>
      <c r="H294" t="n">
        <v>0</v>
      </c>
      <c r="I294" t="n">
        <v>0</v>
      </c>
      <c r="J294" t="n">
        <v>0</v>
      </c>
      <c r="K294" t="n">
        <v>0</v>
      </c>
      <c r="L294" t="n">
        <v>0</v>
      </c>
      <c r="M294" t="n">
        <v>0</v>
      </c>
      <c r="N294" t="n">
        <v>0</v>
      </c>
      <c r="O294" t="n">
        <v>0</v>
      </c>
      <c r="P294" t="n">
        <v>0</v>
      </c>
      <c r="Q294" t="n">
        <v>0</v>
      </c>
      <c r="R294" s="2" t="inlineStr"/>
    </row>
    <row r="295" ht="15" customHeight="1">
      <c r="A295" t="inlineStr">
        <is>
          <t>A 9475-2023</t>
        </is>
      </c>
      <c r="B295" s="1" t="n">
        <v>44981</v>
      </c>
      <c r="C295" s="1" t="n">
        <v>46194</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49313-2022</t>
        </is>
      </c>
      <c r="B296" s="1" t="n">
        <v>44861</v>
      </c>
      <c r="C296" s="1" t="n">
        <v>46194</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v>
      </c>
      <c r="C297" s="1" t="n">
        <v>46194</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36040-2024</t>
        </is>
      </c>
      <c r="B298" s="1" t="n">
        <v>45533</v>
      </c>
      <c r="C298" s="1" t="n">
        <v>46194</v>
      </c>
      <c r="D298" t="inlineStr">
        <is>
          <t>KALMAR LÄN</t>
        </is>
      </c>
      <c r="E298" t="inlineStr">
        <is>
          <t>VIMMERBY</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36043-2024</t>
        </is>
      </c>
      <c r="B299" s="1" t="n">
        <v>45533</v>
      </c>
      <c r="C299" s="1" t="n">
        <v>46194</v>
      </c>
      <c r="D299" t="inlineStr">
        <is>
          <t>KALMAR LÄN</t>
        </is>
      </c>
      <c r="E299" t="inlineStr">
        <is>
          <t>VIMMERBY</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7944-2024</t>
        </is>
      </c>
      <c r="B300" s="1" t="n">
        <v>45350</v>
      </c>
      <c r="C300" s="1" t="n">
        <v>46194</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11619-2023</t>
        </is>
      </c>
      <c r="B301" s="1" t="n">
        <v>44994</v>
      </c>
      <c r="C301" s="1" t="n">
        <v>46194</v>
      </c>
      <c r="D301" t="inlineStr">
        <is>
          <t>KALMAR LÄN</t>
        </is>
      </c>
      <c r="E301" t="inlineStr">
        <is>
          <t>VIMMERBY</t>
        </is>
      </c>
      <c r="G301" t="n">
        <v>2.5</v>
      </c>
      <c r="H301" t="n">
        <v>0</v>
      </c>
      <c r="I301" t="n">
        <v>0</v>
      </c>
      <c r="J301" t="n">
        <v>0</v>
      </c>
      <c r="K301" t="n">
        <v>0</v>
      </c>
      <c r="L301" t="n">
        <v>0</v>
      </c>
      <c r="M301" t="n">
        <v>0</v>
      </c>
      <c r="N301" t="n">
        <v>0</v>
      </c>
      <c r="O301" t="n">
        <v>0</v>
      </c>
      <c r="P301" t="n">
        <v>0</v>
      </c>
      <c r="Q301" t="n">
        <v>0</v>
      </c>
      <c r="R301" s="2" t="inlineStr"/>
    </row>
    <row r="302" ht="15" customHeight="1">
      <c r="A302" t="inlineStr">
        <is>
          <t>A 35710-2023</t>
        </is>
      </c>
      <c r="B302" s="1" t="n">
        <v>45147</v>
      </c>
      <c r="C302" s="1" t="n">
        <v>46194</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35711-2023</t>
        </is>
      </c>
      <c r="B303" s="1" t="n">
        <v>45147</v>
      </c>
      <c r="C303" s="1" t="n">
        <v>46194</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5074-2023</t>
        </is>
      </c>
      <c r="B304" s="1" t="n">
        <v>44958</v>
      </c>
      <c r="C304" s="1" t="n">
        <v>46194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6368-2023</t>
        </is>
      </c>
      <c r="B305" s="1" t="n">
        <v>44965</v>
      </c>
      <c r="C305" s="1" t="n">
        <v>46194</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5701-2024</t>
        </is>
      </c>
      <c r="B306" s="1" t="n">
        <v>45334</v>
      </c>
      <c r="C306" s="1" t="n">
        <v>46194</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10807-2024</t>
        </is>
      </c>
      <c r="B307" s="1" t="n">
        <v>45369</v>
      </c>
      <c r="C307" s="1" t="n">
        <v>46194</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40260-2024</t>
        </is>
      </c>
      <c r="B308" s="1" t="n">
        <v>45554</v>
      </c>
      <c r="C308" s="1" t="n">
        <v>46194</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v>
      </c>
      <c r="C309" s="1" t="n">
        <v>46194</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58577-2024</t>
        </is>
      </c>
      <c r="B310" s="1" t="n">
        <v>45635</v>
      </c>
      <c r="C310" s="1" t="n">
        <v>46194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38198-2024</t>
        </is>
      </c>
      <c r="B311" s="1" t="n">
        <v>45545</v>
      </c>
      <c r="C311" s="1" t="n">
        <v>46194</v>
      </c>
      <c r="D311" t="inlineStr">
        <is>
          <t>KALMAR LÄN</t>
        </is>
      </c>
      <c r="E311" t="inlineStr">
        <is>
          <t>VIMMERBY</t>
        </is>
      </c>
      <c r="G311" t="n">
        <v>7.9</v>
      </c>
      <c r="H311" t="n">
        <v>0</v>
      </c>
      <c r="I311" t="n">
        <v>0</v>
      </c>
      <c r="J311" t="n">
        <v>0</v>
      </c>
      <c r="K311" t="n">
        <v>0</v>
      </c>
      <c r="L311" t="n">
        <v>0</v>
      </c>
      <c r="M311" t="n">
        <v>0</v>
      </c>
      <c r="N311" t="n">
        <v>0</v>
      </c>
      <c r="O311" t="n">
        <v>0</v>
      </c>
      <c r="P311" t="n">
        <v>0</v>
      </c>
      <c r="Q311" t="n">
        <v>0</v>
      </c>
      <c r="R311" s="2" t="inlineStr"/>
    </row>
    <row r="312" ht="15" customHeight="1">
      <c r="A312" t="inlineStr">
        <is>
          <t>A 7797-2023</t>
        </is>
      </c>
      <c r="B312" s="1" t="n">
        <v>44973</v>
      </c>
      <c r="C312" s="1" t="n">
        <v>46194</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v>
      </c>
      <c r="C313" s="1" t="n">
        <v>46194</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56659-2023</t>
        </is>
      </c>
      <c r="B314" s="1" t="n">
        <v>45243</v>
      </c>
      <c r="C314" s="1" t="n">
        <v>46194</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22264-2023</t>
        </is>
      </c>
      <c r="B315" s="1" t="n">
        <v>45070</v>
      </c>
      <c r="C315" s="1" t="n">
        <v>46194</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50091-2023</t>
        </is>
      </c>
      <c r="B316" s="1" t="n">
        <v>45215</v>
      </c>
      <c r="C316" s="1" t="n">
        <v>46194</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8410-2023</t>
        </is>
      </c>
      <c r="B317" s="1" t="n">
        <v>44977</v>
      </c>
      <c r="C317" s="1" t="n">
        <v>46194</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10303-2025</t>
        </is>
      </c>
      <c r="B318" s="1" t="n">
        <v>45720</v>
      </c>
      <c r="C318" s="1" t="n">
        <v>46194</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11027-2023</t>
        </is>
      </c>
      <c r="B319" s="1" t="n">
        <v>44991</v>
      </c>
      <c r="C319" s="1" t="n">
        <v>46194</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52823-2024</t>
        </is>
      </c>
      <c r="B320" s="1" t="n">
        <v>45610</v>
      </c>
      <c r="C320" s="1" t="n">
        <v>46194</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11661-2023</t>
        </is>
      </c>
      <c r="B321" s="1" t="n">
        <v>44994</v>
      </c>
      <c r="C321" s="1" t="n">
        <v>46194</v>
      </c>
      <c r="D321" t="inlineStr">
        <is>
          <t>KALMAR LÄN</t>
        </is>
      </c>
      <c r="E321" t="inlineStr">
        <is>
          <t>VIMMERBY</t>
        </is>
      </c>
      <c r="G321" t="n">
        <v>2.7</v>
      </c>
      <c r="H321" t="n">
        <v>0</v>
      </c>
      <c r="I321" t="n">
        <v>0</v>
      </c>
      <c r="J321" t="n">
        <v>0</v>
      </c>
      <c r="K321" t="n">
        <v>0</v>
      </c>
      <c r="L321" t="n">
        <v>0</v>
      </c>
      <c r="M321" t="n">
        <v>0</v>
      </c>
      <c r="N321" t="n">
        <v>0</v>
      </c>
      <c r="O321" t="n">
        <v>0</v>
      </c>
      <c r="P321" t="n">
        <v>0</v>
      </c>
      <c r="Q321" t="n">
        <v>0</v>
      </c>
      <c r="R321" s="2" t="inlineStr"/>
    </row>
    <row r="322" ht="15" customHeight="1">
      <c r="A322" t="inlineStr">
        <is>
          <t>A 36155-2023</t>
        </is>
      </c>
      <c r="B322" s="1" t="n">
        <v>45149</v>
      </c>
      <c r="C322" s="1" t="n">
        <v>46194</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40147-2023</t>
        </is>
      </c>
      <c r="B323" s="1" t="n">
        <v>45169</v>
      </c>
      <c r="C323" s="1" t="n">
        <v>46194</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3331-2023</t>
        </is>
      </c>
      <c r="B324" s="1" t="n">
        <v>44949</v>
      </c>
      <c r="C324" s="1" t="n">
        <v>46194</v>
      </c>
      <c r="D324" t="inlineStr">
        <is>
          <t>KALMAR LÄN</t>
        </is>
      </c>
      <c r="E324" t="inlineStr">
        <is>
          <t>VIMMERBY</t>
        </is>
      </c>
      <c r="G324" t="n">
        <v>6.2</v>
      </c>
      <c r="H324" t="n">
        <v>0</v>
      </c>
      <c r="I324" t="n">
        <v>0</v>
      </c>
      <c r="J324" t="n">
        <v>0</v>
      </c>
      <c r="K324" t="n">
        <v>0</v>
      </c>
      <c r="L324" t="n">
        <v>0</v>
      </c>
      <c r="M324" t="n">
        <v>0</v>
      </c>
      <c r="N324" t="n">
        <v>0</v>
      </c>
      <c r="O324" t="n">
        <v>0</v>
      </c>
      <c r="P324" t="n">
        <v>0</v>
      </c>
      <c r="Q324" t="n">
        <v>0</v>
      </c>
      <c r="R324" s="2" t="inlineStr"/>
    </row>
    <row r="325" ht="15" customHeight="1">
      <c r="A325" t="inlineStr">
        <is>
          <t>A 56853-2022</t>
        </is>
      </c>
      <c r="B325" s="1" t="n">
        <v>44894</v>
      </c>
      <c r="C325" s="1" t="n">
        <v>46194</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11152-2023</t>
        </is>
      </c>
      <c r="B326" s="1" t="n">
        <v>44992</v>
      </c>
      <c r="C326" s="1" t="n">
        <v>46194</v>
      </c>
      <c r="D326" t="inlineStr">
        <is>
          <t>KALMAR LÄN</t>
        </is>
      </c>
      <c r="E326" t="inlineStr">
        <is>
          <t>VIMMERBY</t>
        </is>
      </c>
      <c r="G326" t="n">
        <v>10.6</v>
      </c>
      <c r="H326" t="n">
        <v>0</v>
      </c>
      <c r="I326" t="n">
        <v>0</v>
      </c>
      <c r="J326" t="n">
        <v>0</v>
      </c>
      <c r="K326" t="n">
        <v>0</v>
      </c>
      <c r="L326" t="n">
        <v>0</v>
      </c>
      <c r="M326" t="n">
        <v>0</v>
      </c>
      <c r="N326" t="n">
        <v>0</v>
      </c>
      <c r="O326" t="n">
        <v>0</v>
      </c>
      <c r="P326" t="n">
        <v>0</v>
      </c>
      <c r="Q326" t="n">
        <v>0</v>
      </c>
      <c r="R326" s="2" t="inlineStr"/>
    </row>
    <row r="327" ht="15" customHeight="1">
      <c r="A327" t="inlineStr">
        <is>
          <t>A 63950-2023</t>
        </is>
      </c>
      <c r="B327" s="1" t="n">
        <v>45278</v>
      </c>
      <c r="C327" s="1" t="n">
        <v>46194</v>
      </c>
      <c r="D327" t="inlineStr">
        <is>
          <t>KALMAR LÄN</t>
        </is>
      </c>
      <c r="E327" t="inlineStr">
        <is>
          <t>VIMMERBY</t>
        </is>
      </c>
      <c r="F327" t="inlineStr">
        <is>
          <t>Kyrkan</t>
        </is>
      </c>
      <c r="G327" t="n">
        <v>2.7</v>
      </c>
      <c r="H327" t="n">
        <v>0</v>
      </c>
      <c r="I327" t="n">
        <v>0</v>
      </c>
      <c r="J327" t="n">
        <v>0</v>
      </c>
      <c r="K327" t="n">
        <v>0</v>
      </c>
      <c r="L327" t="n">
        <v>0</v>
      </c>
      <c r="M327" t="n">
        <v>0</v>
      </c>
      <c r="N327" t="n">
        <v>0</v>
      </c>
      <c r="O327" t="n">
        <v>0</v>
      </c>
      <c r="P327" t="n">
        <v>0</v>
      </c>
      <c r="Q327" t="n">
        <v>0</v>
      </c>
      <c r="R327" s="2" t="inlineStr"/>
    </row>
    <row r="328" ht="15" customHeight="1">
      <c r="A328" t="inlineStr">
        <is>
          <t>A 15550-2023</t>
        </is>
      </c>
      <c r="B328" s="1" t="n">
        <v>45020</v>
      </c>
      <c r="C328" s="1" t="n">
        <v>46194</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24096-2024</t>
        </is>
      </c>
      <c r="B329" s="1" t="n">
        <v>45456</v>
      </c>
      <c r="C329" s="1" t="n">
        <v>46194</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40828-2023</t>
        </is>
      </c>
      <c r="B330" s="1" t="n">
        <v>45171</v>
      </c>
      <c r="C330" s="1" t="n">
        <v>46194</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31355-2023</t>
        </is>
      </c>
      <c r="B331" s="1" t="n">
        <v>45114</v>
      </c>
      <c r="C331" s="1" t="n">
        <v>46194</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41199-2023</t>
        </is>
      </c>
      <c r="B332" s="1" t="n">
        <v>45174</v>
      </c>
      <c r="C332" s="1" t="n">
        <v>46194</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18330-2023</t>
        </is>
      </c>
      <c r="B333" s="1" t="n">
        <v>45041</v>
      </c>
      <c r="C333" s="1" t="n">
        <v>46194</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36014-2024</t>
        </is>
      </c>
      <c r="B334" s="1" t="n">
        <v>45533</v>
      </c>
      <c r="C334" s="1" t="n">
        <v>46194</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36030-2024</t>
        </is>
      </c>
      <c r="B335" s="1" t="n">
        <v>45533</v>
      </c>
      <c r="C335" s="1" t="n">
        <v>46194</v>
      </c>
      <c r="D335" t="inlineStr">
        <is>
          <t>KALMAR LÄN</t>
        </is>
      </c>
      <c r="E335" t="inlineStr">
        <is>
          <t>VIMMERBY</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16734-2023</t>
        </is>
      </c>
      <c r="B336" s="1" t="n">
        <v>45030</v>
      </c>
      <c r="C336" s="1" t="n">
        <v>46194</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58100-2024</t>
        </is>
      </c>
      <c r="B337" s="1" t="n">
        <v>45632</v>
      </c>
      <c r="C337" s="1" t="n">
        <v>46194</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27993-2022</t>
        </is>
      </c>
      <c r="B338" s="1" t="n">
        <v>44745</v>
      </c>
      <c r="C338" s="1" t="n">
        <v>46194</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64143-2021</t>
        </is>
      </c>
      <c r="B339" s="1" t="n">
        <v>44510</v>
      </c>
      <c r="C339" s="1" t="n">
        <v>46194</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9720-2023</t>
        </is>
      </c>
      <c r="B340" s="1" t="n">
        <v>44984</v>
      </c>
      <c r="C340" s="1" t="n">
        <v>46194</v>
      </c>
      <c r="D340" t="inlineStr">
        <is>
          <t>KALMAR LÄN</t>
        </is>
      </c>
      <c r="E340" t="inlineStr">
        <is>
          <t>VIMMERBY</t>
        </is>
      </c>
      <c r="G340" t="n">
        <v>4.4</v>
      </c>
      <c r="H340" t="n">
        <v>0</v>
      </c>
      <c r="I340" t="n">
        <v>0</v>
      </c>
      <c r="J340" t="n">
        <v>0</v>
      </c>
      <c r="K340" t="n">
        <v>0</v>
      </c>
      <c r="L340" t="n">
        <v>0</v>
      </c>
      <c r="M340" t="n">
        <v>0</v>
      </c>
      <c r="N340" t="n">
        <v>0</v>
      </c>
      <c r="O340" t="n">
        <v>0</v>
      </c>
      <c r="P340" t="n">
        <v>0</v>
      </c>
      <c r="Q340" t="n">
        <v>0</v>
      </c>
      <c r="R340" s="2" t="inlineStr"/>
    </row>
    <row r="341" ht="15" customHeight="1">
      <c r="A341" t="inlineStr">
        <is>
          <t>A 6321-2023</t>
        </is>
      </c>
      <c r="B341" s="1" t="n">
        <v>44965</v>
      </c>
      <c r="C341" s="1" t="n">
        <v>46194</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5938-2022</t>
        </is>
      </c>
      <c r="B342" s="1" t="n">
        <v>44598</v>
      </c>
      <c r="C342" s="1" t="n">
        <v>46194</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1687-2023</t>
        </is>
      </c>
      <c r="B343" s="1" t="n">
        <v>44938</v>
      </c>
      <c r="C343" s="1" t="n">
        <v>46194</v>
      </c>
      <c r="D343" t="inlineStr">
        <is>
          <t>KALMAR LÄN</t>
        </is>
      </c>
      <c r="E343" t="inlineStr">
        <is>
          <t>VIMMERBY</t>
        </is>
      </c>
      <c r="F343" t="inlineStr">
        <is>
          <t>Kommuner</t>
        </is>
      </c>
      <c r="G343" t="n">
        <v>2.5</v>
      </c>
      <c r="H343" t="n">
        <v>0</v>
      </c>
      <c r="I343" t="n">
        <v>0</v>
      </c>
      <c r="J343" t="n">
        <v>0</v>
      </c>
      <c r="K343" t="n">
        <v>0</v>
      </c>
      <c r="L343" t="n">
        <v>0</v>
      </c>
      <c r="M343" t="n">
        <v>0</v>
      </c>
      <c r="N343" t="n">
        <v>0</v>
      </c>
      <c r="O343" t="n">
        <v>0</v>
      </c>
      <c r="P343" t="n">
        <v>0</v>
      </c>
      <c r="Q343" t="n">
        <v>0</v>
      </c>
      <c r="R343" s="2" t="inlineStr"/>
    </row>
    <row r="344" ht="15" customHeight="1">
      <c r="A344" t="inlineStr">
        <is>
          <t>A 53752-2024</t>
        </is>
      </c>
      <c r="B344" s="1" t="n">
        <v>45615</v>
      </c>
      <c r="C344" s="1" t="n">
        <v>46194</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29440-2024</t>
        </is>
      </c>
      <c r="B345" s="1" t="n">
        <v>45483</v>
      </c>
      <c r="C345" s="1" t="n">
        <v>46194</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30921-2024</t>
        </is>
      </c>
      <c r="B346" s="1" t="n">
        <v>45498</v>
      </c>
      <c r="C346" s="1" t="n">
        <v>46194</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53482-2022</t>
        </is>
      </c>
      <c r="B347" s="1" t="n">
        <v>44879</v>
      </c>
      <c r="C347" s="1" t="n">
        <v>46194</v>
      </c>
      <c r="D347" t="inlineStr">
        <is>
          <t>KALMAR LÄN</t>
        </is>
      </c>
      <c r="E347" t="inlineStr">
        <is>
          <t>VIMMERBY</t>
        </is>
      </c>
      <c r="G347" t="n">
        <v>10.1</v>
      </c>
      <c r="H347" t="n">
        <v>0</v>
      </c>
      <c r="I347" t="n">
        <v>0</v>
      </c>
      <c r="J347" t="n">
        <v>0</v>
      </c>
      <c r="K347" t="n">
        <v>0</v>
      </c>
      <c r="L347" t="n">
        <v>0</v>
      </c>
      <c r="M347" t="n">
        <v>0</v>
      </c>
      <c r="N347" t="n">
        <v>0</v>
      </c>
      <c r="O347" t="n">
        <v>0</v>
      </c>
      <c r="P347" t="n">
        <v>0</v>
      </c>
      <c r="Q347" t="n">
        <v>0</v>
      </c>
      <c r="R347" s="2" t="inlineStr"/>
    </row>
    <row r="348" ht="15" customHeight="1">
      <c r="A348" t="inlineStr">
        <is>
          <t>A 52755-2022</t>
        </is>
      </c>
      <c r="B348" s="1" t="n">
        <v>44875</v>
      </c>
      <c r="C348" s="1" t="n">
        <v>46194</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39807-2025</t>
        </is>
      </c>
      <c r="B349" s="1" t="n">
        <v>45891</v>
      </c>
      <c r="C349" s="1" t="n">
        <v>46194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40823-2023</t>
        </is>
      </c>
      <c r="B350" s="1" t="n">
        <v>45171</v>
      </c>
      <c r="C350" s="1" t="n">
        <v>46194</v>
      </c>
      <c r="D350" t="inlineStr">
        <is>
          <t>KALMAR LÄN</t>
        </is>
      </c>
      <c r="E350" t="inlineStr">
        <is>
          <t>VIMMERBY</t>
        </is>
      </c>
      <c r="G350" t="n">
        <v>2.7</v>
      </c>
      <c r="H350" t="n">
        <v>0</v>
      </c>
      <c r="I350" t="n">
        <v>0</v>
      </c>
      <c r="J350" t="n">
        <v>0</v>
      </c>
      <c r="K350" t="n">
        <v>0</v>
      </c>
      <c r="L350" t="n">
        <v>0</v>
      </c>
      <c r="M350" t="n">
        <v>0</v>
      </c>
      <c r="N350" t="n">
        <v>0</v>
      </c>
      <c r="O350" t="n">
        <v>0</v>
      </c>
      <c r="P350" t="n">
        <v>0</v>
      </c>
      <c r="Q350" t="n">
        <v>0</v>
      </c>
      <c r="R350" s="2" t="inlineStr"/>
    </row>
    <row r="351" ht="15" customHeight="1">
      <c r="A351" t="inlineStr">
        <is>
          <t>A 58728-2024</t>
        </is>
      </c>
      <c r="B351" s="1" t="n">
        <v>45635</v>
      </c>
      <c r="C351" s="1" t="n">
        <v>46194</v>
      </c>
      <c r="D351" t="inlineStr">
        <is>
          <t>KALMAR LÄN</t>
        </is>
      </c>
      <c r="E351" t="inlineStr">
        <is>
          <t>VIMMERBY</t>
        </is>
      </c>
      <c r="G351" t="n">
        <v>0.4</v>
      </c>
      <c r="H351" t="n">
        <v>0</v>
      </c>
      <c r="I351" t="n">
        <v>0</v>
      </c>
      <c r="J351" t="n">
        <v>0</v>
      </c>
      <c r="K351" t="n">
        <v>0</v>
      </c>
      <c r="L351" t="n">
        <v>0</v>
      </c>
      <c r="M351" t="n">
        <v>0</v>
      </c>
      <c r="N351" t="n">
        <v>0</v>
      </c>
      <c r="O351" t="n">
        <v>0</v>
      </c>
      <c r="P351" t="n">
        <v>0</v>
      </c>
      <c r="Q351" t="n">
        <v>0</v>
      </c>
      <c r="R351" s="2" t="inlineStr"/>
    </row>
    <row r="352" ht="15" customHeight="1">
      <c r="A352" t="inlineStr">
        <is>
          <t>A 43242-2024</t>
        </is>
      </c>
      <c r="B352" s="1" t="n">
        <v>45568</v>
      </c>
      <c r="C352" s="1" t="n">
        <v>46194</v>
      </c>
      <c r="D352" t="inlineStr">
        <is>
          <t>KALMAR LÄN</t>
        </is>
      </c>
      <c r="E352" t="inlineStr">
        <is>
          <t>VIMMERBY</t>
        </is>
      </c>
      <c r="G352" t="n">
        <v>2.6</v>
      </c>
      <c r="H352" t="n">
        <v>0</v>
      </c>
      <c r="I352" t="n">
        <v>0</v>
      </c>
      <c r="J352" t="n">
        <v>0</v>
      </c>
      <c r="K352" t="n">
        <v>0</v>
      </c>
      <c r="L352" t="n">
        <v>0</v>
      </c>
      <c r="M352" t="n">
        <v>0</v>
      </c>
      <c r="N352" t="n">
        <v>0</v>
      </c>
      <c r="O352" t="n">
        <v>0</v>
      </c>
      <c r="P352" t="n">
        <v>0</v>
      </c>
      <c r="Q352" t="n">
        <v>0</v>
      </c>
      <c r="R352" s="2" t="inlineStr"/>
    </row>
    <row r="353" ht="15" customHeight="1">
      <c r="A353" t="inlineStr">
        <is>
          <t>A 39736-2025</t>
        </is>
      </c>
      <c r="B353" s="1" t="n">
        <v>45891</v>
      </c>
      <c r="C353" s="1" t="n">
        <v>46194</v>
      </c>
      <c r="D353" t="inlineStr">
        <is>
          <t>KALMAR LÄN</t>
        </is>
      </c>
      <c r="E353" t="inlineStr">
        <is>
          <t>VIMMERBY</t>
        </is>
      </c>
      <c r="G353" t="n">
        <v>12.8</v>
      </c>
      <c r="H353" t="n">
        <v>0</v>
      </c>
      <c r="I353" t="n">
        <v>0</v>
      </c>
      <c r="J353" t="n">
        <v>0</v>
      </c>
      <c r="K353" t="n">
        <v>0</v>
      </c>
      <c r="L353" t="n">
        <v>0</v>
      </c>
      <c r="M353" t="n">
        <v>0</v>
      </c>
      <c r="N353" t="n">
        <v>0</v>
      </c>
      <c r="O353" t="n">
        <v>0</v>
      </c>
      <c r="P353" t="n">
        <v>0</v>
      </c>
      <c r="Q353" t="n">
        <v>0</v>
      </c>
      <c r="R353" s="2" t="inlineStr"/>
    </row>
    <row r="354" ht="15" customHeight="1">
      <c r="A354" t="inlineStr">
        <is>
          <t>A 16983-2023</t>
        </is>
      </c>
      <c r="B354" s="1" t="n">
        <v>45033</v>
      </c>
      <c r="C354" s="1" t="n">
        <v>46194</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39803-2025</t>
        </is>
      </c>
      <c r="B355" s="1" t="n">
        <v>45891</v>
      </c>
      <c r="C355" s="1" t="n">
        <v>46194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40971-2025</t>
        </is>
      </c>
      <c r="B356" s="1" t="n">
        <v>45897</v>
      </c>
      <c r="C356" s="1" t="n">
        <v>46194</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6405-2025</t>
        </is>
      </c>
      <c r="B357" s="1" t="n">
        <v>45699</v>
      </c>
      <c r="C357" s="1" t="n">
        <v>46194</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36843-2023</t>
        </is>
      </c>
      <c r="B358" s="1" t="n">
        <v>45154</v>
      </c>
      <c r="C358" s="1" t="n">
        <v>46194</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41591-2025</t>
        </is>
      </c>
      <c r="B359" s="1" t="n">
        <v>45901</v>
      </c>
      <c r="C359" s="1" t="n">
        <v>46194</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41589-2025</t>
        </is>
      </c>
      <c r="B360" s="1" t="n">
        <v>45901</v>
      </c>
      <c r="C360" s="1" t="n">
        <v>46194</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57486-2024</t>
        </is>
      </c>
      <c r="B361" s="1" t="n">
        <v>45630</v>
      </c>
      <c r="C361" s="1" t="n">
        <v>46194</v>
      </c>
      <c r="D361" t="inlineStr">
        <is>
          <t>KALMAR LÄN</t>
        </is>
      </c>
      <c r="E361" t="inlineStr">
        <is>
          <t>VIMMERBY</t>
        </is>
      </c>
      <c r="G361" t="n">
        <v>0.4</v>
      </c>
      <c r="H361" t="n">
        <v>0</v>
      </c>
      <c r="I361" t="n">
        <v>0</v>
      </c>
      <c r="J361" t="n">
        <v>0</v>
      </c>
      <c r="K361" t="n">
        <v>0</v>
      </c>
      <c r="L361" t="n">
        <v>0</v>
      </c>
      <c r="M361" t="n">
        <v>0</v>
      </c>
      <c r="N361" t="n">
        <v>0</v>
      </c>
      <c r="O361" t="n">
        <v>0</v>
      </c>
      <c r="P361" t="n">
        <v>0</v>
      </c>
      <c r="Q361" t="n">
        <v>0</v>
      </c>
      <c r="R361" s="2" t="inlineStr"/>
    </row>
    <row r="362" ht="15" customHeight="1">
      <c r="A362" t="inlineStr">
        <is>
          <t>A 40970-2025</t>
        </is>
      </c>
      <c r="B362" s="1" t="n">
        <v>45897</v>
      </c>
      <c r="C362" s="1" t="n">
        <v>46194</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40973-2025</t>
        </is>
      </c>
      <c r="B363" s="1" t="n">
        <v>45897</v>
      </c>
      <c r="C363" s="1" t="n">
        <v>46194</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27761-2024</t>
        </is>
      </c>
      <c r="B364" s="1" t="n">
        <v>45475</v>
      </c>
      <c r="C364" s="1" t="n">
        <v>46194</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34090-2025</t>
        </is>
      </c>
      <c r="B365" s="1" t="n">
        <v>45845</v>
      </c>
      <c r="C365" s="1" t="n">
        <v>46194</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46194</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59579-2025</t>
        </is>
      </c>
      <c r="B367" s="1" t="n">
        <v>45992</v>
      </c>
      <c r="C367" s="1" t="n">
        <v>46194</v>
      </c>
      <c r="D367" t="inlineStr">
        <is>
          <t>KALMAR LÄN</t>
        </is>
      </c>
      <c r="E367" t="inlineStr">
        <is>
          <t>VIMMERBY</t>
        </is>
      </c>
      <c r="G367" t="n">
        <v>1.3</v>
      </c>
      <c r="H367" t="n">
        <v>0</v>
      </c>
      <c r="I367" t="n">
        <v>0</v>
      </c>
      <c r="J367" t="n">
        <v>0</v>
      </c>
      <c r="K367" t="n">
        <v>0</v>
      </c>
      <c r="L367" t="n">
        <v>0</v>
      </c>
      <c r="M367" t="n">
        <v>0</v>
      </c>
      <c r="N367" t="n">
        <v>0</v>
      </c>
      <c r="O367" t="n">
        <v>0</v>
      </c>
      <c r="P367" t="n">
        <v>0</v>
      </c>
      <c r="Q367" t="n">
        <v>0</v>
      </c>
      <c r="R367" s="2" t="inlineStr"/>
    </row>
    <row r="368" ht="15" customHeight="1">
      <c r="A368" t="inlineStr">
        <is>
          <t>A 44423-2023</t>
        </is>
      </c>
      <c r="B368" s="1" t="n">
        <v>45189</v>
      </c>
      <c r="C368" s="1" t="n">
        <v>46194</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21496-2023</t>
        </is>
      </c>
      <c r="B369" s="1" t="n">
        <v>45063</v>
      </c>
      <c r="C369" s="1" t="n">
        <v>46194</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64203-2021</t>
        </is>
      </c>
      <c r="B370" s="1" t="n">
        <v>44510</v>
      </c>
      <c r="C370" s="1" t="n">
        <v>46194</v>
      </c>
      <c r="D370" t="inlineStr">
        <is>
          <t>KALMAR LÄN</t>
        </is>
      </c>
      <c r="E370" t="inlineStr">
        <is>
          <t>VIMMERBY</t>
        </is>
      </c>
      <c r="F370" t="inlineStr">
        <is>
          <t>Övriga Aktiebolag</t>
        </is>
      </c>
      <c r="G370" t="n">
        <v>5.4</v>
      </c>
      <c r="H370" t="n">
        <v>0</v>
      </c>
      <c r="I370" t="n">
        <v>0</v>
      </c>
      <c r="J370" t="n">
        <v>0</v>
      </c>
      <c r="K370" t="n">
        <v>0</v>
      </c>
      <c r="L370" t="n">
        <v>0</v>
      </c>
      <c r="M370" t="n">
        <v>0</v>
      </c>
      <c r="N370" t="n">
        <v>0</v>
      </c>
      <c r="O370" t="n">
        <v>0</v>
      </c>
      <c r="P370" t="n">
        <v>0</v>
      </c>
      <c r="Q370" t="n">
        <v>0</v>
      </c>
      <c r="R370" s="2" t="inlineStr"/>
    </row>
    <row r="371" ht="15" customHeight="1">
      <c r="A371" t="inlineStr">
        <is>
          <t>A 31056-2022</t>
        </is>
      </c>
      <c r="B371" s="1" t="n">
        <v>44769</v>
      </c>
      <c r="C371" s="1" t="n">
        <v>46194</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1016-2024</t>
        </is>
      </c>
      <c r="B372" s="1" t="n">
        <v>45301</v>
      </c>
      <c r="C372" s="1" t="n">
        <v>46194</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1024-2024</t>
        </is>
      </c>
      <c r="B373" s="1" t="n">
        <v>45301</v>
      </c>
      <c r="C373" s="1" t="n">
        <v>46194</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27758-2024</t>
        </is>
      </c>
      <c r="B374" s="1" t="n">
        <v>45475</v>
      </c>
      <c r="C374" s="1" t="n">
        <v>46194</v>
      </c>
      <c r="D374" t="inlineStr">
        <is>
          <t>KALMAR LÄN</t>
        </is>
      </c>
      <c r="E374" t="inlineStr">
        <is>
          <t>VIMMERBY</t>
        </is>
      </c>
      <c r="G374" t="n">
        <v>2.6</v>
      </c>
      <c r="H374" t="n">
        <v>0</v>
      </c>
      <c r="I374" t="n">
        <v>0</v>
      </c>
      <c r="J374" t="n">
        <v>0</v>
      </c>
      <c r="K374" t="n">
        <v>0</v>
      </c>
      <c r="L374" t="n">
        <v>0</v>
      </c>
      <c r="M374" t="n">
        <v>0</v>
      </c>
      <c r="N374" t="n">
        <v>0</v>
      </c>
      <c r="O374" t="n">
        <v>0</v>
      </c>
      <c r="P374" t="n">
        <v>0</v>
      </c>
      <c r="Q374" t="n">
        <v>0</v>
      </c>
      <c r="R374" s="2" t="inlineStr"/>
    </row>
    <row r="375" ht="15" customHeight="1">
      <c r="A375" t="inlineStr">
        <is>
          <t>A 72701-2021</t>
        </is>
      </c>
      <c r="B375" s="1" t="n">
        <v>44546</v>
      </c>
      <c r="C375" s="1" t="n">
        <v>46194</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61355-2024</t>
        </is>
      </c>
      <c r="B376" s="1" t="n">
        <v>45646</v>
      </c>
      <c r="C376" s="1" t="n">
        <v>46194</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32865-2023</t>
        </is>
      </c>
      <c r="B377" s="1" t="n">
        <v>45124</v>
      </c>
      <c r="C377" s="1" t="n">
        <v>46194</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17926-2025</t>
        </is>
      </c>
      <c r="B378" s="1" t="n">
        <v>45759</v>
      </c>
      <c r="C378" s="1" t="n">
        <v>46194</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35127-2024</t>
        </is>
      </c>
      <c r="B379" s="1" t="n">
        <v>45530</v>
      </c>
      <c r="C379" s="1" t="n">
        <v>46194</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37088-2025</t>
        </is>
      </c>
      <c r="B380" s="1" t="n">
        <v>45875</v>
      </c>
      <c r="C380" s="1" t="n">
        <v>46194</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37102-2025</t>
        </is>
      </c>
      <c r="B381" s="1" t="n">
        <v>45875</v>
      </c>
      <c r="C381" s="1" t="n">
        <v>46194</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33374-2021</t>
        </is>
      </c>
      <c r="B382" s="1" t="n">
        <v>44377</v>
      </c>
      <c r="C382" s="1" t="n">
        <v>46194</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19111-2025</t>
        </is>
      </c>
      <c r="B383" s="1" t="n">
        <v>45768</v>
      </c>
      <c r="C383" s="1" t="n">
        <v>46194</v>
      </c>
      <c r="D383" t="inlineStr">
        <is>
          <t>KALMAR LÄN</t>
        </is>
      </c>
      <c r="E383" t="inlineStr">
        <is>
          <t>VIMMERBY</t>
        </is>
      </c>
      <c r="G383" t="n">
        <v>6.2</v>
      </c>
      <c r="H383" t="n">
        <v>0</v>
      </c>
      <c r="I383" t="n">
        <v>0</v>
      </c>
      <c r="J383" t="n">
        <v>0</v>
      </c>
      <c r="K383" t="n">
        <v>0</v>
      </c>
      <c r="L383" t="n">
        <v>0</v>
      </c>
      <c r="M383" t="n">
        <v>0</v>
      </c>
      <c r="N383" t="n">
        <v>0</v>
      </c>
      <c r="O383" t="n">
        <v>0</v>
      </c>
      <c r="P383" t="n">
        <v>0</v>
      </c>
      <c r="Q383" t="n">
        <v>0</v>
      </c>
      <c r="R383" s="2" t="inlineStr"/>
    </row>
    <row r="384" ht="15" customHeight="1">
      <c r="A384" t="inlineStr">
        <is>
          <t>A 10759-2023</t>
        </is>
      </c>
      <c r="B384" s="1" t="n">
        <v>44988</v>
      </c>
      <c r="C384" s="1" t="n">
        <v>46194</v>
      </c>
      <c r="D384" t="inlineStr">
        <is>
          <t>KALMAR LÄN</t>
        </is>
      </c>
      <c r="E384" t="inlineStr">
        <is>
          <t>VIMMERBY</t>
        </is>
      </c>
      <c r="G384" t="n">
        <v>0.4</v>
      </c>
      <c r="H384" t="n">
        <v>0</v>
      </c>
      <c r="I384" t="n">
        <v>0</v>
      </c>
      <c r="J384" t="n">
        <v>0</v>
      </c>
      <c r="K384" t="n">
        <v>0</v>
      </c>
      <c r="L384" t="n">
        <v>0</v>
      </c>
      <c r="M384" t="n">
        <v>0</v>
      </c>
      <c r="N384" t="n">
        <v>0</v>
      </c>
      <c r="O384" t="n">
        <v>0</v>
      </c>
      <c r="P384" t="n">
        <v>0</v>
      </c>
      <c r="Q384" t="n">
        <v>0</v>
      </c>
      <c r="R384" s="2" t="inlineStr"/>
    </row>
    <row r="385" ht="15" customHeight="1">
      <c r="A385" t="inlineStr">
        <is>
          <t>A 33383-2023</t>
        </is>
      </c>
      <c r="B385" s="1" t="n">
        <v>45128</v>
      </c>
      <c r="C385" s="1" t="n">
        <v>46194</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55716-2023</t>
        </is>
      </c>
      <c r="B386" s="1" t="n">
        <v>45232</v>
      </c>
      <c r="C386" s="1" t="n">
        <v>46194</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34386-2024</t>
        </is>
      </c>
      <c r="B387" s="1" t="n">
        <v>45525</v>
      </c>
      <c r="C387" s="1" t="n">
        <v>46194</v>
      </c>
      <c r="D387" t="inlineStr">
        <is>
          <t>KALMAR LÄN</t>
        </is>
      </c>
      <c r="E387" t="inlineStr">
        <is>
          <t>VIMMERBY</t>
        </is>
      </c>
      <c r="G387" t="n">
        <v>0.3</v>
      </c>
      <c r="H387" t="n">
        <v>0</v>
      </c>
      <c r="I387" t="n">
        <v>0</v>
      </c>
      <c r="J387" t="n">
        <v>0</v>
      </c>
      <c r="K387" t="n">
        <v>0</v>
      </c>
      <c r="L387" t="n">
        <v>0</v>
      </c>
      <c r="M387" t="n">
        <v>0</v>
      </c>
      <c r="N387" t="n">
        <v>0</v>
      </c>
      <c r="O387" t="n">
        <v>0</v>
      </c>
      <c r="P387" t="n">
        <v>0</v>
      </c>
      <c r="Q387" t="n">
        <v>0</v>
      </c>
      <c r="R387" s="2" t="inlineStr"/>
    </row>
    <row r="388" ht="15" customHeight="1">
      <c r="A388" t="inlineStr">
        <is>
          <t>A 32614-2023</t>
        </is>
      </c>
      <c r="B388" s="1" t="n">
        <v>45121</v>
      </c>
      <c r="C388" s="1" t="n">
        <v>46194</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61939-2021</t>
        </is>
      </c>
      <c r="B389" s="1" t="n">
        <v>44502</v>
      </c>
      <c r="C389" s="1" t="n">
        <v>46194</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42429-2024</t>
        </is>
      </c>
      <c r="B390" s="1" t="n">
        <v>45565</v>
      </c>
      <c r="C390" s="1" t="n">
        <v>46194</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44091-2025</t>
        </is>
      </c>
      <c r="B391" s="1" t="n">
        <v>45915</v>
      </c>
      <c r="C391" s="1" t="n">
        <v>46194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44095-2025</t>
        </is>
      </c>
      <c r="B392" s="1" t="n">
        <v>45915</v>
      </c>
      <c r="C392" s="1" t="n">
        <v>46194</v>
      </c>
      <c r="D392" t="inlineStr">
        <is>
          <t>KALMAR LÄN</t>
        </is>
      </c>
      <c r="E392" t="inlineStr">
        <is>
          <t>VIMMERBY</t>
        </is>
      </c>
      <c r="G392" t="n">
        <v>2.4</v>
      </c>
      <c r="H392" t="n">
        <v>0</v>
      </c>
      <c r="I392" t="n">
        <v>0</v>
      </c>
      <c r="J392" t="n">
        <v>0</v>
      </c>
      <c r="K392" t="n">
        <v>0</v>
      </c>
      <c r="L392" t="n">
        <v>0</v>
      </c>
      <c r="M392" t="n">
        <v>0</v>
      </c>
      <c r="N392" t="n">
        <v>0</v>
      </c>
      <c r="O392" t="n">
        <v>0</v>
      </c>
      <c r="P392" t="n">
        <v>0</v>
      </c>
      <c r="Q392" t="n">
        <v>0</v>
      </c>
      <c r="R392" s="2" t="inlineStr"/>
    </row>
    <row r="393" ht="15" customHeight="1">
      <c r="A393" t="inlineStr">
        <is>
          <t>A 59943-2023</t>
        </is>
      </c>
      <c r="B393" s="1" t="n">
        <v>45257</v>
      </c>
      <c r="C393" s="1" t="n">
        <v>46194</v>
      </c>
      <c r="D393" t="inlineStr">
        <is>
          <t>KALMAR LÄN</t>
        </is>
      </c>
      <c r="E393" t="inlineStr">
        <is>
          <t>VIMMERBY</t>
        </is>
      </c>
      <c r="G393" t="n">
        <v>6.4</v>
      </c>
      <c r="H393" t="n">
        <v>0</v>
      </c>
      <c r="I393" t="n">
        <v>0</v>
      </c>
      <c r="J393" t="n">
        <v>0</v>
      </c>
      <c r="K393" t="n">
        <v>0</v>
      </c>
      <c r="L393" t="n">
        <v>0</v>
      </c>
      <c r="M393" t="n">
        <v>0</v>
      </c>
      <c r="N393" t="n">
        <v>0</v>
      </c>
      <c r="O393" t="n">
        <v>0</v>
      </c>
      <c r="P393" t="n">
        <v>0</v>
      </c>
      <c r="Q393" t="n">
        <v>0</v>
      </c>
      <c r="R393" s="2" t="inlineStr"/>
    </row>
    <row r="394" ht="15" customHeight="1">
      <c r="A394" t="inlineStr">
        <is>
          <t>A 15493-2023</t>
        </is>
      </c>
      <c r="B394" s="1" t="n">
        <v>45018</v>
      </c>
      <c r="C394" s="1" t="n">
        <v>46194</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51881-2024</t>
        </is>
      </c>
      <c r="B395" s="1" t="n">
        <v>45607</v>
      </c>
      <c r="C395" s="1" t="n">
        <v>46194</v>
      </c>
      <c r="D395" t="inlineStr">
        <is>
          <t>KALMAR LÄN</t>
        </is>
      </c>
      <c r="E395" t="inlineStr">
        <is>
          <t>VIMMERBY</t>
        </is>
      </c>
      <c r="G395" t="n">
        <v>3.4</v>
      </c>
      <c r="H395" t="n">
        <v>0</v>
      </c>
      <c r="I395" t="n">
        <v>0</v>
      </c>
      <c r="J395" t="n">
        <v>0</v>
      </c>
      <c r="K395" t="n">
        <v>0</v>
      </c>
      <c r="L395" t="n">
        <v>0</v>
      </c>
      <c r="M395" t="n">
        <v>0</v>
      </c>
      <c r="N395" t="n">
        <v>0</v>
      </c>
      <c r="O395" t="n">
        <v>0</v>
      </c>
      <c r="P395" t="n">
        <v>0</v>
      </c>
      <c r="Q395" t="n">
        <v>0</v>
      </c>
      <c r="R395" s="2" t="inlineStr"/>
    </row>
    <row r="396" ht="15" customHeight="1">
      <c r="A396" t="inlineStr">
        <is>
          <t>A 1021-2024</t>
        </is>
      </c>
      <c r="B396" s="1" t="n">
        <v>45301</v>
      </c>
      <c r="C396" s="1" t="n">
        <v>46194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v>
      </c>
      <c r="C397" s="1" t="n">
        <v>46194</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v>
      </c>
      <c r="C398" s="1" t="n">
        <v>46194</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30063-2023</t>
        </is>
      </c>
      <c r="B399" s="1" t="n">
        <v>45110</v>
      </c>
      <c r="C399" s="1" t="n">
        <v>46194</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17482-2024</t>
        </is>
      </c>
      <c r="B400" s="1" t="n">
        <v>45415</v>
      </c>
      <c r="C400" s="1" t="n">
        <v>46194</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13817-2024</t>
        </is>
      </c>
      <c r="B401" s="1" t="n">
        <v>45391</v>
      </c>
      <c r="C401" s="1" t="n">
        <v>46194</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30406-2023</t>
        </is>
      </c>
      <c r="B402" s="1" t="n">
        <v>45111</v>
      </c>
      <c r="C402" s="1" t="n">
        <v>46194</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40076-2021</t>
        </is>
      </c>
      <c r="B403" s="1" t="n">
        <v>44418</v>
      </c>
      <c r="C403" s="1" t="n">
        <v>46194</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v>
      </c>
      <c r="C404" s="1" t="n">
        <v>46194</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23394-2025</t>
        </is>
      </c>
      <c r="B405" s="1" t="n">
        <v>45791</v>
      </c>
      <c r="C405" s="1" t="n">
        <v>46194</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12588-2025</t>
        </is>
      </c>
      <c r="B406" s="1" t="n">
        <v>45732</v>
      </c>
      <c r="C406" s="1" t="n">
        <v>46194</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25979-2023</t>
        </is>
      </c>
      <c r="B407" s="1" t="n">
        <v>45090</v>
      </c>
      <c r="C407" s="1" t="n">
        <v>46194</v>
      </c>
      <c r="D407" t="inlineStr">
        <is>
          <t>KALMAR LÄN</t>
        </is>
      </c>
      <c r="E407" t="inlineStr">
        <is>
          <t>VIMMERBY</t>
        </is>
      </c>
      <c r="G407" t="n">
        <v>2</v>
      </c>
      <c r="H407" t="n">
        <v>0</v>
      </c>
      <c r="I407" t="n">
        <v>0</v>
      </c>
      <c r="J407" t="n">
        <v>0</v>
      </c>
      <c r="K407" t="n">
        <v>0</v>
      </c>
      <c r="L407" t="n">
        <v>0</v>
      </c>
      <c r="M407" t="n">
        <v>0</v>
      </c>
      <c r="N407" t="n">
        <v>0</v>
      </c>
      <c r="O407" t="n">
        <v>0</v>
      </c>
      <c r="P407" t="n">
        <v>0</v>
      </c>
      <c r="Q407" t="n">
        <v>0</v>
      </c>
      <c r="R407" s="2" t="inlineStr"/>
    </row>
    <row r="408" ht="15" customHeight="1">
      <c r="A408" t="inlineStr">
        <is>
          <t>A 25980-2023</t>
        </is>
      </c>
      <c r="B408" s="1" t="n">
        <v>45090</v>
      </c>
      <c r="C408" s="1" t="n">
        <v>46194</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46921-2023</t>
        </is>
      </c>
      <c r="B409" s="1" t="n">
        <v>45201</v>
      </c>
      <c r="C409" s="1" t="n">
        <v>46194</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10837-2023</t>
        </is>
      </c>
      <c r="B410" s="1" t="n">
        <v>44991</v>
      </c>
      <c r="C410" s="1" t="n">
        <v>46194</v>
      </c>
      <c r="D410" t="inlineStr">
        <is>
          <t>KALMAR LÄN</t>
        </is>
      </c>
      <c r="E410" t="inlineStr">
        <is>
          <t>VIMMERBY</t>
        </is>
      </c>
      <c r="G410" t="n">
        <v>7.3</v>
      </c>
      <c r="H410" t="n">
        <v>0</v>
      </c>
      <c r="I410" t="n">
        <v>0</v>
      </c>
      <c r="J410" t="n">
        <v>0</v>
      </c>
      <c r="K410" t="n">
        <v>0</v>
      </c>
      <c r="L410" t="n">
        <v>0</v>
      </c>
      <c r="M410" t="n">
        <v>0</v>
      </c>
      <c r="N410" t="n">
        <v>0</v>
      </c>
      <c r="O410" t="n">
        <v>0</v>
      </c>
      <c r="P410" t="n">
        <v>0</v>
      </c>
      <c r="Q410" t="n">
        <v>0</v>
      </c>
      <c r="R410" s="2" t="inlineStr"/>
    </row>
    <row r="411" ht="15" customHeight="1">
      <c r="A411" t="inlineStr">
        <is>
          <t>A 10838-2023</t>
        </is>
      </c>
      <c r="B411" s="1" t="n">
        <v>44991</v>
      </c>
      <c r="C411" s="1" t="n">
        <v>46194</v>
      </c>
      <c r="D411" t="inlineStr">
        <is>
          <t>KALMAR LÄN</t>
        </is>
      </c>
      <c r="E411" t="inlineStr">
        <is>
          <t>VIMMERBY</t>
        </is>
      </c>
      <c r="G411" t="n">
        <v>5.1</v>
      </c>
      <c r="H411" t="n">
        <v>0</v>
      </c>
      <c r="I411" t="n">
        <v>0</v>
      </c>
      <c r="J411" t="n">
        <v>0</v>
      </c>
      <c r="K411" t="n">
        <v>0</v>
      </c>
      <c r="L411" t="n">
        <v>0</v>
      </c>
      <c r="M411" t="n">
        <v>0</v>
      </c>
      <c r="N411" t="n">
        <v>0</v>
      </c>
      <c r="O411" t="n">
        <v>0</v>
      </c>
      <c r="P411" t="n">
        <v>0</v>
      </c>
      <c r="Q411" t="n">
        <v>0</v>
      </c>
      <c r="R411" s="2" t="inlineStr"/>
    </row>
    <row r="412" ht="15" customHeight="1">
      <c r="A412" t="inlineStr">
        <is>
          <t>A 30912-2023</t>
        </is>
      </c>
      <c r="B412" s="1" t="n">
        <v>45113</v>
      </c>
      <c r="C412" s="1" t="n">
        <v>46194</v>
      </c>
      <c r="D412" t="inlineStr">
        <is>
          <t>KALMAR LÄN</t>
        </is>
      </c>
      <c r="E412" t="inlineStr">
        <is>
          <t>VIMMERBY</t>
        </is>
      </c>
      <c r="G412" t="n">
        <v>5</v>
      </c>
      <c r="H412" t="n">
        <v>0</v>
      </c>
      <c r="I412" t="n">
        <v>0</v>
      </c>
      <c r="J412" t="n">
        <v>0</v>
      </c>
      <c r="K412" t="n">
        <v>0</v>
      </c>
      <c r="L412" t="n">
        <v>0</v>
      </c>
      <c r="M412" t="n">
        <v>0</v>
      </c>
      <c r="N412" t="n">
        <v>0</v>
      </c>
      <c r="O412" t="n">
        <v>0</v>
      </c>
      <c r="P412" t="n">
        <v>0</v>
      </c>
      <c r="Q412" t="n">
        <v>0</v>
      </c>
      <c r="R412" s="2" t="inlineStr"/>
    </row>
    <row r="413" ht="15" customHeight="1">
      <c r="A413" t="inlineStr">
        <is>
          <t>A 25582-2024</t>
        </is>
      </c>
      <c r="B413" s="1" t="n">
        <v>45463</v>
      </c>
      <c r="C413" s="1" t="n">
        <v>46194</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55436-2023</t>
        </is>
      </c>
      <c r="B414" s="1" t="n">
        <v>45238</v>
      </c>
      <c r="C414" s="1" t="n">
        <v>46194</v>
      </c>
      <c r="D414" t="inlineStr">
        <is>
          <t>KALMAR LÄN</t>
        </is>
      </c>
      <c r="E414" t="inlineStr">
        <is>
          <t>VIMMERBY</t>
        </is>
      </c>
      <c r="G414" t="n">
        <v>5.6</v>
      </c>
      <c r="H414" t="n">
        <v>0</v>
      </c>
      <c r="I414" t="n">
        <v>0</v>
      </c>
      <c r="J414" t="n">
        <v>0</v>
      </c>
      <c r="K414" t="n">
        <v>0</v>
      </c>
      <c r="L414" t="n">
        <v>0</v>
      </c>
      <c r="M414" t="n">
        <v>0</v>
      </c>
      <c r="N414" t="n">
        <v>0</v>
      </c>
      <c r="O414" t="n">
        <v>0</v>
      </c>
      <c r="P414" t="n">
        <v>0</v>
      </c>
      <c r="Q414" t="n">
        <v>0</v>
      </c>
      <c r="R414" s="2" t="inlineStr"/>
    </row>
    <row r="415" ht="15" customHeight="1">
      <c r="A415" t="inlineStr">
        <is>
          <t>A 57578-2024</t>
        </is>
      </c>
      <c r="B415" s="1" t="n">
        <v>45630</v>
      </c>
      <c r="C415" s="1" t="n">
        <v>46194</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47227-2025</t>
        </is>
      </c>
      <c r="B416" s="1" t="n">
        <v>45930</v>
      </c>
      <c r="C416" s="1" t="n">
        <v>46194</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21507-2023</t>
        </is>
      </c>
      <c r="B417" s="1" t="n">
        <v>45063</v>
      </c>
      <c r="C417" s="1" t="n">
        <v>46194</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51187-2023</t>
        </is>
      </c>
      <c r="B418" s="1" t="n">
        <v>45219</v>
      </c>
      <c r="C418" s="1" t="n">
        <v>46194</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45560-2021</t>
        </is>
      </c>
      <c r="B419" s="1" t="n">
        <v>44440</v>
      </c>
      <c r="C419" s="1" t="n">
        <v>46194</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16622-2025</t>
        </is>
      </c>
      <c r="B420" s="1" t="n">
        <v>45754</v>
      </c>
      <c r="C420" s="1" t="n">
        <v>46194</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31340-2023</t>
        </is>
      </c>
      <c r="B421" s="1" t="n">
        <v>45114</v>
      </c>
      <c r="C421" s="1" t="n">
        <v>46194</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29168-2024</t>
        </is>
      </c>
      <c r="B422" s="1" t="n">
        <v>45482</v>
      </c>
      <c r="C422" s="1" t="n">
        <v>46194</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29186-2024</t>
        </is>
      </c>
      <c r="B423" s="1" t="n">
        <v>45482</v>
      </c>
      <c r="C423" s="1" t="n">
        <v>46194</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35895-2024</t>
        </is>
      </c>
      <c r="B424" s="1" t="n">
        <v>45533</v>
      </c>
      <c r="C424" s="1" t="n">
        <v>46194</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12590-2025</t>
        </is>
      </c>
      <c r="B425" s="1" t="n">
        <v>45732</v>
      </c>
      <c r="C425" s="1" t="n">
        <v>46194</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26768-2026</t>
        </is>
      </c>
      <c r="B426" s="1" t="n">
        <v>46184</v>
      </c>
      <c r="C426" s="1" t="n">
        <v>46194</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30318-2023</t>
        </is>
      </c>
      <c r="B427" s="1" t="n">
        <v>45111</v>
      </c>
      <c r="C427" s="1" t="n">
        <v>46194</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11442-2025</t>
        </is>
      </c>
      <c r="B428" s="1" t="n">
        <v>45726</v>
      </c>
      <c r="C428" s="1" t="n">
        <v>46194</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43186-2021</t>
        </is>
      </c>
      <c r="B429" s="1" t="n">
        <v>44431</v>
      </c>
      <c r="C429" s="1" t="n">
        <v>46194</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60230-2022</t>
        </is>
      </c>
      <c r="B430" s="1" t="n">
        <v>44910</v>
      </c>
      <c r="C430" s="1" t="n">
        <v>46194</v>
      </c>
      <c r="D430" t="inlineStr">
        <is>
          <t>KALMAR LÄN</t>
        </is>
      </c>
      <c r="E430" t="inlineStr">
        <is>
          <t>VIMMERBY</t>
        </is>
      </c>
      <c r="G430" t="n">
        <v>11.3</v>
      </c>
      <c r="H430" t="n">
        <v>0</v>
      </c>
      <c r="I430" t="n">
        <v>0</v>
      </c>
      <c r="J430" t="n">
        <v>0</v>
      </c>
      <c r="K430" t="n">
        <v>0</v>
      </c>
      <c r="L430" t="n">
        <v>0</v>
      </c>
      <c r="M430" t="n">
        <v>0</v>
      </c>
      <c r="N430" t="n">
        <v>0</v>
      </c>
      <c r="O430" t="n">
        <v>0</v>
      </c>
      <c r="P430" t="n">
        <v>0</v>
      </c>
      <c r="Q430" t="n">
        <v>0</v>
      </c>
      <c r="R430" s="2" t="inlineStr"/>
    </row>
    <row r="431" ht="15" customHeight="1">
      <c r="A431" t="inlineStr">
        <is>
          <t>A 48408-2025</t>
        </is>
      </c>
      <c r="B431" s="1" t="n">
        <v>45934</v>
      </c>
      <c r="C431" s="1" t="n">
        <v>46194</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6307-2025</t>
        </is>
      </c>
      <c r="B432" s="1" t="n">
        <v>45698</v>
      </c>
      <c r="C432" s="1" t="n">
        <v>46194</v>
      </c>
      <c r="D432" t="inlineStr">
        <is>
          <t>KALMAR LÄN</t>
        </is>
      </c>
      <c r="E432" t="inlineStr">
        <is>
          <t>VIMMERBY</t>
        </is>
      </c>
      <c r="G432" t="n">
        <v>3</v>
      </c>
      <c r="H432" t="n">
        <v>0</v>
      </c>
      <c r="I432" t="n">
        <v>0</v>
      </c>
      <c r="J432" t="n">
        <v>0</v>
      </c>
      <c r="K432" t="n">
        <v>0</v>
      </c>
      <c r="L432" t="n">
        <v>0</v>
      </c>
      <c r="M432" t="n">
        <v>0</v>
      </c>
      <c r="N432" t="n">
        <v>0</v>
      </c>
      <c r="O432" t="n">
        <v>0</v>
      </c>
      <c r="P432" t="n">
        <v>0</v>
      </c>
      <c r="Q432" t="n">
        <v>0</v>
      </c>
      <c r="R432" s="2" t="inlineStr"/>
    </row>
    <row r="433" ht="15" customHeight="1">
      <c r="A433" t="inlineStr">
        <is>
          <t>A 5925-2022</t>
        </is>
      </c>
      <c r="B433" s="1" t="n">
        <v>44598</v>
      </c>
      <c r="C433" s="1" t="n">
        <v>46194</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845-2023</t>
        </is>
      </c>
      <c r="B434" s="1" t="n">
        <v>44931</v>
      </c>
      <c r="C434" s="1" t="n">
        <v>46194</v>
      </c>
      <c r="D434" t="inlineStr">
        <is>
          <t>KALMAR LÄN</t>
        </is>
      </c>
      <c r="E434" t="inlineStr">
        <is>
          <t>VIMMERBY</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16119-2023</t>
        </is>
      </c>
      <c r="B435" s="1" t="n">
        <v>45027</v>
      </c>
      <c r="C435" s="1" t="n">
        <v>46194</v>
      </c>
      <c r="D435" t="inlineStr">
        <is>
          <t>KALMAR LÄN</t>
        </is>
      </c>
      <c r="E435" t="inlineStr">
        <is>
          <t>VIMMERBY</t>
        </is>
      </c>
      <c r="F435" t="inlineStr">
        <is>
          <t>Kommuner</t>
        </is>
      </c>
      <c r="G435" t="n">
        <v>4.4</v>
      </c>
      <c r="H435" t="n">
        <v>0</v>
      </c>
      <c r="I435" t="n">
        <v>0</v>
      </c>
      <c r="J435" t="n">
        <v>0</v>
      </c>
      <c r="K435" t="n">
        <v>0</v>
      </c>
      <c r="L435" t="n">
        <v>0</v>
      </c>
      <c r="M435" t="n">
        <v>0</v>
      </c>
      <c r="N435" t="n">
        <v>0</v>
      </c>
      <c r="O435" t="n">
        <v>0</v>
      </c>
      <c r="P435" t="n">
        <v>0</v>
      </c>
      <c r="Q435" t="n">
        <v>0</v>
      </c>
      <c r="R435" s="2" t="inlineStr"/>
    </row>
    <row r="436" ht="15" customHeight="1">
      <c r="A436" t="inlineStr">
        <is>
          <t>A 30588-2023</t>
        </is>
      </c>
      <c r="B436" s="1" t="n">
        <v>45112</v>
      </c>
      <c r="C436" s="1" t="n">
        <v>46194</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45528-2021</t>
        </is>
      </c>
      <c r="B437" s="1" t="n">
        <v>44440</v>
      </c>
      <c r="C437" s="1" t="n">
        <v>46194</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16516-2023</t>
        </is>
      </c>
      <c r="B438" s="1" t="n">
        <v>45029</v>
      </c>
      <c r="C438" s="1" t="n">
        <v>46194</v>
      </c>
      <c r="D438" t="inlineStr">
        <is>
          <t>KALMAR LÄN</t>
        </is>
      </c>
      <c r="E438" t="inlineStr">
        <is>
          <t>VIMMERBY</t>
        </is>
      </c>
      <c r="G438" t="n">
        <v>4.3</v>
      </c>
      <c r="H438" t="n">
        <v>0</v>
      </c>
      <c r="I438" t="n">
        <v>0</v>
      </c>
      <c r="J438" t="n">
        <v>0</v>
      </c>
      <c r="K438" t="n">
        <v>0</v>
      </c>
      <c r="L438" t="n">
        <v>0</v>
      </c>
      <c r="M438" t="n">
        <v>0</v>
      </c>
      <c r="N438" t="n">
        <v>0</v>
      </c>
      <c r="O438" t="n">
        <v>0</v>
      </c>
      <c r="P438" t="n">
        <v>0</v>
      </c>
      <c r="Q438" t="n">
        <v>0</v>
      </c>
      <c r="R438" s="2" t="inlineStr"/>
    </row>
    <row r="439" ht="15" customHeight="1">
      <c r="A439" t="inlineStr">
        <is>
          <t>A 26722-2026</t>
        </is>
      </c>
      <c r="B439" s="1" t="n">
        <v>46184</v>
      </c>
      <c r="C439" s="1" t="n">
        <v>46194</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26734-2026</t>
        </is>
      </c>
      <c r="B440" s="1" t="n">
        <v>46184</v>
      </c>
      <c r="C440" s="1" t="n">
        <v>46194</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48373-2021</t>
        </is>
      </c>
      <c r="B441" s="1" t="n">
        <v>44451</v>
      </c>
      <c r="C441" s="1" t="n">
        <v>46194</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23984-2025</t>
        </is>
      </c>
      <c r="B442" s="1" t="n">
        <v>45796</v>
      </c>
      <c r="C442" s="1" t="n">
        <v>46194</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7485-2024</t>
        </is>
      </c>
      <c r="B443" s="1" t="n">
        <v>45346</v>
      </c>
      <c r="C443" s="1" t="n">
        <v>46194</v>
      </c>
      <c r="D443" t="inlineStr">
        <is>
          <t>KALMAR LÄN</t>
        </is>
      </c>
      <c r="E443" t="inlineStr">
        <is>
          <t>VIMMERBY</t>
        </is>
      </c>
      <c r="G443" t="n">
        <v>1.9</v>
      </c>
      <c r="H443" t="n">
        <v>0</v>
      </c>
      <c r="I443" t="n">
        <v>0</v>
      </c>
      <c r="J443" t="n">
        <v>0</v>
      </c>
      <c r="K443" t="n">
        <v>0</v>
      </c>
      <c r="L443" t="n">
        <v>0</v>
      </c>
      <c r="M443" t="n">
        <v>0</v>
      </c>
      <c r="N443" t="n">
        <v>0</v>
      </c>
      <c r="O443" t="n">
        <v>0</v>
      </c>
      <c r="P443" t="n">
        <v>0</v>
      </c>
      <c r="Q443" t="n">
        <v>0</v>
      </c>
      <c r="R443" s="2" t="inlineStr"/>
    </row>
    <row r="444" ht="15" customHeight="1">
      <c r="A444" t="inlineStr">
        <is>
          <t>A 6574-2023</t>
        </is>
      </c>
      <c r="B444" s="1" t="n">
        <v>44966</v>
      </c>
      <c r="C444" s="1" t="n">
        <v>46194</v>
      </c>
      <c r="D444" t="inlineStr">
        <is>
          <t>KALMAR LÄN</t>
        </is>
      </c>
      <c r="E444" t="inlineStr">
        <is>
          <t>VIMMERBY</t>
        </is>
      </c>
      <c r="G444" t="n">
        <v>2.5</v>
      </c>
      <c r="H444" t="n">
        <v>0</v>
      </c>
      <c r="I444" t="n">
        <v>0</v>
      </c>
      <c r="J444" t="n">
        <v>0</v>
      </c>
      <c r="K444" t="n">
        <v>0</v>
      </c>
      <c r="L444" t="n">
        <v>0</v>
      </c>
      <c r="M444" t="n">
        <v>0</v>
      </c>
      <c r="N444" t="n">
        <v>0</v>
      </c>
      <c r="O444" t="n">
        <v>0</v>
      </c>
      <c r="P444" t="n">
        <v>0</v>
      </c>
      <c r="Q444" t="n">
        <v>0</v>
      </c>
      <c r="R444" s="2" t="inlineStr"/>
    </row>
    <row r="445" ht="15" customHeight="1">
      <c r="A445" t="inlineStr">
        <is>
          <t>A 58750-2022</t>
        </is>
      </c>
      <c r="B445" s="1" t="n">
        <v>44903</v>
      </c>
      <c r="C445" s="1" t="n">
        <v>46194</v>
      </c>
      <c r="D445" t="inlineStr">
        <is>
          <t>KALMAR LÄN</t>
        </is>
      </c>
      <c r="E445" t="inlineStr">
        <is>
          <t>VIMMERBY</t>
        </is>
      </c>
      <c r="G445" t="n">
        <v>3.3</v>
      </c>
      <c r="H445" t="n">
        <v>0</v>
      </c>
      <c r="I445" t="n">
        <v>0</v>
      </c>
      <c r="J445" t="n">
        <v>0</v>
      </c>
      <c r="K445" t="n">
        <v>0</v>
      </c>
      <c r="L445" t="n">
        <v>0</v>
      </c>
      <c r="M445" t="n">
        <v>0</v>
      </c>
      <c r="N445" t="n">
        <v>0</v>
      </c>
      <c r="O445" t="n">
        <v>0</v>
      </c>
      <c r="P445" t="n">
        <v>0</v>
      </c>
      <c r="Q445" t="n">
        <v>0</v>
      </c>
      <c r="R445" s="2" t="inlineStr"/>
    </row>
    <row r="446" ht="15" customHeight="1">
      <c r="A446" t="inlineStr">
        <is>
          <t>A 51062-2025</t>
        </is>
      </c>
      <c r="B446" s="1" t="n">
        <v>45947</v>
      </c>
      <c r="C446" s="1" t="n">
        <v>46194</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26462-2026</t>
        </is>
      </c>
      <c r="B447" s="1" t="n">
        <v>46183</v>
      </c>
      <c r="C447" s="1" t="n">
        <v>46194</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51278-2024</t>
        </is>
      </c>
      <c r="B448" s="1" t="n">
        <v>45603</v>
      </c>
      <c r="C448" s="1" t="n">
        <v>46194</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2260-2022</t>
        </is>
      </c>
      <c r="B449" s="1" t="n">
        <v>44578</v>
      </c>
      <c r="C449" s="1" t="n">
        <v>46194</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35082-2024</t>
        </is>
      </c>
      <c r="B450" s="1" t="n">
        <v>45527</v>
      </c>
      <c r="C450" s="1" t="n">
        <v>46194</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44582-2024</t>
        </is>
      </c>
      <c r="B451" s="1" t="n">
        <v>45574</v>
      </c>
      <c r="C451" s="1" t="n">
        <v>46194</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9456-2025</t>
        </is>
      </c>
      <c r="B452" s="1" t="n">
        <v>45715</v>
      </c>
      <c r="C452" s="1" t="n">
        <v>46194</v>
      </c>
      <c r="D452" t="inlineStr">
        <is>
          <t>KALMAR LÄN</t>
        </is>
      </c>
      <c r="E452" t="inlineStr">
        <is>
          <t>VIMMERBY</t>
        </is>
      </c>
      <c r="G452" t="n">
        <v>1.5</v>
      </c>
      <c r="H452" t="n">
        <v>0</v>
      </c>
      <c r="I452" t="n">
        <v>0</v>
      </c>
      <c r="J452" t="n">
        <v>0</v>
      </c>
      <c r="K452" t="n">
        <v>0</v>
      </c>
      <c r="L452" t="n">
        <v>0</v>
      </c>
      <c r="M452" t="n">
        <v>0</v>
      </c>
      <c r="N452" t="n">
        <v>0</v>
      </c>
      <c r="O452" t="n">
        <v>0</v>
      </c>
      <c r="P452" t="n">
        <v>0</v>
      </c>
      <c r="Q452" t="n">
        <v>0</v>
      </c>
      <c r="R452" s="2" t="inlineStr"/>
    </row>
    <row r="453" ht="15" customHeight="1">
      <c r="A453" t="inlineStr">
        <is>
          <t>A 50860-2022</t>
        </is>
      </c>
      <c r="B453" s="1" t="n">
        <v>44867</v>
      </c>
      <c r="C453" s="1" t="n">
        <v>46194</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53483-2022</t>
        </is>
      </c>
      <c r="B454" s="1" t="n">
        <v>44879</v>
      </c>
      <c r="C454" s="1" t="n">
        <v>46194</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11111-2023</t>
        </is>
      </c>
      <c r="B455" s="1" t="n">
        <v>44992</v>
      </c>
      <c r="C455" s="1" t="n">
        <v>46194</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58962-2022</t>
        </is>
      </c>
      <c r="B456" s="1" t="n">
        <v>44903</v>
      </c>
      <c r="C456" s="1" t="n">
        <v>46194</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58967-2022</t>
        </is>
      </c>
      <c r="B457" s="1" t="n">
        <v>44896</v>
      </c>
      <c r="C457" s="1" t="n">
        <v>46194</v>
      </c>
      <c r="D457" t="inlineStr">
        <is>
          <t>KALMAR LÄN</t>
        </is>
      </c>
      <c r="E457" t="inlineStr">
        <is>
          <t>VIMMERBY</t>
        </is>
      </c>
      <c r="G457" t="n">
        <v>5</v>
      </c>
      <c r="H457" t="n">
        <v>0</v>
      </c>
      <c r="I457" t="n">
        <v>0</v>
      </c>
      <c r="J457" t="n">
        <v>0</v>
      </c>
      <c r="K457" t="n">
        <v>0</v>
      </c>
      <c r="L457" t="n">
        <v>0</v>
      </c>
      <c r="M457" t="n">
        <v>0</v>
      </c>
      <c r="N457" t="n">
        <v>0</v>
      </c>
      <c r="O457" t="n">
        <v>0</v>
      </c>
      <c r="P457" t="n">
        <v>0</v>
      </c>
      <c r="Q457" t="n">
        <v>0</v>
      </c>
      <c r="R457" s="2" t="inlineStr"/>
    </row>
    <row r="458" ht="15" customHeight="1">
      <c r="A458" t="inlineStr">
        <is>
          <t>A 57682-2022</t>
        </is>
      </c>
      <c r="B458" s="1" t="n">
        <v>44890</v>
      </c>
      <c r="C458" s="1" t="n">
        <v>46194</v>
      </c>
      <c r="D458" t="inlineStr">
        <is>
          <t>KALMAR LÄN</t>
        </is>
      </c>
      <c r="E458" t="inlineStr">
        <is>
          <t>VIMMERBY</t>
        </is>
      </c>
      <c r="G458" t="n">
        <v>1.5</v>
      </c>
      <c r="H458" t="n">
        <v>0</v>
      </c>
      <c r="I458" t="n">
        <v>0</v>
      </c>
      <c r="J458" t="n">
        <v>0</v>
      </c>
      <c r="K458" t="n">
        <v>0</v>
      </c>
      <c r="L458" t="n">
        <v>0</v>
      </c>
      <c r="M458" t="n">
        <v>0</v>
      </c>
      <c r="N458" t="n">
        <v>0</v>
      </c>
      <c r="O458" t="n">
        <v>0</v>
      </c>
      <c r="P458" t="n">
        <v>0</v>
      </c>
      <c r="Q458" t="n">
        <v>0</v>
      </c>
      <c r="R458" s="2" t="inlineStr"/>
    </row>
    <row r="459" ht="15" customHeight="1">
      <c r="A459" t="inlineStr">
        <is>
          <t>A 58724-2024</t>
        </is>
      </c>
      <c r="B459" s="1" t="n">
        <v>45635</v>
      </c>
      <c r="C459" s="1" t="n">
        <v>46194</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15494-2024</t>
        </is>
      </c>
      <c r="B460" s="1" t="n">
        <v>45401</v>
      </c>
      <c r="C460" s="1" t="n">
        <v>46194</v>
      </c>
      <c r="D460" t="inlineStr">
        <is>
          <t>KALMAR LÄN</t>
        </is>
      </c>
      <c r="E460" t="inlineStr">
        <is>
          <t>VIMMERBY</t>
        </is>
      </c>
      <c r="G460" t="n">
        <v>3.2</v>
      </c>
      <c r="H460" t="n">
        <v>0</v>
      </c>
      <c r="I460" t="n">
        <v>0</v>
      </c>
      <c r="J460" t="n">
        <v>0</v>
      </c>
      <c r="K460" t="n">
        <v>0</v>
      </c>
      <c r="L460" t="n">
        <v>0</v>
      </c>
      <c r="M460" t="n">
        <v>0</v>
      </c>
      <c r="N460" t="n">
        <v>0</v>
      </c>
      <c r="O460" t="n">
        <v>0</v>
      </c>
      <c r="P460" t="n">
        <v>0</v>
      </c>
      <c r="Q460" t="n">
        <v>0</v>
      </c>
      <c r="R460" s="2" t="inlineStr"/>
    </row>
    <row r="461" ht="15" customHeight="1">
      <c r="A461" t="inlineStr">
        <is>
          <t>A 4076-2022</t>
        </is>
      </c>
      <c r="B461" s="1" t="n">
        <v>44588</v>
      </c>
      <c r="C461" s="1" t="n">
        <v>46194</v>
      </c>
      <c r="D461" t="inlineStr">
        <is>
          <t>KALMAR LÄN</t>
        </is>
      </c>
      <c r="E461" t="inlineStr">
        <is>
          <t>VIMMERBY</t>
        </is>
      </c>
      <c r="G461" t="n">
        <v>3</v>
      </c>
      <c r="H461" t="n">
        <v>0</v>
      </c>
      <c r="I461" t="n">
        <v>0</v>
      </c>
      <c r="J461" t="n">
        <v>0</v>
      </c>
      <c r="K461" t="n">
        <v>0</v>
      </c>
      <c r="L461" t="n">
        <v>0</v>
      </c>
      <c r="M461" t="n">
        <v>0</v>
      </c>
      <c r="N461" t="n">
        <v>0</v>
      </c>
      <c r="O461" t="n">
        <v>0</v>
      </c>
      <c r="P461" t="n">
        <v>0</v>
      </c>
      <c r="Q461" t="n">
        <v>0</v>
      </c>
      <c r="R461" s="2" t="inlineStr"/>
    </row>
    <row r="462" ht="15" customHeight="1">
      <c r="A462" t="inlineStr">
        <is>
          <t>A 4122-2022</t>
        </is>
      </c>
      <c r="B462" s="1" t="n">
        <v>44588</v>
      </c>
      <c r="C462" s="1" t="n">
        <v>46194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51990-2025</t>
        </is>
      </c>
      <c r="B463" s="1" t="n">
        <v>45952</v>
      </c>
      <c r="C463" s="1" t="n">
        <v>46194</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26762-2026</t>
        </is>
      </c>
      <c r="B464" s="1" t="n">
        <v>46184</v>
      </c>
      <c r="C464" s="1" t="n">
        <v>46194</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26046-2025</t>
        </is>
      </c>
      <c r="B465" s="1" t="n">
        <v>45804</v>
      </c>
      <c r="C465" s="1" t="n">
        <v>46194</v>
      </c>
      <c r="D465" t="inlineStr">
        <is>
          <t>KALMAR LÄN</t>
        </is>
      </c>
      <c r="E465" t="inlineStr">
        <is>
          <t>VIMMERBY</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25792-2025</t>
        </is>
      </c>
      <c r="B466" s="1" t="n">
        <v>45804</v>
      </c>
      <c r="C466" s="1" t="n">
        <v>46194</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52466-2025</t>
        </is>
      </c>
      <c r="B467" s="1" t="n">
        <v>45954</v>
      </c>
      <c r="C467" s="1" t="n">
        <v>46194</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26704-2026</t>
        </is>
      </c>
      <c r="B468" s="1" t="n">
        <v>46184</v>
      </c>
      <c r="C468" s="1" t="n">
        <v>46194</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9624-2024</t>
        </is>
      </c>
      <c r="B469" s="1" t="n">
        <v>45361</v>
      </c>
      <c r="C469" s="1" t="n">
        <v>46194</v>
      </c>
      <c r="D469" t="inlineStr">
        <is>
          <t>KALMAR LÄN</t>
        </is>
      </c>
      <c r="E469" t="inlineStr">
        <is>
          <t>VIMMERBY</t>
        </is>
      </c>
      <c r="G469" t="n">
        <v>3.8</v>
      </c>
      <c r="H469" t="n">
        <v>0</v>
      </c>
      <c r="I469" t="n">
        <v>0</v>
      </c>
      <c r="J469" t="n">
        <v>0</v>
      </c>
      <c r="K469" t="n">
        <v>0</v>
      </c>
      <c r="L469" t="n">
        <v>0</v>
      </c>
      <c r="M469" t="n">
        <v>0</v>
      </c>
      <c r="N469" t="n">
        <v>0</v>
      </c>
      <c r="O469" t="n">
        <v>0</v>
      </c>
      <c r="P469" t="n">
        <v>0</v>
      </c>
      <c r="Q469" t="n">
        <v>0</v>
      </c>
      <c r="R469" s="2" t="inlineStr"/>
    </row>
    <row r="470" ht="15" customHeight="1">
      <c r="A470" t="inlineStr">
        <is>
          <t>A 52327-2023</t>
        </is>
      </c>
      <c r="B470" s="1" t="n">
        <v>45224</v>
      </c>
      <c r="C470" s="1" t="n">
        <v>46194</v>
      </c>
      <c r="D470" t="inlineStr">
        <is>
          <t>KALMAR LÄN</t>
        </is>
      </c>
      <c r="E470" t="inlineStr">
        <is>
          <t>VIMMERBY</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29616-2022</t>
        </is>
      </c>
      <c r="B471" s="1" t="n">
        <v>44754</v>
      </c>
      <c r="C471" s="1" t="n">
        <v>46194</v>
      </c>
      <c r="D471" t="inlineStr">
        <is>
          <t>KALMAR LÄN</t>
        </is>
      </c>
      <c r="E471" t="inlineStr">
        <is>
          <t>VIMMERBY</t>
        </is>
      </c>
      <c r="G471" t="n">
        <v>1.1</v>
      </c>
      <c r="H471" t="n">
        <v>0</v>
      </c>
      <c r="I471" t="n">
        <v>0</v>
      </c>
      <c r="J471" t="n">
        <v>0</v>
      </c>
      <c r="K471" t="n">
        <v>0</v>
      </c>
      <c r="L471" t="n">
        <v>0</v>
      </c>
      <c r="M471" t="n">
        <v>0</v>
      </c>
      <c r="N471" t="n">
        <v>0</v>
      </c>
      <c r="O471" t="n">
        <v>0</v>
      </c>
      <c r="P471" t="n">
        <v>0</v>
      </c>
      <c r="Q471" t="n">
        <v>0</v>
      </c>
      <c r="R471" s="2" t="inlineStr"/>
    </row>
    <row r="472" ht="15" customHeight="1">
      <c r="A472" t="inlineStr">
        <is>
          <t>A 26207-2025</t>
        </is>
      </c>
      <c r="B472" s="1" t="n">
        <v>45805</v>
      </c>
      <c r="C472" s="1" t="n">
        <v>46194</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28403-2023</t>
        </is>
      </c>
      <c r="B473" s="1" t="n">
        <v>45100</v>
      </c>
      <c r="C473" s="1" t="n">
        <v>46194</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66022-2021</t>
        </is>
      </c>
      <c r="B474" s="1" t="n">
        <v>44517</v>
      </c>
      <c r="C474" s="1" t="n">
        <v>46194</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30070-2023</t>
        </is>
      </c>
      <c r="B475" s="1" t="n">
        <v>45110</v>
      </c>
      <c r="C475" s="1" t="n">
        <v>46194</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52475-2025</t>
        </is>
      </c>
      <c r="B476" s="1" t="n">
        <v>45954</v>
      </c>
      <c r="C476" s="1" t="n">
        <v>46194</v>
      </c>
      <c r="D476" t="inlineStr">
        <is>
          <t>KALMAR LÄN</t>
        </is>
      </c>
      <c r="E476" t="inlineStr">
        <is>
          <t>VIMMERBY</t>
        </is>
      </c>
      <c r="G476" t="n">
        <v>1.5</v>
      </c>
      <c r="H476" t="n">
        <v>0</v>
      </c>
      <c r="I476" t="n">
        <v>0</v>
      </c>
      <c r="J476" t="n">
        <v>0</v>
      </c>
      <c r="K476" t="n">
        <v>0</v>
      </c>
      <c r="L476" t="n">
        <v>0</v>
      </c>
      <c r="M476" t="n">
        <v>0</v>
      </c>
      <c r="N476" t="n">
        <v>0</v>
      </c>
      <c r="O476" t="n">
        <v>0</v>
      </c>
      <c r="P476" t="n">
        <v>0</v>
      </c>
      <c r="Q476" t="n">
        <v>0</v>
      </c>
      <c r="R476" s="2" t="inlineStr"/>
    </row>
    <row r="477" ht="15" customHeight="1">
      <c r="A477" t="inlineStr">
        <is>
          <t>A 53398-2025</t>
        </is>
      </c>
      <c r="B477" s="1" t="n">
        <v>45959</v>
      </c>
      <c r="C477" s="1" t="n">
        <v>46194</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53397-2025</t>
        </is>
      </c>
      <c r="B478" s="1" t="n">
        <v>45959</v>
      </c>
      <c r="C478" s="1" t="n">
        <v>46194</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46078-2023</t>
        </is>
      </c>
      <c r="B479" s="1" t="n">
        <v>45196</v>
      </c>
      <c r="C479" s="1" t="n">
        <v>46194</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7643-2022</t>
        </is>
      </c>
      <c r="B480" s="1" t="n">
        <v>44607</v>
      </c>
      <c r="C480" s="1" t="n">
        <v>46194</v>
      </c>
      <c r="D480" t="inlineStr">
        <is>
          <t>KALMAR LÄN</t>
        </is>
      </c>
      <c r="E480" t="inlineStr">
        <is>
          <t>VIMMERBY</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3494-2023</t>
        </is>
      </c>
      <c r="B481" s="1" t="n">
        <v>44949</v>
      </c>
      <c r="C481" s="1" t="n">
        <v>46194</v>
      </c>
      <c r="D481" t="inlineStr">
        <is>
          <t>KALMAR LÄN</t>
        </is>
      </c>
      <c r="E481" t="inlineStr">
        <is>
          <t>VIMMERBY</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32633-2023</t>
        </is>
      </c>
      <c r="B482" s="1" t="n">
        <v>45121</v>
      </c>
      <c r="C482" s="1" t="n">
        <v>46194</v>
      </c>
      <c r="D482" t="inlineStr">
        <is>
          <t>KALMAR LÄN</t>
        </is>
      </c>
      <c r="E482" t="inlineStr">
        <is>
          <t>VIMMERBY</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53396-2025</t>
        </is>
      </c>
      <c r="B483" s="1" t="n">
        <v>45959</v>
      </c>
      <c r="C483" s="1" t="n">
        <v>46194</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43601-2024</t>
        </is>
      </c>
      <c r="B484" s="1" t="n">
        <v>45569</v>
      </c>
      <c r="C484" s="1" t="n">
        <v>46194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53933-2025</t>
        </is>
      </c>
      <c r="B485" s="1" t="n">
        <v>45961</v>
      </c>
      <c r="C485" s="1" t="n">
        <v>46194</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v>
      </c>
      <c r="C486" s="1" t="n">
        <v>46194</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v>
      </c>
      <c r="C487" s="1" t="n">
        <v>46194</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54234-2025</t>
        </is>
      </c>
      <c r="B488" s="1" t="n">
        <v>45964</v>
      </c>
      <c r="C488" s="1" t="n">
        <v>46194</v>
      </c>
      <c r="D488" t="inlineStr">
        <is>
          <t>KALMAR LÄN</t>
        </is>
      </c>
      <c r="E488" t="inlineStr">
        <is>
          <t>VIMMERBY</t>
        </is>
      </c>
      <c r="G488" t="n">
        <v>4.1</v>
      </c>
      <c r="H488" t="n">
        <v>0</v>
      </c>
      <c r="I488" t="n">
        <v>0</v>
      </c>
      <c r="J488" t="n">
        <v>0</v>
      </c>
      <c r="K488" t="n">
        <v>0</v>
      </c>
      <c r="L488" t="n">
        <v>0</v>
      </c>
      <c r="M488" t="n">
        <v>0</v>
      </c>
      <c r="N488" t="n">
        <v>0</v>
      </c>
      <c r="O488" t="n">
        <v>0</v>
      </c>
      <c r="P488" t="n">
        <v>0</v>
      </c>
      <c r="Q488" t="n">
        <v>0</v>
      </c>
      <c r="R488" s="2" t="inlineStr"/>
    </row>
    <row r="489" ht="15" customHeight="1">
      <c r="A489" t="inlineStr">
        <is>
          <t>A 13813-2024</t>
        </is>
      </c>
      <c r="B489" s="1" t="n">
        <v>45391</v>
      </c>
      <c r="C489" s="1" t="n">
        <v>46194</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25234-2023</t>
        </is>
      </c>
      <c r="B490" s="1" t="n">
        <v>45086</v>
      </c>
      <c r="C490" s="1" t="n">
        <v>46194</v>
      </c>
      <c r="D490" t="inlineStr">
        <is>
          <t>KALMAR LÄN</t>
        </is>
      </c>
      <c r="E490" t="inlineStr">
        <is>
          <t>VIMMERBY</t>
        </is>
      </c>
      <c r="G490" t="n">
        <v>2.1</v>
      </c>
      <c r="H490" t="n">
        <v>0</v>
      </c>
      <c r="I490" t="n">
        <v>0</v>
      </c>
      <c r="J490" t="n">
        <v>0</v>
      </c>
      <c r="K490" t="n">
        <v>0</v>
      </c>
      <c r="L490" t="n">
        <v>0</v>
      </c>
      <c r="M490" t="n">
        <v>0</v>
      </c>
      <c r="N490" t="n">
        <v>0</v>
      </c>
      <c r="O490" t="n">
        <v>0</v>
      </c>
      <c r="P490" t="n">
        <v>0</v>
      </c>
      <c r="Q490" t="n">
        <v>0</v>
      </c>
      <c r="R490" s="2" t="inlineStr"/>
    </row>
    <row r="491" ht="15" customHeight="1">
      <c r="A491" t="inlineStr">
        <is>
          <t>A 25236-2023</t>
        </is>
      </c>
      <c r="B491" s="1" t="n">
        <v>45086</v>
      </c>
      <c r="C491" s="1" t="n">
        <v>46194</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25244-2023</t>
        </is>
      </c>
      <c r="B492" s="1" t="n">
        <v>45086</v>
      </c>
      <c r="C492" s="1" t="n">
        <v>46194</v>
      </c>
      <c r="D492" t="inlineStr">
        <is>
          <t>KALMAR LÄN</t>
        </is>
      </c>
      <c r="E492" t="inlineStr">
        <is>
          <t>VIMMERBY</t>
        </is>
      </c>
      <c r="G492" t="n">
        <v>4.7</v>
      </c>
      <c r="H492" t="n">
        <v>0</v>
      </c>
      <c r="I492" t="n">
        <v>0</v>
      </c>
      <c r="J492" t="n">
        <v>0</v>
      </c>
      <c r="K492" t="n">
        <v>0</v>
      </c>
      <c r="L492" t="n">
        <v>0</v>
      </c>
      <c r="M492" t="n">
        <v>0</v>
      </c>
      <c r="N492" t="n">
        <v>0</v>
      </c>
      <c r="O492" t="n">
        <v>0</v>
      </c>
      <c r="P492" t="n">
        <v>0</v>
      </c>
      <c r="Q492" t="n">
        <v>0</v>
      </c>
      <c r="R492" s="2" t="inlineStr"/>
    </row>
    <row r="493" ht="15" customHeight="1">
      <c r="A493" t="inlineStr">
        <is>
          <t>A 23341-2022</t>
        </is>
      </c>
      <c r="B493" s="1" t="n">
        <v>44720</v>
      </c>
      <c r="C493" s="1" t="n">
        <v>46194</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28290-2025</t>
        </is>
      </c>
      <c r="B494" s="1" t="n">
        <v>45818</v>
      </c>
      <c r="C494" s="1" t="n">
        <v>46194</v>
      </c>
      <c r="D494" t="inlineStr">
        <is>
          <t>KALMAR LÄN</t>
        </is>
      </c>
      <c r="E494" t="inlineStr">
        <is>
          <t>VIMMERBY</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71793-2021</t>
        </is>
      </c>
      <c r="B495" s="1" t="n">
        <v>44539</v>
      </c>
      <c r="C495" s="1" t="n">
        <v>46194</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73938-2021</t>
        </is>
      </c>
      <c r="B496" s="1" t="n">
        <v>44553</v>
      </c>
      <c r="C496" s="1" t="n">
        <v>46194</v>
      </c>
      <c r="D496" t="inlineStr">
        <is>
          <t>KALMAR LÄN</t>
        </is>
      </c>
      <c r="E496" t="inlineStr">
        <is>
          <t>VIMMERBY</t>
        </is>
      </c>
      <c r="G496" t="n">
        <v>3.2</v>
      </c>
      <c r="H496" t="n">
        <v>0</v>
      </c>
      <c r="I496" t="n">
        <v>0</v>
      </c>
      <c r="J496" t="n">
        <v>0</v>
      </c>
      <c r="K496" t="n">
        <v>0</v>
      </c>
      <c r="L496" t="n">
        <v>0</v>
      </c>
      <c r="M496" t="n">
        <v>0</v>
      </c>
      <c r="N496" t="n">
        <v>0</v>
      </c>
      <c r="O496" t="n">
        <v>0</v>
      </c>
      <c r="P496" t="n">
        <v>0</v>
      </c>
      <c r="Q496" t="n">
        <v>0</v>
      </c>
      <c r="R496" s="2" t="inlineStr"/>
    </row>
    <row r="497" ht="15" customHeight="1">
      <c r="A497" t="inlineStr">
        <is>
          <t>A 6069-2023</t>
        </is>
      </c>
      <c r="B497" s="1" t="n">
        <v>44964</v>
      </c>
      <c r="C497" s="1" t="n">
        <v>46194</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28294-2025</t>
        </is>
      </c>
      <c r="B498" s="1" t="n">
        <v>45818</v>
      </c>
      <c r="C498" s="1" t="n">
        <v>46194</v>
      </c>
      <c r="D498" t="inlineStr">
        <is>
          <t>KALMAR LÄN</t>
        </is>
      </c>
      <c r="E498" t="inlineStr">
        <is>
          <t>VIMMERBY</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50995-2022</t>
        </is>
      </c>
      <c r="B499" s="1" t="n">
        <v>44867</v>
      </c>
      <c r="C499" s="1" t="n">
        <v>46194</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28713-2025</t>
        </is>
      </c>
      <c r="B500" s="1" t="n">
        <v>45820</v>
      </c>
      <c r="C500" s="1" t="n">
        <v>46194</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55385-2025</t>
        </is>
      </c>
      <c r="B501" s="1" t="n">
        <v>45971</v>
      </c>
      <c r="C501" s="1" t="n">
        <v>46194</v>
      </c>
      <c r="D501" t="inlineStr">
        <is>
          <t>KALMAR LÄN</t>
        </is>
      </c>
      <c r="E501" t="inlineStr">
        <is>
          <t>VIMMERBY</t>
        </is>
      </c>
      <c r="G501" t="n">
        <v>5</v>
      </c>
      <c r="H501" t="n">
        <v>0</v>
      </c>
      <c r="I501" t="n">
        <v>0</v>
      </c>
      <c r="J501" t="n">
        <v>0</v>
      </c>
      <c r="K501" t="n">
        <v>0</v>
      </c>
      <c r="L501" t="n">
        <v>0</v>
      </c>
      <c r="M501" t="n">
        <v>0</v>
      </c>
      <c r="N501" t="n">
        <v>0</v>
      </c>
      <c r="O501" t="n">
        <v>0</v>
      </c>
      <c r="P501" t="n">
        <v>0</v>
      </c>
      <c r="Q501" t="n">
        <v>0</v>
      </c>
      <c r="R501" s="2" t="inlineStr"/>
    </row>
    <row r="502" ht="15" customHeight="1">
      <c r="A502" t="inlineStr">
        <is>
          <t>A 27074-2026</t>
        </is>
      </c>
      <c r="B502" s="1" t="n">
        <v>46186</v>
      </c>
      <c r="C502" s="1" t="n">
        <v>46194</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27122-2023</t>
        </is>
      </c>
      <c r="B503" s="1" t="n">
        <v>45096</v>
      </c>
      <c r="C503" s="1" t="n">
        <v>46194</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30402-2023</t>
        </is>
      </c>
      <c r="B504" s="1" t="n">
        <v>45111</v>
      </c>
      <c r="C504" s="1" t="n">
        <v>46194</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55603-2025</t>
        </is>
      </c>
      <c r="B505" s="1" t="n">
        <v>45971</v>
      </c>
      <c r="C505" s="1" t="n">
        <v>46194</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29737-2025</t>
        </is>
      </c>
      <c r="B506" s="1" t="n">
        <v>45825</v>
      </c>
      <c r="C506" s="1" t="n">
        <v>46194</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v>
      </c>
      <c r="C507" s="1" t="n">
        <v>46194</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v>
      </c>
      <c r="C508" s="1" t="n">
        <v>46194</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30293-2025</t>
        </is>
      </c>
      <c r="B509" s="1" t="n">
        <v>45827</v>
      </c>
      <c r="C509" s="1" t="n">
        <v>46194</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46224-2024</t>
        </is>
      </c>
      <c r="B510" s="1" t="n">
        <v>45581</v>
      </c>
      <c r="C510" s="1" t="n">
        <v>46194</v>
      </c>
      <c r="D510" t="inlineStr">
        <is>
          <t>KALMAR LÄN</t>
        </is>
      </c>
      <c r="E510" t="inlineStr">
        <is>
          <t>VIMMERBY</t>
        </is>
      </c>
      <c r="G510" t="n">
        <v>3.1</v>
      </c>
      <c r="H510" t="n">
        <v>0</v>
      </c>
      <c r="I510" t="n">
        <v>0</v>
      </c>
      <c r="J510" t="n">
        <v>0</v>
      </c>
      <c r="K510" t="n">
        <v>0</v>
      </c>
      <c r="L510" t="n">
        <v>0</v>
      </c>
      <c r="M510" t="n">
        <v>0</v>
      </c>
      <c r="N510" t="n">
        <v>0</v>
      </c>
      <c r="O510" t="n">
        <v>0</v>
      </c>
      <c r="P510" t="n">
        <v>0</v>
      </c>
      <c r="Q510" t="n">
        <v>0</v>
      </c>
      <c r="R510" s="2" t="inlineStr"/>
    </row>
    <row r="511" ht="15" customHeight="1">
      <c r="A511" t="inlineStr">
        <is>
          <t>A 29013-2024</t>
        </is>
      </c>
      <c r="B511" s="1" t="n">
        <v>45481</v>
      </c>
      <c r="C511" s="1" t="n">
        <v>46194</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37028-2024</t>
        </is>
      </c>
      <c r="B512" s="1" t="n">
        <v>45539</v>
      </c>
      <c r="C512" s="1" t="n">
        <v>46194</v>
      </c>
      <c r="D512" t="inlineStr">
        <is>
          <t>KALMAR LÄN</t>
        </is>
      </c>
      <c r="E512" t="inlineStr">
        <is>
          <t>VIMMERBY</t>
        </is>
      </c>
      <c r="G512" t="n">
        <v>5.2</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v>
      </c>
      <c r="C513" s="1" t="n">
        <v>46194</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30882-2025</t>
        </is>
      </c>
      <c r="B514" s="1" t="n">
        <v>45832</v>
      </c>
      <c r="C514" s="1" t="n">
        <v>46194</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30971-2025</t>
        </is>
      </c>
      <c r="B515" s="1" t="n">
        <v>45832</v>
      </c>
      <c r="C515" s="1" t="n">
        <v>46194</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12630-2023</t>
        </is>
      </c>
      <c r="B516" s="1" t="n">
        <v>45000</v>
      </c>
      <c r="C516" s="1" t="n">
        <v>46194</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8559-2025</t>
        </is>
      </c>
      <c r="B517" s="1" t="n">
        <v>45709</v>
      </c>
      <c r="C517" s="1" t="n">
        <v>46194</v>
      </c>
      <c r="D517" t="inlineStr">
        <is>
          <t>KALMAR LÄN</t>
        </is>
      </c>
      <c r="E517" t="inlineStr">
        <is>
          <t>VIMMERBY</t>
        </is>
      </c>
      <c r="G517" t="n">
        <v>8.9</v>
      </c>
      <c r="H517" t="n">
        <v>0</v>
      </c>
      <c r="I517" t="n">
        <v>0</v>
      </c>
      <c r="J517" t="n">
        <v>0</v>
      </c>
      <c r="K517" t="n">
        <v>0</v>
      </c>
      <c r="L517" t="n">
        <v>0</v>
      </c>
      <c r="M517" t="n">
        <v>0</v>
      </c>
      <c r="N517" t="n">
        <v>0</v>
      </c>
      <c r="O517" t="n">
        <v>0</v>
      </c>
      <c r="P517" t="n">
        <v>0</v>
      </c>
      <c r="Q517" t="n">
        <v>0</v>
      </c>
      <c r="R517" s="2" t="inlineStr"/>
    </row>
    <row r="518" ht="15" customHeight="1">
      <c r="A518" t="inlineStr">
        <is>
          <t>A 39584-2024</t>
        </is>
      </c>
      <c r="B518" s="1" t="n">
        <v>45552</v>
      </c>
      <c r="C518" s="1" t="n">
        <v>46194</v>
      </c>
      <c r="D518" t="inlineStr">
        <is>
          <t>KALMAR LÄN</t>
        </is>
      </c>
      <c r="E518" t="inlineStr">
        <is>
          <t>VIMMERBY</t>
        </is>
      </c>
      <c r="G518" t="n">
        <v>1.9</v>
      </c>
      <c r="H518" t="n">
        <v>0</v>
      </c>
      <c r="I518" t="n">
        <v>0</v>
      </c>
      <c r="J518" t="n">
        <v>0</v>
      </c>
      <c r="K518" t="n">
        <v>0</v>
      </c>
      <c r="L518" t="n">
        <v>0</v>
      </c>
      <c r="M518" t="n">
        <v>0</v>
      </c>
      <c r="N518" t="n">
        <v>0</v>
      </c>
      <c r="O518" t="n">
        <v>0</v>
      </c>
      <c r="P518" t="n">
        <v>0</v>
      </c>
      <c r="Q518" t="n">
        <v>0</v>
      </c>
      <c r="R518" s="2" t="inlineStr"/>
    </row>
    <row r="519" ht="15" customHeight="1">
      <c r="A519" t="inlineStr">
        <is>
          <t>A 31551-2025</t>
        </is>
      </c>
      <c r="B519" s="1" t="n">
        <v>45833</v>
      </c>
      <c r="C519" s="1" t="n">
        <v>46194</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27705-2023</t>
        </is>
      </c>
      <c r="B520" s="1" t="n">
        <v>45098</v>
      </c>
      <c r="C520" s="1" t="n">
        <v>46194</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32116-2025</t>
        </is>
      </c>
      <c r="B521" s="1" t="n">
        <v>45835</v>
      </c>
      <c r="C521" s="1" t="n">
        <v>46194</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32380-2025</t>
        </is>
      </c>
      <c r="B522" s="1" t="n">
        <v>45837</v>
      </c>
      <c r="C522" s="1" t="n">
        <v>46194</v>
      </c>
      <c r="D522" t="inlineStr">
        <is>
          <t>KALMAR LÄN</t>
        </is>
      </c>
      <c r="E522" t="inlineStr">
        <is>
          <t>VIMMERBY</t>
        </is>
      </c>
      <c r="G522" t="n">
        <v>3.1</v>
      </c>
      <c r="H522" t="n">
        <v>0</v>
      </c>
      <c r="I522" t="n">
        <v>0</v>
      </c>
      <c r="J522" t="n">
        <v>0</v>
      </c>
      <c r="K522" t="n">
        <v>0</v>
      </c>
      <c r="L522" t="n">
        <v>0</v>
      </c>
      <c r="M522" t="n">
        <v>0</v>
      </c>
      <c r="N522" t="n">
        <v>0</v>
      </c>
      <c r="O522" t="n">
        <v>0</v>
      </c>
      <c r="P522" t="n">
        <v>0</v>
      </c>
      <c r="Q522" t="n">
        <v>0</v>
      </c>
      <c r="R522" s="2" t="inlineStr"/>
    </row>
    <row r="523" ht="15" customHeight="1">
      <c r="A523" t="inlineStr">
        <is>
          <t>A 32077-2025</t>
        </is>
      </c>
      <c r="B523" s="1" t="n">
        <v>45835</v>
      </c>
      <c r="C523" s="1" t="n">
        <v>46194</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31013-2023</t>
        </is>
      </c>
      <c r="B524" s="1" t="n">
        <v>45113</v>
      </c>
      <c r="C524" s="1" t="n">
        <v>46194</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33186-2025</t>
        </is>
      </c>
      <c r="B525" s="1" t="n">
        <v>45840</v>
      </c>
      <c r="C525" s="1" t="n">
        <v>46194</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30977-2025</t>
        </is>
      </c>
      <c r="B526" s="1" t="n">
        <v>45832</v>
      </c>
      <c r="C526" s="1" t="n">
        <v>46194</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33352-2022</t>
        </is>
      </c>
      <c r="B527" s="1" t="n">
        <v>44788</v>
      </c>
      <c r="C527" s="1" t="n">
        <v>46194</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46234-2024</t>
        </is>
      </c>
      <c r="B528" s="1" t="n">
        <v>45581</v>
      </c>
      <c r="C528" s="1" t="n">
        <v>46194</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39053-2024</t>
        </is>
      </c>
      <c r="B529" s="1" t="n">
        <v>45548</v>
      </c>
      <c r="C529" s="1" t="n">
        <v>46194</v>
      </c>
      <c r="D529" t="inlineStr">
        <is>
          <t>KALMAR LÄN</t>
        </is>
      </c>
      <c r="E529" t="inlineStr">
        <is>
          <t>VIMMERBY</t>
        </is>
      </c>
      <c r="G529" t="n">
        <v>5</v>
      </c>
      <c r="H529" t="n">
        <v>0</v>
      </c>
      <c r="I529" t="n">
        <v>0</v>
      </c>
      <c r="J529" t="n">
        <v>0</v>
      </c>
      <c r="K529" t="n">
        <v>0</v>
      </c>
      <c r="L529" t="n">
        <v>0</v>
      </c>
      <c r="M529" t="n">
        <v>0</v>
      </c>
      <c r="N529" t="n">
        <v>0</v>
      </c>
      <c r="O529" t="n">
        <v>0</v>
      </c>
      <c r="P529" t="n">
        <v>0</v>
      </c>
      <c r="Q529" t="n">
        <v>0</v>
      </c>
      <c r="R529" s="2" t="inlineStr"/>
    </row>
    <row r="530" ht="15" customHeight="1">
      <c r="A530" t="inlineStr">
        <is>
          <t>A 57728-2025</t>
        </is>
      </c>
      <c r="B530" s="1" t="n">
        <v>45981</v>
      </c>
      <c r="C530" s="1" t="n">
        <v>46194</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15449-2023</t>
        </is>
      </c>
      <c r="B531" s="1" t="n">
        <v>45020</v>
      </c>
      <c r="C531" s="1" t="n">
        <v>46194</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43594-2024</t>
        </is>
      </c>
      <c r="B532" s="1" t="n">
        <v>45569</v>
      </c>
      <c r="C532" s="1" t="n">
        <v>46194</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58498-2025</t>
        </is>
      </c>
      <c r="B533" s="1" t="n">
        <v>45985</v>
      </c>
      <c r="C533" s="1" t="n">
        <v>46194</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58501-2025</t>
        </is>
      </c>
      <c r="B534" s="1" t="n">
        <v>45985</v>
      </c>
      <c r="C534" s="1" t="n">
        <v>46194</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17486-2024</t>
        </is>
      </c>
      <c r="B535" s="1" t="n">
        <v>45415</v>
      </c>
      <c r="C535" s="1" t="n">
        <v>46194</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28702-2025</t>
        </is>
      </c>
      <c r="B536" s="1" t="n">
        <v>45820</v>
      </c>
      <c r="C536" s="1" t="n">
        <v>46194</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14248-2023</t>
        </is>
      </c>
      <c r="B537" s="1" t="n">
        <v>45009</v>
      </c>
      <c r="C537" s="1" t="n">
        <v>46194</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58503-2025</t>
        </is>
      </c>
      <c r="B538" s="1" t="n">
        <v>45985</v>
      </c>
      <c r="C538" s="1" t="n">
        <v>46194</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58446-2025</t>
        </is>
      </c>
      <c r="B539" s="1" t="n">
        <v>45985</v>
      </c>
      <c r="C539" s="1" t="n">
        <v>46194</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58500-2025</t>
        </is>
      </c>
      <c r="B540" s="1" t="n">
        <v>45985</v>
      </c>
      <c r="C540" s="1" t="n">
        <v>46194</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59037-2025</t>
        </is>
      </c>
      <c r="B541" s="1" t="n">
        <v>45988</v>
      </c>
      <c r="C541" s="1" t="n">
        <v>46194</v>
      </c>
      <c r="D541" t="inlineStr">
        <is>
          <t>KALMAR LÄN</t>
        </is>
      </c>
      <c r="E541" t="inlineStr">
        <is>
          <t>VIMMERBY</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59034-2025</t>
        </is>
      </c>
      <c r="B542" s="1" t="n">
        <v>45988</v>
      </c>
      <c r="C542" s="1" t="n">
        <v>46194</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58858-2025</t>
        </is>
      </c>
      <c r="B543" s="1" t="n">
        <v>45987</v>
      </c>
      <c r="C543" s="1" t="n">
        <v>46194</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59039-2025</t>
        </is>
      </c>
      <c r="B544" s="1" t="n">
        <v>45988</v>
      </c>
      <c r="C544" s="1" t="n">
        <v>46194</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30400-2023</t>
        </is>
      </c>
      <c r="B545" s="1" t="n">
        <v>45111</v>
      </c>
      <c r="C545" s="1" t="n">
        <v>46194</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30404-2023</t>
        </is>
      </c>
      <c r="B546" s="1" t="n">
        <v>45111</v>
      </c>
      <c r="C546" s="1" t="n">
        <v>46194</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26956-2025</t>
        </is>
      </c>
      <c r="B547" s="1" t="n">
        <v>45811</v>
      </c>
      <c r="C547" s="1" t="n">
        <v>46194</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55123-2024</t>
        </is>
      </c>
      <c r="B548" s="1" t="n">
        <v>45621</v>
      </c>
      <c r="C548" s="1" t="n">
        <v>46194</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31405-2023</t>
        </is>
      </c>
      <c r="B549" s="1" t="n">
        <v>45114</v>
      </c>
      <c r="C549" s="1" t="n">
        <v>46194</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58841-2025</t>
        </is>
      </c>
      <c r="B550" s="1" t="n">
        <v>45987</v>
      </c>
      <c r="C550" s="1" t="n">
        <v>46194</v>
      </c>
      <c r="D550" t="inlineStr">
        <is>
          <t>KALMAR LÄN</t>
        </is>
      </c>
      <c r="E550" t="inlineStr">
        <is>
          <t>VIMMERBY</t>
        </is>
      </c>
      <c r="G550" t="n">
        <v>3.5</v>
      </c>
      <c r="H550" t="n">
        <v>0</v>
      </c>
      <c r="I550" t="n">
        <v>0</v>
      </c>
      <c r="J550" t="n">
        <v>0</v>
      </c>
      <c r="K550" t="n">
        <v>0</v>
      </c>
      <c r="L550" t="n">
        <v>0</v>
      </c>
      <c r="M550" t="n">
        <v>0</v>
      </c>
      <c r="N550" t="n">
        <v>0</v>
      </c>
      <c r="O550" t="n">
        <v>0</v>
      </c>
      <c r="P550" t="n">
        <v>0</v>
      </c>
      <c r="Q550" t="n">
        <v>0</v>
      </c>
      <c r="R550" s="2" t="inlineStr"/>
    </row>
    <row r="551" ht="15" customHeight="1">
      <c r="A551" t="inlineStr">
        <is>
          <t>A 34628-2025</t>
        </is>
      </c>
      <c r="B551" s="1" t="n">
        <v>45847</v>
      </c>
      <c r="C551" s="1" t="n">
        <v>46194</v>
      </c>
      <c r="D551" t="inlineStr">
        <is>
          <t>KALMAR LÄN</t>
        </is>
      </c>
      <c r="E551" t="inlineStr">
        <is>
          <t>VIMMERBY</t>
        </is>
      </c>
      <c r="G551" t="n">
        <v>4.2</v>
      </c>
      <c r="H551" t="n">
        <v>0</v>
      </c>
      <c r="I551" t="n">
        <v>0</v>
      </c>
      <c r="J551" t="n">
        <v>0</v>
      </c>
      <c r="K551" t="n">
        <v>0</v>
      </c>
      <c r="L551" t="n">
        <v>0</v>
      </c>
      <c r="M551" t="n">
        <v>0</v>
      </c>
      <c r="N551" t="n">
        <v>0</v>
      </c>
      <c r="O551" t="n">
        <v>0</v>
      </c>
      <c r="P551" t="n">
        <v>0</v>
      </c>
      <c r="Q551" t="n">
        <v>0</v>
      </c>
      <c r="R551" s="2" t="inlineStr"/>
    </row>
    <row r="552" ht="15" customHeight="1">
      <c r="A552" t="inlineStr">
        <is>
          <t>A 24707-2024</t>
        </is>
      </c>
      <c r="B552" s="1" t="n">
        <v>45460</v>
      </c>
      <c r="C552" s="1" t="n">
        <v>46194</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36049-2024</t>
        </is>
      </c>
      <c r="B553" s="1" t="n">
        <v>45533</v>
      </c>
      <c r="C553" s="1" t="n">
        <v>46194</v>
      </c>
      <c r="D553" t="inlineStr">
        <is>
          <t>KALMAR LÄN</t>
        </is>
      </c>
      <c r="E553" t="inlineStr">
        <is>
          <t>VIMMERBY</t>
        </is>
      </c>
      <c r="F553" t="inlineStr">
        <is>
          <t>Kommuner</t>
        </is>
      </c>
      <c r="G553" t="n">
        <v>2.6</v>
      </c>
      <c r="H553" t="n">
        <v>0</v>
      </c>
      <c r="I553" t="n">
        <v>0</v>
      </c>
      <c r="J553" t="n">
        <v>0</v>
      </c>
      <c r="K553" t="n">
        <v>0</v>
      </c>
      <c r="L553" t="n">
        <v>0</v>
      </c>
      <c r="M553" t="n">
        <v>0</v>
      </c>
      <c r="N553" t="n">
        <v>0</v>
      </c>
      <c r="O553" t="n">
        <v>0</v>
      </c>
      <c r="P553" t="n">
        <v>0</v>
      </c>
      <c r="Q553" t="n">
        <v>0</v>
      </c>
      <c r="R553" s="2" t="inlineStr"/>
    </row>
    <row r="554" ht="15" customHeight="1">
      <c r="A554" t="inlineStr">
        <is>
          <t>A 35271-2025</t>
        </is>
      </c>
      <c r="B554" s="1" t="n">
        <v>45853</v>
      </c>
      <c r="C554" s="1" t="n">
        <v>46194</v>
      </c>
      <c r="D554" t="inlineStr">
        <is>
          <t>KALMAR LÄN</t>
        </is>
      </c>
      <c r="E554" t="inlineStr">
        <is>
          <t>VIMMERBY</t>
        </is>
      </c>
      <c r="G554" t="n">
        <v>0.4</v>
      </c>
      <c r="H554" t="n">
        <v>0</v>
      </c>
      <c r="I554" t="n">
        <v>0</v>
      </c>
      <c r="J554" t="n">
        <v>0</v>
      </c>
      <c r="K554" t="n">
        <v>0</v>
      </c>
      <c r="L554" t="n">
        <v>0</v>
      </c>
      <c r="M554" t="n">
        <v>0</v>
      </c>
      <c r="N554" t="n">
        <v>0</v>
      </c>
      <c r="O554" t="n">
        <v>0</v>
      </c>
      <c r="P554" t="n">
        <v>0</v>
      </c>
      <c r="Q554" t="n">
        <v>0</v>
      </c>
      <c r="R554" s="2" t="inlineStr"/>
    </row>
    <row r="555" ht="15" customHeight="1">
      <c r="A555" t="inlineStr">
        <is>
          <t>A 16953-2025</t>
        </is>
      </c>
      <c r="B555" s="1" t="n">
        <v>45755</v>
      </c>
      <c r="C555" s="1" t="n">
        <v>46194</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60180-2025</t>
        </is>
      </c>
      <c r="B556" s="1" t="n">
        <v>45994</v>
      </c>
      <c r="C556" s="1" t="n">
        <v>46194</v>
      </c>
      <c r="D556" t="inlineStr">
        <is>
          <t>KALMAR LÄN</t>
        </is>
      </c>
      <c r="E556" t="inlineStr">
        <is>
          <t>VIMMERBY</t>
        </is>
      </c>
      <c r="G556" t="n">
        <v>6.8</v>
      </c>
      <c r="H556" t="n">
        <v>0</v>
      </c>
      <c r="I556" t="n">
        <v>0</v>
      </c>
      <c r="J556" t="n">
        <v>0</v>
      </c>
      <c r="K556" t="n">
        <v>0</v>
      </c>
      <c r="L556" t="n">
        <v>0</v>
      </c>
      <c r="M556" t="n">
        <v>0</v>
      </c>
      <c r="N556" t="n">
        <v>0</v>
      </c>
      <c r="O556" t="n">
        <v>0</v>
      </c>
      <c r="P556" t="n">
        <v>0</v>
      </c>
      <c r="Q556" t="n">
        <v>0</v>
      </c>
      <c r="R556" s="2" t="inlineStr"/>
    </row>
    <row r="557" ht="15" customHeight="1">
      <c r="A557" t="inlineStr">
        <is>
          <t>A 60297-2025</t>
        </is>
      </c>
      <c r="B557" s="1" t="n">
        <v>45994</v>
      </c>
      <c r="C557" s="1" t="n">
        <v>46194</v>
      </c>
      <c r="D557" t="inlineStr">
        <is>
          <t>KALMAR LÄN</t>
        </is>
      </c>
      <c r="E557" t="inlineStr">
        <is>
          <t>VIMMERBY</t>
        </is>
      </c>
      <c r="G557" t="n">
        <v>4.2</v>
      </c>
      <c r="H557" t="n">
        <v>0</v>
      </c>
      <c r="I557" t="n">
        <v>0</v>
      </c>
      <c r="J557" t="n">
        <v>0</v>
      </c>
      <c r="K557" t="n">
        <v>0</v>
      </c>
      <c r="L557" t="n">
        <v>0</v>
      </c>
      <c r="M557" t="n">
        <v>0</v>
      </c>
      <c r="N557" t="n">
        <v>0</v>
      </c>
      <c r="O557" t="n">
        <v>0</v>
      </c>
      <c r="P557" t="n">
        <v>0</v>
      </c>
      <c r="Q557" t="n">
        <v>0</v>
      </c>
      <c r="R557" s="2" t="inlineStr"/>
    </row>
    <row r="558" ht="15" customHeight="1">
      <c r="A558" t="inlineStr">
        <is>
          <t>A 14359-2025</t>
        </is>
      </c>
      <c r="B558" s="1" t="n">
        <v>45741</v>
      </c>
      <c r="C558" s="1" t="n">
        <v>46194</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46194</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39578-2024</t>
        </is>
      </c>
      <c r="B560" s="1" t="n">
        <v>45552</v>
      </c>
      <c r="C560" s="1" t="n">
        <v>46194</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36299-2025</t>
        </is>
      </c>
      <c r="B561" s="1" t="n">
        <v>45867</v>
      </c>
      <c r="C561" s="1" t="n">
        <v>46194</v>
      </c>
      <c r="D561" t="inlineStr">
        <is>
          <t>KALMAR LÄN</t>
        </is>
      </c>
      <c r="E561" t="inlineStr">
        <is>
          <t>VIMMERBY</t>
        </is>
      </c>
      <c r="G561" t="n">
        <v>7.6</v>
      </c>
      <c r="H561" t="n">
        <v>0</v>
      </c>
      <c r="I561" t="n">
        <v>0</v>
      </c>
      <c r="J561" t="n">
        <v>0</v>
      </c>
      <c r="K561" t="n">
        <v>0</v>
      </c>
      <c r="L561" t="n">
        <v>0</v>
      </c>
      <c r="M561" t="n">
        <v>0</v>
      </c>
      <c r="N561" t="n">
        <v>0</v>
      </c>
      <c r="O561" t="n">
        <v>0</v>
      </c>
      <c r="P561" t="n">
        <v>0</v>
      </c>
      <c r="Q561" t="n">
        <v>0</v>
      </c>
      <c r="R561" s="2" t="inlineStr"/>
    </row>
    <row r="562" ht="15" customHeight="1">
      <c r="A562" t="inlineStr">
        <is>
          <t>A 62779-2023</t>
        </is>
      </c>
      <c r="B562" s="1" t="n">
        <v>45271</v>
      </c>
      <c r="C562" s="1" t="n">
        <v>46194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36297-2025</t>
        </is>
      </c>
      <c r="B563" s="1" t="n">
        <v>45867</v>
      </c>
      <c r="C563" s="1" t="n">
        <v>46194</v>
      </c>
      <c r="D563" t="inlineStr">
        <is>
          <t>KALMAR LÄN</t>
        </is>
      </c>
      <c r="E563" t="inlineStr">
        <is>
          <t>VIMMERBY</t>
        </is>
      </c>
      <c r="G563" t="n">
        <v>4.9</v>
      </c>
      <c r="H563" t="n">
        <v>0</v>
      </c>
      <c r="I563" t="n">
        <v>0</v>
      </c>
      <c r="J563" t="n">
        <v>0</v>
      </c>
      <c r="K563" t="n">
        <v>0</v>
      </c>
      <c r="L563" t="n">
        <v>0</v>
      </c>
      <c r="M563" t="n">
        <v>0</v>
      </c>
      <c r="N563" t="n">
        <v>0</v>
      </c>
      <c r="O563" t="n">
        <v>0</v>
      </c>
      <c r="P563" t="n">
        <v>0</v>
      </c>
      <c r="Q563" t="n">
        <v>0</v>
      </c>
      <c r="R563" s="2" t="inlineStr"/>
    </row>
    <row r="564" ht="15" customHeight="1">
      <c r="A564" t="inlineStr">
        <is>
          <t>A 36246-2025</t>
        </is>
      </c>
      <c r="B564" s="1" t="n">
        <v>45867</v>
      </c>
      <c r="C564" s="1" t="n">
        <v>46194</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36538-2025</t>
        </is>
      </c>
      <c r="B565" s="1" t="n">
        <v>45869</v>
      </c>
      <c r="C565" s="1" t="n">
        <v>46194</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36601-2025</t>
        </is>
      </c>
      <c r="B566" s="1" t="n">
        <v>45870</v>
      </c>
      <c r="C566" s="1" t="n">
        <v>46194</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36603-2025</t>
        </is>
      </c>
      <c r="B567" s="1" t="n">
        <v>45870</v>
      </c>
      <c r="C567" s="1" t="n">
        <v>46194</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46194</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43962-2024</t>
        </is>
      </c>
      <c r="B569" s="1" t="n">
        <v>45572</v>
      </c>
      <c r="C569" s="1" t="n">
        <v>46194</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12810-2023</t>
        </is>
      </c>
      <c r="B570" s="1" t="n">
        <v>45001</v>
      </c>
      <c r="C570" s="1" t="n">
        <v>46194</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43068-2023</t>
        </is>
      </c>
      <c r="B571" s="1" t="n">
        <v>45182</v>
      </c>
      <c r="C571" s="1" t="n">
        <v>46194</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v>
      </c>
      <c r="C572" s="1" t="n">
        <v>46194</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61726-2025</t>
        </is>
      </c>
      <c r="B573" s="1" t="n">
        <v>46002</v>
      </c>
      <c r="C573" s="1" t="n">
        <v>46194</v>
      </c>
      <c r="D573" t="inlineStr">
        <is>
          <t>KALMAR LÄN</t>
        </is>
      </c>
      <c r="E573" t="inlineStr">
        <is>
          <t>VIMMERBY</t>
        </is>
      </c>
      <c r="F573" t="inlineStr">
        <is>
          <t>Sveaskog</t>
        </is>
      </c>
      <c r="G573" t="n">
        <v>0.2</v>
      </c>
      <c r="H573" t="n">
        <v>0</v>
      </c>
      <c r="I573" t="n">
        <v>0</v>
      </c>
      <c r="J573" t="n">
        <v>0</v>
      </c>
      <c r="K573" t="n">
        <v>0</v>
      </c>
      <c r="L573" t="n">
        <v>0</v>
      </c>
      <c r="M573" t="n">
        <v>0</v>
      </c>
      <c r="N573" t="n">
        <v>0</v>
      </c>
      <c r="O573" t="n">
        <v>0</v>
      </c>
      <c r="P573" t="n">
        <v>0</v>
      </c>
      <c r="Q573" t="n">
        <v>0</v>
      </c>
      <c r="R573" s="2" t="inlineStr"/>
    </row>
    <row r="574" ht="15" customHeight="1">
      <c r="A574" t="inlineStr">
        <is>
          <t>A 61725-2025</t>
        </is>
      </c>
      <c r="B574" s="1" t="n">
        <v>46002</v>
      </c>
      <c r="C574" s="1" t="n">
        <v>46194</v>
      </c>
      <c r="D574" t="inlineStr">
        <is>
          <t>KALMAR LÄN</t>
        </is>
      </c>
      <c r="E574" t="inlineStr">
        <is>
          <t>VIMMERBY</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12075-2024</t>
        </is>
      </c>
      <c r="B575" s="1" t="n">
        <v>45377</v>
      </c>
      <c r="C575" s="1" t="n">
        <v>46194</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46194</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13015-2022</t>
        </is>
      </c>
      <c r="B577" s="1" t="n">
        <v>44643</v>
      </c>
      <c r="C577" s="1" t="n">
        <v>46194</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4624-2024</t>
        </is>
      </c>
      <c r="B578" s="1" t="n">
        <v>45328</v>
      </c>
      <c r="C578" s="1" t="n">
        <v>46194</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9129-2025</t>
        </is>
      </c>
      <c r="B579" s="1" t="n">
        <v>45713</v>
      </c>
      <c r="C579" s="1" t="n">
        <v>46194</v>
      </c>
      <c r="D579" t="inlineStr">
        <is>
          <t>KALMAR LÄN</t>
        </is>
      </c>
      <c r="E579" t="inlineStr">
        <is>
          <t>VIMMERBY</t>
        </is>
      </c>
      <c r="G579" t="n">
        <v>2.8</v>
      </c>
      <c r="H579" t="n">
        <v>0</v>
      </c>
      <c r="I579" t="n">
        <v>0</v>
      </c>
      <c r="J579" t="n">
        <v>0</v>
      </c>
      <c r="K579" t="n">
        <v>0</v>
      </c>
      <c r="L579" t="n">
        <v>0</v>
      </c>
      <c r="M579" t="n">
        <v>0</v>
      </c>
      <c r="N579" t="n">
        <v>0</v>
      </c>
      <c r="O579" t="n">
        <v>0</v>
      </c>
      <c r="P579" t="n">
        <v>0</v>
      </c>
      <c r="Q579" t="n">
        <v>0</v>
      </c>
      <c r="R579" s="2" t="inlineStr"/>
    </row>
    <row r="580" ht="15" customHeight="1">
      <c r="A580" t="inlineStr">
        <is>
          <t>A 37668-2025</t>
        </is>
      </c>
      <c r="B580" s="1" t="n">
        <v>45880</v>
      </c>
      <c r="C580" s="1" t="n">
        <v>46194</v>
      </c>
      <c r="D580" t="inlineStr">
        <is>
          <t>KALMAR LÄN</t>
        </is>
      </c>
      <c r="E580" t="inlineStr">
        <is>
          <t>VIMMERBY</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37578-2025</t>
        </is>
      </c>
      <c r="B581" s="1" t="n">
        <v>45880</v>
      </c>
      <c r="C581" s="1" t="n">
        <v>46194</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22643-2023</t>
        </is>
      </c>
      <c r="B582" s="1" t="n">
        <v>45071</v>
      </c>
      <c r="C582" s="1" t="n">
        <v>46194</v>
      </c>
      <c r="D582" t="inlineStr">
        <is>
          <t>KALMAR LÄN</t>
        </is>
      </c>
      <c r="E582" t="inlineStr">
        <is>
          <t>VIMMERBY</t>
        </is>
      </c>
      <c r="G582" t="n">
        <v>3.9</v>
      </c>
      <c r="H582" t="n">
        <v>0</v>
      </c>
      <c r="I582" t="n">
        <v>0</v>
      </c>
      <c r="J582" t="n">
        <v>0</v>
      </c>
      <c r="K582" t="n">
        <v>0</v>
      </c>
      <c r="L582" t="n">
        <v>0</v>
      </c>
      <c r="M582" t="n">
        <v>0</v>
      </c>
      <c r="N582" t="n">
        <v>0</v>
      </c>
      <c r="O582" t="n">
        <v>0</v>
      </c>
      <c r="P582" t="n">
        <v>0</v>
      </c>
      <c r="Q582" t="n">
        <v>0</v>
      </c>
      <c r="R582" s="2" t="inlineStr"/>
    </row>
    <row r="583" ht="15" customHeight="1">
      <c r="A583" t="inlineStr">
        <is>
          <t>A 34597-2022</t>
        </is>
      </c>
      <c r="B583" s="1" t="n">
        <v>44795</v>
      </c>
      <c r="C583" s="1" t="n">
        <v>46194</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40079-2023</t>
        </is>
      </c>
      <c r="B584" s="1" t="n">
        <v>45168</v>
      </c>
      <c r="C584" s="1" t="n">
        <v>46194</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19833-2023</t>
        </is>
      </c>
      <c r="B585" s="1" t="n">
        <v>45052</v>
      </c>
      <c r="C585" s="1" t="n">
        <v>46194</v>
      </c>
      <c r="D585" t="inlineStr">
        <is>
          <t>KALMAR LÄN</t>
        </is>
      </c>
      <c r="E585" t="inlineStr">
        <is>
          <t>VIMMERBY</t>
        </is>
      </c>
      <c r="G585" t="n">
        <v>6.7</v>
      </c>
      <c r="H585" t="n">
        <v>0</v>
      </c>
      <c r="I585" t="n">
        <v>0</v>
      </c>
      <c r="J585" t="n">
        <v>0</v>
      </c>
      <c r="K585" t="n">
        <v>0</v>
      </c>
      <c r="L585" t="n">
        <v>0</v>
      </c>
      <c r="M585" t="n">
        <v>0</v>
      </c>
      <c r="N585" t="n">
        <v>0</v>
      </c>
      <c r="O585" t="n">
        <v>0</v>
      </c>
      <c r="P585" t="n">
        <v>0</v>
      </c>
      <c r="Q585" t="n">
        <v>0</v>
      </c>
      <c r="R585" s="2" t="inlineStr"/>
    </row>
    <row r="586" ht="15" customHeight="1">
      <c r="A586" t="inlineStr">
        <is>
          <t>A 63848-2025</t>
        </is>
      </c>
      <c r="B586" s="1" t="n">
        <v>46020</v>
      </c>
      <c r="C586" s="1" t="n">
        <v>46194</v>
      </c>
      <c r="D586" t="inlineStr">
        <is>
          <t>KALMAR LÄN</t>
        </is>
      </c>
      <c r="E586" t="inlineStr">
        <is>
          <t>VIMMERBY</t>
        </is>
      </c>
      <c r="G586" t="n">
        <v>3.4</v>
      </c>
      <c r="H586" t="n">
        <v>0</v>
      </c>
      <c r="I586" t="n">
        <v>0</v>
      </c>
      <c r="J586" t="n">
        <v>0</v>
      </c>
      <c r="K586" t="n">
        <v>0</v>
      </c>
      <c r="L586" t="n">
        <v>0</v>
      </c>
      <c r="M586" t="n">
        <v>0</v>
      </c>
      <c r="N586" t="n">
        <v>0</v>
      </c>
      <c r="O586" t="n">
        <v>0</v>
      </c>
      <c r="P586" t="n">
        <v>0</v>
      </c>
      <c r="Q586" t="n">
        <v>0</v>
      </c>
      <c r="R586" s="2" t="inlineStr"/>
    </row>
    <row r="587" ht="15" customHeight="1">
      <c r="A587" t="inlineStr">
        <is>
          <t>A 63758-2025</t>
        </is>
      </c>
      <c r="B587" s="1" t="n">
        <v>46018</v>
      </c>
      <c r="C587" s="1" t="n">
        <v>46194</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17084-2025</t>
        </is>
      </c>
      <c r="B588" s="1" t="n">
        <v>45755</v>
      </c>
      <c r="C588" s="1" t="n">
        <v>46194</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56022-2024</t>
        </is>
      </c>
      <c r="B589" s="1" t="n">
        <v>45623</v>
      </c>
      <c r="C589" s="1" t="n">
        <v>46194</v>
      </c>
      <c r="D589" t="inlineStr">
        <is>
          <t>KALMAR LÄN</t>
        </is>
      </c>
      <c r="E589" t="inlineStr">
        <is>
          <t>VIMMERBY</t>
        </is>
      </c>
      <c r="G589" t="n">
        <v>0.3</v>
      </c>
      <c r="H589" t="n">
        <v>0</v>
      </c>
      <c r="I589" t="n">
        <v>0</v>
      </c>
      <c r="J589" t="n">
        <v>0</v>
      </c>
      <c r="K589" t="n">
        <v>0</v>
      </c>
      <c r="L589" t="n">
        <v>0</v>
      </c>
      <c r="M589" t="n">
        <v>0</v>
      </c>
      <c r="N589" t="n">
        <v>0</v>
      </c>
      <c r="O589" t="n">
        <v>0</v>
      </c>
      <c r="P589" t="n">
        <v>0</v>
      </c>
      <c r="Q589" t="n">
        <v>0</v>
      </c>
      <c r="R589" s="2" t="inlineStr"/>
    </row>
    <row r="590" ht="15" customHeight="1">
      <c r="A590" t="inlineStr">
        <is>
          <t>A 11928-2022</t>
        </is>
      </c>
      <c r="B590" s="1" t="n">
        <v>44635</v>
      </c>
      <c r="C590" s="1" t="n">
        <v>46194</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409-2026</t>
        </is>
      </c>
      <c r="B591" s="1" t="n">
        <v>46028</v>
      </c>
      <c r="C591" s="1" t="n">
        <v>46194</v>
      </c>
      <c r="D591" t="inlineStr">
        <is>
          <t>KALMAR LÄN</t>
        </is>
      </c>
      <c r="E591" t="inlineStr">
        <is>
          <t>VIMMERBY</t>
        </is>
      </c>
      <c r="G591" t="n">
        <v>2.2</v>
      </c>
      <c r="H591" t="n">
        <v>0</v>
      </c>
      <c r="I591" t="n">
        <v>0</v>
      </c>
      <c r="J591" t="n">
        <v>0</v>
      </c>
      <c r="K591" t="n">
        <v>0</v>
      </c>
      <c r="L591" t="n">
        <v>0</v>
      </c>
      <c r="M591" t="n">
        <v>0</v>
      </c>
      <c r="N591" t="n">
        <v>0</v>
      </c>
      <c r="O591" t="n">
        <v>0</v>
      </c>
      <c r="P591" t="n">
        <v>0</v>
      </c>
      <c r="Q591" t="n">
        <v>0</v>
      </c>
      <c r="R591" s="2" t="inlineStr"/>
    </row>
    <row r="592" ht="15" customHeight="1">
      <c r="A592" t="inlineStr">
        <is>
          <t>A 406-2026</t>
        </is>
      </c>
      <c r="B592" s="1" t="n">
        <v>46028</v>
      </c>
      <c r="C592" s="1" t="n">
        <v>46194</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v>
      </c>
      <c r="C593" s="1" t="n">
        <v>46194</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49461-2023</t>
        </is>
      </c>
      <c r="B594" s="1" t="n">
        <v>45211</v>
      </c>
      <c r="C594" s="1" t="n">
        <v>46194</v>
      </c>
      <c r="D594" t="inlineStr">
        <is>
          <t>KALMAR LÄN</t>
        </is>
      </c>
      <c r="E594" t="inlineStr">
        <is>
          <t>VIMMERBY</t>
        </is>
      </c>
      <c r="G594" t="n">
        <v>1.5</v>
      </c>
      <c r="H594" t="n">
        <v>0</v>
      </c>
      <c r="I594" t="n">
        <v>0</v>
      </c>
      <c r="J594" t="n">
        <v>0</v>
      </c>
      <c r="K594" t="n">
        <v>0</v>
      </c>
      <c r="L594" t="n">
        <v>0</v>
      </c>
      <c r="M594" t="n">
        <v>0</v>
      </c>
      <c r="N594" t="n">
        <v>0</v>
      </c>
      <c r="O594" t="n">
        <v>0</v>
      </c>
      <c r="P594" t="n">
        <v>0</v>
      </c>
      <c r="Q594" t="n">
        <v>0</v>
      </c>
      <c r="R594" s="2" t="inlineStr"/>
    </row>
    <row r="595" ht="15" customHeight="1">
      <c r="A595" t="inlineStr">
        <is>
          <t>A 49474-2023</t>
        </is>
      </c>
      <c r="B595" s="1" t="n">
        <v>45211</v>
      </c>
      <c r="C595" s="1" t="n">
        <v>46194</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61861-2024</t>
        </is>
      </c>
      <c r="B596" s="1" t="n">
        <v>45650</v>
      </c>
      <c r="C596" s="1" t="n">
        <v>46194</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842-2026</t>
        </is>
      </c>
      <c r="B597" s="1" t="n">
        <v>46030</v>
      </c>
      <c r="C597" s="1" t="n">
        <v>46194</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45846-2023</t>
        </is>
      </c>
      <c r="B598" s="1" t="n">
        <v>45195</v>
      </c>
      <c r="C598" s="1" t="n">
        <v>46194</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1069-2026</t>
        </is>
      </c>
      <c r="B599" s="1" t="n">
        <v>46030</v>
      </c>
      <c r="C599" s="1" t="n">
        <v>46194</v>
      </c>
      <c r="D599" t="inlineStr">
        <is>
          <t>KALMAR LÄN</t>
        </is>
      </c>
      <c r="E599" t="inlineStr">
        <is>
          <t>VIMMERBY</t>
        </is>
      </c>
      <c r="G599" t="n">
        <v>3.3</v>
      </c>
      <c r="H599" t="n">
        <v>0</v>
      </c>
      <c r="I599" t="n">
        <v>0</v>
      </c>
      <c r="J599" t="n">
        <v>0</v>
      </c>
      <c r="K599" t="n">
        <v>0</v>
      </c>
      <c r="L599" t="n">
        <v>0</v>
      </c>
      <c r="M599" t="n">
        <v>0</v>
      </c>
      <c r="N599" t="n">
        <v>0</v>
      </c>
      <c r="O599" t="n">
        <v>0</v>
      </c>
      <c r="P599" t="n">
        <v>0</v>
      </c>
      <c r="Q599" t="n">
        <v>0</v>
      </c>
      <c r="R599" s="2" t="inlineStr"/>
    </row>
    <row r="600" ht="15" customHeight="1">
      <c r="A600" t="inlineStr">
        <is>
          <t>A 8167-2024</t>
        </is>
      </c>
      <c r="B600" s="1" t="n">
        <v>45351</v>
      </c>
      <c r="C600" s="1" t="n">
        <v>46194</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49382-2023</t>
        </is>
      </c>
      <c r="B601" s="1" t="n">
        <v>45208</v>
      </c>
      <c r="C601" s="1" t="n">
        <v>46194</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35846-2023</t>
        </is>
      </c>
      <c r="B602" s="1" t="n">
        <v>45148</v>
      </c>
      <c r="C602" s="1" t="n">
        <v>46194</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46194</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35913-2023</t>
        </is>
      </c>
      <c r="B604" s="1" t="n">
        <v>45148</v>
      </c>
      <c r="C604" s="1" t="n">
        <v>46194</v>
      </c>
      <c r="D604" t="inlineStr">
        <is>
          <t>KALMAR LÄN</t>
        </is>
      </c>
      <c r="E604" t="inlineStr">
        <is>
          <t>VIMMERBY</t>
        </is>
      </c>
      <c r="G604" t="n">
        <v>6.9</v>
      </c>
      <c r="H604" t="n">
        <v>0</v>
      </c>
      <c r="I604" t="n">
        <v>0</v>
      </c>
      <c r="J604" t="n">
        <v>0</v>
      </c>
      <c r="K604" t="n">
        <v>0</v>
      </c>
      <c r="L604" t="n">
        <v>0</v>
      </c>
      <c r="M604" t="n">
        <v>0</v>
      </c>
      <c r="N604" t="n">
        <v>0</v>
      </c>
      <c r="O604" t="n">
        <v>0</v>
      </c>
      <c r="P604" t="n">
        <v>0</v>
      </c>
      <c r="Q604" t="n">
        <v>0</v>
      </c>
      <c r="R604" s="2" t="inlineStr"/>
    </row>
    <row r="605" ht="15" customHeight="1">
      <c r="A605" t="inlineStr">
        <is>
          <t>A 21882-2026</t>
        </is>
      </c>
      <c r="B605" s="1" t="n">
        <v>46150</v>
      </c>
      <c r="C605" s="1" t="n">
        <v>46194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38757-2023</t>
        </is>
      </c>
      <c r="B606" s="1" t="n">
        <v>45163</v>
      </c>
      <c r="C606" s="1" t="n">
        <v>46194</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1748-2026</t>
        </is>
      </c>
      <c r="B607" s="1" t="n">
        <v>46034</v>
      </c>
      <c r="C607" s="1" t="n">
        <v>46194</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24283-2023</t>
        </is>
      </c>
      <c r="B608" s="1" t="n">
        <v>45079</v>
      </c>
      <c r="C608" s="1" t="n">
        <v>46194</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1862-2026</t>
        </is>
      </c>
      <c r="B609" s="1" t="n">
        <v>46035</v>
      </c>
      <c r="C609" s="1" t="n">
        <v>46194</v>
      </c>
      <c r="D609" t="inlineStr">
        <is>
          <t>KALMAR LÄN</t>
        </is>
      </c>
      <c r="E609" t="inlineStr">
        <is>
          <t>VIMMERBY</t>
        </is>
      </c>
      <c r="G609" t="n">
        <v>3.1</v>
      </c>
      <c r="H609" t="n">
        <v>0</v>
      </c>
      <c r="I609" t="n">
        <v>0</v>
      </c>
      <c r="J609" t="n">
        <v>0</v>
      </c>
      <c r="K609" t="n">
        <v>0</v>
      </c>
      <c r="L609" t="n">
        <v>0</v>
      </c>
      <c r="M609" t="n">
        <v>0</v>
      </c>
      <c r="N609" t="n">
        <v>0</v>
      </c>
      <c r="O609" t="n">
        <v>0</v>
      </c>
      <c r="P609" t="n">
        <v>0</v>
      </c>
      <c r="Q609" t="n">
        <v>0</v>
      </c>
      <c r="R609" s="2" t="inlineStr"/>
    </row>
    <row r="610" ht="15" customHeight="1">
      <c r="A610" t="inlineStr">
        <is>
          <t>A 59598-2023</t>
        </is>
      </c>
      <c r="B610" s="1" t="n">
        <v>45254</v>
      </c>
      <c r="C610" s="1" t="n">
        <v>46194</v>
      </c>
      <c r="D610" t="inlineStr">
        <is>
          <t>KALMAR LÄN</t>
        </is>
      </c>
      <c r="E610" t="inlineStr">
        <is>
          <t>VIMMERBY</t>
        </is>
      </c>
      <c r="F610" t="inlineStr">
        <is>
          <t>Övriga Aktiebolag</t>
        </is>
      </c>
      <c r="G610" t="n">
        <v>4</v>
      </c>
      <c r="H610" t="n">
        <v>0</v>
      </c>
      <c r="I610" t="n">
        <v>0</v>
      </c>
      <c r="J610" t="n">
        <v>0</v>
      </c>
      <c r="K610" t="n">
        <v>0</v>
      </c>
      <c r="L610" t="n">
        <v>0</v>
      </c>
      <c r="M610" t="n">
        <v>0</v>
      </c>
      <c r="N610" t="n">
        <v>0</v>
      </c>
      <c r="O610" t="n">
        <v>0</v>
      </c>
      <c r="P610" t="n">
        <v>0</v>
      </c>
      <c r="Q610" t="n">
        <v>0</v>
      </c>
      <c r="R610" s="2" t="inlineStr"/>
    </row>
    <row r="611" ht="15" customHeight="1">
      <c r="A611" t="inlineStr">
        <is>
          <t>A 30920-2023</t>
        </is>
      </c>
      <c r="B611" s="1" t="n">
        <v>45113</v>
      </c>
      <c r="C611" s="1" t="n">
        <v>46194</v>
      </c>
      <c r="D611" t="inlineStr">
        <is>
          <t>KALMAR LÄN</t>
        </is>
      </c>
      <c r="E611" t="inlineStr">
        <is>
          <t>VIMMERBY</t>
        </is>
      </c>
      <c r="G611" t="n">
        <v>3.1</v>
      </c>
      <c r="H611" t="n">
        <v>0</v>
      </c>
      <c r="I611" t="n">
        <v>0</v>
      </c>
      <c r="J611" t="n">
        <v>0</v>
      </c>
      <c r="K611" t="n">
        <v>0</v>
      </c>
      <c r="L611" t="n">
        <v>0</v>
      </c>
      <c r="M611" t="n">
        <v>0</v>
      </c>
      <c r="N611" t="n">
        <v>0</v>
      </c>
      <c r="O611" t="n">
        <v>0</v>
      </c>
      <c r="P611" t="n">
        <v>0</v>
      </c>
      <c r="Q611" t="n">
        <v>0</v>
      </c>
      <c r="R611" s="2" t="inlineStr"/>
    </row>
    <row r="612" ht="15" customHeight="1">
      <c r="A612" t="inlineStr">
        <is>
          <t>A 2523-2026</t>
        </is>
      </c>
      <c r="B612" s="1" t="n">
        <v>46037</v>
      </c>
      <c r="C612" s="1" t="n">
        <v>46194</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2514-2026</t>
        </is>
      </c>
      <c r="B613" s="1" t="n">
        <v>46037</v>
      </c>
      <c r="C613" s="1" t="n">
        <v>46194</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2518-2026</t>
        </is>
      </c>
      <c r="B614" s="1" t="n">
        <v>46037</v>
      </c>
      <c r="C614" s="1" t="n">
        <v>46194</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40929-2022</t>
        </is>
      </c>
      <c r="B615" s="1" t="n">
        <v>44825</v>
      </c>
      <c r="C615" s="1" t="n">
        <v>46194</v>
      </c>
      <c r="D615" t="inlineStr">
        <is>
          <t>KALMAR LÄN</t>
        </is>
      </c>
      <c r="E615" t="inlineStr">
        <is>
          <t>VIMMERBY</t>
        </is>
      </c>
      <c r="G615" t="n">
        <v>2.5</v>
      </c>
      <c r="H615" t="n">
        <v>0</v>
      </c>
      <c r="I615" t="n">
        <v>0</v>
      </c>
      <c r="J615" t="n">
        <v>0</v>
      </c>
      <c r="K615" t="n">
        <v>0</v>
      </c>
      <c r="L615" t="n">
        <v>0</v>
      </c>
      <c r="M615" t="n">
        <v>0</v>
      </c>
      <c r="N615" t="n">
        <v>0</v>
      </c>
      <c r="O615" t="n">
        <v>0</v>
      </c>
      <c r="P615" t="n">
        <v>0</v>
      </c>
      <c r="Q615" t="n">
        <v>0</v>
      </c>
      <c r="R615" s="2" t="inlineStr"/>
    </row>
    <row r="616" ht="15" customHeight="1">
      <c r="A616" t="inlineStr">
        <is>
          <t>A 33380-2023</t>
        </is>
      </c>
      <c r="B616" s="1" t="n">
        <v>45128</v>
      </c>
      <c r="C616" s="1" t="n">
        <v>46194</v>
      </c>
      <c r="D616" t="inlineStr">
        <is>
          <t>KALMAR LÄN</t>
        </is>
      </c>
      <c r="E616" t="inlineStr">
        <is>
          <t>VIMMERBY</t>
        </is>
      </c>
      <c r="G616" t="n">
        <v>5.2</v>
      </c>
      <c r="H616" t="n">
        <v>0</v>
      </c>
      <c r="I616" t="n">
        <v>0</v>
      </c>
      <c r="J616" t="n">
        <v>0</v>
      </c>
      <c r="K616" t="n">
        <v>0</v>
      </c>
      <c r="L616" t="n">
        <v>0</v>
      </c>
      <c r="M616" t="n">
        <v>0</v>
      </c>
      <c r="N616" t="n">
        <v>0</v>
      </c>
      <c r="O616" t="n">
        <v>0</v>
      </c>
      <c r="P616" t="n">
        <v>0</v>
      </c>
      <c r="Q616" t="n">
        <v>0</v>
      </c>
      <c r="R616" s="2" t="inlineStr"/>
    </row>
    <row r="617" ht="15" customHeight="1">
      <c r="A617" t="inlineStr">
        <is>
          <t>A 46144-2023</t>
        </is>
      </c>
      <c r="B617" s="1" t="n">
        <v>45196</v>
      </c>
      <c r="C617" s="1" t="n">
        <v>46194</v>
      </c>
      <c r="D617" t="inlineStr">
        <is>
          <t>KALMAR LÄN</t>
        </is>
      </c>
      <c r="E617" t="inlineStr">
        <is>
          <t>VIMMERBY</t>
        </is>
      </c>
      <c r="G617" t="n">
        <v>6.5</v>
      </c>
      <c r="H617" t="n">
        <v>0</v>
      </c>
      <c r="I617" t="n">
        <v>0</v>
      </c>
      <c r="J617" t="n">
        <v>0</v>
      </c>
      <c r="K617" t="n">
        <v>0</v>
      </c>
      <c r="L617" t="n">
        <v>0</v>
      </c>
      <c r="M617" t="n">
        <v>0</v>
      </c>
      <c r="N617" t="n">
        <v>0</v>
      </c>
      <c r="O617" t="n">
        <v>0</v>
      </c>
      <c r="P617" t="n">
        <v>0</v>
      </c>
      <c r="Q617" t="n">
        <v>0</v>
      </c>
      <c r="R617" s="2" t="inlineStr"/>
    </row>
    <row r="618" ht="15" customHeight="1">
      <c r="A618" t="inlineStr">
        <is>
          <t>A 3266-2026</t>
        </is>
      </c>
      <c r="B618" s="1" t="n">
        <v>46041</v>
      </c>
      <c r="C618" s="1" t="n">
        <v>46194</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54787-2023</t>
        </is>
      </c>
      <c r="B619" s="1" t="n">
        <v>45236</v>
      </c>
      <c r="C619" s="1" t="n">
        <v>46194</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15715-2022</t>
        </is>
      </c>
      <c r="B620" s="1" t="n">
        <v>44663</v>
      </c>
      <c r="C620" s="1" t="n">
        <v>46194</v>
      </c>
      <c r="D620" t="inlineStr">
        <is>
          <t>KALMAR LÄN</t>
        </is>
      </c>
      <c r="E620" t="inlineStr">
        <is>
          <t>VIMMERBY</t>
        </is>
      </c>
      <c r="G620" t="n">
        <v>2.3</v>
      </c>
      <c r="H620" t="n">
        <v>0</v>
      </c>
      <c r="I620" t="n">
        <v>0</v>
      </c>
      <c r="J620" t="n">
        <v>0</v>
      </c>
      <c r="K620" t="n">
        <v>0</v>
      </c>
      <c r="L620" t="n">
        <v>0</v>
      </c>
      <c r="M620" t="n">
        <v>0</v>
      </c>
      <c r="N620" t="n">
        <v>0</v>
      </c>
      <c r="O620" t="n">
        <v>0</v>
      </c>
      <c r="P620" t="n">
        <v>0</v>
      </c>
      <c r="Q620" t="n">
        <v>0</v>
      </c>
      <c r="R620" s="2" t="inlineStr"/>
    </row>
    <row r="621" ht="15" customHeight="1">
      <c r="A621" t="inlineStr">
        <is>
          <t>A 43774-2023</t>
        </is>
      </c>
      <c r="B621" s="1" t="n">
        <v>45187</v>
      </c>
      <c r="C621" s="1" t="n">
        <v>46194</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43705-2023</t>
        </is>
      </c>
      <c r="B622" s="1" t="n">
        <v>45187</v>
      </c>
      <c r="C622" s="1" t="n">
        <v>46194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7932-2025</t>
        </is>
      </c>
      <c r="B623" s="1" t="n">
        <v>45707</v>
      </c>
      <c r="C623" s="1" t="n">
        <v>46194</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3965-2026</t>
        </is>
      </c>
      <c r="B624" s="1" t="n">
        <v>46044</v>
      </c>
      <c r="C624" s="1" t="n">
        <v>46194</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3868-2026</t>
        </is>
      </c>
      <c r="B625" s="1" t="n">
        <v>46043</v>
      </c>
      <c r="C625" s="1" t="n">
        <v>46194</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3869-2026</t>
        </is>
      </c>
      <c r="B626" s="1" t="n">
        <v>46043</v>
      </c>
      <c r="C626" s="1" t="n">
        <v>46194</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1978-2024</t>
        </is>
      </c>
      <c r="B627" s="1" t="n">
        <v>45308</v>
      </c>
      <c r="C627" s="1" t="n">
        <v>46194</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6399-2025</t>
        </is>
      </c>
      <c r="B628" s="1" t="n">
        <v>45699</v>
      </c>
      <c r="C628" s="1" t="n">
        <v>46194</v>
      </c>
      <c r="D628" t="inlineStr">
        <is>
          <t>KALMAR LÄN</t>
        </is>
      </c>
      <c r="E628" t="inlineStr">
        <is>
          <t>VIMMERBY</t>
        </is>
      </c>
      <c r="G628" t="n">
        <v>3.1</v>
      </c>
      <c r="H628" t="n">
        <v>0</v>
      </c>
      <c r="I628" t="n">
        <v>0</v>
      </c>
      <c r="J628" t="n">
        <v>0</v>
      </c>
      <c r="K628" t="n">
        <v>0</v>
      </c>
      <c r="L628" t="n">
        <v>0</v>
      </c>
      <c r="M628" t="n">
        <v>0</v>
      </c>
      <c r="N628" t="n">
        <v>0</v>
      </c>
      <c r="O628" t="n">
        <v>0</v>
      </c>
      <c r="P628" t="n">
        <v>0</v>
      </c>
      <c r="Q628" t="n">
        <v>0</v>
      </c>
      <c r="R628" s="2" t="inlineStr"/>
    </row>
    <row r="629" ht="15" customHeight="1">
      <c r="A629" t="inlineStr">
        <is>
          <t>A 41311-2023</t>
        </is>
      </c>
      <c r="B629" s="1" t="n">
        <v>45174</v>
      </c>
      <c r="C629" s="1" t="n">
        <v>46194</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10785-2025</t>
        </is>
      </c>
      <c r="B630" s="1" t="n">
        <v>45722</v>
      </c>
      <c r="C630" s="1" t="n">
        <v>46194</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18020-2025</t>
        </is>
      </c>
      <c r="B631" s="1" t="n">
        <v>45761</v>
      </c>
      <c r="C631" s="1" t="n">
        <v>46194</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585-2024</t>
        </is>
      </c>
      <c r="B632" s="1" t="n">
        <v>45299</v>
      </c>
      <c r="C632" s="1" t="n">
        <v>46194</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6802-2025</t>
        </is>
      </c>
      <c r="B633" s="1" t="n">
        <v>45700</v>
      </c>
      <c r="C633" s="1" t="n">
        <v>46194</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56020-2024</t>
        </is>
      </c>
      <c r="B634" s="1" t="n">
        <v>45623</v>
      </c>
      <c r="C634" s="1" t="n">
        <v>46194</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33842-2022</t>
        </is>
      </c>
      <c r="B635" s="1" t="n">
        <v>44790</v>
      </c>
      <c r="C635" s="1" t="n">
        <v>46194</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60675-2023</t>
        </is>
      </c>
      <c r="B636" s="1" t="n">
        <v>45260</v>
      </c>
      <c r="C636" s="1" t="n">
        <v>46194</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40095-2022</t>
        </is>
      </c>
      <c r="B637" s="1" t="n">
        <v>44820</v>
      </c>
      <c r="C637" s="1" t="n">
        <v>46194</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19537-2022</t>
        </is>
      </c>
      <c r="B638" s="1" t="n">
        <v>44693</v>
      </c>
      <c r="C638" s="1" t="n">
        <v>46194</v>
      </c>
      <c r="D638" t="inlineStr">
        <is>
          <t>KALMAR LÄN</t>
        </is>
      </c>
      <c r="E638" t="inlineStr">
        <is>
          <t>VIMMERBY</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57311-2023</t>
        </is>
      </c>
      <c r="B639" s="1" t="n">
        <v>45245</v>
      </c>
      <c r="C639" s="1" t="n">
        <v>46194</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64428-2023</t>
        </is>
      </c>
      <c r="B640" s="1" t="n">
        <v>45280</v>
      </c>
      <c r="C640" s="1" t="n">
        <v>46194</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4527-2023</t>
        </is>
      </c>
      <c r="B641" s="1" t="n">
        <v>44956</v>
      </c>
      <c r="C641" s="1" t="n">
        <v>46194</v>
      </c>
      <c r="D641" t="inlineStr">
        <is>
          <t>KALMAR LÄN</t>
        </is>
      </c>
      <c r="E641" t="inlineStr">
        <is>
          <t>VIMMERBY</t>
        </is>
      </c>
      <c r="F641" t="inlineStr">
        <is>
          <t>Kommuner</t>
        </is>
      </c>
      <c r="G641" t="n">
        <v>8.5</v>
      </c>
      <c r="H641" t="n">
        <v>0</v>
      </c>
      <c r="I641" t="n">
        <v>0</v>
      </c>
      <c r="J641" t="n">
        <v>0</v>
      </c>
      <c r="K641" t="n">
        <v>0</v>
      </c>
      <c r="L641" t="n">
        <v>0</v>
      </c>
      <c r="M641" t="n">
        <v>0</v>
      </c>
      <c r="N641" t="n">
        <v>0</v>
      </c>
      <c r="O641" t="n">
        <v>0</v>
      </c>
      <c r="P641" t="n">
        <v>0</v>
      </c>
      <c r="Q641" t="n">
        <v>0</v>
      </c>
      <c r="R641" s="2" t="inlineStr"/>
    </row>
    <row r="642" ht="15" customHeight="1">
      <c r="A642" t="inlineStr">
        <is>
          <t>A 3268-2024</t>
        </is>
      </c>
      <c r="B642" s="1" t="n">
        <v>45317</v>
      </c>
      <c r="C642" s="1" t="n">
        <v>46194</v>
      </c>
      <c r="D642" t="inlineStr">
        <is>
          <t>KALMAR LÄN</t>
        </is>
      </c>
      <c r="E642" t="inlineStr">
        <is>
          <t>VIMMERBY</t>
        </is>
      </c>
      <c r="F642" t="inlineStr">
        <is>
          <t>Övriga Aktiebolag</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51408-2023</t>
        </is>
      </c>
      <c r="B643" s="1" t="n">
        <v>45219</v>
      </c>
      <c r="C643" s="1" t="n">
        <v>46194</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6817-2026</t>
        </is>
      </c>
      <c r="B644" s="1" t="n">
        <v>46057</v>
      </c>
      <c r="C644" s="1" t="n">
        <v>46194</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52588-2023</t>
        </is>
      </c>
      <c r="B645" s="1" t="n">
        <v>45225</v>
      </c>
      <c r="C645" s="1" t="n">
        <v>46194</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55236-2023</t>
        </is>
      </c>
      <c r="B646" s="1" t="n">
        <v>45237</v>
      </c>
      <c r="C646" s="1" t="n">
        <v>46194</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55245-2023</t>
        </is>
      </c>
      <c r="B647" s="1" t="n">
        <v>45237</v>
      </c>
      <c r="C647" s="1" t="n">
        <v>46194</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46194</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33838-2022</t>
        </is>
      </c>
      <c r="B649" s="1" t="n">
        <v>44790</v>
      </c>
      <c r="C649" s="1" t="n">
        <v>46194</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4058-2024</t>
        </is>
      </c>
      <c r="B650" s="1" t="n">
        <v>45323</v>
      </c>
      <c r="C650" s="1" t="n">
        <v>46194</v>
      </c>
      <c r="D650" t="inlineStr">
        <is>
          <t>KALMAR LÄN</t>
        </is>
      </c>
      <c r="E650" t="inlineStr">
        <is>
          <t>VIMMERBY</t>
        </is>
      </c>
      <c r="G650" t="n">
        <v>6.5</v>
      </c>
      <c r="H650" t="n">
        <v>0</v>
      </c>
      <c r="I650" t="n">
        <v>0</v>
      </c>
      <c r="J650" t="n">
        <v>0</v>
      </c>
      <c r="K650" t="n">
        <v>0</v>
      </c>
      <c r="L650" t="n">
        <v>0</v>
      </c>
      <c r="M650" t="n">
        <v>0</v>
      </c>
      <c r="N650" t="n">
        <v>0</v>
      </c>
      <c r="O650" t="n">
        <v>0</v>
      </c>
      <c r="P650" t="n">
        <v>0</v>
      </c>
      <c r="Q650" t="n">
        <v>0</v>
      </c>
      <c r="R650" s="2" t="inlineStr"/>
    </row>
    <row r="651" ht="15" customHeight="1">
      <c r="A651" t="inlineStr">
        <is>
          <t>A 36008-2024</t>
        </is>
      </c>
      <c r="B651" s="1" t="n">
        <v>45533</v>
      </c>
      <c r="C651" s="1" t="n">
        <v>46194</v>
      </c>
      <c r="D651" t="inlineStr">
        <is>
          <t>KALMAR LÄN</t>
        </is>
      </c>
      <c r="E651" t="inlineStr">
        <is>
          <t>VIMMERBY</t>
        </is>
      </c>
      <c r="G651" t="n">
        <v>3.7</v>
      </c>
      <c r="H651" t="n">
        <v>0</v>
      </c>
      <c r="I651" t="n">
        <v>0</v>
      </c>
      <c r="J651" t="n">
        <v>0</v>
      </c>
      <c r="K651" t="n">
        <v>0</v>
      </c>
      <c r="L651" t="n">
        <v>0</v>
      </c>
      <c r="M651" t="n">
        <v>0</v>
      </c>
      <c r="N651" t="n">
        <v>0</v>
      </c>
      <c r="O651" t="n">
        <v>0</v>
      </c>
      <c r="P651" t="n">
        <v>0</v>
      </c>
      <c r="Q651" t="n">
        <v>0</v>
      </c>
      <c r="R651" s="2" t="inlineStr"/>
    </row>
    <row r="652" ht="15" customHeight="1">
      <c r="A652" t="inlineStr">
        <is>
          <t>A 8540-2024</t>
        </is>
      </c>
      <c r="B652" s="1" t="n">
        <v>45355</v>
      </c>
      <c r="C652" s="1" t="n">
        <v>46194</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8595-2026</t>
        </is>
      </c>
      <c r="B653" s="1" t="n">
        <v>46065</v>
      </c>
      <c r="C653" s="1" t="n">
        <v>46194</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9623-2024</t>
        </is>
      </c>
      <c r="B654" s="1" t="n">
        <v>45361</v>
      </c>
      <c r="C654" s="1" t="n">
        <v>46194</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5146-2024</t>
        </is>
      </c>
      <c r="B655" s="1" t="n">
        <v>45330</v>
      </c>
      <c r="C655" s="1" t="n">
        <v>46194</v>
      </c>
      <c r="D655" t="inlineStr">
        <is>
          <t>KALMAR LÄN</t>
        </is>
      </c>
      <c r="E655" t="inlineStr">
        <is>
          <t>VIMMERBY</t>
        </is>
      </c>
      <c r="G655" t="n">
        <v>5.3</v>
      </c>
      <c r="H655" t="n">
        <v>0</v>
      </c>
      <c r="I655" t="n">
        <v>0</v>
      </c>
      <c r="J655" t="n">
        <v>0</v>
      </c>
      <c r="K655" t="n">
        <v>0</v>
      </c>
      <c r="L655" t="n">
        <v>0</v>
      </c>
      <c r="M655" t="n">
        <v>0</v>
      </c>
      <c r="N655" t="n">
        <v>0</v>
      </c>
      <c r="O655" t="n">
        <v>0</v>
      </c>
      <c r="P655" t="n">
        <v>0</v>
      </c>
      <c r="Q655" t="n">
        <v>0</v>
      </c>
      <c r="R655" s="2" t="inlineStr"/>
    </row>
    <row r="656" ht="15" customHeight="1">
      <c r="A656" t="inlineStr">
        <is>
          <t>A 5148-2024</t>
        </is>
      </c>
      <c r="B656" s="1" t="n">
        <v>45330</v>
      </c>
      <c r="C656" s="1" t="n">
        <v>46194</v>
      </c>
      <c r="D656" t="inlineStr">
        <is>
          <t>KALMAR LÄN</t>
        </is>
      </c>
      <c r="E656" t="inlineStr">
        <is>
          <t>VIMMERBY</t>
        </is>
      </c>
      <c r="G656" t="n">
        <v>5.6</v>
      </c>
      <c r="H656" t="n">
        <v>0</v>
      </c>
      <c r="I656" t="n">
        <v>0</v>
      </c>
      <c r="J656" t="n">
        <v>0</v>
      </c>
      <c r="K656" t="n">
        <v>0</v>
      </c>
      <c r="L656" t="n">
        <v>0</v>
      </c>
      <c r="M656" t="n">
        <v>0</v>
      </c>
      <c r="N656" t="n">
        <v>0</v>
      </c>
      <c r="O656" t="n">
        <v>0</v>
      </c>
      <c r="P656" t="n">
        <v>0</v>
      </c>
      <c r="Q656" t="n">
        <v>0</v>
      </c>
      <c r="R656" s="2" t="inlineStr"/>
    </row>
    <row r="657" ht="15" customHeight="1">
      <c r="A657" t="inlineStr">
        <is>
          <t>A 44179-2022</t>
        </is>
      </c>
      <c r="B657" s="1" t="n">
        <v>44839</v>
      </c>
      <c r="C657" s="1" t="n">
        <v>46194</v>
      </c>
      <c r="D657" t="inlineStr">
        <is>
          <t>KALMAR LÄN</t>
        </is>
      </c>
      <c r="E657" t="inlineStr">
        <is>
          <t>VIMMERBY</t>
        </is>
      </c>
      <c r="G657" t="n">
        <v>2.8</v>
      </c>
      <c r="H657" t="n">
        <v>0</v>
      </c>
      <c r="I657" t="n">
        <v>0</v>
      </c>
      <c r="J657" t="n">
        <v>0</v>
      </c>
      <c r="K657" t="n">
        <v>0</v>
      </c>
      <c r="L657" t="n">
        <v>0</v>
      </c>
      <c r="M657" t="n">
        <v>0</v>
      </c>
      <c r="N657" t="n">
        <v>0</v>
      </c>
      <c r="O657" t="n">
        <v>0</v>
      </c>
      <c r="P657" t="n">
        <v>0</v>
      </c>
      <c r="Q657" t="n">
        <v>0</v>
      </c>
      <c r="R657" s="2" t="inlineStr"/>
    </row>
    <row r="658" ht="15" customHeight="1">
      <c r="A658" t="inlineStr">
        <is>
          <t>A 50648-2023</t>
        </is>
      </c>
      <c r="B658" s="1" t="n">
        <v>45217</v>
      </c>
      <c r="C658" s="1" t="n">
        <v>46194</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2121-2022</t>
        </is>
      </c>
      <c r="B659" s="1" t="n">
        <v>44578</v>
      </c>
      <c r="C659" s="1" t="n">
        <v>46194</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57799-2022</t>
        </is>
      </c>
      <c r="B660" s="1" t="n">
        <v>44897</v>
      </c>
      <c r="C660" s="1" t="n">
        <v>46194</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26318-2023</t>
        </is>
      </c>
      <c r="B661" s="1" t="n">
        <v>45091</v>
      </c>
      <c r="C661" s="1" t="n">
        <v>46194</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60437-2023</t>
        </is>
      </c>
      <c r="B662" s="1" t="n">
        <v>45259</v>
      </c>
      <c r="C662" s="1" t="n">
        <v>46194</v>
      </c>
      <c r="D662" t="inlineStr">
        <is>
          <t>KALMAR LÄN</t>
        </is>
      </c>
      <c r="E662" t="inlineStr">
        <is>
          <t>VIMMERBY</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60438-2023</t>
        </is>
      </c>
      <c r="B663" s="1" t="n">
        <v>45259</v>
      </c>
      <c r="C663" s="1" t="n">
        <v>46194</v>
      </c>
      <c r="D663" t="inlineStr">
        <is>
          <t>KALMAR LÄN</t>
        </is>
      </c>
      <c r="E663" t="inlineStr">
        <is>
          <t>VIMMERBY</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v>
      </c>
      <c r="C664" s="1" t="n">
        <v>46194</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6082-2022</t>
        </is>
      </c>
      <c r="B665" s="1" t="n">
        <v>44599</v>
      </c>
      <c r="C665" s="1" t="n">
        <v>46194</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46979-2023</t>
        </is>
      </c>
      <c r="B666" s="1" t="n">
        <v>45201</v>
      </c>
      <c r="C666" s="1" t="n">
        <v>46194</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2596-2025</t>
        </is>
      </c>
      <c r="B667" s="1" t="n">
        <v>45674</v>
      </c>
      <c r="C667" s="1" t="n">
        <v>46194</v>
      </c>
      <c r="D667" t="inlineStr">
        <is>
          <t>KALMAR LÄN</t>
        </is>
      </c>
      <c r="E667" t="inlineStr">
        <is>
          <t>VIMMERBY</t>
        </is>
      </c>
      <c r="G667" t="n">
        <v>9</v>
      </c>
      <c r="H667" t="n">
        <v>0</v>
      </c>
      <c r="I667" t="n">
        <v>0</v>
      </c>
      <c r="J667" t="n">
        <v>0</v>
      </c>
      <c r="K667" t="n">
        <v>0</v>
      </c>
      <c r="L667" t="n">
        <v>0</v>
      </c>
      <c r="M667" t="n">
        <v>0</v>
      </c>
      <c r="N667" t="n">
        <v>0</v>
      </c>
      <c r="O667" t="n">
        <v>0</v>
      </c>
      <c r="P667" t="n">
        <v>0</v>
      </c>
      <c r="Q667" t="n">
        <v>0</v>
      </c>
      <c r="R667" s="2" t="inlineStr"/>
    </row>
    <row r="668" ht="15" customHeight="1">
      <c r="A668" t="inlineStr">
        <is>
          <t>A 47855-2024</t>
        </is>
      </c>
      <c r="B668" s="1" t="n">
        <v>45588</v>
      </c>
      <c r="C668" s="1" t="n">
        <v>46194</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63583-2023</t>
        </is>
      </c>
      <c r="B669" s="1" t="n">
        <v>45275</v>
      </c>
      <c r="C669" s="1" t="n">
        <v>46194</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60228-2021</t>
        </is>
      </c>
      <c r="B670" s="1" t="n">
        <v>44495</v>
      </c>
      <c r="C670" s="1" t="n">
        <v>46194</v>
      </c>
      <c r="D670" t="inlineStr">
        <is>
          <t>KALMAR LÄN</t>
        </is>
      </c>
      <c r="E670" t="inlineStr">
        <is>
          <t>VIMMERBY</t>
        </is>
      </c>
      <c r="G670" t="n">
        <v>4.1</v>
      </c>
      <c r="H670" t="n">
        <v>0</v>
      </c>
      <c r="I670" t="n">
        <v>0</v>
      </c>
      <c r="J670" t="n">
        <v>0</v>
      </c>
      <c r="K670" t="n">
        <v>0</v>
      </c>
      <c r="L670" t="n">
        <v>0</v>
      </c>
      <c r="M670" t="n">
        <v>0</v>
      </c>
      <c r="N670" t="n">
        <v>0</v>
      </c>
      <c r="O670" t="n">
        <v>0</v>
      </c>
      <c r="P670" t="n">
        <v>0</v>
      </c>
      <c r="Q670" t="n">
        <v>0</v>
      </c>
      <c r="R670" s="2" t="inlineStr"/>
    </row>
    <row r="671" ht="15" customHeight="1">
      <c r="A671" t="inlineStr">
        <is>
          <t>A 46522-2022</t>
        </is>
      </c>
      <c r="B671" s="1" t="n">
        <v>44848</v>
      </c>
      <c r="C671" s="1" t="n">
        <v>46194</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21109-2024</t>
        </is>
      </c>
      <c r="B672" s="1" t="n">
        <v>45440</v>
      </c>
      <c r="C672" s="1" t="n">
        <v>46194</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33815-2022</t>
        </is>
      </c>
      <c r="B673" s="1" t="n">
        <v>44790</v>
      </c>
      <c r="C673" s="1" t="n">
        <v>46194</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49461-2022</t>
        </is>
      </c>
      <c r="B674" s="1" t="n">
        <v>44861</v>
      </c>
      <c r="C674" s="1" t="n">
        <v>46194</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11407-2026</t>
        </is>
      </c>
      <c r="B675" s="1" t="n">
        <v>46083</v>
      </c>
      <c r="C675" s="1" t="n">
        <v>46194</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53542-2022</t>
        </is>
      </c>
      <c r="B676" s="1" t="n">
        <v>44879</v>
      </c>
      <c r="C676" s="1" t="n">
        <v>46194</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35713-2023</t>
        </is>
      </c>
      <c r="B677" s="1" t="n">
        <v>45147</v>
      </c>
      <c r="C677" s="1" t="n">
        <v>46194</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11415-2026</t>
        </is>
      </c>
      <c r="B678" s="1" t="n">
        <v>46083</v>
      </c>
      <c r="C678" s="1" t="n">
        <v>46194</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10424-2023</t>
        </is>
      </c>
      <c r="B679" s="1" t="n">
        <v>44987</v>
      </c>
      <c r="C679" s="1" t="n">
        <v>46194</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33340-2023</t>
        </is>
      </c>
      <c r="B680" s="1" t="n">
        <v>45128</v>
      </c>
      <c r="C680" s="1" t="n">
        <v>46194</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29017-2024</t>
        </is>
      </c>
      <c r="B681" s="1" t="n">
        <v>45481</v>
      </c>
      <c r="C681" s="1" t="n">
        <v>46194</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58046-2022</t>
        </is>
      </c>
      <c r="B682" s="1" t="n">
        <v>44900</v>
      </c>
      <c r="C682" s="1" t="n">
        <v>46194</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14548-2024</t>
        </is>
      </c>
      <c r="B683" s="1" t="n">
        <v>45394</v>
      </c>
      <c r="C683" s="1" t="n">
        <v>46194</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48120-2022</t>
        </is>
      </c>
      <c r="B684" s="1" t="n">
        <v>44857</v>
      </c>
      <c r="C684" s="1" t="n">
        <v>46194</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46194</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11074-2023</t>
        </is>
      </c>
      <c r="B686" s="1" t="n">
        <v>44992</v>
      </c>
      <c r="C686" s="1" t="n">
        <v>46194</v>
      </c>
      <c r="D686" t="inlineStr">
        <is>
          <t>KALMAR LÄN</t>
        </is>
      </c>
      <c r="E686" t="inlineStr">
        <is>
          <t>VIMMERBY</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71631-2021</t>
        </is>
      </c>
      <c r="B687" s="1" t="n">
        <v>44542</v>
      </c>
      <c r="C687" s="1" t="n">
        <v>46194</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12730-2026</t>
        </is>
      </c>
      <c r="B688" s="1" t="n">
        <v>46091</v>
      </c>
      <c r="C688" s="1" t="n">
        <v>46194</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49039-2021</t>
        </is>
      </c>
      <c r="B689" s="1" t="n">
        <v>44453</v>
      </c>
      <c r="C689" s="1" t="n">
        <v>46194</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42918-2021</t>
        </is>
      </c>
      <c r="B690" s="1" t="n">
        <v>44431</v>
      </c>
      <c r="C690" s="1" t="n">
        <v>46194</v>
      </c>
      <c r="D690" t="inlineStr">
        <is>
          <t>KALMAR LÄN</t>
        </is>
      </c>
      <c r="E690" t="inlineStr">
        <is>
          <t>VIMMERBY</t>
        </is>
      </c>
      <c r="G690" t="n">
        <v>1.6</v>
      </c>
      <c r="H690" t="n">
        <v>0</v>
      </c>
      <c r="I690" t="n">
        <v>0</v>
      </c>
      <c r="J690" t="n">
        <v>0</v>
      </c>
      <c r="K690" t="n">
        <v>0</v>
      </c>
      <c r="L690" t="n">
        <v>0</v>
      </c>
      <c r="M690" t="n">
        <v>0</v>
      </c>
      <c r="N690" t="n">
        <v>0</v>
      </c>
      <c r="O690" t="n">
        <v>0</v>
      </c>
      <c r="P690" t="n">
        <v>0</v>
      </c>
      <c r="Q690" t="n">
        <v>0</v>
      </c>
      <c r="R690" s="2" t="inlineStr"/>
    </row>
    <row r="691" ht="15" customHeight="1">
      <c r="A691" t="inlineStr">
        <is>
          <t>A 529-2022</t>
        </is>
      </c>
      <c r="B691" s="1" t="n">
        <v>44566</v>
      </c>
      <c r="C691" s="1" t="n">
        <v>46194</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v>
      </c>
      <c r="C692" s="1" t="n">
        <v>46194</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60951-2023</t>
        </is>
      </c>
      <c r="B693" s="1" t="n">
        <v>45261</v>
      </c>
      <c r="C693" s="1" t="n">
        <v>46194</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19162-2023</t>
        </is>
      </c>
      <c r="B694" s="1" t="n">
        <v>45048</v>
      </c>
      <c r="C694" s="1" t="n">
        <v>46194</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12820-2026</t>
        </is>
      </c>
      <c r="B695" s="1" t="n">
        <v>46092</v>
      </c>
      <c r="C695" s="1" t="n">
        <v>46194</v>
      </c>
      <c r="D695" t="inlineStr">
        <is>
          <t>KALMAR LÄN</t>
        </is>
      </c>
      <c r="E695" t="inlineStr">
        <is>
          <t>VIMMERBY</t>
        </is>
      </c>
      <c r="G695" t="n">
        <v>4.3</v>
      </c>
      <c r="H695" t="n">
        <v>0</v>
      </c>
      <c r="I695" t="n">
        <v>0</v>
      </c>
      <c r="J695" t="n">
        <v>0</v>
      </c>
      <c r="K695" t="n">
        <v>0</v>
      </c>
      <c r="L695" t="n">
        <v>0</v>
      </c>
      <c r="M695" t="n">
        <v>0</v>
      </c>
      <c r="N695" t="n">
        <v>0</v>
      </c>
      <c r="O695" t="n">
        <v>0</v>
      </c>
      <c r="P695" t="n">
        <v>0</v>
      </c>
      <c r="Q695" t="n">
        <v>0</v>
      </c>
      <c r="R695" s="2" t="inlineStr"/>
    </row>
    <row r="696" ht="15" customHeight="1">
      <c r="A696" t="inlineStr">
        <is>
          <t>A 12821-2026</t>
        </is>
      </c>
      <c r="B696" s="1" t="n">
        <v>46092</v>
      </c>
      <c r="C696" s="1" t="n">
        <v>46194</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12825-2026</t>
        </is>
      </c>
      <c r="B697" s="1" t="n">
        <v>46092</v>
      </c>
      <c r="C697" s="1" t="n">
        <v>46194</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31209-2024</t>
        </is>
      </c>
      <c r="B698" s="1" t="n">
        <v>45503</v>
      </c>
      <c r="C698" s="1" t="n">
        <v>46194</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5864-2022</t>
        </is>
      </c>
      <c r="B699" s="1" t="n">
        <v>44596</v>
      </c>
      <c r="C699" s="1" t="n">
        <v>46194</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13667-2026</t>
        </is>
      </c>
      <c r="B700" s="1" t="n">
        <v>46097</v>
      </c>
      <c r="C700" s="1" t="n">
        <v>46194</v>
      </c>
      <c r="D700" t="inlineStr">
        <is>
          <t>KALMAR LÄN</t>
        </is>
      </c>
      <c r="E700" t="inlineStr">
        <is>
          <t>VIMMERBY</t>
        </is>
      </c>
      <c r="G700" t="n">
        <v>6.8</v>
      </c>
      <c r="H700" t="n">
        <v>0</v>
      </c>
      <c r="I700" t="n">
        <v>0</v>
      </c>
      <c r="J700" t="n">
        <v>0</v>
      </c>
      <c r="K700" t="n">
        <v>0</v>
      </c>
      <c r="L700" t="n">
        <v>0</v>
      </c>
      <c r="M700" t="n">
        <v>0</v>
      </c>
      <c r="N700" t="n">
        <v>0</v>
      </c>
      <c r="O700" t="n">
        <v>0</v>
      </c>
      <c r="P700" t="n">
        <v>0</v>
      </c>
      <c r="Q700" t="n">
        <v>0</v>
      </c>
      <c r="R700" s="2" t="inlineStr"/>
    </row>
    <row r="701" ht="15" customHeight="1">
      <c r="A701" t="inlineStr">
        <is>
          <t>A 3938-2023</t>
        </is>
      </c>
      <c r="B701" s="1" t="n">
        <v>44952</v>
      </c>
      <c r="C701" s="1" t="n">
        <v>46194</v>
      </c>
      <c r="D701" t="inlineStr">
        <is>
          <t>KALMAR LÄN</t>
        </is>
      </c>
      <c r="E701" t="inlineStr">
        <is>
          <t>VIMMERBY</t>
        </is>
      </c>
      <c r="G701" t="n">
        <v>0.9</v>
      </c>
      <c r="H701" t="n">
        <v>0</v>
      </c>
      <c r="I701" t="n">
        <v>0</v>
      </c>
      <c r="J701" t="n">
        <v>0</v>
      </c>
      <c r="K701" t="n">
        <v>0</v>
      </c>
      <c r="L701" t="n">
        <v>0</v>
      </c>
      <c r="M701" t="n">
        <v>0</v>
      </c>
      <c r="N701" t="n">
        <v>0</v>
      </c>
      <c r="O701" t="n">
        <v>0</v>
      </c>
      <c r="P701" t="n">
        <v>0</v>
      </c>
      <c r="Q701" t="n">
        <v>0</v>
      </c>
      <c r="R701" s="2" t="inlineStr"/>
    </row>
    <row r="702" ht="15" customHeight="1">
      <c r="A702" t="inlineStr">
        <is>
          <t>A 13793-2026</t>
        </is>
      </c>
      <c r="B702" s="1" t="n">
        <v>46097</v>
      </c>
      <c r="C702" s="1" t="n">
        <v>46194</v>
      </c>
      <c r="D702" t="inlineStr">
        <is>
          <t>KALMAR LÄN</t>
        </is>
      </c>
      <c r="E702" t="inlineStr">
        <is>
          <t>VIMMERBY</t>
        </is>
      </c>
      <c r="G702" t="n">
        <v>2.9</v>
      </c>
      <c r="H702" t="n">
        <v>0</v>
      </c>
      <c r="I702" t="n">
        <v>0</v>
      </c>
      <c r="J702" t="n">
        <v>0</v>
      </c>
      <c r="K702" t="n">
        <v>0</v>
      </c>
      <c r="L702" t="n">
        <v>0</v>
      </c>
      <c r="M702" t="n">
        <v>0</v>
      </c>
      <c r="N702" t="n">
        <v>0</v>
      </c>
      <c r="O702" t="n">
        <v>0</v>
      </c>
      <c r="P702" t="n">
        <v>0</v>
      </c>
      <c r="Q702" t="n">
        <v>0</v>
      </c>
      <c r="R702" s="2" t="inlineStr"/>
    </row>
    <row r="703" ht="15" customHeight="1">
      <c r="A703" t="inlineStr">
        <is>
          <t>A 14279-2026</t>
        </is>
      </c>
      <c r="B703" s="1" t="n">
        <v>46099</v>
      </c>
      <c r="C703" s="1" t="n">
        <v>46194</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50085-2023</t>
        </is>
      </c>
      <c r="B704" s="1" t="n">
        <v>45215</v>
      </c>
      <c r="C704" s="1" t="n">
        <v>46194</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v>
      </c>
      <c r="C705" s="1" t="n">
        <v>46194</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14320-2026</t>
        </is>
      </c>
      <c r="B706" s="1" t="n">
        <v>46099</v>
      </c>
      <c r="C706" s="1" t="n">
        <v>46194</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14318-2026</t>
        </is>
      </c>
      <c r="B707" s="1" t="n">
        <v>46099</v>
      </c>
      <c r="C707" s="1" t="n">
        <v>46194</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15205-2026</t>
        </is>
      </c>
      <c r="B708" s="1" t="n">
        <v>46105</v>
      </c>
      <c r="C708" s="1" t="n">
        <v>46194</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15054-2026</t>
        </is>
      </c>
      <c r="B709" s="1" t="n">
        <v>46104</v>
      </c>
      <c r="C709" s="1" t="n">
        <v>46194</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14793-2026</t>
        </is>
      </c>
      <c r="B710" s="1" t="n">
        <v>46101</v>
      </c>
      <c r="C710" s="1" t="n">
        <v>46194</v>
      </c>
      <c r="D710" t="inlineStr">
        <is>
          <t>KALMAR LÄN</t>
        </is>
      </c>
      <c r="E710" t="inlineStr">
        <is>
          <t>VIMMERBY</t>
        </is>
      </c>
      <c r="G710" t="n">
        <v>5.7</v>
      </c>
      <c r="H710" t="n">
        <v>0</v>
      </c>
      <c r="I710" t="n">
        <v>0</v>
      </c>
      <c r="J710" t="n">
        <v>0</v>
      </c>
      <c r="K710" t="n">
        <v>0</v>
      </c>
      <c r="L710" t="n">
        <v>0</v>
      </c>
      <c r="M710" t="n">
        <v>0</v>
      </c>
      <c r="N710" t="n">
        <v>0</v>
      </c>
      <c r="O710" t="n">
        <v>0</v>
      </c>
      <c r="P710" t="n">
        <v>0</v>
      </c>
      <c r="Q710" t="n">
        <v>0</v>
      </c>
      <c r="R710" s="2" t="inlineStr"/>
    </row>
    <row r="711" ht="15" customHeight="1">
      <c r="A711" t="inlineStr">
        <is>
          <t>A 14792-2026</t>
        </is>
      </c>
      <c r="B711" s="1" t="n">
        <v>46101</v>
      </c>
      <c r="C711" s="1" t="n">
        <v>46194</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16183-2026</t>
        </is>
      </c>
      <c r="B712" s="1" t="n">
        <v>46111</v>
      </c>
      <c r="C712" s="1" t="n">
        <v>46194</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16632-2026</t>
        </is>
      </c>
      <c r="B713" s="1" t="n">
        <v>46112</v>
      </c>
      <c r="C713" s="1" t="n">
        <v>46194</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16653-2026</t>
        </is>
      </c>
      <c r="B714" s="1" t="n">
        <v>46112</v>
      </c>
      <c r="C714" s="1" t="n">
        <v>46194</v>
      </c>
      <c r="D714" t="inlineStr">
        <is>
          <t>KALMAR LÄN</t>
        </is>
      </c>
      <c r="E714" t="inlineStr">
        <is>
          <t>VIMMERBY</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16672-2026</t>
        </is>
      </c>
      <c r="B715" s="1" t="n">
        <v>46112</v>
      </c>
      <c r="C715" s="1" t="n">
        <v>46194</v>
      </c>
      <c r="D715" t="inlineStr">
        <is>
          <t>KALMAR LÄN</t>
        </is>
      </c>
      <c r="E715" t="inlineStr">
        <is>
          <t>VIMMERBY</t>
        </is>
      </c>
      <c r="F715" t="inlineStr">
        <is>
          <t>Kommuner</t>
        </is>
      </c>
      <c r="G715" t="n">
        <v>1.4</v>
      </c>
      <c r="H715" t="n">
        <v>0</v>
      </c>
      <c r="I715" t="n">
        <v>0</v>
      </c>
      <c r="J715" t="n">
        <v>0</v>
      </c>
      <c r="K715" t="n">
        <v>0</v>
      </c>
      <c r="L715" t="n">
        <v>0</v>
      </c>
      <c r="M715" t="n">
        <v>0</v>
      </c>
      <c r="N715" t="n">
        <v>0</v>
      </c>
      <c r="O715" t="n">
        <v>0</v>
      </c>
      <c r="P715" t="n">
        <v>0</v>
      </c>
      <c r="Q715" t="n">
        <v>0</v>
      </c>
      <c r="R715" s="2" t="inlineStr"/>
    </row>
    <row r="716" ht="15" customHeight="1">
      <c r="A716" t="inlineStr">
        <is>
          <t>A 16870-2026</t>
        </is>
      </c>
      <c r="B716" s="1" t="n">
        <v>46113</v>
      </c>
      <c r="C716" s="1" t="n">
        <v>46194</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v>
      </c>
      <c r="C717" s="1" t="n">
        <v>46194</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16799-2026</t>
        </is>
      </c>
      <c r="B718" s="1" t="n">
        <v>46113</v>
      </c>
      <c r="C718" s="1" t="n">
        <v>46194</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16801-2026</t>
        </is>
      </c>
      <c r="B719" s="1" t="n">
        <v>46113</v>
      </c>
      <c r="C719" s="1" t="n">
        <v>46194</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16675-2026</t>
        </is>
      </c>
      <c r="B720" s="1" t="n">
        <v>46112</v>
      </c>
      <c r="C720" s="1" t="n">
        <v>46194</v>
      </c>
      <c r="D720" t="inlineStr">
        <is>
          <t>KALMAR LÄN</t>
        </is>
      </c>
      <c r="E720" t="inlineStr">
        <is>
          <t>VIMMERBY</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16678-2026</t>
        </is>
      </c>
      <c r="B721" s="1" t="n">
        <v>46112</v>
      </c>
      <c r="C721" s="1" t="n">
        <v>46194</v>
      </c>
      <c r="D721" t="inlineStr">
        <is>
          <t>KALMAR LÄN</t>
        </is>
      </c>
      <c r="E721" t="inlineStr">
        <is>
          <t>VIMMERBY</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16648-2026</t>
        </is>
      </c>
      <c r="B722" s="1" t="n">
        <v>46112</v>
      </c>
      <c r="C722" s="1" t="n">
        <v>46194</v>
      </c>
      <c r="D722" t="inlineStr">
        <is>
          <t>KALMAR LÄN</t>
        </is>
      </c>
      <c r="E722" t="inlineStr">
        <is>
          <t>VIMMERBY</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16656-2026</t>
        </is>
      </c>
      <c r="B723" s="1" t="n">
        <v>46112</v>
      </c>
      <c r="C723" s="1" t="n">
        <v>46194</v>
      </c>
      <c r="D723" t="inlineStr">
        <is>
          <t>KALMAR LÄN</t>
        </is>
      </c>
      <c r="E723" t="inlineStr">
        <is>
          <t>VIMMERBY</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16823-2026</t>
        </is>
      </c>
      <c r="B724" s="1" t="n">
        <v>46113</v>
      </c>
      <c r="C724" s="1" t="n">
        <v>46194</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16617-2026</t>
        </is>
      </c>
      <c r="B725" s="1" t="n">
        <v>46112</v>
      </c>
      <c r="C725" s="1" t="n">
        <v>46194</v>
      </c>
      <c r="D725" t="inlineStr">
        <is>
          <t>KALMAR LÄN</t>
        </is>
      </c>
      <c r="E725" t="inlineStr">
        <is>
          <t>VIMMERBY</t>
        </is>
      </c>
      <c r="F725" t="inlineStr">
        <is>
          <t>Kommuner</t>
        </is>
      </c>
      <c r="G725" t="n">
        <v>0.6</v>
      </c>
      <c r="H725" t="n">
        <v>0</v>
      </c>
      <c r="I725" t="n">
        <v>0</v>
      </c>
      <c r="J725" t="n">
        <v>0</v>
      </c>
      <c r="K725" t="n">
        <v>0</v>
      </c>
      <c r="L725" t="n">
        <v>0</v>
      </c>
      <c r="M725" t="n">
        <v>0</v>
      </c>
      <c r="N725" t="n">
        <v>0</v>
      </c>
      <c r="O725" t="n">
        <v>0</v>
      </c>
      <c r="P725" t="n">
        <v>0</v>
      </c>
      <c r="Q725" t="n">
        <v>0</v>
      </c>
      <c r="R725" s="2" t="inlineStr"/>
    </row>
    <row r="726" ht="15" customHeight="1">
      <c r="A726" t="inlineStr">
        <is>
          <t>A 17713-2026</t>
        </is>
      </c>
      <c r="B726" s="1" t="n">
        <v>46121</v>
      </c>
      <c r="C726" s="1" t="n">
        <v>46194</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18122-2026</t>
        </is>
      </c>
      <c r="B727" s="1" t="n">
        <v>46125</v>
      </c>
      <c r="C727" s="1" t="n">
        <v>46194</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24932-2026</t>
        </is>
      </c>
      <c r="B728" s="1" t="n">
        <v>46174</v>
      </c>
      <c r="C728" s="1" t="n">
        <v>46194</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18633-2026</t>
        </is>
      </c>
      <c r="B729" s="1" t="n">
        <v>46128</v>
      </c>
      <c r="C729" s="1" t="n">
        <v>46194</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24930-2026</t>
        </is>
      </c>
      <c r="B730" s="1" t="n">
        <v>46174</v>
      </c>
      <c r="C730" s="1" t="n">
        <v>46194</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25194-2026</t>
        </is>
      </c>
      <c r="B731" s="1" t="n">
        <v>46175</v>
      </c>
      <c r="C731" s="1" t="n">
        <v>46194</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25106-2026</t>
        </is>
      </c>
      <c r="B732" s="1" t="n">
        <v>46175</v>
      </c>
      <c r="C732" s="1" t="n">
        <v>46194</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25284-2026</t>
        </is>
      </c>
      <c r="B733" s="1" t="n">
        <v>46176</v>
      </c>
      <c r="C733" s="1" t="n">
        <v>46194</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25192-2026</t>
        </is>
      </c>
      <c r="B734" s="1" t="n">
        <v>46175</v>
      </c>
      <c r="C734" s="1" t="n">
        <v>46194</v>
      </c>
      <c r="D734" t="inlineStr">
        <is>
          <t>KALMAR LÄN</t>
        </is>
      </c>
      <c r="E734" t="inlineStr">
        <is>
          <t>VIMMERBY</t>
        </is>
      </c>
      <c r="G734" t="n">
        <v>3.2</v>
      </c>
      <c r="H734" t="n">
        <v>0</v>
      </c>
      <c r="I734" t="n">
        <v>0</v>
      </c>
      <c r="J734" t="n">
        <v>0</v>
      </c>
      <c r="K734" t="n">
        <v>0</v>
      </c>
      <c r="L734" t="n">
        <v>0</v>
      </c>
      <c r="M734" t="n">
        <v>0</v>
      </c>
      <c r="N734" t="n">
        <v>0</v>
      </c>
      <c r="O734" t="n">
        <v>0</v>
      </c>
      <c r="P734" t="n">
        <v>0</v>
      </c>
      <c r="Q734" t="n">
        <v>0</v>
      </c>
      <c r="R734" s="2" t="inlineStr"/>
    </row>
    <row r="735" ht="15" customHeight="1">
      <c r="A735" t="inlineStr">
        <is>
          <t>A 25105-2026</t>
        </is>
      </c>
      <c r="B735" s="1" t="n">
        <v>46175</v>
      </c>
      <c r="C735" s="1" t="n">
        <v>46194</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25345-2026</t>
        </is>
      </c>
      <c r="B736" s="1" t="n">
        <v>46176</v>
      </c>
      <c r="C736" s="1" t="n">
        <v>46194</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25395-2026</t>
        </is>
      </c>
      <c r="B737" s="1" t="n">
        <v>46176</v>
      </c>
      <c r="C737" s="1" t="n">
        <v>46194</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25158-2026</t>
        </is>
      </c>
      <c r="B738" s="1" t="n">
        <v>46175</v>
      </c>
      <c r="C738" s="1" t="n">
        <v>46194</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37866-2025</t>
        </is>
      </c>
      <c r="B739" s="1" t="n">
        <v>45881</v>
      </c>
      <c r="C739" s="1" t="n">
        <v>46194</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20018-2026</t>
        </is>
      </c>
      <c r="B740" s="1" t="n">
        <v>46136</v>
      </c>
      <c r="C740" s="1" t="n">
        <v>46194</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45114-2025</t>
        </is>
      </c>
      <c r="B741" s="1" t="n">
        <v>45919</v>
      </c>
      <c r="C741" s="1" t="n">
        <v>46194</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52294-2023</t>
        </is>
      </c>
      <c r="B742" s="1" t="n">
        <v>45224</v>
      </c>
      <c r="C742" s="1" t="n">
        <v>46194</v>
      </c>
      <c r="D742" t="inlineStr">
        <is>
          <t>KALMAR LÄN</t>
        </is>
      </c>
      <c r="E742" t="inlineStr">
        <is>
          <t>VIMMERBY</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25830-2025</t>
        </is>
      </c>
      <c r="B743" s="1" t="n">
        <v>45804</v>
      </c>
      <c r="C743" s="1" t="n">
        <v>46194</v>
      </c>
      <c r="D743" t="inlineStr">
        <is>
          <t>KALMAR LÄN</t>
        </is>
      </c>
      <c r="E743" t="inlineStr">
        <is>
          <t>VIMMERBY</t>
        </is>
      </c>
      <c r="G743" t="n">
        <v>4.9</v>
      </c>
      <c r="H743" t="n">
        <v>0</v>
      </c>
      <c r="I743" t="n">
        <v>0</v>
      </c>
      <c r="J743" t="n">
        <v>0</v>
      </c>
      <c r="K743" t="n">
        <v>0</v>
      </c>
      <c r="L743" t="n">
        <v>0</v>
      </c>
      <c r="M743" t="n">
        <v>0</v>
      </c>
      <c r="N743" t="n">
        <v>0</v>
      </c>
      <c r="O743" t="n">
        <v>0</v>
      </c>
      <c r="P743" t="n">
        <v>0</v>
      </c>
      <c r="Q743" t="n">
        <v>0</v>
      </c>
      <c r="R743" s="2" t="inlineStr"/>
    </row>
    <row r="744" ht="15" customHeight="1">
      <c r="A744" t="inlineStr">
        <is>
          <t>A 36273-2025</t>
        </is>
      </c>
      <c r="B744" s="1" t="n">
        <v>45867</v>
      </c>
      <c r="C744" s="1" t="n">
        <v>46194</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36282-2025</t>
        </is>
      </c>
      <c r="B745" s="1" t="n">
        <v>45867</v>
      </c>
      <c r="C745" s="1" t="n">
        <v>46194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31876-2025</t>
        </is>
      </c>
      <c r="B746" s="1" t="n">
        <v>45834</v>
      </c>
      <c r="C746" s="1" t="n">
        <v>46194</v>
      </c>
      <c r="D746" t="inlineStr">
        <is>
          <t>KALMAR LÄN</t>
        </is>
      </c>
      <c r="E746" t="inlineStr">
        <is>
          <t>VIMMERBY</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58159-2024</t>
        </is>
      </c>
      <c r="B747" s="1" t="n">
        <v>45632</v>
      </c>
      <c r="C747" s="1" t="n">
        <v>46194</v>
      </c>
      <c r="D747" t="inlineStr">
        <is>
          <t>KALMAR LÄN</t>
        </is>
      </c>
      <c r="E747" t="inlineStr">
        <is>
          <t>VIMMERBY</t>
        </is>
      </c>
      <c r="G747" t="n">
        <v>7.5</v>
      </c>
      <c r="H747" t="n">
        <v>0</v>
      </c>
      <c r="I747" t="n">
        <v>0</v>
      </c>
      <c r="J747" t="n">
        <v>0</v>
      </c>
      <c r="K747" t="n">
        <v>0</v>
      </c>
      <c r="L747" t="n">
        <v>0</v>
      </c>
      <c r="M747" t="n">
        <v>0</v>
      </c>
      <c r="N747" t="n">
        <v>0</v>
      </c>
      <c r="O747" t="n">
        <v>0</v>
      </c>
      <c r="P747" t="n">
        <v>0</v>
      </c>
      <c r="Q747" t="n">
        <v>0</v>
      </c>
      <c r="R747" s="2" t="inlineStr"/>
    </row>
    <row r="748" ht="15" customHeight="1">
      <c r="A748" t="inlineStr">
        <is>
          <t>A 20017-2026</t>
        </is>
      </c>
      <c r="B748" s="1" t="n">
        <v>46136</v>
      </c>
      <c r="C748" s="1" t="n">
        <v>46194</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28282-2025</t>
        </is>
      </c>
      <c r="B749" s="1" t="n">
        <v>45818</v>
      </c>
      <c r="C749" s="1" t="n">
        <v>46194</v>
      </c>
      <c r="D749" t="inlineStr">
        <is>
          <t>KALMAR LÄN</t>
        </is>
      </c>
      <c r="E749" t="inlineStr">
        <is>
          <t>VIMMERBY</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16015-2025</t>
        </is>
      </c>
      <c r="B750" s="1" t="n">
        <v>45749</v>
      </c>
      <c r="C750" s="1" t="n">
        <v>46194</v>
      </c>
      <c r="D750" t="inlineStr">
        <is>
          <t>KALMAR LÄN</t>
        </is>
      </c>
      <c r="E750" t="inlineStr">
        <is>
          <t>VIMMERBY</t>
        </is>
      </c>
      <c r="F750" t="inlineStr">
        <is>
          <t>Kyrkan</t>
        </is>
      </c>
      <c r="G750" t="n">
        <v>2.7</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v>
      </c>
      <c r="C751" s="1" t="n">
        <v>46194</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v>
      </c>
      <c r="C752" s="1" t="n">
        <v>46194</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29783-2024</t>
        </is>
      </c>
      <c r="B753" s="1" t="n">
        <v>45485</v>
      </c>
      <c r="C753" s="1" t="n">
        <v>46194</v>
      </c>
      <c r="D753" t="inlineStr">
        <is>
          <t>KALMAR LÄN</t>
        </is>
      </c>
      <c r="E753" t="inlineStr">
        <is>
          <t>VIMMERBY</t>
        </is>
      </c>
      <c r="G753" t="n">
        <v>3.1</v>
      </c>
      <c r="H753" t="n">
        <v>0</v>
      </c>
      <c r="I753" t="n">
        <v>0</v>
      </c>
      <c r="J753" t="n">
        <v>0</v>
      </c>
      <c r="K753" t="n">
        <v>0</v>
      </c>
      <c r="L753" t="n">
        <v>0</v>
      </c>
      <c r="M753" t="n">
        <v>0</v>
      </c>
      <c r="N753" t="n">
        <v>0</v>
      </c>
      <c r="O753" t="n">
        <v>0</v>
      </c>
      <c r="P753" t="n">
        <v>0</v>
      </c>
      <c r="Q753" t="n">
        <v>0</v>
      </c>
      <c r="R753" s="2" t="inlineStr"/>
    </row>
    <row r="754" ht="15" customHeight="1">
      <c r="A754" t="inlineStr">
        <is>
          <t>A 46118-2025</t>
        </is>
      </c>
      <c r="B754" s="1" t="n">
        <v>45924</v>
      </c>
      <c r="C754" s="1" t="n">
        <v>46194</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45854-2025</t>
        </is>
      </c>
      <c r="B755" s="1" t="n">
        <v>45923</v>
      </c>
      <c r="C755" s="1" t="n">
        <v>46194</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60215-2022</t>
        </is>
      </c>
      <c r="B756" s="1" t="n">
        <v>44910</v>
      </c>
      <c r="C756" s="1" t="n">
        <v>46194</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20-2025</t>
        </is>
      </c>
      <c r="B757" s="1" t="n">
        <v>45658</v>
      </c>
      <c r="C757" s="1" t="n">
        <v>46194</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6028-2023</t>
        </is>
      </c>
      <c r="B758" s="1" t="n">
        <v>44964</v>
      </c>
      <c r="C758" s="1" t="n">
        <v>46194</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42850-2022</t>
        </is>
      </c>
      <c r="B759" s="1" t="n">
        <v>44832</v>
      </c>
      <c r="C759" s="1" t="n">
        <v>46194</v>
      </c>
      <c r="D759" t="inlineStr">
        <is>
          <t>KALMAR LÄN</t>
        </is>
      </c>
      <c r="E759" t="inlineStr">
        <is>
          <t>VIMMERBY</t>
        </is>
      </c>
      <c r="G759" t="n">
        <v>5.9</v>
      </c>
      <c r="H759" t="n">
        <v>0</v>
      </c>
      <c r="I759" t="n">
        <v>0</v>
      </c>
      <c r="J759" t="n">
        <v>0</v>
      </c>
      <c r="K759" t="n">
        <v>0</v>
      </c>
      <c r="L759" t="n">
        <v>0</v>
      </c>
      <c r="M759" t="n">
        <v>0</v>
      </c>
      <c r="N759" t="n">
        <v>0</v>
      </c>
      <c r="O759" t="n">
        <v>0</v>
      </c>
      <c r="P759" t="n">
        <v>0</v>
      </c>
      <c r="Q759" t="n">
        <v>0</v>
      </c>
      <c r="R759" s="2" t="inlineStr"/>
    </row>
    <row r="760" ht="15" customHeight="1">
      <c r="A760" t="inlineStr">
        <is>
          <t>A 26254-2025</t>
        </is>
      </c>
      <c r="B760" s="1" t="n">
        <v>45805</v>
      </c>
      <c r="C760" s="1" t="n">
        <v>46194</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52465-2025</t>
        </is>
      </c>
      <c r="B761" s="1" t="n">
        <v>45954</v>
      </c>
      <c r="C761" s="1" t="n">
        <v>46194</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c r="A762" t="inlineStr">
        <is>
          <t>A 26029-2026</t>
        </is>
      </c>
      <c r="B762" s="1" t="n">
        <v>46181</v>
      </c>
      <c r="C762" s="1" t="n">
        <v>46194</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2026-06-21T00:45:24Z</dcterms:created>
  <dcterms:modified xmlns:dcterms="http://purl.org/dc/terms/" xmlns:xsi="http://www.w3.org/2001/XMLSchema-instance" xsi:type="dcterms:W3CDTF">2026-06-21T00:45:25Z</dcterms:modified>
</cp:coreProperties>
</file>