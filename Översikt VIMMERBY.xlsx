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45889</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45889</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45889</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45889</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45889</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45889</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45889</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45889</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32645-2023</t>
        </is>
      </c>
      <c r="B12" s="1" t="n">
        <v>45121.60543981481</v>
      </c>
      <c r="C12" s="1" t="n">
        <v>45889</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15808-2025</t>
        </is>
      </c>
      <c r="B13" s="1" t="n">
        <v>45748</v>
      </c>
      <c r="C13" s="1" t="n">
        <v>45889</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45678.64175925926</v>
      </c>
      <c r="C14" s="1" t="n">
        <v>45889</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29112-2025</t>
        </is>
      </c>
      <c r="B15" s="1" t="n">
        <v>45821</v>
      </c>
      <c r="C15" s="1" t="n">
        <v>45889</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45889</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45889</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45889</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56985-2024</t>
        </is>
      </c>
      <c r="B19" s="1" t="n">
        <v>45628</v>
      </c>
      <c r="C19" s="1" t="n">
        <v>45889</v>
      </c>
      <c r="D19" t="inlineStr">
        <is>
          <t>KALMAR LÄN</t>
        </is>
      </c>
      <c r="E19" t="inlineStr">
        <is>
          <t>VIMMERBY</t>
        </is>
      </c>
      <c r="G19" t="n">
        <v>3.1</v>
      </c>
      <c r="H19" t="n">
        <v>2</v>
      </c>
      <c r="I19" t="n">
        <v>1</v>
      </c>
      <c r="J19" t="n">
        <v>1</v>
      </c>
      <c r="K19" t="n">
        <v>1</v>
      </c>
      <c r="L19" t="n">
        <v>0</v>
      </c>
      <c r="M19" t="n">
        <v>0</v>
      </c>
      <c r="N19" t="n">
        <v>0</v>
      </c>
      <c r="O19" t="n">
        <v>2</v>
      </c>
      <c r="P19" t="n">
        <v>1</v>
      </c>
      <c r="Q19" t="n">
        <v>3</v>
      </c>
      <c r="R19" s="2" t="inlineStr">
        <is>
          <t>Knärot
Spillkråka
Grönpyrola</t>
        </is>
      </c>
      <c r="S19">
        <f>HYPERLINK("https://klasma.github.io/Logging_0884/artfynd/A 56985-2024 artfynd.xlsx", "A 56985-2024")</f>
        <v/>
      </c>
      <c r="T19">
        <f>HYPERLINK("https://klasma.github.io/Logging_0884/kartor/A 56985-2024 karta.png", "A 56985-2024")</f>
        <v/>
      </c>
      <c r="U19">
        <f>HYPERLINK("https://klasma.github.io/Logging_0884/knärot/A 56985-2024 karta knärot.png", "A 56985-2024")</f>
        <v/>
      </c>
      <c r="V19">
        <f>HYPERLINK("https://klasma.github.io/Logging_0884/klagomål/A 56985-2024 FSC-klagomål.docx", "A 56985-2024")</f>
        <v/>
      </c>
      <c r="W19">
        <f>HYPERLINK("https://klasma.github.io/Logging_0884/klagomålsmail/A 56985-2024 FSC-klagomål mail.docx", "A 56985-2024")</f>
        <v/>
      </c>
      <c r="X19">
        <f>HYPERLINK("https://klasma.github.io/Logging_0884/tillsyn/A 56985-2024 tillsynsbegäran.docx", "A 56985-2024")</f>
        <v/>
      </c>
      <c r="Y19">
        <f>HYPERLINK("https://klasma.github.io/Logging_0884/tillsynsmail/A 56985-2024 tillsynsbegäran mail.docx", "A 56985-2024")</f>
        <v/>
      </c>
      <c r="Z19">
        <f>HYPERLINK("https://klasma.github.io/Logging_0884/fåglar/A 56985-2024 prioriterade fågelarter.docx", "A 56985-2024")</f>
        <v/>
      </c>
    </row>
    <row r="20" ht="15" customHeight="1">
      <c r="A20" t="inlineStr">
        <is>
          <t>A 14584-2025</t>
        </is>
      </c>
      <c r="B20" s="1" t="n">
        <v>45742</v>
      </c>
      <c r="C20" s="1" t="n">
        <v>45889</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45889</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45889</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45889</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45889</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14024-2023</t>
        </is>
      </c>
      <c r="B25" s="1" t="n">
        <v>45008.60878472222</v>
      </c>
      <c r="C25" s="1" t="n">
        <v>45889</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22396-2025</t>
        </is>
      </c>
      <c r="B26" s="1" t="n">
        <v>45786.52827546297</v>
      </c>
      <c r="C26" s="1" t="n">
        <v>45889</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2518-2023</t>
        </is>
      </c>
      <c r="B27" s="1" t="n">
        <v>44943</v>
      </c>
      <c r="C27" s="1" t="n">
        <v>45889</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45889</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22825-2023</t>
        </is>
      </c>
      <c r="B29" s="1" t="n">
        <v>45072</v>
      </c>
      <c r="C29" s="1" t="n">
        <v>45889</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32396-2021</t>
        </is>
      </c>
      <c r="B30" s="1" t="n">
        <v>44371</v>
      </c>
      <c r="C30" s="1" t="n">
        <v>45889</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23602-2023</t>
        </is>
      </c>
      <c r="B31" s="1" t="n">
        <v>45077</v>
      </c>
      <c r="C31" s="1" t="n">
        <v>45889</v>
      </c>
      <c r="D31" t="inlineStr">
        <is>
          <t>KALMAR LÄN</t>
        </is>
      </c>
      <c r="E31" t="inlineStr">
        <is>
          <t>VIMMERBY</t>
        </is>
      </c>
      <c r="G31" t="n">
        <v>1.6</v>
      </c>
      <c r="H31" t="n">
        <v>0</v>
      </c>
      <c r="I31" t="n">
        <v>0</v>
      </c>
      <c r="J31" t="n">
        <v>1</v>
      </c>
      <c r="K31" t="n">
        <v>0</v>
      </c>
      <c r="L31" t="n">
        <v>0</v>
      </c>
      <c r="M31" t="n">
        <v>0</v>
      </c>
      <c r="N31" t="n">
        <v>0</v>
      </c>
      <c r="O31" t="n">
        <v>1</v>
      </c>
      <c r="P31" t="n">
        <v>0</v>
      </c>
      <c r="Q31" t="n">
        <v>1</v>
      </c>
      <c r="R31" s="2" t="inlineStr">
        <is>
          <t>Vedtrappmossa</t>
        </is>
      </c>
      <c r="S31">
        <f>HYPERLINK("https://klasma.github.io/Logging_0884/artfynd/A 23602-2023 artfynd.xlsx", "A 23602-2023")</f>
        <v/>
      </c>
      <c r="T31">
        <f>HYPERLINK("https://klasma.github.io/Logging_0884/kartor/A 23602-2023 karta.png", "A 23602-2023")</f>
        <v/>
      </c>
      <c r="V31">
        <f>HYPERLINK("https://klasma.github.io/Logging_0884/klagomål/A 23602-2023 FSC-klagomål.docx", "A 23602-2023")</f>
        <v/>
      </c>
      <c r="W31">
        <f>HYPERLINK("https://klasma.github.io/Logging_0884/klagomålsmail/A 23602-2023 FSC-klagomål mail.docx", "A 23602-2023")</f>
        <v/>
      </c>
      <c r="X31">
        <f>HYPERLINK("https://klasma.github.io/Logging_0884/tillsyn/A 23602-2023 tillsynsbegäran.docx", "A 23602-2023")</f>
        <v/>
      </c>
      <c r="Y31">
        <f>HYPERLINK("https://klasma.github.io/Logging_0884/tillsynsmail/A 23602-2023 tillsynsbegäran mail.docx", "A 23602-2023")</f>
        <v/>
      </c>
    </row>
    <row r="32" ht="15" customHeight="1">
      <c r="A32" t="inlineStr">
        <is>
          <t>A 52301-2023</t>
        </is>
      </c>
      <c r="B32" s="1" t="n">
        <v>45224</v>
      </c>
      <c r="C32" s="1" t="n">
        <v>45889</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37930-2021</t>
        </is>
      </c>
      <c r="B33" s="1" t="n">
        <v>44403</v>
      </c>
      <c r="C33" s="1" t="n">
        <v>45889</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33436-2021</t>
        </is>
      </c>
      <c r="B34" s="1" t="n">
        <v>44377.61104166666</v>
      </c>
      <c r="C34" s="1" t="n">
        <v>45889</v>
      </c>
      <c r="D34" t="inlineStr">
        <is>
          <t>KALMAR LÄN</t>
        </is>
      </c>
      <c r="E34" t="inlineStr">
        <is>
          <t>VIMMERBY</t>
        </is>
      </c>
      <c r="G34" t="n">
        <v>11.8</v>
      </c>
      <c r="H34" t="n">
        <v>1</v>
      </c>
      <c r="I34" t="n">
        <v>0</v>
      </c>
      <c r="J34" t="n">
        <v>0</v>
      </c>
      <c r="K34" t="n">
        <v>1</v>
      </c>
      <c r="L34" t="n">
        <v>0</v>
      </c>
      <c r="M34" t="n">
        <v>0</v>
      </c>
      <c r="N34" t="n">
        <v>0</v>
      </c>
      <c r="O34" t="n">
        <v>1</v>
      </c>
      <c r="P34" t="n">
        <v>1</v>
      </c>
      <c r="Q34" t="n">
        <v>1</v>
      </c>
      <c r="R34" s="2" t="inlineStr">
        <is>
          <t>Knärot</t>
        </is>
      </c>
      <c r="S34">
        <f>HYPERLINK("https://klasma.github.io/Logging_0884/artfynd/A 33436-2021 artfynd.xlsx", "A 33436-2021")</f>
        <v/>
      </c>
      <c r="T34">
        <f>HYPERLINK("https://klasma.github.io/Logging_0884/kartor/A 33436-2021 karta.png", "A 33436-2021")</f>
        <v/>
      </c>
      <c r="U34">
        <f>HYPERLINK("https://klasma.github.io/Logging_0884/knärot/A 33436-2021 karta knärot.png", "A 33436-2021")</f>
        <v/>
      </c>
      <c r="V34">
        <f>HYPERLINK("https://klasma.github.io/Logging_0884/klagomål/A 33436-2021 FSC-klagomål.docx", "A 33436-2021")</f>
        <v/>
      </c>
      <c r="W34">
        <f>HYPERLINK("https://klasma.github.io/Logging_0884/klagomålsmail/A 33436-2021 FSC-klagomål mail.docx", "A 33436-2021")</f>
        <v/>
      </c>
      <c r="X34">
        <f>HYPERLINK("https://klasma.github.io/Logging_0884/tillsyn/A 33436-2021 tillsynsbegäran.docx", "A 33436-2021")</f>
        <v/>
      </c>
      <c r="Y34">
        <f>HYPERLINK("https://klasma.github.io/Logging_0884/tillsynsmail/A 33436-2021 tillsynsbegäran mail.docx", "A 33436-2021")</f>
        <v/>
      </c>
    </row>
    <row r="35" ht="15" customHeight="1">
      <c r="A35" t="inlineStr">
        <is>
          <t>A 44306-2020</t>
        </is>
      </c>
      <c r="B35" s="1" t="n">
        <v>44082</v>
      </c>
      <c r="C35" s="1" t="n">
        <v>45889</v>
      </c>
      <c r="D35" t="inlineStr">
        <is>
          <t>KALMAR LÄN</t>
        </is>
      </c>
      <c r="E35" t="inlineStr">
        <is>
          <t>VIMMERBY</t>
        </is>
      </c>
      <c r="G35" t="n">
        <v>16.4</v>
      </c>
      <c r="H35" t="n">
        <v>1</v>
      </c>
      <c r="I35" t="n">
        <v>1</v>
      </c>
      <c r="J35" t="n">
        <v>0</v>
      </c>
      <c r="K35" t="n">
        <v>0</v>
      </c>
      <c r="L35" t="n">
        <v>0</v>
      </c>
      <c r="M35" t="n">
        <v>0</v>
      </c>
      <c r="N35" t="n">
        <v>0</v>
      </c>
      <c r="O35" t="n">
        <v>0</v>
      </c>
      <c r="P35" t="n">
        <v>0</v>
      </c>
      <c r="Q35" t="n">
        <v>1</v>
      </c>
      <c r="R35" s="2" t="inlineStr">
        <is>
          <t>Plattlummer</t>
        </is>
      </c>
      <c r="S35">
        <f>HYPERLINK("https://klasma.github.io/Logging_0884/artfynd/A 44306-2020 artfynd.xlsx", "A 44306-2020")</f>
        <v/>
      </c>
      <c r="T35">
        <f>HYPERLINK("https://klasma.github.io/Logging_0884/kartor/A 44306-2020 karta.png", "A 44306-2020")</f>
        <v/>
      </c>
      <c r="V35">
        <f>HYPERLINK("https://klasma.github.io/Logging_0884/klagomål/A 44306-2020 FSC-klagomål.docx", "A 44306-2020")</f>
        <v/>
      </c>
      <c r="W35">
        <f>HYPERLINK("https://klasma.github.io/Logging_0884/klagomålsmail/A 44306-2020 FSC-klagomål mail.docx", "A 44306-2020")</f>
        <v/>
      </c>
      <c r="X35">
        <f>HYPERLINK("https://klasma.github.io/Logging_0884/tillsyn/A 44306-2020 tillsynsbegäran.docx", "A 44306-2020")</f>
        <v/>
      </c>
      <c r="Y35">
        <f>HYPERLINK("https://klasma.github.io/Logging_0884/tillsynsmail/A 44306-2020 tillsynsbegäran mail.docx", "A 44306-2020")</f>
        <v/>
      </c>
    </row>
    <row r="36" ht="15" customHeight="1">
      <c r="A36" t="inlineStr">
        <is>
          <t>A 15122-2024</t>
        </is>
      </c>
      <c r="B36" s="1" t="n">
        <v>45399.71412037037</v>
      </c>
      <c r="C36" s="1" t="n">
        <v>45889</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45889</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28852-2023</t>
        </is>
      </c>
      <c r="B38" s="1" t="n">
        <v>45104</v>
      </c>
      <c r="C38" s="1" t="n">
        <v>45889</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44515-2024</t>
        </is>
      </c>
      <c r="B39" s="1" t="n">
        <v>45574.42767361111</v>
      </c>
      <c r="C39" s="1" t="n">
        <v>45889</v>
      </c>
      <c r="D39" t="inlineStr">
        <is>
          <t>KALMAR LÄN</t>
        </is>
      </c>
      <c r="E39" t="inlineStr">
        <is>
          <t>VIMMERBY</t>
        </is>
      </c>
      <c r="G39" t="n">
        <v>1.4</v>
      </c>
      <c r="H39" t="n">
        <v>1</v>
      </c>
      <c r="I39" t="n">
        <v>0</v>
      </c>
      <c r="J39" t="n">
        <v>0</v>
      </c>
      <c r="K39" t="n">
        <v>1</v>
      </c>
      <c r="L39" t="n">
        <v>0</v>
      </c>
      <c r="M39" t="n">
        <v>0</v>
      </c>
      <c r="N39" t="n">
        <v>0</v>
      </c>
      <c r="O39" t="n">
        <v>1</v>
      </c>
      <c r="P39" t="n">
        <v>1</v>
      </c>
      <c r="Q39" t="n">
        <v>1</v>
      </c>
      <c r="R39" s="2" t="inlineStr">
        <is>
          <t>Knärot</t>
        </is>
      </c>
      <c r="S39">
        <f>HYPERLINK("https://klasma.github.io/Logging_0884/artfynd/A 44515-2024 artfynd.xlsx", "A 44515-2024")</f>
        <v/>
      </c>
      <c r="T39">
        <f>HYPERLINK("https://klasma.github.io/Logging_0884/kartor/A 44515-2024 karta.png", "A 44515-2024")</f>
        <v/>
      </c>
      <c r="U39">
        <f>HYPERLINK("https://klasma.github.io/Logging_0884/knärot/A 44515-2024 karta knärot.png", "A 44515-2024")</f>
        <v/>
      </c>
      <c r="V39">
        <f>HYPERLINK("https://klasma.github.io/Logging_0884/klagomål/A 44515-2024 FSC-klagomål.docx", "A 44515-2024")</f>
        <v/>
      </c>
      <c r="W39">
        <f>HYPERLINK("https://klasma.github.io/Logging_0884/klagomålsmail/A 44515-2024 FSC-klagomål mail.docx", "A 44515-2024")</f>
        <v/>
      </c>
      <c r="X39">
        <f>HYPERLINK("https://klasma.github.io/Logging_0884/tillsyn/A 44515-2024 tillsynsbegäran.docx", "A 44515-2024")</f>
        <v/>
      </c>
      <c r="Y39">
        <f>HYPERLINK("https://klasma.github.io/Logging_0884/tillsynsmail/A 44515-2024 tillsynsbegäran mail.docx", "A 44515-2024")</f>
        <v/>
      </c>
    </row>
    <row r="40" ht="15" customHeight="1">
      <c r="A40" t="inlineStr">
        <is>
          <t>A 1201-2025</t>
        </is>
      </c>
      <c r="B40" s="1" t="n">
        <v>45667</v>
      </c>
      <c r="C40" s="1" t="n">
        <v>45889</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40083-2023</t>
        </is>
      </c>
      <c r="B41" s="1" t="n">
        <v>45168</v>
      </c>
      <c r="C41" s="1" t="n">
        <v>45889</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45889</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6841-2021</t>
        </is>
      </c>
      <c r="B43" s="1" t="n">
        <v>44236</v>
      </c>
      <c r="C43" s="1" t="n">
        <v>45889</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45889</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45889</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9067-2025</t>
        </is>
      </c>
      <c r="B46" s="1" t="n">
        <v>45713</v>
      </c>
      <c r="C46" s="1" t="n">
        <v>45889</v>
      </c>
      <c r="D46" t="inlineStr">
        <is>
          <t>KALMAR LÄN</t>
        </is>
      </c>
      <c r="E46" t="inlineStr">
        <is>
          <t>VIMMERBY</t>
        </is>
      </c>
      <c r="G46" t="n">
        <v>3.9</v>
      </c>
      <c r="H46" t="n">
        <v>0</v>
      </c>
      <c r="I46" t="n">
        <v>1</v>
      </c>
      <c r="J46" t="n">
        <v>0</v>
      </c>
      <c r="K46" t="n">
        <v>0</v>
      </c>
      <c r="L46" t="n">
        <v>0</v>
      </c>
      <c r="M46" t="n">
        <v>0</v>
      </c>
      <c r="N46" t="n">
        <v>0</v>
      </c>
      <c r="O46" t="n">
        <v>0</v>
      </c>
      <c r="P46" t="n">
        <v>0</v>
      </c>
      <c r="Q46" t="n">
        <v>1</v>
      </c>
      <c r="R46" s="2" t="inlineStr">
        <is>
          <t>Ögonpyrola</t>
        </is>
      </c>
      <c r="S46">
        <f>HYPERLINK("https://klasma.github.io/Logging_0884/artfynd/A 9067-2025 artfynd.xlsx", "A 9067-2025")</f>
        <v/>
      </c>
      <c r="T46">
        <f>HYPERLINK("https://klasma.github.io/Logging_0884/kartor/A 9067-2025 karta.png", "A 9067-2025")</f>
        <v/>
      </c>
      <c r="V46">
        <f>HYPERLINK("https://klasma.github.io/Logging_0884/klagomål/A 9067-2025 FSC-klagomål.docx", "A 9067-2025")</f>
        <v/>
      </c>
      <c r="W46">
        <f>HYPERLINK("https://klasma.github.io/Logging_0884/klagomålsmail/A 9067-2025 FSC-klagomål mail.docx", "A 9067-2025")</f>
        <v/>
      </c>
      <c r="X46">
        <f>HYPERLINK("https://klasma.github.io/Logging_0884/tillsyn/A 9067-2025 tillsynsbegäran.docx", "A 9067-2025")</f>
        <v/>
      </c>
      <c r="Y46">
        <f>HYPERLINK("https://klasma.github.io/Logging_0884/tillsynsmail/A 9067-2025 tillsynsbegäran mail.docx", "A 9067-2025")</f>
        <v/>
      </c>
    </row>
    <row r="47" ht="15" customHeight="1">
      <c r="A47" t="inlineStr">
        <is>
          <t>A 29736-2025</t>
        </is>
      </c>
      <c r="B47" s="1" t="n">
        <v>45825.58484953704</v>
      </c>
      <c r="C47" s="1" t="n">
        <v>45889</v>
      </c>
      <c r="D47" t="inlineStr">
        <is>
          <t>KALMAR LÄN</t>
        </is>
      </c>
      <c r="E47" t="inlineStr">
        <is>
          <t>VIMMERBY</t>
        </is>
      </c>
      <c r="G47" t="n">
        <v>7.3</v>
      </c>
      <c r="H47" t="n">
        <v>1</v>
      </c>
      <c r="I47" t="n">
        <v>0</v>
      </c>
      <c r="J47" t="n">
        <v>1</v>
      </c>
      <c r="K47" t="n">
        <v>0</v>
      </c>
      <c r="L47" t="n">
        <v>0</v>
      </c>
      <c r="M47" t="n">
        <v>0</v>
      </c>
      <c r="N47" t="n">
        <v>0</v>
      </c>
      <c r="O47" t="n">
        <v>1</v>
      </c>
      <c r="P47" t="n">
        <v>0</v>
      </c>
      <c r="Q47" t="n">
        <v>1</v>
      </c>
      <c r="R47" s="2" t="inlineStr">
        <is>
          <t>Spillkråka</t>
        </is>
      </c>
      <c r="S47">
        <f>HYPERLINK("https://klasma.github.io/Logging_0884/artfynd/A 29736-2025 artfynd.xlsx", "A 29736-2025")</f>
        <v/>
      </c>
      <c r="T47">
        <f>HYPERLINK("https://klasma.github.io/Logging_0884/kartor/A 29736-2025 karta.png", "A 29736-2025")</f>
        <v/>
      </c>
      <c r="V47">
        <f>HYPERLINK("https://klasma.github.io/Logging_0884/klagomål/A 29736-2025 FSC-klagomål.docx", "A 29736-2025")</f>
        <v/>
      </c>
      <c r="W47">
        <f>HYPERLINK("https://klasma.github.io/Logging_0884/klagomålsmail/A 29736-2025 FSC-klagomål mail.docx", "A 29736-2025")</f>
        <v/>
      </c>
      <c r="X47">
        <f>HYPERLINK("https://klasma.github.io/Logging_0884/tillsyn/A 29736-2025 tillsynsbegäran.docx", "A 29736-2025")</f>
        <v/>
      </c>
      <c r="Y47">
        <f>HYPERLINK("https://klasma.github.io/Logging_0884/tillsynsmail/A 29736-2025 tillsynsbegäran mail.docx", "A 29736-2025")</f>
        <v/>
      </c>
      <c r="Z47">
        <f>HYPERLINK("https://klasma.github.io/Logging_0884/fåglar/A 29736-2025 prioriterade fågelarter.docx", "A 29736-2025")</f>
        <v/>
      </c>
    </row>
    <row r="48" ht="15" customHeight="1">
      <c r="A48" t="inlineStr">
        <is>
          <t>A 42097-2020</t>
        </is>
      </c>
      <c r="B48" s="1" t="n">
        <v>44075</v>
      </c>
      <c r="C48" s="1" t="n">
        <v>45889</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39508-2020</t>
        </is>
      </c>
      <c r="B49" s="1" t="n">
        <v>44064</v>
      </c>
      <c r="C49" s="1" t="n">
        <v>45889</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45889</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45889</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49059-2020</t>
        </is>
      </c>
      <c r="B52" s="1" t="n">
        <v>44102</v>
      </c>
      <c r="C52" s="1" t="n">
        <v>45889</v>
      </c>
      <c r="D52" t="inlineStr">
        <is>
          <t>KALMAR LÄN</t>
        </is>
      </c>
      <c r="E52" t="inlineStr">
        <is>
          <t>VIMMERBY</t>
        </is>
      </c>
      <c r="G52" t="n">
        <v>5.8</v>
      </c>
      <c r="H52" t="n">
        <v>0</v>
      </c>
      <c r="I52" t="n">
        <v>0</v>
      </c>
      <c r="J52" t="n">
        <v>0</v>
      </c>
      <c r="K52" t="n">
        <v>0</v>
      </c>
      <c r="L52" t="n">
        <v>0</v>
      </c>
      <c r="M52" t="n">
        <v>0</v>
      </c>
      <c r="N52" t="n">
        <v>0</v>
      </c>
      <c r="O52" t="n">
        <v>0</v>
      </c>
      <c r="P52" t="n">
        <v>0</v>
      </c>
      <c r="Q52" t="n">
        <v>0</v>
      </c>
      <c r="R52" s="2" t="inlineStr"/>
    </row>
    <row r="53" ht="15" customHeight="1">
      <c r="A53" t="inlineStr">
        <is>
          <t>A 55053-2020</t>
        </is>
      </c>
      <c r="B53" s="1" t="n">
        <v>44130</v>
      </c>
      <c r="C53" s="1" t="n">
        <v>45889</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15092-2021</t>
        </is>
      </c>
      <c r="B54" s="1" t="n">
        <v>44281.79269675926</v>
      </c>
      <c r="C54" s="1" t="n">
        <v>45889</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45889</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45889</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45889</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1929-2021</t>
        </is>
      </c>
      <c r="B58" s="1" t="n">
        <v>44210</v>
      </c>
      <c r="C58" s="1" t="n">
        <v>45889</v>
      </c>
      <c r="D58" t="inlineStr">
        <is>
          <t>KALMAR LÄN</t>
        </is>
      </c>
      <c r="E58" t="inlineStr">
        <is>
          <t>VIMMERBY</t>
        </is>
      </c>
      <c r="G58" t="n">
        <v>1.6</v>
      </c>
      <c r="H58" t="n">
        <v>0</v>
      </c>
      <c r="I58" t="n">
        <v>0</v>
      </c>
      <c r="J58" t="n">
        <v>0</v>
      </c>
      <c r="K58" t="n">
        <v>0</v>
      </c>
      <c r="L58" t="n">
        <v>0</v>
      </c>
      <c r="M58" t="n">
        <v>0</v>
      </c>
      <c r="N58" t="n">
        <v>0</v>
      </c>
      <c r="O58" t="n">
        <v>0</v>
      </c>
      <c r="P58" t="n">
        <v>0</v>
      </c>
      <c r="Q58" t="n">
        <v>0</v>
      </c>
      <c r="R58" s="2" t="inlineStr"/>
    </row>
    <row r="59" ht="15" customHeight="1">
      <c r="A59" t="inlineStr">
        <is>
          <t>A 59070-2021</t>
        </is>
      </c>
      <c r="B59" s="1" t="n">
        <v>44490.38613425926</v>
      </c>
      <c r="C59" s="1" t="n">
        <v>45889</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45889</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45889</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27100-2021</t>
        </is>
      </c>
      <c r="B62" s="1" t="n">
        <v>44350</v>
      </c>
      <c r="C62" s="1" t="n">
        <v>45889</v>
      </c>
      <c r="D62" t="inlineStr">
        <is>
          <t>KALMAR LÄN</t>
        </is>
      </c>
      <c r="E62" t="inlineStr">
        <is>
          <t>VIMMERBY</t>
        </is>
      </c>
      <c r="G62" t="n">
        <v>9.6</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45889</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45889</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45889</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45889</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45889</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39288-2020</t>
        </is>
      </c>
      <c r="B68" s="1" t="n">
        <v>44063</v>
      </c>
      <c r="C68" s="1" t="n">
        <v>45889</v>
      </c>
      <c r="D68" t="inlineStr">
        <is>
          <t>KALMAR LÄN</t>
        </is>
      </c>
      <c r="E68" t="inlineStr">
        <is>
          <t>VIMMERBY</t>
        </is>
      </c>
      <c r="G68" t="n">
        <v>0.8</v>
      </c>
      <c r="H68" t="n">
        <v>0</v>
      </c>
      <c r="I68" t="n">
        <v>0</v>
      </c>
      <c r="J68" t="n">
        <v>0</v>
      </c>
      <c r="K68" t="n">
        <v>0</v>
      </c>
      <c r="L68" t="n">
        <v>0</v>
      </c>
      <c r="M68" t="n">
        <v>0</v>
      </c>
      <c r="N68" t="n">
        <v>0</v>
      </c>
      <c r="O68" t="n">
        <v>0</v>
      </c>
      <c r="P68" t="n">
        <v>0</v>
      </c>
      <c r="Q68" t="n">
        <v>0</v>
      </c>
      <c r="R68" s="2" t="inlineStr"/>
    </row>
    <row r="69" ht="15" customHeight="1">
      <c r="A69" t="inlineStr">
        <is>
          <t>A 18756-2021</t>
        </is>
      </c>
      <c r="B69" s="1" t="n">
        <v>44307</v>
      </c>
      <c r="C69" s="1" t="n">
        <v>45889</v>
      </c>
      <c r="D69" t="inlineStr">
        <is>
          <t>KALMAR LÄN</t>
        </is>
      </c>
      <c r="E69" t="inlineStr">
        <is>
          <t>VIMMERBY</t>
        </is>
      </c>
      <c r="G69" t="n">
        <v>7.4</v>
      </c>
      <c r="H69" t="n">
        <v>0</v>
      </c>
      <c r="I69" t="n">
        <v>0</v>
      </c>
      <c r="J69" t="n">
        <v>0</v>
      </c>
      <c r="K69" t="n">
        <v>0</v>
      </c>
      <c r="L69" t="n">
        <v>0</v>
      </c>
      <c r="M69" t="n">
        <v>0</v>
      </c>
      <c r="N69" t="n">
        <v>0</v>
      </c>
      <c r="O69" t="n">
        <v>0</v>
      </c>
      <c r="P69" t="n">
        <v>0</v>
      </c>
      <c r="Q69" t="n">
        <v>0</v>
      </c>
      <c r="R69" s="2" t="inlineStr"/>
    </row>
    <row r="70" ht="15" customHeight="1">
      <c r="A70" t="inlineStr">
        <is>
          <t>A 49186-2020</t>
        </is>
      </c>
      <c r="B70" s="1" t="n">
        <v>44105</v>
      </c>
      <c r="C70" s="1" t="n">
        <v>45889</v>
      </c>
      <c r="D70" t="inlineStr">
        <is>
          <t>KALMAR LÄN</t>
        </is>
      </c>
      <c r="E70" t="inlineStr">
        <is>
          <t>VIMMERBY</t>
        </is>
      </c>
      <c r="F70" t="inlineStr">
        <is>
          <t>Sveaskog</t>
        </is>
      </c>
      <c r="G70" t="n">
        <v>3.8</v>
      </c>
      <c r="H70" t="n">
        <v>0</v>
      </c>
      <c r="I70" t="n">
        <v>0</v>
      </c>
      <c r="J70" t="n">
        <v>0</v>
      </c>
      <c r="K70" t="n">
        <v>0</v>
      </c>
      <c r="L70" t="n">
        <v>0</v>
      </c>
      <c r="M70" t="n">
        <v>0</v>
      </c>
      <c r="N70" t="n">
        <v>0</v>
      </c>
      <c r="O70" t="n">
        <v>0</v>
      </c>
      <c r="P70" t="n">
        <v>0</v>
      </c>
      <c r="Q70" t="n">
        <v>0</v>
      </c>
      <c r="R70" s="2" t="inlineStr"/>
    </row>
    <row r="71" ht="15" customHeight="1">
      <c r="A71" t="inlineStr">
        <is>
          <t>A 27086-2021</t>
        </is>
      </c>
      <c r="B71" s="1" t="n">
        <v>44350</v>
      </c>
      <c r="C71" s="1" t="n">
        <v>45889</v>
      </c>
      <c r="D71" t="inlineStr">
        <is>
          <t>KALMAR LÄN</t>
        </is>
      </c>
      <c r="E71" t="inlineStr">
        <is>
          <t>VIMMERBY</t>
        </is>
      </c>
      <c r="G71" t="n">
        <v>0.6</v>
      </c>
      <c r="H71" t="n">
        <v>0</v>
      </c>
      <c r="I71" t="n">
        <v>0</v>
      </c>
      <c r="J71" t="n">
        <v>0</v>
      </c>
      <c r="K71" t="n">
        <v>0</v>
      </c>
      <c r="L71" t="n">
        <v>0</v>
      </c>
      <c r="M71" t="n">
        <v>0</v>
      </c>
      <c r="N71" t="n">
        <v>0</v>
      </c>
      <c r="O71" t="n">
        <v>0</v>
      </c>
      <c r="P71" t="n">
        <v>0</v>
      </c>
      <c r="Q71" t="n">
        <v>0</v>
      </c>
      <c r="R71" s="2" t="inlineStr"/>
    </row>
    <row r="72" ht="15" customHeight="1">
      <c r="A72" t="inlineStr">
        <is>
          <t>A 4762-2021</t>
        </is>
      </c>
      <c r="B72" s="1" t="n">
        <v>44225</v>
      </c>
      <c r="C72" s="1" t="n">
        <v>45889</v>
      </c>
      <c r="D72" t="inlineStr">
        <is>
          <t>KALMAR LÄN</t>
        </is>
      </c>
      <c r="E72" t="inlineStr">
        <is>
          <t>VIMMERBY</t>
        </is>
      </c>
      <c r="G72" t="n">
        <v>5.3</v>
      </c>
      <c r="H72" t="n">
        <v>0</v>
      </c>
      <c r="I72" t="n">
        <v>0</v>
      </c>
      <c r="J72" t="n">
        <v>0</v>
      </c>
      <c r="K72" t="n">
        <v>0</v>
      </c>
      <c r="L72" t="n">
        <v>0</v>
      </c>
      <c r="M72" t="n">
        <v>0</v>
      </c>
      <c r="N72" t="n">
        <v>0</v>
      </c>
      <c r="O72" t="n">
        <v>0</v>
      </c>
      <c r="P72" t="n">
        <v>0</v>
      </c>
      <c r="Q72" t="n">
        <v>0</v>
      </c>
      <c r="R72" s="2" t="inlineStr"/>
    </row>
    <row r="73" ht="15" customHeight="1">
      <c r="A73" t="inlineStr">
        <is>
          <t>A 22637-2021</t>
        </is>
      </c>
      <c r="B73" s="1" t="n">
        <v>44327.47658564815</v>
      </c>
      <c r="C73" s="1" t="n">
        <v>45889</v>
      </c>
      <c r="D73" t="inlineStr">
        <is>
          <t>KALMAR LÄN</t>
        </is>
      </c>
      <c r="E73" t="inlineStr">
        <is>
          <t>VIMMERBY</t>
        </is>
      </c>
      <c r="G73" t="n">
        <v>0.5</v>
      </c>
      <c r="H73" t="n">
        <v>0</v>
      </c>
      <c r="I73" t="n">
        <v>0</v>
      </c>
      <c r="J73" t="n">
        <v>0</v>
      </c>
      <c r="K73" t="n">
        <v>0</v>
      </c>
      <c r="L73" t="n">
        <v>0</v>
      </c>
      <c r="M73" t="n">
        <v>0</v>
      </c>
      <c r="N73" t="n">
        <v>0</v>
      </c>
      <c r="O73" t="n">
        <v>0</v>
      </c>
      <c r="P73" t="n">
        <v>0</v>
      </c>
      <c r="Q73" t="n">
        <v>0</v>
      </c>
      <c r="R73" s="2" t="inlineStr"/>
    </row>
    <row r="74" ht="15" customHeight="1">
      <c r="A74" t="inlineStr">
        <is>
          <t>A 40812-2020</t>
        </is>
      </c>
      <c r="B74" s="1" t="n">
        <v>44070</v>
      </c>
      <c r="C74" s="1" t="n">
        <v>45889</v>
      </c>
      <c r="D74" t="inlineStr">
        <is>
          <t>KALMAR LÄN</t>
        </is>
      </c>
      <c r="E74" t="inlineStr">
        <is>
          <t>VIMMERBY</t>
        </is>
      </c>
      <c r="G74" t="n">
        <v>4.9</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45889</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38348-2021</t>
        </is>
      </c>
      <c r="B76" s="1" t="n">
        <v>44406</v>
      </c>
      <c r="C76" s="1" t="n">
        <v>45889</v>
      </c>
      <c r="D76" t="inlineStr">
        <is>
          <t>KALMAR LÄN</t>
        </is>
      </c>
      <c r="E76" t="inlineStr">
        <is>
          <t>VIMMERBY</t>
        </is>
      </c>
      <c r="G76" t="n">
        <v>2.2</v>
      </c>
      <c r="H76" t="n">
        <v>0</v>
      </c>
      <c r="I76" t="n">
        <v>0</v>
      </c>
      <c r="J76" t="n">
        <v>0</v>
      </c>
      <c r="K76" t="n">
        <v>0</v>
      </c>
      <c r="L76" t="n">
        <v>0</v>
      </c>
      <c r="M76" t="n">
        <v>0</v>
      </c>
      <c r="N76" t="n">
        <v>0</v>
      </c>
      <c r="O76" t="n">
        <v>0</v>
      </c>
      <c r="P76" t="n">
        <v>0</v>
      </c>
      <c r="Q76" t="n">
        <v>0</v>
      </c>
      <c r="R76" s="2" t="inlineStr"/>
    </row>
    <row r="77" ht="15" customHeight="1">
      <c r="A77" t="inlineStr">
        <is>
          <t>A 5689-2021</t>
        </is>
      </c>
      <c r="B77" s="1" t="n">
        <v>44230.58883101852</v>
      </c>
      <c r="C77" s="1" t="n">
        <v>45889</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56378-2021</t>
        </is>
      </c>
      <c r="B78" s="1" t="n">
        <v>44480</v>
      </c>
      <c r="C78" s="1" t="n">
        <v>45889</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39300-2020</t>
        </is>
      </c>
      <c r="B79" s="1" t="n">
        <v>44063</v>
      </c>
      <c r="C79" s="1" t="n">
        <v>45889</v>
      </c>
      <c r="D79" t="inlineStr">
        <is>
          <t>KALMAR LÄN</t>
        </is>
      </c>
      <c r="E79" t="inlineStr">
        <is>
          <t>VIMMERBY</t>
        </is>
      </c>
      <c r="G79" t="n">
        <v>5.1</v>
      </c>
      <c r="H79" t="n">
        <v>0</v>
      </c>
      <c r="I79" t="n">
        <v>0</v>
      </c>
      <c r="J79" t="n">
        <v>0</v>
      </c>
      <c r="K79" t="n">
        <v>0</v>
      </c>
      <c r="L79" t="n">
        <v>0</v>
      </c>
      <c r="M79" t="n">
        <v>0</v>
      </c>
      <c r="N79" t="n">
        <v>0</v>
      </c>
      <c r="O79" t="n">
        <v>0</v>
      </c>
      <c r="P79" t="n">
        <v>0</v>
      </c>
      <c r="Q79" t="n">
        <v>0</v>
      </c>
      <c r="R79" s="2" t="inlineStr"/>
    </row>
    <row r="80" ht="15" customHeight="1">
      <c r="A80" t="inlineStr">
        <is>
          <t>A 7515-2021</t>
        </is>
      </c>
      <c r="B80" s="1" t="n">
        <v>44238</v>
      </c>
      <c r="C80" s="1" t="n">
        <v>45889</v>
      </c>
      <c r="D80" t="inlineStr">
        <is>
          <t>KALMAR LÄN</t>
        </is>
      </c>
      <c r="E80" t="inlineStr">
        <is>
          <t>VIMMERBY</t>
        </is>
      </c>
      <c r="G80" t="n">
        <v>20.9</v>
      </c>
      <c r="H80" t="n">
        <v>0</v>
      </c>
      <c r="I80" t="n">
        <v>0</v>
      </c>
      <c r="J80" t="n">
        <v>0</v>
      </c>
      <c r="K80" t="n">
        <v>0</v>
      </c>
      <c r="L80" t="n">
        <v>0</v>
      </c>
      <c r="M80" t="n">
        <v>0</v>
      </c>
      <c r="N80" t="n">
        <v>0</v>
      </c>
      <c r="O80" t="n">
        <v>0</v>
      </c>
      <c r="P80" t="n">
        <v>0</v>
      </c>
      <c r="Q80" t="n">
        <v>0</v>
      </c>
      <c r="R80" s="2" t="inlineStr"/>
    </row>
    <row r="81" ht="15" customHeight="1">
      <c r="A81" t="inlineStr">
        <is>
          <t>A 3426-2022</t>
        </is>
      </c>
      <c r="B81" s="1" t="n">
        <v>44585.51829861111</v>
      </c>
      <c r="C81" s="1" t="n">
        <v>45889</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40728-2022</t>
        </is>
      </c>
      <c r="B82" s="1" t="n">
        <v>44824.53434027778</v>
      </c>
      <c r="C82" s="1" t="n">
        <v>45889</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40073-2021</t>
        </is>
      </c>
      <c r="B83" s="1" t="n">
        <v>44418</v>
      </c>
      <c r="C83" s="1" t="n">
        <v>45889</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33051-2022</t>
        </is>
      </c>
      <c r="B84" s="1" t="n">
        <v>44785.40800925926</v>
      </c>
      <c r="C84" s="1" t="n">
        <v>45889</v>
      </c>
      <c r="D84" t="inlineStr">
        <is>
          <t>KALMAR LÄN</t>
        </is>
      </c>
      <c r="E84" t="inlineStr">
        <is>
          <t>VIMMERBY</t>
        </is>
      </c>
      <c r="G84" t="n">
        <v>0.3</v>
      </c>
      <c r="H84" t="n">
        <v>0</v>
      </c>
      <c r="I84" t="n">
        <v>0</v>
      </c>
      <c r="J84" t="n">
        <v>0</v>
      </c>
      <c r="K84" t="n">
        <v>0</v>
      </c>
      <c r="L84" t="n">
        <v>0</v>
      </c>
      <c r="M84" t="n">
        <v>0</v>
      </c>
      <c r="N84" t="n">
        <v>0</v>
      </c>
      <c r="O84" t="n">
        <v>0</v>
      </c>
      <c r="P84" t="n">
        <v>0</v>
      </c>
      <c r="Q84" t="n">
        <v>0</v>
      </c>
      <c r="R84" s="2" t="inlineStr"/>
    </row>
    <row r="85" ht="15" customHeight="1">
      <c r="A85" t="inlineStr">
        <is>
          <t>A 2183-2022</t>
        </is>
      </c>
      <c r="B85" s="1" t="n">
        <v>44578.47597222222</v>
      </c>
      <c r="C85" s="1" t="n">
        <v>45889</v>
      </c>
      <c r="D85" t="inlineStr">
        <is>
          <t>KALMAR LÄN</t>
        </is>
      </c>
      <c r="E85" t="inlineStr">
        <is>
          <t>VIMMERBY</t>
        </is>
      </c>
      <c r="G85" t="n">
        <v>4.8</v>
      </c>
      <c r="H85" t="n">
        <v>0</v>
      </c>
      <c r="I85" t="n">
        <v>0</v>
      </c>
      <c r="J85" t="n">
        <v>0</v>
      </c>
      <c r="K85" t="n">
        <v>0</v>
      </c>
      <c r="L85" t="n">
        <v>0</v>
      </c>
      <c r="M85" t="n">
        <v>0</v>
      </c>
      <c r="N85" t="n">
        <v>0</v>
      </c>
      <c r="O85" t="n">
        <v>0</v>
      </c>
      <c r="P85" t="n">
        <v>0</v>
      </c>
      <c r="Q85" t="n">
        <v>0</v>
      </c>
      <c r="R85" s="2" t="inlineStr"/>
    </row>
    <row r="86" ht="15" customHeight="1">
      <c r="A86" t="inlineStr">
        <is>
          <t>A 65670-2021</t>
        </is>
      </c>
      <c r="B86" s="1" t="n">
        <v>44516.59703703703</v>
      </c>
      <c r="C86" s="1" t="n">
        <v>45889</v>
      </c>
      <c r="D86" t="inlineStr">
        <is>
          <t>KALMAR LÄN</t>
        </is>
      </c>
      <c r="E86" t="inlineStr">
        <is>
          <t>VIMMERBY</t>
        </is>
      </c>
      <c r="G86" t="n">
        <v>1.9</v>
      </c>
      <c r="H86" t="n">
        <v>0</v>
      </c>
      <c r="I86" t="n">
        <v>0</v>
      </c>
      <c r="J86" t="n">
        <v>0</v>
      </c>
      <c r="K86" t="n">
        <v>0</v>
      </c>
      <c r="L86" t="n">
        <v>0</v>
      </c>
      <c r="M86" t="n">
        <v>0</v>
      </c>
      <c r="N86" t="n">
        <v>0</v>
      </c>
      <c r="O86" t="n">
        <v>0</v>
      </c>
      <c r="P86" t="n">
        <v>0</v>
      </c>
      <c r="Q86" t="n">
        <v>0</v>
      </c>
      <c r="R86" s="2" t="inlineStr"/>
    </row>
    <row r="87" ht="15" customHeight="1">
      <c r="A87" t="inlineStr">
        <is>
          <t>A 50809-2022</t>
        </is>
      </c>
      <c r="B87" s="1" t="n">
        <v>44862</v>
      </c>
      <c r="C87" s="1" t="n">
        <v>45889</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7049-2022</t>
        </is>
      </c>
      <c r="B88" s="1" t="n">
        <v>44603</v>
      </c>
      <c r="C88" s="1" t="n">
        <v>45889</v>
      </c>
      <c r="D88" t="inlineStr">
        <is>
          <t>KALMAR LÄN</t>
        </is>
      </c>
      <c r="E88" t="inlineStr">
        <is>
          <t>VIMMERBY</t>
        </is>
      </c>
      <c r="G88" t="n">
        <v>2.3</v>
      </c>
      <c r="H88" t="n">
        <v>0</v>
      </c>
      <c r="I88" t="n">
        <v>0</v>
      </c>
      <c r="J88" t="n">
        <v>0</v>
      </c>
      <c r="K88" t="n">
        <v>0</v>
      </c>
      <c r="L88" t="n">
        <v>0</v>
      </c>
      <c r="M88" t="n">
        <v>0</v>
      </c>
      <c r="N88" t="n">
        <v>0</v>
      </c>
      <c r="O88" t="n">
        <v>0</v>
      </c>
      <c r="P88" t="n">
        <v>0</v>
      </c>
      <c r="Q88" t="n">
        <v>0</v>
      </c>
      <c r="R88" s="2" t="inlineStr"/>
    </row>
    <row r="89" ht="15" customHeight="1">
      <c r="A89" t="inlineStr">
        <is>
          <t>A 4296-2022</t>
        </is>
      </c>
      <c r="B89" s="1" t="n">
        <v>44588</v>
      </c>
      <c r="C89" s="1" t="n">
        <v>45889</v>
      </c>
      <c r="D89" t="inlineStr">
        <is>
          <t>KALMAR LÄN</t>
        </is>
      </c>
      <c r="E89" t="inlineStr">
        <is>
          <t>VIMMERBY</t>
        </is>
      </c>
      <c r="G89" t="n">
        <v>1.8</v>
      </c>
      <c r="H89" t="n">
        <v>0</v>
      </c>
      <c r="I89" t="n">
        <v>0</v>
      </c>
      <c r="J89" t="n">
        <v>0</v>
      </c>
      <c r="K89" t="n">
        <v>0</v>
      </c>
      <c r="L89" t="n">
        <v>0</v>
      </c>
      <c r="M89" t="n">
        <v>0</v>
      </c>
      <c r="N89" t="n">
        <v>0</v>
      </c>
      <c r="O89" t="n">
        <v>0</v>
      </c>
      <c r="P89" t="n">
        <v>0</v>
      </c>
      <c r="Q89" t="n">
        <v>0</v>
      </c>
      <c r="R89" s="2" t="inlineStr"/>
    </row>
    <row r="90" ht="15" customHeight="1">
      <c r="A90" t="inlineStr">
        <is>
          <t>A 41438-2022</t>
        </is>
      </c>
      <c r="B90" s="1" t="n">
        <v>44826.68010416667</v>
      </c>
      <c r="C90" s="1" t="n">
        <v>45889</v>
      </c>
      <c r="D90" t="inlineStr">
        <is>
          <t>KALMAR LÄN</t>
        </is>
      </c>
      <c r="E90" t="inlineStr">
        <is>
          <t>VIMMERBY</t>
        </is>
      </c>
      <c r="G90" t="n">
        <v>3.1</v>
      </c>
      <c r="H90" t="n">
        <v>0</v>
      </c>
      <c r="I90" t="n">
        <v>0</v>
      </c>
      <c r="J90" t="n">
        <v>0</v>
      </c>
      <c r="K90" t="n">
        <v>0</v>
      </c>
      <c r="L90" t="n">
        <v>0</v>
      </c>
      <c r="M90" t="n">
        <v>0</v>
      </c>
      <c r="N90" t="n">
        <v>0</v>
      </c>
      <c r="O90" t="n">
        <v>0</v>
      </c>
      <c r="P90" t="n">
        <v>0</v>
      </c>
      <c r="Q90" t="n">
        <v>0</v>
      </c>
      <c r="R90" s="2" t="inlineStr"/>
    </row>
    <row r="91" ht="15" customHeight="1">
      <c r="A91" t="inlineStr">
        <is>
          <t>A 38086-2021</t>
        </is>
      </c>
      <c r="B91" s="1" t="n">
        <v>44404.87505787037</v>
      </c>
      <c r="C91" s="1" t="n">
        <v>45889</v>
      </c>
      <c r="D91" t="inlineStr">
        <is>
          <t>KALMAR LÄN</t>
        </is>
      </c>
      <c r="E91" t="inlineStr">
        <is>
          <t>VIMMERBY</t>
        </is>
      </c>
      <c r="G91" t="n">
        <v>4.4</v>
      </c>
      <c r="H91" t="n">
        <v>0</v>
      </c>
      <c r="I91" t="n">
        <v>0</v>
      </c>
      <c r="J91" t="n">
        <v>0</v>
      </c>
      <c r="K91" t="n">
        <v>0</v>
      </c>
      <c r="L91" t="n">
        <v>0</v>
      </c>
      <c r="M91" t="n">
        <v>0</v>
      </c>
      <c r="N91" t="n">
        <v>0</v>
      </c>
      <c r="O91" t="n">
        <v>0</v>
      </c>
      <c r="P91" t="n">
        <v>0</v>
      </c>
      <c r="Q91" t="n">
        <v>0</v>
      </c>
      <c r="R91" s="2" t="inlineStr"/>
    </row>
    <row r="92" ht="15" customHeight="1">
      <c r="A92" t="inlineStr">
        <is>
          <t>A 57416-2021</t>
        </is>
      </c>
      <c r="B92" s="1" t="n">
        <v>44483.58295138889</v>
      </c>
      <c r="C92" s="1" t="n">
        <v>45889</v>
      </c>
      <c r="D92" t="inlineStr">
        <is>
          <t>KALMAR LÄN</t>
        </is>
      </c>
      <c r="E92" t="inlineStr">
        <is>
          <t>VIMMERBY</t>
        </is>
      </c>
      <c r="G92" t="n">
        <v>2.9</v>
      </c>
      <c r="H92" t="n">
        <v>0</v>
      </c>
      <c r="I92" t="n">
        <v>0</v>
      </c>
      <c r="J92" t="n">
        <v>0</v>
      </c>
      <c r="K92" t="n">
        <v>0</v>
      </c>
      <c r="L92" t="n">
        <v>0</v>
      </c>
      <c r="M92" t="n">
        <v>0</v>
      </c>
      <c r="N92" t="n">
        <v>0</v>
      </c>
      <c r="O92" t="n">
        <v>0</v>
      </c>
      <c r="P92" t="n">
        <v>0</v>
      </c>
      <c r="Q92" t="n">
        <v>0</v>
      </c>
      <c r="R92" s="2" t="inlineStr"/>
    </row>
    <row r="93" ht="15" customHeight="1">
      <c r="A93" t="inlineStr">
        <is>
          <t>A 71626-2021</t>
        </is>
      </c>
      <c r="B93" s="1" t="n">
        <v>44542.8859375</v>
      </c>
      <c r="C93" s="1" t="n">
        <v>45889</v>
      </c>
      <c r="D93" t="inlineStr">
        <is>
          <t>KALMAR LÄN</t>
        </is>
      </c>
      <c r="E93" t="inlineStr">
        <is>
          <t>VIMMERBY</t>
        </is>
      </c>
      <c r="G93" t="n">
        <v>1.1</v>
      </c>
      <c r="H93" t="n">
        <v>0</v>
      </c>
      <c r="I93" t="n">
        <v>0</v>
      </c>
      <c r="J93" t="n">
        <v>0</v>
      </c>
      <c r="K93" t="n">
        <v>0</v>
      </c>
      <c r="L93" t="n">
        <v>0</v>
      </c>
      <c r="M93" t="n">
        <v>0</v>
      </c>
      <c r="N93" t="n">
        <v>0</v>
      </c>
      <c r="O93" t="n">
        <v>0</v>
      </c>
      <c r="P93" t="n">
        <v>0</v>
      </c>
      <c r="Q93" t="n">
        <v>0</v>
      </c>
      <c r="R93" s="2" t="inlineStr"/>
    </row>
    <row r="94" ht="15" customHeight="1">
      <c r="A94" t="inlineStr">
        <is>
          <t>A 59791-2021</t>
        </is>
      </c>
      <c r="B94" s="1" t="n">
        <v>44494</v>
      </c>
      <c r="C94" s="1" t="n">
        <v>45889</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45678-2020</t>
        </is>
      </c>
      <c r="B95" s="1" t="n">
        <v>44090</v>
      </c>
      <c r="C95" s="1" t="n">
        <v>45889</v>
      </c>
      <c r="D95" t="inlineStr">
        <is>
          <t>KALMAR LÄN</t>
        </is>
      </c>
      <c r="E95" t="inlineStr">
        <is>
          <t>VIMMERBY</t>
        </is>
      </c>
      <c r="G95" t="n">
        <v>4.3</v>
      </c>
      <c r="H95" t="n">
        <v>0</v>
      </c>
      <c r="I95" t="n">
        <v>0</v>
      </c>
      <c r="J95" t="n">
        <v>0</v>
      </c>
      <c r="K95" t="n">
        <v>0</v>
      </c>
      <c r="L95" t="n">
        <v>0</v>
      </c>
      <c r="M95" t="n">
        <v>0</v>
      </c>
      <c r="N95" t="n">
        <v>0</v>
      </c>
      <c r="O95" t="n">
        <v>0</v>
      </c>
      <c r="P95" t="n">
        <v>0</v>
      </c>
      <c r="Q95" t="n">
        <v>0</v>
      </c>
      <c r="R95" s="2" t="inlineStr"/>
    </row>
    <row r="96" ht="15" customHeight="1">
      <c r="A96" t="inlineStr">
        <is>
          <t>A 27762-2021</t>
        </is>
      </c>
      <c r="B96" s="1" t="n">
        <v>44354</v>
      </c>
      <c r="C96" s="1" t="n">
        <v>45889</v>
      </c>
      <c r="D96" t="inlineStr">
        <is>
          <t>KALMAR LÄN</t>
        </is>
      </c>
      <c r="E96" t="inlineStr">
        <is>
          <t>VIMMERBY</t>
        </is>
      </c>
      <c r="G96" t="n">
        <v>1.4</v>
      </c>
      <c r="H96" t="n">
        <v>0</v>
      </c>
      <c r="I96" t="n">
        <v>0</v>
      </c>
      <c r="J96" t="n">
        <v>0</v>
      </c>
      <c r="K96" t="n">
        <v>0</v>
      </c>
      <c r="L96" t="n">
        <v>0</v>
      </c>
      <c r="M96" t="n">
        <v>0</v>
      </c>
      <c r="N96" t="n">
        <v>0</v>
      </c>
      <c r="O96" t="n">
        <v>0</v>
      </c>
      <c r="P96" t="n">
        <v>0</v>
      </c>
      <c r="Q96" t="n">
        <v>0</v>
      </c>
      <c r="R96" s="2" t="inlineStr"/>
    </row>
    <row r="97" ht="15" customHeight="1">
      <c r="A97" t="inlineStr">
        <is>
          <t>A 64923-2021</t>
        </is>
      </c>
      <c r="B97" s="1" t="n">
        <v>44512.70245370371</v>
      </c>
      <c r="C97" s="1" t="n">
        <v>45889</v>
      </c>
      <c r="D97" t="inlineStr">
        <is>
          <t>KALMAR LÄN</t>
        </is>
      </c>
      <c r="E97" t="inlineStr">
        <is>
          <t>VIMMERBY</t>
        </is>
      </c>
      <c r="G97" t="n">
        <v>1</v>
      </c>
      <c r="H97" t="n">
        <v>0</v>
      </c>
      <c r="I97" t="n">
        <v>0</v>
      </c>
      <c r="J97" t="n">
        <v>0</v>
      </c>
      <c r="K97" t="n">
        <v>0</v>
      </c>
      <c r="L97" t="n">
        <v>0</v>
      </c>
      <c r="M97" t="n">
        <v>0</v>
      </c>
      <c r="N97" t="n">
        <v>0</v>
      </c>
      <c r="O97" t="n">
        <v>0</v>
      </c>
      <c r="P97" t="n">
        <v>0</v>
      </c>
      <c r="Q97" t="n">
        <v>0</v>
      </c>
      <c r="R97" s="2" t="inlineStr"/>
    </row>
    <row r="98" ht="15" customHeight="1">
      <c r="A98" t="inlineStr">
        <is>
          <t>A 3621-2021</t>
        </is>
      </c>
      <c r="B98" s="1" t="n">
        <v>44221.39408564815</v>
      </c>
      <c r="C98" s="1" t="n">
        <v>45889</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33829-2022</t>
        </is>
      </c>
      <c r="B99" s="1" t="n">
        <v>44790</v>
      </c>
      <c r="C99" s="1" t="n">
        <v>45889</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45889</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45889</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45889</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45889</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33820-2022</t>
        </is>
      </c>
      <c r="B104" s="1" t="n">
        <v>44790</v>
      </c>
      <c r="C104" s="1" t="n">
        <v>45889</v>
      </c>
      <c r="D104" t="inlineStr">
        <is>
          <t>KALMAR LÄN</t>
        </is>
      </c>
      <c r="E104" t="inlineStr">
        <is>
          <t>VIMMERBY</t>
        </is>
      </c>
      <c r="G104" t="n">
        <v>3</v>
      </c>
      <c r="H104" t="n">
        <v>0</v>
      </c>
      <c r="I104" t="n">
        <v>0</v>
      </c>
      <c r="J104" t="n">
        <v>0</v>
      </c>
      <c r="K104" t="n">
        <v>0</v>
      </c>
      <c r="L104" t="n">
        <v>0</v>
      </c>
      <c r="M104" t="n">
        <v>0</v>
      </c>
      <c r="N104" t="n">
        <v>0</v>
      </c>
      <c r="O104" t="n">
        <v>0</v>
      </c>
      <c r="P104" t="n">
        <v>0</v>
      </c>
      <c r="Q104" t="n">
        <v>0</v>
      </c>
      <c r="R104" s="2" t="inlineStr"/>
    </row>
    <row r="105" ht="15" customHeight="1">
      <c r="A105" t="inlineStr">
        <is>
          <t>A 33824-2022</t>
        </is>
      </c>
      <c r="B105" s="1" t="n">
        <v>44790.47628472222</v>
      </c>
      <c r="C105" s="1" t="n">
        <v>45889</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65952-2020</t>
        </is>
      </c>
      <c r="B106" s="1" t="n">
        <v>44175.3815625</v>
      </c>
      <c r="C106" s="1" t="n">
        <v>45889</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65973-2020</t>
        </is>
      </c>
      <c r="B107" s="1" t="n">
        <v>44175.40881944444</v>
      </c>
      <c r="C107" s="1" t="n">
        <v>45889</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19863-2021</t>
        </is>
      </c>
      <c r="B108" s="1" t="n">
        <v>44312</v>
      </c>
      <c r="C108" s="1" t="n">
        <v>45889</v>
      </c>
      <c r="D108" t="inlineStr">
        <is>
          <t>KALMAR LÄN</t>
        </is>
      </c>
      <c r="E108" t="inlineStr">
        <is>
          <t>VIMMERBY</t>
        </is>
      </c>
      <c r="G108" t="n">
        <v>3.7</v>
      </c>
      <c r="H108" t="n">
        <v>0</v>
      </c>
      <c r="I108" t="n">
        <v>0</v>
      </c>
      <c r="J108" t="n">
        <v>0</v>
      </c>
      <c r="K108" t="n">
        <v>0</v>
      </c>
      <c r="L108" t="n">
        <v>0</v>
      </c>
      <c r="M108" t="n">
        <v>0</v>
      </c>
      <c r="N108" t="n">
        <v>0</v>
      </c>
      <c r="O108" t="n">
        <v>0</v>
      </c>
      <c r="P108" t="n">
        <v>0</v>
      </c>
      <c r="Q108" t="n">
        <v>0</v>
      </c>
      <c r="R108" s="2" t="inlineStr"/>
    </row>
    <row r="109" ht="15" customHeight="1">
      <c r="A109" t="inlineStr">
        <is>
          <t>A 55297-2021</t>
        </is>
      </c>
      <c r="B109" s="1" t="n">
        <v>44475</v>
      </c>
      <c r="C109" s="1" t="n">
        <v>45889</v>
      </c>
      <c r="D109" t="inlineStr">
        <is>
          <t>KALMAR LÄN</t>
        </is>
      </c>
      <c r="E109" t="inlineStr">
        <is>
          <t>VIMMERBY</t>
        </is>
      </c>
      <c r="G109" t="n">
        <v>4.1</v>
      </c>
      <c r="H109" t="n">
        <v>0</v>
      </c>
      <c r="I109" t="n">
        <v>0</v>
      </c>
      <c r="J109" t="n">
        <v>0</v>
      </c>
      <c r="K109" t="n">
        <v>0</v>
      </c>
      <c r="L109" t="n">
        <v>0</v>
      </c>
      <c r="M109" t="n">
        <v>0</v>
      </c>
      <c r="N109" t="n">
        <v>0</v>
      </c>
      <c r="O109" t="n">
        <v>0</v>
      </c>
      <c r="P109" t="n">
        <v>0</v>
      </c>
      <c r="Q109" t="n">
        <v>0</v>
      </c>
      <c r="R109" s="2" t="inlineStr"/>
    </row>
    <row r="110" ht="15" customHeight="1">
      <c r="A110" t="inlineStr">
        <is>
          <t>A 35531-2021</t>
        </is>
      </c>
      <c r="B110" s="1" t="n">
        <v>44385</v>
      </c>
      <c r="C110" s="1" t="n">
        <v>45889</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7072-2021</t>
        </is>
      </c>
      <c r="B111" s="1" t="n">
        <v>44237.8550925926</v>
      </c>
      <c r="C111" s="1" t="n">
        <v>45889</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53711-2020</t>
        </is>
      </c>
      <c r="B112" s="1" t="n">
        <v>44124.59795138889</v>
      </c>
      <c r="C112" s="1" t="n">
        <v>45889</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38789-2021</t>
        </is>
      </c>
      <c r="B113" s="1" t="n">
        <v>44410.71038194445</v>
      </c>
      <c r="C113" s="1" t="n">
        <v>45889</v>
      </c>
      <c r="D113" t="inlineStr">
        <is>
          <t>KALMAR LÄN</t>
        </is>
      </c>
      <c r="E113" t="inlineStr">
        <is>
          <t>VIMMERBY</t>
        </is>
      </c>
      <c r="G113" t="n">
        <v>3.7</v>
      </c>
      <c r="H113" t="n">
        <v>0</v>
      </c>
      <c r="I113" t="n">
        <v>0</v>
      </c>
      <c r="J113" t="n">
        <v>0</v>
      </c>
      <c r="K113" t="n">
        <v>0</v>
      </c>
      <c r="L113" t="n">
        <v>0</v>
      </c>
      <c r="M113" t="n">
        <v>0</v>
      </c>
      <c r="N113" t="n">
        <v>0</v>
      </c>
      <c r="O113" t="n">
        <v>0</v>
      </c>
      <c r="P113" t="n">
        <v>0</v>
      </c>
      <c r="Q113" t="n">
        <v>0</v>
      </c>
      <c r="R113" s="2" t="inlineStr"/>
    </row>
    <row r="114" ht="15" customHeight="1">
      <c r="A114" t="inlineStr">
        <is>
          <t>A 14347-2021</t>
        </is>
      </c>
      <c r="B114" s="1" t="n">
        <v>44279.33400462963</v>
      </c>
      <c r="C114" s="1" t="n">
        <v>45889</v>
      </c>
      <c r="D114" t="inlineStr">
        <is>
          <t>KALMAR LÄN</t>
        </is>
      </c>
      <c r="E114" t="inlineStr">
        <is>
          <t>VIMMERBY</t>
        </is>
      </c>
      <c r="G114" t="n">
        <v>6.4</v>
      </c>
      <c r="H114" t="n">
        <v>0</v>
      </c>
      <c r="I114" t="n">
        <v>0</v>
      </c>
      <c r="J114" t="n">
        <v>0</v>
      </c>
      <c r="K114" t="n">
        <v>0</v>
      </c>
      <c r="L114" t="n">
        <v>0</v>
      </c>
      <c r="M114" t="n">
        <v>0</v>
      </c>
      <c r="N114" t="n">
        <v>0</v>
      </c>
      <c r="O114" t="n">
        <v>0</v>
      </c>
      <c r="P114" t="n">
        <v>0</v>
      </c>
      <c r="Q114" t="n">
        <v>0</v>
      </c>
      <c r="R114" s="2" t="inlineStr"/>
    </row>
    <row r="115" ht="15" customHeight="1">
      <c r="A115" t="inlineStr">
        <is>
          <t>A 66913-2020</t>
        </is>
      </c>
      <c r="B115" s="1" t="n">
        <v>44175</v>
      </c>
      <c r="C115" s="1" t="n">
        <v>45889</v>
      </c>
      <c r="D115" t="inlineStr">
        <is>
          <t>KALMAR LÄN</t>
        </is>
      </c>
      <c r="E115" t="inlineStr">
        <is>
          <t>VIMMERBY</t>
        </is>
      </c>
      <c r="G115" t="n">
        <v>5.6</v>
      </c>
      <c r="H115" t="n">
        <v>0</v>
      </c>
      <c r="I115" t="n">
        <v>0</v>
      </c>
      <c r="J115" t="n">
        <v>0</v>
      </c>
      <c r="K115" t="n">
        <v>0</v>
      </c>
      <c r="L115" t="n">
        <v>0</v>
      </c>
      <c r="M115" t="n">
        <v>0</v>
      </c>
      <c r="N115" t="n">
        <v>0</v>
      </c>
      <c r="O115" t="n">
        <v>0</v>
      </c>
      <c r="P115" t="n">
        <v>0</v>
      </c>
      <c r="Q115" t="n">
        <v>0</v>
      </c>
      <c r="R115" s="2" t="inlineStr"/>
    </row>
    <row r="116" ht="15" customHeight="1">
      <c r="A116" t="inlineStr">
        <is>
          <t>A 16290-2022</t>
        </is>
      </c>
      <c r="B116" s="1" t="n">
        <v>44670</v>
      </c>
      <c r="C116" s="1" t="n">
        <v>45889</v>
      </c>
      <c r="D116" t="inlineStr">
        <is>
          <t>KALMAR LÄN</t>
        </is>
      </c>
      <c r="E116" t="inlineStr">
        <is>
          <t>VIMMERBY</t>
        </is>
      </c>
      <c r="G116" t="n">
        <v>1.2</v>
      </c>
      <c r="H116" t="n">
        <v>0</v>
      </c>
      <c r="I116" t="n">
        <v>0</v>
      </c>
      <c r="J116" t="n">
        <v>0</v>
      </c>
      <c r="K116" t="n">
        <v>0</v>
      </c>
      <c r="L116" t="n">
        <v>0</v>
      </c>
      <c r="M116" t="n">
        <v>0</v>
      </c>
      <c r="N116" t="n">
        <v>0</v>
      </c>
      <c r="O116" t="n">
        <v>0</v>
      </c>
      <c r="P116" t="n">
        <v>0</v>
      </c>
      <c r="Q116" t="n">
        <v>0</v>
      </c>
      <c r="R116" s="2" t="inlineStr"/>
    </row>
    <row r="117" ht="15" customHeight="1">
      <c r="A117" t="inlineStr">
        <is>
          <t>A 30682-2021</t>
        </is>
      </c>
      <c r="B117" s="1" t="n">
        <v>44365</v>
      </c>
      <c r="C117" s="1" t="n">
        <v>45889</v>
      </c>
      <c r="D117" t="inlineStr">
        <is>
          <t>KALMAR LÄN</t>
        </is>
      </c>
      <c r="E117" t="inlineStr">
        <is>
          <t>VIMMERBY</t>
        </is>
      </c>
      <c r="F117" t="inlineStr">
        <is>
          <t>Sveaskog</t>
        </is>
      </c>
      <c r="G117" t="n">
        <v>1.1</v>
      </c>
      <c r="H117" t="n">
        <v>0</v>
      </c>
      <c r="I117" t="n">
        <v>0</v>
      </c>
      <c r="J117" t="n">
        <v>0</v>
      </c>
      <c r="K117" t="n">
        <v>0</v>
      </c>
      <c r="L117" t="n">
        <v>0</v>
      </c>
      <c r="M117" t="n">
        <v>0</v>
      </c>
      <c r="N117" t="n">
        <v>0</v>
      </c>
      <c r="O117" t="n">
        <v>0</v>
      </c>
      <c r="P117" t="n">
        <v>0</v>
      </c>
      <c r="Q117" t="n">
        <v>0</v>
      </c>
      <c r="R117" s="2" t="inlineStr"/>
    </row>
    <row r="118" ht="15" customHeight="1">
      <c r="A118" t="inlineStr">
        <is>
          <t>A 64707-2020</t>
        </is>
      </c>
      <c r="B118" s="1" t="n">
        <v>44169</v>
      </c>
      <c r="C118" s="1" t="n">
        <v>45889</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13492-2021</t>
        </is>
      </c>
      <c r="B119" s="1" t="n">
        <v>44273</v>
      </c>
      <c r="C119" s="1" t="n">
        <v>45889</v>
      </c>
      <c r="D119" t="inlineStr">
        <is>
          <t>KALMAR LÄN</t>
        </is>
      </c>
      <c r="E119" t="inlineStr">
        <is>
          <t>VIMMERBY</t>
        </is>
      </c>
      <c r="G119" t="n">
        <v>3.1</v>
      </c>
      <c r="H119" t="n">
        <v>0</v>
      </c>
      <c r="I119" t="n">
        <v>0</v>
      </c>
      <c r="J119" t="n">
        <v>0</v>
      </c>
      <c r="K119" t="n">
        <v>0</v>
      </c>
      <c r="L119" t="n">
        <v>0</v>
      </c>
      <c r="M119" t="n">
        <v>0</v>
      </c>
      <c r="N119" t="n">
        <v>0</v>
      </c>
      <c r="O119" t="n">
        <v>0</v>
      </c>
      <c r="P119" t="n">
        <v>0</v>
      </c>
      <c r="Q119" t="n">
        <v>0</v>
      </c>
      <c r="R119" s="2" t="inlineStr"/>
    </row>
    <row r="120" ht="15" customHeight="1">
      <c r="A120" t="inlineStr">
        <is>
          <t>A 17869-2021</t>
        </is>
      </c>
      <c r="B120" s="1" t="n">
        <v>44301.36048611111</v>
      </c>
      <c r="C120" s="1" t="n">
        <v>45889</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25049-2022</t>
        </is>
      </c>
      <c r="B121" s="1" t="n">
        <v>44729.28226851852</v>
      </c>
      <c r="C121" s="1" t="n">
        <v>45889</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12848-2021</t>
        </is>
      </c>
      <c r="B122" s="1" t="n">
        <v>44271.37226851852</v>
      </c>
      <c r="C122" s="1" t="n">
        <v>45889</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24723-2021</t>
        </is>
      </c>
      <c r="B123" s="1" t="n">
        <v>44340.54472222222</v>
      </c>
      <c r="C123" s="1" t="n">
        <v>45889</v>
      </c>
      <c r="D123" t="inlineStr">
        <is>
          <t>KALMAR LÄN</t>
        </is>
      </c>
      <c r="E123" t="inlineStr">
        <is>
          <t>VIMMERBY</t>
        </is>
      </c>
      <c r="G123" t="n">
        <v>3.3</v>
      </c>
      <c r="H123" t="n">
        <v>0</v>
      </c>
      <c r="I123" t="n">
        <v>0</v>
      </c>
      <c r="J123" t="n">
        <v>0</v>
      </c>
      <c r="K123" t="n">
        <v>0</v>
      </c>
      <c r="L123" t="n">
        <v>0</v>
      </c>
      <c r="M123" t="n">
        <v>0</v>
      </c>
      <c r="N123" t="n">
        <v>0</v>
      </c>
      <c r="O123" t="n">
        <v>0</v>
      </c>
      <c r="P123" t="n">
        <v>0</v>
      </c>
      <c r="Q123" t="n">
        <v>0</v>
      </c>
      <c r="R123" s="2" t="inlineStr"/>
    </row>
    <row r="124" ht="15" customHeight="1">
      <c r="A124" t="inlineStr">
        <is>
          <t>A 24752-2021</t>
        </is>
      </c>
      <c r="B124" s="1" t="n">
        <v>44340</v>
      </c>
      <c r="C124" s="1" t="n">
        <v>45889</v>
      </c>
      <c r="D124" t="inlineStr">
        <is>
          <t>KALMAR LÄN</t>
        </is>
      </c>
      <c r="E124" t="inlineStr">
        <is>
          <t>VIMMERBY</t>
        </is>
      </c>
      <c r="G124" t="n">
        <v>4.1</v>
      </c>
      <c r="H124" t="n">
        <v>0</v>
      </c>
      <c r="I124" t="n">
        <v>0</v>
      </c>
      <c r="J124" t="n">
        <v>0</v>
      </c>
      <c r="K124" t="n">
        <v>0</v>
      </c>
      <c r="L124" t="n">
        <v>0</v>
      </c>
      <c r="M124" t="n">
        <v>0</v>
      </c>
      <c r="N124" t="n">
        <v>0</v>
      </c>
      <c r="O124" t="n">
        <v>0</v>
      </c>
      <c r="P124" t="n">
        <v>0</v>
      </c>
      <c r="Q124" t="n">
        <v>0</v>
      </c>
      <c r="R124" s="2" t="inlineStr"/>
    </row>
    <row r="125" ht="15" customHeight="1">
      <c r="A125" t="inlineStr">
        <is>
          <t>A 31533-2022</t>
        </is>
      </c>
      <c r="B125" s="1" t="n">
        <v>44774</v>
      </c>
      <c r="C125" s="1" t="n">
        <v>45889</v>
      </c>
      <c r="D125" t="inlineStr">
        <is>
          <t>KALMAR LÄN</t>
        </is>
      </c>
      <c r="E125" t="inlineStr">
        <is>
          <t>VIMMERBY</t>
        </is>
      </c>
      <c r="G125" t="n">
        <v>2.5</v>
      </c>
      <c r="H125" t="n">
        <v>0</v>
      </c>
      <c r="I125" t="n">
        <v>0</v>
      </c>
      <c r="J125" t="n">
        <v>0</v>
      </c>
      <c r="K125" t="n">
        <v>0</v>
      </c>
      <c r="L125" t="n">
        <v>0</v>
      </c>
      <c r="M125" t="n">
        <v>0</v>
      </c>
      <c r="N125" t="n">
        <v>0</v>
      </c>
      <c r="O125" t="n">
        <v>0</v>
      </c>
      <c r="P125" t="n">
        <v>0</v>
      </c>
      <c r="Q125" t="n">
        <v>0</v>
      </c>
      <c r="R125" s="2" t="inlineStr"/>
    </row>
    <row r="126" ht="15" customHeight="1">
      <c r="A126" t="inlineStr">
        <is>
          <t>A 39125-2020</t>
        </is>
      </c>
      <c r="B126" s="1" t="n">
        <v>44063</v>
      </c>
      <c r="C126" s="1" t="n">
        <v>45889</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25859-2022</t>
        </is>
      </c>
      <c r="B127" s="1" t="n">
        <v>44733</v>
      </c>
      <c r="C127" s="1" t="n">
        <v>45889</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25868-2022</t>
        </is>
      </c>
      <c r="B128" s="1" t="n">
        <v>44733</v>
      </c>
      <c r="C128" s="1" t="n">
        <v>45889</v>
      </c>
      <c r="D128" t="inlineStr">
        <is>
          <t>KALMAR LÄN</t>
        </is>
      </c>
      <c r="E128" t="inlineStr">
        <is>
          <t>VIMMERBY</t>
        </is>
      </c>
      <c r="G128" t="n">
        <v>1.7</v>
      </c>
      <c r="H128" t="n">
        <v>0</v>
      </c>
      <c r="I128" t="n">
        <v>0</v>
      </c>
      <c r="J128" t="n">
        <v>0</v>
      </c>
      <c r="K128" t="n">
        <v>0</v>
      </c>
      <c r="L128" t="n">
        <v>0</v>
      </c>
      <c r="M128" t="n">
        <v>0</v>
      </c>
      <c r="N128" t="n">
        <v>0</v>
      </c>
      <c r="O128" t="n">
        <v>0</v>
      </c>
      <c r="P128" t="n">
        <v>0</v>
      </c>
      <c r="Q128" t="n">
        <v>0</v>
      </c>
      <c r="R128" s="2" t="inlineStr"/>
    </row>
    <row r="129" ht="15" customHeight="1">
      <c r="A129" t="inlineStr">
        <is>
          <t>A 60810-2020</t>
        </is>
      </c>
      <c r="B129" s="1" t="n">
        <v>44154</v>
      </c>
      <c r="C129" s="1" t="n">
        <v>45889</v>
      </c>
      <c r="D129" t="inlineStr">
        <is>
          <t>KALMAR LÄN</t>
        </is>
      </c>
      <c r="E129" t="inlineStr">
        <is>
          <t>VIMMERBY</t>
        </is>
      </c>
      <c r="G129" t="n">
        <v>0.8</v>
      </c>
      <c r="H129" t="n">
        <v>0</v>
      </c>
      <c r="I129" t="n">
        <v>0</v>
      </c>
      <c r="J129" t="n">
        <v>0</v>
      </c>
      <c r="K129" t="n">
        <v>0</v>
      </c>
      <c r="L129" t="n">
        <v>0</v>
      </c>
      <c r="M129" t="n">
        <v>0</v>
      </c>
      <c r="N129" t="n">
        <v>0</v>
      </c>
      <c r="O129" t="n">
        <v>0</v>
      </c>
      <c r="P129" t="n">
        <v>0</v>
      </c>
      <c r="Q129" t="n">
        <v>0</v>
      </c>
      <c r="R129" s="2" t="inlineStr"/>
    </row>
    <row r="130" ht="15" customHeight="1">
      <c r="A130" t="inlineStr">
        <is>
          <t>A 32386-2021</t>
        </is>
      </c>
      <c r="B130" s="1" t="n">
        <v>44371.62743055556</v>
      </c>
      <c r="C130" s="1" t="n">
        <v>45889</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35633-2021</t>
        </is>
      </c>
      <c r="B131" s="1" t="n">
        <v>44386.40783564815</v>
      </c>
      <c r="C131" s="1" t="n">
        <v>45889</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56343-2021</t>
        </is>
      </c>
      <c r="B132" s="1" t="n">
        <v>44480</v>
      </c>
      <c r="C132" s="1" t="n">
        <v>45889</v>
      </c>
      <c r="D132" t="inlineStr">
        <is>
          <t>KALMAR LÄN</t>
        </is>
      </c>
      <c r="E132" t="inlineStr">
        <is>
          <t>VIMMERBY</t>
        </is>
      </c>
      <c r="G132" t="n">
        <v>0.5</v>
      </c>
      <c r="H132" t="n">
        <v>0</v>
      </c>
      <c r="I132" t="n">
        <v>0</v>
      </c>
      <c r="J132" t="n">
        <v>0</v>
      </c>
      <c r="K132" t="n">
        <v>0</v>
      </c>
      <c r="L132" t="n">
        <v>0</v>
      </c>
      <c r="M132" t="n">
        <v>0</v>
      </c>
      <c r="N132" t="n">
        <v>0</v>
      </c>
      <c r="O132" t="n">
        <v>0</v>
      </c>
      <c r="P132" t="n">
        <v>0</v>
      </c>
      <c r="Q132" t="n">
        <v>0</v>
      </c>
      <c r="R132" s="2" t="inlineStr"/>
    </row>
    <row r="133" ht="15" customHeight="1">
      <c r="A133" t="inlineStr">
        <is>
          <t>A 8415-2021</t>
        </is>
      </c>
      <c r="B133" s="1" t="n">
        <v>44245</v>
      </c>
      <c r="C133" s="1" t="n">
        <v>45889</v>
      </c>
      <c r="D133" t="inlineStr">
        <is>
          <t>KALMAR LÄN</t>
        </is>
      </c>
      <c r="E133" t="inlineStr">
        <is>
          <t>VIMMERBY</t>
        </is>
      </c>
      <c r="G133" t="n">
        <v>4.7</v>
      </c>
      <c r="H133" t="n">
        <v>0</v>
      </c>
      <c r="I133" t="n">
        <v>0</v>
      </c>
      <c r="J133" t="n">
        <v>0</v>
      </c>
      <c r="K133" t="n">
        <v>0</v>
      </c>
      <c r="L133" t="n">
        <v>0</v>
      </c>
      <c r="M133" t="n">
        <v>0</v>
      </c>
      <c r="N133" t="n">
        <v>0</v>
      </c>
      <c r="O133" t="n">
        <v>0</v>
      </c>
      <c r="P133" t="n">
        <v>0</v>
      </c>
      <c r="Q133" t="n">
        <v>0</v>
      </c>
      <c r="R133" s="2" t="inlineStr"/>
    </row>
    <row r="134" ht="15" customHeight="1">
      <c r="A134" t="inlineStr">
        <is>
          <t>A 40818-2020</t>
        </is>
      </c>
      <c r="B134" s="1" t="n">
        <v>44070.40998842593</v>
      </c>
      <c r="C134" s="1" t="n">
        <v>45889</v>
      </c>
      <c r="D134" t="inlineStr">
        <is>
          <t>KALMAR LÄN</t>
        </is>
      </c>
      <c r="E134" t="inlineStr">
        <is>
          <t>VIMMERBY</t>
        </is>
      </c>
      <c r="G134" t="n">
        <v>2.2</v>
      </c>
      <c r="H134" t="n">
        <v>0</v>
      </c>
      <c r="I134" t="n">
        <v>0</v>
      </c>
      <c r="J134" t="n">
        <v>0</v>
      </c>
      <c r="K134" t="n">
        <v>0</v>
      </c>
      <c r="L134" t="n">
        <v>0</v>
      </c>
      <c r="M134" t="n">
        <v>0</v>
      </c>
      <c r="N134" t="n">
        <v>0</v>
      </c>
      <c r="O134" t="n">
        <v>0</v>
      </c>
      <c r="P134" t="n">
        <v>0</v>
      </c>
      <c r="Q134" t="n">
        <v>0</v>
      </c>
      <c r="R134" s="2" t="inlineStr"/>
    </row>
    <row r="135" ht="15" customHeight="1">
      <c r="A135" t="inlineStr">
        <is>
          <t>A 24369-2021</t>
        </is>
      </c>
      <c r="B135" s="1" t="n">
        <v>44337</v>
      </c>
      <c r="C135" s="1" t="n">
        <v>45889</v>
      </c>
      <c r="D135" t="inlineStr">
        <is>
          <t>KALMAR LÄN</t>
        </is>
      </c>
      <c r="E135" t="inlineStr">
        <is>
          <t>VIMMERBY</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48949-2020</t>
        </is>
      </c>
      <c r="B136" s="1" t="n">
        <v>44102</v>
      </c>
      <c r="C136" s="1" t="n">
        <v>45889</v>
      </c>
      <c r="D136" t="inlineStr">
        <is>
          <t>KALMAR LÄN</t>
        </is>
      </c>
      <c r="E136" t="inlineStr">
        <is>
          <t>VIMMERBY</t>
        </is>
      </c>
      <c r="G136" t="n">
        <v>0.7</v>
      </c>
      <c r="H136" t="n">
        <v>0</v>
      </c>
      <c r="I136" t="n">
        <v>0</v>
      </c>
      <c r="J136" t="n">
        <v>0</v>
      </c>
      <c r="K136" t="n">
        <v>0</v>
      </c>
      <c r="L136" t="n">
        <v>0</v>
      </c>
      <c r="M136" t="n">
        <v>0</v>
      </c>
      <c r="N136" t="n">
        <v>0</v>
      </c>
      <c r="O136" t="n">
        <v>0</v>
      </c>
      <c r="P136" t="n">
        <v>0</v>
      </c>
      <c r="Q136" t="n">
        <v>0</v>
      </c>
      <c r="R136" s="2" t="inlineStr"/>
    </row>
    <row r="137" ht="15" customHeight="1">
      <c r="A137" t="inlineStr">
        <is>
          <t>A 51972-2021</t>
        </is>
      </c>
      <c r="B137" s="1" t="n">
        <v>44463.29439814815</v>
      </c>
      <c r="C137" s="1" t="n">
        <v>45889</v>
      </c>
      <c r="D137" t="inlineStr">
        <is>
          <t>KALMAR LÄN</t>
        </is>
      </c>
      <c r="E137" t="inlineStr">
        <is>
          <t>VIMMERBY</t>
        </is>
      </c>
      <c r="G137" t="n">
        <v>4.5</v>
      </c>
      <c r="H137" t="n">
        <v>0</v>
      </c>
      <c r="I137" t="n">
        <v>0</v>
      </c>
      <c r="J137" t="n">
        <v>0</v>
      </c>
      <c r="K137" t="n">
        <v>0</v>
      </c>
      <c r="L137" t="n">
        <v>0</v>
      </c>
      <c r="M137" t="n">
        <v>0</v>
      </c>
      <c r="N137" t="n">
        <v>0</v>
      </c>
      <c r="O137" t="n">
        <v>0</v>
      </c>
      <c r="P137" t="n">
        <v>0</v>
      </c>
      <c r="Q137" t="n">
        <v>0</v>
      </c>
      <c r="R137" s="2" t="inlineStr"/>
    </row>
    <row r="138" ht="15" customHeight="1">
      <c r="A138" t="inlineStr">
        <is>
          <t>A 4042-2022</t>
        </is>
      </c>
      <c r="B138" s="1" t="n">
        <v>44588</v>
      </c>
      <c r="C138" s="1" t="n">
        <v>45889</v>
      </c>
      <c r="D138" t="inlineStr">
        <is>
          <t>KALMAR LÄN</t>
        </is>
      </c>
      <c r="E138" t="inlineStr">
        <is>
          <t>VIMMERBY</t>
        </is>
      </c>
      <c r="G138" t="n">
        <v>4.7</v>
      </c>
      <c r="H138" t="n">
        <v>0</v>
      </c>
      <c r="I138" t="n">
        <v>0</v>
      </c>
      <c r="J138" t="n">
        <v>0</v>
      </c>
      <c r="K138" t="n">
        <v>0</v>
      </c>
      <c r="L138" t="n">
        <v>0</v>
      </c>
      <c r="M138" t="n">
        <v>0</v>
      </c>
      <c r="N138" t="n">
        <v>0</v>
      </c>
      <c r="O138" t="n">
        <v>0</v>
      </c>
      <c r="P138" t="n">
        <v>0</v>
      </c>
      <c r="Q138" t="n">
        <v>0</v>
      </c>
      <c r="R138" s="2" t="inlineStr"/>
    </row>
    <row r="139" ht="15" customHeight="1">
      <c r="A139" t="inlineStr">
        <is>
          <t>A 52073-2020</t>
        </is>
      </c>
      <c r="B139" s="1" t="n">
        <v>44117</v>
      </c>
      <c r="C139" s="1" t="n">
        <v>45889</v>
      </c>
      <c r="D139" t="inlineStr">
        <is>
          <t>KALMAR LÄN</t>
        </is>
      </c>
      <c r="E139" t="inlineStr">
        <is>
          <t>VIMMERBY</t>
        </is>
      </c>
      <c r="G139" t="n">
        <v>2.3</v>
      </c>
      <c r="H139" t="n">
        <v>0</v>
      </c>
      <c r="I139" t="n">
        <v>0</v>
      </c>
      <c r="J139" t="n">
        <v>0</v>
      </c>
      <c r="K139" t="n">
        <v>0</v>
      </c>
      <c r="L139" t="n">
        <v>0</v>
      </c>
      <c r="M139" t="n">
        <v>0</v>
      </c>
      <c r="N139" t="n">
        <v>0</v>
      </c>
      <c r="O139" t="n">
        <v>0</v>
      </c>
      <c r="P139" t="n">
        <v>0</v>
      </c>
      <c r="Q139" t="n">
        <v>0</v>
      </c>
      <c r="R139" s="2" t="inlineStr"/>
    </row>
    <row r="140" ht="15" customHeight="1">
      <c r="A140" t="inlineStr">
        <is>
          <t>A 33690-2022</t>
        </is>
      </c>
      <c r="B140" s="1" t="n">
        <v>44789</v>
      </c>
      <c r="C140" s="1" t="n">
        <v>45889</v>
      </c>
      <c r="D140" t="inlineStr">
        <is>
          <t>KALMAR LÄN</t>
        </is>
      </c>
      <c r="E140" t="inlineStr">
        <is>
          <t>VIMMERBY</t>
        </is>
      </c>
      <c r="G140" t="n">
        <v>0.5</v>
      </c>
      <c r="H140" t="n">
        <v>0</v>
      </c>
      <c r="I140" t="n">
        <v>0</v>
      </c>
      <c r="J140" t="n">
        <v>0</v>
      </c>
      <c r="K140" t="n">
        <v>0</v>
      </c>
      <c r="L140" t="n">
        <v>0</v>
      </c>
      <c r="M140" t="n">
        <v>0</v>
      </c>
      <c r="N140" t="n">
        <v>0</v>
      </c>
      <c r="O140" t="n">
        <v>0</v>
      </c>
      <c r="P140" t="n">
        <v>0</v>
      </c>
      <c r="Q140" t="n">
        <v>0</v>
      </c>
      <c r="R140" s="2" t="inlineStr"/>
    </row>
    <row r="141" ht="15" customHeight="1">
      <c r="A141" t="inlineStr">
        <is>
          <t>A 35198-2021</t>
        </is>
      </c>
      <c r="B141" s="1" t="n">
        <v>44377</v>
      </c>
      <c r="C141" s="1" t="n">
        <v>45889</v>
      </c>
      <c r="D141" t="inlineStr">
        <is>
          <t>KALMAR LÄN</t>
        </is>
      </c>
      <c r="E141" t="inlineStr">
        <is>
          <t>VIMMERBY</t>
        </is>
      </c>
      <c r="G141" t="n">
        <v>0.5</v>
      </c>
      <c r="H141" t="n">
        <v>0</v>
      </c>
      <c r="I141" t="n">
        <v>0</v>
      </c>
      <c r="J141" t="n">
        <v>0</v>
      </c>
      <c r="K141" t="n">
        <v>0</v>
      </c>
      <c r="L141" t="n">
        <v>0</v>
      </c>
      <c r="M141" t="n">
        <v>0</v>
      </c>
      <c r="N141" t="n">
        <v>0</v>
      </c>
      <c r="O141" t="n">
        <v>0</v>
      </c>
      <c r="P141" t="n">
        <v>0</v>
      </c>
      <c r="Q141" t="n">
        <v>0</v>
      </c>
      <c r="R141" s="2" t="inlineStr"/>
    </row>
    <row r="142" ht="15" customHeight="1">
      <c r="A142" t="inlineStr">
        <is>
          <t>A 34036-2021</t>
        </is>
      </c>
      <c r="B142" s="1" t="n">
        <v>44379</v>
      </c>
      <c r="C142" s="1" t="n">
        <v>45889</v>
      </c>
      <c r="D142" t="inlineStr">
        <is>
          <t>KALMAR LÄN</t>
        </is>
      </c>
      <c r="E142" t="inlineStr">
        <is>
          <t>VIMMERBY</t>
        </is>
      </c>
      <c r="F142" t="inlineStr">
        <is>
          <t>Sveaskog</t>
        </is>
      </c>
      <c r="G142" t="n">
        <v>7</v>
      </c>
      <c r="H142" t="n">
        <v>0</v>
      </c>
      <c r="I142" t="n">
        <v>0</v>
      </c>
      <c r="J142" t="n">
        <v>0</v>
      </c>
      <c r="K142" t="n">
        <v>0</v>
      </c>
      <c r="L142" t="n">
        <v>0</v>
      </c>
      <c r="M142" t="n">
        <v>0</v>
      </c>
      <c r="N142" t="n">
        <v>0</v>
      </c>
      <c r="O142" t="n">
        <v>0</v>
      </c>
      <c r="P142" t="n">
        <v>0</v>
      </c>
      <c r="Q142" t="n">
        <v>0</v>
      </c>
      <c r="R142" s="2" t="inlineStr"/>
    </row>
    <row r="143" ht="15" customHeight="1">
      <c r="A143" t="inlineStr">
        <is>
          <t>A 63244-2021</t>
        </is>
      </c>
      <c r="B143" s="1" t="n">
        <v>44508</v>
      </c>
      <c r="C143" s="1" t="n">
        <v>45889</v>
      </c>
      <c r="D143" t="inlineStr">
        <is>
          <t>KALMAR LÄN</t>
        </is>
      </c>
      <c r="E143" t="inlineStr">
        <is>
          <t>VIMMERBY</t>
        </is>
      </c>
      <c r="F143" t="inlineStr">
        <is>
          <t>Övriga statliga verk och myndigheter</t>
        </is>
      </c>
      <c r="G143" t="n">
        <v>0.6</v>
      </c>
      <c r="H143" t="n">
        <v>0</v>
      </c>
      <c r="I143" t="n">
        <v>0</v>
      </c>
      <c r="J143" t="n">
        <v>0</v>
      </c>
      <c r="K143" t="n">
        <v>0</v>
      </c>
      <c r="L143" t="n">
        <v>0</v>
      </c>
      <c r="M143" t="n">
        <v>0</v>
      </c>
      <c r="N143" t="n">
        <v>0</v>
      </c>
      <c r="O143" t="n">
        <v>0</v>
      </c>
      <c r="P143" t="n">
        <v>0</v>
      </c>
      <c r="Q143" t="n">
        <v>0</v>
      </c>
      <c r="R143" s="2" t="inlineStr"/>
    </row>
    <row r="144" ht="15" customHeight="1">
      <c r="A144" t="inlineStr">
        <is>
          <t>A 46085-2020</t>
        </is>
      </c>
      <c r="B144" s="1" t="n">
        <v>44091</v>
      </c>
      <c r="C144" s="1" t="n">
        <v>45889</v>
      </c>
      <c r="D144" t="inlineStr">
        <is>
          <t>KALMAR LÄN</t>
        </is>
      </c>
      <c r="E144" t="inlineStr">
        <is>
          <t>VIMMERBY</t>
        </is>
      </c>
      <c r="G144" t="n">
        <v>6.1</v>
      </c>
      <c r="H144" t="n">
        <v>0</v>
      </c>
      <c r="I144" t="n">
        <v>0</v>
      </c>
      <c r="J144" t="n">
        <v>0</v>
      </c>
      <c r="K144" t="n">
        <v>0</v>
      </c>
      <c r="L144" t="n">
        <v>0</v>
      </c>
      <c r="M144" t="n">
        <v>0</v>
      </c>
      <c r="N144" t="n">
        <v>0</v>
      </c>
      <c r="O144" t="n">
        <v>0</v>
      </c>
      <c r="P144" t="n">
        <v>0</v>
      </c>
      <c r="Q144" t="n">
        <v>0</v>
      </c>
      <c r="R144" s="2" t="inlineStr"/>
    </row>
    <row r="145" ht="15" customHeight="1">
      <c r="A145" t="inlineStr">
        <is>
          <t>A 16602-2021</t>
        </is>
      </c>
      <c r="B145" s="1" t="n">
        <v>44294</v>
      </c>
      <c r="C145" s="1" t="n">
        <v>45889</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16607-2021</t>
        </is>
      </c>
      <c r="B146" s="1" t="n">
        <v>44294</v>
      </c>
      <c r="C146" s="1" t="n">
        <v>45889</v>
      </c>
      <c r="D146" t="inlineStr">
        <is>
          <t>KALMAR LÄN</t>
        </is>
      </c>
      <c r="E146" t="inlineStr">
        <is>
          <t>VIMMERBY</t>
        </is>
      </c>
      <c r="G146" t="n">
        <v>1</v>
      </c>
      <c r="H146" t="n">
        <v>0</v>
      </c>
      <c r="I146" t="n">
        <v>0</v>
      </c>
      <c r="J146" t="n">
        <v>0</v>
      </c>
      <c r="K146" t="n">
        <v>0</v>
      </c>
      <c r="L146" t="n">
        <v>0</v>
      </c>
      <c r="M146" t="n">
        <v>0</v>
      </c>
      <c r="N146" t="n">
        <v>0</v>
      </c>
      <c r="O146" t="n">
        <v>0</v>
      </c>
      <c r="P146" t="n">
        <v>0</v>
      </c>
      <c r="Q146" t="n">
        <v>0</v>
      </c>
      <c r="R146" s="2" t="inlineStr"/>
    </row>
    <row r="147" ht="15" customHeight="1">
      <c r="A147" t="inlineStr">
        <is>
          <t>A 17029-2022</t>
        </is>
      </c>
      <c r="B147" s="1" t="n">
        <v>44676.85248842592</v>
      </c>
      <c r="C147" s="1" t="n">
        <v>45889</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11814-2022</t>
        </is>
      </c>
      <c r="B148" s="1" t="n">
        <v>44634.69703703704</v>
      </c>
      <c r="C148" s="1" t="n">
        <v>45889</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56385-2021</t>
        </is>
      </c>
      <c r="B149" s="1" t="n">
        <v>44480</v>
      </c>
      <c r="C149" s="1" t="n">
        <v>45889</v>
      </c>
      <c r="D149" t="inlineStr">
        <is>
          <t>KALMAR LÄN</t>
        </is>
      </c>
      <c r="E149" t="inlineStr">
        <is>
          <t>VIMMERBY</t>
        </is>
      </c>
      <c r="G149" t="n">
        <v>1.9</v>
      </c>
      <c r="H149" t="n">
        <v>0</v>
      </c>
      <c r="I149" t="n">
        <v>0</v>
      </c>
      <c r="J149" t="n">
        <v>0</v>
      </c>
      <c r="K149" t="n">
        <v>0</v>
      </c>
      <c r="L149" t="n">
        <v>0</v>
      </c>
      <c r="M149" t="n">
        <v>0</v>
      </c>
      <c r="N149" t="n">
        <v>0</v>
      </c>
      <c r="O149" t="n">
        <v>0</v>
      </c>
      <c r="P149" t="n">
        <v>0</v>
      </c>
      <c r="Q149" t="n">
        <v>0</v>
      </c>
      <c r="R149" s="2" t="inlineStr"/>
    </row>
    <row r="150" ht="15" customHeight="1">
      <c r="A150" t="inlineStr">
        <is>
          <t>A 31053-2022</t>
        </is>
      </c>
      <c r="B150" s="1" t="n">
        <v>44769.45422453704</v>
      </c>
      <c r="C150" s="1" t="n">
        <v>45889</v>
      </c>
      <c r="D150" t="inlineStr">
        <is>
          <t>KALMAR LÄN</t>
        </is>
      </c>
      <c r="E150" t="inlineStr">
        <is>
          <t>VIMMERBY</t>
        </is>
      </c>
      <c r="G150" t="n">
        <v>1.9</v>
      </c>
      <c r="H150" t="n">
        <v>0</v>
      </c>
      <c r="I150" t="n">
        <v>0</v>
      </c>
      <c r="J150" t="n">
        <v>0</v>
      </c>
      <c r="K150" t="n">
        <v>0</v>
      </c>
      <c r="L150" t="n">
        <v>0</v>
      </c>
      <c r="M150" t="n">
        <v>0</v>
      </c>
      <c r="N150" t="n">
        <v>0</v>
      </c>
      <c r="O150" t="n">
        <v>0</v>
      </c>
      <c r="P150" t="n">
        <v>0</v>
      </c>
      <c r="Q150" t="n">
        <v>0</v>
      </c>
      <c r="R150" s="2" t="inlineStr"/>
    </row>
    <row r="151" ht="15" customHeight="1">
      <c r="A151" t="inlineStr">
        <is>
          <t>A 7167-2022</t>
        </is>
      </c>
      <c r="B151" s="1" t="n">
        <v>44604</v>
      </c>
      <c r="C151" s="1" t="n">
        <v>45889</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24738-2021</t>
        </is>
      </c>
      <c r="B152" s="1" t="n">
        <v>44340.58002314815</v>
      </c>
      <c r="C152" s="1" t="n">
        <v>45889</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44605-2020</t>
        </is>
      </c>
      <c r="B153" s="1" t="n">
        <v>44085</v>
      </c>
      <c r="C153" s="1" t="n">
        <v>45889</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18356-2021</t>
        </is>
      </c>
      <c r="B154" s="1" t="n">
        <v>44305</v>
      </c>
      <c r="C154" s="1" t="n">
        <v>45889</v>
      </c>
      <c r="D154" t="inlineStr">
        <is>
          <t>KALMAR LÄN</t>
        </is>
      </c>
      <c r="E154" t="inlineStr">
        <is>
          <t>VIMMERBY</t>
        </is>
      </c>
      <c r="G154" t="n">
        <v>3.4</v>
      </c>
      <c r="H154" t="n">
        <v>0</v>
      </c>
      <c r="I154" t="n">
        <v>0</v>
      </c>
      <c r="J154" t="n">
        <v>0</v>
      </c>
      <c r="K154" t="n">
        <v>0</v>
      </c>
      <c r="L154" t="n">
        <v>0</v>
      </c>
      <c r="M154" t="n">
        <v>0</v>
      </c>
      <c r="N154" t="n">
        <v>0</v>
      </c>
      <c r="O154" t="n">
        <v>0</v>
      </c>
      <c r="P154" t="n">
        <v>0</v>
      </c>
      <c r="Q154" t="n">
        <v>0</v>
      </c>
      <c r="R154" s="2" t="inlineStr"/>
    </row>
    <row r="155" ht="15" customHeight="1">
      <c r="A155" t="inlineStr">
        <is>
          <t>A 46461-2020</t>
        </is>
      </c>
      <c r="B155" s="1" t="n">
        <v>44092</v>
      </c>
      <c r="C155" s="1" t="n">
        <v>45889</v>
      </c>
      <c r="D155" t="inlineStr">
        <is>
          <t>KALMAR LÄN</t>
        </is>
      </c>
      <c r="E155" t="inlineStr">
        <is>
          <t>VIMMERBY</t>
        </is>
      </c>
      <c r="G155" t="n">
        <v>2.4</v>
      </c>
      <c r="H155" t="n">
        <v>0</v>
      </c>
      <c r="I155" t="n">
        <v>0</v>
      </c>
      <c r="J155" t="n">
        <v>0</v>
      </c>
      <c r="K155" t="n">
        <v>0</v>
      </c>
      <c r="L155" t="n">
        <v>0</v>
      </c>
      <c r="M155" t="n">
        <v>0</v>
      </c>
      <c r="N155" t="n">
        <v>0</v>
      </c>
      <c r="O155" t="n">
        <v>0</v>
      </c>
      <c r="P155" t="n">
        <v>0</v>
      </c>
      <c r="Q155" t="n">
        <v>0</v>
      </c>
      <c r="R155" s="2" t="inlineStr"/>
    </row>
    <row r="156" ht="15" customHeight="1">
      <c r="A156" t="inlineStr">
        <is>
          <t>A 8454-2022</t>
        </is>
      </c>
      <c r="B156" s="1" t="n">
        <v>44612.86762731482</v>
      </c>
      <c r="C156" s="1" t="n">
        <v>45889</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45889</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35001-2021</t>
        </is>
      </c>
      <c r="B158" s="1" t="n">
        <v>44383</v>
      </c>
      <c r="C158" s="1" t="n">
        <v>45889</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55674-2021</t>
        </is>
      </c>
      <c r="B159" s="1" t="n">
        <v>44476</v>
      </c>
      <c r="C159" s="1" t="n">
        <v>45889</v>
      </c>
      <c r="D159" t="inlineStr">
        <is>
          <t>KALMAR LÄN</t>
        </is>
      </c>
      <c r="E159" t="inlineStr">
        <is>
          <t>VIMMERBY</t>
        </is>
      </c>
      <c r="G159" t="n">
        <v>2.1</v>
      </c>
      <c r="H159" t="n">
        <v>0</v>
      </c>
      <c r="I159" t="n">
        <v>0</v>
      </c>
      <c r="J159" t="n">
        <v>0</v>
      </c>
      <c r="K159" t="n">
        <v>0</v>
      </c>
      <c r="L159" t="n">
        <v>0</v>
      </c>
      <c r="M159" t="n">
        <v>0</v>
      </c>
      <c r="N159" t="n">
        <v>0</v>
      </c>
      <c r="O159" t="n">
        <v>0</v>
      </c>
      <c r="P159" t="n">
        <v>0</v>
      </c>
      <c r="Q159" t="n">
        <v>0</v>
      </c>
      <c r="R159" s="2" t="inlineStr"/>
    </row>
    <row r="160" ht="15" customHeight="1">
      <c r="A160" t="inlineStr">
        <is>
          <t>A 65887-2021</t>
        </is>
      </c>
      <c r="B160" s="1" t="n">
        <v>44517</v>
      </c>
      <c r="C160" s="1" t="n">
        <v>45889</v>
      </c>
      <c r="D160" t="inlineStr">
        <is>
          <t>KALMAR LÄN</t>
        </is>
      </c>
      <c r="E160" t="inlineStr">
        <is>
          <t>VIMMERBY</t>
        </is>
      </c>
      <c r="G160" t="n">
        <v>1.4</v>
      </c>
      <c r="H160" t="n">
        <v>0</v>
      </c>
      <c r="I160" t="n">
        <v>0</v>
      </c>
      <c r="J160" t="n">
        <v>0</v>
      </c>
      <c r="K160" t="n">
        <v>0</v>
      </c>
      <c r="L160" t="n">
        <v>0</v>
      </c>
      <c r="M160" t="n">
        <v>0</v>
      </c>
      <c r="N160" t="n">
        <v>0</v>
      </c>
      <c r="O160" t="n">
        <v>0</v>
      </c>
      <c r="P160" t="n">
        <v>0</v>
      </c>
      <c r="Q160" t="n">
        <v>0</v>
      </c>
      <c r="R160" s="2" t="inlineStr"/>
    </row>
    <row r="161" ht="15" customHeight="1">
      <c r="A161" t="inlineStr">
        <is>
          <t>A 57948-2020</t>
        </is>
      </c>
      <c r="B161" s="1" t="n">
        <v>44142</v>
      </c>
      <c r="C161" s="1" t="n">
        <v>45889</v>
      </c>
      <c r="D161" t="inlineStr">
        <is>
          <t>KALMAR LÄN</t>
        </is>
      </c>
      <c r="E161" t="inlineStr">
        <is>
          <t>VIMMERBY</t>
        </is>
      </c>
      <c r="G161" t="n">
        <v>7.1</v>
      </c>
      <c r="H161" t="n">
        <v>0</v>
      </c>
      <c r="I161" t="n">
        <v>0</v>
      </c>
      <c r="J161" t="n">
        <v>0</v>
      </c>
      <c r="K161" t="n">
        <v>0</v>
      </c>
      <c r="L161" t="n">
        <v>0</v>
      </c>
      <c r="M161" t="n">
        <v>0</v>
      </c>
      <c r="N161" t="n">
        <v>0</v>
      </c>
      <c r="O161" t="n">
        <v>0</v>
      </c>
      <c r="P161" t="n">
        <v>0</v>
      </c>
      <c r="Q161" t="n">
        <v>0</v>
      </c>
      <c r="R161" s="2" t="inlineStr"/>
    </row>
    <row r="162" ht="15" customHeight="1">
      <c r="A162" t="inlineStr">
        <is>
          <t>A 40077-2021</t>
        </is>
      </c>
      <c r="B162" s="1" t="n">
        <v>44418</v>
      </c>
      <c r="C162" s="1" t="n">
        <v>45889</v>
      </c>
      <c r="D162" t="inlineStr">
        <is>
          <t>KALMAR LÄN</t>
        </is>
      </c>
      <c r="E162" t="inlineStr">
        <is>
          <t>VIMMERBY</t>
        </is>
      </c>
      <c r="G162" t="n">
        <v>2.9</v>
      </c>
      <c r="H162" t="n">
        <v>0</v>
      </c>
      <c r="I162" t="n">
        <v>0</v>
      </c>
      <c r="J162" t="n">
        <v>0</v>
      </c>
      <c r="K162" t="n">
        <v>0</v>
      </c>
      <c r="L162" t="n">
        <v>0</v>
      </c>
      <c r="M162" t="n">
        <v>0</v>
      </c>
      <c r="N162" t="n">
        <v>0</v>
      </c>
      <c r="O162" t="n">
        <v>0</v>
      </c>
      <c r="P162" t="n">
        <v>0</v>
      </c>
      <c r="Q162" t="n">
        <v>0</v>
      </c>
      <c r="R162" s="2" t="inlineStr"/>
    </row>
    <row r="163" ht="15" customHeight="1">
      <c r="A163" t="inlineStr">
        <is>
          <t>A 47769-2022</t>
        </is>
      </c>
      <c r="B163" s="1" t="n">
        <v>44854</v>
      </c>
      <c r="C163" s="1" t="n">
        <v>45889</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18276-2021</t>
        </is>
      </c>
      <c r="B164" s="1" t="n">
        <v>44305.40046296296</v>
      </c>
      <c r="C164" s="1" t="n">
        <v>45889</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13180-2022</t>
        </is>
      </c>
      <c r="B165" s="1" t="n">
        <v>44644</v>
      </c>
      <c r="C165" s="1" t="n">
        <v>45889</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47473-2021</t>
        </is>
      </c>
      <c r="B166" s="1" t="n">
        <v>44447</v>
      </c>
      <c r="C166" s="1" t="n">
        <v>45889</v>
      </c>
      <c r="D166" t="inlineStr">
        <is>
          <t>KALMAR LÄN</t>
        </is>
      </c>
      <c r="E166" t="inlineStr">
        <is>
          <t>VIMMERBY</t>
        </is>
      </c>
      <c r="F166" t="inlineStr">
        <is>
          <t>Sveaskog</t>
        </is>
      </c>
      <c r="G166" t="n">
        <v>1.7</v>
      </c>
      <c r="H166" t="n">
        <v>0</v>
      </c>
      <c r="I166" t="n">
        <v>0</v>
      </c>
      <c r="J166" t="n">
        <v>0</v>
      </c>
      <c r="K166" t="n">
        <v>0</v>
      </c>
      <c r="L166" t="n">
        <v>0</v>
      </c>
      <c r="M166" t="n">
        <v>0</v>
      </c>
      <c r="N166" t="n">
        <v>0</v>
      </c>
      <c r="O166" t="n">
        <v>0</v>
      </c>
      <c r="P166" t="n">
        <v>0</v>
      </c>
      <c r="Q166" t="n">
        <v>0</v>
      </c>
      <c r="R166" s="2" t="inlineStr"/>
    </row>
    <row r="167" ht="15" customHeight="1">
      <c r="A167" t="inlineStr">
        <is>
          <t>A 39959-2022</t>
        </is>
      </c>
      <c r="B167" s="1" t="n">
        <v>44819</v>
      </c>
      <c r="C167" s="1" t="n">
        <v>45889</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41056-2022</t>
        </is>
      </c>
      <c r="B168" s="1" t="n">
        <v>44824</v>
      </c>
      <c r="C168" s="1" t="n">
        <v>45889</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31660-2021</t>
        </is>
      </c>
      <c r="B169" s="1" t="n">
        <v>44369</v>
      </c>
      <c r="C169" s="1" t="n">
        <v>45889</v>
      </c>
      <c r="D169" t="inlineStr">
        <is>
          <t>KALMAR LÄN</t>
        </is>
      </c>
      <c r="E169" t="inlineStr">
        <is>
          <t>VIMMERBY</t>
        </is>
      </c>
      <c r="G169" t="n">
        <v>4.2</v>
      </c>
      <c r="H169" t="n">
        <v>0</v>
      </c>
      <c r="I169" t="n">
        <v>0</v>
      </c>
      <c r="J169" t="n">
        <v>0</v>
      </c>
      <c r="K169" t="n">
        <v>0</v>
      </c>
      <c r="L169" t="n">
        <v>0</v>
      </c>
      <c r="M169" t="n">
        <v>0</v>
      </c>
      <c r="N169" t="n">
        <v>0</v>
      </c>
      <c r="O169" t="n">
        <v>0</v>
      </c>
      <c r="P169" t="n">
        <v>0</v>
      </c>
      <c r="Q169" t="n">
        <v>0</v>
      </c>
      <c r="R169" s="2" t="inlineStr"/>
    </row>
    <row r="170" ht="15" customHeight="1">
      <c r="A170" t="inlineStr">
        <is>
          <t>A 27455-2022</t>
        </is>
      </c>
      <c r="B170" s="1" t="n">
        <v>44742</v>
      </c>
      <c r="C170" s="1" t="n">
        <v>45889</v>
      </c>
      <c r="D170" t="inlineStr">
        <is>
          <t>KALMAR LÄN</t>
        </is>
      </c>
      <c r="E170" t="inlineStr">
        <is>
          <t>VIMMERBY</t>
        </is>
      </c>
      <c r="G170" t="n">
        <v>1.6</v>
      </c>
      <c r="H170" t="n">
        <v>0</v>
      </c>
      <c r="I170" t="n">
        <v>0</v>
      </c>
      <c r="J170" t="n">
        <v>0</v>
      </c>
      <c r="K170" t="n">
        <v>0</v>
      </c>
      <c r="L170" t="n">
        <v>0</v>
      </c>
      <c r="M170" t="n">
        <v>0</v>
      </c>
      <c r="N170" t="n">
        <v>0</v>
      </c>
      <c r="O170" t="n">
        <v>0</v>
      </c>
      <c r="P170" t="n">
        <v>0</v>
      </c>
      <c r="Q170" t="n">
        <v>0</v>
      </c>
      <c r="R170" s="2" t="inlineStr"/>
    </row>
    <row r="171" ht="15" customHeight="1">
      <c r="A171" t="inlineStr">
        <is>
          <t>A 12661-2021</t>
        </is>
      </c>
      <c r="B171" s="1" t="n">
        <v>44270</v>
      </c>
      <c r="C171" s="1" t="n">
        <v>45889</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24999-2021</t>
        </is>
      </c>
      <c r="B172" s="1" t="n">
        <v>44341</v>
      </c>
      <c r="C172" s="1" t="n">
        <v>45889</v>
      </c>
      <c r="D172" t="inlineStr">
        <is>
          <t>KALMAR LÄN</t>
        </is>
      </c>
      <c r="E172" t="inlineStr">
        <is>
          <t>VIMMERBY</t>
        </is>
      </c>
      <c r="G172" t="n">
        <v>0.5</v>
      </c>
      <c r="H172" t="n">
        <v>0</v>
      </c>
      <c r="I172" t="n">
        <v>0</v>
      </c>
      <c r="J172" t="n">
        <v>0</v>
      </c>
      <c r="K172" t="n">
        <v>0</v>
      </c>
      <c r="L172" t="n">
        <v>0</v>
      </c>
      <c r="M172" t="n">
        <v>0</v>
      </c>
      <c r="N172" t="n">
        <v>0</v>
      </c>
      <c r="O172" t="n">
        <v>0</v>
      </c>
      <c r="P172" t="n">
        <v>0</v>
      </c>
      <c r="Q172" t="n">
        <v>0</v>
      </c>
      <c r="R172" s="2" t="inlineStr"/>
    </row>
    <row r="173" ht="15" customHeight="1">
      <c r="A173" t="inlineStr">
        <is>
          <t>A 40889-2020</t>
        </is>
      </c>
      <c r="B173" s="1" t="n">
        <v>44070</v>
      </c>
      <c r="C173" s="1" t="n">
        <v>45889</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7917-2022</t>
        </is>
      </c>
      <c r="B174" s="1" t="n">
        <v>44608</v>
      </c>
      <c r="C174" s="1" t="n">
        <v>45889</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47208-2021</t>
        </is>
      </c>
      <c r="B175" s="1" t="n">
        <v>44447.34237268518</v>
      </c>
      <c r="C175" s="1" t="n">
        <v>45889</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48377-2021</t>
        </is>
      </c>
      <c r="B176" s="1" t="n">
        <v>44451.8375</v>
      </c>
      <c r="C176" s="1" t="n">
        <v>45889</v>
      </c>
      <c r="D176" t="inlineStr">
        <is>
          <t>KALMAR LÄN</t>
        </is>
      </c>
      <c r="E176" t="inlineStr">
        <is>
          <t>VIMMERBY</t>
        </is>
      </c>
      <c r="G176" t="n">
        <v>0.4</v>
      </c>
      <c r="H176" t="n">
        <v>0</v>
      </c>
      <c r="I176" t="n">
        <v>0</v>
      </c>
      <c r="J176" t="n">
        <v>0</v>
      </c>
      <c r="K176" t="n">
        <v>0</v>
      </c>
      <c r="L176" t="n">
        <v>0</v>
      </c>
      <c r="M176" t="n">
        <v>0</v>
      </c>
      <c r="N176" t="n">
        <v>0</v>
      </c>
      <c r="O176" t="n">
        <v>0</v>
      </c>
      <c r="P176" t="n">
        <v>0</v>
      </c>
      <c r="Q176" t="n">
        <v>0</v>
      </c>
      <c r="R176" s="2" t="inlineStr"/>
    </row>
    <row r="177" ht="15" customHeight="1">
      <c r="A177" t="inlineStr">
        <is>
          <t>A 40472-2022</t>
        </is>
      </c>
      <c r="B177" s="1" t="n">
        <v>44823</v>
      </c>
      <c r="C177" s="1" t="n">
        <v>45889</v>
      </c>
      <c r="D177" t="inlineStr">
        <is>
          <t>KALMAR LÄN</t>
        </is>
      </c>
      <c r="E177" t="inlineStr">
        <is>
          <t>VIMMERBY</t>
        </is>
      </c>
      <c r="G177" t="n">
        <v>2</v>
      </c>
      <c r="H177" t="n">
        <v>0</v>
      </c>
      <c r="I177" t="n">
        <v>0</v>
      </c>
      <c r="J177" t="n">
        <v>0</v>
      </c>
      <c r="K177" t="n">
        <v>0</v>
      </c>
      <c r="L177" t="n">
        <v>0</v>
      </c>
      <c r="M177" t="n">
        <v>0</v>
      </c>
      <c r="N177" t="n">
        <v>0</v>
      </c>
      <c r="O177" t="n">
        <v>0</v>
      </c>
      <c r="P177" t="n">
        <v>0</v>
      </c>
      <c r="Q177" t="n">
        <v>0</v>
      </c>
      <c r="R177" s="2" t="inlineStr"/>
    </row>
    <row r="178" ht="15" customHeight="1">
      <c r="A178" t="inlineStr">
        <is>
          <t>A 3330-2021</t>
        </is>
      </c>
      <c r="B178" s="1" t="n">
        <v>44217.79856481482</v>
      </c>
      <c r="C178" s="1" t="n">
        <v>45889</v>
      </c>
      <c r="D178" t="inlineStr">
        <is>
          <t>KALMAR LÄN</t>
        </is>
      </c>
      <c r="E178" t="inlineStr">
        <is>
          <t>VIMMERBY</t>
        </is>
      </c>
      <c r="G178" t="n">
        <v>11.1</v>
      </c>
      <c r="H178" t="n">
        <v>0</v>
      </c>
      <c r="I178" t="n">
        <v>0</v>
      </c>
      <c r="J178" t="n">
        <v>0</v>
      </c>
      <c r="K178" t="n">
        <v>0</v>
      </c>
      <c r="L178" t="n">
        <v>0</v>
      </c>
      <c r="M178" t="n">
        <v>0</v>
      </c>
      <c r="N178" t="n">
        <v>0</v>
      </c>
      <c r="O178" t="n">
        <v>0</v>
      </c>
      <c r="P178" t="n">
        <v>0</v>
      </c>
      <c r="Q178" t="n">
        <v>0</v>
      </c>
      <c r="R178" s="2" t="inlineStr"/>
    </row>
    <row r="179" ht="15" customHeight="1">
      <c r="A179" t="inlineStr">
        <is>
          <t>A 16705-2021</t>
        </is>
      </c>
      <c r="B179" s="1" t="n">
        <v>44294</v>
      </c>
      <c r="C179" s="1" t="n">
        <v>45889</v>
      </c>
      <c r="D179" t="inlineStr">
        <is>
          <t>KALMAR LÄN</t>
        </is>
      </c>
      <c r="E179" t="inlineStr">
        <is>
          <t>VIMMERBY</t>
        </is>
      </c>
      <c r="G179" t="n">
        <v>2.6</v>
      </c>
      <c r="H179" t="n">
        <v>0</v>
      </c>
      <c r="I179" t="n">
        <v>0</v>
      </c>
      <c r="J179" t="n">
        <v>0</v>
      </c>
      <c r="K179" t="n">
        <v>0</v>
      </c>
      <c r="L179" t="n">
        <v>0</v>
      </c>
      <c r="M179" t="n">
        <v>0</v>
      </c>
      <c r="N179" t="n">
        <v>0</v>
      </c>
      <c r="O179" t="n">
        <v>0</v>
      </c>
      <c r="P179" t="n">
        <v>0</v>
      </c>
      <c r="Q179" t="n">
        <v>0</v>
      </c>
      <c r="R179" s="2" t="inlineStr"/>
    </row>
    <row r="180" ht="15" customHeight="1">
      <c r="A180" t="inlineStr">
        <is>
          <t>A 51977-2020</t>
        </is>
      </c>
      <c r="B180" s="1" t="n">
        <v>44116</v>
      </c>
      <c r="C180" s="1" t="n">
        <v>45889</v>
      </c>
      <c r="D180" t="inlineStr">
        <is>
          <t>KALMAR LÄN</t>
        </is>
      </c>
      <c r="E180" t="inlineStr">
        <is>
          <t>VIMMERBY</t>
        </is>
      </c>
      <c r="G180" t="n">
        <v>1.5</v>
      </c>
      <c r="H180" t="n">
        <v>0</v>
      </c>
      <c r="I180" t="n">
        <v>0</v>
      </c>
      <c r="J180" t="n">
        <v>0</v>
      </c>
      <c r="K180" t="n">
        <v>0</v>
      </c>
      <c r="L180" t="n">
        <v>0</v>
      </c>
      <c r="M180" t="n">
        <v>0</v>
      </c>
      <c r="N180" t="n">
        <v>0</v>
      </c>
      <c r="O180" t="n">
        <v>0</v>
      </c>
      <c r="P180" t="n">
        <v>0</v>
      </c>
      <c r="Q180" t="n">
        <v>0</v>
      </c>
      <c r="R180" s="2" t="inlineStr"/>
    </row>
    <row r="181" ht="15" customHeight="1">
      <c r="A181" t="inlineStr">
        <is>
          <t>A 35316-2021</t>
        </is>
      </c>
      <c r="B181" s="1" t="n">
        <v>44384</v>
      </c>
      <c r="C181" s="1" t="n">
        <v>45889</v>
      </c>
      <c r="D181" t="inlineStr">
        <is>
          <t>KALMAR LÄN</t>
        </is>
      </c>
      <c r="E181" t="inlineStr">
        <is>
          <t>VIMMERBY</t>
        </is>
      </c>
      <c r="G181" t="n">
        <v>3.5</v>
      </c>
      <c r="H181" t="n">
        <v>0</v>
      </c>
      <c r="I181" t="n">
        <v>0</v>
      </c>
      <c r="J181" t="n">
        <v>0</v>
      </c>
      <c r="K181" t="n">
        <v>0</v>
      </c>
      <c r="L181" t="n">
        <v>0</v>
      </c>
      <c r="M181" t="n">
        <v>0</v>
      </c>
      <c r="N181" t="n">
        <v>0</v>
      </c>
      <c r="O181" t="n">
        <v>0</v>
      </c>
      <c r="P181" t="n">
        <v>0</v>
      </c>
      <c r="Q181" t="n">
        <v>0</v>
      </c>
      <c r="R181" s="2" t="inlineStr"/>
    </row>
    <row r="182" ht="15" customHeight="1">
      <c r="A182" t="inlineStr">
        <is>
          <t>A 33831-2022</t>
        </is>
      </c>
      <c r="B182" s="1" t="n">
        <v>44790.48503472222</v>
      </c>
      <c r="C182" s="1" t="n">
        <v>45889</v>
      </c>
      <c r="D182" t="inlineStr">
        <is>
          <t>KALMAR LÄN</t>
        </is>
      </c>
      <c r="E182" t="inlineStr">
        <is>
          <t>VIMMERBY</t>
        </is>
      </c>
      <c r="G182" t="n">
        <v>1.1</v>
      </c>
      <c r="H182" t="n">
        <v>0</v>
      </c>
      <c r="I182" t="n">
        <v>0</v>
      </c>
      <c r="J182" t="n">
        <v>0</v>
      </c>
      <c r="K182" t="n">
        <v>0</v>
      </c>
      <c r="L182" t="n">
        <v>0</v>
      </c>
      <c r="M182" t="n">
        <v>0</v>
      </c>
      <c r="N182" t="n">
        <v>0</v>
      </c>
      <c r="O182" t="n">
        <v>0</v>
      </c>
      <c r="P182" t="n">
        <v>0</v>
      </c>
      <c r="Q182" t="n">
        <v>0</v>
      </c>
      <c r="R182" s="2" t="inlineStr"/>
    </row>
    <row r="183" ht="15" customHeight="1">
      <c r="A183" t="inlineStr">
        <is>
          <t>A 47708-2022</t>
        </is>
      </c>
      <c r="B183" s="1" t="n">
        <v>44854.59157407407</v>
      </c>
      <c r="C183" s="1" t="n">
        <v>45889</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42850-2022</t>
        </is>
      </c>
      <c r="B184" s="1" t="n">
        <v>44832.67608796297</v>
      </c>
      <c r="C184" s="1" t="n">
        <v>45889</v>
      </c>
      <c r="D184" t="inlineStr">
        <is>
          <t>KALMAR LÄN</t>
        </is>
      </c>
      <c r="E184" t="inlineStr">
        <is>
          <t>VIMMERBY</t>
        </is>
      </c>
      <c r="G184" t="n">
        <v>5.9</v>
      </c>
      <c r="H184" t="n">
        <v>0</v>
      </c>
      <c r="I184" t="n">
        <v>0</v>
      </c>
      <c r="J184" t="n">
        <v>0</v>
      </c>
      <c r="K184" t="n">
        <v>0</v>
      </c>
      <c r="L184" t="n">
        <v>0</v>
      </c>
      <c r="M184" t="n">
        <v>0</v>
      </c>
      <c r="N184" t="n">
        <v>0</v>
      </c>
      <c r="O184" t="n">
        <v>0</v>
      </c>
      <c r="P184" t="n">
        <v>0</v>
      </c>
      <c r="Q184" t="n">
        <v>0</v>
      </c>
      <c r="R184" s="2" t="inlineStr"/>
    </row>
    <row r="185" ht="15" customHeight="1">
      <c r="A185" t="inlineStr">
        <is>
          <t>A 56389-2021</t>
        </is>
      </c>
      <c r="B185" s="1" t="n">
        <v>44480</v>
      </c>
      <c r="C185" s="1" t="n">
        <v>45889</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9918-2022</t>
        </is>
      </c>
      <c r="B186" s="1" t="n">
        <v>44620</v>
      </c>
      <c r="C186" s="1" t="n">
        <v>45889</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45528-2020</t>
        </is>
      </c>
      <c r="B187" s="1" t="n">
        <v>44089.78633101852</v>
      </c>
      <c r="C187" s="1" t="n">
        <v>45889</v>
      </c>
      <c r="D187" t="inlineStr">
        <is>
          <t>KALMAR LÄN</t>
        </is>
      </c>
      <c r="E187" t="inlineStr">
        <is>
          <t>VIMMERBY</t>
        </is>
      </c>
      <c r="G187" t="n">
        <v>3.8</v>
      </c>
      <c r="H187" t="n">
        <v>0</v>
      </c>
      <c r="I187" t="n">
        <v>0</v>
      </c>
      <c r="J187" t="n">
        <v>0</v>
      </c>
      <c r="K187" t="n">
        <v>0</v>
      </c>
      <c r="L187" t="n">
        <v>0</v>
      </c>
      <c r="M187" t="n">
        <v>0</v>
      </c>
      <c r="N187" t="n">
        <v>0</v>
      </c>
      <c r="O187" t="n">
        <v>0</v>
      </c>
      <c r="P187" t="n">
        <v>0</v>
      </c>
      <c r="Q187" t="n">
        <v>0</v>
      </c>
      <c r="R187" s="2" t="inlineStr"/>
    </row>
    <row r="188" ht="15" customHeight="1">
      <c r="A188" t="inlineStr">
        <is>
          <t>A 67952-2021</t>
        </is>
      </c>
      <c r="B188" s="1" t="n">
        <v>44525.63913194444</v>
      </c>
      <c r="C188" s="1" t="n">
        <v>45889</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14521-2021</t>
        </is>
      </c>
      <c r="B189" s="1" t="n">
        <v>44279.64934027778</v>
      </c>
      <c r="C189" s="1" t="n">
        <v>45889</v>
      </c>
      <c r="D189" t="inlineStr">
        <is>
          <t>KALMAR LÄN</t>
        </is>
      </c>
      <c r="E189" t="inlineStr">
        <is>
          <t>VIMMERBY</t>
        </is>
      </c>
      <c r="F189" t="inlineStr">
        <is>
          <t>Sveaskog</t>
        </is>
      </c>
      <c r="G189" t="n">
        <v>1.8</v>
      </c>
      <c r="H189" t="n">
        <v>0</v>
      </c>
      <c r="I189" t="n">
        <v>0</v>
      </c>
      <c r="J189" t="n">
        <v>0</v>
      </c>
      <c r="K189" t="n">
        <v>0</v>
      </c>
      <c r="L189" t="n">
        <v>0</v>
      </c>
      <c r="M189" t="n">
        <v>0</v>
      </c>
      <c r="N189" t="n">
        <v>0</v>
      </c>
      <c r="O189" t="n">
        <v>0</v>
      </c>
      <c r="P189" t="n">
        <v>0</v>
      </c>
      <c r="Q189" t="n">
        <v>0</v>
      </c>
      <c r="R189" s="2" t="inlineStr"/>
    </row>
    <row r="190" ht="15" customHeight="1">
      <c r="A190" t="inlineStr">
        <is>
          <t>A 15533-2022</t>
        </is>
      </c>
      <c r="B190" s="1" t="n">
        <v>44662</v>
      </c>
      <c r="C190" s="1" t="n">
        <v>45889</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618-2021</t>
        </is>
      </c>
      <c r="B191" s="1" t="n">
        <v>44203</v>
      </c>
      <c r="C191" s="1" t="n">
        <v>45889</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10086-2022</t>
        </is>
      </c>
      <c r="B192" s="1" t="n">
        <v>44621</v>
      </c>
      <c r="C192" s="1" t="n">
        <v>45889</v>
      </c>
      <c r="D192" t="inlineStr">
        <is>
          <t>KALMAR LÄN</t>
        </is>
      </c>
      <c r="E192" t="inlineStr">
        <is>
          <t>VIMMERBY</t>
        </is>
      </c>
      <c r="G192" t="n">
        <v>1.2</v>
      </c>
      <c r="H192" t="n">
        <v>0</v>
      </c>
      <c r="I192" t="n">
        <v>0</v>
      </c>
      <c r="J192" t="n">
        <v>0</v>
      </c>
      <c r="K192" t="n">
        <v>0</v>
      </c>
      <c r="L192" t="n">
        <v>0</v>
      </c>
      <c r="M192" t="n">
        <v>0</v>
      </c>
      <c r="N192" t="n">
        <v>0</v>
      </c>
      <c r="O192" t="n">
        <v>0</v>
      </c>
      <c r="P192" t="n">
        <v>0</v>
      </c>
      <c r="Q192" t="n">
        <v>0</v>
      </c>
      <c r="R192" s="2" t="inlineStr"/>
    </row>
    <row r="193" ht="15" customHeight="1">
      <c r="A193" t="inlineStr">
        <is>
          <t>A 46527-2020</t>
        </is>
      </c>
      <c r="B193" s="1" t="n">
        <v>44095</v>
      </c>
      <c r="C193" s="1" t="n">
        <v>45889</v>
      </c>
      <c r="D193" t="inlineStr">
        <is>
          <t>KALMAR LÄN</t>
        </is>
      </c>
      <c r="E193" t="inlineStr">
        <is>
          <t>VIMMERBY</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65564-2020</t>
        </is>
      </c>
      <c r="B194" s="1" t="n">
        <v>44172</v>
      </c>
      <c r="C194" s="1" t="n">
        <v>45889</v>
      </c>
      <c r="D194" t="inlineStr">
        <is>
          <t>KALMAR LÄN</t>
        </is>
      </c>
      <c r="E194" t="inlineStr">
        <is>
          <t>VIMMERBY</t>
        </is>
      </c>
      <c r="G194" t="n">
        <v>4.1</v>
      </c>
      <c r="H194" t="n">
        <v>0</v>
      </c>
      <c r="I194" t="n">
        <v>0</v>
      </c>
      <c r="J194" t="n">
        <v>0</v>
      </c>
      <c r="K194" t="n">
        <v>0</v>
      </c>
      <c r="L194" t="n">
        <v>0</v>
      </c>
      <c r="M194" t="n">
        <v>0</v>
      </c>
      <c r="N194" t="n">
        <v>0</v>
      </c>
      <c r="O194" t="n">
        <v>0</v>
      </c>
      <c r="P194" t="n">
        <v>0</v>
      </c>
      <c r="Q194" t="n">
        <v>0</v>
      </c>
      <c r="R194" s="2" t="inlineStr"/>
    </row>
    <row r="195" ht="15" customHeight="1">
      <c r="A195" t="inlineStr">
        <is>
          <t>A 40890-2020</t>
        </is>
      </c>
      <c r="B195" s="1" t="n">
        <v>44070</v>
      </c>
      <c r="C195" s="1" t="n">
        <v>45889</v>
      </c>
      <c r="D195" t="inlineStr">
        <is>
          <t>KALMAR LÄN</t>
        </is>
      </c>
      <c r="E195" t="inlineStr">
        <is>
          <t>VIMMERBY</t>
        </is>
      </c>
      <c r="G195" t="n">
        <v>1.6</v>
      </c>
      <c r="H195" t="n">
        <v>0</v>
      </c>
      <c r="I195" t="n">
        <v>0</v>
      </c>
      <c r="J195" t="n">
        <v>0</v>
      </c>
      <c r="K195" t="n">
        <v>0</v>
      </c>
      <c r="L195" t="n">
        <v>0</v>
      </c>
      <c r="M195" t="n">
        <v>0</v>
      </c>
      <c r="N195" t="n">
        <v>0</v>
      </c>
      <c r="O195" t="n">
        <v>0</v>
      </c>
      <c r="P195" t="n">
        <v>0</v>
      </c>
      <c r="Q195" t="n">
        <v>0</v>
      </c>
      <c r="R195" s="2" t="inlineStr"/>
    </row>
    <row r="196" ht="15" customHeight="1">
      <c r="A196" t="inlineStr">
        <is>
          <t>A 165-2022</t>
        </is>
      </c>
      <c r="B196" s="1" t="n">
        <v>44564</v>
      </c>
      <c r="C196" s="1" t="n">
        <v>45889</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12241-2021</t>
        </is>
      </c>
      <c r="B197" s="1" t="n">
        <v>44266.7240625</v>
      </c>
      <c r="C197" s="1" t="n">
        <v>45889</v>
      </c>
      <c r="D197" t="inlineStr">
        <is>
          <t>KALMAR LÄN</t>
        </is>
      </c>
      <c r="E197" t="inlineStr">
        <is>
          <t>VIMMERBY</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12662-2021</t>
        </is>
      </c>
      <c r="B198" s="1" t="n">
        <v>44270.49743055556</v>
      </c>
      <c r="C198" s="1" t="n">
        <v>45889</v>
      </c>
      <c r="D198" t="inlineStr">
        <is>
          <t>KALMAR LÄN</t>
        </is>
      </c>
      <c r="E198" t="inlineStr">
        <is>
          <t>VIMMERBY</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34040-2021</t>
        </is>
      </c>
      <c r="B199" s="1" t="n">
        <v>44379</v>
      </c>
      <c r="C199" s="1" t="n">
        <v>45889</v>
      </c>
      <c r="D199" t="inlineStr">
        <is>
          <t>KALMAR LÄN</t>
        </is>
      </c>
      <c r="E199" t="inlineStr">
        <is>
          <t>VIMMERBY</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15200-2021</t>
        </is>
      </c>
      <c r="B200" s="1" t="n">
        <v>44284.44574074074</v>
      </c>
      <c r="C200" s="1" t="n">
        <v>45889</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23825-2022</t>
        </is>
      </c>
      <c r="B201" s="1" t="n">
        <v>44722.48768518519</v>
      </c>
      <c r="C201" s="1" t="n">
        <v>45889</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12107-2022</t>
        </is>
      </c>
      <c r="B202" s="1" t="n">
        <v>44636</v>
      </c>
      <c r="C202" s="1" t="n">
        <v>45889</v>
      </c>
      <c r="D202" t="inlineStr">
        <is>
          <t>KALMAR LÄN</t>
        </is>
      </c>
      <c r="E202" t="inlineStr">
        <is>
          <t>VIMMERBY</t>
        </is>
      </c>
      <c r="G202" t="n">
        <v>1.8</v>
      </c>
      <c r="H202" t="n">
        <v>0</v>
      </c>
      <c r="I202" t="n">
        <v>0</v>
      </c>
      <c r="J202" t="n">
        <v>0</v>
      </c>
      <c r="K202" t="n">
        <v>0</v>
      </c>
      <c r="L202" t="n">
        <v>0</v>
      </c>
      <c r="M202" t="n">
        <v>0</v>
      </c>
      <c r="N202" t="n">
        <v>0</v>
      </c>
      <c r="O202" t="n">
        <v>0</v>
      </c>
      <c r="P202" t="n">
        <v>0</v>
      </c>
      <c r="Q202" t="n">
        <v>0</v>
      </c>
      <c r="R202" s="2" t="inlineStr"/>
    </row>
    <row r="203" ht="15" customHeight="1">
      <c r="A203" t="inlineStr">
        <is>
          <t>A 53145-2022</t>
        </is>
      </c>
      <c r="B203" s="1" t="n">
        <v>44876.48346064815</v>
      </c>
      <c r="C203" s="1" t="n">
        <v>45889</v>
      </c>
      <c r="D203" t="inlineStr">
        <is>
          <t>KALMAR LÄN</t>
        </is>
      </c>
      <c r="E203" t="inlineStr">
        <is>
          <t>VIMMERBY</t>
        </is>
      </c>
      <c r="G203" t="n">
        <v>0.4</v>
      </c>
      <c r="H203" t="n">
        <v>0</v>
      </c>
      <c r="I203" t="n">
        <v>0</v>
      </c>
      <c r="J203" t="n">
        <v>0</v>
      </c>
      <c r="K203" t="n">
        <v>0</v>
      </c>
      <c r="L203" t="n">
        <v>0</v>
      </c>
      <c r="M203" t="n">
        <v>0</v>
      </c>
      <c r="N203" t="n">
        <v>0</v>
      </c>
      <c r="O203" t="n">
        <v>0</v>
      </c>
      <c r="P203" t="n">
        <v>0</v>
      </c>
      <c r="Q203" t="n">
        <v>0</v>
      </c>
      <c r="R203" s="2" t="inlineStr"/>
    </row>
    <row r="204" ht="15" customHeight="1">
      <c r="A204" t="inlineStr">
        <is>
          <t>A 25738-2022</t>
        </is>
      </c>
      <c r="B204" s="1" t="n">
        <v>44733.43092592592</v>
      </c>
      <c r="C204" s="1" t="n">
        <v>45889</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39225-2022</t>
        </is>
      </c>
      <c r="B205" s="1" t="n">
        <v>44817.57988425926</v>
      </c>
      <c r="C205" s="1" t="n">
        <v>45889</v>
      </c>
      <c r="D205" t="inlineStr">
        <is>
          <t>KALMAR LÄN</t>
        </is>
      </c>
      <c r="E205" t="inlineStr">
        <is>
          <t>VIMMERBY</t>
        </is>
      </c>
      <c r="G205" t="n">
        <v>2.2</v>
      </c>
      <c r="H205" t="n">
        <v>0</v>
      </c>
      <c r="I205" t="n">
        <v>0</v>
      </c>
      <c r="J205" t="n">
        <v>0</v>
      </c>
      <c r="K205" t="n">
        <v>0</v>
      </c>
      <c r="L205" t="n">
        <v>0</v>
      </c>
      <c r="M205" t="n">
        <v>0</v>
      </c>
      <c r="N205" t="n">
        <v>0</v>
      </c>
      <c r="O205" t="n">
        <v>0</v>
      </c>
      <c r="P205" t="n">
        <v>0</v>
      </c>
      <c r="Q205" t="n">
        <v>0</v>
      </c>
      <c r="R205" s="2" t="inlineStr"/>
    </row>
    <row r="206" ht="15" customHeight="1">
      <c r="A206" t="inlineStr">
        <is>
          <t>A 16288-2021</t>
        </is>
      </c>
      <c r="B206" s="1" t="n">
        <v>44292</v>
      </c>
      <c r="C206" s="1" t="n">
        <v>45889</v>
      </c>
      <c r="D206" t="inlineStr">
        <is>
          <t>KALMAR LÄN</t>
        </is>
      </c>
      <c r="E206" t="inlineStr">
        <is>
          <t>VIMMERBY</t>
        </is>
      </c>
      <c r="F206" t="inlineStr">
        <is>
          <t>Övriga Aktiebolag</t>
        </is>
      </c>
      <c r="G206" t="n">
        <v>27.6</v>
      </c>
      <c r="H206" t="n">
        <v>0</v>
      </c>
      <c r="I206" t="n">
        <v>0</v>
      </c>
      <c r="J206" t="n">
        <v>0</v>
      </c>
      <c r="K206" t="n">
        <v>0</v>
      </c>
      <c r="L206" t="n">
        <v>0</v>
      </c>
      <c r="M206" t="n">
        <v>0</v>
      </c>
      <c r="N206" t="n">
        <v>0</v>
      </c>
      <c r="O206" t="n">
        <v>0</v>
      </c>
      <c r="P206" t="n">
        <v>0</v>
      </c>
      <c r="Q206" t="n">
        <v>0</v>
      </c>
      <c r="R206" s="2" t="inlineStr"/>
    </row>
    <row r="207" ht="15" customHeight="1">
      <c r="A207" t="inlineStr">
        <is>
          <t>A 32603-2021</t>
        </is>
      </c>
      <c r="B207" s="1" t="n">
        <v>44375.38789351852</v>
      </c>
      <c r="C207" s="1" t="n">
        <v>45889</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29441-2024</t>
        </is>
      </c>
      <c r="B208" s="1" t="n">
        <v>45483.82834490741</v>
      </c>
      <c r="C208" s="1" t="n">
        <v>45889</v>
      </c>
      <c r="D208" t="inlineStr">
        <is>
          <t>KALMAR LÄN</t>
        </is>
      </c>
      <c r="E208" t="inlineStr">
        <is>
          <t>VIMMERBY</t>
        </is>
      </c>
      <c r="G208" t="n">
        <v>1.3</v>
      </c>
      <c r="H208" t="n">
        <v>0</v>
      </c>
      <c r="I208" t="n">
        <v>0</v>
      </c>
      <c r="J208" t="n">
        <v>0</v>
      </c>
      <c r="K208" t="n">
        <v>0</v>
      </c>
      <c r="L208" t="n">
        <v>0</v>
      </c>
      <c r="M208" t="n">
        <v>0</v>
      </c>
      <c r="N208" t="n">
        <v>0</v>
      </c>
      <c r="O208" t="n">
        <v>0</v>
      </c>
      <c r="P208" t="n">
        <v>0</v>
      </c>
      <c r="Q208" t="n">
        <v>0</v>
      </c>
      <c r="R208" s="2" t="inlineStr"/>
    </row>
    <row r="209" ht="15" customHeight="1">
      <c r="A209" t="inlineStr">
        <is>
          <t>A 25728-2023</t>
        </is>
      </c>
      <c r="B209" s="1" t="n">
        <v>45090.38012731481</v>
      </c>
      <c r="C209" s="1" t="n">
        <v>45889</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8194-2022</t>
        </is>
      </c>
      <c r="B210" s="1" t="n">
        <v>44609</v>
      </c>
      <c r="C210" s="1" t="n">
        <v>45889</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15191-2021</t>
        </is>
      </c>
      <c r="B211" s="1" t="n">
        <v>44284.42348379629</v>
      </c>
      <c r="C211" s="1" t="n">
        <v>45889</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45050-2020</t>
        </is>
      </c>
      <c r="B212" s="1" t="n">
        <v>44088</v>
      </c>
      <c r="C212" s="1" t="n">
        <v>45889</v>
      </c>
      <c r="D212" t="inlineStr">
        <is>
          <t>KALMAR LÄN</t>
        </is>
      </c>
      <c r="E212" t="inlineStr">
        <is>
          <t>VIMMERBY</t>
        </is>
      </c>
      <c r="G212" t="n">
        <v>1.7</v>
      </c>
      <c r="H212" t="n">
        <v>0</v>
      </c>
      <c r="I212" t="n">
        <v>0</v>
      </c>
      <c r="J212" t="n">
        <v>0</v>
      </c>
      <c r="K212" t="n">
        <v>0</v>
      </c>
      <c r="L212" t="n">
        <v>0</v>
      </c>
      <c r="M212" t="n">
        <v>0</v>
      </c>
      <c r="N212" t="n">
        <v>0</v>
      </c>
      <c r="O212" t="n">
        <v>0</v>
      </c>
      <c r="P212" t="n">
        <v>0</v>
      </c>
      <c r="Q212" t="n">
        <v>0</v>
      </c>
      <c r="R212" s="2" t="inlineStr"/>
    </row>
    <row r="213" ht="15" customHeight="1">
      <c r="A213" t="inlineStr">
        <is>
          <t>A 36117-2021</t>
        </is>
      </c>
      <c r="B213" s="1" t="n">
        <v>44386</v>
      </c>
      <c r="C213" s="1" t="n">
        <v>45889</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42521-2021</t>
        </is>
      </c>
      <c r="B214" s="1" t="n">
        <v>44427</v>
      </c>
      <c r="C214" s="1" t="n">
        <v>45889</v>
      </c>
      <c r="D214" t="inlineStr">
        <is>
          <t>KALMAR LÄN</t>
        </is>
      </c>
      <c r="E214" t="inlineStr">
        <is>
          <t>VIMMERBY</t>
        </is>
      </c>
      <c r="G214" t="n">
        <v>5.4</v>
      </c>
      <c r="H214" t="n">
        <v>0</v>
      </c>
      <c r="I214" t="n">
        <v>0</v>
      </c>
      <c r="J214" t="n">
        <v>0</v>
      </c>
      <c r="K214" t="n">
        <v>0</v>
      </c>
      <c r="L214" t="n">
        <v>0</v>
      </c>
      <c r="M214" t="n">
        <v>0</v>
      </c>
      <c r="N214" t="n">
        <v>0</v>
      </c>
      <c r="O214" t="n">
        <v>0</v>
      </c>
      <c r="P214" t="n">
        <v>0</v>
      </c>
      <c r="Q214" t="n">
        <v>0</v>
      </c>
      <c r="R214" s="2" t="inlineStr"/>
    </row>
    <row r="215" ht="15" customHeight="1">
      <c r="A215" t="inlineStr">
        <is>
          <t>A 45054-2020</t>
        </is>
      </c>
      <c r="B215" s="1" t="n">
        <v>44088</v>
      </c>
      <c r="C215" s="1" t="n">
        <v>45889</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46921-2023</t>
        </is>
      </c>
      <c r="B216" s="1" t="n">
        <v>45201.39996527778</v>
      </c>
      <c r="C216" s="1" t="n">
        <v>45889</v>
      </c>
      <c r="D216" t="inlineStr">
        <is>
          <t>KALMAR LÄN</t>
        </is>
      </c>
      <c r="E216" t="inlineStr">
        <is>
          <t>VIMMERBY</t>
        </is>
      </c>
      <c r="G216" t="n">
        <v>2.6</v>
      </c>
      <c r="H216" t="n">
        <v>0</v>
      </c>
      <c r="I216" t="n">
        <v>0</v>
      </c>
      <c r="J216" t="n">
        <v>0</v>
      </c>
      <c r="K216" t="n">
        <v>0</v>
      </c>
      <c r="L216" t="n">
        <v>0</v>
      </c>
      <c r="M216" t="n">
        <v>0</v>
      </c>
      <c r="N216" t="n">
        <v>0</v>
      </c>
      <c r="O216" t="n">
        <v>0</v>
      </c>
      <c r="P216" t="n">
        <v>0</v>
      </c>
      <c r="Q216" t="n">
        <v>0</v>
      </c>
      <c r="R216" s="2" t="inlineStr"/>
    </row>
    <row r="217" ht="15" customHeight="1">
      <c r="A217" t="inlineStr">
        <is>
          <t>A 40971-2021</t>
        </is>
      </c>
      <c r="B217" s="1" t="n">
        <v>44421</v>
      </c>
      <c r="C217" s="1" t="n">
        <v>45889</v>
      </c>
      <c r="D217" t="inlineStr">
        <is>
          <t>KALMAR LÄN</t>
        </is>
      </c>
      <c r="E217" t="inlineStr">
        <is>
          <t>VIMMERBY</t>
        </is>
      </c>
      <c r="G217" t="n">
        <v>1.1</v>
      </c>
      <c r="H217" t="n">
        <v>0</v>
      </c>
      <c r="I217" t="n">
        <v>0</v>
      </c>
      <c r="J217" t="n">
        <v>0</v>
      </c>
      <c r="K217" t="n">
        <v>0</v>
      </c>
      <c r="L217" t="n">
        <v>0</v>
      </c>
      <c r="M217" t="n">
        <v>0</v>
      </c>
      <c r="N217" t="n">
        <v>0</v>
      </c>
      <c r="O217" t="n">
        <v>0</v>
      </c>
      <c r="P217" t="n">
        <v>0</v>
      </c>
      <c r="Q217" t="n">
        <v>0</v>
      </c>
      <c r="R217" s="2" t="inlineStr"/>
    </row>
    <row r="218" ht="15" customHeight="1">
      <c r="A218" t="inlineStr">
        <is>
          <t>A 68744-2020</t>
        </is>
      </c>
      <c r="B218" s="1" t="n">
        <v>44186</v>
      </c>
      <c r="C218" s="1" t="n">
        <v>45889</v>
      </c>
      <c r="D218" t="inlineStr">
        <is>
          <t>KALMAR LÄN</t>
        </is>
      </c>
      <c r="E218" t="inlineStr">
        <is>
          <t>VIMMERBY</t>
        </is>
      </c>
      <c r="G218" t="n">
        <v>2.5</v>
      </c>
      <c r="H218" t="n">
        <v>0</v>
      </c>
      <c r="I218" t="n">
        <v>0</v>
      </c>
      <c r="J218" t="n">
        <v>0</v>
      </c>
      <c r="K218" t="n">
        <v>0</v>
      </c>
      <c r="L218" t="n">
        <v>0</v>
      </c>
      <c r="M218" t="n">
        <v>0</v>
      </c>
      <c r="N218" t="n">
        <v>0</v>
      </c>
      <c r="O218" t="n">
        <v>0</v>
      </c>
      <c r="P218" t="n">
        <v>0</v>
      </c>
      <c r="Q218" t="n">
        <v>0</v>
      </c>
      <c r="R218" s="2" t="inlineStr"/>
    </row>
    <row r="219" ht="15" customHeight="1">
      <c r="A219" t="inlineStr">
        <is>
          <t>A 10837-2023</t>
        </is>
      </c>
      <c r="B219" s="1" t="n">
        <v>44991.30547453704</v>
      </c>
      <c r="C219" s="1" t="n">
        <v>45889</v>
      </c>
      <c r="D219" t="inlineStr">
        <is>
          <t>KALMAR LÄN</t>
        </is>
      </c>
      <c r="E219" t="inlineStr">
        <is>
          <t>VIMMERBY</t>
        </is>
      </c>
      <c r="G219" t="n">
        <v>7.3</v>
      </c>
      <c r="H219" t="n">
        <v>0</v>
      </c>
      <c r="I219" t="n">
        <v>0</v>
      </c>
      <c r="J219" t="n">
        <v>0</v>
      </c>
      <c r="K219" t="n">
        <v>0</v>
      </c>
      <c r="L219" t="n">
        <v>0</v>
      </c>
      <c r="M219" t="n">
        <v>0</v>
      </c>
      <c r="N219" t="n">
        <v>0</v>
      </c>
      <c r="O219" t="n">
        <v>0</v>
      </c>
      <c r="P219" t="n">
        <v>0</v>
      </c>
      <c r="Q219" t="n">
        <v>0</v>
      </c>
      <c r="R219" s="2" t="inlineStr"/>
    </row>
    <row r="220" ht="15" customHeight="1">
      <c r="A220" t="inlineStr">
        <is>
          <t>A 10838-2023</t>
        </is>
      </c>
      <c r="B220" s="1" t="n">
        <v>44991</v>
      </c>
      <c r="C220" s="1" t="n">
        <v>45889</v>
      </c>
      <c r="D220" t="inlineStr">
        <is>
          <t>KALMAR LÄN</t>
        </is>
      </c>
      <c r="E220" t="inlineStr">
        <is>
          <t>VIMMERBY</t>
        </is>
      </c>
      <c r="G220" t="n">
        <v>5.1</v>
      </c>
      <c r="H220" t="n">
        <v>0</v>
      </c>
      <c r="I220" t="n">
        <v>0</v>
      </c>
      <c r="J220" t="n">
        <v>0</v>
      </c>
      <c r="K220" t="n">
        <v>0</v>
      </c>
      <c r="L220" t="n">
        <v>0</v>
      </c>
      <c r="M220" t="n">
        <v>0</v>
      </c>
      <c r="N220" t="n">
        <v>0</v>
      </c>
      <c r="O220" t="n">
        <v>0</v>
      </c>
      <c r="P220" t="n">
        <v>0</v>
      </c>
      <c r="Q220" t="n">
        <v>0</v>
      </c>
      <c r="R220" s="2" t="inlineStr"/>
    </row>
    <row r="221" ht="15" customHeight="1">
      <c r="A221" t="inlineStr">
        <is>
          <t>A 13457-2021</t>
        </is>
      </c>
      <c r="B221" s="1" t="n">
        <v>44273</v>
      </c>
      <c r="C221" s="1" t="n">
        <v>45889</v>
      </c>
      <c r="D221" t="inlineStr">
        <is>
          <t>KALMAR LÄN</t>
        </is>
      </c>
      <c r="E221" t="inlineStr">
        <is>
          <t>VIMMERBY</t>
        </is>
      </c>
      <c r="G221" t="n">
        <v>1.4</v>
      </c>
      <c r="H221" t="n">
        <v>0</v>
      </c>
      <c r="I221" t="n">
        <v>0</v>
      </c>
      <c r="J221" t="n">
        <v>0</v>
      </c>
      <c r="K221" t="n">
        <v>0</v>
      </c>
      <c r="L221" t="n">
        <v>0</v>
      </c>
      <c r="M221" t="n">
        <v>0</v>
      </c>
      <c r="N221" t="n">
        <v>0</v>
      </c>
      <c r="O221" t="n">
        <v>0</v>
      </c>
      <c r="P221" t="n">
        <v>0</v>
      </c>
      <c r="Q221" t="n">
        <v>0</v>
      </c>
      <c r="R221" s="2" t="inlineStr"/>
    </row>
    <row r="222" ht="15" customHeight="1">
      <c r="A222" t="inlineStr">
        <is>
          <t>A 30912-2023</t>
        </is>
      </c>
      <c r="B222" s="1" t="n">
        <v>45113.41633101852</v>
      </c>
      <c r="C222" s="1" t="n">
        <v>45889</v>
      </c>
      <c r="D222" t="inlineStr">
        <is>
          <t>KALMAR LÄN</t>
        </is>
      </c>
      <c r="E222" t="inlineStr">
        <is>
          <t>VIMMERBY</t>
        </is>
      </c>
      <c r="G222" t="n">
        <v>5</v>
      </c>
      <c r="H222" t="n">
        <v>0</v>
      </c>
      <c r="I222" t="n">
        <v>0</v>
      </c>
      <c r="J222" t="n">
        <v>0</v>
      </c>
      <c r="K222" t="n">
        <v>0</v>
      </c>
      <c r="L222" t="n">
        <v>0</v>
      </c>
      <c r="M222" t="n">
        <v>0</v>
      </c>
      <c r="N222" t="n">
        <v>0</v>
      </c>
      <c r="O222" t="n">
        <v>0</v>
      </c>
      <c r="P222" t="n">
        <v>0</v>
      </c>
      <c r="Q222" t="n">
        <v>0</v>
      </c>
      <c r="R222" s="2" t="inlineStr"/>
    </row>
    <row r="223" ht="15" customHeight="1">
      <c r="A223" t="inlineStr">
        <is>
          <t>A 55436-2023</t>
        </is>
      </c>
      <c r="B223" s="1" t="n">
        <v>45238.4328587963</v>
      </c>
      <c r="C223" s="1" t="n">
        <v>45889</v>
      </c>
      <c r="D223" t="inlineStr">
        <is>
          <t>KALMAR LÄN</t>
        </is>
      </c>
      <c r="E223" t="inlineStr">
        <is>
          <t>VIMMERBY</t>
        </is>
      </c>
      <c r="G223" t="n">
        <v>5.6</v>
      </c>
      <c r="H223" t="n">
        <v>0</v>
      </c>
      <c r="I223" t="n">
        <v>0</v>
      </c>
      <c r="J223" t="n">
        <v>0</v>
      </c>
      <c r="K223" t="n">
        <v>0</v>
      </c>
      <c r="L223" t="n">
        <v>0</v>
      </c>
      <c r="M223" t="n">
        <v>0</v>
      </c>
      <c r="N223" t="n">
        <v>0</v>
      </c>
      <c r="O223" t="n">
        <v>0</v>
      </c>
      <c r="P223" t="n">
        <v>0</v>
      </c>
      <c r="Q223" t="n">
        <v>0</v>
      </c>
      <c r="R223" s="2" t="inlineStr"/>
    </row>
    <row r="224" ht="15" customHeight="1">
      <c r="A224" t="inlineStr">
        <is>
          <t>A 14278-2021</t>
        </is>
      </c>
      <c r="B224" s="1" t="n">
        <v>44278.63479166666</v>
      </c>
      <c r="C224" s="1" t="n">
        <v>45889</v>
      </c>
      <c r="D224" t="inlineStr">
        <is>
          <t>KALMAR LÄN</t>
        </is>
      </c>
      <c r="E224" t="inlineStr">
        <is>
          <t>VIMMERBY</t>
        </is>
      </c>
      <c r="F224" t="inlineStr">
        <is>
          <t>Övriga statliga verk och myndigheter</t>
        </is>
      </c>
      <c r="G224" t="n">
        <v>0.8</v>
      </c>
      <c r="H224" t="n">
        <v>0</v>
      </c>
      <c r="I224" t="n">
        <v>0</v>
      </c>
      <c r="J224" t="n">
        <v>0</v>
      </c>
      <c r="K224" t="n">
        <v>0</v>
      </c>
      <c r="L224" t="n">
        <v>0</v>
      </c>
      <c r="M224" t="n">
        <v>0</v>
      </c>
      <c r="N224" t="n">
        <v>0</v>
      </c>
      <c r="O224" t="n">
        <v>0</v>
      </c>
      <c r="P224" t="n">
        <v>0</v>
      </c>
      <c r="Q224" t="n">
        <v>0</v>
      </c>
      <c r="R224" s="2" t="inlineStr"/>
    </row>
    <row r="225" ht="15" customHeight="1">
      <c r="A225" t="inlineStr">
        <is>
          <t>A 21507-2023</t>
        </is>
      </c>
      <c r="B225" s="1" t="n">
        <v>45063.508125</v>
      </c>
      <c r="C225" s="1" t="n">
        <v>45889</v>
      </c>
      <c r="D225" t="inlineStr">
        <is>
          <t>KALMAR LÄN</t>
        </is>
      </c>
      <c r="E225" t="inlineStr">
        <is>
          <t>VIMMERBY</t>
        </is>
      </c>
      <c r="G225" t="n">
        <v>2.8</v>
      </c>
      <c r="H225" t="n">
        <v>0</v>
      </c>
      <c r="I225" t="n">
        <v>0</v>
      </c>
      <c r="J225" t="n">
        <v>0</v>
      </c>
      <c r="K225" t="n">
        <v>0</v>
      </c>
      <c r="L225" t="n">
        <v>0</v>
      </c>
      <c r="M225" t="n">
        <v>0</v>
      </c>
      <c r="N225" t="n">
        <v>0</v>
      </c>
      <c r="O225" t="n">
        <v>0</v>
      </c>
      <c r="P225" t="n">
        <v>0</v>
      </c>
      <c r="Q225" t="n">
        <v>0</v>
      </c>
      <c r="R225" s="2" t="inlineStr"/>
    </row>
    <row r="226" ht="15" customHeight="1">
      <c r="A226" t="inlineStr">
        <is>
          <t>A 51187-2023</t>
        </is>
      </c>
      <c r="B226" s="1" t="n">
        <v>45219.40528935185</v>
      </c>
      <c r="C226" s="1" t="n">
        <v>45889</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13290-2025</t>
        </is>
      </c>
      <c r="B227" s="1" t="n">
        <v>45735.56751157407</v>
      </c>
      <c r="C227" s="1" t="n">
        <v>45889</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45560-2021</t>
        </is>
      </c>
      <c r="B228" s="1" t="n">
        <v>44440</v>
      </c>
      <c r="C228" s="1" t="n">
        <v>45889</v>
      </c>
      <c r="D228" t="inlineStr">
        <is>
          <t>KALMAR LÄN</t>
        </is>
      </c>
      <c r="E228" t="inlineStr">
        <is>
          <t>VIMMERBY</t>
        </is>
      </c>
      <c r="G228" t="n">
        <v>1.3</v>
      </c>
      <c r="H228" t="n">
        <v>0</v>
      </c>
      <c r="I228" t="n">
        <v>0</v>
      </c>
      <c r="J228" t="n">
        <v>0</v>
      </c>
      <c r="K228" t="n">
        <v>0</v>
      </c>
      <c r="L228" t="n">
        <v>0</v>
      </c>
      <c r="M228" t="n">
        <v>0</v>
      </c>
      <c r="N228" t="n">
        <v>0</v>
      </c>
      <c r="O228" t="n">
        <v>0</v>
      </c>
      <c r="P228" t="n">
        <v>0</v>
      </c>
      <c r="Q228" t="n">
        <v>0</v>
      </c>
      <c r="R228" s="2" t="inlineStr"/>
    </row>
    <row r="229" ht="15" customHeight="1">
      <c r="A229" t="inlineStr">
        <is>
          <t>A 16622-2025</t>
        </is>
      </c>
      <c r="B229" s="1" t="n">
        <v>45754.33641203704</v>
      </c>
      <c r="C229" s="1" t="n">
        <v>45889</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8453-2022</t>
        </is>
      </c>
      <c r="B230" s="1" t="n">
        <v>44612.86554398148</v>
      </c>
      <c r="C230" s="1" t="n">
        <v>45889</v>
      </c>
      <c r="D230" t="inlineStr">
        <is>
          <t>KALMAR LÄN</t>
        </is>
      </c>
      <c r="E230" t="inlineStr">
        <is>
          <t>VIMMERBY</t>
        </is>
      </c>
      <c r="G230" t="n">
        <v>1.7</v>
      </c>
      <c r="H230" t="n">
        <v>0</v>
      </c>
      <c r="I230" t="n">
        <v>0</v>
      </c>
      <c r="J230" t="n">
        <v>0</v>
      </c>
      <c r="K230" t="n">
        <v>0</v>
      </c>
      <c r="L230" t="n">
        <v>0</v>
      </c>
      <c r="M230" t="n">
        <v>0</v>
      </c>
      <c r="N230" t="n">
        <v>0</v>
      </c>
      <c r="O230" t="n">
        <v>0</v>
      </c>
      <c r="P230" t="n">
        <v>0</v>
      </c>
      <c r="Q230" t="n">
        <v>0</v>
      </c>
      <c r="R230" s="2" t="inlineStr"/>
    </row>
    <row r="231" ht="15" customHeight="1">
      <c r="A231" t="inlineStr">
        <is>
          <t>A 52433-2021</t>
        </is>
      </c>
      <c r="B231" s="1" t="n">
        <v>44466.34726851852</v>
      </c>
      <c r="C231" s="1" t="n">
        <v>45889</v>
      </c>
      <c r="D231" t="inlineStr">
        <is>
          <t>KALMAR LÄN</t>
        </is>
      </c>
      <c r="E231" t="inlineStr">
        <is>
          <t>VIMMERBY</t>
        </is>
      </c>
      <c r="G231" t="n">
        <v>3.5</v>
      </c>
      <c r="H231" t="n">
        <v>0</v>
      </c>
      <c r="I231" t="n">
        <v>0</v>
      </c>
      <c r="J231" t="n">
        <v>0</v>
      </c>
      <c r="K231" t="n">
        <v>0</v>
      </c>
      <c r="L231" t="n">
        <v>0</v>
      </c>
      <c r="M231" t="n">
        <v>0</v>
      </c>
      <c r="N231" t="n">
        <v>0</v>
      </c>
      <c r="O231" t="n">
        <v>0</v>
      </c>
      <c r="P231" t="n">
        <v>0</v>
      </c>
      <c r="Q231" t="n">
        <v>0</v>
      </c>
      <c r="R231" s="2" t="inlineStr"/>
    </row>
    <row r="232" ht="15" customHeight="1">
      <c r="A232" t="inlineStr">
        <is>
          <t>A 50621-2022</t>
        </is>
      </c>
      <c r="B232" s="1" t="n">
        <v>44866.81100694444</v>
      </c>
      <c r="C232" s="1" t="n">
        <v>45889</v>
      </c>
      <c r="D232" t="inlineStr">
        <is>
          <t>KALMAR LÄN</t>
        </is>
      </c>
      <c r="E232" t="inlineStr">
        <is>
          <t>VIMMERBY</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34205-2023</t>
        </is>
      </c>
      <c r="B233" s="1" t="n">
        <v>45138</v>
      </c>
      <c r="C233" s="1" t="n">
        <v>45889</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54065-2021</t>
        </is>
      </c>
      <c r="B234" s="1" t="n">
        <v>44470.44232638889</v>
      </c>
      <c r="C234" s="1" t="n">
        <v>45889</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31824-2022</t>
        </is>
      </c>
      <c r="B235" s="1" t="n">
        <v>44776</v>
      </c>
      <c r="C235" s="1" t="n">
        <v>45889</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57091-2022</t>
        </is>
      </c>
      <c r="B236" s="1" t="n">
        <v>44895.46524305556</v>
      </c>
      <c r="C236" s="1" t="n">
        <v>45889</v>
      </c>
      <c r="D236" t="inlineStr">
        <is>
          <t>KALMAR LÄN</t>
        </is>
      </c>
      <c r="E236" t="inlineStr">
        <is>
          <t>VIMMERBY</t>
        </is>
      </c>
      <c r="G236" t="n">
        <v>2.6</v>
      </c>
      <c r="H236" t="n">
        <v>0</v>
      </c>
      <c r="I236" t="n">
        <v>0</v>
      </c>
      <c r="J236" t="n">
        <v>0</v>
      </c>
      <c r="K236" t="n">
        <v>0</v>
      </c>
      <c r="L236" t="n">
        <v>0</v>
      </c>
      <c r="M236" t="n">
        <v>0</v>
      </c>
      <c r="N236" t="n">
        <v>0</v>
      </c>
      <c r="O236" t="n">
        <v>0</v>
      </c>
      <c r="P236" t="n">
        <v>0</v>
      </c>
      <c r="Q236" t="n">
        <v>0</v>
      </c>
      <c r="R236" s="2" t="inlineStr"/>
    </row>
    <row r="237" ht="15" customHeight="1">
      <c r="A237" t="inlineStr">
        <is>
          <t>A 11733-2022</t>
        </is>
      </c>
      <c r="B237" s="1" t="n">
        <v>44634</v>
      </c>
      <c r="C237" s="1" t="n">
        <v>45889</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31340-2023</t>
        </is>
      </c>
      <c r="B238" s="1" t="n">
        <v>45114.47895833333</v>
      </c>
      <c r="C238" s="1" t="n">
        <v>45889</v>
      </c>
      <c r="D238" t="inlineStr">
        <is>
          <t>KALMAR LÄN</t>
        </is>
      </c>
      <c r="E238" t="inlineStr">
        <is>
          <t>VIMMERBY</t>
        </is>
      </c>
      <c r="G238" t="n">
        <v>1.8</v>
      </c>
      <c r="H238" t="n">
        <v>0</v>
      </c>
      <c r="I238" t="n">
        <v>0</v>
      </c>
      <c r="J238" t="n">
        <v>0</v>
      </c>
      <c r="K238" t="n">
        <v>0</v>
      </c>
      <c r="L238" t="n">
        <v>0</v>
      </c>
      <c r="M238" t="n">
        <v>0</v>
      </c>
      <c r="N238" t="n">
        <v>0</v>
      </c>
      <c r="O238" t="n">
        <v>0</v>
      </c>
      <c r="P238" t="n">
        <v>0</v>
      </c>
      <c r="Q238" t="n">
        <v>0</v>
      </c>
      <c r="R238" s="2" t="inlineStr"/>
    </row>
    <row r="239" ht="15" customHeight="1">
      <c r="A239" t="inlineStr">
        <is>
          <t>A 29168-2024</t>
        </is>
      </c>
      <c r="B239" s="1" t="n">
        <v>45482.49870370371</v>
      </c>
      <c r="C239" s="1" t="n">
        <v>45889</v>
      </c>
      <c r="D239" t="inlineStr">
        <is>
          <t>KALMAR LÄN</t>
        </is>
      </c>
      <c r="E239" t="inlineStr">
        <is>
          <t>VIMMERBY</t>
        </is>
      </c>
      <c r="G239" t="n">
        <v>1.4</v>
      </c>
      <c r="H239" t="n">
        <v>0</v>
      </c>
      <c r="I239" t="n">
        <v>0</v>
      </c>
      <c r="J239" t="n">
        <v>0</v>
      </c>
      <c r="K239" t="n">
        <v>0</v>
      </c>
      <c r="L239" t="n">
        <v>0</v>
      </c>
      <c r="M239" t="n">
        <v>0</v>
      </c>
      <c r="N239" t="n">
        <v>0</v>
      </c>
      <c r="O239" t="n">
        <v>0</v>
      </c>
      <c r="P239" t="n">
        <v>0</v>
      </c>
      <c r="Q239" t="n">
        <v>0</v>
      </c>
      <c r="R239" s="2" t="inlineStr"/>
    </row>
    <row r="240" ht="15" customHeight="1">
      <c r="A240" t="inlineStr">
        <is>
          <t>A 29186-2024</t>
        </is>
      </c>
      <c r="B240" s="1" t="n">
        <v>45482.54844907407</v>
      </c>
      <c r="C240" s="1" t="n">
        <v>45889</v>
      </c>
      <c r="D240" t="inlineStr">
        <is>
          <t>KALMAR LÄN</t>
        </is>
      </c>
      <c r="E240" t="inlineStr">
        <is>
          <t>VIMMERBY</t>
        </is>
      </c>
      <c r="G240" t="n">
        <v>2.6</v>
      </c>
      <c r="H240" t="n">
        <v>0</v>
      </c>
      <c r="I240" t="n">
        <v>0</v>
      </c>
      <c r="J240" t="n">
        <v>0</v>
      </c>
      <c r="K240" t="n">
        <v>0</v>
      </c>
      <c r="L240" t="n">
        <v>0</v>
      </c>
      <c r="M240" t="n">
        <v>0</v>
      </c>
      <c r="N240" t="n">
        <v>0</v>
      </c>
      <c r="O240" t="n">
        <v>0</v>
      </c>
      <c r="P240" t="n">
        <v>0</v>
      </c>
      <c r="Q240" t="n">
        <v>0</v>
      </c>
      <c r="R240" s="2" t="inlineStr"/>
    </row>
    <row r="241" ht="15" customHeight="1">
      <c r="A241" t="inlineStr">
        <is>
          <t>A 35895-2024</t>
        </is>
      </c>
      <c r="B241" s="1" t="n">
        <v>45533.38870370371</v>
      </c>
      <c r="C241" s="1" t="n">
        <v>45889</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2604-2025</t>
        </is>
      </c>
      <c r="B242" s="1" t="n">
        <v>45674.74094907408</v>
      </c>
      <c r="C242" s="1" t="n">
        <v>45889</v>
      </c>
      <c r="D242" t="inlineStr">
        <is>
          <t>KALMAR LÄN</t>
        </is>
      </c>
      <c r="E242" t="inlineStr">
        <is>
          <t>VIMMERBY</t>
        </is>
      </c>
      <c r="G242" t="n">
        <v>7.6</v>
      </c>
      <c r="H242" t="n">
        <v>0</v>
      </c>
      <c r="I242" t="n">
        <v>0</v>
      </c>
      <c r="J242" t="n">
        <v>0</v>
      </c>
      <c r="K242" t="n">
        <v>0</v>
      </c>
      <c r="L242" t="n">
        <v>0</v>
      </c>
      <c r="M242" t="n">
        <v>0</v>
      </c>
      <c r="N242" t="n">
        <v>0</v>
      </c>
      <c r="O242" t="n">
        <v>0</v>
      </c>
      <c r="P242" t="n">
        <v>0</v>
      </c>
      <c r="Q242" t="n">
        <v>0</v>
      </c>
      <c r="R242" s="2" t="inlineStr"/>
    </row>
    <row r="243" ht="15" customHeight="1">
      <c r="A243" t="inlineStr">
        <is>
          <t>A 12590-2025</t>
        </is>
      </c>
      <c r="B243" s="1" t="n">
        <v>45732.79925925926</v>
      </c>
      <c r="C243" s="1" t="n">
        <v>45889</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6807-2025</t>
        </is>
      </c>
      <c r="B244" s="1" t="n">
        <v>45700.68672453704</v>
      </c>
      <c r="C244" s="1" t="n">
        <v>45889</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30318-2023</t>
        </is>
      </c>
      <c r="B245" s="1" t="n">
        <v>45111.30824074074</v>
      </c>
      <c r="C245" s="1" t="n">
        <v>45889</v>
      </c>
      <c r="D245" t="inlineStr">
        <is>
          <t>KALMAR LÄN</t>
        </is>
      </c>
      <c r="E245" t="inlineStr">
        <is>
          <t>VIMMERBY</t>
        </is>
      </c>
      <c r="G245" t="n">
        <v>2.6</v>
      </c>
      <c r="H245" t="n">
        <v>0</v>
      </c>
      <c r="I245" t="n">
        <v>0</v>
      </c>
      <c r="J245" t="n">
        <v>0</v>
      </c>
      <c r="K245" t="n">
        <v>0</v>
      </c>
      <c r="L245" t="n">
        <v>0</v>
      </c>
      <c r="M245" t="n">
        <v>0</v>
      </c>
      <c r="N245" t="n">
        <v>0</v>
      </c>
      <c r="O245" t="n">
        <v>0</v>
      </c>
      <c r="P245" t="n">
        <v>0</v>
      </c>
      <c r="Q245" t="n">
        <v>0</v>
      </c>
      <c r="R245" s="2" t="inlineStr"/>
    </row>
    <row r="246" ht="15" customHeight="1">
      <c r="A246" t="inlineStr">
        <is>
          <t>A 38851-2023</t>
        </is>
      </c>
      <c r="B246" s="1" t="n">
        <v>45163</v>
      </c>
      <c r="C246" s="1" t="n">
        <v>45889</v>
      </c>
      <c r="D246" t="inlineStr">
        <is>
          <t>KALMAR LÄN</t>
        </is>
      </c>
      <c r="E246" t="inlineStr">
        <is>
          <t>VIMMERBY</t>
        </is>
      </c>
      <c r="G246" t="n">
        <v>4.3</v>
      </c>
      <c r="H246" t="n">
        <v>0</v>
      </c>
      <c r="I246" t="n">
        <v>0</v>
      </c>
      <c r="J246" t="n">
        <v>0</v>
      </c>
      <c r="K246" t="n">
        <v>0</v>
      </c>
      <c r="L246" t="n">
        <v>0</v>
      </c>
      <c r="M246" t="n">
        <v>0</v>
      </c>
      <c r="N246" t="n">
        <v>0</v>
      </c>
      <c r="O246" t="n">
        <v>0</v>
      </c>
      <c r="P246" t="n">
        <v>0</v>
      </c>
      <c r="Q246" t="n">
        <v>0</v>
      </c>
      <c r="R246" s="2" t="inlineStr"/>
    </row>
    <row r="247" ht="15" customHeight="1">
      <c r="A247" t="inlineStr">
        <is>
          <t>A 52435-2021</t>
        </is>
      </c>
      <c r="B247" s="1" t="n">
        <v>44466.34962962963</v>
      </c>
      <c r="C247" s="1" t="n">
        <v>45889</v>
      </c>
      <c r="D247" t="inlineStr">
        <is>
          <t>KALMAR LÄN</t>
        </is>
      </c>
      <c r="E247" t="inlineStr">
        <is>
          <t>VIMMERBY</t>
        </is>
      </c>
      <c r="G247" t="n">
        <v>2.8</v>
      </c>
      <c r="H247" t="n">
        <v>0</v>
      </c>
      <c r="I247" t="n">
        <v>0</v>
      </c>
      <c r="J247" t="n">
        <v>0</v>
      </c>
      <c r="K247" t="n">
        <v>0</v>
      </c>
      <c r="L247" t="n">
        <v>0</v>
      </c>
      <c r="M247" t="n">
        <v>0</v>
      </c>
      <c r="N247" t="n">
        <v>0</v>
      </c>
      <c r="O247" t="n">
        <v>0</v>
      </c>
      <c r="P247" t="n">
        <v>0</v>
      </c>
      <c r="Q247" t="n">
        <v>0</v>
      </c>
      <c r="R247" s="2" t="inlineStr"/>
    </row>
    <row r="248" ht="15" customHeight="1">
      <c r="A248" t="inlineStr">
        <is>
          <t>A 29093-2023</t>
        </is>
      </c>
      <c r="B248" s="1" t="n">
        <v>45105</v>
      </c>
      <c r="C248" s="1" t="n">
        <v>45889</v>
      </c>
      <c r="D248" t="inlineStr">
        <is>
          <t>KALMAR LÄN</t>
        </is>
      </c>
      <c r="E248" t="inlineStr">
        <is>
          <t>VIMMERBY</t>
        </is>
      </c>
      <c r="G248" t="n">
        <v>2.9</v>
      </c>
      <c r="H248" t="n">
        <v>0</v>
      </c>
      <c r="I248" t="n">
        <v>0</v>
      </c>
      <c r="J248" t="n">
        <v>0</v>
      </c>
      <c r="K248" t="n">
        <v>0</v>
      </c>
      <c r="L248" t="n">
        <v>0</v>
      </c>
      <c r="M248" t="n">
        <v>0</v>
      </c>
      <c r="N248" t="n">
        <v>0</v>
      </c>
      <c r="O248" t="n">
        <v>0</v>
      </c>
      <c r="P248" t="n">
        <v>0</v>
      </c>
      <c r="Q248" t="n">
        <v>0</v>
      </c>
      <c r="R248" s="2" t="inlineStr"/>
    </row>
    <row r="249" ht="15" customHeight="1">
      <c r="A249" t="inlineStr">
        <is>
          <t>A 14220-2021</t>
        </is>
      </c>
      <c r="B249" s="1" t="n">
        <v>44278.54855324074</v>
      </c>
      <c r="C249" s="1" t="n">
        <v>45889</v>
      </c>
      <c r="D249" t="inlineStr">
        <is>
          <t>KALMAR LÄN</t>
        </is>
      </c>
      <c r="E249" t="inlineStr">
        <is>
          <t>VIMMERBY</t>
        </is>
      </c>
      <c r="G249" t="n">
        <v>0.3</v>
      </c>
      <c r="H249" t="n">
        <v>0</v>
      </c>
      <c r="I249" t="n">
        <v>0</v>
      </c>
      <c r="J249" t="n">
        <v>0</v>
      </c>
      <c r="K249" t="n">
        <v>0</v>
      </c>
      <c r="L249" t="n">
        <v>0</v>
      </c>
      <c r="M249" t="n">
        <v>0</v>
      </c>
      <c r="N249" t="n">
        <v>0</v>
      </c>
      <c r="O249" t="n">
        <v>0</v>
      </c>
      <c r="P249" t="n">
        <v>0</v>
      </c>
      <c r="Q249" t="n">
        <v>0</v>
      </c>
      <c r="R249" s="2" t="inlineStr"/>
    </row>
    <row r="250" ht="15" customHeight="1">
      <c r="A250" t="inlineStr">
        <is>
          <t>A 23252-2024</t>
        </is>
      </c>
      <c r="B250" s="1" t="n">
        <v>45453.36067129629</v>
      </c>
      <c r="C250" s="1" t="n">
        <v>45889</v>
      </c>
      <c r="D250" t="inlineStr">
        <is>
          <t>KALMAR LÄN</t>
        </is>
      </c>
      <c r="E250" t="inlineStr">
        <is>
          <t>VIMMERBY</t>
        </is>
      </c>
      <c r="G250" t="n">
        <v>0.7</v>
      </c>
      <c r="H250" t="n">
        <v>0</v>
      </c>
      <c r="I250" t="n">
        <v>0</v>
      </c>
      <c r="J250" t="n">
        <v>0</v>
      </c>
      <c r="K250" t="n">
        <v>0</v>
      </c>
      <c r="L250" t="n">
        <v>0</v>
      </c>
      <c r="M250" t="n">
        <v>0</v>
      </c>
      <c r="N250" t="n">
        <v>0</v>
      </c>
      <c r="O250" t="n">
        <v>0</v>
      </c>
      <c r="P250" t="n">
        <v>0</v>
      </c>
      <c r="Q250" t="n">
        <v>0</v>
      </c>
      <c r="R250" s="2" t="inlineStr"/>
    </row>
    <row r="251" ht="15" customHeight="1">
      <c r="A251" t="inlineStr">
        <is>
          <t>A 43186-2021</t>
        </is>
      </c>
      <c r="B251" s="1" t="n">
        <v>44431.84840277778</v>
      </c>
      <c r="C251" s="1" t="n">
        <v>45889</v>
      </c>
      <c r="D251" t="inlineStr">
        <is>
          <t>KALMAR LÄN</t>
        </is>
      </c>
      <c r="E251" t="inlineStr">
        <is>
          <t>VIMMERBY</t>
        </is>
      </c>
      <c r="G251" t="n">
        <v>0.6</v>
      </c>
      <c r="H251" t="n">
        <v>0</v>
      </c>
      <c r="I251" t="n">
        <v>0</v>
      </c>
      <c r="J251" t="n">
        <v>0</v>
      </c>
      <c r="K251" t="n">
        <v>0</v>
      </c>
      <c r="L251" t="n">
        <v>0</v>
      </c>
      <c r="M251" t="n">
        <v>0</v>
      </c>
      <c r="N251" t="n">
        <v>0</v>
      </c>
      <c r="O251" t="n">
        <v>0</v>
      </c>
      <c r="P251" t="n">
        <v>0</v>
      </c>
      <c r="Q251" t="n">
        <v>0</v>
      </c>
      <c r="R251" s="2" t="inlineStr"/>
    </row>
    <row r="252" ht="15" customHeight="1">
      <c r="A252" t="inlineStr">
        <is>
          <t>A 60215-2022</t>
        </is>
      </c>
      <c r="B252" s="1" t="n">
        <v>44910.41346064815</v>
      </c>
      <c r="C252" s="1" t="n">
        <v>45889</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60230-2022</t>
        </is>
      </c>
      <c r="B253" s="1" t="n">
        <v>44910</v>
      </c>
      <c r="C253" s="1" t="n">
        <v>45889</v>
      </c>
      <c r="D253" t="inlineStr">
        <is>
          <t>KALMAR LÄN</t>
        </is>
      </c>
      <c r="E253" t="inlineStr">
        <is>
          <t>VIMMERBY</t>
        </is>
      </c>
      <c r="G253" t="n">
        <v>11.3</v>
      </c>
      <c r="H253" t="n">
        <v>0</v>
      </c>
      <c r="I253" t="n">
        <v>0</v>
      </c>
      <c r="J253" t="n">
        <v>0</v>
      </c>
      <c r="K253" t="n">
        <v>0</v>
      </c>
      <c r="L253" t="n">
        <v>0</v>
      </c>
      <c r="M253" t="n">
        <v>0</v>
      </c>
      <c r="N253" t="n">
        <v>0</v>
      </c>
      <c r="O253" t="n">
        <v>0</v>
      </c>
      <c r="P253" t="n">
        <v>0</v>
      </c>
      <c r="Q253" t="n">
        <v>0</v>
      </c>
      <c r="R253" s="2" t="inlineStr"/>
    </row>
    <row r="254" ht="15" customHeight="1">
      <c r="A254" t="inlineStr">
        <is>
          <t>A 7804-2022</t>
        </is>
      </c>
      <c r="B254" s="1" t="n">
        <v>44608.50458333334</v>
      </c>
      <c r="C254" s="1" t="n">
        <v>45889</v>
      </c>
      <c r="D254" t="inlineStr">
        <is>
          <t>KALMAR LÄN</t>
        </is>
      </c>
      <c r="E254" t="inlineStr">
        <is>
          <t>VIMMERBY</t>
        </is>
      </c>
      <c r="G254" t="n">
        <v>0.6</v>
      </c>
      <c r="H254" t="n">
        <v>0</v>
      </c>
      <c r="I254" t="n">
        <v>0</v>
      </c>
      <c r="J254" t="n">
        <v>0</v>
      </c>
      <c r="K254" t="n">
        <v>0</v>
      </c>
      <c r="L254" t="n">
        <v>0</v>
      </c>
      <c r="M254" t="n">
        <v>0</v>
      </c>
      <c r="N254" t="n">
        <v>0</v>
      </c>
      <c r="O254" t="n">
        <v>0</v>
      </c>
      <c r="P254" t="n">
        <v>0</v>
      </c>
      <c r="Q254" t="n">
        <v>0</v>
      </c>
      <c r="R254" s="2" t="inlineStr"/>
    </row>
    <row r="255" ht="15" customHeight="1">
      <c r="A255" t="inlineStr">
        <is>
          <t>A 33359-2021</t>
        </is>
      </c>
      <c r="B255" s="1" t="n">
        <v>44377.49684027778</v>
      </c>
      <c r="C255" s="1" t="n">
        <v>45889</v>
      </c>
      <c r="D255" t="inlineStr">
        <is>
          <t>KALMAR LÄN</t>
        </is>
      </c>
      <c r="E255" t="inlineStr">
        <is>
          <t>VIMMERBY</t>
        </is>
      </c>
      <c r="F255" t="inlineStr">
        <is>
          <t>Kommuner</t>
        </is>
      </c>
      <c r="G255" t="n">
        <v>8</v>
      </c>
      <c r="H255" t="n">
        <v>0</v>
      </c>
      <c r="I255" t="n">
        <v>0</v>
      </c>
      <c r="J255" t="n">
        <v>0</v>
      </c>
      <c r="K255" t="n">
        <v>0</v>
      </c>
      <c r="L255" t="n">
        <v>0</v>
      </c>
      <c r="M255" t="n">
        <v>0</v>
      </c>
      <c r="N255" t="n">
        <v>0</v>
      </c>
      <c r="O255" t="n">
        <v>0</v>
      </c>
      <c r="P255" t="n">
        <v>0</v>
      </c>
      <c r="Q255" t="n">
        <v>0</v>
      </c>
      <c r="R255" s="2" t="inlineStr"/>
    </row>
    <row r="256" ht="15" customHeight="1">
      <c r="A256" t="inlineStr">
        <is>
          <t>A 43038-2022</t>
        </is>
      </c>
      <c r="B256" s="1" t="n">
        <v>44833.60123842592</v>
      </c>
      <c r="C256" s="1" t="n">
        <v>45889</v>
      </c>
      <c r="D256" t="inlineStr">
        <is>
          <t>KALMAR LÄN</t>
        </is>
      </c>
      <c r="E256" t="inlineStr">
        <is>
          <t>VIMMERBY</t>
        </is>
      </c>
      <c r="G256" t="n">
        <v>4.2</v>
      </c>
      <c r="H256" t="n">
        <v>0</v>
      </c>
      <c r="I256" t="n">
        <v>0</v>
      </c>
      <c r="J256" t="n">
        <v>0</v>
      </c>
      <c r="K256" t="n">
        <v>0</v>
      </c>
      <c r="L256" t="n">
        <v>0</v>
      </c>
      <c r="M256" t="n">
        <v>0</v>
      </c>
      <c r="N256" t="n">
        <v>0</v>
      </c>
      <c r="O256" t="n">
        <v>0</v>
      </c>
      <c r="P256" t="n">
        <v>0</v>
      </c>
      <c r="Q256" t="n">
        <v>0</v>
      </c>
      <c r="R256" s="2" t="inlineStr"/>
    </row>
    <row r="257" ht="15" customHeight="1">
      <c r="A257" t="inlineStr">
        <is>
          <t>A 5925-2022</t>
        </is>
      </c>
      <c r="B257" s="1" t="n">
        <v>44598.7384837963</v>
      </c>
      <c r="C257" s="1" t="n">
        <v>45889</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845-2023</t>
        </is>
      </c>
      <c r="B258" s="1" t="n">
        <v>44931</v>
      </c>
      <c r="C258" s="1" t="n">
        <v>45889</v>
      </c>
      <c r="D258" t="inlineStr">
        <is>
          <t>KALMAR LÄN</t>
        </is>
      </c>
      <c r="E258" t="inlineStr">
        <is>
          <t>VIMMERBY</t>
        </is>
      </c>
      <c r="F258" t="inlineStr">
        <is>
          <t>Övriga Aktiebolag</t>
        </is>
      </c>
      <c r="G258" t="n">
        <v>19</v>
      </c>
      <c r="H258" t="n">
        <v>0</v>
      </c>
      <c r="I258" t="n">
        <v>0</v>
      </c>
      <c r="J258" t="n">
        <v>0</v>
      </c>
      <c r="K258" t="n">
        <v>0</v>
      </c>
      <c r="L258" t="n">
        <v>0</v>
      </c>
      <c r="M258" t="n">
        <v>0</v>
      </c>
      <c r="N258" t="n">
        <v>0</v>
      </c>
      <c r="O258" t="n">
        <v>0</v>
      </c>
      <c r="P258" t="n">
        <v>0</v>
      </c>
      <c r="Q258" t="n">
        <v>0</v>
      </c>
      <c r="R258" s="2" t="inlineStr"/>
    </row>
    <row r="259" ht="15" customHeight="1">
      <c r="A259" t="inlineStr">
        <is>
          <t>A 5792-2023</t>
        </is>
      </c>
      <c r="B259" s="1" t="n">
        <v>44963.44769675926</v>
      </c>
      <c r="C259" s="1" t="n">
        <v>45889</v>
      </c>
      <c r="D259" t="inlineStr">
        <is>
          <t>KALMAR LÄN</t>
        </is>
      </c>
      <c r="E259" t="inlineStr">
        <is>
          <t>VIMMERBY</t>
        </is>
      </c>
      <c r="G259" t="n">
        <v>0.5</v>
      </c>
      <c r="H259" t="n">
        <v>0</v>
      </c>
      <c r="I259" t="n">
        <v>0</v>
      </c>
      <c r="J259" t="n">
        <v>0</v>
      </c>
      <c r="K259" t="n">
        <v>0</v>
      </c>
      <c r="L259" t="n">
        <v>0</v>
      </c>
      <c r="M259" t="n">
        <v>0</v>
      </c>
      <c r="N259" t="n">
        <v>0</v>
      </c>
      <c r="O259" t="n">
        <v>0</v>
      </c>
      <c r="P259" t="n">
        <v>0</v>
      </c>
      <c r="Q259" t="n">
        <v>0</v>
      </c>
      <c r="R259" s="2" t="inlineStr"/>
    </row>
    <row r="260" ht="15" customHeight="1">
      <c r="A260" t="inlineStr">
        <is>
          <t>A 50087-2023</t>
        </is>
      </c>
      <c r="B260" s="1" t="n">
        <v>45215.59743055556</v>
      </c>
      <c r="C260" s="1" t="n">
        <v>45889</v>
      </c>
      <c r="D260" t="inlineStr">
        <is>
          <t>KALMAR LÄN</t>
        </is>
      </c>
      <c r="E260" t="inlineStr">
        <is>
          <t>VIMMERBY</t>
        </is>
      </c>
      <c r="G260" t="n">
        <v>0.9</v>
      </c>
      <c r="H260" t="n">
        <v>0</v>
      </c>
      <c r="I260" t="n">
        <v>0</v>
      </c>
      <c r="J260" t="n">
        <v>0</v>
      </c>
      <c r="K260" t="n">
        <v>0</v>
      </c>
      <c r="L260" t="n">
        <v>0</v>
      </c>
      <c r="M260" t="n">
        <v>0</v>
      </c>
      <c r="N260" t="n">
        <v>0</v>
      </c>
      <c r="O260" t="n">
        <v>0</v>
      </c>
      <c r="P260" t="n">
        <v>0</v>
      </c>
      <c r="Q260" t="n">
        <v>0</v>
      </c>
      <c r="R260" s="2" t="inlineStr"/>
    </row>
    <row r="261" ht="15" customHeight="1">
      <c r="A261" t="inlineStr">
        <is>
          <t>A 39042-2022</t>
        </is>
      </c>
      <c r="B261" s="1" t="n">
        <v>44817</v>
      </c>
      <c r="C261" s="1" t="n">
        <v>45889</v>
      </c>
      <c r="D261" t="inlineStr">
        <is>
          <t>KALMAR LÄN</t>
        </is>
      </c>
      <c r="E261" t="inlineStr">
        <is>
          <t>VIMMERBY</t>
        </is>
      </c>
      <c r="G261" t="n">
        <v>0.5</v>
      </c>
      <c r="H261" t="n">
        <v>0</v>
      </c>
      <c r="I261" t="n">
        <v>0</v>
      </c>
      <c r="J261" t="n">
        <v>0</v>
      </c>
      <c r="K261" t="n">
        <v>0</v>
      </c>
      <c r="L261" t="n">
        <v>0</v>
      </c>
      <c r="M261" t="n">
        <v>0</v>
      </c>
      <c r="N261" t="n">
        <v>0</v>
      </c>
      <c r="O261" t="n">
        <v>0</v>
      </c>
      <c r="P261" t="n">
        <v>0</v>
      </c>
      <c r="Q261" t="n">
        <v>0</v>
      </c>
      <c r="R261" s="2" t="inlineStr"/>
    </row>
    <row r="262" ht="15" customHeight="1">
      <c r="A262" t="inlineStr">
        <is>
          <t>A 2797-2023</t>
        </is>
      </c>
      <c r="B262" s="1" t="n">
        <v>44944.71386574074</v>
      </c>
      <c r="C262" s="1" t="n">
        <v>45889</v>
      </c>
      <c r="D262" t="inlineStr">
        <is>
          <t>KALMAR LÄN</t>
        </is>
      </c>
      <c r="E262" t="inlineStr">
        <is>
          <t>VIMMERBY</t>
        </is>
      </c>
      <c r="G262" t="n">
        <v>3.4</v>
      </c>
      <c r="H262" t="n">
        <v>0</v>
      </c>
      <c r="I262" t="n">
        <v>0</v>
      </c>
      <c r="J262" t="n">
        <v>0</v>
      </c>
      <c r="K262" t="n">
        <v>0</v>
      </c>
      <c r="L262" t="n">
        <v>0</v>
      </c>
      <c r="M262" t="n">
        <v>0</v>
      </c>
      <c r="N262" t="n">
        <v>0</v>
      </c>
      <c r="O262" t="n">
        <v>0</v>
      </c>
      <c r="P262" t="n">
        <v>0</v>
      </c>
      <c r="Q262" t="n">
        <v>0</v>
      </c>
      <c r="R262" s="2" t="inlineStr"/>
    </row>
    <row r="263" ht="15" customHeight="1">
      <c r="A263" t="inlineStr">
        <is>
          <t>A 2799-2023</t>
        </is>
      </c>
      <c r="B263" s="1" t="n">
        <v>44944.72100694444</v>
      </c>
      <c r="C263" s="1" t="n">
        <v>45889</v>
      </c>
      <c r="D263" t="inlineStr">
        <is>
          <t>KALMAR LÄN</t>
        </is>
      </c>
      <c r="E263" t="inlineStr">
        <is>
          <t>VIMMERBY</t>
        </is>
      </c>
      <c r="G263" t="n">
        <v>1.3</v>
      </c>
      <c r="H263" t="n">
        <v>0</v>
      </c>
      <c r="I263" t="n">
        <v>0</v>
      </c>
      <c r="J263" t="n">
        <v>0</v>
      </c>
      <c r="K263" t="n">
        <v>0</v>
      </c>
      <c r="L263" t="n">
        <v>0</v>
      </c>
      <c r="M263" t="n">
        <v>0</v>
      </c>
      <c r="N263" t="n">
        <v>0</v>
      </c>
      <c r="O263" t="n">
        <v>0</v>
      </c>
      <c r="P263" t="n">
        <v>0</v>
      </c>
      <c r="Q263" t="n">
        <v>0</v>
      </c>
      <c r="R263" s="2" t="inlineStr"/>
    </row>
    <row r="264" ht="15" customHeight="1">
      <c r="A264" t="inlineStr">
        <is>
          <t>A 6220-2025</t>
        </is>
      </c>
      <c r="B264" s="1" t="n">
        <v>45698.53725694444</v>
      </c>
      <c r="C264" s="1" t="n">
        <v>45889</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33681-2022</t>
        </is>
      </c>
      <c r="B265" s="1" t="n">
        <v>44789</v>
      </c>
      <c r="C265" s="1" t="n">
        <v>45889</v>
      </c>
      <c r="D265" t="inlineStr">
        <is>
          <t>KALMAR LÄN</t>
        </is>
      </c>
      <c r="E265" t="inlineStr">
        <is>
          <t>VIMMERBY</t>
        </is>
      </c>
      <c r="G265" t="n">
        <v>3.2</v>
      </c>
      <c r="H265" t="n">
        <v>0</v>
      </c>
      <c r="I265" t="n">
        <v>0</v>
      </c>
      <c r="J265" t="n">
        <v>0</v>
      </c>
      <c r="K265" t="n">
        <v>0</v>
      </c>
      <c r="L265" t="n">
        <v>0</v>
      </c>
      <c r="M265" t="n">
        <v>0</v>
      </c>
      <c r="N265" t="n">
        <v>0</v>
      </c>
      <c r="O265" t="n">
        <v>0</v>
      </c>
      <c r="P265" t="n">
        <v>0</v>
      </c>
      <c r="Q265" t="n">
        <v>0</v>
      </c>
      <c r="R265" s="2" t="inlineStr"/>
    </row>
    <row r="266" ht="15" customHeight="1">
      <c r="A266" t="inlineStr">
        <is>
          <t>A 16119-2023</t>
        </is>
      </c>
      <c r="B266" s="1" t="n">
        <v>45027.59450231482</v>
      </c>
      <c r="C266" s="1" t="n">
        <v>45889</v>
      </c>
      <c r="D266" t="inlineStr">
        <is>
          <t>KALMAR LÄN</t>
        </is>
      </c>
      <c r="E266" t="inlineStr">
        <is>
          <t>VIMMERBY</t>
        </is>
      </c>
      <c r="F266" t="inlineStr">
        <is>
          <t>Kommuner</t>
        </is>
      </c>
      <c r="G266" t="n">
        <v>4.4</v>
      </c>
      <c r="H266" t="n">
        <v>0</v>
      </c>
      <c r="I266" t="n">
        <v>0</v>
      </c>
      <c r="J266" t="n">
        <v>0</v>
      </c>
      <c r="K266" t="n">
        <v>0</v>
      </c>
      <c r="L266" t="n">
        <v>0</v>
      </c>
      <c r="M266" t="n">
        <v>0</v>
      </c>
      <c r="N266" t="n">
        <v>0</v>
      </c>
      <c r="O266" t="n">
        <v>0</v>
      </c>
      <c r="P266" t="n">
        <v>0</v>
      </c>
      <c r="Q266" t="n">
        <v>0</v>
      </c>
      <c r="R266" s="2" t="inlineStr"/>
    </row>
    <row r="267" ht="15" customHeight="1">
      <c r="A267" t="inlineStr">
        <is>
          <t>A 30588-2023</t>
        </is>
      </c>
      <c r="B267" s="1" t="n">
        <v>45112.33599537037</v>
      </c>
      <c r="C267" s="1" t="n">
        <v>45889</v>
      </c>
      <c r="D267" t="inlineStr">
        <is>
          <t>KALMAR LÄN</t>
        </is>
      </c>
      <c r="E267" t="inlineStr">
        <is>
          <t>VIMMERBY</t>
        </is>
      </c>
      <c r="G267" t="n">
        <v>2.7</v>
      </c>
      <c r="H267" t="n">
        <v>0</v>
      </c>
      <c r="I267" t="n">
        <v>0</v>
      </c>
      <c r="J267" t="n">
        <v>0</v>
      </c>
      <c r="K267" t="n">
        <v>0</v>
      </c>
      <c r="L267" t="n">
        <v>0</v>
      </c>
      <c r="M267" t="n">
        <v>0</v>
      </c>
      <c r="N267" t="n">
        <v>0</v>
      </c>
      <c r="O267" t="n">
        <v>0</v>
      </c>
      <c r="P267" t="n">
        <v>0</v>
      </c>
      <c r="Q267" t="n">
        <v>0</v>
      </c>
      <c r="R267" s="2" t="inlineStr"/>
    </row>
    <row r="268" ht="15" customHeight="1">
      <c r="A268" t="inlineStr">
        <is>
          <t>A 58278-2023</t>
        </is>
      </c>
      <c r="B268" s="1" t="n">
        <v>45250.5278587963</v>
      </c>
      <c r="C268" s="1" t="n">
        <v>45889</v>
      </c>
      <c r="D268" t="inlineStr">
        <is>
          <t>KALMAR LÄN</t>
        </is>
      </c>
      <c r="E268" t="inlineStr">
        <is>
          <t>VIMMERBY</t>
        </is>
      </c>
      <c r="G268" t="n">
        <v>1.8</v>
      </c>
      <c r="H268" t="n">
        <v>0</v>
      </c>
      <c r="I268" t="n">
        <v>0</v>
      </c>
      <c r="J268" t="n">
        <v>0</v>
      </c>
      <c r="K268" t="n">
        <v>0</v>
      </c>
      <c r="L268" t="n">
        <v>0</v>
      </c>
      <c r="M268" t="n">
        <v>0</v>
      </c>
      <c r="N268" t="n">
        <v>0</v>
      </c>
      <c r="O268" t="n">
        <v>0</v>
      </c>
      <c r="P268" t="n">
        <v>0</v>
      </c>
      <c r="Q268" t="n">
        <v>0</v>
      </c>
      <c r="R268" s="2" t="inlineStr"/>
    </row>
    <row r="269" ht="15" customHeight="1">
      <c r="A269" t="inlineStr">
        <is>
          <t>A 36259-2022</t>
        </is>
      </c>
      <c r="B269" s="1" t="n">
        <v>44803.59118055556</v>
      </c>
      <c r="C269" s="1" t="n">
        <v>45889</v>
      </c>
      <c r="D269" t="inlineStr">
        <is>
          <t>KALMAR LÄN</t>
        </is>
      </c>
      <c r="E269" t="inlineStr">
        <is>
          <t>VIMMERBY</t>
        </is>
      </c>
      <c r="G269" t="n">
        <v>3.9</v>
      </c>
      <c r="H269" t="n">
        <v>0</v>
      </c>
      <c r="I269" t="n">
        <v>0</v>
      </c>
      <c r="J269" t="n">
        <v>0</v>
      </c>
      <c r="K269" t="n">
        <v>0</v>
      </c>
      <c r="L269" t="n">
        <v>0</v>
      </c>
      <c r="M269" t="n">
        <v>0</v>
      </c>
      <c r="N269" t="n">
        <v>0</v>
      </c>
      <c r="O269" t="n">
        <v>0</v>
      </c>
      <c r="P269" t="n">
        <v>0</v>
      </c>
      <c r="Q269" t="n">
        <v>0</v>
      </c>
      <c r="R269" s="2" t="inlineStr"/>
    </row>
    <row r="270" ht="15" customHeight="1">
      <c r="A270" t="inlineStr">
        <is>
          <t>A 50764-2020</t>
        </is>
      </c>
      <c r="B270" s="1" t="n">
        <v>44111</v>
      </c>
      <c r="C270" s="1" t="n">
        <v>45889</v>
      </c>
      <c r="D270" t="inlineStr">
        <is>
          <t>KALMAR LÄN</t>
        </is>
      </c>
      <c r="E270" t="inlineStr">
        <is>
          <t>VIMMERBY</t>
        </is>
      </c>
      <c r="G270" t="n">
        <v>2.3</v>
      </c>
      <c r="H270" t="n">
        <v>0</v>
      </c>
      <c r="I270" t="n">
        <v>0</v>
      </c>
      <c r="J270" t="n">
        <v>0</v>
      </c>
      <c r="K270" t="n">
        <v>0</v>
      </c>
      <c r="L270" t="n">
        <v>0</v>
      </c>
      <c r="M270" t="n">
        <v>0</v>
      </c>
      <c r="N270" t="n">
        <v>0</v>
      </c>
      <c r="O270" t="n">
        <v>0</v>
      </c>
      <c r="P270" t="n">
        <v>0</v>
      </c>
      <c r="Q270" t="n">
        <v>0</v>
      </c>
      <c r="R270" s="2" t="inlineStr"/>
    </row>
    <row r="271" ht="15" customHeight="1">
      <c r="A271" t="inlineStr">
        <is>
          <t>A 45528-2021</t>
        </is>
      </c>
      <c r="B271" s="1" t="n">
        <v>44440.60415509259</v>
      </c>
      <c r="C271" s="1" t="n">
        <v>45889</v>
      </c>
      <c r="D271" t="inlineStr">
        <is>
          <t>KALMAR LÄN</t>
        </is>
      </c>
      <c r="E271" t="inlineStr">
        <is>
          <t>VIMMERBY</t>
        </is>
      </c>
      <c r="G271" t="n">
        <v>2.2</v>
      </c>
      <c r="H271" t="n">
        <v>0</v>
      </c>
      <c r="I271" t="n">
        <v>0</v>
      </c>
      <c r="J271" t="n">
        <v>0</v>
      </c>
      <c r="K271" t="n">
        <v>0</v>
      </c>
      <c r="L271" t="n">
        <v>0</v>
      </c>
      <c r="M271" t="n">
        <v>0</v>
      </c>
      <c r="N271" t="n">
        <v>0</v>
      </c>
      <c r="O271" t="n">
        <v>0</v>
      </c>
      <c r="P271" t="n">
        <v>0</v>
      </c>
      <c r="Q271" t="n">
        <v>0</v>
      </c>
      <c r="R271" s="2" t="inlineStr"/>
    </row>
    <row r="272" ht="15" customHeight="1">
      <c r="A272" t="inlineStr">
        <is>
          <t>A 36526-2023</t>
        </is>
      </c>
      <c r="B272" s="1" t="n">
        <v>45153.32778935185</v>
      </c>
      <c r="C272" s="1" t="n">
        <v>45889</v>
      </c>
      <c r="D272" t="inlineStr">
        <is>
          <t>KALMAR LÄN</t>
        </is>
      </c>
      <c r="E272" t="inlineStr">
        <is>
          <t>VIMMERBY</t>
        </is>
      </c>
      <c r="G272" t="n">
        <v>2.7</v>
      </c>
      <c r="H272" t="n">
        <v>0</v>
      </c>
      <c r="I272" t="n">
        <v>0</v>
      </c>
      <c r="J272" t="n">
        <v>0</v>
      </c>
      <c r="K272" t="n">
        <v>0</v>
      </c>
      <c r="L272" t="n">
        <v>0</v>
      </c>
      <c r="M272" t="n">
        <v>0</v>
      </c>
      <c r="N272" t="n">
        <v>0</v>
      </c>
      <c r="O272" t="n">
        <v>0</v>
      </c>
      <c r="P272" t="n">
        <v>0</v>
      </c>
      <c r="Q272" t="n">
        <v>0</v>
      </c>
      <c r="R272" s="2" t="inlineStr"/>
    </row>
    <row r="273" ht="15" customHeight="1">
      <c r="A273" t="inlineStr">
        <is>
          <t>A 17988-2025</t>
        </is>
      </c>
      <c r="B273" s="1" t="n">
        <v>45761.39600694444</v>
      </c>
      <c r="C273" s="1" t="n">
        <v>45889</v>
      </c>
      <c r="D273" t="inlineStr">
        <is>
          <t>KALMAR LÄN</t>
        </is>
      </c>
      <c r="E273" t="inlineStr">
        <is>
          <t>VIMMERBY</t>
        </is>
      </c>
      <c r="G273" t="n">
        <v>2.8</v>
      </c>
      <c r="H273" t="n">
        <v>0</v>
      </c>
      <c r="I273" t="n">
        <v>0</v>
      </c>
      <c r="J273" t="n">
        <v>0</v>
      </c>
      <c r="K273" t="n">
        <v>0</v>
      </c>
      <c r="L273" t="n">
        <v>0</v>
      </c>
      <c r="M273" t="n">
        <v>0</v>
      </c>
      <c r="N273" t="n">
        <v>0</v>
      </c>
      <c r="O273" t="n">
        <v>0</v>
      </c>
      <c r="P273" t="n">
        <v>0</v>
      </c>
      <c r="Q273" t="n">
        <v>0</v>
      </c>
      <c r="R273" s="2" t="inlineStr"/>
    </row>
    <row r="274" ht="15" customHeight="1">
      <c r="A274" t="inlineStr">
        <is>
          <t>A 16825-2024</t>
        </is>
      </c>
      <c r="B274" s="1" t="n">
        <v>45411.47335648148</v>
      </c>
      <c r="C274" s="1" t="n">
        <v>45889</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12033-2024</t>
        </is>
      </c>
      <c r="B275" s="1" t="n">
        <v>45377.40043981482</v>
      </c>
      <c r="C275" s="1" t="n">
        <v>45889</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16516-2023</t>
        </is>
      </c>
      <c r="B276" s="1" t="n">
        <v>45029</v>
      </c>
      <c r="C276" s="1" t="n">
        <v>45889</v>
      </c>
      <c r="D276" t="inlineStr">
        <is>
          <t>KALMAR LÄN</t>
        </is>
      </c>
      <c r="E276" t="inlineStr">
        <is>
          <t>VIMMERBY</t>
        </is>
      </c>
      <c r="G276" t="n">
        <v>4.3</v>
      </c>
      <c r="H276" t="n">
        <v>0</v>
      </c>
      <c r="I276" t="n">
        <v>0</v>
      </c>
      <c r="J276" t="n">
        <v>0</v>
      </c>
      <c r="K276" t="n">
        <v>0</v>
      </c>
      <c r="L276" t="n">
        <v>0</v>
      </c>
      <c r="M276" t="n">
        <v>0</v>
      </c>
      <c r="N276" t="n">
        <v>0</v>
      </c>
      <c r="O276" t="n">
        <v>0</v>
      </c>
      <c r="P276" t="n">
        <v>0</v>
      </c>
      <c r="Q276" t="n">
        <v>0</v>
      </c>
      <c r="R276" s="2" t="inlineStr"/>
    </row>
    <row r="277" ht="15" customHeight="1">
      <c r="A277" t="inlineStr">
        <is>
          <t>A 6214-2025</t>
        </is>
      </c>
      <c r="B277" s="1" t="n">
        <v>45698.51711805556</v>
      </c>
      <c r="C277" s="1" t="n">
        <v>45889</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2510-2023</t>
        </is>
      </c>
      <c r="B278" s="1" t="n">
        <v>44943.57309027778</v>
      </c>
      <c r="C278" s="1" t="n">
        <v>45889</v>
      </c>
      <c r="D278" t="inlineStr">
        <is>
          <t>KALMAR LÄN</t>
        </is>
      </c>
      <c r="E278" t="inlineStr">
        <is>
          <t>VIMMERBY</t>
        </is>
      </c>
      <c r="G278" t="n">
        <v>8.6</v>
      </c>
      <c r="H278" t="n">
        <v>0</v>
      </c>
      <c r="I278" t="n">
        <v>0</v>
      </c>
      <c r="J278" t="n">
        <v>0</v>
      </c>
      <c r="K278" t="n">
        <v>0</v>
      </c>
      <c r="L278" t="n">
        <v>0</v>
      </c>
      <c r="M278" t="n">
        <v>0</v>
      </c>
      <c r="N278" t="n">
        <v>0</v>
      </c>
      <c r="O278" t="n">
        <v>0</v>
      </c>
      <c r="P278" t="n">
        <v>0</v>
      </c>
      <c r="Q278" t="n">
        <v>0</v>
      </c>
      <c r="R278" s="2" t="inlineStr"/>
    </row>
    <row r="279" ht="15" customHeight="1">
      <c r="A279" t="inlineStr">
        <is>
          <t>A 49408-2023</t>
        </is>
      </c>
      <c r="B279" s="1" t="n">
        <v>45211.43555555555</v>
      </c>
      <c r="C279" s="1" t="n">
        <v>45889</v>
      </c>
      <c r="D279" t="inlineStr">
        <is>
          <t>KALMAR LÄN</t>
        </is>
      </c>
      <c r="E279" t="inlineStr">
        <is>
          <t>VIMMERBY</t>
        </is>
      </c>
      <c r="G279" t="n">
        <v>13.1</v>
      </c>
      <c r="H279" t="n">
        <v>0</v>
      </c>
      <c r="I279" t="n">
        <v>0</v>
      </c>
      <c r="J279" t="n">
        <v>0</v>
      </c>
      <c r="K279" t="n">
        <v>0</v>
      </c>
      <c r="L279" t="n">
        <v>0</v>
      </c>
      <c r="M279" t="n">
        <v>0</v>
      </c>
      <c r="N279" t="n">
        <v>0</v>
      </c>
      <c r="O279" t="n">
        <v>0</v>
      </c>
      <c r="P279" t="n">
        <v>0</v>
      </c>
      <c r="Q279" t="n">
        <v>0</v>
      </c>
      <c r="R279" s="2" t="inlineStr"/>
    </row>
    <row r="280" ht="15" customHeight="1">
      <c r="A280" t="inlineStr">
        <is>
          <t>A 27443-2023</t>
        </is>
      </c>
      <c r="B280" s="1" t="n">
        <v>45097.40524305555</v>
      </c>
      <c r="C280" s="1" t="n">
        <v>45889</v>
      </c>
      <c r="D280" t="inlineStr">
        <is>
          <t>KALMAR LÄN</t>
        </is>
      </c>
      <c r="E280" t="inlineStr">
        <is>
          <t>VIMMERBY</t>
        </is>
      </c>
      <c r="F280" t="inlineStr">
        <is>
          <t>Övriga Aktiebolag</t>
        </is>
      </c>
      <c r="G280" t="n">
        <v>2.3</v>
      </c>
      <c r="H280" t="n">
        <v>0</v>
      </c>
      <c r="I280" t="n">
        <v>0</v>
      </c>
      <c r="J280" t="n">
        <v>0</v>
      </c>
      <c r="K280" t="n">
        <v>0</v>
      </c>
      <c r="L280" t="n">
        <v>0</v>
      </c>
      <c r="M280" t="n">
        <v>0</v>
      </c>
      <c r="N280" t="n">
        <v>0</v>
      </c>
      <c r="O280" t="n">
        <v>0</v>
      </c>
      <c r="P280" t="n">
        <v>0</v>
      </c>
      <c r="Q280" t="n">
        <v>0</v>
      </c>
      <c r="R280" s="2" t="inlineStr"/>
    </row>
    <row r="281" ht="15" customHeight="1">
      <c r="A281" t="inlineStr">
        <is>
          <t>A 28395-2023</t>
        </is>
      </c>
      <c r="B281" s="1" t="n">
        <v>45100.4062962963</v>
      </c>
      <c r="C281" s="1" t="n">
        <v>45889</v>
      </c>
      <c r="D281" t="inlineStr">
        <is>
          <t>KALMAR LÄN</t>
        </is>
      </c>
      <c r="E281" t="inlineStr">
        <is>
          <t>VIMMERBY</t>
        </is>
      </c>
      <c r="G281" t="n">
        <v>1.4</v>
      </c>
      <c r="H281" t="n">
        <v>0</v>
      </c>
      <c r="I281" t="n">
        <v>0</v>
      </c>
      <c r="J281" t="n">
        <v>0</v>
      </c>
      <c r="K281" t="n">
        <v>0</v>
      </c>
      <c r="L281" t="n">
        <v>0</v>
      </c>
      <c r="M281" t="n">
        <v>0</v>
      </c>
      <c r="N281" t="n">
        <v>0</v>
      </c>
      <c r="O281" t="n">
        <v>0</v>
      </c>
      <c r="P281" t="n">
        <v>0</v>
      </c>
      <c r="Q281" t="n">
        <v>0</v>
      </c>
      <c r="R281" s="2" t="inlineStr"/>
    </row>
    <row r="282" ht="15" customHeight="1">
      <c r="A282" t="inlineStr">
        <is>
          <t>A 29350-2023</t>
        </is>
      </c>
      <c r="B282" s="1" t="n">
        <v>45106</v>
      </c>
      <c r="C282" s="1" t="n">
        <v>45889</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29351-2023</t>
        </is>
      </c>
      <c r="B283" s="1" t="n">
        <v>45106.2610300926</v>
      </c>
      <c r="C283" s="1" t="n">
        <v>45889</v>
      </c>
      <c r="D283" t="inlineStr">
        <is>
          <t>KALMAR LÄN</t>
        </is>
      </c>
      <c r="E283" t="inlineStr">
        <is>
          <t>VIMMERBY</t>
        </is>
      </c>
      <c r="G283" t="n">
        <v>0.4</v>
      </c>
      <c r="H283" t="n">
        <v>0</v>
      </c>
      <c r="I283" t="n">
        <v>0</v>
      </c>
      <c r="J283" t="n">
        <v>0</v>
      </c>
      <c r="K283" t="n">
        <v>0</v>
      </c>
      <c r="L283" t="n">
        <v>0</v>
      </c>
      <c r="M283" t="n">
        <v>0</v>
      </c>
      <c r="N283" t="n">
        <v>0</v>
      </c>
      <c r="O283" t="n">
        <v>0</v>
      </c>
      <c r="P283" t="n">
        <v>0</v>
      </c>
      <c r="Q283" t="n">
        <v>0</v>
      </c>
      <c r="R283" s="2" t="inlineStr"/>
    </row>
    <row r="284" ht="15" customHeight="1">
      <c r="A284" t="inlineStr">
        <is>
          <t>A 6474-2025</t>
        </is>
      </c>
      <c r="B284" s="1" t="n">
        <v>45699.60055555555</v>
      </c>
      <c r="C284" s="1" t="n">
        <v>45889</v>
      </c>
      <c r="D284" t="inlineStr">
        <is>
          <t>KALMAR LÄN</t>
        </is>
      </c>
      <c r="E284" t="inlineStr">
        <is>
          <t>VIMMERBY</t>
        </is>
      </c>
      <c r="G284" t="n">
        <v>1.6</v>
      </c>
      <c r="H284" t="n">
        <v>0</v>
      </c>
      <c r="I284" t="n">
        <v>0</v>
      </c>
      <c r="J284" t="n">
        <v>0</v>
      </c>
      <c r="K284" t="n">
        <v>0</v>
      </c>
      <c r="L284" t="n">
        <v>0</v>
      </c>
      <c r="M284" t="n">
        <v>0</v>
      </c>
      <c r="N284" t="n">
        <v>0</v>
      </c>
      <c r="O284" t="n">
        <v>0</v>
      </c>
      <c r="P284" t="n">
        <v>0</v>
      </c>
      <c r="Q284" t="n">
        <v>0</v>
      </c>
      <c r="R284" s="2" t="inlineStr"/>
    </row>
    <row r="285" ht="15" customHeight="1">
      <c r="A285" t="inlineStr">
        <is>
          <t>A 18501-2024</t>
        </is>
      </c>
      <c r="B285" s="1" t="n">
        <v>45425.57538194444</v>
      </c>
      <c r="C285" s="1" t="n">
        <v>45889</v>
      </c>
      <c r="D285" t="inlineStr">
        <is>
          <t>KALMAR LÄN</t>
        </is>
      </c>
      <c r="E285" t="inlineStr">
        <is>
          <t>VIMMERBY</t>
        </is>
      </c>
      <c r="G285" t="n">
        <v>2</v>
      </c>
      <c r="H285" t="n">
        <v>0</v>
      </c>
      <c r="I285" t="n">
        <v>0</v>
      </c>
      <c r="J285" t="n">
        <v>0</v>
      </c>
      <c r="K285" t="n">
        <v>0</v>
      </c>
      <c r="L285" t="n">
        <v>0</v>
      </c>
      <c r="M285" t="n">
        <v>0</v>
      </c>
      <c r="N285" t="n">
        <v>0</v>
      </c>
      <c r="O285" t="n">
        <v>0</v>
      </c>
      <c r="P285" t="n">
        <v>0</v>
      </c>
      <c r="Q285" t="n">
        <v>0</v>
      </c>
      <c r="R285" s="2" t="inlineStr"/>
    </row>
    <row r="286" ht="15" customHeight="1">
      <c r="A286" t="inlineStr">
        <is>
          <t>A 48373-2021</t>
        </is>
      </c>
      <c r="B286" s="1" t="n">
        <v>44451</v>
      </c>
      <c r="C286" s="1" t="n">
        <v>45889</v>
      </c>
      <c r="D286" t="inlineStr">
        <is>
          <t>KALMAR LÄN</t>
        </is>
      </c>
      <c r="E286" t="inlineStr">
        <is>
          <t>VIMMERBY</t>
        </is>
      </c>
      <c r="G286" t="n">
        <v>2.2</v>
      </c>
      <c r="H286" t="n">
        <v>0</v>
      </c>
      <c r="I286" t="n">
        <v>0</v>
      </c>
      <c r="J286" t="n">
        <v>0</v>
      </c>
      <c r="K286" t="n">
        <v>0</v>
      </c>
      <c r="L286" t="n">
        <v>0</v>
      </c>
      <c r="M286" t="n">
        <v>0</v>
      </c>
      <c r="N286" t="n">
        <v>0</v>
      </c>
      <c r="O286" t="n">
        <v>0</v>
      </c>
      <c r="P286" t="n">
        <v>0</v>
      </c>
      <c r="Q286" t="n">
        <v>0</v>
      </c>
      <c r="R286" s="2" t="inlineStr"/>
    </row>
    <row r="287" ht="15" customHeight="1">
      <c r="A287" t="inlineStr">
        <is>
          <t>A 25799-2023</t>
        </is>
      </c>
      <c r="B287" s="1" t="n">
        <v>45090</v>
      </c>
      <c r="C287" s="1" t="n">
        <v>45889</v>
      </c>
      <c r="D287" t="inlineStr">
        <is>
          <t>KALMAR LÄN</t>
        </is>
      </c>
      <c r="E287" t="inlineStr">
        <is>
          <t>VIMMERBY</t>
        </is>
      </c>
      <c r="G287" t="n">
        <v>7.7</v>
      </c>
      <c r="H287" t="n">
        <v>0</v>
      </c>
      <c r="I287" t="n">
        <v>0</v>
      </c>
      <c r="J287" t="n">
        <v>0</v>
      </c>
      <c r="K287" t="n">
        <v>0</v>
      </c>
      <c r="L287" t="n">
        <v>0</v>
      </c>
      <c r="M287" t="n">
        <v>0</v>
      </c>
      <c r="N287" t="n">
        <v>0</v>
      </c>
      <c r="O287" t="n">
        <v>0</v>
      </c>
      <c r="P287" t="n">
        <v>0</v>
      </c>
      <c r="Q287" t="n">
        <v>0</v>
      </c>
      <c r="R287" s="2" t="inlineStr"/>
    </row>
    <row r="288" ht="15" customHeight="1">
      <c r="A288" t="inlineStr">
        <is>
          <t>A 7485-2024</t>
        </is>
      </c>
      <c r="B288" s="1" t="n">
        <v>45346.67184027778</v>
      </c>
      <c r="C288" s="1" t="n">
        <v>45889</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17-2025</t>
        </is>
      </c>
      <c r="B289" s="1" t="n">
        <v>45658.78774305555</v>
      </c>
      <c r="C289" s="1" t="n">
        <v>45889</v>
      </c>
      <c r="D289" t="inlineStr">
        <is>
          <t>KALMAR LÄN</t>
        </is>
      </c>
      <c r="E289" t="inlineStr">
        <is>
          <t>VIMMERBY</t>
        </is>
      </c>
      <c r="G289" t="n">
        <v>4.4</v>
      </c>
      <c r="H289" t="n">
        <v>0</v>
      </c>
      <c r="I289" t="n">
        <v>0</v>
      </c>
      <c r="J289" t="n">
        <v>0</v>
      </c>
      <c r="K289" t="n">
        <v>0</v>
      </c>
      <c r="L289" t="n">
        <v>0</v>
      </c>
      <c r="M289" t="n">
        <v>0</v>
      </c>
      <c r="N289" t="n">
        <v>0</v>
      </c>
      <c r="O289" t="n">
        <v>0</v>
      </c>
      <c r="P289" t="n">
        <v>0</v>
      </c>
      <c r="Q289" t="n">
        <v>0</v>
      </c>
      <c r="R289" s="2" t="inlineStr"/>
    </row>
    <row r="290" ht="15" customHeight="1">
      <c r="A290" t="inlineStr">
        <is>
          <t>A 16015-2025</t>
        </is>
      </c>
      <c r="B290" s="1" t="n">
        <v>45749.60487268519</v>
      </c>
      <c r="C290" s="1" t="n">
        <v>45889</v>
      </c>
      <c r="D290" t="inlineStr">
        <is>
          <t>KALMAR LÄN</t>
        </is>
      </c>
      <c r="E290" t="inlineStr">
        <is>
          <t>VIMMERBY</t>
        </is>
      </c>
      <c r="F290" t="inlineStr">
        <is>
          <t>Kyrkan</t>
        </is>
      </c>
      <c r="G290" t="n">
        <v>2.7</v>
      </c>
      <c r="H290" t="n">
        <v>0</v>
      </c>
      <c r="I290" t="n">
        <v>0</v>
      </c>
      <c r="J290" t="n">
        <v>0</v>
      </c>
      <c r="K290" t="n">
        <v>0</v>
      </c>
      <c r="L290" t="n">
        <v>0</v>
      </c>
      <c r="M290" t="n">
        <v>0</v>
      </c>
      <c r="N290" t="n">
        <v>0</v>
      </c>
      <c r="O290" t="n">
        <v>0</v>
      </c>
      <c r="P290" t="n">
        <v>0</v>
      </c>
      <c r="Q290" t="n">
        <v>0</v>
      </c>
      <c r="R290" s="2" t="inlineStr"/>
    </row>
    <row r="291" ht="15" customHeight="1">
      <c r="A291" t="inlineStr">
        <is>
          <t>A 57256-2023</t>
        </is>
      </c>
      <c r="B291" s="1" t="n">
        <v>45245.5735300926</v>
      </c>
      <c r="C291" s="1" t="n">
        <v>45889</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57555-2024</t>
        </is>
      </c>
      <c r="B292" s="1" t="n">
        <v>45630.45069444444</v>
      </c>
      <c r="C292" s="1" t="n">
        <v>45889</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23088-2024</t>
        </is>
      </c>
      <c r="B293" s="1" t="n">
        <v>45450.51092592593</v>
      </c>
      <c r="C293" s="1" t="n">
        <v>45889</v>
      </c>
      <c r="D293" t="inlineStr">
        <is>
          <t>KALMAR LÄN</t>
        </is>
      </c>
      <c r="E293" t="inlineStr">
        <is>
          <t>VIMMERBY</t>
        </is>
      </c>
      <c r="G293" t="n">
        <v>1.9</v>
      </c>
      <c r="H293" t="n">
        <v>0</v>
      </c>
      <c r="I293" t="n">
        <v>0</v>
      </c>
      <c r="J293" t="n">
        <v>0</v>
      </c>
      <c r="K293" t="n">
        <v>0</v>
      </c>
      <c r="L293" t="n">
        <v>0</v>
      </c>
      <c r="M293" t="n">
        <v>0</v>
      </c>
      <c r="N293" t="n">
        <v>0</v>
      </c>
      <c r="O293" t="n">
        <v>0</v>
      </c>
      <c r="P293" t="n">
        <v>0</v>
      </c>
      <c r="Q293" t="n">
        <v>0</v>
      </c>
      <c r="R293" s="2" t="inlineStr"/>
    </row>
    <row r="294" ht="15" customHeight="1">
      <c r="A294" t="inlineStr">
        <is>
          <t>A 18411-2021</t>
        </is>
      </c>
      <c r="B294" s="1" t="n">
        <v>44302</v>
      </c>
      <c r="C294" s="1" t="n">
        <v>45889</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52279-2023</t>
        </is>
      </c>
      <c r="B295" s="1" t="n">
        <v>45224</v>
      </c>
      <c r="C295" s="1" t="n">
        <v>45889</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52324-2023</t>
        </is>
      </c>
      <c r="B296" s="1" t="n">
        <v>45224.64659722222</v>
      </c>
      <c r="C296" s="1" t="n">
        <v>45889</v>
      </c>
      <c r="D296" t="inlineStr">
        <is>
          <t>KALMAR LÄN</t>
        </is>
      </c>
      <c r="E296" t="inlineStr">
        <is>
          <t>VIMMERBY</t>
        </is>
      </c>
      <c r="F296" t="inlineStr">
        <is>
          <t>Sveaskog</t>
        </is>
      </c>
      <c r="G296" t="n">
        <v>2.9</v>
      </c>
      <c r="H296" t="n">
        <v>0</v>
      </c>
      <c r="I296" t="n">
        <v>0</v>
      </c>
      <c r="J296" t="n">
        <v>0</v>
      </c>
      <c r="K296" t="n">
        <v>0</v>
      </c>
      <c r="L296" t="n">
        <v>0</v>
      </c>
      <c r="M296" t="n">
        <v>0</v>
      </c>
      <c r="N296" t="n">
        <v>0</v>
      </c>
      <c r="O296" t="n">
        <v>0</v>
      </c>
      <c r="P296" t="n">
        <v>0</v>
      </c>
      <c r="Q296" t="n">
        <v>0</v>
      </c>
      <c r="R296" s="2" t="inlineStr"/>
    </row>
    <row r="297" ht="15" customHeight="1">
      <c r="A297" t="inlineStr">
        <is>
          <t>A 6574-2023</t>
        </is>
      </c>
      <c r="B297" s="1" t="n">
        <v>44966</v>
      </c>
      <c r="C297" s="1" t="n">
        <v>45889</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20054-2023</t>
        </is>
      </c>
      <c r="B298" s="1" t="n">
        <v>45054.6750462963</v>
      </c>
      <c r="C298" s="1" t="n">
        <v>45889</v>
      </c>
      <c r="D298" t="inlineStr">
        <is>
          <t>KALMAR LÄN</t>
        </is>
      </c>
      <c r="E298" t="inlineStr">
        <is>
          <t>VIMMERBY</t>
        </is>
      </c>
      <c r="G298" t="n">
        <v>2.4</v>
      </c>
      <c r="H298" t="n">
        <v>0</v>
      </c>
      <c r="I298" t="n">
        <v>0</v>
      </c>
      <c r="J298" t="n">
        <v>0</v>
      </c>
      <c r="K298" t="n">
        <v>0</v>
      </c>
      <c r="L298" t="n">
        <v>0</v>
      </c>
      <c r="M298" t="n">
        <v>0</v>
      </c>
      <c r="N298" t="n">
        <v>0</v>
      </c>
      <c r="O298" t="n">
        <v>0</v>
      </c>
      <c r="P298" t="n">
        <v>0</v>
      </c>
      <c r="Q298" t="n">
        <v>0</v>
      </c>
      <c r="R298" s="2" t="inlineStr"/>
    </row>
    <row r="299" ht="15" customHeight="1">
      <c r="A299" t="inlineStr">
        <is>
          <t>A 32639-2023</t>
        </is>
      </c>
      <c r="B299" s="1" t="n">
        <v>45121.5965162037</v>
      </c>
      <c r="C299" s="1" t="n">
        <v>45889</v>
      </c>
      <c r="D299" t="inlineStr">
        <is>
          <t>KALMAR LÄN</t>
        </is>
      </c>
      <c r="E299" t="inlineStr">
        <is>
          <t>VIMMERBY</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32642-2023</t>
        </is>
      </c>
      <c r="B300" s="1" t="n">
        <v>45121.59954861111</v>
      </c>
      <c r="C300" s="1" t="n">
        <v>45889</v>
      </c>
      <c r="D300" t="inlineStr">
        <is>
          <t>KALMAR LÄN</t>
        </is>
      </c>
      <c r="E300" t="inlineStr">
        <is>
          <t>VIMMERBY</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32651-2023</t>
        </is>
      </c>
      <c r="B301" s="1" t="n">
        <v>45121.6096875</v>
      </c>
      <c r="C301" s="1" t="n">
        <v>45889</v>
      </c>
      <c r="D301" t="inlineStr">
        <is>
          <t>KALMAR LÄN</t>
        </is>
      </c>
      <c r="E301" t="inlineStr">
        <is>
          <t>VIMMERBY</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40730-2024</t>
        </is>
      </c>
      <c r="B302" s="1" t="n">
        <v>45558.44914351852</v>
      </c>
      <c r="C302" s="1" t="n">
        <v>45889</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58750-2022</t>
        </is>
      </c>
      <c r="B303" s="1" t="n">
        <v>44903.33363425926</v>
      </c>
      <c r="C303" s="1" t="n">
        <v>45889</v>
      </c>
      <c r="D303" t="inlineStr">
        <is>
          <t>KALMAR LÄN</t>
        </is>
      </c>
      <c r="E303" t="inlineStr">
        <is>
          <t>VIMMERBY</t>
        </is>
      </c>
      <c r="G303" t="n">
        <v>3.3</v>
      </c>
      <c r="H303" t="n">
        <v>0</v>
      </c>
      <c r="I303" t="n">
        <v>0</v>
      </c>
      <c r="J303" t="n">
        <v>0</v>
      </c>
      <c r="K303" t="n">
        <v>0</v>
      </c>
      <c r="L303" t="n">
        <v>0</v>
      </c>
      <c r="M303" t="n">
        <v>0</v>
      </c>
      <c r="N303" t="n">
        <v>0</v>
      </c>
      <c r="O303" t="n">
        <v>0</v>
      </c>
      <c r="P303" t="n">
        <v>0</v>
      </c>
      <c r="Q303" t="n">
        <v>0</v>
      </c>
      <c r="R303" s="2" t="inlineStr"/>
    </row>
    <row r="304" ht="15" customHeight="1">
      <c r="A304" t="inlineStr">
        <is>
          <t>A 9643-2023</t>
        </is>
      </c>
      <c r="B304" s="1" t="n">
        <v>44984</v>
      </c>
      <c r="C304" s="1" t="n">
        <v>45889</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56213-2024</t>
        </is>
      </c>
      <c r="B305" s="1" t="n">
        <v>45624.60141203704</v>
      </c>
      <c r="C305" s="1" t="n">
        <v>45889</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20126-2024</t>
        </is>
      </c>
      <c r="B306" s="1" t="n">
        <v>45434.55471064815</v>
      </c>
      <c r="C306" s="1" t="n">
        <v>45889</v>
      </c>
      <c r="D306" t="inlineStr">
        <is>
          <t>KALMAR LÄN</t>
        </is>
      </c>
      <c r="E306" t="inlineStr">
        <is>
          <t>VIMMERBY</t>
        </is>
      </c>
      <c r="F306" t="inlineStr">
        <is>
          <t>Sveaskog</t>
        </is>
      </c>
      <c r="G306" t="n">
        <v>1.6</v>
      </c>
      <c r="H306" t="n">
        <v>0</v>
      </c>
      <c r="I306" t="n">
        <v>0</v>
      </c>
      <c r="J306" t="n">
        <v>0</v>
      </c>
      <c r="K306" t="n">
        <v>0</v>
      </c>
      <c r="L306" t="n">
        <v>0</v>
      </c>
      <c r="M306" t="n">
        <v>0</v>
      </c>
      <c r="N306" t="n">
        <v>0</v>
      </c>
      <c r="O306" t="n">
        <v>0</v>
      </c>
      <c r="P306" t="n">
        <v>0</v>
      </c>
      <c r="Q306" t="n">
        <v>0</v>
      </c>
      <c r="R306" s="2" t="inlineStr"/>
    </row>
    <row r="307" ht="15" customHeight="1">
      <c r="A307" t="inlineStr">
        <is>
          <t>A 19865-2021</t>
        </is>
      </c>
      <c r="B307" s="1" t="n">
        <v>44312</v>
      </c>
      <c r="C307" s="1" t="n">
        <v>45889</v>
      </c>
      <c r="D307" t="inlineStr">
        <is>
          <t>KALMAR LÄN</t>
        </is>
      </c>
      <c r="E307" t="inlineStr">
        <is>
          <t>VIMMERBY</t>
        </is>
      </c>
      <c r="G307" t="n">
        <v>8.6</v>
      </c>
      <c r="H307" t="n">
        <v>0</v>
      </c>
      <c r="I307" t="n">
        <v>0</v>
      </c>
      <c r="J307" t="n">
        <v>0</v>
      </c>
      <c r="K307" t="n">
        <v>0</v>
      </c>
      <c r="L307" t="n">
        <v>0</v>
      </c>
      <c r="M307" t="n">
        <v>0</v>
      </c>
      <c r="N307" t="n">
        <v>0</v>
      </c>
      <c r="O307" t="n">
        <v>0</v>
      </c>
      <c r="P307" t="n">
        <v>0</v>
      </c>
      <c r="Q307" t="n">
        <v>0</v>
      </c>
      <c r="R307" s="2" t="inlineStr"/>
    </row>
    <row r="308" ht="15" customHeight="1">
      <c r="A308" t="inlineStr">
        <is>
          <t>A 9694-2023</t>
        </is>
      </c>
      <c r="B308" s="1" t="n">
        <v>44984.45895833334</v>
      </c>
      <c r="C308" s="1" t="n">
        <v>45889</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9710-2023</t>
        </is>
      </c>
      <c r="B309" s="1" t="n">
        <v>44984</v>
      </c>
      <c r="C309" s="1" t="n">
        <v>45889</v>
      </c>
      <c r="D309" t="inlineStr">
        <is>
          <t>KALMAR LÄN</t>
        </is>
      </c>
      <c r="E309" t="inlineStr">
        <is>
          <t>VIMMERBY</t>
        </is>
      </c>
      <c r="G309" t="n">
        <v>3.7</v>
      </c>
      <c r="H309" t="n">
        <v>0</v>
      </c>
      <c r="I309" t="n">
        <v>0</v>
      </c>
      <c r="J309" t="n">
        <v>0</v>
      </c>
      <c r="K309" t="n">
        <v>0</v>
      </c>
      <c r="L309" t="n">
        <v>0</v>
      </c>
      <c r="M309" t="n">
        <v>0</v>
      </c>
      <c r="N309" t="n">
        <v>0</v>
      </c>
      <c r="O309" t="n">
        <v>0</v>
      </c>
      <c r="P309" t="n">
        <v>0</v>
      </c>
      <c r="Q309" t="n">
        <v>0</v>
      </c>
      <c r="R309" s="2" t="inlineStr"/>
    </row>
    <row r="310" ht="15" customHeight="1">
      <c r="A310" t="inlineStr">
        <is>
          <t>A 6216-2025</t>
        </is>
      </c>
      <c r="B310" s="1" t="n">
        <v>45698.52806712963</v>
      </c>
      <c r="C310" s="1" t="n">
        <v>45889</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2260-2022</t>
        </is>
      </c>
      <c r="B311" s="1" t="n">
        <v>44578.62943287037</v>
      </c>
      <c r="C311" s="1" t="n">
        <v>45889</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57189-2022</t>
        </is>
      </c>
      <c r="B312" s="1" t="n">
        <v>44895.62296296296</v>
      </c>
      <c r="C312" s="1" t="n">
        <v>45889</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50860-2022</t>
        </is>
      </c>
      <c r="B313" s="1" t="n">
        <v>44867</v>
      </c>
      <c r="C313" s="1" t="n">
        <v>45889</v>
      </c>
      <c r="D313" t="inlineStr">
        <is>
          <t>KALMAR LÄN</t>
        </is>
      </c>
      <c r="E313" t="inlineStr">
        <is>
          <t>VIMMERBY</t>
        </is>
      </c>
      <c r="G313" t="n">
        <v>0.6</v>
      </c>
      <c r="H313" t="n">
        <v>0</v>
      </c>
      <c r="I313" t="n">
        <v>0</v>
      </c>
      <c r="J313" t="n">
        <v>0</v>
      </c>
      <c r="K313" t="n">
        <v>0</v>
      </c>
      <c r="L313" t="n">
        <v>0</v>
      </c>
      <c r="M313" t="n">
        <v>0</v>
      </c>
      <c r="N313" t="n">
        <v>0</v>
      </c>
      <c r="O313" t="n">
        <v>0</v>
      </c>
      <c r="P313" t="n">
        <v>0</v>
      </c>
      <c r="Q313" t="n">
        <v>0</v>
      </c>
      <c r="R313" s="2" t="inlineStr"/>
    </row>
    <row r="314" ht="15" customHeight="1">
      <c r="A314" t="inlineStr">
        <is>
          <t>A 53483-2022</t>
        </is>
      </c>
      <c r="B314" s="1" t="n">
        <v>44879.55940972222</v>
      </c>
      <c r="C314" s="1" t="n">
        <v>45889</v>
      </c>
      <c r="D314" t="inlineStr">
        <is>
          <t>KALMAR LÄN</t>
        </is>
      </c>
      <c r="E314" t="inlineStr">
        <is>
          <t>VIMMERBY</t>
        </is>
      </c>
      <c r="G314" t="n">
        <v>1.4</v>
      </c>
      <c r="H314" t="n">
        <v>0</v>
      </c>
      <c r="I314" t="n">
        <v>0</v>
      </c>
      <c r="J314" t="n">
        <v>0</v>
      </c>
      <c r="K314" t="n">
        <v>0</v>
      </c>
      <c r="L314" t="n">
        <v>0</v>
      </c>
      <c r="M314" t="n">
        <v>0</v>
      </c>
      <c r="N314" t="n">
        <v>0</v>
      </c>
      <c r="O314" t="n">
        <v>0</v>
      </c>
      <c r="P314" t="n">
        <v>0</v>
      </c>
      <c r="Q314" t="n">
        <v>0</v>
      </c>
      <c r="R314" s="2" t="inlineStr"/>
    </row>
    <row r="315" ht="15" customHeight="1">
      <c r="A315" t="inlineStr">
        <is>
          <t>A 58962-2022</t>
        </is>
      </c>
      <c r="B315" s="1" t="n">
        <v>44903</v>
      </c>
      <c r="C315" s="1" t="n">
        <v>45889</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58967-2022</t>
        </is>
      </c>
      <c r="B316" s="1" t="n">
        <v>44896</v>
      </c>
      <c r="C316" s="1" t="n">
        <v>45889</v>
      </c>
      <c r="D316" t="inlineStr">
        <is>
          <t>KALMAR LÄN</t>
        </is>
      </c>
      <c r="E316" t="inlineStr">
        <is>
          <t>VIMMERBY</t>
        </is>
      </c>
      <c r="G316" t="n">
        <v>5</v>
      </c>
      <c r="H316" t="n">
        <v>0</v>
      </c>
      <c r="I316" t="n">
        <v>0</v>
      </c>
      <c r="J316" t="n">
        <v>0</v>
      </c>
      <c r="K316" t="n">
        <v>0</v>
      </c>
      <c r="L316" t="n">
        <v>0</v>
      </c>
      <c r="M316" t="n">
        <v>0</v>
      </c>
      <c r="N316" t="n">
        <v>0</v>
      </c>
      <c r="O316" t="n">
        <v>0</v>
      </c>
      <c r="P316" t="n">
        <v>0</v>
      </c>
      <c r="Q316" t="n">
        <v>0</v>
      </c>
      <c r="R316" s="2" t="inlineStr"/>
    </row>
    <row r="317" ht="15" customHeight="1">
      <c r="A317" t="inlineStr">
        <is>
          <t>A 57682-2022</t>
        </is>
      </c>
      <c r="B317" s="1" t="n">
        <v>44890</v>
      </c>
      <c r="C317" s="1" t="n">
        <v>45889</v>
      </c>
      <c r="D317" t="inlineStr">
        <is>
          <t>KALMAR LÄN</t>
        </is>
      </c>
      <c r="E317" t="inlineStr">
        <is>
          <t>VIMMERBY</t>
        </is>
      </c>
      <c r="G317" t="n">
        <v>1.5</v>
      </c>
      <c r="H317" t="n">
        <v>0</v>
      </c>
      <c r="I317" t="n">
        <v>0</v>
      </c>
      <c r="J317" t="n">
        <v>0</v>
      </c>
      <c r="K317" t="n">
        <v>0</v>
      </c>
      <c r="L317" t="n">
        <v>0</v>
      </c>
      <c r="M317" t="n">
        <v>0</v>
      </c>
      <c r="N317" t="n">
        <v>0</v>
      </c>
      <c r="O317" t="n">
        <v>0</v>
      </c>
      <c r="P317" t="n">
        <v>0</v>
      </c>
      <c r="Q317" t="n">
        <v>0</v>
      </c>
      <c r="R317" s="2" t="inlineStr"/>
    </row>
    <row r="318" ht="15" customHeight="1">
      <c r="A318" t="inlineStr">
        <is>
          <t>A 4076-2022</t>
        </is>
      </c>
      <c r="B318" s="1" t="n">
        <v>44588.37998842593</v>
      </c>
      <c r="C318" s="1" t="n">
        <v>45889</v>
      </c>
      <c r="D318" t="inlineStr">
        <is>
          <t>KALMAR LÄN</t>
        </is>
      </c>
      <c r="E318" t="inlineStr">
        <is>
          <t>VIMMERBY</t>
        </is>
      </c>
      <c r="G318" t="n">
        <v>3</v>
      </c>
      <c r="H318" t="n">
        <v>0</v>
      </c>
      <c r="I318" t="n">
        <v>0</v>
      </c>
      <c r="J318" t="n">
        <v>0</v>
      </c>
      <c r="K318" t="n">
        <v>0</v>
      </c>
      <c r="L318" t="n">
        <v>0</v>
      </c>
      <c r="M318" t="n">
        <v>0</v>
      </c>
      <c r="N318" t="n">
        <v>0</v>
      </c>
      <c r="O318" t="n">
        <v>0</v>
      </c>
      <c r="P318" t="n">
        <v>0</v>
      </c>
      <c r="Q318" t="n">
        <v>0</v>
      </c>
      <c r="R318" s="2" t="inlineStr"/>
    </row>
    <row r="319" ht="15" customHeight="1">
      <c r="A319" t="inlineStr">
        <is>
          <t>A 4122-2022</t>
        </is>
      </c>
      <c r="B319" s="1" t="n">
        <v>44588</v>
      </c>
      <c r="C319" s="1" t="n">
        <v>45889</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1987-2024</t>
        </is>
      </c>
      <c r="B320" s="1" t="n">
        <v>45308.61152777778</v>
      </c>
      <c r="C320" s="1" t="n">
        <v>45889</v>
      </c>
      <c r="D320" t="inlineStr">
        <is>
          <t>KALMAR LÄN</t>
        </is>
      </c>
      <c r="E320" t="inlineStr">
        <is>
          <t>VIMMERBY</t>
        </is>
      </c>
      <c r="G320" t="n">
        <v>3</v>
      </c>
      <c r="H320" t="n">
        <v>0</v>
      </c>
      <c r="I320" t="n">
        <v>0</v>
      </c>
      <c r="J320" t="n">
        <v>0</v>
      </c>
      <c r="K320" t="n">
        <v>0</v>
      </c>
      <c r="L320" t="n">
        <v>0</v>
      </c>
      <c r="M320" t="n">
        <v>0</v>
      </c>
      <c r="N320" t="n">
        <v>0</v>
      </c>
      <c r="O320" t="n">
        <v>0</v>
      </c>
      <c r="P320" t="n">
        <v>0</v>
      </c>
      <c r="Q320" t="n">
        <v>0</v>
      </c>
      <c r="R320" s="2" t="inlineStr"/>
    </row>
    <row r="321" ht="15" customHeight="1">
      <c r="A321" t="inlineStr">
        <is>
          <t>A 527-2024</t>
        </is>
      </c>
      <c r="B321" s="1" t="n">
        <v>45299.47513888889</v>
      </c>
      <c r="C321" s="1" t="n">
        <v>45889</v>
      </c>
      <c r="D321" t="inlineStr">
        <is>
          <t>KALMAR LÄN</t>
        </is>
      </c>
      <c r="E321" t="inlineStr">
        <is>
          <t>VIMMERBY</t>
        </is>
      </c>
      <c r="G321" t="n">
        <v>2.2</v>
      </c>
      <c r="H321" t="n">
        <v>0</v>
      </c>
      <c r="I321" t="n">
        <v>0</v>
      </c>
      <c r="J321" t="n">
        <v>0</v>
      </c>
      <c r="K321" t="n">
        <v>0</v>
      </c>
      <c r="L321" t="n">
        <v>0</v>
      </c>
      <c r="M321" t="n">
        <v>0</v>
      </c>
      <c r="N321" t="n">
        <v>0</v>
      </c>
      <c r="O321" t="n">
        <v>0</v>
      </c>
      <c r="P321" t="n">
        <v>0</v>
      </c>
      <c r="Q321" t="n">
        <v>0</v>
      </c>
      <c r="R321" s="2" t="inlineStr"/>
    </row>
    <row r="322" ht="15" customHeight="1">
      <c r="A322" t="inlineStr">
        <is>
          <t>A 65961-2020</t>
        </is>
      </c>
      <c r="B322" s="1" t="n">
        <v>44175.39748842592</v>
      </c>
      <c r="C322" s="1" t="n">
        <v>45889</v>
      </c>
      <c r="D322" t="inlineStr">
        <is>
          <t>KALMAR LÄN</t>
        </is>
      </c>
      <c r="E322" t="inlineStr">
        <is>
          <t>VIMMERBY</t>
        </is>
      </c>
      <c r="G322" t="n">
        <v>2.6</v>
      </c>
      <c r="H322" t="n">
        <v>0</v>
      </c>
      <c r="I322" t="n">
        <v>0</v>
      </c>
      <c r="J322" t="n">
        <v>0</v>
      </c>
      <c r="K322" t="n">
        <v>0</v>
      </c>
      <c r="L322" t="n">
        <v>0</v>
      </c>
      <c r="M322" t="n">
        <v>0</v>
      </c>
      <c r="N322" t="n">
        <v>0</v>
      </c>
      <c r="O322" t="n">
        <v>0</v>
      </c>
      <c r="P322" t="n">
        <v>0</v>
      </c>
      <c r="Q322" t="n">
        <v>0</v>
      </c>
      <c r="R322" s="2" t="inlineStr"/>
    </row>
    <row r="323" ht="15" customHeight="1">
      <c r="A323" t="inlineStr">
        <is>
          <t>A 37192-2024</t>
        </is>
      </c>
      <c r="B323" s="1" t="n">
        <v>45539.66027777778</v>
      </c>
      <c r="C323" s="1" t="n">
        <v>45889</v>
      </c>
      <c r="D323" t="inlineStr">
        <is>
          <t>KALMAR LÄN</t>
        </is>
      </c>
      <c r="E323" t="inlineStr">
        <is>
          <t>VIMMERBY</t>
        </is>
      </c>
      <c r="G323" t="n">
        <v>1</v>
      </c>
      <c r="H323" t="n">
        <v>0</v>
      </c>
      <c r="I323" t="n">
        <v>0</v>
      </c>
      <c r="J323" t="n">
        <v>0</v>
      </c>
      <c r="K323" t="n">
        <v>0</v>
      </c>
      <c r="L323" t="n">
        <v>0</v>
      </c>
      <c r="M323" t="n">
        <v>0</v>
      </c>
      <c r="N323" t="n">
        <v>0</v>
      </c>
      <c r="O323" t="n">
        <v>0</v>
      </c>
      <c r="P323" t="n">
        <v>0</v>
      </c>
      <c r="Q323" t="n">
        <v>0</v>
      </c>
      <c r="R323" s="2" t="inlineStr"/>
    </row>
    <row r="324" ht="15" customHeight="1">
      <c r="A324" t="inlineStr">
        <is>
          <t>A 7944-2024</t>
        </is>
      </c>
      <c r="B324" s="1" t="n">
        <v>45350.53306712963</v>
      </c>
      <c r="C324" s="1" t="n">
        <v>45889</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9624-2024</t>
        </is>
      </c>
      <c r="B325" s="1" t="n">
        <v>45361.90282407407</v>
      </c>
      <c r="C325" s="1" t="n">
        <v>45889</v>
      </c>
      <c r="D325" t="inlineStr">
        <is>
          <t>KALMAR LÄN</t>
        </is>
      </c>
      <c r="E325" t="inlineStr">
        <is>
          <t>VIMMERBY</t>
        </is>
      </c>
      <c r="G325" t="n">
        <v>3.8</v>
      </c>
      <c r="H325" t="n">
        <v>0</v>
      </c>
      <c r="I325" t="n">
        <v>0</v>
      </c>
      <c r="J325" t="n">
        <v>0</v>
      </c>
      <c r="K325" t="n">
        <v>0</v>
      </c>
      <c r="L325" t="n">
        <v>0</v>
      </c>
      <c r="M325" t="n">
        <v>0</v>
      </c>
      <c r="N325" t="n">
        <v>0</v>
      </c>
      <c r="O325" t="n">
        <v>0</v>
      </c>
      <c r="P325" t="n">
        <v>0</v>
      </c>
      <c r="Q325" t="n">
        <v>0</v>
      </c>
      <c r="R325" s="2" t="inlineStr"/>
    </row>
    <row r="326" ht="15" customHeight="1">
      <c r="A326" t="inlineStr">
        <is>
          <t>A 52327-2023</t>
        </is>
      </c>
      <c r="B326" s="1" t="n">
        <v>45224.6515162037</v>
      </c>
      <c r="C326" s="1" t="n">
        <v>45889</v>
      </c>
      <c r="D326" t="inlineStr">
        <is>
          <t>KALMAR LÄN</t>
        </is>
      </c>
      <c r="E326" t="inlineStr">
        <is>
          <t>VIMMERBY</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598-2025</t>
        </is>
      </c>
      <c r="B327" s="1" t="n">
        <v>45660</v>
      </c>
      <c r="C327" s="1" t="n">
        <v>45889</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10674-2021</t>
        </is>
      </c>
      <c r="B328" s="1" t="n">
        <v>44258</v>
      </c>
      <c r="C328" s="1" t="n">
        <v>45889</v>
      </c>
      <c r="D328" t="inlineStr">
        <is>
          <t>KALMAR LÄN</t>
        </is>
      </c>
      <c r="E328" t="inlineStr">
        <is>
          <t>VIMMERBY</t>
        </is>
      </c>
      <c r="G328" t="n">
        <v>8.4</v>
      </c>
      <c r="H328" t="n">
        <v>0</v>
      </c>
      <c r="I328" t="n">
        <v>0</v>
      </c>
      <c r="J328" t="n">
        <v>0</v>
      </c>
      <c r="K328" t="n">
        <v>0</v>
      </c>
      <c r="L328" t="n">
        <v>0</v>
      </c>
      <c r="M328" t="n">
        <v>0</v>
      </c>
      <c r="N328" t="n">
        <v>0</v>
      </c>
      <c r="O328" t="n">
        <v>0</v>
      </c>
      <c r="P328" t="n">
        <v>0</v>
      </c>
      <c r="Q328" t="n">
        <v>0</v>
      </c>
      <c r="R328" s="2" t="inlineStr"/>
    </row>
    <row r="329" ht="15" customHeight="1">
      <c r="A329" t="inlineStr">
        <is>
          <t>A 29616-2022</t>
        </is>
      </c>
      <c r="B329" s="1" t="n">
        <v>44754</v>
      </c>
      <c r="C329" s="1" t="n">
        <v>45889</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29348-2023</t>
        </is>
      </c>
      <c r="B330" s="1" t="n">
        <v>45106.25025462963</v>
      </c>
      <c r="C330" s="1" t="n">
        <v>45889</v>
      </c>
      <c r="D330" t="inlineStr">
        <is>
          <t>KALMAR LÄN</t>
        </is>
      </c>
      <c r="E330" t="inlineStr">
        <is>
          <t>VIMMERBY</t>
        </is>
      </c>
      <c r="G330" t="n">
        <v>2.4</v>
      </c>
      <c r="H330" t="n">
        <v>0</v>
      </c>
      <c r="I330" t="n">
        <v>0</v>
      </c>
      <c r="J330" t="n">
        <v>0</v>
      </c>
      <c r="K330" t="n">
        <v>0</v>
      </c>
      <c r="L330" t="n">
        <v>0</v>
      </c>
      <c r="M330" t="n">
        <v>0</v>
      </c>
      <c r="N330" t="n">
        <v>0</v>
      </c>
      <c r="O330" t="n">
        <v>0</v>
      </c>
      <c r="P330" t="n">
        <v>0</v>
      </c>
      <c r="Q330" t="n">
        <v>0</v>
      </c>
      <c r="R330" s="2" t="inlineStr"/>
    </row>
    <row r="331" ht="15" customHeight="1">
      <c r="A331" t="inlineStr">
        <is>
          <t>A 28403-2023</t>
        </is>
      </c>
      <c r="B331" s="1" t="n">
        <v>45100.85270833333</v>
      </c>
      <c r="C331" s="1" t="n">
        <v>45889</v>
      </c>
      <c r="D331" t="inlineStr">
        <is>
          <t>KALMAR LÄN</t>
        </is>
      </c>
      <c r="E331" t="inlineStr">
        <is>
          <t>VIMMERBY</t>
        </is>
      </c>
      <c r="G331" t="n">
        <v>1.8</v>
      </c>
      <c r="H331" t="n">
        <v>0</v>
      </c>
      <c r="I331" t="n">
        <v>0</v>
      </c>
      <c r="J331" t="n">
        <v>0</v>
      </c>
      <c r="K331" t="n">
        <v>0</v>
      </c>
      <c r="L331" t="n">
        <v>0</v>
      </c>
      <c r="M331" t="n">
        <v>0</v>
      </c>
      <c r="N331" t="n">
        <v>0</v>
      </c>
      <c r="O331" t="n">
        <v>0</v>
      </c>
      <c r="P331" t="n">
        <v>0</v>
      </c>
      <c r="Q331" t="n">
        <v>0</v>
      </c>
      <c r="R331" s="2" t="inlineStr"/>
    </row>
    <row r="332" ht="15" customHeight="1">
      <c r="A332" t="inlineStr">
        <is>
          <t>A 47063-2022</t>
        </is>
      </c>
      <c r="B332" s="1" t="n">
        <v>44852</v>
      </c>
      <c r="C332" s="1" t="n">
        <v>45889</v>
      </c>
      <c r="D332" t="inlineStr">
        <is>
          <t>KALMAR LÄN</t>
        </is>
      </c>
      <c r="E332" t="inlineStr">
        <is>
          <t>VIMMERBY</t>
        </is>
      </c>
      <c r="G332" t="n">
        <v>2.5</v>
      </c>
      <c r="H332" t="n">
        <v>0</v>
      </c>
      <c r="I332" t="n">
        <v>0</v>
      </c>
      <c r="J332" t="n">
        <v>0</v>
      </c>
      <c r="K332" t="n">
        <v>0</v>
      </c>
      <c r="L332" t="n">
        <v>0</v>
      </c>
      <c r="M332" t="n">
        <v>0</v>
      </c>
      <c r="N332" t="n">
        <v>0</v>
      </c>
      <c r="O332" t="n">
        <v>0</v>
      </c>
      <c r="P332" t="n">
        <v>0</v>
      </c>
      <c r="Q332" t="n">
        <v>0</v>
      </c>
      <c r="R332" s="2" t="inlineStr"/>
    </row>
    <row r="333" ht="15" customHeight="1">
      <c r="A333" t="inlineStr">
        <is>
          <t>A 12819-2024</t>
        </is>
      </c>
      <c r="B333" s="1" t="n">
        <v>45384.66917824074</v>
      </c>
      <c r="C333" s="1" t="n">
        <v>45889</v>
      </c>
      <c r="D333" t="inlineStr">
        <is>
          <t>KALMAR LÄN</t>
        </is>
      </c>
      <c r="E333" t="inlineStr">
        <is>
          <t>VIMMERBY</t>
        </is>
      </c>
      <c r="G333" t="n">
        <v>5.1</v>
      </c>
      <c r="H333" t="n">
        <v>0</v>
      </c>
      <c r="I333" t="n">
        <v>0</v>
      </c>
      <c r="J333" t="n">
        <v>0</v>
      </c>
      <c r="K333" t="n">
        <v>0</v>
      </c>
      <c r="L333" t="n">
        <v>0</v>
      </c>
      <c r="M333" t="n">
        <v>0</v>
      </c>
      <c r="N333" t="n">
        <v>0</v>
      </c>
      <c r="O333" t="n">
        <v>0</v>
      </c>
      <c r="P333" t="n">
        <v>0</v>
      </c>
      <c r="Q333" t="n">
        <v>0</v>
      </c>
      <c r="R333" s="2" t="inlineStr"/>
    </row>
    <row r="334" ht="15" customHeight="1">
      <c r="A334" t="inlineStr">
        <is>
          <t>A 17511-2024</t>
        </is>
      </c>
      <c r="B334" s="1" t="n">
        <v>45415.57682870371</v>
      </c>
      <c r="C334" s="1" t="n">
        <v>45889</v>
      </c>
      <c r="D334" t="inlineStr">
        <is>
          <t>KALMAR LÄN</t>
        </is>
      </c>
      <c r="E334" t="inlineStr">
        <is>
          <t>VIMMERBY</t>
        </is>
      </c>
      <c r="G334" t="n">
        <v>5.3</v>
      </c>
      <c r="H334" t="n">
        <v>0</v>
      </c>
      <c r="I334" t="n">
        <v>0</v>
      </c>
      <c r="J334" t="n">
        <v>0</v>
      </c>
      <c r="K334" t="n">
        <v>0</v>
      </c>
      <c r="L334" t="n">
        <v>0</v>
      </c>
      <c r="M334" t="n">
        <v>0</v>
      </c>
      <c r="N334" t="n">
        <v>0</v>
      </c>
      <c r="O334" t="n">
        <v>0</v>
      </c>
      <c r="P334" t="n">
        <v>0</v>
      </c>
      <c r="Q334" t="n">
        <v>0</v>
      </c>
      <c r="R334" s="2" t="inlineStr"/>
    </row>
    <row r="335" ht="15" customHeight="1">
      <c r="A335" t="inlineStr">
        <is>
          <t>A 10807-2024</t>
        </is>
      </c>
      <c r="B335" s="1" t="n">
        <v>45369.62780092593</v>
      </c>
      <c r="C335" s="1" t="n">
        <v>45889</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40260-2024</t>
        </is>
      </c>
      <c r="B336" s="1" t="n">
        <v>45554.63225694445</v>
      </c>
      <c r="C336" s="1" t="n">
        <v>45889</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10787-2025</t>
        </is>
      </c>
      <c r="B337" s="1" t="n">
        <v>45722.48915509259</v>
      </c>
      <c r="C337" s="1" t="n">
        <v>45889</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66022-2021</t>
        </is>
      </c>
      <c r="B338" s="1" t="n">
        <v>44517</v>
      </c>
      <c r="C338" s="1" t="n">
        <v>45889</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31382-2023</t>
        </is>
      </c>
      <c r="B339" s="1" t="n">
        <v>45114.55136574074</v>
      </c>
      <c r="C339" s="1" t="n">
        <v>45889</v>
      </c>
      <c r="D339" t="inlineStr">
        <is>
          <t>KALMAR LÄN</t>
        </is>
      </c>
      <c r="E339" t="inlineStr">
        <is>
          <t>VIMMERBY</t>
        </is>
      </c>
      <c r="G339" t="n">
        <v>3.7</v>
      </c>
      <c r="H339" t="n">
        <v>0</v>
      </c>
      <c r="I339" t="n">
        <v>0</v>
      </c>
      <c r="J339" t="n">
        <v>0</v>
      </c>
      <c r="K339" t="n">
        <v>0</v>
      </c>
      <c r="L339" t="n">
        <v>0</v>
      </c>
      <c r="M339" t="n">
        <v>0</v>
      </c>
      <c r="N339" t="n">
        <v>0</v>
      </c>
      <c r="O339" t="n">
        <v>0</v>
      </c>
      <c r="P339" t="n">
        <v>0</v>
      </c>
      <c r="Q339" t="n">
        <v>0</v>
      </c>
      <c r="R339" s="2" t="inlineStr"/>
    </row>
    <row r="340" ht="15" customHeight="1">
      <c r="A340" t="inlineStr">
        <is>
          <t>A 11073-2023</t>
        </is>
      </c>
      <c r="B340" s="1" t="n">
        <v>44992</v>
      </c>
      <c r="C340" s="1" t="n">
        <v>45889</v>
      </c>
      <c r="D340" t="inlineStr">
        <is>
          <t>KALMAR LÄN</t>
        </is>
      </c>
      <c r="E340" t="inlineStr">
        <is>
          <t>VIMMERBY</t>
        </is>
      </c>
      <c r="F340" t="inlineStr">
        <is>
          <t>Sveaskog</t>
        </is>
      </c>
      <c r="G340" t="n">
        <v>1.2</v>
      </c>
      <c r="H340" t="n">
        <v>0</v>
      </c>
      <c r="I340" t="n">
        <v>0</v>
      </c>
      <c r="J340" t="n">
        <v>0</v>
      </c>
      <c r="K340" t="n">
        <v>0</v>
      </c>
      <c r="L340" t="n">
        <v>0</v>
      </c>
      <c r="M340" t="n">
        <v>0</v>
      </c>
      <c r="N340" t="n">
        <v>0</v>
      </c>
      <c r="O340" t="n">
        <v>0</v>
      </c>
      <c r="P340" t="n">
        <v>0</v>
      </c>
      <c r="Q340" t="n">
        <v>0</v>
      </c>
      <c r="R340" s="2" t="inlineStr"/>
    </row>
    <row r="341" ht="15" customHeight="1">
      <c r="A341" t="inlineStr">
        <is>
          <t>A 29973-2023</t>
        </is>
      </c>
      <c r="B341" s="1" t="n">
        <v>45108.703125</v>
      </c>
      <c r="C341" s="1" t="n">
        <v>45889</v>
      </c>
      <c r="D341" t="inlineStr">
        <is>
          <t>KALMAR LÄN</t>
        </is>
      </c>
      <c r="E341" t="inlineStr">
        <is>
          <t>VIMMERBY</t>
        </is>
      </c>
      <c r="G341" t="n">
        <v>4</v>
      </c>
      <c r="H341" t="n">
        <v>0</v>
      </c>
      <c r="I341" t="n">
        <v>0</v>
      </c>
      <c r="J341" t="n">
        <v>0</v>
      </c>
      <c r="K341" t="n">
        <v>0</v>
      </c>
      <c r="L341" t="n">
        <v>0</v>
      </c>
      <c r="M341" t="n">
        <v>0</v>
      </c>
      <c r="N341" t="n">
        <v>0</v>
      </c>
      <c r="O341" t="n">
        <v>0</v>
      </c>
      <c r="P341" t="n">
        <v>0</v>
      </c>
      <c r="Q341" t="n">
        <v>0</v>
      </c>
      <c r="R341" s="2" t="inlineStr"/>
    </row>
    <row r="342" ht="15" customHeight="1">
      <c r="A342" t="inlineStr">
        <is>
          <t>A 58577-2024</t>
        </is>
      </c>
      <c r="B342" s="1" t="n">
        <v>45635.4874537037</v>
      </c>
      <c r="C342" s="1" t="n">
        <v>45889</v>
      </c>
      <c r="D342" t="inlineStr">
        <is>
          <t>KALMAR LÄN</t>
        </is>
      </c>
      <c r="E342" t="inlineStr">
        <is>
          <t>VIMMERBY</t>
        </is>
      </c>
      <c r="G342" t="n">
        <v>1.1</v>
      </c>
      <c r="H342" t="n">
        <v>0</v>
      </c>
      <c r="I342" t="n">
        <v>0</v>
      </c>
      <c r="J342" t="n">
        <v>0</v>
      </c>
      <c r="K342" t="n">
        <v>0</v>
      </c>
      <c r="L342" t="n">
        <v>0</v>
      </c>
      <c r="M342" t="n">
        <v>0</v>
      </c>
      <c r="N342" t="n">
        <v>0</v>
      </c>
      <c r="O342" t="n">
        <v>0</v>
      </c>
      <c r="P342" t="n">
        <v>0</v>
      </c>
      <c r="Q342" t="n">
        <v>0</v>
      </c>
      <c r="R342" s="2" t="inlineStr"/>
    </row>
    <row r="343" ht="15" customHeight="1">
      <c r="A343" t="inlineStr">
        <is>
          <t>A 38198-2024</t>
        </is>
      </c>
      <c r="B343" s="1" t="n">
        <v>45545.49508101852</v>
      </c>
      <c r="C343" s="1" t="n">
        <v>45889</v>
      </c>
      <c r="D343" t="inlineStr">
        <is>
          <t>KALMAR LÄN</t>
        </is>
      </c>
      <c r="E343" t="inlineStr">
        <is>
          <t>VIMMERBY</t>
        </is>
      </c>
      <c r="G343" t="n">
        <v>7.9</v>
      </c>
      <c r="H343" t="n">
        <v>0</v>
      </c>
      <c r="I343" t="n">
        <v>0</v>
      </c>
      <c r="J343" t="n">
        <v>0</v>
      </c>
      <c r="K343" t="n">
        <v>0</v>
      </c>
      <c r="L343" t="n">
        <v>0</v>
      </c>
      <c r="M343" t="n">
        <v>0</v>
      </c>
      <c r="N343" t="n">
        <v>0</v>
      </c>
      <c r="O343" t="n">
        <v>0</v>
      </c>
      <c r="P343" t="n">
        <v>0</v>
      </c>
      <c r="Q343" t="n">
        <v>0</v>
      </c>
      <c r="R343" s="2" t="inlineStr"/>
    </row>
    <row r="344" ht="15" customHeight="1">
      <c r="A344" t="inlineStr">
        <is>
          <t>A 43617-2024</t>
        </is>
      </c>
      <c r="B344" s="1" t="n">
        <v>45569.47494212963</v>
      </c>
      <c r="C344" s="1" t="n">
        <v>45889</v>
      </c>
      <c r="D344" t="inlineStr">
        <is>
          <t>KALMAR LÄN</t>
        </is>
      </c>
      <c r="E344" t="inlineStr">
        <is>
          <t>VIMMERBY</t>
        </is>
      </c>
      <c r="G344" t="n">
        <v>2.7</v>
      </c>
      <c r="H344" t="n">
        <v>0</v>
      </c>
      <c r="I344" t="n">
        <v>0</v>
      </c>
      <c r="J344" t="n">
        <v>0</v>
      </c>
      <c r="K344" t="n">
        <v>0</v>
      </c>
      <c r="L344" t="n">
        <v>0</v>
      </c>
      <c r="M344" t="n">
        <v>0</v>
      </c>
      <c r="N344" t="n">
        <v>0</v>
      </c>
      <c r="O344" t="n">
        <v>0</v>
      </c>
      <c r="P344" t="n">
        <v>0</v>
      </c>
      <c r="Q344" t="n">
        <v>0</v>
      </c>
      <c r="R344" s="2" t="inlineStr"/>
    </row>
    <row r="345" ht="15" customHeight="1">
      <c r="A345" t="inlineStr">
        <is>
          <t>A 30070-2023</t>
        </is>
      </c>
      <c r="B345" s="1" t="n">
        <v>45110.4275</v>
      </c>
      <c r="C345" s="1" t="n">
        <v>45889</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59955-2023</t>
        </is>
      </c>
      <c r="B346" s="1" t="n">
        <v>45257.70313657408</v>
      </c>
      <c r="C346" s="1" t="n">
        <v>45889</v>
      </c>
      <c r="D346" t="inlineStr">
        <is>
          <t>KALMAR LÄN</t>
        </is>
      </c>
      <c r="E346" t="inlineStr">
        <is>
          <t>VIMMERBY</t>
        </is>
      </c>
      <c r="G346" t="n">
        <v>13.8</v>
      </c>
      <c r="H346" t="n">
        <v>0</v>
      </c>
      <c r="I346" t="n">
        <v>0</v>
      </c>
      <c r="J346" t="n">
        <v>0</v>
      </c>
      <c r="K346" t="n">
        <v>0</v>
      </c>
      <c r="L346" t="n">
        <v>0</v>
      </c>
      <c r="M346" t="n">
        <v>0</v>
      </c>
      <c r="N346" t="n">
        <v>0</v>
      </c>
      <c r="O346" t="n">
        <v>0</v>
      </c>
      <c r="P346" t="n">
        <v>0</v>
      </c>
      <c r="Q346" t="n">
        <v>0</v>
      </c>
      <c r="R346" s="2" t="inlineStr"/>
    </row>
    <row r="347" ht="15" customHeight="1">
      <c r="A347" t="inlineStr">
        <is>
          <t>A 36802-2021</t>
        </is>
      </c>
      <c r="B347" s="1" t="n">
        <v>44392</v>
      </c>
      <c r="C347" s="1" t="n">
        <v>45889</v>
      </c>
      <c r="D347" t="inlineStr">
        <is>
          <t>KALMAR LÄN</t>
        </is>
      </c>
      <c r="E347" t="inlineStr">
        <is>
          <t>VIMMERBY</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46078-2023</t>
        </is>
      </c>
      <c r="B348" s="1" t="n">
        <v>45196</v>
      </c>
      <c r="C348" s="1" t="n">
        <v>45889</v>
      </c>
      <c r="D348" t="inlineStr">
        <is>
          <t>KALMAR LÄN</t>
        </is>
      </c>
      <c r="E348" t="inlineStr">
        <is>
          <t>VIMMERBY</t>
        </is>
      </c>
      <c r="G348" t="n">
        <v>0.7</v>
      </c>
      <c r="H348" t="n">
        <v>0</v>
      </c>
      <c r="I348" t="n">
        <v>0</v>
      </c>
      <c r="J348" t="n">
        <v>0</v>
      </c>
      <c r="K348" t="n">
        <v>0</v>
      </c>
      <c r="L348" t="n">
        <v>0</v>
      </c>
      <c r="M348" t="n">
        <v>0</v>
      </c>
      <c r="N348" t="n">
        <v>0</v>
      </c>
      <c r="O348" t="n">
        <v>0</v>
      </c>
      <c r="P348" t="n">
        <v>0</v>
      </c>
      <c r="Q348" t="n">
        <v>0</v>
      </c>
      <c r="R348" s="2" t="inlineStr"/>
    </row>
    <row r="349" ht="15" customHeight="1">
      <c r="A349" t="inlineStr">
        <is>
          <t>A 61820-2023</t>
        </is>
      </c>
      <c r="B349" s="1" t="n">
        <v>45266.32614583334</v>
      </c>
      <c r="C349" s="1" t="n">
        <v>45889</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22264-2023</t>
        </is>
      </c>
      <c r="B350" s="1" t="n">
        <v>45070.3665625</v>
      </c>
      <c r="C350" s="1" t="n">
        <v>45889</v>
      </c>
      <c r="D350" t="inlineStr">
        <is>
          <t>KALMAR LÄN</t>
        </is>
      </c>
      <c r="E350" t="inlineStr">
        <is>
          <t>VIMMERBY</t>
        </is>
      </c>
      <c r="G350" t="n">
        <v>1</v>
      </c>
      <c r="H350" t="n">
        <v>0</v>
      </c>
      <c r="I350" t="n">
        <v>0</v>
      </c>
      <c r="J350" t="n">
        <v>0</v>
      </c>
      <c r="K350" t="n">
        <v>0</v>
      </c>
      <c r="L350" t="n">
        <v>0</v>
      </c>
      <c r="M350" t="n">
        <v>0</v>
      </c>
      <c r="N350" t="n">
        <v>0</v>
      </c>
      <c r="O350" t="n">
        <v>0</v>
      </c>
      <c r="P350" t="n">
        <v>0</v>
      </c>
      <c r="Q350" t="n">
        <v>0</v>
      </c>
      <c r="R350" s="2" t="inlineStr"/>
    </row>
    <row r="351" ht="15" customHeight="1">
      <c r="A351" t="inlineStr">
        <is>
          <t>A 22266-2023</t>
        </is>
      </c>
      <c r="B351" s="1" t="n">
        <v>45070</v>
      </c>
      <c r="C351" s="1" t="n">
        <v>45889</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3269-2024</t>
        </is>
      </c>
      <c r="B352" s="1" t="n">
        <v>45317.40372685185</v>
      </c>
      <c r="C352" s="1" t="n">
        <v>45889</v>
      </c>
      <c r="D352" t="inlineStr">
        <is>
          <t>KALMAR LÄN</t>
        </is>
      </c>
      <c r="E352" t="inlineStr">
        <is>
          <t>VIMMERBY</t>
        </is>
      </c>
      <c r="F352" t="inlineStr">
        <is>
          <t>Övriga Aktiebolag</t>
        </is>
      </c>
      <c r="G352" t="n">
        <v>1.7</v>
      </c>
      <c r="H352" t="n">
        <v>0</v>
      </c>
      <c r="I352" t="n">
        <v>0</v>
      </c>
      <c r="J352" t="n">
        <v>0</v>
      </c>
      <c r="K352" t="n">
        <v>0</v>
      </c>
      <c r="L352" t="n">
        <v>0</v>
      </c>
      <c r="M352" t="n">
        <v>0</v>
      </c>
      <c r="N352" t="n">
        <v>0</v>
      </c>
      <c r="O352" t="n">
        <v>0</v>
      </c>
      <c r="P352" t="n">
        <v>0</v>
      </c>
      <c r="Q352" t="n">
        <v>0</v>
      </c>
      <c r="R352" s="2" t="inlineStr"/>
    </row>
    <row r="353" ht="15" customHeight="1">
      <c r="A353" t="inlineStr">
        <is>
          <t>A 7643-2022</t>
        </is>
      </c>
      <c r="B353" s="1" t="n">
        <v>44607</v>
      </c>
      <c r="C353" s="1" t="n">
        <v>45889</v>
      </c>
      <c r="D353" t="inlineStr">
        <is>
          <t>KALMAR LÄN</t>
        </is>
      </c>
      <c r="E353" t="inlineStr">
        <is>
          <t>VIMMERBY</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39769-2020</t>
        </is>
      </c>
      <c r="B354" s="1" t="n">
        <v>44064</v>
      </c>
      <c r="C354" s="1" t="n">
        <v>45889</v>
      </c>
      <c r="D354" t="inlineStr">
        <is>
          <t>KALMAR LÄN</t>
        </is>
      </c>
      <c r="E354" t="inlineStr">
        <is>
          <t>VIMMERBY</t>
        </is>
      </c>
      <c r="G354" t="n">
        <v>24.6</v>
      </c>
      <c r="H354" t="n">
        <v>0</v>
      </c>
      <c r="I354" t="n">
        <v>0</v>
      </c>
      <c r="J354" t="n">
        <v>0</v>
      </c>
      <c r="K354" t="n">
        <v>0</v>
      </c>
      <c r="L354" t="n">
        <v>0</v>
      </c>
      <c r="M354" t="n">
        <v>0</v>
      </c>
      <c r="N354" t="n">
        <v>0</v>
      </c>
      <c r="O354" t="n">
        <v>0</v>
      </c>
      <c r="P354" t="n">
        <v>0</v>
      </c>
      <c r="Q354" t="n">
        <v>0</v>
      </c>
      <c r="R354" s="2" t="inlineStr"/>
    </row>
    <row r="355" ht="15" customHeight="1">
      <c r="A355" t="inlineStr">
        <is>
          <t>A 2157-2024</t>
        </is>
      </c>
      <c r="B355" s="1" t="n">
        <v>45309.59487268519</v>
      </c>
      <c r="C355" s="1" t="n">
        <v>45889</v>
      </c>
      <c r="D355" t="inlineStr">
        <is>
          <t>KALMAR LÄN</t>
        </is>
      </c>
      <c r="E355" t="inlineStr">
        <is>
          <t>VIMMERBY</t>
        </is>
      </c>
      <c r="G355" t="n">
        <v>0.7</v>
      </c>
      <c r="H355" t="n">
        <v>0</v>
      </c>
      <c r="I355" t="n">
        <v>0</v>
      </c>
      <c r="J355" t="n">
        <v>0</v>
      </c>
      <c r="K355" t="n">
        <v>0</v>
      </c>
      <c r="L355" t="n">
        <v>0</v>
      </c>
      <c r="M355" t="n">
        <v>0</v>
      </c>
      <c r="N355" t="n">
        <v>0</v>
      </c>
      <c r="O355" t="n">
        <v>0</v>
      </c>
      <c r="P355" t="n">
        <v>0</v>
      </c>
      <c r="Q355" t="n">
        <v>0</v>
      </c>
      <c r="R355" s="2" t="inlineStr"/>
    </row>
    <row r="356" ht="15" customHeight="1">
      <c r="A356" t="inlineStr">
        <is>
          <t>A 50091-2023</t>
        </is>
      </c>
      <c r="B356" s="1" t="n">
        <v>45215.60199074074</v>
      </c>
      <c r="C356" s="1" t="n">
        <v>45889</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10303-2025</t>
        </is>
      </c>
      <c r="B357" s="1" t="n">
        <v>45720.44217592593</v>
      </c>
      <c r="C357" s="1" t="n">
        <v>45889</v>
      </c>
      <c r="D357" t="inlineStr">
        <is>
          <t>KALMAR LÄN</t>
        </is>
      </c>
      <c r="E357" t="inlineStr">
        <is>
          <t>VIMMERBY</t>
        </is>
      </c>
      <c r="G357" t="n">
        <v>0.9</v>
      </c>
      <c r="H357" t="n">
        <v>0</v>
      </c>
      <c r="I357" t="n">
        <v>0</v>
      </c>
      <c r="J357" t="n">
        <v>0</v>
      </c>
      <c r="K357" t="n">
        <v>0</v>
      </c>
      <c r="L357" t="n">
        <v>0</v>
      </c>
      <c r="M357" t="n">
        <v>0</v>
      </c>
      <c r="N357" t="n">
        <v>0</v>
      </c>
      <c r="O357" t="n">
        <v>0</v>
      </c>
      <c r="P357" t="n">
        <v>0</v>
      </c>
      <c r="Q357" t="n">
        <v>0</v>
      </c>
      <c r="R357" s="2" t="inlineStr"/>
    </row>
    <row r="358" ht="15" customHeight="1">
      <c r="A358" t="inlineStr">
        <is>
          <t>A 11027-2023</t>
        </is>
      </c>
      <c r="B358" s="1" t="n">
        <v>44991.89657407408</v>
      </c>
      <c r="C358" s="1" t="n">
        <v>45889</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9416-2024</t>
        </is>
      </c>
      <c r="B359" s="1" t="n">
        <v>45359.44837962963</v>
      </c>
      <c r="C359" s="1" t="n">
        <v>45889</v>
      </c>
      <c r="D359" t="inlineStr">
        <is>
          <t>KALMAR LÄN</t>
        </is>
      </c>
      <c r="E359" t="inlineStr">
        <is>
          <t>VIMMERBY</t>
        </is>
      </c>
      <c r="G359" t="n">
        <v>3.2</v>
      </c>
      <c r="H359" t="n">
        <v>0</v>
      </c>
      <c r="I359" t="n">
        <v>0</v>
      </c>
      <c r="J359" t="n">
        <v>0</v>
      </c>
      <c r="K359" t="n">
        <v>0</v>
      </c>
      <c r="L359" t="n">
        <v>0</v>
      </c>
      <c r="M359" t="n">
        <v>0</v>
      </c>
      <c r="N359" t="n">
        <v>0</v>
      </c>
      <c r="O359" t="n">
        <v>0</v>
      </c>
      <c r="P359" t="n">
        <v>0</v>
      </c>
      <c r="Q359" t="n">
        <v>0</v>
      </c>
      <c r="R359" s="2" t="inlineStr"/>
    </row>
    <row r="360" ht="15" customHeight="1">
      <c r="A360" t="inlineStr">
        <is>
          <t>A 58318-2021</t>
        </is>
      </c>
      <c r="B360" s="1" t="n">
        <v>44488.35878472222</v>
      </c>
      <c r="C360" s="1" t="n">
        <v>45889</v>
      </c>
      <c r="D360" t="inlineStr">
        <is>
          <t>KALMAR LÄN</t>
        </is>
      </c>
      <c r="E360" t="inlineStr">
        <is>
          <t>VIMMERBY</t>
        </is>
      </c>
      <c r="G360" t="n">
        <v>4</v>
      </c>
      <c r="H360" t="n">
        <v>0</v>
      </c>
      <c r="I360" t="n">
        <v>0</v>
      </c>
      <c r="J360" t="n">
        <v>0</v>
      </c>
      <c r="K360" t="n">
        <v>0</v>
      </c>
      <c r="L360" t="n">
        <v>0</v>
      </c>
      <c r="M360" t="n">
        <v>0</v>
      </c>
      <c r="N360" t="n">
        <v>0</v>
      </c>
      <c r="O360" t="n">
        <v>0</v>
      </c>
      <c r="P360" t="n">
        <v>0</v>
      </c>
      <c r="Q360" t="n">
        <v>0</v>
      </c>
      <c r="R360" s="2" t="inlineStr"/>
    </row>
    <row r="361" ht="15" customHeight="1">
      <c r="A361" t="inlineStr">
        <is>
          <t>A 3494-2023</t>
        </is>
      </c>
      <c r="B361" s="1" t="n">
        <v>44949</v>
      </c>
      <c r="C361" s="1" t="n">
        <v>45889</v>
      </c>
      <c r="D361" t="inlineStr">
        <is>
          <t>KALMAR LÄN</t>
        </is>
      </c>
      <c r="E361" t="inlineStr">
        <is>
          <t>VIMMERBY</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53083-2021</t>
        </is>
      </c>
      <c r="B362" s="1" t="n">
        <v>44467.83386574074</v>
      </c>
      <c r="C362" s="1" t="n">
        <v>45889</v>
      </c>
      <c r="D362" t="inlineStr">
        <is>
          <t>KALMAR LÄN</t>
        </is>
      </c>
      <c r="E362" t="inlineStr">
        <is>
          <t>VIMMERBY</t>
        </is>
      </c>
      <c r="G362" t="n">
        <v>6.8</v>
      </c>
      <c r="H362" t="n">
        <v>0</v>
      </c>
      <c r="I362" t="n">
        <v>0</v>
      </c>
      <c r="J362" t="n">
        <v>0</v>
      </c>
      <c r="K362" t="n">
        <v>0</v>
      </c>
      <c r="L362" t="n">
        <v>0</v>
      </c>
      <c r="M362" t="n">
        <v>0</v>
      </c>
      <c r="N362" t="n">
        <v>0</v>
      </c>
      <c r="O362" t="n">
        <v>0</v>
      </c>
      <c r="P362" t="n">
        <v>0</v>
      </c>
      <c r="Q362" t="n">
        <v>0</v>
      </c>
      <c r="R362" s="2" t="inlineStr"/>
    </row>
    <row r="363" ht="15" customHeight="1">
      <c r="A363" t="inlineStr">
        <is>
          <t>A 29173-2024</t>
        </is>
      </c>
      <c r="B363" s="1" t="n">
        <v>45482.52887731481</v>
      </c>
      <c r="C363" s="1" t="n">
        <v>45889</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11111-2024</t>
        </is>
      </c>
      <c r="B364" s="1" t="n">
        <v>45371.36359953704</v>
      </c>
      <c r="C364" s="1" t="n">
        <v>45889</v>
      </c>
      <c r="D364" t="inlineStr">
        <is>
          <t>KALMAR LÄN</t>
        </is>
      </c>
      <c r="E364" t="inlineStr">
        <is>
          <t>VIMMERBY</t>
        </is>
      </c>
      <c r="G364" t="n">
        <v>1.4</v>
      </c>
      <c r="H364" t="n">
        <v>0</v>
      </c>
      <c r="I364" t="n">
        <v>0</v>
      </c>
      <c r="J364" t="n">
        <v>0</v>
      </c>
      <c r="K364" t="n">
        <v>0</v>
      </c>
      <c r="L364" t="n">
        <v>0</v>
      </c>
      <c r="M364" t="n">
        <v>0</v>
      </c>
      <c r="N364" t="n">
        <v>0</v>
      </c>
      <c r="O364" t="n">
        <v>0</v>
      </c>
      <c r="P364" t="n">
        <v>0</v>
      </c>
      <c r="Q364" t="n">
        <v>0</v>
      </c>
      <c r="R364" s="2" t="inlineStr"/>
    </row>
    <row r="365" ht="15" customHeight="1">
      <c r="A365" t="inlineStr">
        <is>
          <t>A 11141-2024</t>
        </is>
      </c>
      <c r="B365" s="1" t="n">
        <v>45371.45865740741</v>
      </c>
      <c r="C365" s="1" t="n">
        <v>45889</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9418-2024</t>
        </is>
      </c>
      <c r="B366" s="1" t="n">
        <v>45359.45038194444</v>
      </c>
      <c r="C366" s="1" t="n">
        <v>45889</v>
      </c>
      <c r="D366" t="inlineStr">
        <is>
          <t>KALMAR LÄN</t>
        </is>
      </c>
      <c r="E366" t="inlineStr">
        <is>
          <t>VIMMERBY</t>
        </is>
      </c>
      <c r="G366" t="n">
        <v>1.9</v>
      </c>
      <c r="H366" t="n">
        <v>0</v>
      </c>
      <c r="I366" t="n">
        <v>0</v>
      </c>
      <c r="J366" t="n">
        <v>0</v>
      </c>
      <c r="K366" t="n">
        <v>0</v>
      </c>
      <c r="L366" t="n">
        <v>0</v>
      </c>
      <c r="M366" t="n">
        <v>0</v>
      </c>
      <c r="N366" t="n">
        <v>0</v>
      </c>
      <c r="O366" t="n">
        <v>0</v>
      </c>
      <c r="P366" t="n">
        <v>0</v>
      </c>
      <c r="Q366" t="n">
        <v>0</v>
      </c>
      <c r="R366" s="2" t="inlineStr"/>
    </row>
    <row r="367" ht="15" customHeight="1">
      <c r="A367" t="inlineStr">
        <is>
          <t>A 32633-2023</t>
        </is>
      </c>
      <c r="B367" s="1" t="n">
        <v>45121.58699074074</v>
      </c>
      <c r="C367" s="1" t="n">
        <v>45889</v>
      </c>
      <c r="D367" t="inlineStr">
        <is>
          <t>KALMAR LÄN</t>
        </is>
      </c>
      <c r="E367" t="inlineStr">
        <is>
          <t>VIMMERBY</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49313-2022</t>
        </is>
      </c>
      <c r="B368" s="1" t="n">
        <v>44861.52505787037</v>
      </c>
      <c r="C368" s="1" t="n">
        <v>45889</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43601-2024</t>
        </is>
      </c>
      <c r="B369" s="1" t="n">
        <v>45569.44684027778</v>
      </c>
      <c r="C369" s="1" t="n">
        <v>45889</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35998-2024</t>
        </is>
      </c>
      <c r="B370" s="1" t="n">
        <v>45533.54429398148</v>
      </c>
      <c r="C370" s="1" t="n">
        <v>45889</v>
      </c>
      <c r="D370" t="inlineStr">
        <is>
          <t>KALMAR LÄN</t>
        </is>
      </c>
      <c r="E370" t="inlineStr">
        <is>
          <t>VIMMERBY</t>
        </is>
      </c>
      <c r="G370" t="n">
        <v>8.6</v>
      </c>
      <c r="H370" t="n">
        <v>0</v>
      </c>
      <c r="I370" t="n">
        <v>0</v>
      </c>
      <c r="J370" t="n">
        <v>0</v>
      </c>
      <c r="K370" t="n">
        <v>0</v>
      </c>
      <c r="L370" t="n">
        <v>0</v>
      </c>
      <c r="M370" t="n">
        <v>0</v>
      </c>
      <c r="N370" t="n">
        <v>0</v>
      </c>
      <c r="O370" t="n">
        <v>0</v>
      </c>
      <c r="P370" t="n">
        <v>0</v>
      </c>
      <c r="Q370" t="n">
        <v>0</v>
      </c>
      <c r="R370" s="2" t="inlineStr"/>
    </row>
    <row r="371" ht="15" customHeight="1">
      <c r="A371" t="inlineStr">
        <is>
          <t>A 36040-2024</t>
        </is>
      </c>
      <c r="B371" s="1" t="n">
        <v>45533.60232638889</v>
      </c>
      <c r="C371" s="1" t="n">
        <v>45889</v>
      </c>
      <c r="D371" t="inlineStr">
        <is>
          <t>KALMAR LÄN</t>
        </is>
      </c>
      <c r="E371" t="inlineStr">
        <is>
          <t>VIMMERBY</t>
        </is>
      </c>
      <c r="F371" t="inlineStr">
        <is>
          <t>Kommuner</t>
        </is>
      </c>
      <c r="G371" t="n">
        <v>3.6</v>
      </c>
      <c r="H371" t="n">
        <v>0</v>
      </c>
      <c r="I371" t="n">
        <v>0</v>
      </c>
      <c r="J371" t="n">
        <v>0</v>
      </c>
      <c r="K371" t="n">
        <v>0</v>
      </c>
      <c r="L371" t="n">
        <v>0</v>
      </c>
      <c r="M371" t="n">
        <v>0</v>
      </c>
      <c r="N371" t="n">
        <v>0</v>
      </c>
      <c r="O371" t="n">
        <v>0</v>
      </c>
      <c r="P371" t="n">
        <v>0</v>
      </c>
      <c r="Q371" t="n">
        <v>0</v>
      </c>
      <c r="R371" s="2" t="inlineStr"/>
    </row>
    <row r="372" ht="15" customHeight="1">
      <c r="A372" t="inlineStr">
        <is>
          <t>A 36043-2024</t>
        </is>
      </c>
      <c r="B372" s="1" t="n">
        <v>45533.60770833334</v>
      </c>
      <c r="C372" s="1" t="n">
        <v>45889</v>
      </c>
      <c r="D372" t="inlineStr">
        <is>
          <t>KALMAR LÄN</t>
        </is>
      </c>
      <c r="E372" t="inlineStr">
        <is>
          <t>VIMMERBY</t>
        </is>
      </c>
      <c r="F372" t="inlineStr">
        <is>
          <t>Kommuner</t>
        </is>
      </c>
      <c r="G372" t="n">
        <v>1.5</v>
      </c>
      <c r="H372" t="n">
        <v>0</v>
      </c>
      <c r="I372" t="n">
        <v>0</v>
      </c>
      <c r="J372" t="n">
        <v>0</v>
      </c>
      <c r="K372" t="n">
        <v>0</v>
      </c>
      <c r="L372" t="n">
        <v>0</v>
      </c>
      <c r="M372" t="n">
        <v>0</v>
      </c>
      <c r="N372" t="n">
        <v>0</v>
      </c>
      <c r="O372" t="n">
        <v>0</v>
      </c>
      <c r="P372" t="n">
        <v>0</v>
      </c>
      <c r="Q372" t="n">
        <v>0</v>
      </c>
      <c r="R372" s="2" t="inlineStr"/>
    </row>
    <row r="373" ht="15" customHeight="1">
      <c r="A373" t="inlineStr">
        <is>
          <t>A 11661-2023</t>
        </is>
      </c>
      <c r="B373" s="1" t="n">
        <v>44994.46908564815</v>
      </c>
      <c r="C373" s="1" t="n">
        <v>45889</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36155-2023</t>
        </is>
      </c>
      <c r="B374" s="1" t="n">
        <v>45149.60917824074</v>
      </c>
      <c r="C374" s="1" t="n">
        <v>45889</v>
      </c>
      <c r="D374" t="inlineStr">
        <is>
          <t>KALMAR LÄN</t>
        </is>
      </c>
      <c r="E374" t="inlineStr">
        <is>
          <t>VIMMERBY</t>
        </is>
      </c>
      <c r="G374" t="n">
        <v>5</v>
      </c>
      <c r="H374" t="n">
        <v>0</v>
      </c>
      <c r="I374" t="n">
        <v>0</v>
      </c>
      <c r="J374" t="n">
        <v>0</v>
      </c>
      <c r="K374" t="n">
        <v>0</v>
      </c>
      <c r="L374" t="n">
        <v>0</v>
      </c>
      <c r="M374" t="n">
        <v>0</v>
      </c>
      <c r="N374" t="n">
        <v>0</v>
      </c>
      <c r="O374" t="n">
        <v>0</v>
      </c>
      <c r="P374" t="n">
        <v>0</v>
      </c>
      <c r="Q374" t="n">
        <v>0</v>
      </c>
      <c r="R374" s="2" t="inlineStr"/>
    </row>
    <row r="375" ht="15" customHeight="1">
      <c r="A375" t="inlineStr">
        <is>
          <t>A 40147-2023</t>
        </is>
      </c>
      <c r="B375" s="1" t="n">
        <v>45169</v>
      </c>
      <c r="C375" s="1" t="n">
        <v>45889</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22197-2024</t>
        </is>
      </c>
      <c r="B376" s="1" t="n">
        <v>45446.36774305555</v>
      </c>
      <c r="C376" s="1" t="n">
        <v>45889</v>
      </c>
      <c r="D376" t="inlineStr">
        <is>
          <t>KALMAR LÄN</t>
        </is>
      </c>
      <c r="E376" t="inlineStr">
        <is>
          <t>VIMMERBY</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13813-2024</t>
        </is>
      </c>
      <c r="B377" s="1" t="n">
        <v>45391.41310185185</v>
      </c>
      <c r="C377" s="1" t="n">
        <v>45889</v>
      </c>
      <c r="D377" t="inlineStr">
        <is>
          <t>KALMAR LÄN</t>
        </is>
      </c>
      <c r="E377" t="inlineStr">
        <is>
          <t>VIMMERBY</t>
        </is>
      </c>
      <c r="G377" t="n">
        <v>0.4</v>
      </c>
      <c r="H377" t="n">
        <v>0</v>
      </c>
      <c r="I377" t="n">
        <v>0</v>
      </c>
      <c r="J377" t="n">
        <v>0</v>
      </c>
      <c r="K377" t="n">
        <v>0</v>
      </c>
      <c r="L377" t="n">
        <v>0</v>
      </c>
      <c r="M377" t="n">
        <v>0</v>
      </c>
      <c r="N377" t="n">
        <v>0</v>
      </c>
      <c r="O377" t="n">
        <v>0</v>
      </c>
      <c r="P377" t="n">
        <v>0</v>
      </c>
      <c r="Q377" t="n">
        <v>0</v>
      </c>
      <c r="R377" s="2" t="inlineStr"/>
    </row>
    <row r="378" ht="15" customHeight="1">
      <c r="A378" t="inlineStr">
        <is>
          <t>A 63950-2023</t>
        </is>
      </c>
      <c r="B378" s="1" t="n">
        <v>45278</v>
      </c>
      <c r="C378" s="1" t="n">
        <v>45889</v>
      </c>
      <c r="D378" t="inlineStr">
        <is>
          <t>KALMAR LÄN</t>
        </is>
      </c>
      <c r="E378" t="inlineStr">
        <is>
          <t>VIMMERBY</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25234-2023</t>
        </is>
      </c>
      <c r="B379" s="1" t="n">
        <v>45086.63194444445</v>
      </c>
      <c r="C379" s="1" t="n">
        <v>45889</v>
      </c>
      <c r="D379" t="inlineStr">
        <is>
          <t>KALMAR LÄN</t>
        </is>
      </c>
      <c r="E379" t="inlineStr">
        <is>
          <t>VIMMERBY</t>
        </is>
      </c>
      <c r="G379" t="n">
        <v>2.1</v>
      </c>
      <c r="H379" t="n">
        <v>0</v>
      </c>
      <c r="I379" t="n">
        <v>0</v>
      </c>
      <c r="J379" t="n">
        <v>0</v>
      </c>
      <c r="K379" t="n">
        <v>0</v>
      </c>
      <c r="L379" t="n">
        <v>0</v>
      </c>
      <c r="M379" t="n">
        <v>0</v>
      </c>
      <c r="N379" t="n">
        <v>0</v>
      </c>
      <c r="O379" t="n">
        <v>0</v>
      </c>
      <c r="P379" t="n">
        <v>0</v>
      </c>
      <c r="Q379" t="n">
        <v>0</v>
      </c>
      <c r="R379" s="2" t="inlineStr"/>
    </row>
    <row r="380" ht="15" customHeight="1">
      <c r="A380" t="inlineStr">
        <is>
          <t>A 35710-2023</t>
        </is>
      </c>
      <c r="B380" s="1" t="n">
        <v>45147.67096064815</v>
      </c>
      <c r="C380" s="1" t="n">
        <v>45889</v>
      </c>
      <c r="D380" t="inlineStr">
        <is>
          <t>KALMAR LÄN</t>
        </is>
      </c>
      <c r="E380" t="inlineStr">
        <is>
          <t>VIMMERBY</t>
        </is>
      </c>
      <c r="G380" t="n">
        <v>3.1</v>
      </c>
      <c r="H380" t="n">
        <v>0</v>
      </c>
      <c r="I380" t="n">
        <v>0</v>
      </c>
      <c r="J380" t="n">
        <v>0</v>
      </c>
      <c r="K380" t="n">
        <v>0</v>
      </c>
      <c r="L380" t="n">
        <v>0</v>
      </c>
      <c r="M380" t="n">
        <v>0</v>
      </c>
      <c r="N380" t="n">
        <v>0</v>
      </c>
      <c r="O380" t="n">
        <v>0</v>
      </c>
      <c r="P380" t="n">
        <v>0</v>
      </c>
      <c r="Q380" t="n">
        <v>0</v>
      </c>
      <c r="R380" s="2" t="inlineStr"/>
    </row>
    <row r="381" ht="15" customHeight="1">
      <c r="A381" t="inlineStr">
        <is>
          <t>A 35711-2023</t>
        </is>
      </c>
      <c r="B381" s="1" t="n">
        <v>45147.67172453704</v>
      </c>
      <c r="C381" s="1" t="n">
        <v>45889</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25236-2023</t>
        </is>
      </c>
      <c r="B382" s="1" t="n">
        <v>45086.63334490741</v>
      </c>
      <c r="C382" s="1" t="n">
        <v>45889</v>
      </c>
      <c r="D382" t="inlineStr">
        <is>
          <t>KALMAR LÄN</t>
        </is>
      </c>
      <c r="E382" t="inlineStr">
        <is>
          <t>VIMMERBY</t>
        </is>
      </c>
      <c r="G382" t="n">
        <v>0.9</v>
      </c>
      <c r="H382" t="n">
        <v>0</v>
      </c>
      <c r="I382" t="n">
        <v>0</v>
      </c>
      <c r="J382" t="n">
        <v>0</v>
      </c>
      <c r="K382" t="n">
        <v>0</v>
      </c>
      <c r="L382" t="n">
        <v>0</v>
      </c>
      <c r="M382" t="n">
        <v>0</v>
      </c>
      <c r="N382" t="n">
        <v>0</v>
      </c>
      <c r="O382" t="n">
        <v>0</v>
      </c>
      <c r="P382" t="n">
        <v>0</v>
      </c>
      <c r="Q382" t="n">
        <v>0</v>
      </c>
      <c r="R382" s="2" t="inlineStr"/>
    </row>
    <row r="383" ht="15" customHeight="1">
      <c r="A383" t="inlineStr">
        <is>
          <t>A 24096-2024</t>
        </is>
      </c>
      <c r="B383" s="1" t="n">
        <v>45456.59289351852</v>
      </c>
      <c r="C383" s="1" t="n">
        <v>45889</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39191-2020</t>
        </is>
      </c>
      <c r="B384" s="1" t="n">
        <v>44063</v>
      </c>
      <c r="C384" s="1" t="n">
        <v>45889</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13015-2023</t>
        </is>
      </c>
      <c r="B385" s="1" t="n">
        <v>45002</v>
      </c>
      <c r="C385" s="1" t="n">
        <v>45889</v>
      </c>
      <c r="D385" t="inlineStr">
        <is>
          <t>KALMAR LÄN</t>
        </is>
      </c>
      <c r="E385" t="inlineStr">
        <is>
          <t>VIMMERBY</t>
        </is>
      </c>
      <c r="G385" t="n">
        <v>3.2</v>
      </c>
      <c r="H385" t="n">
        <v>0</v>
      </c>
      <c r="I385" t="n">
        <v>0</v>
      </c>
      <c r="J385" t="n">
        <v>0</v>
      </c>
      <c r="K385" t="n">
        <v>0</v>
      </c>
      <c r="L385" t="n">
        <v>0</v>
      </c>
      <c r="M385" t="n">
        <v>0</v>
      </c>
      <c r="N385" t="n">
        <v>0</v>
      </c>
      <c r="O385" t="n">
        <v>0</v>
      </c>
      <c r="P385" t="n">
        <v>0</v>
      </c>
      <c r="Q385" t="n">
        <v>0</v>
      </c>
      <c r="R385" s="2" t="inlineStr"/>
    </row>
    <row r="386" ht="15" customHeight="1">
      <c r="A386" t="inlineStr">
        <is>
          <t>A 25244-2023</t>
        </is>
      </c>
      <c r="B386" s="1" t="n">
        <v>45086</v>
      </c>
      <c r="C386" s="1" t="n">
        <v>45889</v>
      </c>
      <c r="D386" t="inlineStr">
        <is>
          <t>KALMAR LÄN</t>
        </is>
      </c>
      <c r="E386" t="inlineStr">
        <is>
          <t>VIMMERBY</t>
        </is>
      </c>
      <c r="G386" t="n">
        <v>4.7</v>
      </c>
      <c r="H386" t="n">
        <v>0</v>
      </c>
      <c r="I386" t="n">
        <v>0</v>
      </c>
      <c r="J386" t="n">
        <v>0</v>
      </c>
      <c r="K386" t="n">
        <v>0</v>
      </c>
      <c r="L386" t="n">
        <v>0</v>
      </c>
      <c r="M386" t="n">
        <v>0</v>
      </c>
      <c r="N386" t="n">
        <v>0</v>
      </c>
      <c r="O386" t="n">
        <v>0</v>
      </c>
      <c r="P386" t="n">
        <v>0</v>
      </c>
      <c r="Q386" t="n">
        <v>0</v>
      </c>
      <c r="R386" s="2" t="inlineStr"/>
    </row>
    <row r="387" ht="15" customHeight="1">
      <c r="A387" t="inlineStr">
        <is>
          <t>A 41199-2023</t>
        </is>
      </c>
      <c r="B387" s="1" t="n">
        <v>45174.40454861111</v>
      </c>
      <c r="C387" s="1" t="n">
        <v>45889</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23341-2022</t>
        </is>
      </c>
      <c r="B388" s="1" t="n">
        <v>44720.53898148148</v>
      </c>
      <c r="C388" s="1" t="n">
        <v>45889</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8086-2021</t>
        </is>
      </c>
      <c r="B389" s="1" t="n">
        <v>44243</v>
      </c>
      <c r="C389" s="1" t="n">
        <v>45889</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36014-2024</t>
        </is>
      </c>
      <c r="B390" s="1" t="n">
        <v>45533.56108796296</v>
      </c>
      <c r="C390" s="1" t="n">
        <v>45889</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36030-2024</t>
        </is>
      </c>
      <c r="B391" s="1" t="n">
        <v>45533.58302083334</v>
      </c>
      <c r="C391" s="1" t="n">
        <v>45889</v>
      </c>
      <c r="D391" t="inlineStr">
        <is>
          <t>KALMAR LÄN</t>
        </is>
      </c>
      <c r="E391" t="inlineStr">
        <is>
          <t>VIMMERBY</t>
        </is>
      </c>
      <c r="F391" t="inlineStr">
        <is>
          <t>Kommuner</t>
        </is>
      </c>
      <c r="G391" t="n">
        <v>4</v>
      </c>
      <c r="H391" t="n">
        <v>0</v>
      </c>
      <c r="I391" t="n">
        <v>0</v>
      </c>
      <c r="J391" t="n">
        <v>0</v>
      </c>
      <c r="K391" t="n">
        <v>0</v>
      </c>
      <c r="L391" t="n">
        <v>0</v>
      </c>
      <c r="M391" t="n">
        <v>0</v>
      </c>
      <c r="N391" t="n">
        <v>0</v>
      </c>
      <c r="O391" t="n">
        <v>0</v>
      </c>
      <c r="P391" t="n">
        <v>0</v>
      </c>
      <c r="Q391" t="n">
        <v>0</v>
      </c>
      <c r="R391" s="2" t="inlineStr"/>
    </row>
    <row r="392" ht="15" customHeight="1">
      <c r="A392" t="inlineStr">
        <is>
          <t>A 7627-2025</t>
        </is>
      </c>
      <c r="B392" s="1" t="n">
        <v>45705.73300925926</v>
      </c>
      <c r="C392" s="1" t="n">
        <v>45889</v>
      </c>
      <c r="D392" t="inlineStr">
        <is>
          <t>KALMAR LÄN</t>
        </is>
      </c>
      <c r="E392" t="inlineStr">
        <is>
          <t>VIMMERBY</t>
        </is>
      </c>
      <c r="G392" t="n">
        <v>2.1</v>
      </c>
      <c r="H392" t="n">
        <v>0</v>
      </c>
      <c r="I392" t="n">
        <v>0</v>
      </c>
      <c r="J392" t="n">
        <v>0</v>
      </c>
      <c r="K392" t="n">
        <v>0</v>
      </c>
      <c r="L392" t="n">
        <v>0</v>
      </c>
      <c r="M392" t="n">
        <v>0</v>
      </c>
      <c r="N392" t="n">
        <v>0</v>
      </c>
      <c r="O392" t="n">
        <v>0</v>
      </c>
      <c r="P392" t="n">
        <v>0</v>
      </c>
      <c r="Q392" t="n">
        <v>0</v>
      </c>
      <c r="R392" s="2" t="inlineStr"/>
    </row>
    <row r="393" ht="15" customHeight="1">
      <c r="A393" t="inlineStr">
        <is>
          <t>A 71793-2021</t>
        </is>
      </c>
      <c r="B393" s="1" t="n">
        <v>44539</v>
      </c>
      <c r="C393" s="1" t="n">
        <v>45889</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6321-2023</t>
        </is>
      </c>
      <c r="B394" s="1" t="n">
        <v>44965.4815162037</v>
      </c>
      <c r="C394" s="1" t="n">
        <v>45889</v>
      </c>
      <c r="D394" t="inlineStr">
        <is>
          <t>KALMAR LÄN</t>
        </is>
      </c>
      <c r="E394" t="inlineStr">
        <is>
          <t>VIMMERBY</t>
        </is>
      </c>
      <c r="G394" t="n">
        <v>1.8</v>
      </c>
      <c r="H394" t="n">
        <v>0</v>
      </c>
      <c r="I394" t="n">
        <v>0</v>
      </c>
      <c r="J394" t="n">
        <v>0</v>
      </c>
      <c r="K394" t="n">
        <v>0</v>
      </c>
      <c r="L394" t="n">
        <v>0</v>
      </c>
      <c r="M394" t="n">
        <v>0</v>
      </c>
      <c r="N394" t="n">
        <v>0</v>
      </c>
      <c r="O394" t="n">
        <v>0</v>
      </c>
      <c r="P394" t="n">
        <v>0</v>
      </c>
      <c r="Q394" t="n">
        <v>0</v>
      </c>
      <c r="R394" s="2" t="inlineStr"/>
    </row>
    <row r="395" ht="15" customHeight="1">
      <c r="A395" t="inlineStr">
        <is>
          <t>A 73938-2021</t>
        </is>
      </c>
      <c r="B395" s="1" t="n">
        <v>44553</v>
      </c>
      <c r="C395" s="1" t="n">
        <v>45889</v>
      </c>
      <c r="D395" t="inlineStr">
        <is>
          <t>KALMAR LÄN</t>
        </is>
      </c>
      <c r="E395" t="inlineStr">
        <is>
          <t>VIMMERBY</t>
        </is>
      </c>
      <c r="G395" t="n">
        <v>3.2</v>
      </c>
      <c r="H395" t="n">
        <v>0</v>
      </c>
      <c r="I395" t="n">
        <v>0</v>
      </c>
      <c r="J395" t="n">
        <v>0</v>
      </c>
      <c r="K395" t="n">
        <v>0</v>
      </c>
      <c r="L395" t="n">
        <v>0</v>
      </c>
      <c r="M395" t="n">
        <v>0</v>
      </c>
      <c r="N395" t="n">
        <v>0</v>
      </c>
      <c r="O395" t="n">
        <v>0</v>
      </c>
      <c r="P395" t="n">
        <v>0</v>
      </c>
      <c r="Q395" t="n">
        <v>0</v>
      </c>
      <c r="R395" s="2" t="inlineStr"/>
    </row>
    <row r="396" ht="15" customHeight="1">
      <c r="A396" t="inlineStr">
        <is>
          <t>A 6069-2023</t>
        </is>
      </c>
      <c r="B396" s="1" t="n">
        <v>44964.5115162037</v>
      </c>
      <c r="C396" s="1" t="n">
        <v>45889</v>
      </c>
      <c r="D396" t="inlineStr">
        <is>
          <t>KALMAR LÄN</t>
        </is>
      </c>
      <c r="E396" t="inlineStr">
        <is>
          <t>VIMMERBY</t>
        </is>
      </c>
      <c r="G396" t="n">
        <v>1.1</v>
      </c>
      <c r="H396" t="n">
        <v>0</v>
      </c>
      <c r="I396" t="n">
        <v>0</v>
      </c>
      <c r="J396" t="n">
        <v>0</v>
      </c>
      <c r="K396" t="n">
        <v>0</v>
      </c>
      <c r="L396" t="n">
        <v>0</v>
      </c>
      <c r="M396" t="n">
        <v>0</v>
      </c>
      <c r="N396" t="n">
        <v>0</v>
      </c>
      <c r="O396" t="n">
        <v>0</v>
      </c>
      <c r="P396" t="n">
        <v>0</v>
      </c>
      <c r="Q396" t="n">
        <v>0</v>
      </c>
      <c r="R396" s="2" t="inlineStr"/>
    </row>
    <row r="397" ht="15" customHeight="1">
      <c r="A397" t="inlineStr">
        <is>
          <t>A 34588-2024</t>
        </is>
      </c>
      <c r="B397" s="1" t="n">
        <v>45526.3865625</v>
      </c>
      <c r="C397" s="1" t="n">
        <v>45889</v>
      </c>
      <c r="D397" t="inlineStr">
        <is>
          <t>KALMAR LÄN</t>
        </is>
      </c>
      <c r="E397" t="inlineStr">
        <is>
          <t>VIMMERBY</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56659-2023</t>
        </is>
      </c>
      <c r="B398" s="1" t="n">
        <v>45243.84869212963</v>
      </c>
      <c r="C398" s="1" t="n">
        <v>45889</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52755-2022</t>
        </is>
      </c>
      <c r="B399" s="1" t="n">
        <v>44875.27736111111</v>
      </c>
      <c r="C399" s="1" t="n">
        <v>45889</v>
      </c>
      <c r="D399" t="inlineStr">
        <is>
          <t>KALMAR LÄN</t>
        </is>
      </c>
      <c r="E399" t="inlineStr">
        <is>
          <t>VIMMERBY</t>
        </is>
      </c>
      <c r="G399" t="n">
        <v>1.1</v>
      </c>
      <c r="H399" t="n">
        <v>0</v>
      </c>
      <c r="I399" t="n">
        <v>0</v>
      </c>
      <c r="J399" t="n">
        <v>0</v>
      </c>
      <c r="K399" t="n">
        <v>0</v>
      </c>
      <c r="L399" t="n">
        <v>0</v>
      </c>
      <c r="M399" t="n">
        <v>0</v>
      </c>
      <c r="N399" t="n">
        <v>0</v>
      </c>
      <c r="O399" t="n">
        <v>0</v>
      </c>
      <c r="P399" t="n">
        <v>0</v>
      </c>
      <c r="Q399" t="n">
        <v>0</v>
      </c>
      <c r="R399" s="2" t="inlineStr"/>
    </row>
    <row r="400" ht="15" customHeight="1">
      <c r="A400" t="inlineStr">
        <is>
          <t>A 40823-2023</t>
        </is>
      </c>
      <c r="B400" s="1" t="n">
        <v>45171.77335648148</v>
      </c>
      <c r="C400" s="1" t="n">
        <v>45889</v>
      </c>
      <c r="D400" t="inlineStr">
        <is>
          <t>KALMAR LÄN</t>
        </is>
      </c>
      <c r="E400" t="inlineStr">
        <is>
          <t>VIMMERBY</t>
        </is>
      </c>
      <c r="G400" t="n">
        <v>2.7</v>
      </c>
      <c r="H400" t="n">
        <v>0</v>
      </c>
      <c r="I400" t="n">
        <v>0</v>
      </c>
      <c r="J400" t="n">
        <v>0</v>
      </c>
      <c r="K400" t="n">
        <v>0</v>
      </c>
      <c r="L400" t="n">
        <v>0</v>
      </c>
      <c r="M400" t="n">
        <v>0</v>
      </c>
      <c r="N400" t="n">
        <v>0</v>
      </c>
      <c r="O400" t="n">
        <v>0</v>
      </c>
      <c r="P400" t="n">
        <v>0</v>
      </c>
      <c r="Q400" t="n">
        <v>0</v>
      </c>
      <c r="R400" s="2" t="inlineStr"/>
    </row>
    <row r="401" ht="15" customHeight="1">
      <c r="A401" t="inlineStr">
        <is>
          <t>A 50995-2022</t>
        </is>
      </c>
      <c r="B401" s="1" t="n">
        <v>44867</v>
      </c>
      <c r="C401" s="1" t="n">
        <v>45889</v>
      </c>
      <c r="D401" t="inlineStr">
        <is>
          <t>KALMAR LÄN</t>
        </is>
      </c>
      <c r="E401" t="inlineStr">
        <is>
          <t>VIMMERBY</t>
        </is>
      </c>
      <c r="G401" t="n">
        <v>2.4</v>
      </c>
      <c r="H401" t="n">
        <v>0</v>
      </c>
      <c r="I401" t="n">
        <v>0</v>
      </c>
      <c r="J401" t="n">
        <v>0</v>
      </c>
      <c r="K401" t="n">
        <v>0</v>
      </c>
      <c r="L401" t="n">
        <v>0</v>
      </c>
      <c r="M401" t="n">
        <v>0</v>
      </c>
      <c r="N401" t="n">
        <v>0</v>
      </c>
      <c r="O401" t="n">
        <v>0</v>
      </c>
      <c r="P401" t="n">
        <v>0</v>
      </c>
      <c r="Q401" t="n">
        <v>0</v>
      </c>
      <c r="R401" s="2" t="inlineStr"/>
    </row>
    <row r="402" ht="15" customHeight="1">
      <c r="A402" t="inlineStr">
        <is>
          <t>A 27122-2023</t>
        </is>
      </c>
      <c r="B402" s="1" t="n">
        <v>45096.45247685185</v>
      </c>
      <c r="C402" s="1" t="n">
        <v>45889</v>
      </c>
      <c r="D402" t="inlineStr">
        <is>
          <t>KALMAR LÄN</t>
        </is>
      </c>
      <c r="E402" t="inlineStr">
        <is>
          <t>VIMMERBY</t>
        </is>
      </c>
      <c r="G402" t="n">
        <v>1.7</v>
      </c>
      <c r="H402" t="n">
        <v>0</v>
      </c>
      <c r="I402" t="n">
        <v>0</v>
      </c>
      <c r="J402" t="n">
        <v>0</v>
      </c>
      <c r="K402" t="n">
        <v>0</v>
      </c>
      <c r="L402" t="n">
        <v>0</v>
      </c>
      <c r="M402" t="n">
        <v>0</v>
      </c>
      <c r="N402" t="n">
        <v>0</v>
      </c>
      <c r="O402" t="n">
        <v>0</v>
      </c>
      <c r="P402" t="n">
        <v>0</v>
      </c>
      <c r="Q402" t="n">
        <v>0</v>
      </c>
      <c r="R402" s="2" t="inlineStr"/>
    </row>
    <row r="403" ht="15" customHeight="1">
      <c r="A403" t="inlineStr">
        <is>
          <t>A 30402-2023</t>
        </is>
      </c>
      <c r="B403" s="1" t="n">
        <v>45111.48395833333</v>
      </c>
      <c r="C403" s="1" t="n">
        <v>45889</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27761-2024</t>
        </is>
      </c>
      <c r="B404" s="1" t="n">
        <v>45475.49018518518</v>
      </c>
      <c r="C404" s="1" t="n">
        <v>45889</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21028-2023</t>
        </is>
      </c>
      <c r="B405" s="1" t="n">
        <v>45061</v>
      </c>
      <c r="C405" s="1" t="n">
        <v>45889</v>
      </c>
      <c r="D405" t="inlineStr">
        <is>
          <t>KALMAR LÄN</t>
        </is>
      </c>
      <c r="E405" t="inlineStr">
        <is>
          <t>VIMMERBY</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64203-2021</t>
        </is>
      </c>
      <c r="B406" s="1" t="n">
        <v>44510.60921296296</v>
      </c>
      <c r="C406" s="1" t="n">
        <v>45889</v>
      </c>
      <c r="D406" t="inlineStr">
        <is>
          <t>KALMAR LÄN</t>
        </is>
      </c>
      <c r="E406" t="inlineStr">
        <is>
          <t>VIMMERBY</t>
        </is>
      </c>
      <c r="F406" t="inlineStr">
        <is>
          <t>Övriga Aktiebolag</t>
        </is>
      </c>
      <c r="G406" t="n">
        <v>5.4</v>
      </c>
      <c r="H406" t="n">
        <v>0</v>
      </c>
      <c r="I406" t="n">
        <v>0</v>
      </c>
      <c r="J406" t="n">
        <v>0</v>
      </c>
      <c r="K406" t="n">
        <v>0</v>
      </c>
      <c r="L406" t="n">
        <v>0</v>
      </c>
      <c r="M406" t="n">
        <v>0</v>
      </c>
      <c r="N406" t="n">
        <v>0</v>
      </c>
      <c r="O406" t="n">
        <v>0</v>
      </c>
      <c r="P406" t="n">
        <v>0</v>
      </c>
      <c r="Q406" t="n">
        <v>0</v>
      </c>
      <c r="R406" s="2" t="inlineStr"/>
    </row>
    <row r="407" ht="15" customHeight="1">
      <c r="A407" t="inlineStr">
        <is>
          <t>A 1016-2024</t>
        </is>
      </c>
      <c r="B407" s="1" t="n">
        <v>45301</v>
      </c>
      <c r="C407" s="1" t="n">
        <v>45889</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1024-2024</t>
        </is>
      </c>
      <c r="B408" s="1" t="n">
        <v>45301.68237268519</v>
      </c>
      <c r="C408" s="1" t="n">
        <v>45889</v>
      </c>
      <c r="D408" t="inlineStr">
        <is>
          <t>KALMAR LÄN</t>
        </is>
      </c>
      <c r="E408" t="inlineStr">
        <is>
          <t>VIMMERBY</t>
        </is>
      </c>
      <c r="G408" t="n">
        <v>13</v>
      </c>
      <c r="H408" t="n">
        <v>0</v>
      </c>
      <c r="I408" t="n">
        <v>0</v>
      </c>
      <c r="J408" t="n">
        <v>0</v>
      </c>
      <c r="K408" t="n">
        <v>0</v>
      </c>
      <c r="L408" t="n">
        <v>0</v>
      </c>
      <c r="M408" t="n">
        <v>0</v>
      </c>
      <c r="N408" t="n">
        <v>0</v>
      </c>
      <c r="O408" t="n">
        <v>0</v>
      </c>
      <c r="P408" t="n">
        <v>0</v>
      </c>
      <c r="Q408" t="n">
        <v>0</v>
      </c>
      <c r="R408" s="2" t="inlineStr"/>
    </row>
    <row r="409" ht="15" customHeight="1">
      <c r="A409" t="inlineStr">
        <is>
          <t>A 27758-2024</t>
        </is>
      </c>
      <c r="B409" s="1" t="n">
        <v>45475.48303240741</v>
      </c>
      <c r="C409" s="1" t="n">
        <v>45889</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43998-2020</t>
        </is>
      </c>
      <c r="B410" s="1" t="n">
        <v>44083</v>
      </c>
      <c r="C410" s="1" t="n">
        <v>45889</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3331-2023</t>
        </is>
      </c>
      <c r="B411" s="1" t="n">
        <v>44949</v>
      </c>
      <c r="C411" s="1" t="n">
        <v>45889</v>
      </c>
      <c r="D411" t="inlineStr">
        <is>
          <t>KALMAR LÄN</t>
        </is>
      </c>
      <c r="E411" t="inlineStr">
        <is>
          <t>VIMMERBY</t>
        </is>
      </c>
      <c r="G411" t="n">
        <v>6.2</v>
      </c>
      <c r="H411" t="n">
        <v>0</v>
      </c>
      <c r="I411" t="n">
        <v>0</v>
      </c>
      <c r="J411" t="n">
        <v>0</v>
      </c>
      <c r="K411" t="n">
        <v>0</v>
      </c>
      <c r="L411" t="n">
        <v>0</v>
      </c>
      <c r="M411" t="n">
        <v>0</v>
      </c>
      <c r="N411" t="n">
        <v>0</v>
      </c>
      <c r="O411" t="n">
        <v>0</v>
      </c>
      <c r="P411" t="n">
        <v>0</v>
      </c>
      <c r="Q411" t="n">
        <v>0</v>
      </c>
      <c r="R411" s="2" t="inlineStr"/>
    </row>
    <row r="412" ht="15" customHeight="1">
      <c r="A412" t="inlineStr">
        <is>
          <t>A 47842-2024</t>
        </is>
      </c>
      <c r="B412" s="1" t="n">
        <v>45588.65545138889</v>
      </c>
      <c r="C412" s="1" t="n">
        <v>45889</v>
      </c>
      <c r="D412" t="inlineStr">
        <is>
          <t>KALMAR LÄN</t>
        </is>
      </c>
      <c r="E412" t="inlineStr">
        <is>
          <t>VIMMERBY</t>
        </is>
      </c>
      <c r="G412" t="n">
        <v>2.4</v>
      </c>
      <c r="H412" t="n">
        <v>0</v>
      </c>
      <c r="I412" t="n">
        <v>0</v>
      </c>
      <c r="J412" t="n">
        <v>0</v>
      </c>
      <c r="K412" t="n">
        <v>0</v>
      </c>
      <c r="L412" t="n">
        <v>0</v>
      </c>
      <c r="M412" t="n">
        <v>0</v>
      </c>
      <c r="N412" t="n">
        <v>0</v>
      </c>
      <c r="O412" t="n">
        <v>0</v>
      </c>
      <c r="P412" t="n">
        <v>0</v>
      </c>
      <c r="Q412" t="n">
        <v>0</v>
      </c>
      <c r="R412" s="2" t="inlineStr"/>
    </row>
    <row r="413" ht="15" customHeight="1">
      <c r="A413" t="inlineStr">
        <is>
          <t>A 6857-2023</t>
        </is>
      </c>
      <c r="B413" s="1" t="n">
        <v>44967.45122685185</v>
      </c>
      <c r="C413" s="1" t="n">
        <v>45889</v>
      </c>
      <c r="D413" t="inlineStr">
        <is>
          <t>KALMAR LÄN</t>
        </is>
      </c>
      <c r="E413" t="inlineStr">
        <is>
          <t>VIMMERBY</t>
        </is>
      </c>
      <c r="G413" t="n">
        <v>2.1</v>
      </c>
      <c r="H413" t="n">
        <v>0</v>
      </c>
      <c r="I413" t="n">
        <v>0</v>
      </c>
      <c r="J413" t="n">
        <v>0</v>
      </c>
      <c r="K413" t="n">
        <v>0</v>
      </c>
      <c r="L413" t="n">
        <v>0</v>
      </c>
      <c r="M413" t="n">
        <v>0</v>
      </c>
      <c r="N413" t="n">
        <v>0</v>
      </c>
      <c r="O413" t="n">
        <v>0</v>
      </c>
      <c r="P413" t="n">
        <v>0</v>
      </c>
      <c r="Q413" t="n">
        <v>0</v>
      </c>
      <c r="R413" s="2" t="inlineStr"/>
    </row>
    <row r="414" ht="15" customHeight="1">
      <c r="A414" t="inlineStr">
        <is>
          <t>A 40828-2023</t>
        </is>
      </c>
      <c r="B414" s="1" t="n">
        <v>45171.96248842592</v>
      </c>
      <c r="C414" s="1" t="n">
        <v>45889</v>
      </c>
      <c r="D414" t="inlineStr">
        <is>
          <t>KALMAR LÄN</t>
        </is>
      </c>
      <c r="E414" t="inlineStr">
        <is>
          <t>VIMMERBY</t>
        </is>
      </c>
      <c r="G414" t="n">
        <v>0.6</v>
      </c>
      <c r="H414" t="n">
        <v>0</v>
      </c>
      <c r="I414" t="n">
        <v>0</v>
      </c>
      <c r="J414" t="n">
        <v>0</v>
      </c>
      <c r="K414" t="n">
        <v>0</v>
      </c>
      <c r="L414" t="n">
        <v>0</v>
      </c>
      <c r="M414" t="n">
        <v>0</v>
      </c>
      <c r="N414" t="n">
        <v>0</v>
      </c>
      <c r="O414" t="n">
        <v>0</v>
      </c>
      <c r="P414" t="n">
        <v>0</v>
      </c>
      <c r="Q414" t="n">
        <v>0</v>
      </c>
      <c r="R414" s="2" t="inlineStr"/>
    </row>
    <row r="415" ht="15" customHeight="1">
      <c r="A415" t="inlineStr">
        <is>
          <t>A 16734-2023</t>
        </is>
      </c>
      <c r="B415" s="1" t="n">
        <v>45030.71012731481</v>
      </c>
      <c r="C415" s="1" t="n">
        <v>45889</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32865-2023</t>
        </is>
      </c>
      <c r="B416" s="1" t="n">
        <v>45124</v>
      </c>
      <c r="C416" s="1" t="n">
        <v>45889</v>
      </c>
      <c r="D416" t="inlineStr">
        <is>
          <t>KALMAR LÄN</t>
        </is>
      </c>
      <c r="E416" t="inlineStr">
        <is>
          <t>VIMMERBY</t>
        </is>
      </c>
      <c r="G416" t="n">
        <v>0.5</v>
      </c>
      <c r="H416" t="n">
        <v>0</v>
      </c>
      <c r="I416" t="n">
        <v>0</v>
      </c>
      <c r="J416" t="n">
        <v>0</v>
      </c>
      <c r="K416" t="n">
        <v>0</v>
      </c>
      <c r="L416" t="n">
        <v>0</v>
      </c>
      <c r="M416" t="n">
        <v>0</v>
      </c>
      <c r="N416" t="n">
        <v>0</v>
      </c>
      <c r="O416" t="n">
        <v>0</v>
      </c>
      <c r="P416" t="n">
        <v>0</v>
      </c>
      <c r="Q416" t="n">
        <v>0</v>
      </c>
      <c r="R416" s="2" t="inlineStr"/>
    </row>
    <row r="417" ht="15" customHeight="1">
      <c r="A417" t="inlineStr">
        <is>
          <t>A 22194-2024</t>
        </is>
      </c>
      <c r="B417" s="1" t="n">
        <v>45446.36482638889</v>
      </c>
      <c r="C417" s="1" t="n">
        <v>45889</v>
      </c>
      <c r="D417" t="inlineStr">
        <is>
          <t>KALMAR LÄN</t>
        </is>
      </c>
      <c r="E417" t="inlineStr">
        <is>
          <t>VIMMERBY</t>
        </is>
      </c>
      <c r="F417" t="inlineStr">
        <is>
          <t>Sveaskog</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46224-2024</t>
        </is>
      </c>
      <c r="B418" s="1" t="n">
        <v>45581.57016203704</v>
      </c>
      <c r="C418" s="1" t="n">
        <v>45889</v>
      </c>
      <c r="D418" t="inlineStr">
        <is>
          <t>KALMAR LÄN</t>
        </is>
      </c>
      <c r="E418" t="inlineStr">
        <is>
          <t>VIMMERBY</t>
        </is>
      </c>
      <c r="G418" t="n">
        <v>3.1</v>
      </c>
      <c r="H418" t="n">
        <v>0</v>
      </c>
      <c r="I418" t="n">
        <v>0</v>
      </c>
      <c r="J418" t="n">
        <v>0</v>
      </c>
      <c r="K418" t="n">
        <v>0</v>
      </c>
      <c r="L418" t="n">
        <v>0</v>
      </c>
      <c r="M418" t="n">
        <v>0</v>
      </c>
      <c r="N418" t="n">
        <v>0</v>
      </c>
      <c r="O418" t="n">
        <v>0</v>
      </c>
      <c r="P418" t="n">
        <v>0</v>
      </c>
      <c r="Q418" t="n">
        <v>0</v>
      </c>
      <c r="R418" s="2" t="inlineStr"/>
    </row>
    <row r="419" ht="15" customHeight="1">
      <c r="A419" t="inlineStr">
        <is>
          <t>A 17926-2025</t>
        </is>
      </c>
      <c r="B419" s="1" t="n">
        <v>45759.38987268518</v>
      </c>
      <c r="C419" s="1" t="n">
        <v>45889</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16953-2025</t>
        </is>
      </c>
      <c r="B420" s="1" t="n">
        <v>45755.44333333334</v>
      </c>
      <c r="C420" s="1" t="n">
        <v>45889</v>
      </c>
      <c r="D420" t="inlineStr">
        <is>
          <t>KALMAR LÄN</t>
        </is>
      </c>
      <c r="E420" t="inlineStr">
        <is>
          <t>VIMMERBY</t>
        </is>
      </c>
      <c r="G420" t="n">
        <v>2</v>
      </c>
      <c r="H420" t="n">
        <v>0</v>
      </c>
      <c r="I420" t="n">
        <v>0</v>
      </c>
      <c r="J420" t="n">
        <v>0</v>
      </c>
      <c r="K420" t="n">
        <v>0</v>
      </c>
      <c r="L420" t="n">
        <v>0</v>
      </c>
      <c r="M420" t="n">
        <v>0</v>
      </c>
      <c r="N420" t="n">
        <v>0</v>
      </c>
      <c r="O420" t="n">
        <v>0</v>
      </c>
      <c r="P420" t="n">
        <v>0</v>
      </c>
      <c r="Q420" t="n">
        <v>0</v>
      </c>
      <c r="R420" s="2" t="inlineStr"/>
    </row>
    <row r="421" ht="15" customHeight="1">
      <c r="A421" t="inlineStr">
        <is>
          <t>A 64143-2021</t>
        </is>
      </c>
      <c r="B421" s="1" t="n">
        <v>44510.52157407408</v>
      </c>
      <c r="C421" s="1" t="n">
        <v>45889</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35127-2024</t>
        </is>
      </c>
      <c r="B422" s="1" t="n">
        <v>45530.33202546297</v>
      </c>
      <c r="C422" s="1" t="n">
        <v>45889</v>
      </c>
      <c r="D422" t="inlineStr">
        <is>
          <t>KALMAR LÄN</t>
        </is>
      </c>
      <c r="E422" t="inlineStr">
        <is>
          <t>VIMMERBY</t>
        </is>
      </c>
      <c r="G422" t="n">
        <v>0.5</v>
      </c>
      <c r="H422" t="n">
        <v>0</v>
      </c>
      <c r="I422" t="n">
        <v>0</v>
      </c>
      <c r="J422" t="n">
        <v>0</v>
      </c>
      <c r="K422" t="n">
        <v>0</v>
      </c>
      <c r="L422" t="n">
        <v>0</v>
      </c>
      <c r="M422" t="n">
        <v>0</v>
      </c>
      <c r="N422" t="n">
        <v>0</v>
      </c>
      <c r="O422" t="n">
        <v>0</v>
      </c>
      <c r="P422" t="n">
        <v>0</v>
      </c>
      <c r="Q422" t="n">
        <v>0</v>
      </c>
      <c r="R422" s="2" t="inlineStr"/>
    </row>
    <row r="423" ht="15" customHeight="1">
      <c r="A423" t="inlineStr">
        <is>
          <t>A 9720-2023</t>
        </is>
      </c>
      <c r="B423" s="1" t="n">
        <v>44984</v>
      </c>
      <c r="C423" s="1" t="n">
        <v>45889</v>
      </c>
      <c r="D423" t="inlineStr">
        <is>
          <t>KALMAR LÄN</t>
        </is>
      </c>
      <c r="E423" t="inlineStr">
        <is>
          <t>VIMMERBY</t>
        </is>
      </c>
      <c r="G423" t="n">
        <v>4.4</v>
      </c>
      <c r="H423" t="n">
        <v>0</v>
      </c>
      <c r="I423" t="n">
        <v>0</v>
      </c>
      <c r="J423" t="n">
        <v>0</v>
      </c>
      <c r="K423" t="n">
        <v>0</v>
      </c>
      <c r="L423" t="n">
        <v>0</v>
      </c>
      <c r="M423" t="n">
        <v>0</v>
      </c>
      <c r="N423" t="n">
        <v>0</v>
      </c>
      <c r="O423" t="n">
        <v>0</v>
      </c>
      <c r="P423" t="n">
        <v>0</v>
      </c>
      <c r="Q423" t="n">
        <v>0</v>
      </c>
      <c r="R423" s="2" t="inlineStr"/>
    </row>
    <row r="424" ht="15" customHeight="1">
      <c r="A424" t="inlineStr">
        <is>
          <t>A 5938-2022</t>
        </is>
      </c>
      <c r="B424" s="1" t="n">
        <v>44598</v>
      </c>
      <c r="C424" s="1" t="n">
        <v>45889</v>
      </c>
      <c r="D424" t="inlineStr">
        <is>
          <t>KALMAR LÄN</t>
        </is>
      </c>
      <c r="E424" t="inlineStr">
        <is>
          <t>VIMMERBY</t>
        </is>
      </c>
      <c r="G424" t="n">
        <v>2.4</v>
      </c>
      <c r="H424" t="n">
        <v>0</v>
      </c>
      <c r="I424" t="n">
        <v>0</v>
      </c>
      <c r="J424" t="n">
        <v>0</v>
      </c>
      <c r="K424" t="n">
        <v>0</v>
      </c>
      <c r="L424" t="n">
        <v>0</v>
      </c>
      <c r="M424" t="n">
        <v>0</v>
      </c>
      <c r="N424" t="n">
        <v>0</v>
      </c>
      <c r="O424" t="n">
        <v>0</v>
      </c>
      <c r="P424" t="n">
        <v>0</v>
      </c>
      <c r="Q424" t="n">
        <v>0</v>
      </c>
      <c r="R424" s="2" t="inlineStr"/>
    </row>
    <row r="425" ht="15" customHeight="1">
      <c r="A425" t="inlineStr">
        <is>
          <t>A 1206-2025</t>
        </is>
      </c>
      <c r="B425" s="1" t="n">
        <v>45667.39670138889</v>
      </c>
      <c r="C425" s="1" t="n">
        <v>45889</v>
      </c>
      <c r="D425" t="inlineStr">
        <is>
          <t>KALMAR LÄN</t>
        </is>
      </c>
      <c r="E425" t="inlineStr">
        <is>
          <t>VIMMERBY</t>
        </is>
      </c>
      <c r="G425" t="n">
        <v>3.5</v>
      </c>
      <c r="H425" t="n">
        <v>0</v>
      </c>
      <c r="I425" t="n">
        <v>0</v>
      </c>
      <c r="J425" t="n">
        <v>0</v>
      </c>
      <c r="K425" t="n">
        <v>0</v>
      </c>
      <c r="L425" t="n">
        <v>0</v>
      </c>
      <c r="M425" t="n">
        <v>0</v>
      </c>
      <c r="N425" t="n">
        <v>0</v>
      </c>
      <c r="O425" t="n">
        <v>0</v>
      </c>
      <c r="P425" t="n">
        <v>0</v>
      </c>
      <c r="Q425" t="n">
        <v>0</v>
      </c>
      <c r="R425" s="2" t="inlineStr"/>
    </row>
    <row r="426" ht="15" customHeight="1">
      <c r="A426" t="inlineStr">
        <is>
          <t>A 1687-2023</t>
        </is>
      </c>
      <c r="B426" s="1" t="n">
        <v>44938</v>
      </c>
      <c r="C426" s="1" t="n">
        <v>45889</v>
      </c>
      <c r="D426" t="inlineStr">
        <is>
          <t>KALMAR LÄN</t>
        </is>
      </c>
      <c r="E426" t="inlineStr">
        <is>
          <t>VIMMERBY</t>
        </is>
      </c>
      <c r="F426" t="inlineStr">
        <is>
          <t>Kommuner</t>
        </is>
      </c>
      <c r="G426" t="n">
        <v>2.5</v>
      </c>
      <c r="H426" t="n">
        <v>0</v>
      </c>
      <c r="I426" t="n">
        <v>0</v>
      </c>
      <c r="J426" t="n">
        <v>0</v>
      </c>
      <c r="K426" t="n">
        <v>0</v>
      </c>
      <c r="L426" t="n">
        <v>0</v>
      </c>
      <c r="M426" t="n">
        <v>0</v>
      </c>
      <c r="N426" t="n">
        <v>0</v>
      </c>
      <c r="O426" t="n">
        <v>0</v>
      </c>
      <c r="P426" t="n">
        <v>0</v>
      </c>
      <c r="Q426" t="n">
        <v>0</v>
      </c>
      <c r="R426" s="2" t="inlineStr"/>
    </row>
    <row r="427" ht="15" customHeight="1">
      <c r="A427" t="inlineStr">
        <is>
          <t>A 29440-2024</t>
        </is>
      </c>
      <c r="B427" s="1" t="n">
        <v>45483.82479166667</v>
      </c>
      <c r="C427" s="1" t="n">
        <v>45889</v>
      </c>
      <c r="D427" t="inlineStr">
        <is>
          <t>KALMAR LÄN</t>
        </is>
      </c>
      <c r="E427" t="inlineStr">
        <is>
          <t>VIMMERBY</t>
        </is>
      </c>
      <c r="G427" t="n">
        <v>4.5</v>
      </c>
      <c r="H427" t="n">
        <v>0</v>
      </c>
      <c r="I427" t="n">
        <v>0</v>
      </c>
      <c r="J427" t="n">
        <v>0</v>
      </c>
      <c r="K427" t="n">
        <v>0</v>
      </c>
      <c r="L427" t="n">
        <v>0</v>
      </c>
      <c r="M427" t="n">
        <v>0</v>
      </c>
      <c r="N427" t="n">
        <v>0</v>
      </c>
      <c r="O427" t="n">
        <v>0</v>
      </c>
      <c r="P427" t="n">
        <v>0</v>
      </c>
      <c r="Q427" t="n">
        <v>0</v>
      </c>
      <c r="R427" s="2" t="inlineStr"/>
    </row>
    <row r="428" ht="15" customHeight="1">
      <c r="A428" t="inlineStr">
        <is>
          <t>A 30921-2024</t>
        </is>
      </c>
      <c r="B428" s="1" t="n">
        <v>45498</v>
      </c>
      <c r="C428" s="1" t="n">
        <v>45889</v>
      </c>
      <c r="D428" t="inlineStr">
        <is>
          <t>KALMAR LÄN</t>
        </is>
      </c>
      <c r="E428" t="inlineStr">
        <is>
          <t>VIMMERBY</t>
        </is>
      </c>
      <c r="G428" t="n">
        <v>1.6</v>
      </c>
      <c r="H428" t="n">
        <v>0</v>
      </c>
      <c r="I428" t="n">
        <v>0</v>
      </c>
      <c r="J428" t="n">
        <v>0</v>
      </c>
      <c r="K428" t="n">
        <v>0</v>
      </c>
      <c r="L428" t="n">
        <v>0</v>
      </c>
      <c r="M428" t="n">
        <v>0</v>
      </c>
      <c r="N428" t="n">
        <v>0</v>
      </c>
      <c r="O428" t="n">
        <v>0</v>
      </c>
      <c r="P428" t="n">
        <v>0</v>
      </c>
      <c r="Q428" t="n">
        <v>0</v>
      </c>
      <c r="R428" s="2" t="inlineStr"/>
    </row>
    <row r="429" ht="15" customHeight="1">
      <c r="A429" t="inlineStr">
        <is>
          <t>A 53482-2022</t>
        </is>
      </c>
      <c r="B429" s="1" t="n">
        <v>44879</v>
      </c>
      <c r="C429" s="1" t="n">
        <v>45889</v>
      </c>
      <c r="D429" t="inlineStr">
        <is>
          <t>KALMAR LÄN</t>
        </is>
      </c>
      <c r="E429" t="inlineStr">
        <is>
          <t>VIMMERBY</t>
        </is>
      </c>
      <c r="G429" t="n">
        <v>10.1</v>
      </c>
      <c r="H429" t="n">
        <v>0</v>
      </c>
      <c r="I429" t="n">
        <v>0</v>
      </c>
      <c r="J429" t="n">
        <v>0</v>
      </c>
      <c r="K429" t="n">
        <v>0</v>
      </c>
      <c r="L429" t="n">
        <v>0</v>
      </c>
      <c r="M429" t="n">
        <v>0</v>
      </c>
      <c r="N429" t="n">
        <v>0</v>
      </c>
      <c r="O429" t="n">
        <v>0</v>
      </c>
      <c r="P429" t="n">
        <v>0</v>
      </c>
      <c r="Q429" t="n">
        <v>0</v>
      </c>
      <c r="R429" s="2" t="inlineStr"/>
    </row>
    <row r="430" ht="15" customHeight="1">
      <c r="A430" t="inlineStr">
        <is>
          <t>A 29013-2024</t>
        </is>
      </c>
      <c r="B430" s="1" t="n">
        <v>45481.55984953704</v>
      </c>
      <c r="C430" s="1" t="n">
        <v>45889</v>
      </c>
      <c r="D430" t="inlineStr">
        <is>
          <t>KALMAR LÄN</t>
        </is>
      </c>
      <c r="E430" t="inlineStr">
        <is>
          <t>VIMMERBY</t>
        </is>
      </c>
      <c r="G430" t="n">
        <v>3.4</v>
      </c>
      <c r="H430" t="n">
        <v>0</v>
      </c>
      <c r="I430" t="n">
        <v>0</v>
      </c>
      <c r="J430" t="n">
        <v>0</v>
      </c>
      <c r="K430" t="n">
        <v>0</v>
      </c>
      <c r="L430" t="n">
        <v>0</v>
      </c>
      <c r="M430" t="n">
        <v>0</v>
      </c>
      <c r="N430" t="n">
        <v>0</v>
      </c>
      <c r="O430" t="n">
        <v>0</v>
      </c>
      <c r="P430" t="n">
        <v>0</v>
      </c>
      <c r="Q430" t="n">
        <v>0</v>
      </c>
      <c r="R430" s="2" t="inlineStr"/>
    </row>
    <row r="431" ht="15" customHeight="1">
      <c r="A431" t="inlineStr">
        <is>
          <t>A 33383-2023</t>
        </is>
      </c>
      <c r="B431" s="1" t="n">
        <v>45128.58414351852</v>
      </c>
      <c r="C431" s="1" t="n">
        <v>45889</v>
      </c>
      <c r="D431" t="inlineStr">
        <is>
          <t>KALMAR LÄN</t>
        </is>
      </c>
      <c r="E431" t="inlineStr">
        <is>
          <t>VIMMERBY</t>
        </is>
      </c>
      <c r="G431" t="n">
        <v>2.3</v>
      </c>
      <c r="H431" t="n">
        <v>0</v>
      </c>
      <c r="I431" t="n">
        <v>0</v>
      </c>
      <c r="J431" t="n">
        <v>0</v>
      </c>
      <c r="K431" t="n">
        <v>0</v>
      </c>
      <c r="L431" t="n">
        <v>0</v>
      </c>
      <c r="M431" t="n">
        <v>0</v>
      </c>
      <c r="N431" t="n">
        <v>0</v>
      </c>
      <c r="O431" t="n">
        <v>0</v>
      </c>
      <c r="P431" t="n">
        <v>0</v>
      </c>
      <c r="Q431" t="n">
        <v>0</v>
      </c>
      <c r="R431" s="2" t="inlineStr"/>
    </row>
    <row r="432" ht="15" customHeight="1">
      <c r="A432" t="inlineStr">
        <is>
          <t>A 37028-2024</t>
        </is>
      </c>
      <c r="B432" s="1" t="n">
        <v>45539.38744212963</v>
      </c>
      <c r="C432" s="1" t="n">
        <v>45889</v>
      </c>
      <c r="D432" t="inlineStr">
        <is>
          <t>KALMAR LÄN</t>
        </is>
      </c>
      <c r="E432" t="inlineStr">
        <is>
          <t>VIMMERBY</t>
        </is>
      </c>
      <c r="G432" t="n">
        <v>5.2</v>
      </c>
      <c r="H432" t="n">
        <v>0</v>
      </c>
      <c r="I432" t="n">
        <v>0</v>
      </c>
      <c r="J432" t="n">
        <v>0</v>
      </c>
      <c r="K432" t="n">
        <v>0</v>
      </c>
      <c r="L432" t="n">
        <v>0</v>
      </c>
      <c r="M432" t="n">
        <v>0</v>
      </c>
      <c r="N432" t="n">
        <v>0</v>
      </c>
      <c r="O432" t="n">
        <v>0</v>
      </c>
      <c r="P432" t="n">
        <v>0</v>
      </c>
      <c r="Q432" t="n">
        <v>0</v>
      </c>
      <c r="R432" s="2" t="inlineStr"/>
    </row>
    <row r="433" ht="15" customHeight="1">
      <c r="A433" t="inlineStr">
        <is>
          <t>A 4297-2022</t>
        </is>
      </c>
      <c r="B433" s="1" t="n">
        <v>44588</v>
      </c>
      <c r="C433" s="1" t="n">
        <v>45889</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37187-2024</t>
        </is>
      </c>
      <c r="B434" s="1" t="n">
        <v>45539.65212962963</v>
      </c>
      <c r="C434" s="1" t="n">
        <v>45889</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29180-2024</t>
        </is>
      </c>
      <c r="B435" s="1" t="n">
        <v>45482.54108796296</v>
      </c>
      <c r="C435" s="1" t="n">
        <v>45889</v>
      </c>
      <c r="D435" t="inlineStr">
        <is>
          <t>KALMAR LÄN</t>
        </is>
      </c>
      <c r="E435" t="inlineStr">
        <is>
          <t>VIMMERBY</t>
        </is>
      </c>
      <c r="G435" t="n">
        <v>3.8</v>
      </c>
      <c r="H435" t="n">
        <v>0</v>
      </c>
      <c r="I435" t="n">
        <v>0</v>
      </c>
      <c r="J435" t="n">
        <v>0</v>
      </c>
      <c r="K435" t="n">
        <v>0</v>
      </c>
      <c r="L435" t="n">
        <v>0</v>
      </c>
      <c r="M435" t="n">
        <v>0</v>
      </c>
      <c r="N435" t="n">
        <v>0</v>
      </c>
      <c r="O435" t="n">
        <v>0</v>
      </c>
      <c r="P435" t="n">
        <v>0</v>
      </c>
      <c r="Q435" t="n">
        <v>0</v>
      </c>
      <c r="R435" s="2" t="inlineStr"/>
    </row>
    <row r="436" ht="15" customHeight="1">
      <c r="A436" t="inlineStr">
        <is>
          <t>A 55716-2023</t>
        </is>
      </c>
      <c r="B436" s="1" t="n">
        <v>45232</v>
      </c>
      <c r="C436" s="1" t="n">
        <v>45889</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34386-2024</t>
        </is>
      </c>
      <c r="B437" s="1" t="n">
        <v>45525.41762731481</v>
      </c>
      <c r="C437" s="1" t="n">
        <v>45889</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42429-2024</t>
        </is>
      </c>
      <c r="B438" s="1" t="n">
        <v>45565.40657407408</v>
      </c>
      <c r="C438" s="1" t="n">
        <v>45889</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12630-2023</t>
        </is>
      </c>
      <c r="B439" s="1" t="n">
        <v>45000.47998842593</v>
      </c>
      <c r="C439" s="1" t="n">
        <v>45889</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11946-2025</t>
        </is>
      </c>
      <c r="B440" s="1" t="n">
        <v>45728.54832175926</v>
      </c>
      <c r="C440" s="1" t="n">
        <v>45889</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39584-2024</t>
        </is>
      </c>
      <c r="B441" s="1" t="n">
        <v>45552.36759259259</v>
      </c>
      <c r="C441" s="1" t="n">
        <v>45889</v>
      </c>
      <c r="D441" t="inlineStr">
        <is>
          <t>KALMAR LÄN</t>
        </is>
      </c>
      <c r="E441" t="inlineStr">
        <is>
          <t>VIMMERBY</t>
        </is>
      </c>
      <c r="G441" t="n">
        <v>1.9</v>
      </c>
      <c r="H441" t="n">
        <v>0</v>
      </c>
      <c r="I441" t="n">
        <v>0</v>
      </c>
      <c r="J441" t="n">
        <v>0</v>
      </c>
      <c r="K441" t="n">
        <v>0</v>
      </c>
      <c r="L441" t="n">
        <v>0</v>
      </c>
      <c r="M441" t="n">
        <v>0</v>
      </c>
      <c r="N441" t="n">
        <v>0</v>
      </c>
      <c r="O441" t="n">
        <v>0</v>
      </c>
      <c r="P441" t="n">
        <v>0</v>
      </c>
      <c r="Q441" t="n">
        <v>0</v>
      </c>
      <c r="R441" s="2" t="inlineStr"/>
    </row>
    <row r="442" ht="15" customHeight="1">
      <c r="A442" t="inlineStr">
        <is>
          <t>A 27705-2023</t>
        </is>
      </c>
      <c r="B442" s="1" t="n">
        <v>45098.30535879629</v>
      </c>
      <c r="C442" s="1" t="n">
        <v>45889</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59943-2023</t>
        </is>
      </c>
      <c r="B443" s="1" t="n">
        <v>45257.67958333333</v>
      </c>
      <c r="C443" s="1" t="n">
        <v>45889</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15493-2023</t>
        </is>
      </c>
      <c r="B444" s="1" t="n">
        <v>45018</v>
      </c>
      <c r="C444" s="1" t="n">
        <v>45889</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51881-2024</t>
        </is>
      </c>
      <c r="B445" s="1" t="n">
        <v>45607.56773148148</v>
      </c>
      <c r="C445" s="1" t="n">
        <v>45889</v>
      </c>
      <c r="D445" t="inlineStr">
        <is>
          <t>KALMAR LÄN</t>
        </is>
      </c>
      <c r="E445" t="inlineStr">
        <is>
          <t>VIMMERBY</t>
        </is>
      </c>
      <c r="G445" t="n">
        <v>3.4</v>
      </c>
      <c r="H445" t="n">
        <v>0</v>
      </c>
      <c r="I445" t="n">
        <v>0</v>
      </c>
      <c r="J445" t="n">
        <v>0</v>
      </c>
      <c r="K445" t="n">
        <v>0</v>
      </c>
      <c r="L445" t="n">
        <v>0</v>
      </c>
      <c r="M445" t="n">
        <v>0</v>
      </c>
      <c r="N445" t="n">
        <v>0</v>
      </c>
      <c r="O445" t="n">
        <v>0</v>
      </c>
      <c r="P445" t="n">
        <v>0</v>
      </c>
      <c r="Q445" t="n">
        <v>0</v>
      </c>
      <c r="R445" s="2" t="inlineStr"/>
    </row>
    <row r="446" ht="15" customHeight="1">
      <c r="A446" t="inlineStr">
        <is>
          <t>A 1021-2024</t>
        </is>
      </c>
      <c r="B446" s="1" t="n">
        <v>45301.67736111111</v>
      </c>
      <c r="C446" s="1" t="n">
        <v>45889</v>
      </c>
      <c r="D446" t="inlineStr">
        <is>
          <t>KALMAR LÄN</t>
        </is>
      </c>
      <c r="E446" t="inlineStr">
        <is>
          <t>VIMMERBY</t>
        </is>
      </c>
      <c r="G446" t="n">
        <v>1</v>
      </c>
      <c r="H446" t="n">
        <v>0</v>
      </c>
      <c r="I446" t="n">
        <v>0</v>
      </c>
      <c r="J446" t="n">
        <v>0</v>
      </c>
      <c r="K446" t="n">
        <v>0</v>
      </c>
      <c r="L446" t="n">
        <v>0</v>
      </c>
      <c r="M446" t="n">
        <v>0</v>
      </c>
      <c r="N446" t="n">
        <v>0</v>
      </c>
      <c r="O446" t="n">
        <v>0</v>
      </c>
      <c r="P446" t="n">
        <v>0</v>
      </c>
      <c r="Q446" t="n">
        <v>0</v>
      </c>
      <c r="R446" s="2" t="inlineStr"/>
    </row>
    <row r="447" ht="15" customHeight="1">
      <c r="A447" t="inlineStr">
        <is>
          <t>A 32569-2024</t>
        </is>
      </c>
      <c r="B447" s="1" t="n">
        <v>45513.55840277778</v>
      </c>
      <c r="C447" s="1" t="n">
        <v>45889</v>
      </c>
      <c r="D447" t="inlineStr">
        <is>
          <t>KALMAR LÄN</t>
        </is>
      </c>
      <c r="E447" t="inlineStr">
        <is>
          <t>VIMMERBY</t>
        </is>
      </c>
      <c r="G447" t="n">
        <v>3.7</v>
      </c>
      <c r="H447" t="n">
        <v>0</v>
      </c>
      <c r="I447" t="n">
        <v>0</v>
      </c>
      <c r="J447" t="n">
        <v>0</v>
      </c>
      <c r="K447" t="n">
        <v>0</v>
      </c>
      <c r="L447" t="n">
        <v>0</v>
      </c>
      <c r="M447" t="n">
        <v>0</v>
      </c>
      <c r="N447" t="n">
        <v>0</v>
      </c>
      <c r="O447" t="n">
        <v>0</v>
      </c>
      <c r="P447" t="n">
        <v>0</v>
      </c>
      <c r="Q447" t="n">
        <v>0</v>
      </c>
      <c r="R447" s="2" t="inlineStr"/>
    </row>
    <row r="448" ht="15" customHeight="1">
      <c r="A448" t="inlineStr">
        <is>
          <t>A 32575-2024</t>
        </is>
      </c>
      <c r="B448" s="1" t="n">
        <v>45513.56527777778</v>
      </c>
      <c r="C448" s="1" t="n">
        <v>45889</v>
      </c>
      <c r="D448" t="inlineStr">
        <is>
          <t>KALMAR LÄN</t>
        </is>
      </c>
      <c r="E448" t="inlineStr">
        <is>
          <t>VIMMERBY</t>
        </is>
      </c>
      <c r="G448" t="n">
        <v>1.5</v>
      </c>
      <c r="H448" t="n">
        <v>0</v>
      </c>
      <c r="I448" t="n">
        <v>0</v>
      </c>
      <c r="J448" t="n">
        <v>0</v>
      </c>
      <c r="K448" t="n">
        <v>0</v>
      </c>
      <c r="L448" t="n">
        <v>0</v>
      </c>
      <c r="M448" t="n">
        <v>0</v>
      </c>
      <c r="N448" t="n">
        <v>0</v>
      </c>
      <c r="O448" t="n">
        <v>0</v>
      </c>
      <c r="P448" t="n">
        <v>0</v>
      </c>
      <c r="Q448" t="n">
        <v>0</v>
      </c>
      <c r="R448" s="2" t="inlineStr"/>
    </row>
    <row r="449" ht="15" customHeight="1">
      <c r="A449" t="inlineStr">
        <is>
          <t>A 30063-2023</t>
        </is>
      </c>
      <c r="B449" s="1" t="n">
        <v>45110.4184375</v>
      </c>
      <c r="C449" s="1" t="n">
        <v>45889</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29783-2024</t>
        </is>
      </c>
      <c r="B450" s="1" t="n">
        <v>45485.45778935185</v>
      </c>
      <c r="C450" s="1" t="n">
        <v>45889</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31013-2023</t>
        </is>
      </c>
      <c r="B451" s="1" t="n">
        <v>45113.56574074074</v>
      </c>
      <c r="C451" s="1" t="n">
        <v>45889</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17482-2024</t>
        </is>
      </c>
      <c r="B452" s="1" t="n">
        <v>45415.47848379629</v>
      </c>
      <c r="C452" s="1" t="n">
        <v>45889</v>
      </c>
      <c r="D452" t="inlineStr">
        <is>
          <t>KALMAR LÄN</t>
        </is>
      </c>
      <c r="E452" t="inlineStr">
        <is>
          <t>VIMMERBY</t>
        </is>
      </c>
      <c r="G452" t="n">
        <v>1.7</v>
      </c>
      <c r="H452" t="n">
        <v>0</v>
      </c>
      <c r="I452" t="n">
        <v>0</v>
      </c>
      <c r="J452" t="n">
        <v>0</v>
      </c>
      <c r="K452" t="n">
        <v>0</v>
      </c>
      <c r="L452" t="n">
        <v>0</v>
      </c>
      <c r="M452" t="n">
        <v>0</v>
      </c>
      <c r="N452" t="n">
        <v>0</v>
      </c>
      <c r="O452" t="n">
        <v>0</v>
      </c>
      <c r="P452" t="n">
        <v>0</v>
      </c>
      <c r="Q452" t="n">
        <v>0</v>
      </c>
      <c r="R452" s="2" t="inlineStr"/>
    </row>
    <row r="453" ht="15" customHeight="1">
      <c r="A453" t="inlineStr">
        <is>
          <t>A 15388-2025</t>
        </is>
      </c>
      <c r="B453" s="1" t="n">
        <v>45747.42633101852</v>
      </c>
      <c r="C453" s="1" t="n">
        <v>45889</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15391-2025</t>
        </is>
      </c>
      <c r="B454" s="1" t="n">
        <v>45747.42958333333</v>
      </c>
      <c r="C454" s="1" t="n">
        <v>45889</v>
      </c>
      <c r="D454" t="inlineStr">
        <is>
          <t>KALMAR LÄN</t>
        </is>
      </c>
      <c r="E454" t="inlineStr">
        <is>
          <t>VIMMERBY</t>
        </is>
      </c>
      <c r="G454" t="n">
        <v>1.1</v>
      </c>
      <c r="H454" t="n">
        <v>0</v>
      </c>
      <c r="I454" t="n">
        <v>0</v>
      </c>
      <c r="J454" t="n">
        <v>0</v>
      </c>
      <c r="K454" t="n">
        <v>0</v>
      </c>
      <c r="L454" t="n">
        <v>0</v>
      </c>
      <c r="M454" t="n">
        <v>0</v>
      </c>
      <c r="N454" t="n">
        <v>0</v>
      </c>
      <c r="O454" t="n">
        <v>0</v>
      </c>
      <c r="P454" t="n">
        <v>0</v>
      </c>
      <c r="Q454" t="n">
        <v>0</v>
      </c>
      <c r="R454" s="2" t="inlineStr"/>
    </row>
    <row r="455" ht="15" customHeight="1">
      <c r="A455" t="inlineStr">
        <is>
          <t>A 11303-2025</t>
        </is>
      </c>
      <c r="B455" s="1" t="n">
        <v>45726.44471064815</v>
      </c>
      <c r="C455" s="1" t="n">
        <v>45889</v>
      </c>
      <c r="D455" t="inlineStr">
        <is>
          <t>KALMAR LÄN</t>
        </is>
      </c>
      <c r="E455" t="inlineStr">
        <is>
          <t>VIMMERBY</t>
        </is>
      </c>
      <c r="G455" t="n">
        <v>2.1</v>
      </c>
      <c r="H455" t="n">
        <v>0</v>
      </c>
      <c r="I455" t="n">
        <v>0</v>
      </c>
      <c r="J455" t="n">
        <v>0</v>
      </c>
      <c r="K455" t="n">
        <v>0</v>
      </c>
      <c r="L455" t="n">
        <v>0</v>
      </c>
      <c r="M455" t="n">
        <v>0</v>
      </c>
      <c r="N455" t="n">
        <v>0</v>
      </c>
      <c r="O455" t="n">
        <v>0</v>
      </c>
      <c r="P455" t="n">
        <v>0</v>
      </c>
      <c r="Q455" t="n">
        <v>0</v>
      </c>
      <c r="R455" s="2" t="inlineStr"/>
    </row>
    <row r="456" ht="15" customHeight="1">
      <c r="A456" t="inlineStr">
        <is>
          <t>A 54838-2024</t>
        </is>
      </c>
      <c r="B456" s="1" t="n">
        <v>45618.56787037037</v>
      </c>
      <c r="C456" s="1" t="n">
        <v>45889</v>
      </c>
      <c r="D456" t="inlineStr">
        <is>
          <t>KALMAR LÄN</t>
        </is>
      </c>
      <c r="E456" t="inlineStr">
        <is>
          <t>VIMMERBY</t>
        </is>
      </c>
      <c r="G456" t="n">
        <v>3.3</v>
      </c>
      <c r="H456" t="n">
        <v>0</v>
      </c>
      <c r="I456" t="n">
        <v>0</v>
      </c>
      <c r="J456" t="n">
        <v>0</v>
      </c>
      <c r="K456" t="n">
        <v>0</v>
      </c>
      <c r="L456" t="n">
        <v>0</v>
      </c>
      <c r="M456" t="n">
        <v>0</v>
      </c>
      <c r="N456" t="n">
        <v>0</v>
      </c>
      <c r="O456" t="n">
        <v>0</v>
      </c>
      <c r="P456" t="n">
        <v>0</v>
      </c>
      <c r="Q456" t="n">
        <v>0</v>
      </c>
      <c r="R456" s="2" t="inlineStr"/>
    </row>
    <row r="457" ht="15" customHeight="1">
      <c r="A457" t="inlineStr">
        <is>
          <t>A 13817-2024</t>
        </is>
      </c>
      <c r="B457" s="1" t="n">
        <v>45391.41976851852</v>
      </c>
      <c r="C457" s="1" t="n">
        <v>45889</v>
      </c>
      <c r="D457" t="inlineStr">
        <is>
          <t>KALMAR LÄN</t>
        </is>
      </c>
      <c r="E457" t="inlineStr">
        <is>
          <t>VIMMERBY</t>
        </is>
      </c>
      <c r="G457" t="n">
        <v>1</v>
      </c>
      <c r="H457" t="n">
        <v>0</v>
      </c>
      <c r="I457" t="n">
        <v>0</v>
      </c>
      <c r="J457" t="n">
        <v>0</v>
      </c>
      <c r="K457" t="n">
        <v>0</v>
      </c>
      <c r="L457" t="n">
        <v>0</v>
      </c>
      <c r="M457" t="n">
        <v>0</v>
      </c>
      <c r="N457" t="n">
        <v>0</v>
      </c>
      <c r="O457" t="n">
        <v>0</v>
      </c>
      <c r="P457" t="n">
        <v>0</v>
      </c>
      <c r="Q457" t="n">
        <v>0</v>
      </c>
      <c r="R457" s="2" t="inlineStr"/>
    </row>
    <row r="458" ht="15" customHeight="1">
      <c r="A458" t="inlineStr">
        <is>
          <t>A 25987-2024</t>
        </is>
      </c>
      <c r="B458" s="1" t="n">
        <v>45467.74417824074</v>
      </c>
      <c r="C458" s="1" t="n">
        <v>45889</v>
      </c>
      <c r="D458" t="inlineStr">
        <is>
          <t>KALMAR LÄN</t>
        </is>
      </c>
      <c r="E458" t="inlineStr">
        <is>
          <t>VIMMERBY</t>
        </is>
      </c>
      <c r="G458" t="n">
        <v>0.8</v>
      </c>
      <c r="H458" t="n">
        <v>0</v>
      </c>
      <c r="I458" t="n">
        <v>0</v>
      </c>
      <c r="J458" t="n">
        <v>0</v>
      </c>
      <c r="K458" t="n">
        <v>0</v>
      </c>
      <c r="L458" t="n">
        <v>0</v>
      </c>
      <c r="M458" t="n">
        <v>0</v>
      </c>
      <c r="N458" t="n">
        <v>0</v>
      </c>
      <c r="O458" t="n">
        <v>0</v>
      </c>
      <c r="P458" t="n">
        <v>0</v>
      </c>
      <c r="Q458" t="n">
        <v>0</v>
      </c>
      <c r="R458" s="2" t="inlineStr"/>
    </row>
    <row r="459" ht="15" customHeight="1">
      <c r="A459" t="inlineStr">
        <is>
          <t>A 30406-2023</t>
        </is>
      </c>
      <c r="B459" s="1" t="n">
        <v>45111.48787037037</v>
      </c>
      <c r="C459" s="1" t="n">
        <v>45889</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25109-2023</t>
        </is>
      </c>
      <c r="B460" s="1" t="n">
        <v>45086</v>
      </c>
      <c r="C460" s="1" t="n">
        <v>45889</v>
      </c>
      <c r="D460" t="inlineStr">
        <is>
          <t>KALMAR LÄN</t>
        </is>
      </c>
      <c r="E460" t="inlineStr">
        <is>
          <t>VIMMERBY</t>
        </is>
      </c>
      <c r="G460" t="n">
        <v>1.5</v>
      </c>
      <c r="H460" t="n">
        <v>0</v>
      </c>
      <c r="I460" t="n">
        <v>0</v>
      </c>
      <c r="J460" t="n">
        <v>0</v>
      </c>
      <c r="K460" t="n">
        <v>0</v>
      </c>
      <c r="L460" t="n">
        <v>0</v>
      </c>
      <c r="M460" t="n">
        <v>0</v>
      </c>
      <c r="N460" t="n">
        <v>0</v>
      </c>
      <c r="O460" t="n">
        <v>0</v>
      </c>
      <c r="P460" t="n">
        <v>0</v>
      </c>
      <c r="Q460" t="n">
        <v>0</v>
      </c>
      <c r="R460" s="2" t="inlineStr"/>
    </row>
    <row r="461" ht="15" customHeight="1">
      <c r="A461" t="inlineStr">
        <is>
          <t>A 61878-2020</t>
        </is>
      </c>
      <c r="B461" s="1" t="n">
        <v>44159</v>
      </c>
      <c r="C461" s="1" t="n">
        <v>45889</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33352-2022</t>
        </is>
      </c>
      <c r="B462" s="1" t="n">
        <v>44788</v>
      </c>
      <c r="C462" s="1" t="n">
        <v>45889</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62023-2022</t>
        </is>
      </c>
      <c r="B463" s="1" t="n">
        <v>44918.50106481482</v>
      </c>
      <c r="C463" s="1" t="n">
        <v>45889</v>
      </c>
      <c r="D463" t="inlineStr">
        <is>
          <t>KALMAR LÄN</t>
        </is>
      </c>
      <c r="E463" t="inlineStr">
        <is>
          <t>VIMMERBY</t>
        </is>
      </c>
      <c r="G463" t="n">
        <v>0.3</v>
      </c>
      <c r="H463" t="n">
        <v>0</v>
      </c>
      <c r="I463" t="n">
        <v>0</v>
      </c>
      <c r="J463" t="n">
        <v>0</v>
      </c>
      <c r="K463" t="n">
        <v>0</v>
      </c>
      <c r="L463" t="n">
        <v>0</v>
      </c>
      <c r="M463" t="n">
        <v>0</v>
      </c>
      <c r="N463" t="n">
        <v>0</v>
      </c>
      <c r="O463" t="n">
        <v>0</v>
      </c>
      <c r="P463" t="n">
        <v>0</v>
      </c>
      <c r="Q463" t="n">
        <v>0</v>
      </c>
      <c r="R463" s="2" t="inlineStr"/>
    </row>
    <row r="464" ht="15" customHeight="1">
      <c r="A464" t="inlineStr">
        <is>
          <t>A 46234-2024</t>
        </is>
      </c>
      <c r="B464" s="1" t="n">
        <v>45581.57958333333</v>
      </c>
      <c r="C464" s="1" t="n">
        <v>45889</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29020-2024</t>
        </is>
      </c>
      <c r="B465" s="1" t="n">
        <v>45481.58048611111</v>
      </c>
      <c r="C465" s="1" t="n">
        <v>45889</v>
      </c>
      <c r="D465" t="inlineStr">
        <is>
          <t>KALMAR LÄN</t>
        </is>
      </c>
      <c r="E465" t="inlineStr">
        <is>
          <t>VIMMERBY</t>
        </is>
      </c>
      <c r="G465" t="n">
        <v>2.3</v>
      </c>
      <c r="H465" t="n">
        <v>0</v>
      </c>
      <c r="I465" t="n">
        <v>0</v>
      </c>
      <c r="J465" t="n">
        <v>0</v>
      </c>
      <c r="K465" t="n">
        <v>0</v>
      </c>
      <c r="L465" t="n">
        <v>0</v>
      </c>
      <c r="M465" t="n">
        <v>0</v>
      </c>
      <c r="N465" t="n">
        <v>0</v>
      </c>
      <c r="O465" t="n">
        <v>0</v>
      </c>
      <c r="P465" t="n">
        <v>0</v>
      </c>
      <c r="Q465" t="n">
        <v>0</v>
      </c>
      <c r="R465" s="2" t="inlineStr"/>
    </row>
    <row r="466" ht="15" customHeight="1">
      <c r="A466" t="inlineStr">
        <is>
          <t>A 39053-2024</t>
        </is>
      </c>
      <c r="B466" s="1" t="n">
        <v>45548</v>
      </c>
      <c r="C466" s="1" t="n">
        <v>45889</v>
      </c>
      <c r="D466" t="inlineStr">
        <is>
          <t>KALMAR LÄN</t>
        </is>
      </c>
      <c r="E466" t="inlineStr">
        <is>
          <t>VIMMERBY</t>
        </is>
      </c>
      <c r="G466" t="n">
        <v>5</v>
      </c>
      <c r="H466" t="n">
        <v>0</v>
      </c>
      <c r="I466" t="n">
        <v>0</v>
      </c>
      <c r="J466" t="n">
        <v>0</v>
      </c>
      <c r="K466" t="n">
        <v>0</v>
      </c>
      <c r="L466" t="n">
        <v>0</v>
      </c>
      <c r="M466" t="n">
        <v>0</v>
      </c>
      <c r="N466" t="n">
        <v>0</v>
      </c>
      <c r="O466" t="n">
        <v>0</v>
      </c>
      <c r="P466" t="n">
        <v>0</v>
      </c>
      <c r="Q466" t="n">
        <v>0</v>
      </c>
      <c r="R466" s="2" t="inlineStr"/>
    </row>
    <row r="467" ht="15" customHeight="1">
      <c r="A467" t="inlineStr">
        <is>
          <t>A 58104-2024</t>
        </is>
      </c>
      <c r="B467" s="1" t="n">
        <v>45632.37459490741</v>
      </c>
      <c r="C467" s="1" t="n">
        <v>45889</v>
      </c>
      <c r="D467" t="inlineStr">
        <is>
          <t>KALMAR LÄN</t>
        </is>
      </c>
      <c r="E467" t="inlineStr">
        <is>
          <t>VIMMERBY</t>
        </is>
      </c>
      <c r="G467" t="n">
        <v>5</v>
      </c>
      <c r="H467" t="n">
        <v>0</v>
      </c>
      <c r="I467" t="n">
        <v>0</v>
      </c>
      <c r="J467" t="n">
        <v>0</v>
      </c>
      <c r="K467" t="n">
        <v>0</v>
      </c>
      <c r="L467" t="n">
        <v>0</v>
      </c>
      <c r="M467" t="n">
        <v>0</v>
      </c>
      <c r="N467" t="n">
        <v>0</v>
      </c>
      <c r="O467" t="n">
        <v>0</v>
      </c>
      <c r="P467" t="n">
        <v>0</v>
      </c>
      <c r="Q467" t="n">
        <v>0</v>
      </c>
      <c r="R467" s="2" t="inlineStr"/>
    </row>
    <row r="468" ht="15" customHeight="1">
      <c r="A468" t="inlineStr">
        <is>
          <t>A 12215-2024</t>
        </is>
      </c>
      <c r="B468" s="1" t="n">
        <v>45378.32185185186</v>
      </c>
      <c r="C468" s="1" t="n">
        <v>45889</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30920-2024</t>
        </is>
      </c>
      <c r="B469" s="1" t="n">
        <v>45498.673125</v>
      </c>
      <c r="C469" s="1" t="n">
        <v>45889</v>
      </c>
      <c r="D469" t="inlineStr">
        <is>
          <t>KALMAR LÄN</t>
        </is>
      </c>
      <c r="E469" t="inlineStr">
        <is>
          <t>VIMMERBY</t>
        </is>
      </c>
      <c r="G469" t="n">
        <v>1.3</v>
      </c>
      <c r="H469" t="n">
        <v>0</v>
      </c>
      <c r="I469" t="n">
        <v>0</v>
      </c>
      <c r="J469" t="n">
        <v>0</v>
      </c>
      <c r="K469" t="n">
        <v>0</v>
      </c>
      <c r="L469" t="n">
        <v>0</v>
      </c>
      <c r="M469" t="n">
        <v>0</v>
      </c>
      <c r="N469" t="n">
        <v>0</v>
      </c>
      <c r="O469" t="n">
        <v>0</v>
      </c>
      <c r="P469" t="n">
        <v>0</v>
      </c>
      <c r="Q469" t="n">
        <v>0</v>
      </c>
      <c r="R469" s="2" t="inlineStr"/>
    </row>
    <row r="470" ht="15" customHeight="1">
      <c r="A470" t="inlineStr">
        <is>
          <t>A 56536-2022</t>
        </is>
      </c>
      <c r="B470" s="1" t="n">
        <v>44893</v>
      </c>
      <c r="C470" s="1" t="n">
        <v>45889</v>
      </c>
      <c r="D470" t="inlineStr">
        <is>
          <t>KALMAR LÄN</t>
        </is>
      </c>
      <c r="E470" t="inlineStr">
        <is>
          <t>VIMMERBY</t>
        </is>
      </c>
      <c r="G470" t="n">
        <v>3.2</v>
      </c>
      <c r="H470" t="n">
        <v>0</v>
      </c>
      <c r="I470" t="n">
        <v>0</v>
      </c>
      <c r="J470" t="n">
        <v>0</v>
      </c>
      <c r="K470" t="n">
        <v>0</v>
      </c>
      <c r="L470" t="n">
        <v>0</v>
      </c>
      <c r="M470" t="n">
        <v>0</v>
      </c>
      <c r="N470" t="n">
        <v>0</v>
      </c>
      <c r="O470" t="n">
        <v>0</v>
      </c>
      <c r="P470" t="n">
        <v>0</v>
      </c>
      <c r="Q470" t="n">
        <v>0</v>
      </c>
      <c r="R470" s="2" t="inlineStr"/>
    </row>
    <row r="471" ht="15" customHeight="1">
      <c r="A471" t="inlineStr">
        <is>
          <t>A 15449-2023</t>
        </is>
      </c>
      <c r="B471" s="1" t="n">
        <v>45020</v>
      </c>
      <c r="C471" s="1" t="n">
        <v>45889</v>
      </c>
      <c r="D471" t="inlineStr">
        <is>
          <t>KALMAR LÄN</t>
        </is>
      </c>
      <c r="E471" t="inlineStr">
        <is>
          <t>VIMMERBY</t>
        </is>
      </c>
      <c r="G471" t="n">
        <v>0.5</v>
      </c>
      <c r="H471" t="n">
        <v>0</v>
      </c>
      <c r="I471" t="n">
        <v>0</v>
      </c>
      <c r="J471" t="n">
        <v>0</v>
      </c>
      <c r="K471" t="n">
        <v>0</v>
      </c>
      <c r="L471" t="n">
        <v>0</v>
      </c>
      <c r="M471" t="n">
        <v>0</v>
      </c>
      <c r="N471" t="n">
        <v>0</v>
      </c>
      <c r="O471" t="n">
        <v>0</v>
      </c>
      <c r="P471" t="n">
        <v>0</v>
      </c>
      <c r="Q471" t="n">
        <v>0</v>
      </c>
      <c r="R471" s="2" t="inlineStr"/>
    </row>
    <row r="472" ht="15" customHeight="1">
      <c r="A472" t="inlineStr">
        <is>
          <t>A 63541-2023</t>
        </is>
      </c>
      <c r="B472" s="1" t="n">
        <v>45275.32266203704</v>
      </c>
      <c r="C472" s="1" t="n">
        <v>45889</v>
      </c>
      <c r="D472" t="inlineStr">
        <is>
          <t>KALMAR LÄN</t>
        </is>
      </c>
      <c r="E472" t="inlineStr">
        <is>
          <t>VIMMERBY</t>
        </is>
      </c>
      <c r="G472" t="n">
        <v>1.1</v>
      </c>
      <c r="H472" t="n">
        <v>0</v>
      </c>
      <c r="I472" t="n">
        <v>0</v>
      </c>
      <c r="J472" t="n">
        <v>0</v>
      </c>
      <c r="K472" t="n">
        <v>0</v>
      </c>
      <c r="L472" t="n">
        <v>0</v>
      </c>
      <c r="M472" t="n">
        <v>0</v>
      </c>
      <c r="N472" t="n">
        <v>0</v>
      </c>
      <c r="O472" t="n">
        <v>0</v>
      </c>
      <c r="P472" t="n">
        <v>0</v>
      </c>
      <c r="Q472" t="n">
        <v>0</v>
      </c>
      <c r="R472" s="2" t="inlineStr"/>
    </row>
    <row r="473" ht="15" customHeight="1">
      <c r="A473" t="inlineStr">
        <is>
          <t>A 37323-2024</t>
        </is>
      </c>
      <c r="B473" s="1" t="n">
        <v>45540.50098379629</v>
      </c>
      <c r="C473" s="1" t="n">
        <v>45889</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43594-2024</t>
        </is>
      </c>
      <c r="B474" s="1" t="n">
        <v>45569.44295138889</v>
      </c>
      <c r="C474" s="1" t="n">
        <v>45889</v>
      </c>
      <c r="D474" t="inlineStr">
        <is>
          <t>KALMAR LÄN</t>
        </is>
      </c>
      <c r="E474" t="inlineStr">
        <is>
          <t>VIMMERBY</t>
        </is>
      </c>
      <c r="G474" t="n">
        <v>3.9</v>
      </c>
      <c r="H474" t="n">
        <v>0</v>
      </c>
      <c r="I474" t="n">
        <v>0</v>
      </c>
      <c r="J474" t="n">
        <v>0</v>
      </c>
      <c r="K474" t="n">
        <v>0</v>
      </c>
      <c r="L474" t="n">
        <v>0</v>
      </c>
      <c r="M474" t="n">
        <v>0</v>
      </c>
      <c r="N474" t="n">
        <v>0</v>
      </c>
      <c r="O474" t="n">
        <v>0</v>
      </c>
      <c r="P474" t="n">
        <v>0</v>
      </c>
      <c r="Q474" t="n">
        <v>0</v>
      </c>
      <c r="R474" s="2" t="inlineStr"/>
    </row>
    <row r="475" ht="15" customHeight="1">
      <c r="A475" t="inlineStr">
        <is>
          <t>A 17486-2024</t>
        </is>
      </c>
      <c r="B475" s="1" t="n">
        <v>45415.48979166667</v>
      </c>
      <c r="C475" s="1" t="n">
        <v>45889</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14248-2023</t>
        </is>
      </c>
      <c r="B476" s="1" t="n">
        <v>45009</v>
      </c>
      <c r="C476" s="1" t="n">
        <v>45889</v>
      </c>
      <c r="D476" t="inlineStr">
        <is>
          <t>KALMAR LÄN</t>
        </is>
      </c>
      <c r="E476" t="inlineStr">
        <is>
          <t>VIMMERBY</t>
        </is>
      </c>
      <c r="G476" t="n">
        <v>2.6</v>
      </c>
      <c r="H476" t="n">
        <v>0</v>
      </c>
      <c r="I476" t="n">
        <v>0</v>
      </c>
      <c r="J476" t="n">
        <v>0</v>
      </c>
      <c r="K476" t="n">
        <v>0</v>
      </c>
      <c r="L476" t="n">
        <v>0</v>
      </c>
      <c r="M476" t="n">
        <v>0</v>
      </c>
      <c r="N476" t="n">
        <v>0</v>
      </c>
      <c r="O476" t="n">
        <v>0</v>
      </c>
      <c r="P476" t="n">
        <v>0</v>
      </c>
      <c r="Q476" t="n">
        <v>0</v>
      </c>
      <c r="R476" s="2" t="inlineStr"/>
    </row>
    <row r="477" ht="15" customHeight="1">
      <c r="A477" t="inlineStr">
        <is>
          <t>A 54917-2020</t>
        </is>
      </c>
      <c r="B477" s="1" t="n">
        <v>44127</v>
      </c>
      <c r="C477" s="1" t="n">
        <v>45889</v>
      </c>
      <c r="D477" t="inlineStr">
        <is>
          <t>KALMAR LÄN</t>
        </is>
      </c>
      <c r="E477" t="inlineStr">
        <is>
          <t>VIMMERBY</t>
        </is>
      </c>
      <c r="G477" t="n">
        <v>9.5</v>
      </c>
      <c r="H477" t="n">
        <v>0</v>
      </c>
      <c r="I477" t="n">
        <v>0</v>
      </c>
      <c r="J477" t="n">
        <v>0</v>
      </c>
      <c r="K477" t="n">
        <v>0</v>
      </c>
      <c r="L477" t="n">
        <v>0</v>
      </c>
      <c r="M477" t="n">
        <v>0</v>
      </c>
      <c r="N477" t="n">
        <v>0</v>
      </c>
      <c r="O477" t="n">
        <v>0</v>
      </c>
      <c r="P477" t="n">
        <v>0</v>
      </c>
      <c r="Q477" t="n">
        <v>0</v>
      </c>
      <c r="R477" s="2" t="inlineStr"/>
    </row>
    <row r="478" ht="15" customHeight="1">
      <c r="A478" t="inlineStr">
        <is>
          <t>A 11429-2022</t>
        </is>
      </c>
      <c r="B478" s="1" t="n">
        <v>44630</v>
      </c>
      <c r="C478" s="1" t="n">
        <v>45889</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56582-2022</t>
        </is>
      </c>
      <c r="B479" s="1" t="n">
        <v>44893</v>
      </c>
      <c r="C479" s="1" t="n">
        <v>45889</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30400-2023</t>
        </is>
      </c>
      <c r="B480" s="1" t="n">
        <v>45111.48225694444</v>
      </c>
      <c r="C480" s="1" t="n">
        <v>45889</v>
      </c>
      <c r="D480" t="inlineStr">
        <is>
          <t>KALMAR LÄN</t>
        </is>
      </c>
      <c r="E480" t="inlineStr">
        <is>
          <t>VIMMERBY</t>
        </is>
      </c>
      <c r="G480" t="n">
        <v>2.7</v>
      </c>
      <c r="H480" t="n">
        <v>0</v>
      </c>
      <c r="I480" t="n">
        <v>0</v>
      </c>
      <c r="J480" t="n">
        <v>0</v>
      </c>
      <c r="K480" t="n">
        <v>0</v>
      </c>
      <c r="L480" t="n">
        <v>0</v>
      </c>
      <c r="M480" t="n">
        <v>0</v>
      </c>
      <c r="N480" t="n">
        <v>0</v>
      </c>
      <c r="O480" t="n">
        <v>0</v>
      </c>
      <c r="P480" t="n">
        <v>0</v>
      </c>
      <c r="Q480" t="n">
        <v>0</v>
      </c>
      <c r="R480" s="2" t="inlineStr"/>
    </row>
    <row r="481" ht="15" customHeight="1">
      <c r="A481" t="inlineStr">
        <is>
          <t>A 30404-2023</t>
        </is>
      </c>
      <c r="B481" s="1" t="n">
        <v>45111.48636574074</v>
      </c>
      <c r="C481" s="1" t="n">
        <v>45889</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55123-2024</t>
        </is>
      </c>
      <c r="B482" s="1" t="n">
        <v>45621.46103009259</v>
      </c>
      <c r="C482" s="1" t="n">
        <v>45889</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31405-2023</t>
        </is>
      </c>
      <c r="B483" s="1" t="n">
        <v>45114.58148148148</v>
      </c>
      <c r="C483" s="1" t="n">
        <v>45889</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6408-2025</t>
        </is>
      </c>
      <c r="B484" s="1" t="n">
        <v>45699.45671296296</v>
      </c>
      <c r="C484" s="1" t="n">
        <v>45889</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24707-2024</t>
        </is>
      </c>
      <c r="B485" s="1" t="n">
        <v>45460.62172453704</v>
      </c>
      <c r="C485" s="1" t="n">
        <v>45889</v>
      </c>
      <c r="D485" t="inlineStr">
        <is>
          <t>KALMAR LÄN</t>
        </is>
      </c>
      <c r="E485" t="inlineStr">
        <is>
          <t>VIMMERBY</t>
        </is>
      </c>
      <c r="G485" t="n">
        <v>1.7</v>
      </c>
      <c r="H485" t="n">
        <v>0</v>
      </c>
      <c r="I485" t="n">
        <v>0</v>
      </c>
      <c r="J485" t="n">
        <v>0</v>
      </c>
      <c r="K485" t="n">
        <v>0</v>
      </c>
      <c r="L485" t="n">
        <v>0</v>
      </c>
      <c r="M485" t="n">
        <v>0</v>
      </c>
      <c r="N485" t="n">
        <v>0</v>
      </c>
      <c r="O485" t="n">
        <v>0</v>
      </c>
      <c r="P485" t="n">
        <v>0</v>
      </c>
      <c r="Q485" t="n">
        <v>0</v>
      </c>
      <c r="R485" s="2" t="inlineStr"/>
    </row>
    <row r="486" ht="15" customHeight="1">
      <c r="A486" t="inlineStr">
        <is>
          <t>A 11609-2023</t>
        </is>
      </c>
      <c r="B486" s="1" t="n">
        <v>44994.40635416667</v>
      </c>
      <c r="C486" s="1" t="n">
        <v>45889</v>
      </c>
      <c r="D486" t="inlineStr">
        <is>
          <t>KALMAR LÄN</t>
        </is>
      </c>
      <c r="E486" t="inlineStr">
        <is>
          <t>VIMMERBY</t>
        </is>
      </c>
      <c r="G486" t="n">
        <v>4.9</v>
      </c>
      <c r="H486" t="n">
        <v>0</v>
      </c>
      <c r="I486" t="n">
        <v>0</v>
      </c>
      <c r="J486" t="n">
        <v>0</v>
      </c>
      <c r="K486" t="n">
        <v>0</v>
      </c>
      <c r="L486" t="n">
        <v>0</v>
      </c>
      <c r="M486" t="n">
        <v>0</v>
      </c>
      <c r="N486" t="n">
        <v>0</v>
      </c>
      <c r="O486" t="n">
        <v>0</v>
      </c>
      <c r="P486" t="n">
        <v>0</v>
      </c>
      <c r="Q486" t="n">
        <v>0</v>
      </c>
      <c r="R486" s="2" t="inlineStr"/>
    </row>
    <row r="487" ht="15" customHeight="1">
      <c r="A487" t="inlineStr">
        <is>
          <t>A 22014-2025</t>
        </is>
      </c>
      <c r="B487" s="1" t="n">
        <v>45784.74996527778</v>
      </c>
      <c r="C487" s="1" t="n">
        <v>45889</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44464-2024</t>
        </is>
      </c>
      <c r="B488" s="1" t="n">
        <v>45574.35809027778</v>
      </c>
      <c r="C488" s="1" t="n">
        <v>45889</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36049-2024</t>
        </is>
      </c>
      <c r="B489" s="1" t="n">
        <v>45533.61996527778</v>
      </c>
      <c r="C489" s="1" t="n">
        <v>45889</v>
      </c>
      <c r="D489" t="inlineStr">
        <is>
          <t>KALMAR LÄN</t>
        </is>
      </c>
      <c r="E489" t="inlineStr">
        <is>
          <t>VIMMERBY</t>
        </is>
      </c>
      <c r="F489" t="inlineStr">
        <is>
          <t>Kommuner</t>
        </is>
      </c>
      <c r="G489" t="n">
        <v>2.6</v>
      </c>
      <c r="H489" t="n">
        <v>0</v>
      </c>
      <c r="I489" t="n">
        <v>0</v>
      </c>
      <c r="J489" t="n">
        <v>0</v>
      </c>
      <c r="K489" t="n">
        <v>0</v>
      </c>
      <c r="L489" t="n">
        <v>0</v>
      </c>
      <c r="M489" t="n">
        <v>0</v>
      </c>
      <c r="N489" t="n">
        <v>0</v>
      </c>
      <c r="O489" t="n">
        <v>0</v>
      </c>
      <c r="P489" t="n">
        <v>0</v>
      </c>
      <c r="Q489" t="n">
        <v>0</v>
      </c>
      <c r="R489" s="2" t="inlineStr"/>
    </row>
    <row r="490" ht="15" customHeight="1">
      <c r="A490" t="inlineStr">
        <is>
          <t>A 58159-2024</t>
        </is>
      </c>
      <c r="B490" s="1" t="n">
        <v>45632.44886574074</v>
      </c>
      <c r="C490" s="1" t="n">
        <v>45889</v>
      </c>
      <c r="D490" t="inlineStr">
        <is>
          <t>KALMAR LÄN</t>
        </is>
      </c>
      <c r="E490" t="inlineStr">
        <is>
          <t>VIMMERBY</t>
        </is>
      </c>
      <c r="G490" t="n">
        <v>7.5</v>
      </c>
      <c r="H490" t="n">
        <v>0</v>
      </c>
      <c r="I490" t="n">
        <v>0</v>
      </c>
      <c r="J490" t="n">
        <v>0</v>
      </c>
      <c r="K490" t="n">
        <v>0</v>
      </c>
      <c r="L490" t="n">
        <v>0</v>
      </c>
      <c r="M490" t="n">
        <v>0</v>
      </c>
      <c r="N490" t="n">
        <v>0</v>
      </c>
      <c r="O490" t="n">
        <v>0</v>
      </c>
      <c r="P490" t="n">
        <v>0</v>
      </c>
      <c r="Q490" t="n">
        <v>0</v>
      </c>
      <c r="R490" s="2" t="inlineStr"/>
    </row>
    <row r="491" ht="15" customHeight="1">
      <c r="A491" t="inlineStr">
        <is>
          <t>A 14359-2025</t>
        </is>
      </c>
      <c r="B491" s="1" t="n">
        <v>45741.37270833334</v>
      </c>
      <c r="C491" s="1" t="n">
        <v>45889</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41066-2024</t>
        </is>
      </c>
      <c r="B492" s="1" t="n">
        <v>45559.38876157408</v>
      </c>
      <c r="C492" s="1" t="n">
        <v>45889</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25582-2024</t>
        </is>
      </c>
      <c r="B493" s="1" t="n">
        <v>45463</v>
      </c>
      <c r="C493" s="1" t="n">
        <v>45889</v>
      </c>
      <c r="D493" t="inlineStr">
        <is>
          <t>KALMAR LÄN</t>
        </is>
      </c>
      <c r="E493" t="inlineStr">
        <is>
          <t>VIMMERBY</t>
        </is>
      </c>
      <c r="G493" t="n">
        <v>1.4</v>
      </c>
      <c r="H493" t="n">
        <v>0</v>
      </c>
      <c r="I493" t="n">
        <v>0</v>
      </c>
      <c r="J493" t="n">
        <v>0</v>
      </c>
      <c r="K493" t="n">
        <v>0</v>
      </c>
      <c r="L493" t="n">
        <v>0</v>
      </c>
      <c r="M493" t="n">
        <v>0</v>
      </c>
      <c r="N493" t="n">
        <v>0</v>
      </c>
      <c r="O493" t="n">
        <v>0</v>
      </c>
      <c r="P493" t="n">
        <v>0</v>
      </c>
      <c r="Q493" t="n">
        <v>0</v>
      </c>
      <c r="R493" s="2" t="inlineStr"/>
    </row>
    <row r="494" ht="15" customHeight="1">
      <c r="A494" t="inlineStr">
        <is>
          <t>A 39578-2024</t>
        </is>
      </c>
      <c r="B494" s="1" t="n">
        <v>45552.36484953704</v>
      </c>
      <c r="C494" s="1" t="n">
        <v>45889</v>
      </c>
      <c r="D494" t="inlineStr">
        <is>
          <t>KALMAR LÄN</t>
        </is>
      </c>
      <c r="E494" t="inlineStr">
        <is>
          <t>VIMMERBY</t>
        </is>
      </c>
      <c r="G494" t="n">
        <v>1.5</v>
      </c>
      <c r="H494" t="n">
        <v>0</v>
      </c>
      <c r="I494" t="n">
        <v>0</v>
      </c>
      <c r="J494" t="n">
        <v>0</v>
      </c>
      <c r="K494" t="n">
        <v>0</v>
      </c>
      <c r="L494" t="n">
        <v>0</v>
      </c>
      <c r="M494" t="n">
        <v>0</v>
      </c>
      <c r="N494" t="n">
        <v>0</v>
      </c>
      <c r="O494" t="n">
        <v>0</v>
      </c>
      <c r="P494" t="n">
        <v>0</v>
      </c>
      <c r="Q494" t="n">
        <v>0</v>
      </c>
      <c r="R494" s="2" t="inlineStr"/>
    </row>
    <row r="495" ht="15" customHeight="1">
      <c r="A495" t="inlineStr">
        <is>
          <t>A 57578-2024</t>
        </is>
      </c>
      <c r="B495" s="1" t="n">
        <v>45630.47564814815</v>
      </c>
      <c r="C495" s="1" t="n">
        <v>45889</v>
      </c>
      <c r="D495" t="inlineStr">
        <is>
          <t>KALMAR LÄN</t>
        </is>
      </c>
      <c r="E495" t="inlineStr">
        <is>
          <t>VIMMERBY</t>
        </is>
      </c>
      <c r="G495" t="n">
        <v>2.6</v>
      </c>
      <c r="H495" t="n">
        <v>0</v>
      </c>
      <c r="I495" t="n">
        <v>0</v>
      </c>
      <c r="J495" t="n">
        <v>0</v>
      </c>
      <c r="K495" t="n">
        <v>0</v>
      </c>
      <c r="L495" t="n">
        <v>0</v>
      </c>
      <c r="M495" t="n">
        <v>0</v>
      </c>
      <c r="N495" t="n">
        <v>0</v>
      </c>
      <c r="O495" t="n">
        <v>0</v>
      </c>
      <c r="P495" t="n">
        <v>0</v>
      </c>
      <c r="Q495" t="n">
        <v>0</v>
      </c>
      <c r="R495" s="2" t="inlineStr"/>
    </row>
    <row r="496" ht="15" customHeight="1">
      <c r="A496" t="inlineStr">
        <is>
          <t>A 62779-2023</t>
        </is>
      </c>
      <c r="B496" s="1" t="n">
        <v>45271.66576388889</v>
      </c>
      <c r="C496" s="1" t="n">
        <v>45889</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46399-2024</t>
        </is>
      </c>
      <c r="B497" s="1" t="n">
        <v>45582.41200231481</v>
      </c>
      <c r="C497" s="1" t="n">
        <v>45889</v>
      </c>
      <c r="D497" t="inlineStr">
        <is>
          <t>KALMAR LÄN</t>
        </is>
      </c>
      <c r="E497" t="inlineStr">
        <is>
          <t>VIMMERBY</t>
        </is>
      </c>
      <c r="G497" t="n">
        <v>4.6</v>
      </c>
      <c r="H497" t="n">
        <v>0</v>
      </c>
      <c r="I497" t="n">
        <v>0</v>
      </c>
      <c r="J497" t="n">
        <v>0</v>
      </c>
      <c r="K497" t="n">
        <v>0</v>
      </c>
      <c r="L497" t="n">
        <v>0</v>
      </c>
      <c r="M497" t="n">
        <v>0</v>
      </c>
      <c r="N497" t="n">
        <v>0</v>
      </c>
      <c r="O497" t="n">
        <v>0</v>
      </c>
      <c r="P497" t="n">
        <v>0</v>
      </c>
      <c r="Q497" t="n">
        <v>0</v>
      </c>
      <c r="R497" s="2" t="inlineStr"/>
    </row>
    <row r="498" ht="15" customHeight="1">
      <c r="A498" t="inlineStr">
        <is>
          <t>A 3816-2022</t>
        </is>
      </c>
      <c r="B498" s="1" t="n">
        <v>44587</v>
      </c>
      <c r="C498" s="1" t="n">
        <v>45889</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3425-2022</t>
        </is>
      </c>
      <c r="B499" s="1" t="n">
        <v>44585.51060185185</v>
      </c>
      <c r="C499" s="1" t="n">
        <v>45889</v>
      </c>
      <c r="D499" t="inlineStr">
        <is>
          <t>KALMAR LÄN</t>
        </is>
      </c>
      <c r="E499" t="inlineStr">
        <is>
          <t>VIMMERBY</t>
        </is>
      </c>
      <c r="G499" t="n">
        <v>1.3</v>
      </c>
      <c r="H499" t="n">
        <v>0</v>
      </c>
      <c r="I499" t="n">
        <v>0</v>
      </c>
      <c r="J499" t="n">
        <v>0</v>
      </c>
      <c r="K499" t="n">
        <v>0</v>
      </c>
      <c r="L499" t="n">
        <v>0</v>
      </c>
      <c r="M499" t="n">
        <v>0</v>
      </c>
      <c r="N499" t="n">
        <v>0</v>
      </c>
      <c r="O499" t="n">
        <v>0</v>
      </c>
      <c r="P499" t="n">
        <v>0</v>
      </c>
      <c r="Q499" t="n">
        <v>0</v>
      </c>
      <c r="R499" s="2" t="inlineStr"/>
    </row>
    <row r="500" ht="15" customHeight="1">
      <c r="A500" t="inlineStr">
        <is>
          <t>A 43962-2024</t>
        </is>
      </c>
      <c r="B500" s="1" t="n">
        <v>45572.48293981481</v>
      </c>
      <c r="C500" s="1" t="n">
        <v>45889</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12810-2023</t>
        </is>
      </c>
      <c r="B501" s="1" t="n">
        <v>45001.43854166667</v>
      </c>
      <c r="C501" s="1" t="n">
        <v>45889</v>
      </c>
      <c r="D501" t="inlineStr">
        <is>
          <t>KALMAR LÄN</t>
        </is>
      </c>
      <c r="E501" t="inlineStr">
        <is>
          <t>VIMMERBY</t>
        </is>
      </c>
      <c r="G501" t="n">
        <v>1.5</v>
      </c>
      <c r="H501" t="n">
        <v>0</v>
      </c>
      <c r="I501" t="n">
        <v>0</v>
      </c>
      <c r="J501" t="n">
        <v>0</v>
      </c>
      <c r="K501" t="n">
        <v>0</v>
      </c>
      <c r="L501" t="n">
        <v>0</v>
      </c>
      <c r="M501" t="n">
        <v>0</v>
      </c>
      <c r="N501" t="n">
        <v>0</v>
      </c>
      <c r="O501" t="n">
        <v>0</v>
      </c>
      <c r="P501" t="n">
        <v>0</v>
      </c>
      <c r="Q501" t="n">
        <v>0</v>
      </c>
      <c r="R501" s="2" t="inlineStr"/>
    </row>
    <row r="502" ht="15" customHeight="1">
      <c r="A502" t="inlineStr">
        <is>
          <t>A 43068-2023</t>
        </is>
      </c>
      <c r="B502" s="1" t="n">
        <v>45182.78834490741</v>
      </c>
      <c r="C502" s="1" t="n">
        <v>45889</v>
      </c>
      <c r="D502" t="inlineStr">
        <is>
          <t>KALMAR LÄN</t>
        </is>
      </c>
      <c r="E502" t="inlineStr">
        <is>
          <t>VIMMERBY</t>
        </is>
      </c>
      <c r="G502" t="n">
        <v>1.5</v>
      </c>
      <c r="H502" t="n">
        <v>0</v>
      </c>
      <c r="I502" t="n">
        <v>0</v>
      </c>
      <c r="J502" t="n">
        <v>0</v>
      </c>
      <c r="K502" t="n">
        <v>0</v>
      </c>
      <c r="L502" t="n">
        <v>0</v>
      </c>
      <c r="M502" t="n">
        <v>0</v>
      </c>
      <c r="N502" t="n">
        <v>0</v>
      </c>
      <c r="O502" t="n">
        <v>0</v>
      </c>
      <c r="P502" t="n">
        <v>0</v>
      </c>
      <c r="Q502" t="n">
        <v>0</v>
      </c>
      <c r="R502" s="2" t="inlineStr"/>
    </row>
    <row r="503" ht="15" customHeight="1">
      <c r="A503" t="inlineStr">
        <is>
          <t>A 1081-2023</t>
        </is>
      </c>
      <c r="B503" s="1" t="n">
        <v>44935</v>
      </c>
      <c r="C503" s="1" t="n">
        <v>45889</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22398-2025</t>
        </is>
      </c>
      <c r="B504" s="1" t="n">
        <v>45786.52931712963</v>
      </c>
      <c r="C504" s="1" t="n">
        <v>45889</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22399-2025</t>
        </is>
      </c>
      <c r="B505" s="1" t="n">
        <v>45786.52996527778</v>
      </c>
      <c r="C505" s="1" t="n">
        <v>45889</v>
      </c>
      <c r="D505" t="inlineStr">
        <is>
          <t>KALMAR LÄN</t>
        </is>
      </c>
      <c r="E505" t="inlineStr">
        <is>
          <t>VIMMERBY</t>
        </is>
      </c>
      <c r="G505" t="n">
        <v>2.1</v>
      </c>
      <c r="H505" t="n">
        <v>0</v>
      </c>
      <c r="I505" t="n">
        <v>0</v>
      </c>
      <c r="J505" t="n">
        <v>0</v>
      </c>
      <c r="K505" t="n">
        <v>0</v>
      </c>
      <c r="L505" t="n">
        <v>0</v>
      </c>
      <c r="M505" t="n">
        <v>0</v>
      </c>
      <c r="N505" t="n">
        <v>0</v>
      </c>
      <c r="O505" t="n">
        <v>0</v>
      </c>
      <c r="P505" t="n">
        <v>0</v>
      </c>
      <c r="Q505" t="n">
        <v>0</v>
      </c>
      <c r="R505" s="2" t="inlineStr"/>
    </row>
    <row r="506" ht="15" customHeight="1">
      <c r="A506" t="inlineStr">
        <is>
          <t>A 7047-2022</t>
        </is>
      </c>
      <c r="B506" s="1" t="n">
        <v>44603</v>
      </c>
      <c r="C506" s="1" t="n">
        <v>45889</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12499-2023</t>
        </is>
      </c>
      <c r="B507" s="1" t="n">
        <v>44999.86172453704</v>
      </c>
      <c r="C507" s="1" t="n">
        <v>45889</v>
      </c>
      <c r="D507" t="inlineStr">
        <is>
          <t>KALMAR LÄN</t>
        </is>
      </c>
      <c r="E507" t="inlineStr">
        <is>
          <t>VIMMERBY</t>
        </is>
      </c>
      <c r="G507" t="n">
        <v>0.8</v>
      </c>
      <c r="H507" t="n">
        <v>0</v>
      </c>
      <c r="I507" t="n">
        <v>0</v>
      </c>
      <c r="J507" t="n">
        <v>0</v>
      </c>
      <c r="K507" t="n">
        <v>0</v>
      </c>
      <c r="L507" t="n">
        <v>0</v>
      </c>
      <c r="M507" t="n">
        <v>0</v>
      </c>
      <c r="N507" t="n">
        <v>0</v>
      </c>
      <c r="O507" t="n">
        <v>0</v>
      </c>
      <c r="P507" t="n">
        <v>0</v>
      </c>
      <c r="Q507" t="n">
        <v>0</v>
      </c>
      <c r="R507" s="2" t="inlineStr"/>
    </row>
    <row r="508" ht="15" customHeight="1">
      <c r="A508" t="inlineStr">
        <is>
          <t>A 12500-2023</t>
        </is>
      </c>
      <c r="B508" s="1" t="n">
        <v>44999.8625</v>
      </c>
      <c r="C508" s="1" t="n">
        <v>45889</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12075-2024</t>
        </is>
      </c>
      <c r="B509" s="1" t="n">
        <v>45377</v>
      </c>
      <c r="C509" s="1" t="n">
        <v>45889</v>
      </c>
      <c r="D509" t="inlineStr">
        <is>
          <t>KALMAR LÄN</t>
        </is>
      </c>
      <c r="E509" t="inlineStr">
        <is>
          <t>VIMMERBY</t>
        </is>
      </c>
      <c r="G509" t="n">
        <v>3.7</v>
      </c>
      <c r="H509" t="n">
        <v>0</v>
      </c>
      <c r="I509" t="n">
        <v>0</v>
      </c>
      <c r="J509" t="n">
        <v>0</v>
      </c>
      <c r="K509" t="n">
        <v>0</v>
      </c>
      <c r="L509" t="n">
        <v>0</v>
      </c>
      <c r="M509" t="n">
        <v>0</v>
      </c>
      <c r="N509" t="n">
        <v>0</v>
      </c>
      <c r="O509" t="n">
        <v>0</v>
      </c>
      <c r="P509" t="n">
        <v>0</v>
      </c>
      <c r="Q509" t="n">
        <v>0</v>
      </c>
      <c r="R509" s="2" t="inlineStr"/>
    </row>
    <row r="510" ht="15" customHeight="1">
      <c r="A510" t="inlineStr">
        <is>
          <t>A 6066-2023</t>
        </is>
      </c>
      <c r="B510" s="1" t="n">
        <v>44964.50894675926</v>
      </c>
      <c r="C510" s="1" t="n">
        <v>45889</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33103-2024</t>
        </is>
      </c>
      <c r="B511" s="1" t="n">
        <v>45517.8162037037</v>
      </c>
      <c r="C511" s="1" t="n">
        <v>45889</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33161-2024</t>
        </is>
      </c>
      <c r="B512" s="1" t="n">
        <v>45518.40657407408</v>
      </c>
      <c r="C512" s="1" t="n">
        <v>45889</v>
      </c>
      <c r="D512" t="inlineStr">
        <is>
          <t>KALMAR LÄN</t>
        </is>
      </c>
      <c r="E512" t="inlineStr">
        <is>
          <t>VIMMERBY</t>
        </is>
      </c>
      <c r="G512" t="n">
        <v>4.7</v>
      </c>
      <c r="H512" t="n">
        <v>0</v>
      </c>
      <c r="I512" t="n">
        <v>0</v>
      </c>
      <c r="J512" t="n">
        <v>0</v>
      </c>
      <c r="K512" t="n">
        <v>0</v>
      </c>
      <c r="L512" t="n">
        <v>0</v>
      </c>
      <c r="M512" t="n">
        <v>0</v>
      </c>
      <c r="N512" t="n">
        <v>0</v>
      </c>
      <c r="O512" t="n">
        <v>0</v>
      </c>
      <c r="P512" t="n">
        <v>0</v>
      </c>
      <c r="Q512" t="n">
        <v>0</v>
      </c>
      <c r="R512" s="2" t="inlineStr"/>
    </row>
    <row r="513" ht="15" customHeight="1">
      <c r="A513" t="inlineStr">
        <is>
          <t>A 12510-2022</t>
        </is>
      </c>
      <c r="B513" s="1" t="n">
        <v>44638.55256944444</v>
      </c>
      <c r="C513" s="1" t="n">
        <v>45889</v>
      </c>
      <c r="D513" t="inlineStr">
        <is>
          <t>KALMAR LÄN</t>
        </is>
      </c>
      <c r="E513" t="inlineStr">
        <is>
          <t>VIMMERBY</t>
        </is>
      </c>
      <c r="G513" t="n">
        <v>2.4</v>
      </c>
      <c r="H513" t="n">
        <v>0</v>
      </c>
      <c r="I513" t="n">
        <v>0</v>
      </c>
      <c r="J513" t="n">
        <v>0</v>
      </c>
      <c r="K513" t="n">
        <v>0</v>
      </c>
      <c r="L513" t="n">
        <v>0</v>
      </c>
      <c r="M513" t="n">
        <v>0</v>
      </c>
      <c r="N513" t="n">
        <v>0</v>
      </c>
      <c r="O513" t="n">
        <v>0</v>
      </c>
      <c r="P513" t="n">
        <v>0</v>
      </c>
      <c r="Q513" t="n">
        <v>0</v>
      </c>
      <c r="R513" s="2" t="inlineStr"/>
    </row>
    <row r="514" ht="15" customHeight="1">
      <c r="A514" t="inlineStr">
        <is>
          <t>A 1146-2025</t>
        </is>
      </c>
      <c r="B514" s="1" t="n">
        <v>45666</v>
      </c>
      <c r="C514" s="1" t="n">
        <v>45889</v>
      </c>
      <c r="D514" t="inlineStr">
        <is>
          <t>KALMAR LÄN</t>
        </is>
      </c>
      <c r="E514" t="inlineStr">
        <is>
          <t>VIMMERBY</t>
        </is>
      </c>
      <c r="G514" t="n">
        <v>4</v>
      </c>
      <c r="H514" t="n">
        <v>0</v>
      </c>
      <c r="I514" t="n">
        <v>0</v>
      </c>
      <c r="J514" t="n">
        <v>0</v>
      </c>
      <c r="K514" t="n">
        <v>0</v>
      </c>
      <c r="L514" t="n">
        <v>0</v>
      </c>
      <c r="M514" t="n">
        <v>0</v>
      </c>
      <c r="N514" t="n">
        <v>0</v>
      </c>
      <c r="O514" t="n">
        <v>0</v>
      </c>
      <c r="P514" t="n">
        <v>0</v>
      </c>
      <c r="Q514" t="n">
        <v>0</v>
      </c>
      <c r="R514" s="2" t="inlineStr"/>
    </row>
    <row r="515" ht="15" customHeight="1">
      <c r="A515" t="inlineStr">
        <is>
          <t>A 1799-2025</t>
        </is>
      </c>
      <c r="B515" s="1" t="n">
        <v>45671.46746527778</v>
      </c>
      <c r="C515" s="1" t="n">
        <v>45889</v>
      </c>
      <c r="D515" t="inlineStr">
        <is>
          <t>KALMAR LÄN</t>
        </is>
      </c>
      <c r="E515" t="inlineStr">
        <is>
          <t>VIMMERBY</t>
        </is>
      </c>
      <c r="G515" t="n">
        <v>3.3</v>
      </c>
      <c r="H515" t="n">
        <v>0</v>
      </c>
      <c r="I515" t="n">
        <v>0</v>
      </c>
      <c r="J515" t="n">
        <v>0</v>
      </c>
      <c r="K515" t="n">
        <v>0</v>
      </c>
      <c r="L515" t="n">
        <v>0</v>
      </c>
      <c r="M515" t="n">
        <v>0</v>
      </c>
      <c r="N515" t="n">
        <v>0</v>
      </c>
      <c r="O515" t="n">
        <v>0</v>
      </c>
      <c r="P515" t="n">
        <v>0</v>
      </c>
      <c r="Q515" t="n">
        <v>0</v>
      </c>
      <c r="R515" s="2" t="inlineStr"/>
    </row>
    <row r="516" ht="15" customHeight="1">
      <c r="A516" t="inlineStr">
        <is>
          <t>A 12890-2023</t>
        </is>
      </c>
      <c r="B516" s="1" t="n">
        <v>45001.59209490741</v>
      </c>
      <c r="C516" s="1" t="n">
        <v>45889</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2462-2022</t>
        </is>
      </c>
      <c r="B517" s="1" t="n">
        <v>44579.62225694444</v>
      </c>
      <c r="C517" s="1" t="n">
        <v>45889</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3902-2022</t>
        </is>
      </c>
      <c r="B518" s="1" t="n">
        <v>44587.48847222222</v>
      </c>
      <c r="C518" s="1" t="n">
        <v>45889</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22397-2025</t>
        </is>
      </c>
      <c r="B519" s="1" t="n">
        <v>45786.52878472222</v>
      </c>
      <c r="C519" s="1" t="n">
        <v>45889</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89-2023</t>
        </is>
      </c>
      <c r="B520" s="1" t="n">
        <v>44918</v>
      </c>
      <c r="C520" s="1" t="n">
        <v>45889</v>
      </c>
      <c r="D520" t="inlineStr">
        <is>
          <t>KALMAR LÄN</t>
        </is>
      </c>
      <c r="E520" t="inlineStr">
        <is>
          <t>VIMMERBY</t>
        </is>
      </c>
      <c r="G520" t="n">
        <v>16.1</v>
      </c>
      <c r="H520" t="n">
        <v>0</v>
      </c>
      <c r="I520" t="n">
        <v>0</v>
      </c>
      <c r="J520" t="n">
        <v>0</v>
      </c>
      <c r="K520" t="n">
        <v>0</v>
      </c>
      <c r="L520" t="n">
        <v>0</v>
      </c>
      <c r="M520" t="n">
        <v>0</v>
      </c>
      <c r="N520" t="n">
        <v>0</v>
      </c>
      <c r="O520" t="n">
        <v>0</v>
      </c>
      <c r="P520" t="n">
        <v>0</v>
      </c>
      <c r="Q520" t="n">
        <v>0</v>
      </c>
      <c r="R520" s="2" t="inlineStr"/>
    </row>
    <row r="521" ht="15" customHeight="1">
      <c r="A521" t="inlineStr">
        <is>
          <t>A 5382-2023</t>
        </is>
      </c>
      <c r="B521" s="1" t="n">
        <v>44959.66407407408</v>
      </c>
      <c r="C521" s="1" t="n">
        <v>45889</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6668-2023</t>
        </is>
      </c>
      <c r="B522" s="1" t="n">
        <v>44966</v>
      </c>
      <c r="C522" s="1" t="n">
        <v>45889</v>
      </c>
      <c r="D522" t="inlineStr">
        <is>
          <t>KALMAR LÄN</t>
        </is>
      </c>
      <c r="E522" t="inlineStr">
        <is>
          <t>VIMMERBY</t>
        </is>
      </c>
      <c r="G522" t="n">
        <v>0.9</v>
      </c>
      <c r="H522" t="n">
        <v>0</v>
      </c>
      <c r="I522" t="n">
        <v>0</v>
      </c>
      <c r="J522" t="n">
        <v>0</v>
      </c>
      <c r="K522" t="n">
        <v>0</v>
      </c>
      <c r="L522" t="n">
        <v>0</v>
      </c>
      <c r="M522" t="n">
        <v>0</v>
      </c>
      <c r="N522" t="n">
        <v>0</v>
      </c>
      <c r="O522" t="n">
        <v>0</v>
      </c>
      <c r="P522" t="n">
        <v>0</v>
      </c>
      <c r="Q522" t="n">
        <v>0</v>
      </c>
      <c r="R522" s="2" t="inlineStr"/>
    </row>
    <row r="523" ht="15" customHeight="1">
      <c r="A523" t="inlineStr">
        <is>
          <t>A 172-2022</t>
        </is>
      </c>
      <c r="B523" s="1" t="n">
        <v>44564.62598379629</v>
      </c>
      <c r="C523" s="1" t="n">
        <v>45889</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30634-2024</t>
        </is>
      </c>
      <c r="B524" s="1" t="n">
        <v>45495</v>
      </c>
      <c r="C524" s="1" t="n">
        <v>45889</v>
      </c>
      <c r="D524" t="inlineStr">
        <is>
          <t>KALMAR LÄN</t>
        </is>
      </c>
      <c r="E524" t="inlineStr">
        <is>
          <t>VIMMERBY</t>
        </is>
      </c>
      <c r="G524" t="n">
        <v>1.2</v>
      </c>
      <c r="H524" t="n">
        <v>0</v>
      </c>
      <c r="I524" t="n">
        <v>0</v>
      </c>
      <c r="J524" t="n">
        <v>0</v>
      </c>
      <c r="K524" t="n">
        <v>0</v>
      </c>
      <c r="L524" t="n">
        <v>0</v>
      </c>
      <c r="M524" t="n">
        <v>0</v>
      </c>
      <c r="N524" t="n">
        <v>0</v>
      </c>
      <c r="O524" t="n">
        <v>0</v>
      </c>
      <c r="P524" t="n">
        <v>0</v>
      </c>
      <c r="Q524" t="n">
        <v>0</v>
      </c>
      <c r="R524" s="2" t="inlineStr"/>
    </row>
    <row r="525" ht="15" customHeight="1">
      <c r="A525" t="inlineStr">
        <is>
          <t>A 6355-2022</t>
        </is>
      </c>
      <c r="B525" s="1" t="n">
        <v>44600</v>
      </c>
      <c r="C525" s="1" t="n">
        <v>45889</v>
      </c>
      <c r="D525" t="inlineStr">
        <is>
          <t>KALMAR LÄN</t>
        </is>
      </c>
      <c r="E525" t="inlineStr">
        <is>
          <t>VIMMERBY</t>
        </is>
      </c>
      <c r="G525" t="n">
        <v>4.9</v>
      </c>
      <c r="H525" t="n">
        <v>0</v>
      </c>
      <c r="I525" t="n">
        <v>0</v>
      </c>
      <c r="J525" t="n">
        <v>0</v>
      </c>
      <c r="K525" t="n">
        <v>0</v>
      </c>
      <c r="L525" t="n">
        <v>0</v>
      </c>
      <c r="M525" t="n">
        <v>0</v>
      </c>
      <c r="N525" t="n">
        <v>0</v>
      </c>
      <c r="O525" t="n">
        <v>0</v>
      </c>
      <c r="P525" t="n">
        <v>0</v>
      </c>
      <c r="Q525" t="n">
        <v>0</v>
      </c>
      <c r="R525" s="2" t="inlineStr"/>
    </row>
    <row r="526" ht="15" customHeight="1">
      <c r="A526" t="inlineStr">
        <is>
          <t>A 13015-2022</t>
        </is>
      </c>
      <c r="B526" s="1" t="n">
        <v>44643</v>
      </c>
      <c r="C526" s="1" t="n">
        <v>45889</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4624-2024</t>
        </is>
      </c>
      <c r="B527" s="1" t="n">
        <v>45328.38755787037</v>
      </c>
      <c r="C527" s="1" t="n">
        <v>45889</v>
      </c>
      <c r="D527" t="inlineStr">
        <is>
          <t>KALMAR LÄN</t>
        </is>
      </c>
      <c r="E527" t="inlineStr">
        <is>
          <t>VIMMERBY</t>
        </is>
      </c>
      <c r="G527" t="n">
        <v>1.7</v>
      </c>
      <c r="H527" t="n">
        <v>0</v>
      </c>
      <c r="I527" t="n">
        <v>0</v>
      </c>
      <c r="J527" t="n">
        <v>0</v>
      </c>
      <c r="K527" t="n">
        <v>0</v>
      </c>
      <c r="L527" t="n">
        <v>0</v>
      </c>
      <c r="M527" t="n">
        <v>0</v>
      </c>
      <c r="N527" t="n">
        <v>0</v>
      </c>
      <c r="O527" t="n">
        <v>0</v>
      </c>
      <c r="P527" t="n">
        <v>0</v>
      </c>
      <c r="Q527" t="n">
        <v>0</v>
      </c>
      <c r="R527" s="2" t="inlineStr"/>
    </row>
    <row r="528" ht="15" customHeight="1">
      <c r="A528" t="inlineStr">
        <is>
          <t>A 9129-2025</t>
        </is>
      </c>
      <c r="B528" s="1" t="n">
        <v>45713.92412037037</v>
      </c>
      <c r="C528" s="1" t="n">
        <v>45889</v>
      </c>
      <c r="D528" t="inlineStr">
        <is>
          <t>KALMAR LÄN</t>
        </is>
      </c>
      <c r="E528" t="inlineStr">
        <is>
          <t>VIMMERBY</t>
        </is>
      </c>
      <c r="G528" t="n">
        <v>2.8</v>
      </c>
      <c r="H528" t="n">
        <v>0</v>
      </c>
      <c r="I528" t="n">
        <v>0</v>
      </c>
      <c r="J528" t="n">
        <v>0</v>
      </c>
      <c r="K528" t="n">
        <v>0</v>
      </c>
      <c r="L528" t="n">
        <v>0</v>
      </c>
      <c r="M528" t="n">
        <v>0</v>
      </c>
      <c r="N528" t="n">
        <v>0</v>
      </c>
      <c r="O528" t="n">
        <v>0</v>
      </c>
      <c r="P528" t="n">
        <v>0</v>
      </c>
      <c r="Q528" t="n">
        <v>0</v>
      </c>
      <c r="R528" s="2" t="inlineStr"/>
    </row>
    <row r="529" ht="15" customHeight="1">
      <c r="A529" t="inlineStr">
        <is>
          <t>A 16020-2023</t>
        </is>
      </c>
      <c r="B529" s="1" t="n">
        <v>45026.82216435186</v>
      </c>
      <c r="C529" s="1" t="n">
        <v>45889</v>
      </c>
      <c r="D529" t="inlineStr">
        <is>
          <t>KALMAR LÄN</t>
        </is>
      </c>
      <c r="E529" t="inlineStr">
        <is>
          <t>VIMMERBY</t>
        </is>
      </c>
      <c r="G529" t="n">
        <v>1.1</v>
      </c>
      <c r="H529" t="n">
        <v>0</v>
      </c>
      <c r="I529" t="n">
        <v>0</v>
      </c>
      <c r="J529" t="n">
        <v>0</v>
      </c>
      <c r="K529" t="n">
        <v>0</v>
      </c>
      <c r="L529" t="n">
        <v>0</v>
      </c>
      <c r="M529" t="n">
        <v>0</v>
      </c>
      <c r="N529" t="n">
        <v>0</v>
      </c>
      <c r="O529" t="n">
        <v>0</v>
      </c>
      <c r="P529" t="n">
        <v>0</v>
      </c>
      <c r="Q529" t="n">
        <v>0</v>
      </c>
      <c r="R529" s="2" t="inlineStr"/>
    </row>
    <row r="530" ht="15" customHeight="1">
      <c r="A530" t="inlineStr">
        <is>
          <t>A 60292-2022</t>
        </is>
      </c>
      <c r="B530" s="1" t="n">
        <v>44910.54231481482</v>
      </c>
      <c r="C530" s="1" t="n">
        <v>45889</v>
      </c>
      <c r="D530" t="inlineStr">
        <is>
          <t>KALMAR LÄN</t>
        </is>
      </c>
      <c r="E530" t="inlineStr">
        <is>
          <t>VIMMERBY</t>
        </is>
      </c>
      <c r="G530" t="n">
        <v>4.4</v>
      </c>
      <c r="H530" t="n">
        <v>0</v>
      </c>
      <c r="I530" t="n">
        <v>0</v>
      </c>
      <c r="J530" t="n">
        <v>0</v>
      </c>
      <c r="K530" t="n">
        <v>0</v>
      </c>
      <c r="L530" t="n">
        <v>0</v>
      </c>
      <c r="M530" t="n">
        <v>0</v>
      </c>
      <c r="N530" t="n">
        <v>0</v>
      </c>
      <c r="O530" t="n">
        <v>0</v>
      </c>
      <c r="P530" t="n">
        <v>0</v>
      </c>
      <c r="Q530" t="n">
        <v>0</v>
      </c>
      <c r="R530" s="2" t="inlineStr"/>
    </row>
    <row r="531" ht="15" customHeight="1">
      <c r="A531" t="inlineStr">
        <is>
          <t>A 11442-2025</t>
        </is>
      </c>
      <c r="B531" s="1" t="n">
        <v>45726.62721064815</v>
      </c>
      <c r="C531" s="1" t="n">
        <v>45889</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43034-2024</t>
        </is>
      </c>
      <c r="B532" s="1" t="n">
        <v>45567.42011574074</v>
      </c>
      <c r="C532" s="1" t="n">
        <v>45889</v>
      </c>
      <c r="D532" t="inlineStr">
        <is>
          <t>KALMAR LÄN</t>
        </is>
      </c>
      <c r="E532" t="inlineStr">
        <is>
          <t>VIMMERBY</t>
        </is>
      </c>
      <c r="G532" t="n">
        <v>1.8</v>
      </c>
      <c r="H532" t="n">
        <v>0</v>
      </c>
      <c r="I532" t="n">
        <v>0</v>
      </c>
      <c r="J532" t="n">
        <v>0</v>
      </c>
      <c r="K532" t="n">
        <v>0</v>
      </c>
      <c r="L532" t="n">
        <v>0</v>
      </c>
      <c r="M532" t="n">
        <v>0</v>
      </c>
      <c r="N532" t="n">
        <v>0</v>
      </c>
      <c r="O532" t="n">
        <v>0</v>
      </c>
      <c r="P532" t="n">
        <v>0</v>
      </c>
      <c r="Q532" t="n">
        <v>0</v>
      </c>
      <c r="R532" s="2" t="inlineStr"/>
    </row>
    <row r="533" ht="15" customHeight="1">
      <c r="A533" t="inlineStr">
        <is>
          <t>A 40256-2024</t>
        </is>
      </c>
      <c r="B533" s="1" t="n">
        <v>45554.62944444444</v>
      </c>
      <c r="C533" s="1" t="n">
        <v>45889</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6307-2025</t>
        </is>
      </c>
      <c r="B534" s="1" t="n">
        <v>45698.69016203703</v>
      </c>
      <c r="C534" s="1" t="n">
        <v>45889</v>
      </c>
      <c r="D534" t="inlineStr">
        <is>
          <t>KALMAR LÄN</t>
        </is>
      </c>
      <c r="E534" t="inlineStr">
        <is>
          <t>VIMMERBY</t>
        </is>
      </c>
      <c r="G534" t="n">
        <v>3</v>
      </c>
      <c r="H534" t="n">
        <v>0</v>
      </c>
      <c r="I534" t="n">
        <v>0</v>
      </c>
      <c r="J534" t="n">
        <v>0</v>
      </c>
      <c r="K534" t="n">
        <v>0</v>
      </c>
      <c r="L534" t="n">
        <v>0</v>
      </c>
      <c r="M534" t="n">
        <v>0</v>
      </c>
      <c r="N534" t="n">
        <v>0</v>
      </c>
      <c r="O534" t="n">
        <v>0</v>
      </c>
      <c r="P534" t="n">
        <v>0</v>
      </c>
      <c r="Q534" t="n">
        <v>0</v>
      </c>
      <c r="R534" s="2" t="inlineStr"/>
    </row>
    <row r="535" ht="15" customHeight="1">
      <c r="A535" t="inlineStr">
        <is>
          <t>A 22643-2023</t>
        </is>
      </c>
      <c r="B535" s="1" t="n">
        <v>45071</v>
      </c>
      <c r="C535" s="1" t="n">
        <v>45889</v>
      </c>
      <c r="D535" t="inlineStr">
        <is>
          <t>KALMAR LÄN</t>
        </is>
      </c>
      <c r="E535" t="inlineStr">
        <is>
          <t>VIMMERBY</t>
        </is>
      </c>
      <c r="G535" t="n">
        <v>3.9</v>
      </c>
      <c r="H535" t="n">
        <v>0</v>
      </c>
      <c r="I535" t="n">
        <v>0</v>
      </c>
      <c r="J535" t="n">
        <v>0</v>
      </c>
      <c r="K535" t="n">
        <v>0</v>
      </c>
      <c r="L535" t="n">
        <v>0</v>
      </c>
      <c r="M535" t="n">
        <v>0</v>
      </c>
      <c r="N535" t="n">
        <v>0</v>
      </c>
      <c r="O535" t="n">
        <v>0</v>
      </c>
      <c r="P535" t="n">
        <v>0</v>
      </c>
      <c r="Q535" t="n">
        <v>0</v>
      </c>
      <c r="R535" s="2" t="inlineStr"/>
    </row>
    <row r="536" ht="15" customHeight="1">
      <c r="A536" t="inlineStr">
        <is>
          <t>A 23394-2025</t>
        </is>
      </c>
      <c r="B536" s="1" t="n">
        <v>45791.89865740741</v>
      </c>
      <c r="C536" s="1" t="n">
        <v>45889</v>
      </c>
      <c r="D536" t="inlineStr">
        <is>
          <t>KALMAR LÄN</t>
        </is>
      </c>
      <c r="E536" t="inlineStr">
        <is>
          <t>VIMMERBY</t>
        </is>
      </c>
      <c r="G536" t="n">
        <v>3.1</v>
      </c>
      <c r="H536" t="n">
        <v>0</v>
      </c>
      <c r="I536" t="n">
        <v>0</v>
      </c>
      <c r="J536" t="n">
        <v>0</v>
      </c>
      <c r="K536" t="n">
        <v>0</v>
      </c>
      <c r="L536" t="n">
        <v>0</v>
      </c>
      <c r="M536" t="n">
        <v>0</v>
      </c>
      <c r="N536" t="n">
        <v>0</v>
      </c>
      <c r="O536" t="n">
        <v>0</v>
      </c>
      <c r="P536" t="n">
        <v>0</v>
      </c>
      <c r="Q536" t="n">
        <v>0</v>
      </c>
      <c r="R536" s="2" t="inlineStr"/>
    </row>
    <row r="537" ht="15" customHeight="1">
      <c r="A537" t="inlineStr">
        <is>
          <t>A 34597-2022</t>
        </is>
      </c>
      <c r="B537" s="1" t="n">
        <v>44795</v>
      </c>
      <c r="C537" s="1" t="n">
        <v>45889</v>
      </c>
      <c r="D537" t="inlineStr">
        <is>
          <t>KALMAR LÄN</t>
        </is>
      </c>
      <c r="E537" t="inlineStr">
        <is>
          <t>VIMMERBY</t>
        </is>
      </c>
      <c r="G537" t="n">
        <v>2.2</v>
      </c>
      <c r="H537" t="n">
        <v>0</v>
      </c>
      <c r="I537" t="n">
        <v>0</v>
      </c>
      <c r="J537" t="n">
        <v>0</v>
      </c>
      <c r="K537" t="n">
        <v>0</v>
      </c>
      <c r="L537" t="n">
        <v>0</v>
      </c>
      <c r="M537" t="n">
        <v>0</v>
      </c>
      <c r="N537" t="n">
        <v>0</v>
      </c>
      <c r="O537" t="n">
        <v>0</v>
      </c>
      <c r="P537" t="n">
        <v>0</v>
      </c>
      <c r="Q537" t="n">
        <v>0</v>
      </c>
      <c r="R537" s="2" t="inlineStr"/>
    </row>
    <row r="538" ht="15" customHeight="1">
      <c r="A538" t="inlineStr">
        <is>
          <t>A 40079-2023</t>
        </is>
      </c>
      <c r="B538" s="1" t="n">
        <v>45168.89298611111</v>
      </c>
      <c r="C538" s="1" t="n">
        <v>45889</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43093-2024</t>
        </is>
      </c>
      <c r="B539" s="1" t="n">
        <v>45567</v>
      </c>
      <c r="C539" s="1" t="n">
        <v>45889</v>
      </c>
      <c r="D539" t="inlineStr">
        <is>
          <t>KALMAR LÄN</t>
        </is>
      </c>
      <c r="E539" t="inlineStr">
        <is>
          <t>VIMMERBY</t>
        </is>
      </c>
      <c r="G539" t="n">
        <v>0.7</v>
      </c>
      <c r="H539" t="n">
        <v>0</v>
      </c>
      <c r="I539" t="n">
        <v>0</v>
      </c>
      <c r="J539" t="n">
        <v>0</v>
      </c>
      <c r="K539" t="n">
        <v>0</v>
      </c>
      <c r="L539" t="n">
        <v>0</v>
      </c>
      <c r="M539" t="n">
        <v>0</v>
      </c>
      <c r="N539" t="n">
        <v>0</v>
      </c>
      <c r="O539" t="n">
        <v>0</v>
      </c>
      <c r="P539" t="n">
        <v>0</v>
      </c>
      <c r="Q539" t="n">
        <v>0</v>
      </c>
      <c r="R539" s="2" t="inlineStr"/>
    </row>
    <row r="540" ht="15" customHeight="1">
      <c r="A540" t="inlineStr">
        <is>
          <t>A 35198-2023</t>
        </is>
      </c>
      <c r="B540" s="1" t="n">
        <v>45145</v>
      </c>
      <c r="C540" s="1" t="n">
        <v>45889</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19833-2023</t>
        </is>
      </c>
      <c r="B541" s="1" t="n">
        <v>45052</v>
      </c>
      <c r="C541" s="1" t="n">
        <v>45889</v>
      </c>
      <c r="D541" t="inlineStr">
        <is>
          <t>KALMAR LÄN</t>
        </is>
      </c>
      <c r="E541" t="inlineStr">
        <is>
          <t>VIMMERBY</t>
        </is>
      </c>
      <c r="G541" t="n">
        <v>6.7</v>
      </c>
      <c r="H541" t="n">
        <v>0</v>
      </c>
      <c r="I541" t="n">
        <v>0</v>
      </c>
      <c r="J541" t="n">
        <v>0</v>
      </c>
      <c r="K541" t="n">
        <v>0</v>
      </c>
      <c r="L541" t="n">
        <v>0</v>
      </c>
      <c r="M541" t="n">
        <v>0</v>
      </c>
      <c r="N541" t="n">
        <v>0</v>
      </c>
      <c r="O541" t="n">
        <v>0</v>
      </c>
      <c r="P541" t="n">
        <v>0</v>
      </c>
      <c r="Q541" t="n">
        <v>0</v>
      </c>
      <c r="R541" s="2" t="inlineStr"/>
    </row>
    <row r="542" ht="15" customHeight="1">
      <c r="A542" t="inlineStr">
        <is>
          <t>A 58374-2024</t>
        </is>
      </c>
      <c r="B542" s="1" t="n">
        <v>45632.72635416667</v>
      </c>
      <c r="C542" s="1" t="n">
        <v>45889</v>
      </c>
      <c r="D542" t="inlineStr">
        <is>
          <t>KALMAR LÄN</t>
        </is>
      </c>
      <c r="E542" t="inlineStr">
        <is>
          <t>VIMMERBY</t>
        </is>
      </c>
      <c r="G542" t="n">
        <v>0.8</v>
      </c>
      <c r="H542" t="n">
        <v>0</v>
      </c>
      <c r="I542" t="n">
        <v>0</v>
      </c>
      <c r="J542" t="n">
        <v>0</v>
      </c>
      <c r="K542" t="n">
        <v>0</v>
      </c>
      <c r="L542" t="n">
        <v>0</v>
      </c>
      <c r="M542" t="n">
        <v>0</v>
      </c>
      <c r="N542" t="n">
        <v>0</v>
      </c>
      <c r="O542" t="n">
        <v>0</v>
      </c>
      <c r="P542" t="n">
        <v>0</v>
      </c>
      <c r="Q542" t="n">
        <v>0</v>
      </c>
      <c r="R542" s="2" t="inlineStr"/>
    </row>
    <row r="543" ht="15" customHeight="1">
      <c r="A543" t="inlineStr">
        <is>
          <t>A 23984-2025</t>
        </is>
      </c>
      <c r="B543" s="1" t="n">
        <v>45796</v>
      </c>
      <c r="C543" s="1" t="n">
        <v>45889</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17084-2025</t>
        </is>
      </c>
      <c r="B544" s="1" t="n">
        <v>45755.64450231481</v>
      </c>
      <c r="C544" s="1" t="n">
        <v>45889</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56022-2024</t>
        </is>
      </c>
      <c r="B545" s="1" t="n">
        <v>45623.95947916667</v>
      </c>
      <c r="C545" s="1" t="n">
        <v>45889</v>
      </c>
      <c r="D545" t="inlineStr">
        <is>
          <t>KALMAR LÄN</t>
        </is>
      </c>
      <c r="E545" t="inlineStr">
        <is>
          <t>VIMMERBY</t>
        </is>
      </c>
      <c r="G545" t="n">
        <v>0.3</v>
      </c>
      <c r="H545" t="n">
        <v>0</v>
      </c>
      <c r="I545" t="n">
        <v>0</v>
      </c>
      <c r="J545" t="n">
        <v>0</v>
      </c>
      <c r="K545" t="n">
        <v>0</v>
      </c>
      <c r="L545" t="n">
        <v>0</v>
      </c>
      <c r="M545" t="n">
        <v>0</v>
      </c>
      <c r="N545" t="n">
        <v>0</v>
      </c>
      <c r="O545" t="n">
        <v>0</v>
      </c>
      <c r="P545" t="n">
        <v>0</v>
      </c>
      <c r="Q545" t="n">
        <v>0</v>
      </c>
      <c r="R545" s="2" t="inlineStr"/>
    </row>
    <row r="546" ht="15" customHeight="1">
      <c r="A546" t="inlineStr">
        <is>
          <t>A 11928-2022</t>
        </is>
      </c>
      <c r="B546" s="1" t="n">
        <v>44635</v>
      </c>
      <c r="C546" s="1" t="n">
        <v>45889</v>
      </c>
      <c r="D546" t="inlineStr">
        <is>
          <t>KALMAR LÄN</t>
        </is>
      </c>
      <c r="E546" t="inlineStr">
        <is>
          <t>VIMMERBY</t>
        </is>
      </c>
      <c r="G546" t="n">
        <v>2.8</v>
      </c>
      <c r="H546" t="n">
        <v>0</v>
      </c>
      <c r="I546" t="n">
        <v>0</v>
      </c>
      <c r="J546" t="n">
        <v>0</v>
      </c>
      <c r="K546" t="n">
        <v>0</v>
      </c>
      <c r="L546" t="n">
        <v>0</v>
      </c>
      <c r="M546" t="n">
        <v>0</v>
      </c>
      <c r="N546" t="n">
        <v>0</v>
      </c>
      <c r="O546" t="n">
        <v>0</v>
      </c>
      <c r="P546" t="n">
        <v>0</v>
      </c>
      <c r="Q546" t="n">
        <v>0</v>
      </c>
      <c r="R546" s="2" t="inlineStr"/>
    </row>
    <row r="547" ht="15" customHeight="1">
      <c r="A547" t="inlineStr">
        <is>
          <t>A 55300-2021</t>
        </is>
      </c>
      <c r="B547" s="1" t="n">
        <v>44475</v>
      </c>
      <c r="C547" s="1" t="n">
        <v>45889</v>
      </c>
      <c r="D547" t="inlineStr">
        <is>
          <t>KALMAR LÄN</t>
        </is>
      </c>
      <c r="E547" t="inlineStr">
        <is>
          <t>VIMMERBY</t>
        </is>
      </c>
      <c r="G547" t="n">
        <v>3.4</v>
      </c>
      <c r="H547" t="n">
        <v>0</v>
      </c>
      <c r="I547" t="n">
        <v>0</v>
      </c>
      <c r="J547" t="n">
        <v>0</v>
      </c>
      <c r="K547" t="n">
        <v>0</v>
      </c>
      <c r="L547" t="n">
        <v>0</v>
      </c>
      <c r="M547" t="n">
        <v>0</v>
      </c>
      <c r="N547" t="n">
        <v>0</v>
      </c>
      <c r="O547" t="n">
        <v>0</v>
      </c>
      <c r="P547" t="n">
        <v>0</v>
      </c>
      <c r="Q547" t="n">
        <v>0</v>
      </c>
      <c r="R547" s="2" t="inlineStr"/>
    </row>
    <row r="548" ht="15" customHeight="1">
      <c r="A548" t="inlineStr">
        <is>
          <t>A 5527-2022</t>
        </is>
      </c>
      <c r="B548" s="1" t="n">
        <v>44595.583125</v>
      </c>
      <c r="C548" s="1" t="n">
        <v>45889</v>
      </c>
      <c r="D548" t="inlineStr">
        <is>
          <t>KALMAR LÄN</t>
        </is>
      </c>
      <c r="E548" t="inlineStr">
        <is>
          <t>VIMMERBY</t>
        </is>
      </c>
      <c r="G548" t="n">
        <v>3.6</v>
      </c>
      <c r="H548" t="n">
        <v>0</v>
      </c>
      <c r="I548" t="n">
        <v>0</v>
      </c>
      <c r="J548" t="n">
        <v>0</v>
      </c>
      <c r="K548" t="n">
        <v>0</v>
      </c>
      <c r="L548" t="n">
        <v>0</v>
      </c>
      <c r="M548" t="n">
        <v>0</v>
      </c>
      <c r="N548" t="n">
        <v>0</v>
      </c>
      <c r="O548" t="n">
        <v>0</v>
      </c>
      <c r="P548" t="n">
        <v>0</v>
      </c>
      <c r="Q548" t="n">
        <v>0</v>
      </c>
      <c r="R548" s="2" t="inlineStr"/>
    </row>
    <row r="549" ht="15" customHeight="1">
      <c r="A549" t="inlineStr">
        <is>
          <t>A 47263-2023</t>
        </is>
      </c>
      <c r="B549" s="1" t="n">
        <v>45202.4209837963</v>
      </c>
      <c r="C549" s="1" t="n">
        <v>45889</v>
      </c>
      <c r="D549" t="inlineStr">
        <is>
          <t>KALMAR LÄN</t>
        </is>
      </c>
      <c r="E549" t="inlineStr">
        <is>
          <t>VIMMERBY</t>
        </is>
      </c>
      <c r="G549" t="n">
        <v>1.8</v>
      </c>
      <c r="H549" t="n">
        <v>0</v>
      </c>
      <c r="I549" t="n">
        <v>0</v>
      </c>
      <c r="J549" t="n">
        <v>0</v>
      </c>
      <c r="K549" t="n">
        <v>0</v>
      </c>
      <c r="L549" t="n">
        <v>0</v>
      </c>
      <c r="M549" t="n">
        <v>0</v>
      </c>
      <c r="N549" t="n">
        <v>0</v>
      </c>
      <c r="O549" t="n">
        <v>0</v>
      </c>
      <c r="P549" t="n">
        <v>0</v>
      </c>
      <c r="Q549" t="n">
        <v>0</v>
      </c>
      <c r="R549" s="2" t="inlineStr"/>
    </row>
    <row r="550" ht="15" customHeight="1">
      <c r="A550" t="inlineStr">
        <is>
          <t>A 49461-2023</t>
        </is>
      </c>
      <c r="B550" s="1" t="n">
        <v>45211.52642361111</v>
      </c>
      <c r="C550" s="1" t="n">
        <v>45889</v>
      </c>
      <c r="D550" t="inlineStr">
        <is>
          <t>KALMAR LÄN</t>
        </is>
      </c>
      <c r="E550" t="inlineStr">
        <is>
          <t>VIMMERBY</t>
        </is>
      </c>
      <c r="G550" t="n">
        <v>1.5</v>
      </c>
      <c r="H550" t="n">
        <v>0</v>
      </c>
      <c r="I550" t="n">
        <v>0</v>
      </c>
      <c r="J550" t="n">
        <v>0</v>
      </c>
      <c r="K550" t="n">
        <v>0</v>
      </c>
      <c r="L550" t="n">
        <v>0</v>
      </c>
      <c r="M550" t="n">
        <v>0</v>
      </c>
      <c r="N550" t="n">
        <v>0</v>
      </c>
      <c r="O550" t="n">
        <v>0</v>
      </c>
      <c r="P550" t="n">
        <v>0</v>
      </c>
      <c r="Q550" t="n">
        <v>0</v>
      </c>
      <c r="R550" s="2" t="inlineStr"/>
    </row>
    <row r="551" ht="15" customHeight="1">
      <c r="A551" t="inlineStr">
        <is>
          <t>A 49474-2023</t>
        </is>
      </c>
      <c r="B551" s="1" t="n">
        <v>45211.541875</v>
      </c>
      <c r="C551" s="1" t="n">
        <v>45889</v>
      </c>
      <c r="D551" t="inlineStr">
        <is>
          <t>KALMAR LÄN</t>
        </is>
      </c>
      <c r="E551" t="inlineStr">
        <is>
          <t>VIMMERBY</t>
        </is>
      </c>
      <c r="G551" t="n">
        <v>3.6</v>
      </c>
      <c r="H551" t="n">
        <v>0</v>
      </c>
      <c r="I551" t="n">
        <v>0</v>
      </c>
      <c r="J551" t="n">
        <v>0</v>
      </c>
      <c r="K551" t="n">
        <v>0</v>
      </c>
      <c r="L551" t="n">
        <v>0</v>
      </c>
      <c r="M551" t="n">
        <v>0</v>
      </c>
      <c r="N551" t="n">
        <v>0</v>
      </c>
      <c r="O551" t="n">
        <v>0</v>
      </c>
      <c r="P551" t="n">
        <v>0</v>
      </c>
      <c r="Q551" t="n">
        <v>0</v>
      </c>
      <c r="R551" s="2" t="inlineStr"/>
    </row>
    <row r="552" ht="15" customHeight="1">
      <c r="A552" t="inlineStr">
        <is>
          <t>A 61861-2024</t>
        </is>
      </c>
      <c r="B552" s="1" t="n">
        <v>45650.37370370371</v>
      </c>
      <c r="C552" s="1" t="n">
        <v>45889</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45846-2023</t>
        </is>
      </c>
      <c r="B553" s="1" t="n">
        <v>45195.58452546296</v>
      </c>
      <c r="C553" s="1" t="n">
        <v>45889</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2536-2023</t>
        </is>
      </c>
      <c r="B554" s="1" t="n">
        <v>44943.62954861111</v>
      </c>
      <c r="C554" s="1" t="n">
        <v>45889</v>
      </c>
      <c r="D554" t="inlineStr">
        <is>
          <t>KALMAR LÄN</t>
        </is>
      </c>
      <c r="E554" t="inlineStr">
        <is>
          <t>VIMMERBY</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2801-2023</t>
        </is>
      </c>
      <c r="B555" s="1" t="n">
        <v>44944.73487268519</v>
      </c>
      <c r="C555" s="1" t="n">
        <v>45889</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8167-2024</t>
        </is>
      </c>
      <c r="B556" s="1" t="n">
        <v>45351.6062962963</v>
      </c>
      <c r="C556" s="1" t="n">
        <v>45889</v>
      </c>
      <c r="D556" t="inlineStr">
        <is>
          <t>KALMAR LÄN</t>
        </is>
      </c>
      <c r="E556" t="inlineStr">
        <is>
          <t>VIMMERBY</t>
        </is>
      </c>
      <c r="G556" t="n">
        <v>3.8</v>
      </c>
      <c r="H556" t="n">
        <v>0</v>
      </c>
      <c r="I556" t="n">
        <v>0</v>
      </c>
      <c r="J556" t="n">
        <v>0</v>
      </c>
      <c r="K556" t="n">
        <v>0</v>
      </c>
      <c r="L556" t="n">
        <v>0</v>
      </c>
      <c r="M556" t="n">
        <v>0</v>
      </c>
      <c r="N556" t="n">
        <v>0</v>
      </c>
      <c r="O556" t="n">
        <v>0</v>
      </c>
      <c r="P556" t="n">
        <v>0</v>
      </c>
      <c r="Q556" t="n">
        <v>0</v>
      </c>
      <c r="R556" s="2" t="inlineStr"/>
    </row>
    <row r="557" ht="15" customHeight="1">
      <c r="A557" t="inlineStr">
        <is>
          <t>A 17968-2025</t>
        </is>
      </c>
      <c r="B557" s="1" t="n">
        <v>45761.35990740741</v>
      </c>
      <c r="C557" s="1" t="n">
        <v>45889</v>
      </c>
      <c r="D557" t="inlineStr">
        <is>
          <t>KALMAR LÄN</t>
        </is>
      </c>
      <c r="E557" t="inlineStr">
        <is>
          <t>VIMMERBY</t>
        </is>
      </c>
      <c r="G557" t="n">
        <v>3.3</v>
      </c>
      <c r="H557" t="n">
        <v>0</v>
      </c>
      <c r="I557" t="n">
        <v>0</v>
      </c>
      <c r="J557" t="n">
        <v>0</v>
      </c>
      <c r="K557" t="n">
        <v>0</v>
      </c>
      <c r="L557" t="n">
        <v>0</v>
      </c>
      <c r="M557" t="n">
        <v>0</v>
      </c>
      <c r="N557" t="n">
        <v>0</v>
      </c>
      <c r="O557" t="n">
        <v>0</v>
      </c>
      <c r="P557" t="n">
        <v>0</v>
      </c>
      <c r="Q557" t="n">
        <v>0</v>
      </c>
      <c r="R557" s="2" t="inlineStr"/>
    </row>
    <row r="558" ht="15" customHeight="1">
      <c r="A558" t="inlineStr">
        <is>
          <t>A 51278-2024</t>
        </is>
      </c>
      <c r="B558" s="1" t="n">
        <v>45603.74959490741</v>
      </c>
      <c r="C558" s="1" t="n">
        <v>45889</v>
      </c>
      <c r="D558" t="inlineStr">
        <is>
          <t>KALMAR LÄN</t>
        </is>
      </c>
      <c r="E558" t="inlineStr">
        <is>
          <t>VIMMERBY</t>
        </is>
      </c>
      <c r="G558" t="n">
        <v>3.4</v>
      </c>
      <c r="H558" t="n">
        <v>0</v>
      </c>
      <c r="I558" t="n">
        <v>0</v>
      </c>
      <c r="J558" t="n">
        <v>0</v>
      </c>
      <c r="K558" t="n">
        <v>0</v>
      </c>
      <c r="L558" t="n">
        <v>0</v>
      </c>
      <c r="M558" t="n">
        <v>0</v>
      </c>
      <c r="N558" t="n">
        <v>0</v>
      </c>
      <c r="O558" t="n">
        <v>0</v>
      </c>
      <c r="P558" t="n">
        <v>0</v>
      </c>
      <c r="Q558" t="n">
        <v>0</v>
      </c>
      <c r="R558" s="2" t="inlineStr"/>
    </row>
    <row r="559" ht="15" customHeight="1">
      <c r="A559" t="inlineStr">
        <is>
          <t>A 49382-2023</t>
        </is>
      </c>
      <c r="B559" s="1" t="n">
        <v>45208</v>
      </c>
      <c r="C559" s="1" t="n">
        <v>45889</v>
      </c>
      <c r="D559" t="inlineStr">
        <is>
          <t>KALMAR LÄN</t>
        </is>
      </c>
      <c r="E559" t="inlineStr">
        <is>
          <t>VIMMERBY</t>
        </is>
      </c>
      <c r="G559" t="n">
        <v>2.2</v>
      </c>
      <c r="H559" t="n">
        <v>0</v>
      </c>
      <c r="I559" t="n">
        <v>0</v>
      </c>
      <c r="J559" t="n">
        <v>0</v>
      </c>
      <c r="K559" t="n">
        <v>0</v>
      </c>
      <c r="L559" t="n">
        <v>0</v>
      </c>
      <c r="M559" t="n">
        <v>0</v>
      </c>
      <c r="N559" t="n">
        <v>0</v>
      </c>
      <c r="O559" t="n">
        <v>0</v>
      </c>
      <c r="P559" t="n">
        <v>0</v>
      </c>
      <c r="Q559" t="n">
        <v>0</v>
      </c>
      <c r="R559" s="2" t="inlineStr"/>
    </row>
    <row r="560" ht="15" customHeight="1">
      <c r="A560" t="inlineStr">
        <is>
          <t>A 12121-2025</t>
        </is>
      </c>
      <c r="B560" s="1" t="n">
        <v>45729.36868055556</v>
      </c>
      <c r="C560" s="1" t="n">
        <v>45889</v>
      </c>
      <c r="D560" t="inlineStr">
        <is>
          <t>KALMAR LÄN</t>
        </is>
      </c>
      <c r="E560" t="inlineStr">
        <is>
          <t>VIMMERBY</t>
        </is>
      </c>
      <c r="G560" t="n">
        <v>4.3</v>
      </c>
      <c r="H560" t="n">
        <v>0</v>
      </c>
      <c r="I560" t="n">
        <v>0</v>
      </c>
      <c r="J560" t="n">
        <v>0</v>
      </c>
      <c r="K560" t="n">
        <v>0</v>
      </c>
      <c r="L560" t="n">
        <v>0</v>
      </c>
      <c r="M560" t="n">
        <v>0</v>
      </c>
      <c r="N560" t="n">
        <v>0</v>
      </c>
      <c r="O560" t="n">
        <v>0</v>
      </c>
      <c r="P560" t="n">
        <v>0</v>
      </c>
      <c r="Q560" t="n">
        <v>0</v>
      </c>
      <c r="R560" s="2" t="inlineStr"/>
    </row>
    <row r="561" ht="15" customHeight="1">
      <c r="A561" t="inlineStr">
        <is>
          <t>A 14451-2024</t>
        </is>
      </c>
      <c r="B561" s="1" t="n">
        <v>45394.50028935185</v>
      </c>
      <c r="C561" s="1" t="n">
        <v>45889</v>
      </c>
      <c r="D561" t="inlineStr">
        <is>
          <t>KALMAR LÄN</t>
        </is>
      </c>
      <c r="E561" t="inlineStr">
        <is>
          <t>VIMMERBY</t>
        </is>
      </c>
      <c r="G561" t="n">
        <v>1.9</v>
      </c>
      <c r="H561" t="n">
        <v>0</v>
      </c>
      <c r="I561" t="n">
        <v>0</v>
      </c>
      <c r="J561" t="n">
        <v>0</v>
      </c>
      <c r="K561" t="n">
        <v>0</v>
      </c>
      <c r="L561" t="n">
        <v>0</v>
      </c>
      <c r="M561" t="n">
        <v>0</v>
      </c>
      <c r="N561" t="n">
        <v>0</v>
      </c>
      <c r="O561" t="n">
        <v>0</v>
      </c>
      <c r="P561" t="n">
        <v>0</v>
      </c>
      <c r="Q561" t="n">
        <v>0</v>
      </c>
      <c r="R561" s="2" t="inlineStr"/>
    </row>
    <row r="562" ht="15" customHeight="1">
      <c r="A562" t="inlineStr">
        <is>
          <t>A 35082-2024</t>
        </is>
      </c>
      <c r="B562" s="1" t="n">
        <v>45527.68784722222</v>
      </c>
      <c r="C562" s="1" t="n">
        <v>45889</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44582-2024</t>
        </is>
      </c>
      <c r="B563" s="1" t="n">
        <v>45574.49298611111</v>
      </c>
      <c r="C563" s="1" t="n">
        <v>45889</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9456-2025</t>
        </is>
      </c>
      <c r="B564" s="1" t="n">
        <v>45715.44159722222</v>
      </c>
      <c r="C564" s="1" t="n">
        <v>45889</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46238-2024</t>
        </is>
      </c>
      <c r="B565" s="1" t="n">
        <v>45581.58418981481</v>
      </c>
      <c r="C565" s="1" t="n">
        <v>45889</v>
      </c>
      <c r="D565" t="inlineStr">
        <is>
          <t>KALMAR LÄN</t>
        </is>
      </c>
      <c r="E565" t="inlineStr">
        <is>
          <t>VIMMERBY</t>
        </is>
      </c>
      <c r="G565" t="n">
        <v>2.1</v>
      </c>
      <c r="H565" t="n">
        <v>0</v>
      </c>
      <c r="I565" t="n">
        <v>0</v>
      </c>
      <c r="J565" t="n">
        <v>0</v>
      </c>
      <c r="K565" t="n">
        <v>0</v>
      </c>
      <c r="L565" t="n">
        <v>0</v>
      </c>
      <c r="M565" t="n">
        <v>0</v>
      </c>
      <c r="N565" t="n">
        <v>0</v>
      </c>
      <c r="O565" t="n">
        <v>0</v>
      </c>
      <c r="P565" t="n">
        <v>0</v>
      </c>
      <c r="Q565" t="n">
        <v>0</v>
      </c>
      <c r="R565" s="2" t="inlineStr"/>
    </row>
    <row r="566" ht="15" customHeight="1">
      <c r="A566" t="inlineStr">
        <is>
          <t>A 50993-2022</t>
        </is>
      </c>
      <c r="B566" s="1" t="n">
        <v>44867</v>
      </c>
      <c r="C566" s="1" t="n">
        <v>45889</v>
      </c>
      <c r="D566" t="inlineStr">
        <is>
          <t>KALMAR LÄN</t>
        </is>
      </c>
      <c r="E566" t="inlineStr">
        <is>
          <t>VIMMERBY</t>
        </is>
      </c>
      <c r="G566" t="n">
        <v>1.7</v>
      </c>
      <c r="H566" t="n">
        <v>0</v>
      </c>
      <c r="I566" t="n">
        <v>0</v>
      </c>
      <c r="J566" t="n">
        <v>0</v>
      </c>
      <c r="K566" t="n">
        <v>0</v>
      </c>
      <c r="L566" t="n">
        <v>0</v>
      </c>
      <c r="M566" t="n">
        <v>0</v>
      </c>
      <c r="N566" t="n">
        <v>0</v>
      </c>
      <c r="O566" t="n">
        <v>0</v>
      </c>
      <c r="P566" t="n">
        <v>0</v>
      </c>
      <c r="Q566" t="n">
        <v>0</v>
      </c>
      <c r="R566" s="2" t="inlineStr"/>
    </row>
    <row r="567" ht="15" customHeight="1">
      <c r="A567" t="inlineStr">
        <is>
          <t>A 35846-2023</t>
        </is>
      </c>
      <c r="B567" s="1" t="n">
        <v>45148</v>
      </c>
      <c r="C567" s="1" t="n">
        <v>45889</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46225-2024</t>
        </is>
      </c>
      <c r="B568" s="1" t="n">
        <v>45581.57333333333</v>
      </c>
      <c r="C568" s="1" t="n">
        <v>45889</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11111-2023</t>
        </is>
      </c>
      <c r="B569" s="1" t="n">
        <v>44992.4255787037</v>
      </c>
      <c r="C569" s="1" t="n">
        <v>45889</v>
      </c>
      <c r="D569" t="inlineStr">
        <is>
          <t>KALMAR LÄN</t>
        </is>
      </c>
      <c r="E569" t="inlineStr">
        <is>
          <t>VIMMERBY</t>
        </is>
      </c>
      <c r="G569" t="n">
        <v>0.8</v>
      </c>
      <c r="H569" t="n">
        <v>0</v>
      </c>
      <c r="I569" t="n">
        <v>0</v>
      </c>
      <c r="J569" t="n">
        <v>0</v>
      </c>
      <c r="K569" t="n">
        <v>0</v>
      </c>
      <c r="L569" t="n">
        <v>0</v>
      </c>
      <c r="M569" t="n">
        <v>0</v>
      </c>
      <c r="N569" t="n">
        <v>0</v>
      </c>
      <c r="O569" t="n">
        <v>0</v>
      </c>
      <c r="P569" t="n">
        <v>0</v>
      </c>
      <c r="Q569" t="n">
        <v>0</v>
      </c>
      <c r="R569" s="2" t="inlineStr"/>
    </row>
    <row r="570" ht="15" customHeight="1">
      <c r="A570" t="inlineStr">
        <is>
          <t>A 35913-2023</t>
        </is>
      </c>
      <c r="B570" s="1" t="n">
        <v>45148</v>
      </c>
      <c r="C570" s="1" t="n">
        <v>45889</v>
      </c>
      <c r="D570" t="inlineStr">
        <is>
          <t>KALMAR LÄN</t>
        </is>
      </c>
      <c r="E570" t="inlineStr">
        <is>
          <t>VIMMERBY</t>
        </is>
      </c>
      <c r="G570" t="n">
        <v>6.9</v>
      </c>
      <c r="H570" t="n">
        <v>0</v>
      </c>
      <c r="I570" t="n">
        <v>0</v>
      </c>
      <c r="J570" t="n">
        <v>0</v>
      </c>
      <c r="K570" t="n">
        <v>0</v>
      </c>
      <c r="L570" t="n">
        <v>0</v>
      </c>
      <c r="M570" t="n">
        <v>0</v>
      </c>
      <c r="N570" t="n">
        <v>0</v>
      </c>
      <c r="O570" t="n">
        <v>0</v>
      </c>
      <c r="P570" t="n">
        <v>0</v>
      </c>
      <c r="Q570" t="n">
        <v>0</v>
      </c>
      <c r="R570" s="2" t="inlineStr"/>
    </row>
    <row r="571" ht="15" customHeight="1">
      <c r="A571" t="inlineStr">
        <is>
          <t>A 36055-2024</t>
        </is>
      </c>
      <c r="B571" s="1" t="n">
        <v>45533.63056712963</v>
      </c>
      <c r="C571" s="1" t="n">
        <v>45889</v>
      </c>
      <c r="D571" t="inlineStr">
        <is>
          <t>KALMAR LÄN</t>
        </is>
      </c>
      <c r="E571" t="inlineStr">
        <is>
          <t>VIMMERBY</t>
        </is>
      </c>
      <c r="F571" t="inlineStr">
        <is>
          <t>Kommuner</t>
        </is>
      </c>
      <c r="G571" t="n">
        <v>1.9</v>
      </c>
      <c r="H571" t="n">
        <v>0</v>
      </c>
      <c r="I571" t="n">
        <v>0</v>
      </c>
      <c r="J571" t="n">
        <v>0</v>
      </c>
      <c r="K571" t="n">
        <v>0</v>
      </c>
      <c r="L571" t="n">
        <v>0</v>
      </c>
      <c r="M571" t="n">
        <v>0</v>
      </c>
      <c r="N571" t="n">
        <v>0</v>
      </c>
      <c r="O571" t="n">
        <v>0</v>
      </c>
      <c r="P571" t="n">
        <v>0</v>
      </c>
      <c r="Q571" t="n">
        <v>0</v>
      </c>
      <c r="R571" s="2" t="inlineStr"/>
    </row>
    <row r="572" ht="15" customHeight="1">
      <c r="A572" t="inlineStr">
        <is>
          <t>A 38757-2023</t>
        </is>
      </c>
      <c r="B572" s="1" t="n">
        <v>45163.41376157408</v>
      </c>
      <c r="C572" s="1" t="n">
        <v>45889</v>
      </c>
      <c r="D572" t="inlineStr">
        <is>
          <t>KALMAR LÄN</t>
        </is>
      </c>
      <c r="E572" t="inlineStr">
        <is>
          <t>VIMMERBY</t>
        </is>
      </c>
      <c r="G572" t="n">
        <v>2.5</v>
      </c>
      <c r="H572" t="n">
        <v>0</v>
      </c>
      <c r="I572" t="n">
        <v>0</v>
      </c>
      <c r="J572" t="n">
        <v>0</v>
      </c>
      <c r="K572" t="n">
        <v>0</v>
      </c>
      <c r="L572" t="n">
        <v>0</v>
      </c>
      <c r="M572" t="n">
        <v>0</v>
      </c>
      <c r="N572" t="n">
        <v>0</v>
      </c>
      <c r="O572" t="n">
        <v>0</v>
      </c>
      <c r="P572" t="n">
        <v>0</v>
      </c>
      <c r="Q572" t="n">
        <v>0</v>
      </c>
      <c r="R572" s="2" t="inlineStr"/>
    </row>
    <row r="573" ht="15" customHeight="1">
      <c r="A573" t="inlineStr">
        <is>
          <t>A 47859-2024</t>
        </is>
      </c>
      <c r="B573" s="1" t="n">
        <v>45588.67070601852</v>
      </c>
      <c r="C573" s="1" t="n">
        <v>45889</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20136-2024</t>
        </is>
      </c>
      <c r="B574" s="1" t="n">
        <v>45434.56291666667</v>
      </c>
      <c r="C574" s="1" t="n">
        <v>45889</v>
      </c>
      <c r="D574" t="inlineStr">
        <is>
          <t>KALMAR LÄN</t>
        </is>
      </c>
      <c r="E574" t="inlineStr">
        <is>
          <t>VIMMERBY</t>
        </is>
      </c>
      <c r="F574" t="inlineStr">
        <is>
          <t>Sveaskog</t>
        </is>
      </c>
      <c r="G574" t="n">
        <v>8.4</v>
      </c>
      <c r="H574" t="n">
        <v>0</v>
      </c>
      <c r="I574" t="n">
        <v>0</v>
      </c>
      <c r="J574" t="n">
        <v>0</v>
      </c>
      <c r="K574" t="n">
        <v>0</v>
      </c>
      <c r="L574" t="n">
        <v>0</v>
      </c>
      <c r="M574" t="n">
        <v>0</v>
      </c>
      <c r="N574" t="n">
        <v>0</v>
      </c>
      <c r="O574" t="n">
        <v>0</v>
      </c>
      <c r="P574" t="n">
        <v>0</v>
      </c>
      <c r="Q574" t="n">
        <v>0</v>
      </c>
      <c r="R574" s="2" t="inlineStr"/>
    </row>
    <row r="575" ht="15" customHeight="1">
      <c r="A575" t="inlineStr">
        <is>
          <t>A 32835-2022</t>
        </is>
      </c>
      <c r="B575" s="1" t="n">
        <v>44784.42528935185</v>
      </c>
      <c r="C575" s="1" t="n">
        <v>45889</v>
      </c>
      <c r="D575" t="inlineStr">
        <is>
          <t>KALMAR LÄN</t>
        </is>
      </c>
      <c r="E575" t="inlineStr">
        <is>
          <t>VIMMERBY</t>
        </is>
      </c>
      <c r="G575" t="n">
        <v>1.6</v>
      </c>
      <c r="H575" t="n">
        <v>0</v>
      </c>
      <c r="I575" t="n">
        <v>0</v>
      </c>
      <c r="J575" t="n">
        <v>0</v>
      </c>
      <c r="K575" t="n">
        <v>0</v>
      </c>
      <c r="L575" t="n">
        <v>0</v>
      </c>
      <c r="M575" t="n">
        <v>0</v>
      </c>
      <c r="N575" t="n">
        <v>0</v>
      </c>
      <c r="O575" t="n">
        <v>0</v>
      </c>
      <c r="P575" t="n">
        <v>0</v>
      </c>
      <c r="Q575" t="n">
        <v>0</v>
      </c>
      <c r="R575" s="2" t="inlineStr"/>
    </row>
    <row r="576" ht="15" customHeight="1">
      <c r="A576" t="inlineStr">
        <is>
          <t>A 58724-2024</t>
        </is>
      </c>
      <c r="B576" s="1" t="n">
        <v>45635.66409722222</v>
      </c>
      <c r="C576" s="1" t="n">
        <v>45889</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24283-2023</t>
        </is>
      </c>
      <c r="B577" s="1" t="n">
        <v>45079.87827546296</v>
      </c>
      <c r="C577" s="1" t="n">
        <v>45889</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15494-2024</t>
        </is>
      </c>
      <c r="B578" s="1" t="n">
        <v>45401.53033564815</v>
      </c>
      <c r="C578" s="1" t="n">
        <v>45889</v>
      </c>
      <c r="D578" t="inlineStr">
        <is>
          <t>KALMAR LÄN</t>
        </is>
      </c>
      <c r="E578" t="inlineStr">
        <is>
          <t>VIMMERBY</t>
        </is>
      </c>
      <c r="G578" t="n">
        <v>3.2</v>
      </c>
      <c r="H578" t="n">
        <v>0</v>
      </c>
      <c r="I578" t="n">
        <v>0</v>
      </c>
      <c r="J578" t="n">
        <v>0</v>
      </c>
      <c r="K578" t="n">
        <v>0</v>
      </c>
      <c r="L578" t="n">
        <v>0</v>
      </c>
      <c r="M578" t="n">
        <v>0</v>
      </c>
      <c r="N578" t="n">
        <v>0</v>
      </c>
      <c r="O578" t="n">
        <v>0</v>
      </c>
      <c r="P578" t="n">
        <v>0</v>
      </c>
      <c r="Q578" t="n">
        <v>0</v>
      </c>
      <c r="R578" s="2" t="inlineStr"/>
    </row>
    <row r="579" ht="15" customHeight="1">
      <c r="A579" t="inlineStr">
        <is>
          <t>A 26039-2025</t>
        </is>
      </c>
      <c r="B579" s="1" t="n">
        <v>45804.6953587963</v>
      </c>
      <c r="C579" s="1" t="n">
        <v>45889</v>
      </c>
      <c r="D579" t="inlineStr">
        <is>
          <t>KALMAR LÄN</t>
        </is>
      </c>
      <c r="E579" t="inlineStr">
        <is>
          <t>VIMMERBY</t>
        </is>
      </c>
      <c r="F579" t="inlineStr">
        <is>
          <t>Sveaskog</t>
        </is>
      </c>
      <c r="G579" t="n">
        <v>5.2</v>
      </c>
      <c r="H579" t="n">
        <v>0</v>
      </c>
      <c r="I579" t="n">
        <v>0</v>
      </c>
      <c r="J579" t="n">
        <v>0</v>
      </c>
      <c r="K579" t="n">
        <v>0</v>
      </c>
      <c r="L579" t="n">
        <v>0</v>
      </c>
      <c r="M579" t="n">
        <v>0</v>
      </c>
      <c r="N579" t="n">
        <v>0</v>
      </c>
      <c r="O579" t="n">
        <v>0</v>
      </c>
      <c r="P579" t="n">
        <v>0</v>
      </c>
      <c r="Q579" t="n">
        <v>0</v>
      </c>
      <c r="R579" s="2" t="inlineStr"/>
    </row>
    <row r="580" ht="15" customHeight="1">
      <c r="A580" t="inlineStr">
        <is>
          <t>A 26046-2025</t>
        </is>
      </c>
      <c r="B580" s="1" t="n">
        <v>45804.708125</v>
      </c>
      <c r="C580" s="1" t="n">
        <v>45889</v>
      </c>
      <c r="D580" t="inlineStr">
        <is>
          <t>KALMAR LÄN</t>
        </is>
      </c>
      <c r="E580" t="inlineStr">
        <is>
          <t>VIMMERBY</t>
        </is>
      </c>
      <c r="F580" t="inlineStr">
        <is>
          <t>Sveaskog</t>
        </is>
      </c>
      <c r="G580" t="n">
        <v>5.1</v>
      </c>
      <c r="H580" t="n">
        <v>0</v>
      </c>
      <c r="I580" t="n">
        <v>0</v>
      </c>
      <c r="J580" t="n">
        <v>0</v>
      </c>
      <c r="K580" t="n">
        <v>0</v>
      </c>
      <c r="L580" t="n">
        <v>0</v>
      </c>
      <c r="M580" t="n">
        <v>0</v>
      </c>
      <c r="N580" t="n">
        <v>0</v>
      </c>
      <c r="O580" t="n">
        <v>0</v>
      </c>
      <c r="P580" t="n">
        <v>0</v>
      </c>
      <c r="Q580" t="n">
        <v>0</v>
      </c>
      <c r="R580" s="2" t="inlineStr"/>
    </row>
    <row r="581" ht="15" customHeight="1">
      <c r="A581" t="inlineStr">
        <is>
          <t>A 25792-2025</t>
        </is>
      </c>
      <c r="B581" s="1" t="n">
        <v>45804.39141203704</v>
      </c>
      <c r="C581" s="1" t="n">
        <v>45889</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26006-2025</t>
        </is>
      </c>
      <c r="B582" s="1" t="n">
        <v>45804.67065972222</v>
      </c>
      <c r="C582" s="1" t="n">
        <v>45889</v>
      </c>
      <c r="D582" t="inlineStr">
        <is>
          <t>KALMAR LÄN</t>
        </is>
      </c>
      <c r="E582" t="inlineStr">
        <is>
          <t>VIMMERBY</t>
        </is>
      </c>
      <c r="G582" t="n">
        <v>2.7</v>
      </c>
      <c r="H582" t="n">
        <v>0</v>
      </c>
      <c r="I582" t="n">
        <v>0</v>
      </c>
      <c r="J582" t="n">
        <v>0</v>
      </c>
      <c r="K582" t="n">
        <v>0</v>
      </c>
      <c r="L582" t="n">
        <v>0</v>
      </c>
      <c r="M582" t="n">
        <v>0</v>
      </c>
      <c r="N582" t="n">
        <v>0</v>
      </c>
      <c r="O582" t="n">
        <v>0</v>
      </c>
      <c r="P582" t="n">
        <v>0</v>
      </c>
      <c r="Q582" t="n">
        <v>0</v>
      </c>
      <c r="R582" s="2" t="inlineStr"/>
    </row>
    <row r="583" ht="15" customHeight="1">
      <c r="A583" t="inlineStr">
        <is>
          <t>A 59598-2023</t>
        </is>
      </c>
      <c r="B583" s="1" t="n">
        <v>45254.62489583333</v>
      </c>
      <c r="C583" s="1" t="n">
        <v>45889</v>
      </c>
      <c r="D583" t="inlineStr">
        <is>
          <t>KALMAR LÄN</t>
        </is>
      </c>
      <c r="E583" t="inlineStr">
        <is>
          <t>VIMMERBY</t>
        </is>
      </c>
      <c r="F583" t="inlineStr">
        <is>
          <t>Övriga Aktiebolag</t>
        </is>
      </c>
      <c r="G583" t="n">
        <v>4</v>
      </c>
      <c r="H583" t="n">
        <v>0</v>
      </c>
      <c r="I583" t="n">
        <v>0</v>
      </c>
      <c r="J583" t="n">
        <v>0</v>
      </c>
      <c r="K583" t="n">
        <v>0</v>
      </c>
      <c r="L583" t="n">
        <v>0</v>
      </c>
      <c r="M583" t="n">
        <v>0</v>
      </c>
      <c r="N583" t="n">
        <v>0</v>
      </c>
      <c r="O583" t="n">
        <v>0</v>
      </c>
      <c r="P583" t="n">
        <v>0</v>
      </c>
      <c r="Q583" t="n">
        <v>0</v>
      </c>
      <c r="R583" s="2" t="inlineStr"/>
    </row>
    <row r="584" ht="15" customHeight="1">
      <c r="A584" t="inlineStr">
        <is>
          <t>A 25830-2025</t>
        </is>
      </c>
      <c r="B584" s="1" t="n">
        <v>45804.44519675926</v>
      </c>
      <c r="C584" s="1" t="n">
        <v>45889</v>
      </c>
      <c r="D584" t="inlineStr">
        <is>
          <t>KALMAR LÄN</t>
        </is>
      </c>
      <c r="E584" t="inlineStr">
        <is>
          <t>VIMMERBY</t>
        </is>
      </c>
      <c r="G584" t="n">
        <v>4.9</v>
      </c>
      <c r="H584" t="n">
        <v>0</v>
      </c>
      <c r="I584" t="n">
        <v>0</v>
      </c>
      <c r="J584" t="n">
        <v>0</v>
      </c>
      <c r="K584" t="n">
        <v>0</v>
      </c>
      <c r="L584" t="n">
        <v>0</v>
      </c>
      <c r="M584" t="n">
        <v>0</v>
      </c>
      <c r="N584" t="n">
        <v>0</v>
      </c>
      <c r="O584" t="n">
        <v>0</v>
      </c>
      <c r="P584" t="n">
        <v>0</v>
      </c>
      <c r="Q584" t="n">
        <v>0</v>
      </c>
      <c r="R584" s="2" t="inlineStr"/>
    </row>
    <row r="585" ht="15" customHeight="1">
      <c r="A585" t="inlineStr">
        <is>
          <t>A 30920-2023</t>
        </is>
      </c>
      <c r="B585" s="1" t="n">
        <v>45113.43921296296</v>
      </c>
      <c r="C585" s="1" t="n">
        <v>45889</v>
      </c>
      <c r="D585" t="inlineStr">
        <is>
          <t>KALMAR LÄN</t>
        </is>
      </c>
      <c r="E585" t="inlineStr">
        <is>
          <t>VIMMERBY</t>
        </is>
      </c>
      <c r="G585" t="n">
        <v>3.1</v>
      </c>
      <c r="H585" t="n">
        <v>0</v>
      </c>
      <c r="I585" t="n">
        <v>0</v>
      </c>
      <c r="J585" t="n">
        <v>0</v>
      </c>
      <c r="K585" t="n">
        <v>0</v>
      </c>
      <c r="L585" t="n">
        <v>0</v>
      </c>
      <c r="M585" t="n">
        <v>0</v>
      </c>
      <c r="N585" t="n">
        <v>0</v>
      </c>
      <c r="O585" t="n">
        <v>0</v>
      </c>
      <c r="P585" t="n">
        <v>0</v>
      </c>
      <c r="Q585" t="n">
        <v>0</v>
      </c>
      <c r="R585" s="2" t="inlineStr"/>
    </row>
    <row r="586" ht="15" customHeight="1">
      <c r="A586" t="inlineStr">
        <is>
          <t>A 41896-2023</t>
        </is>
      </c>
      <c r="B586" s="1" t="n">
        <v>45176.72427083334</v>
      </c>
      <c r="C586" s="1" t="n">
        <v>45889</v>
      </c>
      <c r="D586" t="inlineStr">
        <is>
          <t>KALMAR LÄN</t>
        </is>
      </c>
      <c r="E586" t="inlineStr">
        <is>
          <t>VIMMERBY</t>
        </is>
      </c>
      <c r="G586" t="n">
        <v>1.3</v>
      </c>
      <c r="H586" t="n">
        <v>0</v>
      </c>
      <c r="I586" t="n">
        <v>0</v>
      </c>
      <c r="J586" t="n">
        <v>0</v>
      </c>
      <c r="K586" t="n">
        <v>0</v>
      </c>
      <c r="L586" t="n">
        <v>0</v>
      </c>
      <c r="M586" t="n">
        <v>0</v>
      </c>
      <c r="N586" t="n">
        <v>0</v>
      </c>
      <c r="O586" t="n">
        <v>0</v>
      </c>
      <c r="P586" t="n">
        <v>0</v>
      </c>
      <c r="Q586" t="n">
        <v>0</v>
      </c>
      <c r="R586" s="2" t="inlineStr"/>
    </row>
    <row r="587" ht="15" customHeight="1">
      <c r="A587" t="inlineStr">
        <is>
          <t>A 43606-2024</t>
        </is>
      </c>
      <c r="B587" s="1" t="n">
        <v>45569.45017361111</v>
      </c>
      <c r="C587" s="1" t="n">
        <v>45889</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12325-2023</t>
        </is>
      </c>
      <c r="B588" s="1" t="n">
        <v>44999.35858796296</v>
      </c>
      <c r="C588" s="1" t="n">
        <v>45889</v>
      </c>
      <c r="D588" t="inlineStr">
        <is>
          <t>KALMAR LÄN</t>
        </is>
      </c>
      <c r="E588" t="inlineStr">
        <is>
          <t>VIMMERBY</t>
        </is>
      </c>
      <c r="G588" t="n">
        <v>3.4</v>
      </c>
      <c r="H588" t="n">
        <v>0</v>
      </c>
      <c r="I588" t="n">
        <v>0</v>
      </c>
      <c r="J588" t="n">
        <v>0</v>
      </c>
      <c r="K588" t="n">
        <v>0</v>
      </c>
      <c r="L588" t="n">
        <v>0</v>
      </c>
      <c r="M588" t="n">
        <v>0</v>
      </c>
      <c r="N588" t="n">
        <v>0</v>
      </c>
      <c r="O588" t="n">
        <v>0</v>
      </c>
      <c r="P588" t="n">
        <v>0</v>
      </c>
      <c r="Q588" t="n">
        <v>0</v>
      </c>
      <c r="R588" s="2" t="inlineStr"/>
    </row>
    <row r="589" ht="15" customHeight="1">
      <c r="A589" t="inlineStr">
        <is>
          <t>A 26124-2025</t>
        </is>
      </c>
      <c r="B589" s="1" t="n">
        <v>45805.39247685186</v>
      </c>
      <c r="C589" s="1" t="n">
        <v>45889</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8945-2025</t>
        </is>
      </c>
      <c r="B590" s="1" t="n">
        <v>45713.45311342592</v>
      </c>
      <c r="C590" s="1" t="n">
        <v>45889</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40665-2023</t>
        </is>
      </c>
      <c r="B591" s="1" t="n">
        <v>45170</v>
      </c>
      <c r="C591" s="1" t="n">
        <v>45889</v>
      </c>
      <c r="D591" t="inlineStr">
        <is>
          <t>KALMAR LÄN</t>
        </is>
      </c>
      <c r="E591" t="inlineStr">
        <is>
          <t>VIMMERBY</t>
        </is>
      </c>
      <c r="G591" t="n">
        <v>2.6</v>
      </c>
      <c r="H591" t="n">
        <v>0</v>
      </c>
      <c r="I591" t="n">
        <v>0</v>
      </c>
      <c r="J591" t="n">
        <v>0</v>
      </c>
      <c r="K591" t="n">
        <v>0</v>
      </c>
      <c r="L591" t="n">
        <v>0</v>
      </c>
      <c r="M591" t="n">
        <v>0</v>
      </c>
      <c r="N591" t="n">
        <v>0</v>
      </c>
      <c r="O591" t="n">
        <v>0</v>
      </c>
      <c r="P591" t="n">
        <v>0</v>
      </c>
      <c r="Q591" t="n">
        <v>0</v>
      </c>
      <c r="R591" s="2" t="inlineStr"/>
    </row>
    <row r="592" ht="15" customHeight="1">
      <c r="A592" t="inlineStr">
        <is>
          <t>A 26254-2025</t>
        </is>
      </c>
      <c r="B592" s="1" t="n">
        <v>45805</v>
      </c>
      <c r="C592" s="1" t="n">
        <v>45889</v>
      </c>
      <c r="D592" t="inlineStr">
        <is>
          <t>KALMAR LÄN</t>
        </is>
      </c>
      <c r="E592" t="inlineStr">
        <is>
          <t>VIMMERBY</t>
        </is>
      </c>
      <c r="G592" t="n">
        <v>2</v>
      </c>
      <c r="H592" t="n">
        <v>0</v>
      </c>
      <c r="I592" t="n">
        <v>0</v>
      </c>
      <c r="J592" t="n">
        <v>0</v>
      </c>
      <c r="K592" t="n">
        <v>0</v>
      </c>
      <c r="L592" t="n">
        <v>0</v>
      </c>
      <c r="M592" t="n">
        <v>0</v>
      </c>
      <c r="N592" t="n">
        <v>0</v>
      </c>
      <c r="O592" t="n">
        <v>0</v>
      </c>
      <c r="P592" t="n">
        <v>0</v>
      </c>
      <c r="Q592" t="n">
        <v>0</v>
      </c>
      <c r="R592" s="2" t="inlineStr"/>
    </row>
    <row r="593" ht="15" customHeight="1">
      <c r="A593" t="inlineStr">
        <is>
          <t>A 13307-2025</t>
        </is>
      </c>
      <c r="B593" s="1" t="n">
        <v>45735.58024305556</v>
      </c>
      <c r="C593" s="1" t="n">
        <v>45889</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28034-2022</t>
        </is>
      </c>
      <c r="B594" s="1" t="n">
        <v>44746.38834490741</v>
      </c>
      <c r="C594" s="1" t="n">
        <v>45889</v>
      </c>
      <c r="D594" t="inlineStr">
        <is>
          <t>KALMAR LÄN</t>
        </is>
      </c>
      <c r="E594" t="inlineStr">
        <is>
          <t>VIMMERBY</t>
        </is>
      </c>
      <c r="G594" t="n">
        <v>2</v>
      </c>
      <c r="H594" t="n">
        <v>0</v>
      </c>
      <c r="I594" t="n">
        <v>0</v>
      </c>
      <c r="J594" t="n">
        <v>0</v>
      </c>
      <c r="K594" t="n">
        <v>0</v>
      </c>
      <c r="L594" t="n">
        <v>0</v>
      </c>
      <c r="M594" t="n">
        <v>0</v>
      </c>
      <c r="N594" t="n">
        <v>0</v>
      </c>
      <c r="O594" t="n">
        <v>0</v>
      </c>
      <c r="P594" t="n">
        <v>0</v>
      </c>
      <c r="Q594" t="n">
        <v>0</v>
      </c>
      <c r="R594" s="2" t="inlineStr"/>
    </row>
    <row r="595" ht="15" customHeight="1">
      <c r="A595" t="inlineStr">
        <is>
          <t>A 40929-2022</t>
        </is>
      </c>
      <c r="B595" s="1" t="n">
        <v>44825.4336574074</v>
      </c>
      <c r="C595" s="1" t="n">
        <v>45889</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33380-2023</t>
        </is>
      </c>
      <c r="B596" s="1" t="n">
        <v>45128</v>
      </c>
      <c r="C596" s="1" t="n">
        <v>45889</v>
      </c>
      <c r="D596" t="inlineStr">
        <is>
          <t>KALMAR LÄN</t>
        </is>
      </c>
      <c r="E596" t="inlineStr">
        <is>
          <t>VIMMERBY</t>
        </is>
      </c>
      <c r="G596" t="n">
        <v>5.2</v>
      </c>
      <c r="H596" t="n">
        <v>0</v>
      </c>
      <c r="I596" t="n">
        <v>0</v>
      </c>
      <c r="J596" t="n">
        <v>0</v>
      </c>
      <c r="K596" t="n">
        <v>0</v>
      </c>
      <c r="L596" t="n">
        <v>0</v>
      </c>
      <c r="M596" t="n">
        <v>0</v>
      </c>
      <c r="N596" t="n">
        <v>0</v>
      </c>
      <c r="O596" t="n">
        <v>0</v>
      </c>
      <c r="P596" t="n">
        <v>0</v>
      </c>
      <c r="Q596" t="n">
        <v>0</v>
      </c>
      <c r="R596" s="2" t="inlineStr"/>
    </row>
    <row r="597" ht="15" customHeight="1">
      <c r="A597" t="inlineStr">
        <is>
          <t>A 46144-2023</t>
        </is>
      </c>
      <c r="B597" s="1" t="n">
        <v>45196.57247685185</v>
      </c>
      <c r="C597" s="1" t="n">
        <v>45889</v>
      </c>
      <c r="D597" t="inlineStr">
        <is>
          <t>KALMAR LÄN</t>
        </is>
      </c>
      <c r="E597" t="inlineStr">
        <is>
          <t>VIMMERBY</t>
        </is>
      </c>
      <c r="G597" t="n">
        <v>6.5</v>
      </c>
      <c r="H597" t="n">
        <v>0</v>
      </c>
      <c r="I597" t="n">
        <v>0</v>
      </c>
      <c r="J597" t="n">
        <v>0</v>
      </c>
      <c r="K597" t="n">
        <v>0</v>
      </c>
      <c r="L597" t="n">
        <v>0</v>
      </c>
      <c r="M597" t="n">
        <v>0</v>
      </c>
      <c r="N597" t="n">
        <v>0</v>
      </c>
      <c r="O597" t="n">
        <v>0</v>
      </c>
      <c r="P597" t="n">
        <v>0</v>
      </c>
      <c r="Q597" t="n">
        <v>0</v>
      </c>
      <c r="R597" s="2" t="inlineStr"/>
    </row>
    <row r="598" ht="15" customHeight="1">
      <c r="A598" t="inlineStr">
        <is>
          <t>A 55605-2024</t>
        </is>
      </c>
      <c r="B598" s="1" t="n">
        <v>45622</v>
      </c>
      <c r="C598" s="1" t="n">
        <v>45889</v>
      </c>
      <c r="D598" t="inlineStr">
        <is>
          <t>KALMAR LÄN</t>
        </is>
      </c>
      <c r="E598" t="inlineStr">
        <is>
          <t>VIMMERBY</t>
        </is>
      </c>
      <c r="G598" t="n">
        <v>1.1</v>
      </c>
      <c r="H598" t="n">
        <v>0</v>
      </c>
      <c r="I598" t="n">
        <v>0</v>
      </c>
      <c r="J598" t="n">
        <v>0</v>
      </c>
      <c r="K598" t="n">
        <v>0</v>
      </c>
      <c r="L598" t="n">
        <v>0</v>
      </c>
      <c r="M598" t="n">
        <v>0</v>
      </c>
      <c r="N598" t="n">
        <v>0</v>
      </c>
      <c r="O598" t="n">
        <v>0</v>
      </c>
      <c r="P598" t="n">
        <v>0</v>
      </c>
      <c r="Q598" t="n">
        <v>0</v>
      </c>
      <c r="R598" s="2" t="inlineStr"/>
    </row>
    <row r="599" ht="15" customHeight="1">
      <c r="A599" t="inlineStr">
        <is>
          <t>A 54787-2023</t>
        </is>
      </c>
      <c r="B599" s="1" t="n">
        <v>45236</v>
      </c>
      <c r="C599" s="1" t="n">
        <v>45889</v>
      </c>
      <c r="D599" t="inlineStr">
        <is>
          <t>KALMAR LÄN</t>
        </is>
      </c>
      <c r="E599" t="inlineStr">
        <is>
          <t>VIMMERBY</t>
        </is>
      </c>
      <c r="G599" t="n">
        <v>1</v>
      </c>
      <c r="H599" t="n">
        <v>0</v>
      </c>
      <c r="I599" t="n">
        <v>0</v>
      </c>
      <c r="J599" t="n">
        <v>0</v>
      </c>
      <c r="K599" t="n">
        <v>0</v>
      </c>
      <c r="L599" t="n">
        <v>0</v>
      </c>
      <c r="M599" t="n">
        <v>0</v>
      </c>
      <c r="N599" t="n">
        <v>0</v>
      </c>
      <c r="O599" t="n">
        <v>0</v>
      </c>
      <c r="P599" t="n">
        <v>0</v>
      </c>
      <c r="Q599" t="n">
        <v>0</v>
      </c>
      <c r="R599" s="2" t="inlineStr"/>
    </row>
    <row r="600" ht="15" customHeight="1">
      <c r="A600" t="inlineStr">
        <is>
          <t>A 15715-2022</t>
        </is>
      </c>
      <c r="B600" s="1" t="n">
        <v>44663</v>
      </c>
      <c r="C600" s="1" t="n">
        <v>45889</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42165-2024</t>
        </is>
      </c>
      <c r="B601" s="1" t="n">
        <v>45562.46342592593</v>
      </c>
      <c r="C601" s="1" t="n">
        <v>45889</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34628-2025</t>
        </is>
      </c>
      <c r="B602" s="1" t="n">
        <v>45847.91280092593</v>
      </c>
      <c r="C602" s="1" t="n">
        <v>45889</v>
      </c>
      <c r="D602" t="inlineStr">
        <is>
          <t>KALMAR LÄN</t>
        </is>
      </c>
      <c r="E602" t="inlineStr">
        <is>
          <t>VIMMERBY</t>
        </is>
      </c>
      <c r="G602" t="n">
        <v>4.2</v>
      </c>
      <c r="H602" t="n">
        <v>0</v>
      </c>
      <c r="I602" t="n">
        <v>0</v>
      </c>
      <c r="J602" t="n">
        <v>0</v>
      </c>
      <c r="K602" t="n">
        <v>0</v>
      </c>
      <c r="L602" t="n">
        <v>0</v>
      </c>
      <c r="M602" t="n">
        <v>0</v>
      </c>
      <c r="N602" t="n">
        <v>0</v>
      </c>
      <c r="O602" t="n">
        <v>0</v>
      </c>
      <c r="P602" t="n">
        <v>0</v>
      </c>
      <c r="Q602" t="n">
        <v>0</v>
      </c>
      <c r="R602" s="2" t="inlineStr"/>
    </row>
    <row r="603" ht="15" customHeight="1">
      <c r="A603" t="inlineStr">
        <is>
          <t>A 43774-2023</t>
        </is>
      </c>
      <c r="B603" s="1" t="n">
        <v>45187</v>
      </c>
      <c r="C603" s="1" t="n">
        <v>45889</v>
      </c>
      <c r="D603" t="inlineStr">
        <is>
          <t>KALMAR LÄN</t>
        </is>
      </c>
      <c r="E603" t="inlineStr">
        <is>
          <t>VIMMERBY</t>
        </is>
      </c>
      <c r="G603" t="n">
        <v>3.4</v>
      </c>
      <c r="H603" t="n">
        <v>0</v>
      </c>
      <c r="I603" t="n">
        <v>0</v>
      </c>
      <c r="J603" t="n">
        <v>0</v>
      </c>
      <c r="K603" t="n">
        <v>0</v>
      </c>
      <c r="L603" t="n">
        <v>0</v>
      </c>
      <c r="M603" t="n">
        <v>0</v>
      </c>
      <c r="N603" t="n">
        <v>0</v>
      </c>
      <c r="O603" t="n">
        <v>0</v>
      </c>
      <c r="P603" t="n">
        <v>0</v>
      </c>
      <c r="Q603" t="n">
        <v>0</v>
      </c>
      <c r="R603" s="2" t="inlineStr"/>
    </row>
    <row r="604" ht="15" customHeight="1">
      <c r="A604" t="inlineStr">
        <is>
          <t>A 43705-2023</t>
        </is>
      </c>
      <c r="B604" s="1" t="n">
        <v>45187.42854166667</v>
      </c>
      <c r="C604" s="1" t="n">
        <v>45889</v>
      </c>
      <c r="D604" t="inlineStr">
        <is>
          <t>KALMAR LÄN</t>
        </is>
      </c>
      <c r="E604" t="inlineStr">
        <is>
          <t>VIMMERBY</t>
        </is>
      </c>
      <c r="G604" t="n">
        <v>1.2</v>
      </c>
      <c r="H604" t="n">
        <v>0</v>
      </c>
      <c r="I604" t="n">
        <v>0</v>
      </c>
      <c r="J604" t="n">
        <v>0</v>
      </c>
      <c r="K604" t="n">
        <v>0</v>
      </c>
      <c r="L604" t="n">
        <v>0</v>
      </c>
      <c r="M604" t="n">
        <v>0</v>
      </c>
      <c r="N604" t="n">
        <v>0</v>
      </c>
      <c r="O604" t="n">
        <v>0</v>
      </c>
      <c r="P604" t="n">
        <v>0</v>
      </c>
      <c r="Q604" t="n">
        <v>0</v>
      </c>
      <c r="R604" s="2" t="inlineStr"/>
    </row>
    <row r="605" ht="15" customHeight="1">
      <c r="A605" t="inlineStr">
        <is>
          <t>A 20129-2024</t>
        </is>
      </c>
      <c r="B605" s="1" t="n">
        <v>45434.55831018519</v>
      </c>
      <c r="C605" s="1" t="n">
        <v>45889</v>
      </c>
      <c r="D605" t="inlineStr">
        <is>
          <t>KALMAR LÄN</t>
        </is>
      </c>
      <c r="E605" t="inlineStr">
        <is>
          <t>VIMMERBY</t>
        </is>
      </c>
      <c r="F605" t="inlineStr">
        <is>
          <t>Sveaskog</t>
        </is>
      </c>
      <c r="G605" t="n">
        <v>2</v>
      </c>
      <c r="H605" t="n">
        <v>0</v>
      </c>
      <c r="I605" t="n">
        <v>0</v>
      </c>
      <c r="J605" t="n">
        <v>0</v>
      </c>
      <c r="K605" t="n">
        <v>0</v>
      </c>
      <c r="L605" t="n">
        <v>0</v>
      </c>
      <c r="M605" t="n">
        <v>0</v>
      </c>
      <c r="N605" t="n">
        <v>0</v>
      </c>
      <c r="O605" t="n">
        <v>0</v>
      </c>
      <c r="P605" t="n">
        <v>0</v>
      </c>
      <c r="Q605" t="n">
        <v>0</v>
      </c>
      <c r="R605" s="2" t="inlineStr"/>
    </row>
    <row r="606" ht="15" customHeight="1">
      <c r="A606" t="inlineStr">
        <is>
          <t>A 20137-2024</t>
        </is>
      </c>
      <c r="B606" s="1" t="n">
        <v>45434.56398148148</v>
      </c>
      <c r="C606" s="1" t="n">
        <v>45889</v>
      </c>
      <c r="D606" t="inlineStr">
        <is>
          <t>KALMAR LÄN</t>
        </is>
      </c>
      <c r="E606" t="inlineStr">
        <is>
          <t>VIMMERBY</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7932-2025</t>
        </is>
      </c>
      <c r="B607" s="1" t="n">
        <v>45707.3793287037</v>
      </c>
      <c r="C607" s="1" t="n">
        <v>45889</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13532-2025</t>
        </is>
      </c>
      <c r="B608" s="1" t="n">
        <v>45736.50743055555</v>
      </c>
      <c r="C608" s="1" t="n">
        <v>45889</v>
      </c>
      <c r="D608" t="inlineStr">
        <is>
          <t>KALMAR LÄN</t>
        </is>
      </c>
      <c r="E608" t="inlineStr">
        <is>
          <t>VIMMERBY</t>
        </is>
      </c>
      <c r="G608" t="n">
        <v>3.6</v>
      </c>
      <c r="H608" t="n">
        <v>0</v>
      </c>
      <c r="I608" t="n">
        <v>0</v>
      </c>
      <c r="J608" t="n">
        <v>0</v>
      </c>
      <c r="K608" t="n">
        <v>0</v>
      </c>
      <c r="L608" t="n">
        <v>0</v>
      </c>
      <c r="M608" t="n">
        <v>0</v>
      </c>
      <c r="N608" t="n">
        <v>0</v>
      </c>
      <c r="O608" t="n">
        <v>0</v>
      </c>
      <c r="P608" t="n">
        <v>0</v>
      </c>
      <c r="Q608" t="n">
        <v>0</v>
      </c>
      <c r="R608" s="2" t="inlineStr"/>
    </row>
    <row r="609" ht="15" customHeight="1">
      <c r="A609" t="inlineStr">
        <is>
          <t>A 26207-2025</t>
        </is>
      </c>
      <c r="B609" s="1" t="n">
        <v>45805.52983796296</v>
      </c>
      <c r="C609" s="1" t="n">
        <v>45889</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23095-2023</t>
        </is>
      </c>
      <c r="B610" s="1" t="n">
        <v>45075.43059027778</v>
      </c>
      <c r="C610" s="1" t="n">
        <v>45889</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65049-2020</t>
        </is>
      </c>
      <c r="B611" s="1" t="n">
        <v>44172</v>
      </c>
      <c r="C611" s="1" t="n">
        <v>45889</v>
      </c>
      <c r="D611" t="inlineStr">
        <is>
          <t>KALMAR LÄN</t>
        </is>
      </c>
      <c r="E611" t="inlineStr">
        <is>
          <t>VIMMERBY</t>
        </is>
      </c>
      <c r="G611" t="n">
        <v>2.3</v>
      </c>
      <c r="H611" t="n">
        <v>0</v>
      </c>
      <c r="I611" t="n">
        <v>0</v>
      </c>
      <c r="J611" t="n">
        <v>0</v>
      </c>
      <c r="K611" t="n">
        <v>0</v>
      </c>
      <c r="L611" t="n">
        <v>0</v>
      </c>
      <c r="M611" t="n">
        <v>0</v>
      </c>
      <c r="N611" t="n">
        <v>0</v>
      </c>
      <c r="O611" t="n">
        <v>0</v>
      </c>
      <c r="P611" t="n">
        <v>0</v>
      </c>
      <c r="Q611" t="n">
        <v>0</v>
      </c>
      <c r="R611" s="2" t="inlineStr"/>
    </row>
    <row r="612" ht="15" customHeight="1">
      <c r="A612" t="inlineStr">
        <is>
          <t>A 32919-2022</t>
        </is>
      </c>
      <c r="B612" s="1" t="n">
        <v>44784.62724537037</v>
      </c>
      <c r="C612" s="1" t="n">
        <v>45889</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7068-2024</t>
        </is>
      </c>
      <c r="B613" s="1" t="n">
        <v>45343.68038194445</v>
      </c>
      <c r="C613" s="1" t="n">
        <v>45889</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12596-2021</t>
        </is>
      </c>
      <c r="B614" s="1" t="n">
        <v>44270.39765046296</v>
      </c>
      <c r="C614" s="1" t="n">
        <v>45889</v>
      </c>
      <c r="D614" t="inlineStr">
        <is>
          <t>KALMAR LÄN</t>
        </is>
      </c>
      <c r="E614" t="inlineStr">
        <is>
          <t>VIMMERBY</t>
        </is>
      </c>
      <c r="F614" t="inlineStr">
        <is>
          <t>Sveaskog</t>
        </is>
      </c>
      <c r="G614" t="n">
        <v>3.1</v>
      </c>
      <c r="H614" t="n">
        <v>0</v>
      </c>
      <c r="I614" t="n">
        <v>0</v>
      </c>
      <c r="J614" t="n">
        <v>0</v>
      </c>
      <c r="K614" t="n">
        <v>0</v>
      </c>
      <c r="L614" t="n">
        <v>0</v>
      </c>
      <c r="M614" t="n">
        <v>0</v>
      </c>
      <c r="N614" t="n">
        <v>0</v>
      </c>
      <c r="O614" t="n">
        <v>0</v>
      </c>
      <c r="P614" t="n">
        <v>0</v>
      </c>
      <c r="Q614" t="n">
        <v>0</v>
      </c>
      <c r="R614" s="2" t="inlineStr"/>
    </row>
    <row r="615" ht="15" customHeight="1">
      <c r="A615" t="inlineStr">
        <is>
          <t>A 32655-2023</t>
        </is>
      </c>
      <c r="B615" s="1" t="n">
        <v>45121.61318287037</v>
      </c>
      <c r="C615" s="1" t="n">
        <v>45889</v>
      </c>
      <c r="D615" t="inlineStr">
        <is>
          <t>KALMAR LÄN</t>
        </is>
      </c>
      <c r="E615" t="inlineStr">
        <is>
          <t>VIMMERBY</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1978-2024</t>
        </is>
      </c>
      <c r="B616" s="1" t="n">
        <v>45308.59001157407</v>
      </c>
      <c r="C616" s="1" t="n">
        <v>45889</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6399-2025</t>
        </is>
      </c>
      <c r="B617" s="1" t="n">
        <v>45699.44291666667</v>
      </c>
      <c r="C617" s="1" t="n">
        <v>45889</v>
      </c>
      <c r="D617" t="inlineStr">
        <is>
          <t>KALMAR LÄN</t>
        </is>
      </c>
      <c r="E617" t="inlineStr">
        <is>
          <t>VIMMERBY</t>
        </is>
      </c>
      <c r="G617" t="n">
        <v>3.1</v>
      </c>
      <c r="H617" t="n">
        <v>0</v>
      </c>
      <c r="I617" t="n">
        <v>0</v>
      </c>
      <c r="J617" t="n">
        <v>0</v>
      </c>
      <c r="K617" t="n">
        <v>0</v>
      </c>
      <c r="L617" t="n">
        <v>0</v>
      </c>
      <c r="M617" t="n">
        <v>0</v>
      </c>
      <c r="N617" t="n">
        <v>0</v>
      </c>
      <c r="O617" t="n">
        <v>0</v>
      </c>
      <c r="P617" t="n">
        <v>0</v>
      </c>
      <c r="Q617" t="n">
        <v>0</v>
      </c>
      <c r="R617" s="2" t="inlineStr"/>
    </row>
    <row r="618" ht="15" customHeight="1">
      <c r="A618" t="inlineStr">
        <is>
          <t>A 41311-2023</t>
        </is>
      </c>
      <c r="B618" s="1" t="n">
        <v>45174</v>
      </c>
      <c r="C618" s="1" t="n">
        <v>45889</v>
      </c>
      <c r="D618" t="inlineStr">
        <is>
          <t>KALMAR LÄN</t>
        </is>
      </c>
      <c r="E618" t="inlineStr">
        <is>
          <t>VIMMERBY</t>
        </is>
      </c>
      <c r="G618" t="n">
        <v>0.7</v>
      </c>
      <c r="H618" t="n">
        <v>0</v>
      </c>
      <c r="I618" t="n">
        <v>0</v>
      </c>
      <c r="J618" t="n">
        <v>0</v>
      </c>
      <c r="K618" t="n">
        <v>0</v>
      </c>
      <c r="L618" t="n">
        <v>0</v>
      </c>
      <c r="M618" t="n">
        <v>0</v>
      </c>
      <c r="N618" t="n">
        <v>0</v>
      </c>
      <c r="O618" t="n">
        <v>0</v>
      </c>
      <c r="P618" t="n">
        <v>0</v>
      </c>
      <c r="Q618" t="n">
        <v>0</v>
      </c>
      <c r="R618" s="2" t="inlineStr"/>
    </row>
    <row r="619" ht="15" customHeight="1">
      <c r="A619" t="inlineStr">
        <is>
          <t>A 54409-2024</t>
        </is>
      </c>
      <c r="B619" s="1" t="n">
        <v>45617.47570601852</v>
      </c>
      <c r="C619" s="1" t="n">
        <v>45889</v>
      </c>
      <c r="D619" t="inlineStr">
        <is>
          <t>KALMAR LÄN</t>
        </is>
      </c>
      <c r="E619" t="inlineStr">
        <is>
          <t>VIMMERBY</t>
        </is>
      </c>
      <c r="G619" t="n">
        <v>4.3</v>
      </c>
      <c r="H619" t="n">
        <v>0</v>
      </c>
      <c r="I619" t="n">
        <v>0</v>
      </c>
      <c r="J619" t="n">
        <v>0</v>
      </c>
      <c r="K619" t="n">
        <v>0</v>
      </c>
      <c r="L619" t="n">
        <v>0</v>
      </c>
      <c r="M619" t="n">
        <v>0</v>
      </c>
      <c r="N619" t="n">
        <v>0</v>
      </c>
      <c r="O619" t="n">
        <v>0</v>
      </c>
      <c r="P619" t="n">
        <v>0</v>
      </c>
      <c r="Q619" t="n">
        <v>0</v>
      </c>
      <c r="R619" s="2" t="inlineStr"/>
    </row>
    <row r="620" ht="15" customHeight="1">
      <c r="A620" t="inlineStr">
        <is>
          <t>A 26609-2025</t>
        </is>
      </c>
      <c r="B620" s="1" t="n">
        <v>45810.00048611111</v>
      </c>
      <c r="C620" s="1" t="n">
        <v>45889</v>
      </c>
      <c r="D620" t="inlineStr">
        <is>
          <t>KALMAR LÄN</t>
        </is>
      </c>
      <c r="E620" t="inlineStr">
        <is>
          <t>VIMMERBY</t>
        </is>
      </c>
      <c r="G620" t="n">
        <v>3.8</v>
      </c>
      <c r="H620" t="n">
        <v>0</v>
      </c>
      <c r="I620" t="n">
        <v>0</v>
      </c>
      <c r="J620" t="n">
        <v>0</v>
      </c>
      <c r="K620" t="n">
        <v>0</v>
      </c>
      <c r="L620" t="n">
        <v>0</v>
      </c>
      <c r="M620" t="n">
        <v>0</v>
      </c>
      <c r="N620" t="n">
        <v>0</v>
      </c>
      <c r="O620" t="n">
        <v>0</v>
      </c>
      <c r="P620" t="n">
        <v>0</v>
      </c>
      <c r="Q620" t="n">
        <v>0</v>
      </c>
      <c r="R620" s="2" t="inlineStr"/>
    </row>
    <row r="621" ht="15" customHeight="1">
      <c r="A621" t="inlineStr">
        <is>
          <t>A 9475-2023</t>
        </is>
      </c>
      <c r="B621" s="1" t="n">
        <v>44981.58834490741</v>
      </c>
      <c r="C621" s="1" t="n">
        <v>45889</v>
      </c>
      <c r="D621" t="inlineStr">
        <is>
          <t>KALMAR LÄN</t>
        </is>
      </c>
      <c r="E621" t="inlineStr">
        <is>
          <t>VIMMERBY</t>
        </is>
      </c>
      <c r="G621" t="n">
        <v>2</v>
      </c>
      <c r="H621" t="n">
        <v>0</v>
      </c>
      <c r="I621" t="n">
        <v>0</v>
      </c>
      <c r="J621" t="n">
        <v>0</v>
      </c>
      <c r="K621" t="n">
        <v>0</v>
      </c>
      <c r="L621" t="n">
        <v>0</v>
      </c>
      <c r="M621" t="n">
        <v>0</v>
      </c>
      <c r="N621" t="n">
        <v>0</v>
      </c>
      <c r="O621" t="n">
        <v>0</v>
      </c>
      <c r="P621" t="n">
        <v>0</v>
      </c>
      <c r="Q621" t="n">
        <v>0</v>
      </c>
      <c r="R621" s="2" t="inlineStr"/>
    </row>
    <row r="622" ht="15" customHeight="1">
      <c r="A622" t="inlineStr">
        <is>
          <t>A 10785-2025</t>
        </is>
      </c>
      <c r="B622" s="1" t="n">
        <v>45722.48634259259</v>
      </c>
      <c r="C622" s="1" t="n">
        <v>45889</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10211-2025</t>
        </is>
      </c>
      <c r="B623" s="1" t="n">
        <v>45719.84378472222</v>
      </c>
      <c r="C623" s="1" t="n">
        <v>45889</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43092-2024</t>
        </is>
      </c>
      <c r="B624" s="1" t="n">
        <v>45567</v>
      </c>
      <c r="C624" s="1" t="n">
        <v>45889</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11619-2023</t>
        </is>
      </c>
      <c r="B625" s="1" t="n">
        <v>44994.42113425926</v>
      </c>
      <c r="C625" s="1" t="n">
        <v>45889</v>
      </c>
      <c r="D625" t="inlineStr">
        <is>
          <t>KALMAR LÄN</t>
        </is>
      </c>
      <c r="E625" t="inlineStr">
        <is>
          <t>VIMMERBY</t>
        </is>
      </c>
      <c r="G625" t="n">
        <v>2.5</v>
      </c>
      <c r="H625" t="n">
        <v>0</v>
      </c>
      <c r="I625" t="n">
        <v>0</v>
      </c>
      <c r="J625" t="n">
        <v>0</v>
      </c>
      <c r="K625" t="n">
        <v>0</v>
      </c>
      <c r="L625" t="n">
        <v>0</v>
      </c>
      <c r="M625" t="n">
        <v>0</v>
      </c>
      <c r="N625" t="n">
        <v>0</v>
      </c>
      <c r="O625" t="n">
        <v>0</v>
      </c>
      <c r="P625" t="n">
        <v>0</v>
      </c>
      <c r="Q625" t="n">
        <v>0</v>
      </c>
      <c r="R625" s="2" t="inlineStr"/>
    </row>
    <row r="626" ht="15" customHeight="1">
      <c r="A626" t="inlineStr">
        <is>
          <t>A 5074-2023</t>
        </is>
      </c>
      <c r="B626" s="1" t="n">
        <v>44958.61047453704</v>
      </c>
      <c r="C626" s="1" t="n">
        <v>45889</v>
      </c>
      <c r="D626" t="inlineStr">
        <is>
          <t>KALMAR LÄN</t>
        </is>
      </c>
      <c r="E626" t="inlineStr">
        <is>
          <t>VIMMERBY</t>
        </is>
      </c>
      <c r="G626" t="n">
        <v>1.6</v>
      </c>
      <c r="H626" t="n">
        <v>0</v>
      </c>
      <c r="I626" t="n">
        <v>0</v>
      </c>
      <c r="J626" t="n">
        <v>0</v>
      </c>
      <c r="K626" t="n">
        <v>0</v>
      </c>
      <c r="L626" t="n">
        <v>0</v>
      </c>
      <c r="M626" t="n">
        <v>0</v>
      </c>
      <c r="N626" t="n">
        <v>0</v>
      </c>
      <c r="O626" t="n">
        <v>0</v>
      </c>
      <c r="P626" t="n">
        <v>0</v>
      </c>
      <c r="Q626" t="n">
        <v>0</v>
      </c>
      <c r="R626" s="2" t="inlineStr"/>
    </row>
    <row r="627" ht="15" customHeight="1">
      <c r="A627" t="inlineStr">
        <is>
          <t>A 18020-2025</t>
        </is>
      </c>
      <c r="B627" s="1" t="n">
        <v>45761.4437962963</v>
      </c>
      <c r="C627" s="1" t="n">
        <v>45889</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6368-2023</t>
        </is>
      </c>
      <c r="B628" s="1" t="n">
        <v>44965</v>
      </c>
      <c r="C628" s="1" t="n">
        <v>45889</v>
      </c>
      <c r="D628" t="inlineStr">
        <is>
          <t>KALMAR LÄN</t>
        </is>
      </c>
      <c r="E628" t="inlineStr">
        <is>
          <t>VIMMERBY</t>
        </is>
      </c>
      <c r="G628" t="n">
        <v>1.3</v>
      </c>
      <c r="H628" t="n">
        <v>0</v>
      </c>
      <c r="I628" t="n">
        <v>0</v>
      </c>
      <c r="J628" t="n">
        <v>0</v>
      </c>
      <c r="K628" t="n">
        <v>0</v>
      </c>
      <c r="L628" t="n">
        <v>0</v>
      </c>
      <c r="M628" t="n">
        <v>0</v>
      </c>
      <c r="N628" t="n">
        <v>0</v>
      </c>
      <c r="O628" t="n">
        <v>0</v>
      </c>
      <c r="P628" t="n">
        <v>0</v>
      </c>
      <c r="Q628" t="n">
        <v>0</v>
      </c>
      <c r="R628" s="2" t="inlineStr"/>
    </row>
    <row r="629" ht="15" customHeight="1">
      <c r="A629" t="inlineStr">
        <is>
          <t>A 585-2024</t>
        </is>
      </c>
      <c r="B629" s="1" t="n">
        <v>45299.62576388889</v>
      </c>
      <c r="C629" s="1" t="n">
        <v>45889</v>
      </c>
      <c r="D629" t="inlineStr">
        <is>
          <t>KALMAR LÄN</t>
        </is>
      </c>
      <c r="E629" t="inlineStr">
        <is>
          <t>VIMMERBY</t>
        </is>
      </c>
      <c r="G629" t="n">
        <v>0.7</v>
      </c>
      <c r="H629" t="n">
        <v>0</v>
      </c>
      <c r="I629" t="n">
        <v>0</v>
      </c>
      <c r="J629" t="n">
        <v>0</v>
      </c>
      <c r="K629" t="n">
        <v>0</v>
      </c>
      <c r="L629" t="n">
        <v>0</v>
      </c>
      <c r="M629" t="n">
        <v>0</v>
      </c>
      <c r="N629" t="n">
        <v>0</v>
      </c>
      <c r="O629" t="n">
        <v>0</v>
      </c>
      <c r="P629" t="n">
        <v>0</v>
      </c>
      <c r="Q629" t="n">
        <v>0</v>
      </c>
      <c r="R629" s="2" t="inlineStr"/>
    </row>
    <row r="630" ht="15" customHeight="1">
      <c r="A630" t="inlineStr">
        <is>
          <t>A 35270-2025</t>
        </is>
      </c>
      <c r="B630" s="1" t="n">
        <v>45853.87112268519</v>
      </c>
      <c r="C630" s="1" t="n">
        <v>45889</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6802-2025</t>
        </is>
      </c>
      <c r="B631" s="1" t="n">
        <v>45700.68289351852</v>
      </c>
      <c r="C631" s="1" t="n">
        <v>45889</v>
      </c>
      <c r="D631" t="inlineStr">
        <is>
          <t>KALMAR LÄN</t>
        </is>
      </c>
      <c r="E631" t="inlineStr">
        <is>
          <t>VIMMERBY</t>
        </is>
      </c>
      <c r="G631" t="n">
        <v>1.3</v>
      </c>
      <c r="H631" t="n">
        <v>0</v>
      </c>
      <c r="I631" t="n">
        <v>0</v>
      </c>
      <c r="J631" t="n">
        <v>0</v>
      </c>
      <c r="K631" t="n">
        <v>0</v>
      </c>
      <c r="L631" t="n">
        <v>0</v>
      </c>
      <c r="M631" t="n">
        <v>0</v>
      </c>
      <c r="N631" t="n">
        <v>0</v>
      </c>
      <c r="O631" t="n">
        <v>0</v>
      </c>
      <c r="P631" t="n">
        <v>0</v>
      </c>
      <c r="Q631" t="n">
        <v>0</v>
      </c>
      <c r="R631" s="2" t="inlineStr"/>
    </row>
    <row r="632" ht="15" customHeight="1">
      <c r="A632" t="inlineStr">
        <is>
          <t>A 5701-2024</t>
        </is>
      </c>
      <c r="B632" s="1" t="n">
        <v>45334.78826388889</v>
      </c>
      <c r="C632" s="1" t="n">
        <v>45889</v>
      </c>
      <c r="D632" t="inlineStr">
        <is>
          <t>KALMAR LÄN</t>
        </is>
      </c>
      <c r="E632" t="inlineStr">
        <is>
          <t>VIMMERBY</t>
        </is>
      </c>
      <c r="G632" t="n">
        <v>2.3</v>
      </c>
      <c r="H632" t="n">
        <v>0</v>
      </c>
      <c r="I632" t="n">
        <v>0</v>
      </c>
      <c r="J632" t="n">
        <v>0</v>
      </c>
      <c r="K632" t="n">
        <v>0</v>
      </c>
      <c r="L632" t="n">
        <v>0</v>
      </c>
      <c r="M632" t="n">
        <v>0</v>
      </c>
      <c r="N632" t="n">
        <v>0</v>
      </c>
      <c r="O632" t="n">
        <v>0</v>
      </c>
      <c r="P632" t="n">
        <v>0</v>
      </c>
      <c r="Q632" t="n">
        <v>0</v>
      </c>
      <c r="R632" s="2" t="inlineStr"/>
    </row>
    <row r="633" ht="15" customHeight="1">
      <c r="A633" t="inlineStr">
        <is>
          <t>A 35271-2025</t>
        </is>
      </c>
      <c r="B633" s="1" t="n">
        <v>45853.87599537037</v>
      </c>
      <c r="C633" s="1" t="n">
        <v>45889</v>
      </c>
      <c r="D633" t="inlineStr">
        <is>
          <t>KALMAR LÄN</t>
        </is>
      </c>
      <c r="E633" t="inlineStr">
        <is>
          <t>VIMMERBY</t>
        </is>
      </c>
      <c r="G633" t="n">
        <v>0.4</v>
      </c>
      <c r="H633" t="n">
        <v>0</v>
      </c>
      <c r="I633" t="n">
        <v>0</v>
      </c>
      <c r="J633" t="n">
        <v>0</v>
      </c>
      <c r="K633" t="n">
        <v>0</v>
      </c>
      <c r="L633" t="n">
        <v>0</v>
      </c>
      <c r="M633" t="n">
        <v>0</v>
      </c>
      <c r="N633" t="n">
        <v>0</v>
      </c>
      <c r="O633" t="n">
        <v>0</v>
      </c>
      <c r="P633" t="n">
        <v>0</v>
      </c>
      <c r="Q633" t="n">
        <v>0</v>
      </c>
      <c r="R633" s="2" t="inlineStr"/>
    </row>
    <row r="634" ht="15" customHeight="1">
      <c r="A634" t="inlineStr">
        <is>
          <t>A 35272-2025</t>
        </is>
      </c>
      <c r="B634" s="1" t="n">
        <v>45853.88070601852</v>
      </c>
      <c r="C634" s="1" t="n">
        <v>45889</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27084-2025</t>
        </is>
      </c>
      <c r="B635" s="1" t="n">
        <v>45811.65975694444</v>
      </c>
      <c r="C635" s="1" t="n">
        <v>45889</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56020-2024</t>
        </is>
      </c>
      <c r="B636" s="1" t="n">
        <v>45623.9525462963</v>
      </c>
      <c r="C636" s="1" t="n">
        <v>45889</v>
      </c>
      <c r="D636" t="inlineStr">
        <is>
          <t>KALMAR LÄN</t>
        </is>
      </c>
      <c r="E636" t="inlineStr">
        <is>
          <t>VIMMERBY</t>
        </is>
      </c>
      <c r="G636" t="n">
        <v>1</v>
      </c>
      <c r="H636" t="n">
        <v>0</v>
      </c>
      <c r="I636" t="n">
        <v>0</v>
      </c>
      <c r="J636" t="n">
        <v>0</v>
      </c>
      <c r="K636" t="n">
        <v>0</v>
      </c>
      <c r="L636" t="n">
        <v>0</v>
      </c>
      <c r="M636" t="n">
        <v>0</v>
      </c>
      <c r="N636" t="n">
        <v>0</v>
      </c>
      <c r="O636" t="n">
        <v>0</v>
      </c>
      <c r="P636" t="n">
        <v>0</v>
      </c>
      <c r="Q636" t="n">
        <v>0</v>
      </c>
      <c r="R636" s="2" t="inlineStr"/>
    </row>
    <row r="637" ht="15" customHeight="1">
      <c r="A637" t="inlineStr">
        <is>
          <t>A 33842-2022</t>
        </is>
      </c>
      <c r="B637" s="1" t="n">
        <v>44790.49523148148</v>
      </c>
      <c r="C637" s="1" t="n">
        <v>45889</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60675-2023</t>
        </is>
      </c>
      <c r="B638" s="1" t="n">
        <v>45260.4716550926</v>
      </c>
      <c r="C638" s="1" t="n">
        <v>45889</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7797-2023</t>
        </is>
      </c>
      <c r="B639" s="1" t="n">
        <v>44973.43075231482</v>
      </c>
      <c r="C639" s="1" t="n">
        <v>45889</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40095-2022</t>
        </is>
      </c>
      <c r="B640" s="1" t="n">
        <v>44820</v>
      </c>
      <c r="C640" s="1" t="n">
        <v>45889</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24655-2021</t>
        </is>
      </c>
      <c r="B641" s="1" t="n">
        <v>44340</v>
      </c>
      <c r="C641" s="1" t="n">
        <v>45889</v>
      </c>
      <c r="D641" t="inlineStr">
        <is>
          <t>KALMAR LÄN</t>
        </is>
      </c>
      <c r="E641" t="inlineStr">
        <is>
          <t>VIMMERBY</t>
        </is>
      </c>
      <c r="G641" t="n">
        <v>14.9</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44693.62822916666</v>
      </c>
      <c r="C642" s="1" t="n">
        <v>45889</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19502-2025</t>
        </is>
      </c>
      <c r="B643" s="1" t="n">
        <v>45769</v>
      </c>
      <c r="C643" s="1" t="n">
        <v>45889</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57311-2023</t>
        </is>
      </c>
      <c r="B644" s="1" t="n">
        <v>45245.63574074074</v>
      </c>
      <c r="C644" s="1" t="n">
        <v>45889</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64428-2023</t>
        </is>
      </c>
      <c r="B645" s="1" t="n">
        <v>45280.66769675926</v>
      </c>
      <c r="C645" s="1" t="n">
        <v>45889</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4527-2023</t>
        </is>
      </c>
      <c r="B646" s="1" t="n">
        <v>44956</v>
      </c>
      <c r="C646" s="1" t="n">
        <v>45889</v>
      </c>
      <c r="D646" t="inlineStr">
        <is>
          <t>KALMAR LÄN</t>
        </is>
      </c>
      <c r="E646" t="inlineStr">
        <is>
          <t>VIMMERBY</t>
        </is>
      </c>
      <c r="F646" t="inlineStr">
        <is>
          <t>Kommuner</t>
        </is>
      </c>
      <c r="G646" t="n">
        <v>8.5</v>
      </c>
      <c r="H646" t="n">
        <v>0</v>
      </c>
      <c r="I646" t="n">
        <v>0</v>
      </c>
      <c r="J646" t="n">
        <v>0</v>
      </c>
      <c r="K646" t="n">
        <v>0</v>
      </c>
      <c r="L646" t="n">
        <v>0</v>
      </c>
      <c r="M646" t="n">
        <v>0</v>
      </c>
      <c r="N646" t="n">
        <v>0</v>
      </c>
      <c r="O646" t="n">
        <v>0</v>
      </c>
      <c r="P646" t="n">
        <v>0</v>
      </c>
      <c r="Q646" t="n">
        <v>0</v>
      </c>
      <c r="R646" s="2" t="inlineStr"/>
    </row>
    <row r="647" ht="15" customHeight="1">
      <c r="A647" t="inlineStr">
        <is>
          <t>A 3268-2024</t>
        </is>
      </c>
      <c r="B647" s="1" t="n">
        <v>45317</v>
      </c>
      <c r="C647" s="1" t="n">
        <v>45889</v>
      </c>
      <c r="D647" t="inlineStr">
        <is>
          <t>KALMAR LÄN</t>
        </is>
      </c>
      <c r="E647" t="inlineStr">
        <is>
          <t>VIMMERBY</t>
        </is>
      </c>
      <c r="F647" t="inlineStr">
        <is>
          <t>Övriga Aktiebolag</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51408-2023</t>
        </is>
      </c>
      <c r="B648" s="1" t="n">
        <v>45219.69356481481</v>
      </c>
      <c r="C648" s="1" t="n">
        <v>45889</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12480-2024</t>
        </is>
      </c>
      <c r="B649" s="1" t="n">
        <v>45379</v>
      </c>
      <c r="C649" s="1" t="n">
        <v>45889</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52588-2023</t>
        </is>
      </c>
      <c r="B650" s="1" t="n">
        <v>45225.60192129629</v>
      </c>
      <c r="C650" s="1" t="n">
        <v>45889</v>
      </c>
      <c r="D650" t="inlineStr">
        <is>
          <t>KALMAR LÄN</t>
        </is>
      </c>
      <c r="E650" t="inlineStr">
        <is>
          <t>VIMMERBY</t>
        </is>
      </c>
      <c r="G650" t="n">
        <v>2.9</v>
      </c>
      <c r="H650" t="n">
        <v>0</v>
      </c>
      <c r="I650" t="n">
        <v>0</v>
      </c>
      <c r="J650" t="n">
        <v>0</v>
      </c>
      <c r="K650" t="n">
        <v>0</v>
      </c>
      <c r="L650" t="n">
        <v>0</v>
      </c>
      <c r="M650" t="n">
        <v>0</v>
      </c>
      <c r="N650" t="n">
        <v>0</v>
      </c>
      <c r="O650" t="n">
        <v>0</v>
      </c>
      <c r="P650" t="n">
        <v>0</v>
      </c>
      <c r="Q650" t="n">
        <v>0</v>
      </c>
      <c r="R650" s="2" t="inlineStr"/>
    </row>
    <row r="651" ht="15" customHeight="1">
      <c r="A651" t="inlineStr">
        <is>
          <t>A 55236-2023</t>
        </is>
      </c>
      <c r="B651" s="1" t="n">
        <v>45237.63225694445</v>
      </c>
      <c r="C651" s="1" t="n">
        <v>45889</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55245-2023</t>
        </is>
      </c>
      <c r="B652" s="1" t="n">
        <v>45237.64408564815</v>
      </c>
      <c r="C652" s="1" t="n">
        <v>45889</v>
      </c>
      <c r="D652" t="inlineStr">
        <is>
          <t>KALMAR LÄN</t>
        </is>
      </c>
      <c r="E652" t="inlineStr">
        <is>
          <t>VIMMERBY</t>
        </is>
      </c>
      <c r="G652" t="n">
        <v>1.3</v>
      </c>
      <c r="H652" t="n">
        <v>0</v>
      </c>
      <c r="I652" t="n">
        <v>0</v>
      </c>
      <c r="J652" t="n">
        <v>0</v>
      </c>
      <c r="K652" t="n">
        <v>0</v>
      </c>
      <c r="L652" t="n">
        <v>0</v>
      </c>
      <c r="M652" t="n">
        <v>0</v>
      </c>
      <c r="N652" t="n">
        <v>0</v>
      </c>
      <c r="O652" t="n">
        <v>0</v>
      </c>
      <c r="P652" t="n">
        <v>0</v>
      </c>
      <c r="Q652" t="n">
        <v>0</v>
      </c>
      <c r="R652" s="2" t="inlineStr"/>
    </row>
    <row r="653" ht="15" customHeight="1">
      <c r="A653" t="inlineStr">
        <is>
          <t>A 1018-2024</t>
        </is>
      </c>
      <c r="B653" s="1" t="n">
        <v>45301.67554398148</v>
      </c>
      <c r="C653" s="1" t="n">
        <v>45889</v>
      </c>
      <c r="D653" t="inlineStr">
        <is>
          <t>KALMAR LÄN</t>
        </is>
      </c>
      <c r="E653" t="inlineStr">
        <is>
          <t>VIMMERBY</t>
        </is>
      </c>
      <c r="G653" t="n">
        <v>2.1</v>
      </c>
      <c r="H653" t="n">
        <v>0</v>
      </c>
      <c r="I653" t="n">
        <v>0</v>
      </c>
      <c r="J653" t="n">
        <v>0</v>
      </c>
      <c r="K653" t="n">
        <v>0</v>
      </c>
      <c r="L653" t="n">
        <v>0</v>
      </c>
      <c r="M653" t="n">
        <v>0</v>
      </c>
      <c r="N653" t="n">
        <v>0</v>
      </c>
      <c r="O653" t="n">
        <v>0</v>
      </c>
      <c r="P653" t="n">
        <v>0</v>
      </c>
      <c r="Q653" t="n">
        <v>0</v>
      </c>
      <c r="R653" s="2" t="inlineStr"/>
    </row>
    <row r="654" ht="15" customHeight="1">
      <c r="A654" t="inlineStr">
        <is>
          <t>A 19111-2025</t>
        </is>
      </c>
      <c r="B654" s="1" t="n">
        <v>45768.65611111111</v>
      </c>
      <c r="C654" s="1" t="n">
        <v>45889</v>
      </c>
      <c r="D654" t="inlineStr">
        <is>
          <t>KALMAR LÄN</t>
        </is>
      </c>
      <c r="E654" t="inlineStr">
        <is>
          <t>VIMMERBY</t>
        </is>
      </c>
      <c r="G654" t="n">
        <v>6.2</v>
      </c>
      <c r="H654" t="n">
        <v>0</v>
      </c>
      <c r="I654" t="n">
        <v>0</v>
      </c>
      <c r="J654" t="n">
        <v>0</v>
      </c>
      <c r="K654" t="n">
        <v>0</v>
      </c>
      <c r="L654" t="n">
        <v>0</v>
      </c>
      <c r="M654" t="n">
        <v>0</v>
      </c>
      <c r="N654" t="n">
        <v>0</v>
      </c>
      <c r="O654" t="n">
        <v>0</v>
      </c>
      <c r="P654" t="n">
        <v>0</v>
      </c>
      <c r="Q654" t="n">
        <v>0</v>
      </c>
      <c r="R654" s="2" t="inlineStr"/>
    </row>
    <row r="655" ht="15" customHeight="1">
      <c r="A655" t="inlineStr">
        <is>
          <t>A 25370-2022</t>
        </is>
      </c>
      <c r="B655" s="1" t="n">
        <v>44732.3659837963</v>
      </c>
      <c r="C655" s="1" t="n">
        <v>45889</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8410-2023</t>
        </is>
      </c>
      <c r="B656" s="1" t="n">
        <v>44977</v>
      </c>
      <c r="C656" s="1" t="n">
        <v>45889</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6028-2023</t>
        </is>
      </c>
      <c r="B657" s="1" t="n">
        <v>44964.44356481481</v>
      </c>
      <c r="C657" s="1" t="n">
        <v>45889</v>
      </c>
      <c r="D657" t="inlineStr">
        <is>
          <t>KALMAR LÄN</t>
        </is>
      </c>
      <c r="E657" t="inlineStr">
        <is>
          <t>VIMMERBY</t>
        </is>
      </c>
      <c r="G657" t="n">
        <v>2.5</v>
      </c>
      <c r="H657" t="n">
        <v>0</v>
      </c>
      <c r="I657" t="n">
        <v>0</v>
      </c>
      <c r="J657" t="n">
        <v>0</v>
      </c>
      <c r="K657" t="n">
        <v>0</v>
      </c>
      <c r="L657" t="n">
        <v>0</v>
      </c>
      <c r="M657" t="n">
        <v>0</v>
      </c>
      <c r="N657" t="n">
        <v>0</v>
      </c>
      <c r="O657" t="n">
        <v>0</v>
      </c>
      <c r="P657" t="n">
        <v>0</v>
      </c>
      <c r="Q657" t="n">
        <v>0</v>
      </c>
      <c r="R657" s="2" t="inlineStr"/>
    </row>
    <row r="658" ht="15" customHeight="1">
      <c r="A658" t="inlineStr">
        <is>
          <t>A 27719-2025</t>
        </is>
      </c>
      <c r="B658" s="1" t="n">
        <v>45814.3865625</v>
      </c>
      <c r="C658" s="1" t="n">
        <v>45889</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27718-2025</t>
        </is>
      </c>
      <c r="B659" s="1" t="n">
        <v>45814.38221064815</v>
      </c>
      <c r="C659" s="1" t="n">
        <v>45889</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52823-2024</t>
        </is>
      </c>
      <c r="B660" s="1" t="n">
        <v>45610.59094907407</v>
      </c>
      <c r="C660" s="1" t="n">
        <v>45889</v>
      </c>
      <c r="D660" t="inlineStr">
        <is>
          <t>KALMAR LÄN</t>
        </is>
      </c>
      <c r="E660" t="inlineStr">
        <is>
          <t>VIMMERBY</t>
        </is>
      </c>
      <c r="G660" t="n">
        <v>0.6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44790.49040509259</v>
      </c>
      <c r="C661" s="1" t="n">
        <v>45889</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56853-2022</t>
        </is>
      </c>
      <c r="B662" s="1" t="n">
        <v>44894.49538194444</v>
      </c>
      <c r="C662" s="1" t="n">
        <v>45889</v>
      </c>
      <c r="D662" t="inlineStr">
        <is>
          <t>KALMAR LÄN</t>
        </is>
      </c>
      <c r="E662" t="inlineStr">
        <is>
          <t>VIMMERBY</t>
        </is>
      </c>
      <c r="G662" t="n">
        <v>4.3</v>
      </c>
      <c r="H662" t="n">
        <v>0</v>
      </c>
      <c r="I662" t="n">
        <v>0</v>
      </c>
      <c r="J662" t="n">
        <v>0</v>
      </c>
      <c r="K662" t="n">
        <v>0</v>
      </c>
      <c r="L662" t="n">
        <v>0</v>
      </c>
      <c r="M662" t="n">
        <v>0</v>
      </c>
      <c r="N662" t="n">
        <v>0</v>
      </c>
      <c r="O662" t="n">
        <v>0</v>
      </c>
      <c r="P662" t="n">
        <v>0</v>
      </c>
      <c r="Q662" t="n">
        <v>0</v>
      </c>
      <c r="R662" s="2" t="inlineStr"/>
    </row>
    <row r="663" ht="15" customHeight="1">
      <c r="A663" t="inlineStr">
        <is>
          <t>A 11152-2023</t>
        </is>
      </c>
      <c r="B663" s="1" t="n">
        <v>44992</v>
      </c>
      <c r="C663" s="1" t="n">
        <v>45889</v>
      </c>
      <c r="D663" t="inlineStr">
        <is>
          <t>KALMAR LÄN</t>
        </is>
      </c>
      <c r="E663" t="inlineStr">
        <is>
          <t>VIMMERBY</t>
        </is>
      </c>
      <c r="G663" t="n">
        <v>10.6</v>
      </c>
      <c r="H663" t="n">
        <v>0</v>
      </c>
      <c r="I663" t="n">
        <v>0</v>
      </c>
      <c r="J663" t="n">
        <v>0</v>
      </c>
      <c r="K663" t="n">
        <v>0</v>
      </c>
      <c r="L663" t="n">
        <v>0</v>
      </c>
      <c r="M663" t="n">
        <v>0</v>
      </c>
      <c r="N663" t="n">
        <v>0</v>
      </c>
      <c r="O663" t="n">
        <v>0</v>
      </c>
      <c r="P663" t="n">
        <v>0</v>
      </c>
      <c r="Q663" t="n">
        <v>0</v>
      </c>
      <c r="R663" s="2" t="inlineStr"/>
    </row>
    <row r="664" ht="15" customHeight="1">
      <c r="A664" t="inlineStr">
        <is>
          <t>A 4058-2024</t>
        </is>
      </c>
      <c r="B664" s="1" t="n">
        <v>45323.53744212963</v>
      </c>
      <c r="C664" s="1" t="n">
        <v>45889</v>
      </c>
      <c r="D664" t="inlineStr">
        <is>
          <t>KALMAR LÄN</t>
        </is>
      </c>
      <c r="E664" t="inlineStr">
        <is>
          <t>VIMMERBY</t>
        </is>
      </c>
      <c r="G664" t="n">
        <v>6.5</v>
      </c>
      <c r="H664" t="n">
        <v>0</v>
      </c>
      <c r="I664" t="n">
        <v>0</v>
      </c>
      <c r="J664" t="n">
        <v>0</v>
      </c>
      <c r="K664" t="n">
        <v>0</v>
      </c>
      <c r="L664" t="n">
        <v>0</v>
      </c>
      <c r="M664" t="n">
        <v>0</v>
      </c>
      <c r="N664" t="n">
        <v>0</v>
      </c>
      <c r="O664" t="n">
        <v>0</v>
      </c>
      <c r="P664" t="n">
        <v>0</v>
      </c>
      <c r="Q664" t="n">
        <v>0</v>
      </c>
      <c r="R664" s="2" t="inlineStr"/>
    </row>
    <row r="665" ht="15" customHeight="1">
      <c r="A665" t="inlineStr">
        <is>
          <t>A 15550-2023</t>
        </is>
      </c>
      <c r="B665" s="1" t="n">
        <v>45020</v>
      </c>
      <c r="C665" s="1" t="n">
        <v>45889</v>
      </c>
      <c r="D665" t="inlineStr">
        <is>
          <t>KALMAR LÄN</t>
        </is>
      </c>
      <c r="E665" t="inlineStr">
        <is>
          <t>VIMMERBY</t>
        </is>
      </c>
      <c r="G665" t="n">
        <v>0.5</v>
      </c>
      <c r="H665" t="n">
        <v>0</v>
      </c>
      <c r="I665" t="n">
        <v>0</v>
      </c>
      <c r="J665" t="n">
        <v>0</v>
      </c>
      <c r="K665" t="n">
        <v>0</v>
      </c>
      <c r="L665" t="n">
        <v>0</v>
      </c>
      <c r="M665" t="n">
        <v>0</v>
      </c>
      <c r="N665" t="n">
        <v>0</v>
      </c>
      <c r="O665" t="n">
        <v>0</v>
      </c>
      <c r="P665" t="n">
        <v>0</v>
      </c>
      <c r="Q665" t="n">
        <v>0</v>
      </c>
      <c r="R665" s="2" t="inlineStr"/>
    </row>
    <row r="666" ht="15" customHeight="1">
      <c r="A666" t="inlineStr">
        <is>
          <t>A 36008-2024</t>
        </is>
      </c>
      <c r="B666" s="1" t="n">
        <v>45533.55362268518</v>
      </c>
      <c r="C666" s="1" t="n">
        <v>45889</v>
      </c>
      <c r="D666" t="inlineStr">
        <is>
          <t>KALMAR LÄN</t>
        </is>
      </c>
      <c r="E666" t="inlineStr">
        <is>
          <t>VIMMERBY</t>
        </is>
      </c>
      <c r="G666" t="n">
        <v>3.7</v>
      </c>
      <c r="H666" t="n">
        <v>0</v>
      </c>
      <c r="I666" t="n">
        <v>0</v>
      </c>
      <c r="J666" t="n">
        <v>0</v>
      </c>
      <c r="K666" t="n">
        <v>0</v>
      </c>
      <c r="L666" t="n">
        <v>0</v>
      </c>
      <c r="M666" t="n">
        <v>0</v>
      </c>
      <c r="N666" t="n">
        <v>0</v>
      </c>
      <c r="O666" t="n">
        <v>0</v>
      </c>
      <c r="P666" t="n">
        <v>0</v>
      </c>
      <c r="Q666" t="n">
        <v>0</v>
      </c>
      <c r="R666" s="2" t="inlineStr"/>
    </row>
    <row r="667" ht="15" customHeight="1">
      <c r="A667" t="inlineStr">
        <is>
          <t>A 18669-2025</t>
        </is>
      </c>
      <c r="B667" s="1" t="n">
        <v>45763.59436342592</v>
      </c>
      <c r="C667" s="1" t="n">
        <v>45889</v>
      </c>
      <c r="D667" t="inlineStr">
        <is>
          <t>KALMAR LÄN</t>
        </is>
      </c>
      <c r="E667" t="inlineStr">
        <is>
          <t>VIMMERBY</t>
        </is>
      </c>
      <c r="G667" t="n">
        <v>2.7</v>
      </c>
      <c r="H667" t="n">
        <v>0</v>
      </c>
      <c r="I667" t="n">
        <v>0</v>
      </c>
      <c r="J667" t="n">
        <v>0</v>
      </c>
      <c r="K667" t="n">
        <v>0</v>
      </c>
      <c r="L667" t="n">
        <v>0</v>
      </c>
      <c r="M667" t="n">
        <v>0</v>
      </c>
      <c r="N667" t="n">
        <v>0</v>
      </c>
      <c r="O667" t="n">
        <v>0</v>
      </c>
      <c r="P667" t="n">
        <v>0</v>
      </c>
      <c r="Q667" t="n">
        <v>0</v>
      </c>
      <c r="R667" s="2" t="inlineStr"/>
    </row>
    <row r="668" ht="15" customHeight="1">
      <c r="A668" t="inlineStr">
        <is>
          <t>A 8540-2024</t>
        </is>
      </c>
      <c r="B668" s="1" t="n">
        <v>45355.54138888889</v>
      </c>
      <c r="C668" s="1" t="n">
        <v>45889</v>
      </c>
      <c r="D668" t="inlineStr">
        <is>
          <t>KALMAR LÄN</t>
        </is>
      </c>
      <c r="E668" t="inlineStr">
        <is>
          <t>VIMMERBY</t>
        </is>
      </c>
      <c r="G668" t="n">
        <v>1.9</v>
      </c>
      <c r="H668" t="n">
        <v>0</v>
      </c>
      <c r="I668" t="n">
        <v>0</v>
      </c>
      <c r="J668" t="n">
        <v>0</v>
      </c>
      <c r="K668" t="n">
        <v>0</v>
      </c>
      <c r="L668" t="n">
        <v>0</v>
      </c>
      <c r="M668" t="n">
        <v>0</v>
      </c>
      <c r="N668" t="n">
        <v>0</v>
      </c>
      <c r="O668" t="n">
        <v>0</v>
      </c>
      <c r="P668" t="n">
        <v>0</v>
      </c>
      <c r="Q668" t="n">
        <v>0</v>
      </c>
      <c r="R668" s="2" t="inlineStr"/>
    </row>
    <row r="669" ht="15" customHeight="1">
      <c r="A669" t="inlineStr">
        <is>
          <t>A 9623-2024</t>
        </is>
      </c>
      <c r="B669" s="1" t="n">
        <v>45361.87975694444</v>
      </c>
      <c r="C669" s="1" t="n">
        <v>45889</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5146-2024</t>
        </is>
      </c>
      <c r="B670" s="1" t="n">
        <v>45330</v>
      </c>
      <c r="C670" s="1" t="n">
        <v>45889</v>
      </c>
      <c r="D670" t="inlineStr">
        <is>
          <t>KALMAR LÄN</t>
        </is>
      </c>
      <c r="E670" t="inlineStr">
        <is>
          <t>VIMMERBY</t>
        </is>
      </c>
      <c r="G670" t="n">
        <v>5.3</v>
      </c>
      <c r="H670" t="n">
        <v>0</v>
      </c>
      <c r="I670" t="n">
        <v>0</v>
      </c>
      <c r="J670" t="n">
        <v>0</v>
      </c>
      <c r="K670" t="n">
        <v>0</v>
      </c>
      <c r="L670" t="n">
        <v>0</v>
      </c>
      <c r="M670" t="n">
        <v>0</v>
      </c>
      <c r="N670" t="n">
        <v>0</v>
      </c>
      <c r="O670" t="n">
        <v>0</v>
      </c>
      <c r="P670" t="n">
        <v>0</v>
      </c>
      <c r="Q670" t="n">
        <v>0</v>
      </c>
      <c r="R670" s="2" t="inlineStr"/>
    </row>
    <row r="671" ht="15" customHeight="1">
      <c r="A671" t="inlineStr">
        <is>
          <t>A 5148-2024</t>
        </is>
      </c>
      <c r="B671" s="1" t="n">
        <v>45330</v>
      </c>
      <c r="C671" s="1" t="n">
        <v>45889</v>
      </c>
      <c r="D671" t="inlineStr">
        <is>
          <t>KALMAR LÄN</t>
        </is>
      </c>
      <c r="E671" t="inlineStr">
        <is>
          <t>VIMMERBY</t>
        </is>
      </c>
      <c r="G671" t="n">
        <v>5.6</v>
      </c>
      <c r="H671" t="n">
        <v>0</v>
      </c>
      <c r="I671" t="n">
        <v>0</v>
      </c>
      <c r="J671" t="n">
        <v>0</v>
      </c>
      <c r="K671" t="n">
        <v>0</v>
      </c>
      <c r="L671" t="n">
        <v>0</v>
      </c>
      <c r="M671" t="n">
        <v>0</v>
      </c>
      <c r="N671" t="n">
        <v>0</v>
      </c>
      <c r="O671" t="n">
        <v>0</v>
      </c>
      <c r="P671" t="n">
        <v>0</v>
      </c>
      <c r="Q671" t="n">
        <v>0</v>
      </c>
      <c r="R671" s="2" t="inlineStr"/>
    </row>
    <row r="672" ht="15" customHeight="1">
      <c r="A672" t="inlineStr">
        <is>
          <t>A 35596-2025</t>
        </is>
      </c>
      <c r="B672" s="1" t="n">
        <v>45858.60641203704</v>
      </c>
      <c r="C672" s="1" t="n">
        <v>45889</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28290-2025</t>
        </is>
      </c>
      <c r="B673" s="1" t="n">
        <v>45818.59261574074</v>
      </c>
      <c r="C673" s="1" t="n">
        <v>45889</v>
      </c>
      <c r="D673" t="inlineStr">
        <is>
          <t>KALMAR LÄN</t>
        </is>
      </c>
      <c r="E673" t="inlineStr">
        <is>
          <t>VIMMERBY</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31355-2023</t>
        </is>
      </c>
      <c r="B674" s="1" t="n">
        <v>45114.49505787037</v>
      </c>
      <c r="C674" s="1" t="n">
        <v>45889</v>
      </c>
      <c r="D674" t="inlineStr">
        <is>
          <t>KALMAR LÄN</t>
        </is>
      </c>
      <c r="E674" t="inlineStr">
        <is>
          <t>VIMMERBY</t>
        </is>
      </c>
      <c r="G674" t="n">
        <v>1.3</v>
      </c>
      <c r="H674" t="n">
        <v>0</v>
      </c>
      <c r="I674" t="n">
        <v>0</v>
      </c>
      <c r="J674" t="n">
        <v>0</v>
      </c>
      <c r="K674" t="n">
        <v>0</v>
      </c>
      <c r="L674" t="n">
        <v>0</v>
      </c>
      <c r="M674" t="n">
        <v>0</v>
      </c>
      <c r="N674" t="n">
        <v>0</v>
      </c>
      <c r="O674" t="n">
        <v>0</v>
      </c>
      <c r="P674" t="n">
        <v>0</v>
      </c>
      <c r="Q674" t="n">
        <v>0</v>
      </c>
      <c r="R674" s="2" t="inlineStr"/>
    </row>
    <row r="675" ht="15" customHeight="1">
      <c r="A675" t="inlineStr">
        <is>
          <t>A 28280-2025</t>
        </is>
      </c>
      <c r="B675" s="1" t="n">
        <v>45818.5862037037</v>
      </c>
      <c r="C675" s="1" t="n">
        <v>45889</v>
      </c>
      <c r="D675" t="inlineStr">
        <is>
          <t>KALMAR LÄN</t>
        </is>
      </c>
      <c r="E675" t="inlineStr">
        <is>
          <t>VIMMERBY</t>
        </is>
      </c>
      <c r="F675" t="inlineStr">
        <is>
          <t>Sveaskog</t>
        </is>
      </c>
      <c r="G675" t="n">
        <v>1.5</v>
      </c>
      <c r="H675" t="n">
        <v>0</v>
      </c>
      <c r="I675" t="n">
        <v>0</v>
      </c>
      <c r="J675" t="n">
        <v>0</v>
      </c>
      <c r="K675" t="n">
        <v>0</v>
      </c>
      <c r="L675" t="n">
        <v>0</v>
      </c>
      <c r="M675" t="n">
        <v>0</v>
      </c>
      <c r="N675" t="n">
        <v>0</v>
      </c>
      <c r="O675" t="n">
        <v>0</v>
      </c>
      <c r="P675" t="n">
        <v>0</v>
      </c>
      <c r="Q675" t="n">
        <v>0</v>
      </c>
      <c r="R675" s="2" t="inlineStr"/>
    </row>
    <row r="676" ht="15" customHeight="1">
      <c r="A676" t="inlineStr">
        <is>
          <t>A 28286-2025</t>
        </is>
      </c>
      <c r="B676" s="1" t="n">
        <v>45818.58993055556</v>
      </c>
      <c r="C676" s="1" t="n">
        <v>45889</v>
      </c>
      <c r="D676" t="inlineStr">
        <is>
          <t>KALMAR LÄN</t>
        </is>
      </c>
      <c r="E676" t="inlineStr">
        <is>
          <t>VIMMERBY</t>
        </is>
      </c>
      <c r="F676" t="inlineStr">
        <is>
          <t>Sveaskog</t>
        </is>
      </c>
      <c r="G676" t="n">
        <v>8</v>
      </c>
      <c r="H676" t="n">
        <v>0</v>
      </c>
      <c r="I676" t="n">
        <v>0</v>
      </c>
      <c r="J676" t="n">
        <v>0</v>
      </c>
      <c r="K676" t="n">
        <v>0</v>
      </c>
      <c r="L676" t="n">
        <v>0</v>
      </c>
      <c r="M676" t="n">
        <v>0</v>
      </c>
      <c r="N676" t="n">
        <v>0</v>
      </c>
      <c r="O676" t="n">
        <v>0</v>
      </c>
      <c r="P676" t="n">
        <v>0</v>
      </c>
      <c r="Q676" t="n">
        <v>0</v>
      </c>
      <c r="R676" s="2" t="inlineStr"/>
    </row>
    <row r="677" ht="15" customHeight="1">
      <c r="A677" t="inlineStr">
        <is>
          <t>A 18330-2023</t>
        </is>
      </c>
      <c r="B677" s="1" t="n">
        <v>45041</v>
      </c>
      <c r="C677" s="1" t="n">
        <v>45889</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44179-2022</t>
        </is>
      </c>
      <c r="B678" s="1" t="n">
        <v>44839.4528125</v>
      </c>
      <c r="C678" s="1" t="n">
        <v>45889</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35597-2025</t>
        </is>
      </c>
      <c r="B679" s="1" t="n">
        <v>45858.66019675926</v>
      </c>
      <c r="C679" s="1" t="n">
        <v>45889</v>
      </c>
      <c r="D679" t="inlineStr">
        <is>
          <t>KALMAR LÄN</t>
        </is>
      </c>
      <c r="E679" t="inlineStr">
        <is>
          <t>VIMMERBY</t>
        </is>
      </c>
      <c r="G679" t="n">
        <v>6.4</v>
      </c>
      <c r="H679" t="n">
        <v>0</v>
      </c>
      <c r="I679" t="n">
        <v>0</v>
      </c>
      <c r="J679" t="n">
        <v>0</v>
      </c>
      <c r="K679" t="n">
        <v>0</v>
      </c>
      <c r="L679" t="n">
        <v>0</v>
      </c>
      <c r="M679" t="n">
        <v>0</v>
      </c>
      <c r="N679" t="n">
        <v>0</v>
      </c>
      <c r="O679" t="n">
        <v>0</v>
      </c>
      <c r="P679" t="n">
        <v>0</v>
      </c>
      <c r="Q679" t="n">
        <v>0</v>
      </c>
      <c r="R679" s="2" t="inlineStr"/>
    </row>
    <row r="680" ht="15" customHeight="1">
      <c r="A680" t="inlineStr">
        <is>
          <t>A 50648-2023</t>
        </is>
      </c>
      <c r="B680" s="1" t="n">
        <v>45217.47834490741</v>
      </c>
      <c r="C680" s="1" t="n">
        <v>45889</v>
      </c>
      <c r="D680" t="inlineStr">
        <is>
          <t>KALMAR LÄN</t>
        </is>
      </c>
      <c r="E680" t="inlineStr">
        <is>
          <t>VIMMERBY</t>
        </is>
      </c>
      <c r="G680" t="n">
        <v>1.6</v>
      </c>
      <c r="H680" t="n">
        <v>0</v>
      </c>
      <c r="I680" t="n">
        <v>0</v>
      </c>
      <c r="J680" t="n">
        <v>0</v>
      </c>
      <c r="K680" t="n">
        <v>0</v>
      </c>
      <c r="L680" t="n">
        <v>0</v>
      </c>
      <c r="M680" t="n">
        <v>0</v>
      </c>
      <c r="N680" t="n">
        <v>0</v>
      </c>
      <c r="O680" t="n">
        <v>0</v>
      </c>
      <c r="P680" t="n">
        <v>0</v>
      </c>
      <c r="Q680" t="n">
        <v>0</v>
      </c>
      <c r="R680" s="2" t="inlineStr"/>
    </row>
    <row r="681" ht="15" customHeight="1">
      <c r="A681" t="inlineStr">
        <is>
          <t>A 58100-2024</t>
        </is>
      </c>
      <c r="B681" s="1" t="n">
        <v>45632.36706018518</v>
      </c>
      <c r="C681" s="1" t="n">
        <v>45889</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27993-2022</t>
        </is>
      </c>
      <c r="B682" s="1" t="n">
        <v>44745.84396990741</v>
      </c>
      <c r="C682" s="1" t="n">
        <v>45889</v>
      </c>
      <c r="D682" t="inlineStr">
        <is>
          <t>KALMAR LÄN</t>
        </is>
      </c>
      <c r="E682" t="inlineStr">
        <is>
          <t>VIMMERBY</t>
        </is>
      </c>
      <c r="G682" t="n">
        <v>2.8</v>
      </c>
      <c r="H682" t="n">
        <v>0</v>
      </c>
      <c r="I682" t="n">
        <v>0</v>
      </c>
      <c r="J682" t="n">
        <v>0</v>
      </c>
      <c r="K682" t="n">
        <v>0</v>
      </c>
      <c r="L682" t="n">
        <v>0</v>
      </c>
      <c r="M682" t="n">
        <v>0</v>
      </c>
      <c r="N682" t="n">
        <v>0</v>
      </c>
      <c r="O682" t="n">
        <v>0</v>
      </c>
      <c r="P682" t="n">
        <v>0</v>
      </c>
      <c r="Q682" t="n">
        <v>0</v>
      </c>
      <c r="R682" s="2" t="inlineStr"/>
    </row>
    <row r="683" ht="15" customHeight="1">
      <c r="A683" t="inlineStr">
        <is>
          <t>A 2121-2022</t>
        </is>
      </c>
      <c r="B683" s="1" t="n">
        <v>44578.32717592592</v>
      </c>
      <c r="C683" s="1" t="n">
        <v>45889</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57799-2022</t>
        </is>
      </c>
      <c r="B684" s="1" t="n">
        <v>44897</v>
      </c>
      <c r="C684" s="1" t="n">
        <v>45889</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38969-2023</t>
        </is>
      </c>
      <c r="B685" s="1" t="n">
        <v>45163.63621527778</v>
      </c>
      <c r="C685" s="1" t="n">
        <v>45889</v>
      </c>
      <c r="D685" t="inlineStr">
        <is>
          <t>KALMAR LÄN</t>
        </is>
      </c>
      <c r="E685" t="inlineStr">
        <is>
          <t>VIMMERBY</t>
        </is>
      </c>
      <c r="F685" t="inlineStr">
        <is>
          <t>Sveaskog</t>
        </is>
      </c>
      <c r="G685" t="n">
        <v>2.4</v>
      </c>
      <c r="H685" t="n">
        <v>0</v>
      </c>
      <c r="I685" t="n">
        <v>0</v>
      </c>
      <c r="J685" t="n">
        <v>0</v>
      </c>
      <c r="K685" t="n">
        <v>0</v>
      </c>
      <c r="L685" t="n">
        <v>0</v>
      </c>
      <c r="M685" t="n">
        <v>0</v>
      </c>
      <c r="N685" t="n">
        <v>0</v>
      </c>
      <c r="O685" t="n">
        <v>0</v>
      </c>
      <c r="P685" t="n">
        <v>0</v>
      </c>
      <c r="Q685" t="n">
        <v>0</v>
      </c>
      <c r="R685" s="2" t="inlineStr"/>
    </row>
    <row r="686" ht="15" customHeight="1">
      <c r="A686" t="inlineStr">
        <is>
          <t>A 28282-2025</t>
        </is>
      </c>
      <c r="B686" s="1" t="n">
        <v>45818.58769675926</v>
      </c>
      <c r="C686" s="1" t="n">
        <v>45889</v>
      </c>
      <c r="D686" t="inlineStr">
        <is>
          <t>KALMAR LÄN</t>
        </is>
      </c>
      <c r="E686" t="inlineStr">
        <is>
          <t>VIMMERBY</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28294-2025</t>
        </is>
      </c>
      <c r="B687" s="1" t="n">
        <v>45818.595625</v>
      </c>
      <c r="C687" s="1" t="n">
        <v>45889</v>
      </c>
      <c r="D687" t="inlineStr">
        <is>
          <t>KALMAR LÄN</t>
        </is>
      </c>
      <c r="E687" t="inlineStr">
        <is>
          <t>VIMMERBY</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28112-2025</t>
        </is>
      </c>
      <c r="B688" s="1" t="n">
        <v>45817.88496527778</v>
      </c>
      <c r="C688" s="1" t="n">
        <v>45889</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53752-2024</t>
        </is>
      </c>
      <c r="B689" s="1" t="n">
        <v>45615.48927083334</v>
      </c>
      <c r="C689" s="1" t="n">
        <v>45889</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15394-2025</t>
        </is>
      </c>
      <c r="B690" s="1" t="n">
        <v>45747.43196759259</v>
      </c>
      <c r="C690" s="1" t="n">
        <v>45889</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26318-2023</t>
        </is>
      </c>
      <c r="B691" s="1" t="n">
        <v>45091.67936342592</v>
      </c>
      <c r="C691" s="1" t="n">
        <v>45889</v>
      </c>
      <c r="D691" t="inlineStr">
        <is>
          <t>KALMAR LÄN</t>
        </is>
      </c>
      <c r="E691" t="inlineStr">
        <is>
          <t>VIMMERBY</t>
        </is>
      </c>
      <c r="G691" t="n">
        <v>3.8</v>
      </c>
      <c r="H691" t="n">
        <v>0</v>
      </c>
      <c r="I691" t="n">
        <v>0</v>
      </c>
      <c r="J691" t="n">
        <v>0</v>
      </c>
      <c r="K691" t="n">
        <v>0</v>
      </c>
      <c r="L691" t="n">
        <v>0</v>
      </c>
      <c r="M691" t="n">
        <v>0</v>
      </c>
      <c r="N691" t="n">
        <v>0</v>
      </c>
      <c r="O691" t="n">
        <v>0</v>
      </c>
      <c r="P691" t="n">
        <v>0</v>
      </c>
      <c r="Q691" t="n">
        <v>0</v>
      </c>
      <c r="R691" s="2" t="inlineStr"/>
    </row>
    <row r="692" ht="15" customHeight="1">
      <c r="A692" t="inlineStr">
        <is>
          <t>A 60437-2023</t>
        </is>
      </c>
      <c r="B692" s="1" t="n">
        <v>45259.51916666667</v>
      </c>
      <c r="C692" s="1" t="n">
        <v>45889</v>
      </c>
      <c r="D692" t="inlineStr">
        <is>
          <t>KALMAR LÄN</t>
        </is>
      </c>
      <c r="E692" t="inlineStr">
        <is>
          <t>VIMMERBY</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60438-2023</t>
        </is>
      </c>
      <c r="B693" s="1" t="n">
        <v>45259.52020833334</v>
      </c>
      <c r="C693" s="1" t="n">
        <v>45889</v>
      </c>
      <c r="D693" t="inlineStr">
        <is>
          <t>KALMAR LÄN</t>
        </is>
      </c>
      <c r="E693" t="inlineStr">
        <is>
          <t>VIMMERBY</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13076-2025</t>
        </is>
      </c>
      <c r="B694" s="1" t="n">
        <v>45734.62017361111</v>
      </c>
      <c r="C694" s="1" t="n">
        <v>45889</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28713-2025</t>
        </is>
      </c>
      <c r="B695" s="1" t="n">
        <v>45820.33930555556</v>
      </c>
      <c r="C695" s="1" t="n">
        <v>45889</v>
      </c>
      <c r="D695" t="inlineStr">
        <is>
          <t>KALMAR LÄN</t>
        </is>
      </c>
      <c r="E695" t="inlineStr">
        <is>
          <t>VIMMERBY</t>
        </is>
      </c>
      <c r="G695" t="n">
        <v>2.3</v>
      </c>
      <c r="H695" t="n">
        <v>0</v>
      </c>
      <c r="I695" t="n">
        <v>0</v>
      </c>
      <c r="J695" t="n">
        <v>0</v>
      </c>
      <c r="K695" t="n">
        <v>0</v>
      </c>
      <c r="L695" t="n">
        <v>0</v>
      </c>
      <c r="M695" t="n">
        <v>0</v>
      </c>
      <c r="N695" t="n">
        <v>0</v>
      </c>
      <c r="O695" t="n">
        <v>0</v>
      </c>
      <c r="P695" t="n">
        <v>0</v>
      </c>
      <c r="Q695" t="n">
        <v>0</v>
      </c>
      <c r="R695" s="2" t="inlineStr"/>
    </row>
    <row r="696" ht="15" customHeight="1">
      <c r="A696" t="inlineStr">
        <is>
          <t>A 7758-2024</t>
        </is>
      </c>
      <c r="B696" s="1" t="n">
        <v>45349.54434027777</v>
      </c>
      <c r="C696" s="1" t="n">
        <v>45889</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28712-2025</t>
        </is>
      </c>
      <c r="B697" s="1" t="n">
        <v>45820.33708333333</v>
      </c>
      <c r="C697" s="1" t="n">
        <v>45889</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28714-2025</t>
        </is>
      </c>
      <c r="B698" s="1" t="n">
        <v>45820.34128472222</v>
      </c>
      <c r="C698" s="1" t="n">
        <v>45889</v>
      </c>
      <c r="D698" t="inlineStr">
        <is>
          <t>KALMAR LÄN</t>
        </is>
      </c>
      <c r="E698" t="inlineStr">
        <is>
          <t>VIMMERBY</t>
        </is>
      </c>
      <c r="G698" t="n">
        <v>1.8</v>
      </c>
      <c r="H698" t="n">
        <v>0</v>
      </c>
      <c r="I698" t="n">
        <v>0</v>
      </c>
      <c r="J698" t="n">
        <v>0</v>
      </c>
      <c r="K698" t="n">
        <v>0</v>
      </c>
      <c r="L698" t="n">
        <v>0</v>
      </c>
      <c r="M698" t="n">
        <v>0</v>
      </c>
      <c r="N698" t="n">
        <v>0</v>
      </c>
      <c r="O698" t="n">
        <v>0</v>
      </c>
      <c r="P698" t="n">
        <v>0</v>
      </c>
      <c r="Q698" t="n">
        <v>0</v>
      </c>
      <c r="R698" s="2" t="inlineStr"/>
    </row>
    <row r="699" ht="15" customHeight="1">
      <c r="A699" t="inlineStr">
        <is>
          <t>A 7456-2024</t>
        </is>
      </c>
      <c r="B699" s="1" t="n">
        <v>45345.83557870371</v>
      </c>
      <c r="C699" s="1" t="n">
        <v>45889</v>
      </c>
      <c r="D699" t="inlineStr">
        <is>
          <t>KALMAR LÄN</t>
        </is>
      </c>
      <c r="E699" t="inlineStr">
        <is>
          <t>VIMMERBY</t>
        </is>
      </c>
      <c r="G699" t="n">
        <v>4.1</v>
      </c>
      <c r="H699" t="n">
        <v>0</v>
      </c>
      <c r="I699" t="n">
        <v>0</v>
      </c>
      <c r="J699" t="n">
        <v>0</v>
      </c>
      <c r="K699" t="n">
        <v>0</v>
      </c>
      <c r="L699" t="n">
        <v>0</v>
      </c>
      <c r="M699" t="n">
        <v>0</v>
      </c>
      <c r="N699" t="n">
        <v>0</v>
      </c>
      <c r="O699" t="n">
        <v>0</v>
      </c>
      <c r="P699" t="n">
        <v>0</v>
      </c>
      <c r="Q699" t="n">
        <v>0</v>
      </c>
      <c r="R699" s="2" t="inlineStr"/>
    </row>
    <row r="700" ht="15" customHeight="1">
      <c r="A700" t="inlineStr">
        <is>
          <t>A 28620-2025</t>
        </is>
      </c>
      <c r="B700" s="1" t="n">
        <v>45819.61060185185</v>
      </c>
      <c r="C700" s="1" t="n">
        <v>45889</v>
      </c>
      <c r="D700" t="inlineStr">
        <is>
          <t>KALMAR LÄN</t>
        </is>
      </c>
      <c r="E700" t="inlineStr">
        <is>
          <t>VIMMERBY</t>
        </is>
      </c>
      <c r="G700" t="n">
        <v>5.6</v>
      </c>
      <c r="H700" t="n">
        <v>0</v>
      </c>
      <c r="I700" t="n">
        <v>0</v>
      </c>
      <c r="J700" t="n">
        <v>0</v>
      </c>
      <c r="K700" t="n">
        <v>0</v>
      </c>
      <c r="L700" t="n">
        <v>0</v>
      </c>
      <c r="M700" t="n">
        <v>0</v>
      </c>
      <c r="N700" t="n">
        <v>0</v>
      </c>
      <c r="O700" t="n">
        <v>0</v>
      </c>
      <c r="P700" t="n">
        <v>0</v>
      </c>
      <c r="Q700" t="n">
        <v>0</v>
      </c>
      <c r="R700" s="2" t="inlineStr"/>
    </row>
    <row r="701" ht="15" customHeight="1">
      <c r="A701" t="inlineStr">
        <is>
          <t>A 58728-2024</t>
        </is>
      </c>
      <c r="B701" s="1" t="n">
        <v>45635.66695601852</v>
      </c>
      <c r="C701" s="1" t="n">
        <v>45889</v>
      </c>
      <c r="D701" t="inlineStr">
        <is>
          <t>KALMAR LÄN</t>
        </is>
      </c>
      <c r="E701" t="inlineStr">
        <is>
          <t>VIMMERBY</t>
        </is>
      </c>
      <c r="G701" t="n">
        <v>0.4</v>
      </c>
      <c r="H701" t="n">
        <v>0</v>
      </c>
      <c r="I701" t="n">
        <v>0</v>
      </c>
      <c r="J701" t="n">
        <v>0</v>
      </c>
      <c r="K701" t="n">
        <v>0</v>
      </c>
      <c r="L701" t="n">
        <v>0</v>
      </c>
      <c r="M701" t="n">
        <v>0</v>
      </c>
      <c r="N701" t="n">
        <v>0</v>
      </c>
      <c r="O701" t="n">
        <v>0</v>
      </c>
      <c r="P701" t="n">
        <v>0</v>
      </c>
      <c r="Q701" t="n">
        <v>0</v>
      </c>
      <c r="R701" s="2" t="inlineStr"/>
    </row>
    <row r="702" ht="15" customHeight="1">
      <c r="A702" t="inlineStr">
        <is>
          <t>A 43242-2024</t>
        </is>
      </c>
      <c r="B702" s="1" t="n">
        <v>45568.30189814815</v>
      </c>
      <c r="C702" s="1" t="n">
        <v>45889</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16983-2023</t>
        </is>
      </c>
      <c r="B703" s="1" t="n">
        <v>45033.76043981482</v>
      </c>
      <c r="C703" s="1" t="n">
        <v>45889</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6082-2022</t>
        </is>
      </c>
      <c r="B704" s="1" t="n">
        <v>44599</v>
      </c>
      <c r="C704" s="1" t="n">
        <v>45889</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46979-2023</t>
        </is>
      </c>
      <c r="B705" s="1" t="n">
        <v>45201</v>
      </c>
      <c r="C705" s="1" t="n">
        <v>45889</v>
      </c>
      <c r="D705" t="inlineStr">
        <is>
          <t>KALMAR LÄN</t>
        </is>
      </c>
      <c r="E705" t="inlineStr">
        <is>
          <t>VIMMERBY</t>
        </is>
      </c>
      <c r="G705" t="n">
        <v>1</v>
      </c>
      <c r="H705" t="n">
        <v>0</v>
      </c>
      <c r="I705" t="n">
        <v>0</v>
      </c>
      <c r="J705" t="n">
        <v>0</v>
      </c>
      <c r="K705" t="n">
        <v>0</v>
      </c>
      <c r="L705" t="n">
        <v>0</v>
      </c>
      <c r="M705" t="n">
        <v>0</v>
      </c>
      <c r="N705" t="n">
        <v>0</v>
      </c>
      <c r="O705" t="n">
        <v>0</v>
      </c>
      <c r="P705" t="n">
        <v>0</v>
      </c>
      <c r="Q705" t="n">
        <v>0</v>
      </c>
      <c r="R705" s="2" t="inlineStr"/>
    </row>
    <row r="706" ht="15" customHeight="1">
      <c r="A706" t="inlineStr">
        <is>
          <t>A 2596-2025</t>
        </is>
      </c>
      <c r="B706" s="1" t="n">
        <v>45674.71810185185</v>
      </c>
      <c r="C706" s="1" t="n">
        <v>45889</v>
      </c>
      <c r="D706" t="inlineStr">
        <is>
          <t>KALMAR LÄN</t>
        </is>
      </c>
      <c r="E706" t="inlineStr">
        <is>
          <t>VIMMERBY</t>
        </is>
      </c>
      <c r="G706" t="n">
        <v>9</v>
      </c>
      <c r="H706" t="n">
        <v>0</v>
      </c>
      <c r="I706" t="n">
        <v>0</v>
      </c>
      <c r="J706" t="n">
        <v>0</v>
      </c>
      <c r="K706" t="n">
        <v>0</v>
      </c>
      <c r="L706" t="n">
        <v>0</v>
      </c>
      <c r="M706" t="n">
        <v>0</v>
      </c>
      <c r="N706" t="n">
        <v>0</v>
      </c>
      <c r="O706" t="n">
        <v>0</v>
      </c>
      <c r="P706" t="n">
        <v>0</v>
      </c>
      <c r="Q706" t="n">
        <v>0</v>
      </c>
      <c r="R706" s="2" t="inlineStr"/>
    </row>
    <row r="707" ht="15" customHeight="1">
      <c r="A707" t="inlineStr">
        <is>
          <t>A 47855-2024</t>
        </is>
      </c>
      <c r="B707" s="1" t="n">
        <v>45588.66457175926</v>
      </c>
      <c r="C707" s="1" t="n">
        <v>45889</v>
      </c>
      <c r="D707" t="inlineStr">
        <is>
          <t>KALMAR LÄN</t>
        </is>
      </c>
      <c r="E707" t="inlineStr">
        <is>
          <t>VIMMERBY</t>
        </is>
      </c>
      <c r="G707" t="n">
        <v>0.8</v>
      </c>
      <c r="H707" t="n">
        <v>0</v>
      </c>
      <c r="I707" t="n">
        <v>0</v>
      </c>
      <c r="J707" t="n">
        <v>0</v>
      </c>
      <c r="K707" t="n">
        <v>0</v>
      </c>
      <c r="L707" t="n">
        <v>0</v>
      </c>
      <c r="M707" t="n">
        <v>0</v>
      </c>
      <c r="N707" t="n">
        <v>0</v>
      </c>
      <c r="O707" t="n">
        <v>0</v>
      </c>
      <c r="P707" t="n">
        <v>0</v>
      </c>
      <c r="Q707" t="n">
        <v>0</v>
      </c>
      <c r="R707" s="2" t="inlineStr"/>
    </row>
    <row r="708" ht="15" customHeight="1">
      <c r="A708" t="inlineStr">
        <is>
          <t>A 63583-2023</t>
        </is>
      </c>
      <c r="B708" s="1" t="n">
        <v>45275.41833333333</v>
      </c>
      <c r="C708" s="1" t="n">
        <v>45889</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6405-2025</t>
        </is>
      </c>
      <c r="B709" s="1" t="n">
        <v>45699.45392361111</v>
      </c>
      <c r="C709" s="1" t="n">
        <v>45889</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36843-2023</t>
        </is>
      </c>
      <c r="B710" s="1" t="n">
        <v>45154.49831018518</v>
      </c>
      <c r="C710" s="1" t="n">
        <v>45889</v>
      </c>
      <c r="D710" t="inlineStr">
        <is>
          <t>KALMAR LÄN</t>
        </is>
      </c>
      <c r="E710" t="inlineStr">
        <is>
          <t>VIMMERBY</t>
        </is>
      </c>
      <c r="G710" t="n">
        <v>2</v>
      </c>
      <c r="H710" t="n">
        <v>0</v>
      </c>
      <c r="I710" t="n">
        <v>0</v>
      </c>
      <c r="J710" t="n">
        <v>0</v>
      </c>
      <c r="K710" t="n">
        <v>0</v>
      </c>
      <c r="L710" t="n">
        <v>0</v>
      </c>
      <c r="M710" t="n">
        <v>0</v>
      </c>
      <c r="N710" t="n">
        <v>0</v>
      </c>
      <c r="O710" t="n">
        <v>0</v>
      </c>
      <c r="P710" t="n">
        <v>0</v>
      </c>
      <c r="Q710" t="n">
        <v>0</v>
      </c>
      <c r="R710" s="2" t="inlineStr"/>
    </row>
    <row r="711" ht="15" customHeight="1">
      <c r="A711" t="inlineStr">
        <is>
          <t>A 57486-2024</t>
        </is>
      </c>
      <c r="B711" s="1" t="n">
        <v>45630.35827546296</v>
      </c>
      <c r="C711" s="1" t="n">
        <v>45889</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60228-2021</t>
        </is>
      </c>
      <c r="B712" s="1" t="n">
        <v>44495</v>
      </c>
      <c r="C712" s="1" t="n">
        <v>45889</v>
      </c>
      <c r="D712" t="inlineStr">
        <is>
          <t>KALMAR LÄN</t>
        </is>
      </c>
      <c r="E712" t="inlineStr">
        <is>
          <t>VIMMERBY</t>
        </is>
      </c>
      <c r="G712" t="n">
        <v>4.1</v>
      </c>
      <c r="H712" t="n">
        <v>0</v>
      </c>
      <c r="I712" t="n">
        <v>0</v>
      </c>
      <c r="J712" t="n">
        <v>0</v>
      </c>
      <c r="K712" t="n">
        <v>0</v>
      </c>
      <c r="L712" t="n">
        <v>0</v>
      </c>
      <c r="M712" t="n">
        <v>0</v>
      </c>
      <c r="N712" t="n">
        <v>0</v>
      </c>
      <c r="O712" t="n">
        <v>0</v>
      </c>
      <c r="P712" t="n">
        <v>0</v>
      </c>
      <c r="Q712" t="n">
        <v>0</v>
      </c>
      <c r="R712" s="2" t="inlineStr"/>
    </row>
    <row r="713" ht="15" customHeight="1">
      <c r="A713" t="inlineStr">
        <is>
          <t>A 46522-2022</t>
        </is>
      </c>
      <c r="B713" s="1" t="n">
        <v>44848.59133101852</v>
      </c>
      <c r="C713" s="1" t="n">
        <v>45889</v>
      </c>
      <c r="D713" t="inlineStr">
        <is>
          <t>KALMAR LÄN</t>
        </is>
      </c>
      <c r="E713" t="inlineStr">
        <is>
          <t>VIMMERBY</t>
        </is>
      </c>
      <c r="G713" t="n">
        <v>1.4</v>
      </c>
      <c r="H713" t="n">
        <v>0</v>
      </c>
      <c r="I713" t="n">
        <v>0</v>
      </c>
      <c r="J713" t="n">
        <v>0</v>
      </c>
      <c r="K713" t="n">
        <v>0</v>
      </c>
      <c r="L713" t="n">
        <v>0</v>
      </c>
      <c r="M713" t="n">
        <v>0</v>
      </c>
      <c r="N713" t="n">
        <v>0</v>
      </c>
      <c r="O713" t="n">
        <v>0</v>
      </c>
      <c r="P713" t="n">
        <v>0</v>
      </c>
      <c r="Q713" t="n">
        <v>0</v>
      </c>
      <c r="R713" s="2" t="inlineStr"/>
    </row>
    <row r="714" ht="15" customHeight="1">
      <c r="A714" t="inlineStr">
        <is>
          <t>A 66295-2020</t>
        </is>
      </c>
      <c r="B714" s="1" t="n">
        <v>44176</v>
      </c>
      <c r="C714" s="1" t="n">
        <v>45889</v>
      </c>
      <c r="D714" t="inlineStr">
        <is>
          <t>KALMAR LÄN</t>
        </is>
      </c>
      <c r="E714" t="inlineStr">
        <is>
          <t>VIMMERBY</t>
        </is>
      </c>
      <c r="G714" t="n">
        <v>4.1</v>
      </c>
      <c r="H714" t="n">
        <v>0</v>
      </c>
      <c r="I714" t="n">
        <v>0</v>
      </c>
      <c r="J714" t="n">
        <v>0</v>
      </c>
      <c r="K714" t="n">
        <v>0</v>
      </c>
      <c r="L714" t="n">
        <v>0</v>
      </c>
      <c r="M714" t="n">
        <v>0</v>
      </c>
      <c r="N714" t="n">
        <v>0</v>
      </c>
      <c r="O714" t="n">
        <v>0</v>
      </c>
      <c r="P714" t="n">
        <v>0</v>
      </c>
      <c r="Q714" t="n">
        <v>0</v>
      </c>
      <c r="R714" s="2" t="inlineStr"/>
    </row>
    <row r="715" ht="15" customHeight="1">
      <c r="A715" t="inlineStr">
        <is>
          <t>A 21109-2024</t>
        </is>
      </c>
      <c r="B715" s="1" t="n">
        <v>45440.28329861111</v>
      </c>
      <c r="C715" s="1" t="n">
        <v>45889</v>
      </c>
      <c r="D715" t="inlineStr">
        <is>
          <t>KALMAR LÄN</t>
        </is>
      </c>
      <c r="E715" t="inlineStr">
        <is>
          <t>VIMMERBY</t>
        </is>
      </c>
      <c r="G715" t="n">
        <v>0.8</v>
      </c>
      <c r="H715" t="n">
        <v>0</v>
      </c>
      <c r="I715" t="n">
        <v>0</v>
      </c>
      <c r="J715" t="n">
        <v>0</v>
      </c>
      <c r="K715" t="n">
        <v>0</v>
      </c>
      <c r="L715" t="n">
        <v>0</v>
      </c>
      <c r="M715" t="n">
        <v>0</v>
      </c>
      <c r="N715" t="n">
        <v>0</v>
      </c>
      <c r="O715" t="n">
        <v>0</v>
      </c>
      <c r="P715" t="n">
        <v>0</v>
      </c>
      <c r="Q715" t="n">
        <v>0</v>
      </c>
      <c r="R715" s="2" t="inlineStr"/>
    </row>
    <row r="716" ht="15" customHeight="1">
      <c r="A716" t="inlineStr">
        <is>
          <t>A 33815-2022</t>
        </is>
      </c>
      <c r="B716" s="1" t="n">
        <v>44790.45876157407</v>
      </c>
      <c r="C716" s="1" t="n">
        <v>45889</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44423-2023</t>
        </is>
      </c>
      <c r="B717" s="1" t="n">
        <v>45189</v>
      </c>
      <c r="C717" s="1" t="n">
        <v>45889</v>
      </c>
      <c r="D717" t="inlineStr">
        <is>
          <t>KALMAR LÄN</t>
        </is>
      </c>
      <c r="E717" t="inlineStr">
        <is>
          <t>VIMMERBY</t>
        </is>
      </c>
      <c r="G717" t="n">
        <v>0.7</v>
      </c>
      <c r="H717" t="n">
        <v>0</v>
      </c>
      <c r="I717" t="n">
        <v>0</v>
      </c>
      <c r="J717" t="n">
        <v>0</v>
      </c>
      <c r="K717" t="n">
        <v>0</v>
      </c>
      <c r="L717" t="n">
        <v>0</v>
      </c>
      <c r="M717" t="n">
        <v>0</v>
      </c>
      <c r="N717" t="n">
        <v>0</v>
      </c>
      <c r="O717" t="n">
        <v>0</v>
      </c>
      <c r="P717" t="n">
        <v>0</v>
      </c>
      <c r="Q717" t="n">
        <v>0</v>
      </c>
      <c r="R717" s="2" t="inlineStr"/>
    </row>
    <row r="718" ht="15" customHeight="1">
      <c r="A718" t="inlineStr">
        <is>
          <t>A 49461-2022</t>
        </is>
      </c>
      <c r="B718" s="1" t="n">
        <v>44861</v>
      </c>
      <c r="C718" s="1" t="n">
        <v>45889</v>
      </c>
      <c r="D718" t="inlineStr">
        <is>
          <t>KALMAR LÄN</t>
        </is>
      </c>
      <c r="E718" t="inlineStr">
        <is>
          <t>VIMMERBY</t>
        </is>
      </c>
      <c r="G718" t="n">
        <v>3.2</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44879.62173611111</v>
      </c>
      <c r="C719" s="1" t="n">
        <v>45889</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35713-2023</t>
        </is>
      </c>
      <c r="B720" s="1" t="n">
        <v>45147</v>
      </c>
      <c r="C720" s="1" t="n">
        <v>45889</v>
      </c>
      <c r="D720" t="inlineStr">
        <is>
          <t>KALMAR LÄN</t>
        </is>
      </c>
      <c r="E720" t="inlineStr">
        <is>
          <t>VIMMERBY</t>
        </is>
      </c>
      <c r="G720" t="n">
        <v>1.6</v>
      </c>
      <c r="H720" t="n">
        <v>0</v>
      </c>
      <c r="I720" t="n">
        <v>0</v>
      </c>
      <c r="J720" t="n">
        <v>0</v>
      </c>
      <c r="K720" t="n">
        <v>0</v>
      </c>
      <c r="L720" t="n">
        <v>0</v>
      </c>
      <c r="M720" t="n">
        <v>0</v>
      </c>
      <c r="N720" t="n">
        <v>0</v>
      </c>
      <c r="O720" t="n">
        <v>0</v>
      </c>
      <c r="P720" t="n">
        <v>0</v>
      </c>
      <c r="Q720" t="n">
        <v>0</v>
      </c>
      <c r="R720" s="2" t="inlineStr"/>
    </row>
    <row r="721" ht="15" customHeight="1">
      <c r="A721" t="inlineStr">
        <is>
          <t>A 20-2025</t>
        </is>
      </c>
      <c r="B721" s="1" t="n">
        <v>45658.80232638889</v>
      </c>
      <c r="C721" s="1" t="n">
        <v>45889</v>
      </c>
      <c r="D721" t="inlineStr">
        <is>
          <t>KALMAR LÄN</t>
        </is>
      </c>
      <c r="E721" t="inlineStr">
        <is>
          <t>VIMMERBY</t>
        </is>
      </c>
      <c r="G721" t="n">
        <v>1.3</v>
      </c>
      <c r="H721" t="n">
        <v>0</v>
      </c>
      <c r="I721" t="n">
        <v>0</v>
      </c>
      <c r="J721" t="n">
        <v>0</v>
      </c>
      <c r="K721" t="n">
        <v>0</v>
      </c>
      <c r="L721" t="n">
        <v>0</v>
      </c>
      <c r="M721" t="n">
        <v>0</v>
      </c>
      <c r="N721" t="n">
        <v>0</v>
      </c>
      <c r="O721" t="n">
        <v>0</v>
      </c>
      <c r="P721" t="n">
        <v>0</v>
      </c>
      <c r="Q721" t="n">
        <v>0</v>
      </c>
      <c r="R721" s="2" t="inlineStr"/>
    </row>
    <row r="722" ht="15" customHeight="1">
      <c r="A722" t="inlineStr">
        <is>
          <t>A 23-2025</t>
        </is>
      </c>
      <c r="B722" s="1" t="n">
        <v>45658.80827546296</v>
      </c>
      <c r="C722" s="1" t="n">
        <v>45889</v>
      </c>
      <c r="D722" t="inlineStr">
        <is>
          <t>KALMAR LÄN</t>
        </is>
      </c>
      <c r="E722" t="inlineStr">
        <is>
          <t>VIMMERBY</t>
        </is>
      </c>
      <c r="G722" t="n">
        <v>1.8</v>
      </c>
      <c r="H722" t="n">
        <v>0</v>
      </c>
      <c r="I722" t="n">
        <v>0</v>
      </c>
      <c r="J722" t="n">
        <v>0</v>
      </c>
      <c r="K722" t="n">
        <v>0</v>
      </c>
      <c r="L722" t="n">
        <v>0</v>
      </c>
      <c r="M722" t="n">
        <v>0</v>
      </c>
      <c r="N722" t="n">
        <v>0</v>
      </c>
      <c r="O722" t="n">
        <v>0</v>
      </c>
      <c r="P722" t="n">
        <v>0</v>
      </c>
      <c r="Q722" t="n">
        <v>0</v>
      </c>
      <c r="R722" s="2" t="inlineStr"/>
    </row>
    <row r="723" ht="15" customHeight="1">
      <c r="A723" t="inlineStr">
        <is>
          <t>A 21496-2023</t>
        </is>
      </c>
      <c r="B723" s="1" t="n">
        <v>45063.49936342592</v>
      </c>
      <c r="C723" s="1" t="n">
        <v>45889</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29727-2025</t>
        </is>
      </c>
      <c r="B724" s="1" t="n">
        <v>45825.5796875</v>
      </c>
      <c r="C724" s="1" t="n">
        <v>45889</v>
      </c>
      <c r="D724" t="inlineStr">
        <is>
          <t>KALMAR LÄN</t>
        </is>
      </c>
      <c r="E724" t="inlineStr">
        <is>
          <t>VIMMERBY</t>
        </is>
      </c>
      <c r="G724" t="n">
        <v>1.3</v>
      </c>
      <c r="H724" t="n">
        <v>0</v>
      </c>
      <c r="I724" t="n">
        <v>0</v>
      </c>
      <c r="J724" t="n">
        <v>0</v>
      </c>
      <c r="K724" t="n">
        <v>0</v>
      </c>
      <c r="L724" t="n">
        <v>0</v>
      </c>
      <c r="M724" t="n">
        <v>0</v>
      </c>
      <c r="N724" t="n">
        <v>0</v>
      </c>
      <c r="O724" t="n">
        <v>0</v>
      </c>
      <c r="P724" t="n">
        <v>0</v>
      </c>
      <c r="Q724" t="n">
        <v>0</v>
      </c>
      <c r="R724" s="2" t="inlineStr"/>
    </row>
    <row r="725" ht="15" customHeight="1">
      <c r="A725" t="inlineStr">
        <is>
          <t>A 29737-2025</t>
        </is>
      </c>
      <c r="B725" s="1" t="n">
        <v>45825.58672453704</v>
      </c>
      <c r="C725" s="1" t="n">
        <v>45889</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10424-2023</t>
        </is>
      </c>
      <c r="B726" s="1" t="n">
        <v>44987.54104166666</v>
      </c>
      <c r="C726" s="1" t="n">
        <v>45889</v>
      </c>
      <c r="D726" t="inlineStr">
        <is>
          <t>KALMAR LÄN</t>
        </is>
      </c>
      <c r="E726" t="inlineStr">
        <is>
          <t>VIMMERBY</t>
        </is>
      </c>
      <c r="G726" t="n">
        <v>0.5</v>
      </c>
      <c r="H726" t="n">
        <v>0</v>
      </c>
      <c r="I726" t="n">
        <v>0</v>
      </c>
      <c r="J726" t="n">
        <v>0</v>
      </c>
      <c r="K726" t="n">
        <v>0</v>
      </c>
      <c r="L726" t="n">
        <v>0</v>
      </c>
      <c r="M726" t="n">
        <v>0</v>
      </c>
      <c r="N726" t="n">
        <v>0</v>
      </c>
      <c r="O726" t="n">
        <v>0</v>
      </c>
      <c r="P726" t="n">
        <v>0</v>
      </c>
      <c r="Q726" t="n">
        <v>0</v>
      </c>
      <c r="R726" s="2" t="inlineStr"/>
    </row>
    <row r="727" ht="15" customHeight="1">
      <c r="A727" t="inlineStr">
        <is>
          <t>A 36226-2025</t>
        </is>
      </c>
      <c r="B727" s="1" t="n">
        <v>45867.51630787037</v>
      </c>
      <c r="C727" s="1" t="n">
        <v>45889</v>
      </c>
      <c r="D727" t="inlineStr">
        <is>
          <t>KALMAR LÄN</t>
        </is>
      </c>
      <c r="E727" t="inlineStr">
        <is>
          <t>VIMMERBY</t>
        </is>
      </c>
      <c r="G727" t="n">
        <v>3.1</v>
      </c>
      <c r="H727" t="n">
        <v>0</v>
      </c>
      <c r="I727" t="n">
        <v>0</v>
      </c>
      <c r="J727" t="n">
        <v>0</v>
      </c>
      <c r="K727" t="n">
        <v>0</v>
      </c>
      <c r="L727" t="n">
        <v>0</v>
      </c>
      <c r="M727" t="n">
        <v>0</v>
      </c>
      <c r="N727" t="n">
        <v>0</v>
      </c>
      <c r="O727" t="n">
        <v>0</v>
      </c>
      <c r="P727" t="n">
        <v>0</v>
      </c>
      <c r="Q727" t="n">
        <v>0</v>
      </c>
      <c r="R727" s="2" t="inlineStr"/>
    </row>
    <row r="728" ht="15" customHeight="1">
      <c r="A728" t="inlineStr">
        <is>
          <t>A 36246-2025</t>
        </is>
      </c>
      <c r="B728" s="1" t="n">
        <v>45867.56320601852</v>
      </c>
      <c r="C728" s="1" t="n">
        <v>45889</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36273-2025</t>
        </is>
      </c>
      <c r="B729" s="1" t="n">
        <v>45867.63094907408</v>
      </c>
      <c r="C729" s="1" t="n">
        <v>45889</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36221-2025</t>
        </is>
      </c>
      <c r="B730" s="1" t="n">
        <v>45867.50792824074</v>
      </c>
      <c r="C730" s="1" t="n">
        <v>45889</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36297-2025</t>
        </is>
      </c>
      <c r="B731" s="1" t="n">
        <v>45867.68625</v>
      </c>
      <c r="C731" s="1" t="n">
        <v>45889</v>
      </c>
      <c r="D731" t="inlineStr">
        <is>
          <t>KALMAR LÄN</t>
        </is>
      </c>
      <c r="E731" t="inlineStr">
        <is>
          <t>VIMMERBY</t>
        </is>
      </c>
      <c r="G731" t="n">
        <v>4.9</v>
      </c>
      <c r="H731" t="n">
        <v>0</v>
      </c>
      <c r="I731" t="n">
        <v>0</v>
      </c>
      <c r="J731" t="n">
        <v>0</v>
      </c>
      <c r="K731" t="n">
        <v>0</v>
      </c>
      <c r="L731" t="n">
        <v>0</v>
      </c>
      <c r="M731" t="n">
        <v>0</v>
      </c>
      <c r="N731" t="n">
        <v>0</v>
      </c>
      <c r="O731" t="n">
        <v>0</v>
      </c>
      <c r="P731" t="n">
        <v>0</v>
      </c>
      <c r="Q731" t="n">
        <v>0</v>
      </c>
      <c r="R731" s="2" t="inlineStr"/>
    </row>
    <row r="732" ht="15" customHeight="1">
      <c r="A732" t="inlineStr">
        <is>
          <t>A 36299-2025</t>
        </is>
      </c>
      <c r="B732" s="1" t="n">
        <v>45867.69346064814</v>
      </c>
      <c r="C732" s="1" t="n">
        <v>45889</v>
      </c>
      <c r="D732" t="inlineStr">
        <is>
          <t>KALMAR LÄN</t>
        </is>
      </c>
      <c r="E732" t="inlineStr">
        <is>
          <t>VIMMERBY</t>
        </is>
      </c>
      <c r="G732" t="n">
        <v>7.6</v>
      </c>
      <c r="H732" t="n">
        <v>0</v>
      </c>
      <c r="I732" t="n">
        <v>0</v>
      </c>
      <c r="J732" t="n">
        <v>0</v>
      </c>
      <c r="K732" t="n">
        <v>0</v>
      </c>
      <c r="L732" t="n">
        <v>0</v>
      </c>
      <c r="M732" t="n">
        <v>0</v>
      </c>
      <c r="N732" t="n">
        <v>0</v>
      </c>
      <c r="O732" t="n">
        <v>0</v>
      </c>
      <c r="P732" t="n">
        <v>0</v>
      </c>
      <c r="Q732" t="n">
        <v>0</v>
      </c>
      <c r="R732" s="2" t="inlineStr"/>
    </row>
    <row r="733" ht="15" customHeight="1">
      <c r="A733" t="inlineStr">
        <is>
          <t>A 31056-2022</t>
        </is>
      </c>
      <c r="B733" s="1" t="n">
        <v>44769.45805555556</v>
      </c>
      <c r="C733" s="1" t="n">
        <v>45889</v>
      </c>
      <c r="D733" t="inlineStr">
        <is>
          <t>KALMAR LÄN</t>
        </is>
      </c>
      <c r="E733" t="inlineStr">
        <is>
          <t>VIMMERBY</t>
        </is>
      </c>
      <c r="G733" t="n">
        <v>2</v>
      </c>
      <c r="H733" t="n">
        <v>0</v>
      </c>
      <c r="I733" t="n">
        <v>0</v>
      </c>
      <c r="J733" t="n">
        <v>0</v>
      </c>
      <c r="K733" t="n">
        <v>0</v>
      </c>
      <c r="L733" t="n">
        <v>0</v>
      </c>
      <c r="M733" t="n">
        <v>0</v>
      </c>
      <c r="N733" t="n">
        <v>0</v>
      </c>
      <c r="O733" t="n">
        <v>0</v>
      </c>
      <c r="P733" t="n">
        <v>0</v>
      </c>
      <c r="Q733" t="n">
        <v>0</v>
      </c>
      <c r="R733" s="2" t="inlineStr"/>
    </row>
    <row r="734" ht="15" customHeight="1">
      <c r="A734" t="inlineStr">
        <is>
          <t>A 18022-2025</t>
        </is>
      </c>
      <c r="B734" s="1" t="n">
        <v>45761.44584490741</v>
      </c>
      <c r="C734" s="1" t="n">
        <v>45889</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36282-2025</t>
        </is>
      </c>
      <c r="B735" s="1" t="n">
        <v>45867.64663194444</v>
      </c>
      <c r="C735" s="1" t="n">
        <v>45889</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29726-2025</t>
        </is>
      </c>
      <c r="B736" s="1" t="n">
        <v>45825.57805555555</v>
      </c>
      <c r="C736" s="1" t="n">
        <v>45889</v>
      </c>
      <c r="D736" t="inlineStr">
        <is>
          <t>KALMAR LÄN</t>
        </is>
      </c>
      <c r="E736" t="inlineStr">
        <is>
          <t>VIMMERBY</t>
        </is>
      </c>
      <c r="G736" t="n">
        <v>2</v>
      </c>
      <c r="H736" t="n">
        <v>0</v>
      </c>
      <c r="I736" t="n">
        <v>0</v>
      </c>
      <c r="J736" t="n">
        <v>0</v>
      </c>
      <c r="K736" t="n">
        <v>0</v>
      </c>
      <c r="L736" t="n">
        <v>0</v>
      </c>
      <c r="M736" t="n">
        <v>0</v>
      </c>
      <c r="N736" t="n">
        <v>0</v>
      </c>
      <c r="O736" t="n">
        <v>0</v>
      </c>
      <c r="P736" t="n">
        <v>0</v>
      </c>
      <c r="Q736" t="n">
        <v>0</v>
      </c>
      <c r="R736" s="2" t="inlineStr"/>
    </row>
    <row r="737" ht="15" customHeight="1">
      <c r="A737" t="inlineStr">
        <is>
          <t>A 29673-2025</t>
        </is>
      </c>
      <c r="B737" s="1" t="n">
        <v>45825.50280092593</v>
      </c>
      <c r="C737" s="1" t="n">
        <v>45889</v>
      </c>
      <c r="D737" t="inlineStr">
        <is>
          <t>KALMAR LÄN</t>
        </is>
      </c>
      <c r="E737" t="inlineStr">
        <is>
          <t>VIMMERBY</t>
        </is>
      </c>
      <c r="G737" t="n">
        <v>6.4</v>
      </c>
      <c r="H737" t="n">
        <v>0</v>
      </c>
      <c r="I737" t="n">
        <v>0</v>
      </c>
      <c r="J737" t="n">
        <v>0</v>
      </c>
      <c r="K737" t="n">
        <v>0</v>
      </c>
      <c r="L737" t="n">
        <v>0</v>
      </c>
      <c r="M737" t="n">
        <v>0</v>
      </c>
      <c r="N737" t="n">
        <v>0</v>
      </c>
      <c r="O737" t="n">
        <v>0</v>
      </c>
      <c r="P737" t="n">
        <v>0</v>
      </c>
      <c r="Q737" t="n">
        <v>0</v>
      </c>
      <c r="R737" s="2" t="inlineStr"/>
    </row>
    <row r="738" ht="15" customHeight="1">
      <c r="A738" t="inlineStr">
        <is>
          <t>A 72701-2021</t>
        </is>
      </c>
      <c r="B738" s="1" t="n">
        <v>44546</v>
      </c>
      <c r="C738" s="1" t="n">
        <v>45889</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52294-2023</t>
        </is>
      </c>
      <c r="B739" s="1" t="n">
        <v>45224.60075231481</v>
      </c>
      <c r="C739" s="1" t="n">
        <v>45889</v>
      </c>
      <c r="D739" t="inlineStr">
        <is>
          <t>KALMAR LÄN</t>
        </is>
      </c>
      <c r="E739" t="inlineStr">
        <is>
          <t>VIMMERBY</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29724-2025</t>
        </is>
      </c>
      <c r="B740" s="1" t="n">
        <v>45825.57680555555</v>
      </c>
      <c r="C740" s="1" t="n">
        <v>45889</v>
      </c>
      <c r="D740" t="inlineStr">
        <is>
          <t>KALMAR LÄN</t>
        </is>
      </c>
      <c r="E740" t="inlineStr">
        <is>
          <t>VIMMERBY</t>
        </is>
      </c>
      <c r="G740" t="n">
        <v>1.3</v>
      </c>
      <c r="H740" t="n">
        <v>0</v>
      </c>
      <c r="I740" t="n">
        <v>0</v>
      </c>
      <c r="J740" t="n">
        <v>0</v>
      </c>
      <c r="K740" t="n">
        <v>0</v>
      </c>
      <c r="L740" t="n">
        <v>0</v>
      </c>
      <c r="M740" t="n">
        <v>0</v>
      </c>
      <c r="N740" t="n">
        <v>0</v>
      </c>
      <c r="O740" t="n">
        <v>0</v>
      </c>
      <c r="P740" t="n">
        <v>0</v>
      </c>
      <c r="Q740" t="n">
        <v>0</v>
      </c>
      <c r="R740" s="2" t="inlineStr"/>
    </row>
    <row r="741" ht="15" customHeight="1">
      <c r="A741" t="inlineStr">
        <is>
          <t>A 61355-2024</t>
        </is>
      </c>
      <c r="B741" s="1" t="n">
        <v>45646.38200231481</v>
      </c>
      <c r="C741" s="1" t="n">
        <v>45889</v>
      </c>
      <c r="D741" t="inlineStr">
        <is>
          <t>KALMAR LÄN</t>
        </is>
      </c>
      <c r="E741" t="inlineStr">
        <is>
          <t>VIMMERBY</t>
        </is>
      </c>
      <c r="G741" t="n">
        <v>2.7</v>
      </c>
      <c r="H741" t="n">
        <v>0</v>
      </c>
      <c r="I741" t="n">
        <v>0</v>
      </c>
      <c r="J741" t="n">
        <v>0</v>
      </c>
      <c r="K741" t="n">
        <v>0</v>
      </c>
      <c r="L741" t="n">
        <v>0</v>
      </c>
      <c r="M741" t="n">
        <v>0</v>
      </c>
      <c r="N741" t="n">
        <v>0</v>
      </c>
      <c r="O741" t="n">
        <v>0</v>
      </c>
      <c r="P741" t="n">
        <v>0</v>
      </c>
      <c r="Q741" t="n">
        <v>0</v>
      </c>
      <c r="R741" s="2" t="inlineStr"/>
    </row>
    <row r="742" ht="15" customHeight="1">
      <c r="A742" t="inlineStr">
        <is>
          <t>A 30293-2025</t>
        </is>
      </c>
      <c r="B742" s="1" t="n">
        <v>45827</v>
      </c>
      <c r="C742" s="1" t="n">
        <v>45889</v>
      </c>
      <c r="D742" t="inlineStr">
        <is>
          <t>KALMAR LÄN</t>
        </is>
      </c>
      <c r="E742" t="inlineStr">
        <is>
          <t>VIMMERBY</t>
        </is>
      </c>
      <c r="G742" t="n">
        <v>0.5</v>
      </c>
      <c r="H742" t="n">
        <v>0</v>
      </c>
      <c r="I742" t="n">
        <v>0</v>
      </c>
      <c r="J742" t="n">
        <v>0</v>
      </c>
      <c r="K742" t="n">
        <v>0</v>
      </c>
      <c r="L742" t="n">
        <v>0</v>
      </c>
      <c r="M742" t="n">
        <v>0</v>
      </c>
      <c r="N742" t="n">
        <v>0</v>
      </c>
      <c r="O742" t="n">
        <v>0</v>
      </c>
      <c r="P742" t="n">
        <v>0</v>
      </c>
      <c r="Q742" t="n">
        <v>0</v>
      </c>
      <c r="R742" s="2" t="inlineStr"/>
    </row>
    <row r="743" ht="15" customHeight="1">
      <c r="A743" t="inlineStr">
        <is>
          <t>A 33374-2021</t>
        </is>
      </c>
      <c r="B743" s="1" t="n">
        <v>44377</v>
      </c>
      <c r="C743" s="1" t="n">
        <v>45889</v>
      </c>
      <c r="D743" t="inlineStr">
        <is>
          <t>KALMAR LÄN</t>
        </is>
      </c>
      <c r="E743" t="inlineStr">
        <is>
          <t>VIMMERBY</t>
        </is>
      </c>
      <c r="G743" t="n">
        <v>3.3</v>
      </c>
      <c r="H743" t="n">
        <v>0</v>
      </c>
      <c r="I743" t="n">
        <v>0</v>
      </c>
      <c r="J743" t="n">
        <v>0</v>
      </c>
      <c r="K743" t="n">
        <v>0</v>
      </c>
      <c r="L743" t="n">
        <v>0</v>
      </c>
      <c r="M743" t="n">
        <v>0</v>
      </c>
      <c r="N743" t="n">
        <v>0</v>
      </c>
      <c r="O743" t="n">
        <v>0</v>
      </c>
      <c r="P743" t="n">
        <v>0</v>
      </c>
      <c r="Q743" t="n">
        <v>0</v>
      </c>
      <c r="R743" s="2" t="inlineStr"/>
    </row>
    <row r="744" ht="15" customHeight="1">
      <c r="A744" t="inlineStr">
        <is>
          <t>A 36602-2025</t>
        </is>
      </c>
      <c r="B744" s="1" t="n">
        <v>45870.52111111111</v>
      </c>
      <c r="C744" s="1" t="n">
        <v>45889</v>
      </c>
      <c r="D744" t="inlineStr">
        <is>
          <t>KALMAR LÄN</t>
        </is>
      </c>
      <c r="E744" t="inlineStr">
        <is>
          <t>VIMMERBY</t>
        </is>
      </c>
      <c r="G744" t="n">
        <v>0.6</v>
      </c>
      <c r="H744" t="n">
        <v>0</v>
      </c>
      <c r="I744" t="n">
        <v>0</v>
      </c>
      <c r="J744" t="n">
        <v>0</v>
      </c>
      <c r="K744" t="n">
        <v>0</v>
      </c>
      <c r="L744" t="n">
        <v>0</v>
      </c>
      <c r="M744" t="n">
        <v>0</v>
      </c>
      <c r="N744" t="n">
        <v>0</v>
      </c>
      <c r="O744" t="n">
        <v>0</v>
      </c>
      <c r="P744" t="n">
        <v>0</v>
      </c>
      <c r="Q744" t="n">
        <v>0</v>
      </c>
      <c r="R744" s="2" t="inlineStr"/>
    </row>
    <row r="745" ht="15" customHeight="1">
      <c r="A745" t="inlineStr">
        <is>
          <t>A 33340-2023</t>
        </is>
      </c>
      <c r="B745" s="1" t="n">
        <v>45128.37305555555</v>
      </c>
      <c r="C745" s="1" t="n">
        <v>45889</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29017-2024</t>
        </is>
      </c>
      <c r="B746" s="1" t="n">
        <v>45481.56722222222</v>
      </c>
      <c r="C746" s="1" t="n">
        <v>45889</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10759-2023</t>
        </is>
      </c>
      <c r="B747" s="1" t="n">
        <v>44988</v>
      </c>
      <c r="C747" s="1" t="n">
        <v>45889</v>
      </c>
      <c r="D747" t="inlineStr">
        <is>
          <t>KALMAR LÄN</t>
        </is>
      </c>
      <c r="E747" t="inlineStr">
        <is>
          <t>VIMMERBY</t>
        </is>
      </c>
      <c r="G747" t="n">
        <v>0.4</v>
      </c>
      <c r="H747" t="n">
        <v>0</v>
      </c>
      <c r="I747" t="n">
        <v>0</v>
      </c>
      <c r="J747" t="n">
        <v>0</v>
      </c>
      <c r="K747" t="n">
        <v>0</v>
      </c>
      <c r="L747" t="n">
        <v>0</v>
      </c>
      <c r="M747" t="n">
        <v>0</v>
      </c>
      <c r="N747" t="n">
        <v>0</v>
      </c>
      <c r="O747" t="n">
        <v>0</v>
      </c>
      <c r="P747" t="n">
        <v>0</v>
      </c>
      <c r="Q747" t="n">
        <v>0</v>
      </c>
      <c r="R747" s="2" t="inlineStr"/>
    </row>
    <row r="748" ht="15" customHeight="1">
      <c r="A748" t="inlineStr">
        <is>
          <t>A 36598-2025</t>
        </is>
      </c>
      <c r="B748" s="1" t="n">
        <v>45870.51708333333</v>
      </c>
      <c r="C748" s="1" t="n">
        <v>45889</v>
      </c>
      <c r="D748" t="inlineStr">
        <is>
          <t>KALMAR LÄN</t>
        </is>
      </c>
      <c r="E748" t="inlineStr">
        <is>
          <t>VIMMERBY</t>
        </is>
      </c>
      <c r="G748" t="n">
        <v>3.7</v>
      </c>
      <c r="H748" t="n">
        <v>0</v>
      </c>
      <c r="I748" t="n">
        <v>0</v>
      </c>
      <c r="J748" t="n">
        <v>0</v>
      </c>
      <c r="K748" t="n">
        <v>0</v>
      </c>
      <c r="L748" t="n">
        <v>0</v>
      </c>
      <c r="M748" t="n">
        <v>0</v>
      </c>
      <c r="N748" t="n">
        <v>0</v>
      </c>
      <c r="O748" t="n">
        <v>0</v>
      </c>
      <c r="P748" t="n">
        <v>0</v>
      </c>
      <c r="Q748" t="n">
        <v>0</v>
      </c>
      <c r="R748" s="2" t="inlineStr"/>
    </row>
    <row r="749" ht="15" customHeight="1">
      <c r="A749" t="inlineStr">
        <is>
          <t>A 36601-2025</t>
        </is>
      </c>
      <c r="B749" s="1" t="n">
        <v>45870.52005787037</v>
      </c>
      <c r="C749" s="1" t="n">
        <v>45889</v>
      </c>
      <c r="D749" t="inlineStr">
        <is>
          <t>KALMAR LÄN</t>
        </is>
      </c>
      <c r="E749" t="inlineStr">
        <is>
          <t>VIMMERBY</t>
        </is>
      </c>
      <c r="G749" t="n">
        <v>0.5</v>
      </c>
      <c r="H749" t="n">
        <v>0</v>
      </c>
      <c r="I749" t="n">
        <v>0</v>
      </c>
      <c r="J749" t="n">
        <v>0</v>
      </c>
      <c r="K749" t="n">
        <v>0</v>
      </c>
      <c r="L749" t="n">
        <v>0</v>
      </c>
      <c r="M749" t="n">
        <v>0</v>
      </c>
      <c r="N749" t="n">
        <v>0</v>
      </c>
      <c r="O749" t="n">
        <v>0</v>
      </c>
      <c r="P749" t="n">
        <v>0</v>
      </c>
      <c r="Q749" t="n">
        <v>0</v>
      </c>
      <c r="R749" s="2" t="inlineStr"/>
    </row>
    <row r="750" ht="15" customHeight="1">
      <c r="A750" t="inlineStr">
        <is>
          <t>A 36603-2025</t>
        </is>
      </c>
      <c r="B750" s="1" t="n">
        <v>45870.52142361111</v>
      </c>
      <c r="C750" s="1" t="n">
        <v>45889</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58046-2022</t>
        </is>
      </c>
      <c r="B751" s="1" t="n">
        <v>44900.57393518519</v>
      </c>
      <c r="C751" s="1" t="n">
        <v>45889</v>
      </c>
      <c r="D751" t="inlineStr">
        <is>
          <t>KALMAR LÄN</t>
        </is>
      </c>
      <c r="E751" t="inlineStr">
        <is>
          <t>VIMMERBY</t>
        </is>
      </c>
      <c r="G751" t="n">
        <v>2.5</v>
      </c>
      <c r="H751" t="n">
        <v>0</v>
      </c>
      <c r="I751" t="n">
        <v>0</v>
      </c>
      <c r="J751" t="n">
        <v>0</v>
      </c>
      <c r="K751" t="n">
        <v>0</v>
      </c>
      <c r="L751" t="n">
        <v>0</v>
      </c>
      <c r="M751" t="n">
        <v>0</v>
      </c>
      <c r="N751" t="n">
        <v>0</v>
      </c>
      <c r="O751" t="n">
        <v>0</v>
      </c>
      <c r="P751" t="n">
        <v>0</v>
      </c>
      <c r="Q751" t="n">
        <v>0</v>
      </c>
      <c r="R751" s="2" t="inlineStr"/>
    </row>
    <row r="752" ht="15" customHeight="1">
      <c r="A752" t="inlineStr">
        <is>
          <t>A 36600-2025</t>
        </is>
      </c>
      <c r="B752" s="1" t="n">
        <v>45870.51958333333</v>
      </c>
      <c r="C752" s="1" t="n">
        <v>45889</v>
      </c>
      <c r="D752" t="inlineStr">
        <is>
          <t>KALMAR LÄN</t>
        </is>
      </c>
      <c r="E752" t="inlineStr">
        <is>
          <t>VIMMERBY</t>
        </is>
      </c>
      <c r="G752" t="n">
        <v>2</v>
      </c>
      <c r="H752" t="n">
        <v>0</v>
      </c>
      <c r="I752" t="n">
        <v>0</v>
      </c>
      <c r="J752" t="n">
        <v>0</v>
      </c>
      <c r="K752" t="n">
        <v>0</v>
      </c>
      <c r="L752" t="n">
        <v>0</v>
      </c>
      <c r="M752" t="n">
        <v>0</v>
      </c>
      <c r="N752" t="n">
        <v>0</v>
      </c>
      <c r="O752" t="n">
        <v>0</v>
      </c>
      <c r="P752" t="n">
        <v>0</v>
      </c>
      <c r="Q752" t="n">
        <v>0</v>
      </c>
      <c r="R752" s="2" t="inlineStr"/>
    </row>
    <row r="753" ht="15" customHeight="1">
      <c r="A753" t="inlineStr">
        <is>
          <t>A 14548-2024</t>
        </is>
      </c>
      <c r="B753" s="1" t="n">
        <v>45394.66887731481</v>
      </c>
      <c r="C753" s="1" t="n">
        <v>45889</v>
      </c>
      <c r="D753" t="inlineStr">
        <is>
          <t>KALMAR LÄN</t>
        </is>
      </c>
      <c r="E753" t="inlineStr">
        <is>
          <t>VIMMERBY</t>
        </is>
      </c>
      <c r="G753" t="n">
        <v>0.9</v>
      </c>
      <c r="H753" t="n">
        <v>0</v>
      </c>
      <c r="I753" t="n">
        <v>0</v>
      </c>
      <c r="J753" t="n">
        <v>0</v>
      </c>
      <c r="K753" t="n">
        <v>0</v>
      </c>
      <c r="L753" t="n">
        <v>0</v>
      </c>
      <c r="M753" t="n">
        <v>0</v>
      </c>
      <c r="N753" t="n">
        <v>0</v>
      </c>
      <c r="O753" t="n">
        <v>0</v>
      </c>
      <c r="P753" t="n">
        <v>0</v>
      </c>
      <c r="Q753" t="n">
        <v>0</v>
      </c>
      <c r="R753" s="2" t="inlineStr"/>
    </row>
    <row r="754" ht="15" customHeight="1">
      <c r="A754" t="inlineStr">
        <is>
          <t>A 18899-2025</t>
        </is>
      </c>
      <c r="B754" s="1" t="n">
        <v>45764.44931712963</v>
      </c>
      <c r="C754" s="1" t="n">
        <v>45889</v>
      </c>
      <c r="D754" t="inlineStr">
        <is>
          <t>KALMAR LÄN</t>
        </is>
      </c>
      <c r="E754" t="inlineStr">
        <is>
          <t>VIMMERBY</t>
        </is>
      </c>
      <c r="F754" t="inlineStr">
        <is>
          <t>Kommuner</t>
        </is>
      </c>
      <c r="G754" t="n">
        <v>4</v>
      </c>
      <c r="H754" t="n">
        <v>0</v>
      </c>
      <c r="I754" t="n">
        <v>0</v>
      </c>
      <c r="J754" t="n">
        <v>0</v>
      </c>
      <c r="K754" t="n">
        <v>0</v>
      </c>
      <c r="L754" t="n">
        <v>0</v>
      </c>
      <c r="M754" t="n">
        <v>0</v>
      </c>
      <c r="N754" t="n">
        <v>0</v>
      </c>
      <c r="O754" t="n">
        <v>0</v>
      </c>
      <c r="P754" t="n">
        <v>0</v>
      </c>
      <c r="Q754" t="n">
        <v>0</v>
      </c>
      <c r="R754" s="2" t="inlineStr"/>
    </row>
    <row r="755" ht="15" customHeight="1">
      <c r="A755" t="inlineStr">
        <is>
          <t>A 36538-2025</t>
        </is>
      </c>
      <c r="B755" s="1" t="n">
        <v>45869.62276620371</v>
      </c>
      <c r="C755" s="1" t="n">
        <v>45889</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30290-2025</t>
        </is>
      </c>
      <c r="B756" s="1" t="n">
        <v>45827</v>
      </c>
      <c r="C756" s="1" t="n">
        <v>45889</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12586-2021</t>
        </is>
      </c>
      <c r="B757" s="1" t="n">
        <v>44270.38002314815</v>
      </c>
      <c r="C757" s="1" t="n">
        <v>45889</v>
      </c>
      <c r="D757" t="inlineStr">
        <is>
          <t>KALMAR LÄN</t>
        </is>
      </c>
      <c r="E757" t="inlineStr">
        <is>
          <t>VIMMERBY</t>
        </is>
      </c>
      <c r="F757" t="inlineStr">
        <is>
          <t>Sveaskog</t>
        </is>
      </c>
      <c r="G757" t="n">
        <v>0.9</v>
      </c>
      <c r="H757" t="n">
        <v>0</v>
      </c>
      <c r="I757" t="n">
        <v>0</v>
      </c>
      <c r="J757" t="n">
        <v>0</v>
      </c>
      <c r="K757" t="n">
        <v>0</v>
      </c>
      <c r="L757" t="n">
        <v>0</v>
      </c>
      <c r="M757" t="n">
        <v>0</v>
      </c>
      <c r="N757" t="n">
        <v>0</v>
      </c>
      <c r="O757" t="n">
        <v>0</v>
      </c>
      <c r="P757" t="n">
        <v>0</v>
      </c>
      <c r="Q757" t="n">
        <v>0</v>
      </c>
      <c r="R757" s="2" t="inlineStr"/>
    </row>
    <row r="758" ht="15" customHeight="1">
      <c r="A758" t="inlineStr">
        <is>
          <t>A 30850-2025</t>
        </is>
      </c>
      <c r="B758" s="1" t="n">
        <v>45831</v>
      </c>
      <c r="C758" s="1" t="n">
        <v>45889</v>
      </c>
      <c r="D758" t="inlineStr">
        <is>
          <t>KALMAR LÄN</t>
        </is>
      </c>
      <c r="E758" t="inlineStr">
        <is>
          <t>VIMMERBY</t>
        </is>
      </c>
      <c r="G758" t="n">
        <v>2.7</v>
      </c>
      <c r="H758" t="n">
        <v>0</v>
      </c>
      <c r="I758" t="n">
        <v>0</v>
      </c>
      <c r="J758" t="n">
        <v>0</v>
      </c>
      <c r="K758" t="n">
        <v>0</v>
      </c>
      <c r="L758" t="n">
        <v>0</v>
      </c>
      <c r="M758" t="n">
        <v>0</v>
      </c>
      <c r="N758" t="n">
        <v>0</v>
      </c>
      <c r="O758" t="n">
        <v>0</v>
      </c>
      <c r="P758" t="n">
        <v>0</v>
      </c>
      <c r="Q758" t="n">
        <v>0</v>
      </c>
      <c r="R758" s="2" t="inlineStr"/>
    </row>
    <row r="759" ht="15" customHeight="1">
      <c r="A759" t="inlineStr">
        <is>
          <t>A 48120-2022</t>
        </is>
      </c>
      <c r="B759" s="1" t="n">
        <v>44857.65989583333</v>
      </c>
      <c r="C759" s="1" t="n">
        <v>45889</v>
      </c>
      <c r="D759" t="inlineStr">
        <is>
          <t>KALMAR LÄN</t>
        </is>
      </c>
      <c r="E759" t="inlineStr">
        <is>
          <t>VIMMERBY</t>
        </is>
      </c>
      <c r="G759" t="n">
        <v>1.7</v>
      </c>
      <c r="H759" t="n">
        <v>0</v>
      </c>
      <c r="I759" t="n">
        <v>0</v>
      </c>
      <c r="J759" t="n">
        <v>0</v>
      </c>
      <c r="K759" t="n">
        <v>0</v>
      </c>
      <c r="L759" t="n">
        <v>0</v>
      </c>
      <c r="M759" t="n">
        <v>0</v>
      </c>
      <c r="N759" t="n">
        <v>0</v>
      </c>
      <c r="O759" t="n">
        <v>0</v>
      </c>
      <c r="P759" t="n">
        <v>0</v>
      </c>
      <c r="Q759" t="n">
        <v>0</v>
      </c>
      <c r="R759" s="2" t="inlineStr"/>
    </row>
    <row r="760" ht="15" customHeight="1">
      <c r="A760" t="inlineStr">
        <is>
          <t>A 32614-2023</t>
        </is>
      </c>
      <c r="B760" s="1" t="n">
        <v>45121</v>
      </c>
      <c r="C760" s="1" t="n">
        <v>45889</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3423-2022</t>
        </is>
      </c>
      <c r="B761" s="1" t="n">
        <v>44585.50431712963</v>
      </c>
      <c r="C761" s="1" t="n">
        <v>45889</v>
      </c>
      <c r="D761" t="inlineStr">
        <is>
          <t>KALMAR LÄN</t>
        </is>
      </c>
      <c r="E761" t="inlineStr">
        <is>
          <t>VIMMERBY</t>
        </is>
      </c>
      <c r="G761" t="n">
        <v>1.7</v>
      </c>
      <c r="H761" t="n">
        <v>0</v>
      </c>
      <c r="I761" t="n">
        <v>0</v>
      </c>
      <c r="J761" t="n">
        <v>0</v>
      </c>
      <c r="K761" t="n">
        <v>0</v>
      </c>
      <c r="L761" t="n">
        <v>0</v>
      </c>
      <c r="M761" t="n">
        <v>0</v>
      </c>
      <c r="N761" t="n">
        <v>0</v>
      </c>
      <c r="O761" t="n">
        <v>0</v>
      </c>
      <c r="P761" t="n">
        <v>0</v>
      </c>
      <c r="Q761" t="n">
        <v>0</v>
      </c>
      <c r="R761" s="2" t="inlineStr"/>
    </row>
    <row r="762" ht="15" customHeight="1">
      <c r="A762" t="inlineStr">
        <is>
          <t>A 61939-2021</t>
        </is>
      </c>
      <c r="B762" s="1" t="n">
        <v>44502</v>
      </c>
      <c r="C762" s="1" t="n">
        <v>45889</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11074-2023</t>
        </is>
      </c>
      <c r="B763" s="1" t="n">
        <v>44992.34151620371</v>
      </c>
      <c r="C763" s="1" t="n">
        <v>45889</v>
      </c>
      <c r="D763" t="inlineStr">
        <is>
          <t>KALMAR LÄN</t>
        </is>
      </c>
      <c r="E763" t="inlineStr">
        <is>
          <t>VIMMERBY</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71631-2021</t>
        </is>
      </c>
      <c r="B764" s="1" t="n">
        <v>44542.90072916666</v>
      </c>
      <c r="C764" s="1" t="n">
        <v>45889</v>
      </c>
      <c r="D764" t="inlineStr">
        <is>
          <t>KALMAR LÄN</t>
        </is>
      </c>
      <c r="E764" t="inlineStr">
        <is>
          <t>VIMMERBY</t>
        </is>
      </c>
      <c r="G764" t="n">
        <v>0.9</v>
      </c>
      <c r="H764" t="n">
        <v>0</v>
      </c>
      <c r="I764" t="n">
        <v>0</v>
      </c>
      <c r="J764" t="n">
        <v>0</v>
      </c>
      <c r="K764" t="n">
        <v>0</v>
      </c>
      <c r="L764" t="n">
        <v>0</v>
      </c>
      <c r="M764" t="n">
        <v>0</v>
      </c>
      <c r="N764" t="n">
        <v>0</v>
      </c>
      <c r="O764" t="n">
        <v>0</v>
      </c>
      <c r="P764" t="n">
        <v>0</v>
      </c>
      <c r="Q764" t="n">
        <v>0</v>
      </c>
      <c r="R764" s="2" t="inlineStr"/>
    </row>
    <row r="765" ht="15" customHeight="1">
      <c r="A765" t="inlineStr">
        <is>
          <t>A 36934-2025</t>
        </is>
      </c>
      <c r="B765" s="1" t="n">
        <v>45874.57109953704</v>
      </c>
      <c r="C765" s="1" t="n">
        <v>45889</v>
      </c>
      <c r="D765" t="inlineStr">
        <is>
          <t>KALMAR LÄN</t>
        </is>
      </c>
      <c r="E765" t="inlineStr">
        <is>
          <t>VIMMERBY</t>
        </is>
      </c>
      <c r="G765" t="n">
        <v>4.2</v>
      </c>
      <c r="H765" t="n">
        <v>0</v>
      </c>
      <c r="I765" t="n">
        <v>0</v>
      </c>
      <c r="J765" t="n">
        <v>0</v>
      </c>
      <c r="K765" t="n">
        <v>0</v>
      </c>
      <c r="L765" t="n">
        <v>0</v>
      </c>
      <c r="M765" t="n">
        <v>0</v>
      </c>
      <c r="N765" t="n">
        <v>0</v>
      </c>
      <c r="O765" t="n">
        <v>0</v>
      </c>
      <c r="P765" t="n">
        <v>0</v>
      </c>
      <c r="Q765" t="n">
        <v>0</v>
      </c>
      <c r="R765" s="2" t="inlineStr"/>
    </row>
    <row r="766" ht="15" customHeight="1">
      <c r="A766" t="inlineStr">
        <is>
          <t>A 30882-2025</t>
        </is>
      </c>
      <c r="B766" s="1" t="n">
        <v>45832.34540509259</v>
      </c>
      <c r="C766" s="1" t="n">
        <v>45889</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30971-2025</t>
        </is>
      </c>
      <c r="B767" s="1" t="n">
        <v>45832.46146990741</v>
      </c>
      <c r="C767" s="1" t="n">
        <v>45889</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49039-2021</t>
        </is>
      </c>
      <c r="B768" s="1" t="n">
        <v>44453.56578703703</v>
      </c>
      <c r="C768" s="1" t="n">
        <v>45889</v>
      </c>
      <c r="D768" t="inlineStr">
        <is>
          <t>KALMAR LÄN</t>
        </is>
      </c>
      <c r="E768" t="inlineStr">
        <is>
          <t>VIMMERBY</t>
        </is>
      </c>
      <c r="G768" t="n">
        <v>0.6</v>
      </c>
      <c r="H768" t="n">
        <v>0</v>
      </c>
      <c r="I768" t="n">
        <v>0</v>
      </c>
      <c r="J768" t="n">
        <v>0</v>
      </c>
      <c r="K768" t="n">
        <v>0</v>
      </c>
      <c r="L768" t="n">
        <v>0</v>
      </c>
      <c r="M768" t="n">
        <v>0</v>
      </c>
      <c r="N768" t="n">
        <v>0</v>
      </c>
      <c r="O768" t="n">
        <v>0</v>
      </c>
      <c r="P768" t="n">
        <v>0</v>
      </c>
      <c r="Q768" t="n">
        <v>0</v>
      </c>
      <c r="R768" s="2" t="inlineStr"/>
    </row>
    <row r="769" ht="15" customHeight="1">
      <c r="A769" t="inlineStr">
        <is>
          <t>A 42918-2021</t>
        </is>
      </c>
      <c r="B769" s="1" t="n">
        <v>44431</v>
      </c>
      <c r="C769" s="1" t="n">
        <v>45889</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31552-2025</t>
        </is>
      </c>
      <c r="B770" s="1" t="n">
        <v>45833.64563657407</v>
      </c>
      <c r="C770" s="1" t="n">
        <v>45889</v>
      </c>
      <c r="D770" t="inlineStr">
        <is>
          <t>KALMAR LÄN</t>
        </is>
      </c>
      <c r="E770" t="inlineStr">
        <is>
          <t>VIMMERBY</t>
        </is>
      </c>
      <c r="G770" t="n">
        <v>1.7</v>
      </c>
      <c r="H770" t="n">
        <v>0</v>
      </c>
      <c r="I770" t="n">
        <v>0</v>
      </c>
      <c r="J770" t="n">
        <v>0</v>
      </c>
      <c r="K770" t="n">
        <v>0</v>
      </c>
      <c r="L770" t="n">
        <v>0</v>
      </c>
      <c r="M770" t="n">
        <v>0</v>
      </c>
      <c r="N770" t="n">
        <v>0</v>
      </c>
      <c r="O770" t="n">
        <v>0</v>
      </c>
      <c r="P770" t="n">
        <v>0</v>
      </c>
      <c r="Q770" t="n">
        <v>0</v>
      </c>
      <c r="R770" s="2" t="inlineStr"/>
    </row>
    <row r="771" ht="15" customHeight="1">
      <c r="A771" t="inlineStr">
        <is>
          <t>A 31555-2025</t>
        </is>
      </c>
      <c r="B771" s="1" t="n">
        <v>45833.64814814815</v>
      </c>
      <c r="C771" s="1" t="n">
        <v>45889</v>
      </c>
      <c r="D771" t="inlineStr">
        <is>
          <t>KALMAR LÄN</t>
        </is>
      </c>
      <c r="E771" t="inlineStr">
        <is>
          <t>VIMMERBY</t>
        </is>
      </c>
      <c r="G771" t="n">
        <v>1.8</v>
      </c>
      <c r="H771" t="n">
        <v>0</v>
      </c>
      <c r="I771" t="n">
        <v>0</v>
      </c>
      <c r="J771" t="n">
        <v>0</v>
      </c>
      <c r="K771" t="n">
        <v>0</v>
      </c>
      <c r="L771" t="n">
        <v>0</v>
      </c>
      <c r="M771" t="n">
        <v>0</v>
      </c>
      <c r="N771" t="n">
        <v>0</v>
      </c>
      <c r="O771" t="n">
        <v>0</v>
      </c>
      <c r="P771" t="n">
        <v>0</v>
      </c>
      <c r="Q771" t="n">
        <v>0</v>
      </c>
      <c r="R771" s="2" t="inlineStr"/>
    </row>
    <row r="772" ht="15" customHeight="1">
      <c r="A772" t="inlineStr">
        <is>
          <t>A 6218-2025</t>
        </is>
      </c>
      <c r="B772" s="1" t="n">
        <v>45698.53336805556</v>
      </c>
      <c r="C772" s="1" t="n">
        <v>45889</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529-2022</t>
        </is>
      </c>
      <c r="B773" s="1" t="n">
        <v>44566</v>
      </c>
      <c r="C773" s="1" t="n">
        <v>45889</v>
      </c>
      <c r="D773" t="inlineStr">
        <is>
          <t>KALMAR LÄN</t>
        </is>
      </c>
      <c r="E773" t="inlineStr">
        <is>
          <t>VIMMERBY</t>
        </is>
      </c>
      <c r="G773" t="n">
        <v>1.5</v>
      </c>
      <c r="H773" t="n">
        <v>0</v>
      </c>
      <c r="I773" t="n">
        <v>0</v>
      </c>
      <c r="J773" t="n">
        <v>0</v>
      </c>
      <c r="K773" t="n">
        <v>0</v>
      </c>
      <c r="L773" t="n">
        <v>0</v>
      </c>
      <c r="M773" t="n">
        <v>0</v>
      </c>
      <c r="N773" t="n">
        <v>0</v>
      </c>
      <c r="O773" t="n">
        <v>0</v>
      </c>
      <c r="P773" t="n">
        <v>0</v>
      </c>
      <c r="Q773" t="n">
        <v>0</v>
      </c>
      <c r="R773" s="2" t="inlineStr"/>
    </row>
    <row r="774" ht="15" customHeight="1">
      <c r="A774" t="inlineStr">
        <is>
          <t>A 40076-2021</t>
        </is>
      </c>
      <c r="B774" s="1" t="n">
        <v>44418</v>
      </c>
      <c r="C774" s="1" t="n">
        <v>45889</v>
      </c>
      <c r="D774" t="inlineStr">
        <is>
          <t>KALMAR LÄN</t>
        </is>
      </c>
      <c r="E774" t="inlineStr">
        <is>
          <t>VIMMERBY</t>
        </is>
      </c>
      <c r="G774" t="n">
        <v>2</v>
      </c>
      <c r="H774" t="n">
        <v>0</v>
      </c>
      <c r="I774" t="n">
        <v>0</v>
      </c>
      <c r="J774" t="n">
        <v>0</v>
      </c>
      <c r="K774" t="n">
        <v>0</v>
      </c>
      <c r="L774" t="n">
        <v>0</v>
      </c>
      <c r="M774" t="n">
        <v>0</v>
      </c>
      <c r="N774" t="n">
        <v>0</v>
      </c>
      <c r="O774" t="n">
        <v>0</v>
      </c>
      <c r="P774" t="n">
        <v>0</v>
      </c>
      <c r="Q774" t="n">
        <v>0</v>
      </c>
      <c r="R774" s="2" t="inlineStr"/>
    </row>
    <row r="775" ht="15" customHeight="1">
      <c r="A775" t="inlineStr">
        <is>
          <t>A 37102-2025</t>
        </is>
      </c>
      <c r="B775" s="1" t="n">
        <v>45875.47454861111</v>
      </c>
      <c r="C775" s="1" t="n">
        <v>45889</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37088-2025</t>
        </is>
      </c>
      <c r="B776" s="1" t="n">
        <v>45875.45716435185</v>
      </c>
      <c r="C776" s="1" t="n">
        <v>45889</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14855-2025</t>
        </is>
      </c>
      <c r="B777" s="1" t="n">
        <v>45743.41148148148</v>
      </c>
      <c r="C777" s="1" t="n">
        <v>45889</v>
      </c>
      <c r="D777" t="inlineStr">
        <is>
          <t>KALMAR LÄN</t>
        </is>
      </c>
      <c r="E777" t="inlineStr">
        <is>
          <t>VIMMERBY</t>
        </is>
      </c>
      <c r="G777" t="n">
        <v>1.2</v>
      </c>
      <c r="H777" t="n">
        <v>0</v>
      </c>
      <c r="I777" t="n">
        <v>0</v>
      </c>
      <c r="J777" t="n">
        <v>0</v>
      </c>
      <c r="K777" t="n">
        <v>0</v>
      </c>
      <c r="L777" t="n">
        <v>0</v>
      </c>
      <c r="M777" t="n">
        <v>0</v>
      </c>
      <c r="N777" t="n">
        <v>0</v>
      </c>
      <c r="O777" t="n">
        <v>0</v>
      </c>
      <c r="P777" t="n">
        <v>0</v>
      </c>
      <c r="Q777" t="n">
        <v>0</v>
      </c>
      <c r="R777" s="2" t="inlineStr"/>
    </row>
    <row r="778" ht="15" customHeight="1">
      <c r="A778" t="inlineStr">
        <is>
          <t>A 60951-2023</t>
        </is>
      </c>
      <c r="B778" s="1" t="n">
        <v>45261.44914351852</v>
      </c>
      <c r="C778" s="1" t="n">
        <v>45889</v>
      </c>
      <c r="D778" t="inlineStr">
        <is>
          <t>KALMAR LÄN</t>
        </is>
      </c>
      <c r="E778" t="inlineStr">
        <is>
          <t>VIMMERBY</t>
        </is>
      </c>
      <c r="G778" t="n">
        <v>4.3</v>
      </c>
      <c r="H778" t="n">
        <v>0</v>
      </c>
      <c r="I778" t="n">
        <v>0</v>
      </c>
      <c r="J778" t="n">
        <v>0</v>
      </c>
      <c r="K778" t="n">
        <v>0</v>
      </c>
      <c r="L778" t="n">
        <v>0</v>
      </c>
      <c r="M778" t="n">
        <v>0</v>
      </c>
      <c r="N778" t="n">
        <v>0</v>
      </c>
      <c r="O778" t="n">
        <v>0</v>
      </c>
      <c r="P778" t="n">
        <v>0</v>
      </c>
      <c r="Q778" t="n">
        <v>0</v>
      </c>
      <c r="R778" s="2" t="inlineStr"/>
    </row>
    <row r="779" ht="15" customHeight="1">
      <c r="A779" t="inlineStr">
        <is>
          <t>A 31870-2025</t>
        </is>
      </c>
      <c r="B779" s="1" t="n">
        <v>45834.64667824074</v>
      </c>
      <c r="C779" s="1" t="n">
        <v>45889</v>
      </c>
      <c r="D779" t="inlineStr">
        <is>
          <t>KALMAR LÄN</t>
        </is>
      </c>
      <c r="E779" t="inlineStr">
        <is>
          <t>VIMMERBY</t>
        </is>
      </c>
      <c r="F779" t="inlineStr">
        <is>
          <t>Sveaskog</t>
        </is>
      </c>
      <c r="G779" t="n">
        <v>3.5</v>
      </c>
      <c r="H779" t="n">
        <v>0</v>
      </c>
      <c r="I779" t="n">
        <v>0</v>
      </c>
      <c r="J779" t="n">
        <v>0</v>
      </c>
      <c r="K779" t="n">
        <v>0</v>
      </c>
      <c r="L779" t="n">
        <v>0</v>
      </c>
      <c r="M779" t="n">
        <v>0</v>
      </c>
      <c r="N779" t="n">
        <v>0</v>
      </c>
      <c r="O779" t="n">
        <v>0</v>
      </c>
      <c r="P779" t="n">
        <v>0</v>
      </c>
      <c r="Q779" t="n">
        <v>0</v>
      </c>
      <c r="R779" s="2" t="inlineStr"/>
    </row>
    <row r="780" ht="15" customHeight="1">
      <c r="A780" t="inlineStr">
        <is>
          <t>A 19162-2023</t>
        </is>
      </c>
      <c r="B780" s="1" t="n">
        <v>45048.59699074074</v>
      </c>
      <c r="C780" s="1" t="n">
        <v>45889</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37079-2025</t>
        </is>
      </c>
      <c r="B781" s="1" t="n">
        <v>45875.42716435185</v>
      </c>
      <c r="C781" s="1" t="n">
        <v>45889</v>
      </c>
      <c r="D781" t="inlineStr">
        <is>
          <t>KALMAR LÄN</t>
        </is>
      </c>
      <c r="E781" t="inlineStr">
        <is>
          <t>VIMMERBY</t>
        </is>
      </c>
      <c r="G781" t="n">
        <v>0.8</v>
      </c>
      <c r="H781" t="n">
        <v>0</v>
      </c>
      <c r="I781" t="n">
        <v>0</v>
      </c>
      <c r="J781" t="n">
        <v>0</v>
      </c>
      <c r="K781" t="n">
        <v>0</v>
      </c>
      <c r="L781" t="n">
        <v>0</v>
      </c>
      <c r="M781" t="n">
        <v>0</v>
      </c>
      <c r="N781" t="n">
        <v>0</v>
      </c>
      <c r="O781" t="n">
        <v>0</v>
      </c>
      <c r="P781" t="n">
        <v>0</v>
      </c>
      <c r="Q781" t="n">
        <v>0</v>
      </c>
      <c r="R781" s="2" t="inlineStr"/>
    </row>
    <row r="782" ht="15" customHeight="1">
      <c r="A782" t="inlineStr">
        <is>
          <t>A 8559-2025</t>
        </is>
      </c>
      <c r="B782" s="1" t="n">
        <v>45709.62280092593</v>
      </c>
      <c r="C782" s="1" t="n">
        <v>45889</v>
      </c>
      <c r="D782" t="inlineStr">
        <is>
          <t>KALMAR LÄN</t>
        </is>
      </c>
      <c r="E782" t="inlineStr">
        <is>
          <t>VIMMERBY</t>
        </is>
      </c>
      <c r="G782" t="n">
        <v>8.9</v>
      </c>
      <c r="H782" t="n">
        <v>0</v>
      </c>
      <c r="I782" t="n">
        <v>0</v>
      </c>
      <c r="J782" t="n">
        <v>0</v>
      </c>
      <c r="K782" t="n">
        <v>0</v>
      </c>
      <c r="L782" t="n">
        <v>0</v>
      </c>
      <c r="M782" t="n">
        <v>0</v>
      </c>
      <c r="N782" t="n">
        <v>0</v>
      </c>
      <c r="O782" t="n">
        <v>0</v>
      </c>
      <c r="P782" t="n">
        <v>0</v>
      </c>
      <c r="Q782" t="n">
        <v>0</v>
      </c>
      <c r="R782" s="2" t="inlineStr"/>
    </row>
    <row r="783" ht="15" customHeight="1">
      <c r="A783" t="inlineStr">
        <is>
          <t>A 31209-2024</t>
        </is>
      </c>
      <c r="B783" s="1" t="n">
        <v>45503.5658912037</v>
      </c>
      <c r="C783" s="1" t="n">
        <v>45889</v>
      </c>
      <c r="D783" t="inlineStr">
        <is>
          <t>KALMAR LÄN</t>
        </is>
      </c>
      <c r="E783" t="inlineStr">
        <is>
          <t>VIMMERBY</t>
        </is>
      </c>
      <c r="G783" t="n">
        <v>1.7</v>
      </c>
      <c r="H783" t="n">
        <v>0</v>
      </c>
      <c r="I783" t="n">
        <v>0</v>
      </c>
      <c r="J783" t="n">
        <v>0</v>
      </c>
      <c r="K783" t="n">
        <v>0</v>
      </c>
      <c r="L783" t="n">
        <v>0</v>
      </c>
      <c r="M783" t="n">
        <v>0</v>
      </c>
      <c r="N783" t="n">
        <v>0</v>
      </c>
      <c r="O783" t="n">
        <v>0</v>
      </c>
      <c r="P783" t="n">
        <v>0</v>
      </c>
      <c r="Q783" t="n">
        <v>0</v>
      </c>
      <c r="R783" s="2" t="inlineStr"/>
    </row>
    <row r="784" ht="15" customHeight="1">
      <c r="A784" t="inlineStr">
        <is>
          <t>A 31872-2025</t>
        </is>
      </c>
      <c r="B784" s="1" t="n">
        <v>45834.65040509259</v>
      </c>
      <c r="C784" s="1" t="n">
        <v>45889</v>
      </c>
      <c r="D784" t="inlineStr">
        <is>
          <t>KALMAR LÄN</t>
        </is>
      </c>
      <c r="E784" t="inlineStr">
        <is>
          <t>VIMMERBY</t>
        </is>
      </c>
      <c r="F784" t="inlineStr">
        <is>
          <t>Sveaskog</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31876-2025</t>
        </is>
      </c>
      <c r="B785" s="1" t="n">
        <v>45834.65197916667</v>
      </c>
      <c r="C785" s="1" t="n">
        <v>45889</v>
      </c>
      <c r="D785" t="inlineStr">
        <is>
          <t>KALMAR LÄN</t>
        </is>
      </c>
      <c r="E785" t="inlineStr">
        <is>
          <t>VIMMERBY</t>
        </is>
      </c>
      <c r="F785" t="inlineStr">
        <is>
          <t>Sveaskog</t>
        </is>
      </c>
      <c r="G785" t="n">
        <v>3.3</v>
      </c>
      <c r="H785" t="n">
        <v>0</v>
      </c>
      <c r="I785" t="n">
        <v>0</v>
      </c>
      <c r="J785" t="n">
        <v>0</v>
      </c>
      <c r="K785" t="n">
        <v>0</v>
      </c>
      <c r="L785" t="n">
        <v>0</v>
      </c>
      <c r="M785" t="n">
        <v>0</v>
      </c>
      <c r="N785" t="n">
        <v>0</v>
      </c>
      <c r="O785" t="n">
        <v>0</v>
      </c>
      <c r="P785" t="n">
        <v>0</v>
      </c>
      <c r="Q785" t="n">
        <v>0</v>
      </c>
      <c r="R785" s="2" t="inlineStr"/>
    </row>
    <row r="786" ht="15" customHeight="1">
      <c r="A786" t="inlineStr">
        <is>
          <t>A 5864-2022</t>
        </is>
      </c>
      <c r="B786" s="1" t="n">
        <v>44596</v>
      </c>
      <c r="C786" s="1" t="n">
        <v>45889</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15976-2025</t>
        </is>
      </c>
      <c r="B787" s="1" t="n">
        <v>45749.56196759259</v>
      </c>
      <c r="C787" s="1" t="n">
        <v>45889</v>
      </c>
      <c r="D787" t="inlineStr">
        <is>
          <t>KALMAR LÄN</t>
        </is>
      </c>
      <c r="E787" t="inlineStr">
        <is>
          <t>VIMMERBY</t>
        </is>
      </c>
      <c r="F787" t="inlineStr">
        <is>
          <t>Kommuner</t>
        </is>
      </c>
      <c r="G787" t="n">
        <v>2.5</v>
      </c>
      <c r="H787" t="n">
        <v>0</v>
      </c>
      <c r="I787" t="n">
        <v>0</v>
      </c>
      <c r="J787" t="n">
        <v>0</v>
      </c>
      <c r="K787" t="n">
        <v>0</v>
      </c>
      <c r="L787" t="n">
        <v>0</v>
      </c>
      <c r="M787" t="n">
        <v>0</v>
      </c>
      <c r="N787" t="n">
        <v>0</v>
      </c>
      <c r="O787" t="n">
        <v>0</v>
      </c>
      <c r="P787" t="n">
        <v>0</v>
      </c>
      <c r="Q787" t="n">
        <v>0</v>
      </c>
      <c r="R787" s="2" t="inlineStr"/>
    </row>
    <row r="788" ht="15" customHeight="1">
      <c r="A788" t="inlineStr">
        <is>
          <t>A 31551-2025</t>
        </is>
      </c>
      <c r="B788" s="1" t="n">
        <v>45833.64237268519</v>
      </c>
      <c r="C788" s="1" t="n">
        <v>45889</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31987-2025</t>
        </is>
      </c>
      <c r="B789" s="1" t="n">
        <v>45835.36229166666</v>
      </c>
      <c r="C789" s="1" t="n">
        <v>45889</v>
      </c>
      <c r="D789" t="inlineStr">
        <is>
          <t>KALMAR LÄN</t>
        </is>
      </c>
      <c r="E789" t="inlineStr">
        <is>
          <t>VIMMERBY</t>
        </is>
      </c>
      <c r="F789" t="inlineStr">
        <is>
          <t>Kyrkan</t>
        </is>
      </c>
      <c r="G789" t="n">
        <v>1.2</v>
      </c>
      <c r="H789" t="n">
        <v>0</v>
      </c>
      <c r="I789" t="n">
        <v>0</v>
      </c>
      <c r="J789" t="n">
        <v>0</v>
      </c>
      <c r="K789" t="n">
        <v>0</v>
      </c>
      <c r="L789" t="n">
        <v>0</v>
      </c>
      <c r="M789" t="n">
        <v>0</v>
      </c>
      <c r="N789" t="n">
        <v>0</v>
      </c>
      <c r="O789" t="n">
        <v>0</v>
      </c>
      <c r="P789" t="n">
        <v>0</v>
      </c>
      <c r="Q789" t="n">
        <v>0</v>
      </c>
      <c r="R789" s="2" t="inlineStr"/>
    </row>
    <row r="790" ht="15" customHeight="1">
      <c r="A790" t="inlineStr">
        <is>
          <t>A 43266-2024</t>
        </is>
      </c>
      <c r="B790" s="1" t="n">
        <v>45568.36879629629</v>
      </c>
      <c r="C790" s="1" t="n">
        <v>45889</v>
      </c>
      <c r="D790" t="inlineStr">
        <is>
          <t>KALMAR LÄN</t>
        </is>
      </c>
      <c r="E790" t="inlineStr">
        <is>
          <t>VIMMERBY</t>
        </is>
      </c>
      <c r="G790" t="n">
        <v>2.4</v>
      </c>
      <c r="H790" t="n">
        <v>0</v>
      </c>
      <c r="I790" t="n">
        <v>0</v>
      </c>
      <c r="J790" t="n">
        <v>0</v>
      </c>
      <c r="K790" t="n">
        <v>0</v>
      </c>
      <c r="L790" t="n">
        <v>0</v>
      </c>
      <c r="M790" t="n">
        <v>0</v>
      </c>
      <c r="N790" t="n">
        <v>0</v>
      </c>
      <c r="O790" t="n">
        <v>0</v>
      </c>
      <c r="P790" t="n">
        <v>0</v>
      </c>
      <c r="Q790" t="n">
        <v>0</v>
      </c>
      <c r="R790" s="2" t="inlineStr"/>
    </row>
    <row r="791" ht="15" customHeight="1">
      <c r="A791" t="inlineStr">
        <is>
          <t>A 32120-2025</t>
        </is>
      </c>
      <c r="B791" s="1" t="n">
        <v>45835.4924537037</v>
      </c>
      <c r="C791" s="1" t="n">
        <v>45889</v>
      </c>
      <c r="D791" t="inlineStr">
        <is>
          <t>KALMAR LÄN</t>
        </is>
      </c>
      <c r="E791" t="inlineStr">
        <is>
          <t>VIMMERBY</t>
        </is>
      </c>
      <c r="G791" t="n">
        <v>0.8</v>
      </c>
      <c r="H791" t="n">
        <v>0</v>
      </c>
      <c r="I791" t="n">
        <v>0</v>
      </c>
      <c r="J791" t="n">
        <v>0</v>
      </c>
      <c r="K791" t="n">
        <v>0</v>
      </c>
      <c r="L791" t="n">
        <v>0</v>
      </c>
      <c r="M791" t="n">
        <v>0</v>
      </c>
      <c r="N791" t="n">
        <v>0</v>
      </c>
      <c r="O791" t="n">
        <v>0</v>
      </c>
      <c r="P791" t="n">
        <v>0</v>
      </c>
      <c r="Q791" t="n">
        <v>0</v>
      </c>
      <c r="R791" s="2" t="inlineStr"/>
    </row>
    <row r="792" ht="15" customHeight="1">
      <c r="A792" t="inlineStr">
        <is>
          <t>A 42494-2020</t>
        </is>
      </c>
      <c r="B792" s="1" t="n">
        <v>44077</v>
      </c>
      <c r="C792" s="1" t="n">
        <v>45889</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3938-2023</t>
        </is>
      </c>
      <c r="B793" s="1" t="n">
        <v>44952.35775462963</v>
      </c>
      <c r="C793" s="1" t="n">
        <v>45889</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32116-2025</t>
        </is>
      </c>
      <c r="B794" s="1" t="n">
        <v>45835.48862268519</v>
      </c>
      <c r="C794" s="1" t="n">
        <v>45889</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37578-2025</t>
        </is>
      </c>
      <c r="B795" s="1" t="n">
        <v>45880.38380787037</v>
      </c>
      <c r="C795" s="1" t="n">
        <v>45889</v>
      </c>
      <c r="D795" t="inlineStr">
        <is>
          <t>KALMAR LÄN</t>
        </is>
      </c>
      <c r="E795" t="inlineStr">
        <is>
          <t>VIMMERBY</t>
        </is>
      </c>
      <c r="G795" t="n">
        <v>0.7</v>
      </c>
      <c r="H795" t="n">
        <v>0</v>
      </c>
      <c r="I795" t="n">
        <v>0</v>
      </c>
      <c r="J795" t="n">
        <v>0</v>
      </c>
      <c r="K795" t="n">
        <v>0</v>
      </c>
      <c r="L795" t="n">
        <v>0</v>
      </c>
      <c r="M795" t="n">
        <v>0</v>
      </c>
      <c r="N795" t="n">
        <v>0</v>
      </c>
      <c r="O795" t="n">
        <v>0</v>
      </c>
      <c r="P795" t="n">
        <v>0</v>
      </c>
      <c r="Q795" t="n">
        <v>0</v>
      </c>
      <c r="R795" s="2" t="inlineStr"/>
    </row>
    <row r="796" ht="15" customHeight="1">
      <c r="A796" t="inlineStr">
        <is>
          <t>A 26937-2023</t>
        </is>
      </c>
      <c r="B796" s="1" t="n">
        <v>45093.62777777778</v>
      </c>
      <c r="C796" s="1" t="n">
        <v>45889</v>
      </c>
      <c r="D796" t="inlineStr">
        <is>
          <t>KALMAR LÄN</t>
        </is>
      </c>
      <c r="E796" t="inlineStr">
        <is>
          <t>VIMMERBY</t>
        </is>
      </c>
      <c r="F796" t="inlineStr">
        <is>
          <t>Sveaskog</t>
        </is>
      </c>
      <c r="G796" t="n">
        <v>14.5</v>
      </c>
      <c r="H796" t="n">
        <v>0</v>
      </c>
      <c r="I796" t="n">
        <v>0</v>
      </c>
      <c r="J796" t="n">
        <v>0</v>
      </c>
      <c r="K796" t="n">
        <v>0</v>
      </c>
      <c r="L796" t="n">
        <v>0</v>
      </c>
      <c r="M796" t="n">
        <v>0</v>
      </c>
      <c r="N796" t="n">
        <v>0</v>
      </c>
      <c r="O796" t="n">
        <v>0</v>
      </c>
      <c r="P796" t="n">
        <v>0</v>
      </c>
      <c r="Q796" t="n">
        <v>0</v>
      </c>
      <c r="R796" s="2" t="inlineStr"/>
    </row>
    <row r="797" ht="15" customHeight="1">
      <c r="A797" t="inlineStr">
        <is>
          <t>A 50085-2023</t>
        </is>
      </c>
      <c r="B797" s="1" t="n">
        <v>45215.5959375</v>
      </c>
      <c r="C797" s="1" t="n">
        <v>45889</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12587-2025</t>
        </is>
      </c>
      <c r="B798" s="1" t="n">
        <v>45732.75637731481</v>
      </c>
      <c r="C798" s="1" t="n">
        <v>45889</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12588-2025</t>
        </is>
      </c>
      <c r="B799" s="1" t="n">
        <v>45732.76936342593</v>
      </c>
      <c r="C799" s="1" t="n">
        <v>45889</v>
      </c>
      <c r="D799" t="inlineStr">
        <is>
          <t>KALMAR LÄN</t>
        </is>
      </c>
      <c r="E799" t="inlineStr">
        <is>
          <t>VIMMERBY</t>
        </is>
      </c>
      <c r="G799" t="n">
        <v>1.6</v>
      </c>
      <c r="H799" t="n">
        <v>0</v>
      </c>
      <c r="I799" t="n">
        <v>0</v>
      </c>
      <c r="J799" t="n">
        <v>0</v>
      </c>
      <c r="K799" t="n">
        <v>0</v>
      </c>
      <c r="L799" t="n">
        <v>0</v>
      </c>
      <c r="M799" t="n">
        <v>0</v>
      </c>
      <c r="N799" t="n">
        <v>0</v>
      </c>
      <c r="O799" t="n">
        <v>0</v>
      </c>
      <c r="P799" t="n">
        <v>0</v>
      </c>
      <c r="Q799" t="n">
        <v>0</v>
      </c>
      <c r="R799" s="2" t="inlineStr"/>
    </row>
    <row r="800" ht="15" customHeight="1">
      <c r="A800" t="inlineStr">
        <is>
          <t>A 25979-2023</t>
        </is>
      </c>
      <c r="B800" s="1" t="n">
        <v>45090.89653935185</v>
      </c>
      <c r="C800" s="1" t="n">
        <v>45889</v>
      </c>
      <c r="D800" t="inlineStr">
        <is>
          <t>KALMAR LÄN</t>
        </is>
      </c>
      <c r="E800" t="inlineStr">
        <is>
          <t>VIMMERBY</t>
        </is>
      </c>
      <c r="G800" t="n">
        <v>2</v>
      </c>
      <c r="H800" t="n">
        <v>0</v>
      </c>
      <c r="I800" t="n">
        <v>0</v>
      </c>
      <c r="J800" t="n">
        <v>0</v>
      </c>
      <c r="K800" t="n">
        <v>0</v>
      </c>
      <c r="L800" t="n">
        <v>0</v>
      </c>
      <c r="M800" t="n">
        <v>0</v>
      </c>
      <c r="N800" t="n">
        <v>0</v>
      </c>
      <c r="O800" t="n">
        <v>0</v>
      </c>
      <c r="P800" t="n">
        <v>0</v>
      </c>
      <c r="Q800" t="n">
        <v>0</v>
      </c>
      <c r="R800" s="2" t="inlineStr"/>
    </row>
    <row r="801" ht="15" customHeight="1">
      <c r="A801" t="inlineStr">
        <is>
          <t>A 25980-2023</t>
        </is>
      </c>
      <c r="B801" s="1" t="n">
        <v>45090.89880787037</v>
      </c>
      <c r="C801" s="1" t="n">
        <v>45889</v>
      </c>
      <c r="D801" t="inlineStr">
        <is>
          <t>KALMAR LÄN</t>
        </is>
      </c>
      <c r="E801" t="inlineStr">
        <is>
          <t>VIMMERBY</t>
        </is>
      </c>
      <c r="G801" t="n">
        <v>0.7</v>
      </c>
      <c r="H801" t="n">
        <v>0</v>
      </c>
      <c r="I801" t="n">
        <v>0</v>
      </c>
      <c r="J801" t="n">
        <v>0</v>
      </c>
      <c r="K801" t="n">
        <v>0</v>
      </c>
      <c r="L801" t="n">
        <v>0</v>
      </c>
      <c r="M801" t="n">
        <v>0</v>
      </c>
      <c r="N801" t="n">
        <v>0</v>
      </c>
      <c r="O801" t="n">
        <v>0</v>
      </c>
      <c r="P801" t="n">
        <v>0</v>
      </c>
      <c r="Q801" t="n">
        <v>0</v>
      </c>
      <c r="R801" s="2" t="inlineStr"/>
    </row>
    <row r="802" ht="15" customHeight="1">
      <c r="A802" t="inlineStr">
        <is>
          <t>A 11219-2023</t>
        </is>
      </c>
      <c r="B802" s="1" t="n">
        <v>44992.62498842592</v>
      </c>
      <c r="C802" s="1" t="n">
        <v>45889</v>
      </c>
      <c r="D802" t="inlineStr">
        <is>
          <t>KALMAR LÄN</t>
        </is>
      </c>
      <c r="E802" t="inlineStr">
        <is>
          <t>VIMMERBY</t>
        </is>
      </c>
      <c r="G802" t="n">
        <v>2.5</v>
      </c>
      <c r="H802" t="n">
        <v>0</v>
      </c>
      <c r="I802" t="n">
        <v>0</v>
      </c>
      <c r="J802" t="n">
        <v>0</v>
      </c>
      <c r="K802" t="n">
        <v>0</v>
      </c>
      <c r="L802" t="n">
        <v>0</v>
      </c>
      <c r="M802" t="n">
        <v>0</v>
      </c>
      <c r="N802" t="n">
        <v>0</v>
      </c>
      <c r="O802" t="n">
        <v>0</v>
      </c>
      <c r="P802" t="n">
        <v>0</v>
      </c>
      <c r="Q802" t="n">
        <v>0</v>
      </c>
      <c r="R802" s="2" t="inlineStr"/>
    </row>
    <row r="803" ht="15" customHeight="1">
      <c r="A803" t="inlineStr">
        <is>
          <t>A 37667-2025</t>
        </is>
      </c>
      <c r="B803" s="1" t="n">
        <v>45880.51413194444</v>
      </c>
      <c r="C803" s="1" t="n">
        <v>45889</v>
      </c>
      <c r="D803" t="inlineStr">
        <is>
          <t>KALMAR LÄN</t>
        </is>
      </c>
      <c r="E803" t="inlineStr">
        <is>
          <t>VIMMERBY</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37668-2025</t>
        </is>
      </c>
      <c r="B804" s="1" t="n">
        <v>45880.51550925926</v>
      </c>
      <c r="C804" s="1" t="n">
        <v>45889</v>
      </c>
      <c r="D804" t="inlineStr">
        <is>
          <t>KALMAR LÄN</t>
        </is>
      </c>
      <c r="E804" t="inlineStr">
        <is>
          <t>VIMMERBY</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32380-2025</t>
        </is>
      </c>
      <c r="B805" s="1" t="n">
        <v>45837.77701388889</v>
      </c>
      <c r="C805" s="1" t="n">
        <v>45889</v>
      </c>
      <c r="D805" t="inlineStr">
        <is>
          <t>KALMAR LÄN</t>
        </is>
      </c>
      <c r="E805" t="inlineStr">
        <is>
          <t>VIMMERBY</t>
        </is>
      </c>
      <c r="G805" t="n">
        <v>3.1</v>
      </c>
      <c r="H805" t="n">
        <v>0</v>
      </c>
      <c r="I805" t="n">
        <v>0</v>
      </c>
      <c r="J805" t="n">
        <v>0</v>
      </c>
      <c r="K805" t="n">
        <v>0</v>
      </c>
      <c r="L805" t="n">
        <v>0</v>
      </c>
      <c r="M805" t="n">
        <v>0</v>
      </c>
      <c r="N805" t="n">
        <v>0</v>
      </c>
      <c r="O805" t="n">
        <v>0</v>
      </c>
      <c r="P805" t="n">
        <v>0</v>
      </c>
      <c r="Q805" t="n">
        <v>0</v>
      </c>
      <c r="R805" s="2" t="inlineStr"/>
    </row>
    <row r="806" ht="15" customHeight="1">
      <c r="A806" t="inlineStr">
        <is>
          <t>A 32109-2025</t>
        </is>
      </c>
      <c r="B806" s="1" t="n">
        <v>45835.48267361111</v>
      </c>
      <c r="C806" s="1" t="n">
        <v>45889</v>
      </c>
      <c r="D806" t="inlineStr">
        <is>
          <t>KALMAR LÄN</t>
        </is>
      </c>
      <c r="E806" t="inlineStr">
        <is>
          <t>VIMMERBY</t>
        </is>
      </c>
      <c r="G806" t="n">
        <v>2.5</v>
      </c>
      <c r="H806" t="n">
        <v>0</v>
      </c>
      <c r="I806" t="n">
        <v>0</v>
      </c>
      <c r="J806" t="n">
        <v>0</v>
      </c>
      <c r="K806" t="n">
        <v>0</v>
      </c>
      <c r="L806" t="n">
        <v>0</v>
      </c>
      <c r="M806" t="n">
        <v>0</v>
      </c>
      <c r="N806" t="n">
        <v>0</v>
      </c>
      <c r="O806" t="n">
        <v>0</v>
      </c>
      <c r="P806" t="n">
        <v>0</v>
      </c>
      <c r="Q806" t="n">
        <v>0</v>
      </c>
      <c r="R806" s="2" t="inlineStr"/>
    </row>
    <row r="807" ht="15" customHeight="1">
      <c r="A807" t="inlineStr">
        <is>
          <t>A 32113-2025</t>
        </is>
      </c>
      <c r="B807" s="1" t="n">
        <v>45835.48445601852</v>
      </c>
      <c r="C807" s="1" t="n">
        <v>45889</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32077-2025</t>
        </is>
      </c>
      <c r="B808" s="1" t="n">
        <v>45835.45099537037</v>
      </c>
      <c r="C808" s="1" t="n">
        <v>45889</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6850-2023</t>
        </is>
      </c>
      <c r="B809" s="1" t="n">
        <v>44967.44255787037</v>
      </c>
      <c r="C809" s="1" t="n">
        <v>45889</v>
      </c>
      <c r="D809" t="inlineStr">
        <is>
          <t>KALMAR LÄN</t>
        </is>
      </c>
      <c r="E809" t="inlineStr">
        <is>
          <t>VIMMERBY</t>
        </is>
      </c>
      <c r="G809" t="n">
        <v>0.6</v>
      </c>
      <c r="H809" t="n">
        <v>0</v>
      </c>
      <c r="I809" t="n">
        <v>0</v>
      </c>
      <c r="J809" t="n">
        <v>0</v>
      </c>
      <c r="K809" t="n">
        <v>0</v>
      </c>
      <c r="L809" t="n">
        <v>0</v>
      </c>
      <c r="M809" t="n">
        <v>0</v>
      </c>
      <c r="N809" t="n">
        <v>0</v>
      </c>
      <c r="O809" t="n">
        <v>0</v>
      </c>
      <c r="P809" t="n">
        <v>0</v>
      </c>
      <c r="Q809" t="n">
        <v>0</v>
      </c>
      <c r="R809" s="2" t="inlineStr"/>
    </row>
    <row r="810" ht="15" customHeight="1">
      <c r="A810" t="inlineStr">
        <is>
          <t>A 32382-2025</t>
        </is>
      </c>
      <c r="B810" s="1" t="n">
        <v>45837.77916666667</v>
      </c>
      <c r="C810" s="1" t="n">
        <v>45889</v>
      </c>
      <c r="D810" t="inlineStr">
        <is>
          <t>KALMAR LÄN</t>
        </is>
      </c>
      <c r="E810" t="inlineStr">
        <is>
          <t>VIMMERBY</t>
        </is>
      </c>
      <c r="G810" t="n">
        <v>4.6</v>
      </c>
      <c r="H810" t="n">
        <v>0</v>
      </c>
      <c r="I810" t="n">
        <v>0</v>
      </c>
      <c r="J810" t="n">
        <v>0</v>
      </c>
      <c r="K810" t="n">
        <v>0</v>
      </c>
      <c r="L810" t="n">
        <v>0</v>
      </c>
      <c r="M810" t="n">
        <v>0</v>
      </c>
      <c r="N810" t="n">
        <v>0</v>
      </c>
      <c r="O810" t="n">
        <v>0</v>
      </c>
      <c r="P810" t="n">
        <v>0</v>
      </c>
      <c r="Q810" t="n">
        <v>0</v>
      </c>
      <c r="R810" s="2" t="inlineStr"/>
    </row>
    <row r="811" ht="15" customHeight="1">
      <c r="A811" t="inlineStr">
        <is>
          <t>A 6358-2022</t>
        </is>
      </c>
      <c r="B811" s="1" t="n">
        <v>44600</v>
      </c>
      <c r="C811" s="1" t="n">
        <v>45889</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43853-2023</t>
        </is>
      </c>
      <c r="B812" s="1" t="n">
        <v>45187.60813657408</v>
      </c>
      <c r="C812" s="1" t="n">
        <v>45889</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7075-2021</t>
        </is>
      </c>
      <c r="B813" s="1" t="n">
        <v>44237</v>
      </c>
      <c r="C813" s="1" t="n">
        <v>45889</v>
      </c>
      <c r="D813" t="inlineStr">
        <is>
          <t>KALMAR LÄN</t>
        </is>
      </c>
      <c r="E813" t="inlineStr">
        <is>
          <t>VIMMERBY</t>
        </is>
      </c>
      <c r="G813" t="n">
        <v>3.6</v>
      </c>
      <c r="H813" t="n">
        <v>0</v>
      </c>
      <c r="I813" t="n">
        <v>0</v>
      </c>
      <c r="J813" t="n">
        <v>0</v>
      </c>
      <c r="K813" t="n">
        <v>0</v>
      </c>
      <c r="L813" t="n">
        <v>0</v>
      </c>
      <c r="M813" t="n">
        <v>0</v>
      </c>
      <c r="N813" t="n">
        <v>0</v>
      </c>
      <c r="O813" t="n">
        <v>0</v>
      </c>
      <c r="P813" t="n">
        <v>0</v>
      </c>
      <c r="Q813" t="n">
        <v>0</v>
      </c>
      <c r="R813" s="2" t="inlineStr"/>
    </row>
    <row r="814" ht="15" customHeight="1">
      <c r="A814" t="inlineStr">
        <is>
          <t>A 32064-2025</t>
        </is>
      </c>
      <c r="B814" s="1" t="n">
        <v>45835.44709490741</v>
      </c>
      <c r="C814" s="1" t="n">
        <v>45889</v>
      </c>
      <c r="D814" t="inlineStr">
        <is>
          <t>KALMAR LÄN</t>
        </is>
      </c>
      <c r="E814" t="inlineStr">
        <is>
          <t>VIMMERBY</t>
        </is>
      </c>
      <c r="G814" t="n">
        <v>2.6</v>
      </c>
      <c r="H814" t="n">
        <v>0</v>
      </c>
      <c r="I814" t="n">
        <v>0</v>
      </c>
      <c r="J814" t="n">
        <v>0</v>
      </c>
      <c r="K814" t="n">
        <v>0</v>
      </c>
      <c r="L814" t="n">
        <v>0</v>
      </c>
      <c r="M814" t="n">
        <v>0</v>
      </c>
      <c r="N814" t="n">
        <v>0</v>
      </c>
      <c r="O814" t="n">
        <v>0</v>
      </c>
      <c r="P814" t="n">
        <v>0</v>
      </c>
      <c r="Q814" t="n">
        <v>0</v>
      </c>
      <c r="R814" s="2" t="inlineStr"/>
    </row>
    <row r="815" ht="15" customHeight="1">
      <c r="A815" t="inlineStr">
        <is>
          <t>A 32065-2025</t>
        </is>
      </c>
      <c r="B815" s="1" t="n">
        <v>45835.44732638889</v>
      </c>
      <c r="C815" s="1" t="n">
        <v>45889</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48673-2021</t>
        </is>
      </c>
      <c r="B816" s="1" t="n">
        <v>44452</v>
      </c>
      <c r="C816" s="1" t="n">
        <v>45889</v>
      </c>
      <c r="D816" t="inlineStr">
        <is>
          <t>KALMAR LÄN</t>
        </is>
      </c>
      <c r="E816" t="inlineStr">
        <is>
          <t>VIMMERBY</t>
        </is>
      </c>
      <c r="G816" t="n">
        <v>1.3</v>
      </c>
      <c r="H816" t="n">
        <v>0</v>
      </c>
      <c r="I816" t="n">
        <v>0</v>
      </c>
      <c r="J816" t="n">
        <v>0</v>
      </c>
      <c r="K816" t="n">
        <v>0</v>
      </c>
      <c r="L816" t="n">
        <v>0</v>
      </c>
      <c r="M816" t="n">
        <v>0</v>
      </c>
      <c r="N816" t="n">
        <v>0</v>
      </c>
      <c r="O816" t="n">
        <v>0</v>
      </c>
      <c r="P816" t="n">
        <v>0</v>
      </c>
      <c r="Q816" t="n">
        <v>0</v>
      </c>
      <c r="R816" s="2" t="inlineStr"/>
    </row>
    <row r="817" ht="15" customHeight="1">
      <c r="A817" t="inlineStr">
        <is>
          <t>A 14137-2023</t>
        </is>
      </c>
      <c r="B817" s="1" t="n">
        <v>45009.4671875</v>
      </c>
      <c r="C817" s="1" t="n">
        <v>45889</v>
      </c>
      <c r="D817" t="inlineStr">
        <is>
          <t>KALMAR LÄN</t>
        </is>
      </c>
      <c r="E817" t="inlineStr">
        <is>
          <t>VIMMERBY</t>
        </is>
      </c>
      <c r="G817" t="n">
        <v>1.3</v>
      </c>
      <c r="H817" t="n">
        <v>0</v>
      </c>
      <c r="I817" t="n">
        <v>0</v>
      </c>
      <c r="J817" t="n">
        <v>0</v>
      </c>
      <c r="K817" t="n">
        <v>0</v>
      </c>
      <c r="L817" t="n">
        <v>0</v>
      </c>
      <c r="M817" t="n">
        <v>0</v>
      </c>
      <c r="N817" t="n">
        <v>0</v>
      </c>
      <c r="O817" t="n">
        <v>0</v>
      </c>
      <c r="P817" t="n">
        <v>0</v>
      </c>
      <c r="Q817" t="n">
        <v>0</v>
      </c>
      <c r="R817" s="2" t="inlineStr"/>
    </row>
    <row r="818" ht="15" customHeight="1">
      <c r="A818" t="inlineStr">
        <is>
          <t>A 7630-2025</t>
        </is>
      </c>
      <c r="B818" s="1" t="n">
        <v>45705.74418981482</v>
      </c>
      <c r="C818" s="1" t="n">
        <v>45889</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37866-2025</t>
        </is>
      </c>
      <c r="B819" s="1" t="n">
        <v>45881</v>
      </c>
      <c r="C819" s="1" t="n">
        <v>45889</v>
      </c>
      <c r="D819" t="inlineStr">
        <is>
          <t>KALMAR LÄN</t>
        </is>
      </c>
      <c r="E819" t="inlineStr">
        <is>
          <t>VIMMERBY</t>
        </is>
      </c>
      <c r="G819" t="n">
        <v>3.4</v>
      </c>
      <c r="H819" t="n">
        <v>0</v>
      </c>
      <c r="I819" t="n">
        <v>0</v>
      </c>
      <c r="J819" t="n">
        <v>0</v>
      </c>
      <c r="K819" t="n">
        <v>0</v>
      </c>
      <c r="L819" t="n">
        <v>0</v>
      </c>
      <c r="M819" t="n">
        <v>0</v>
      </c>
      <c r="N819" t="n">
        <v>0</v>
      </c>
      <c r="O819" t="n">
        <v>0</v>
      </c>
      <c r="P819" t="n">
        <v>0</v>
      </c>
      <c r="Q819" t="n">
        <v>0</v>
      </c>
      <c r="R819" s="2" t="inlineStr"/>
    </row>
    <row r="820" ht="15" customHeight="1">
      <c r="A820" t="inlineStr">
        <is>
          <t>A 33186-2025</t>
        </is>
      </c>
      <c r="B820" s="1" t="n">
        <v>45840.59474537037</v>
      </c>
      <c r="C820" s="1" t="n">
        <v>45889</v>
      </c>
      <c r="D820" t="inlineStr">
        <is>
          <t>KALMAR LÄN</t>
        </is>
      </c>
      <c r="E820" t="inlineStr">
        <is>
          <t>VIMMERBY</t>
        </is>
      </c>
      <c r="G820" t="n">
        <v>2.6</v>
      </c>
      <c r="H820" t="n">
        <v>0</v>
      </c>
      <c r="I820" t="n">
        <v>0</v>
      </c>
      <c r="J820" t="n">
        <v>0</v>
      </c>
      <c r="K820" t="n">
        <v>0</v>
      </c>
      <c r="L820" t="n">
        <v>0</v>
      </c>
      <c r="M820" t="n">
        <v>0</v>
      </c>
      <c r="N820" t="n">
        <v>0</v>
      </c>
      <c r="O820" t="n">
        <v>0</v>
      </c>
      <c r="P820" t="n">
        <v>0</v>
      </c>
      <c r="Q820" t="n">
        <v>0</v>
      </c>
      <c r="R820" s="2" t="inlineStr"/>
    </row>
    <row r="821" ht="15" customHeight="1">
      <c r="A821" t="inlineStr">
        <is>
          <t>A 33188-2025</t>
        </is>
      </c>
      <c r="B821" s="1" t="n">
        <v>45840.59853009259</v>
      </c>
      <c r="C821" s="1" t="n">
        <v>45889</v>
      </c>
      <c r="D821" t="inlineStr">
        <is>
          <t>KALMAR LÄN</t>
        </is>
      </c>
      <c r="E821" t="inlineStr">
        <is>
          <t>VIMMERBY</t>
        </is>
      </c>
      <c r="G821" t="n">
        <v>1.3</v>
      </c>
      <c r="H821" t="n">
        <v>0</v>
      </c>
      <c r="I821" t="n">
        <v>0</v>
      </c>
      <c r="J821" t="n">
        <v>0</v>
      </c>
      <c r="K821" t="n">
        <v>0</v>
      </c>
      <c r="L821" t="n">
        <v>0</v>
      </c>
      <c r="M821" t="n">
        <v>0</v>
      </c>
      <c r="N821" t="n">
        <v>0</v>
      </c>
      <c r="O821" t="n">
        <v>0</v>
      </c>
      <c r="P821" t="n">
        <v>0</v>
      </c>
      <c r="Q821" t="n">
        <v>0</v>
      </c>
      <c r="R821" s="2" t="inlineStr"/>
    </row>
    <row r="822" ht="15" customHeight="1">
      <c r="A822" t="inlineStr">
        <is>
          <t>A 38780-2021</t>
        </is>
      </c>
      <c r="B822" s="1" t="n">
        <v>44410</v>
      </c>
      <c r="C822" s="1" t="n">
        <v>45889</v>
      </c>
      <c r="D822" t="inlineStr">
        <is>
          <t>KALMAR LÄN</t>
        </is>
      </c>
      <c r="E822" t="inlineStr">
        <is>
          <t>VIMMERBY</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30503-2023</t>
        </is>
      </c>
      <c r="B823" s="1" t="n">
        <v>45111</v>
      </c>
      <c r="C823" s="1" t="n">
        <v>45889</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60110-2022</t>
        </is>
      </c>
      <c r="B824" s="1" t="n">
        <v>44909</v>
      </c>
      <c r="C824" s="1" t="n">
        <v>45889</v>
      </c>
      <c r="D824" t="inlineStr">
        <is>
          <t>KALMAR LÄN</t>
        </is>
      </c>
      <c r="E824" t="inlineStr">
        <is>
          <t>VIMMERBY</t>
        </is>
      </c>
      <c r="G824" t="n">
        <v>1.7</v>
      </c>
      <c r="H824" t="n">
        <v>0</v>
      </c>
      <c r="I824" t="n">
        <v>0</v>
      </c>
      <c r="J824" t="n">
        <v>0</v>
      </c>
      <c r="K824" t="n">
        <v>0</v>
      </c>
      <c r="L824" t="n">
        <v>0</v>
      </c>
      <c r="M824" t="n">
        <v>0</v>
      </c>
      <c r="N824" t="n">
        <v>0</v>
      </c>
      <c r="O824" t="n">
        <v>0</v>
      </c>
      <c r="P824" t="n">
        <v>0</v>
      </c>
      <c r="Q824" t="n">
        <v>0</v>
      </c>
      <c r="R824" s="2" t="inlineStr"/>
    </row>
    <row r="825" ht="15" customHeight="1">
      <c r="A825" t="inlineStr">
        <is>
          <t>A 30977-2025</t>
        </is>
      </c>
      <c r="B825" s="1" t="n">
        <v>45832.46649305556</v>
      </c>
      <c r="C825" s="1" t="n">
        <v>45889</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59300-2024</t>
        </is>
      </c>
      <c r="B826" s="1" t="n">
        <v>45637.66542824074</v>
      </c>
      <c r="C826" s="1" t="n">
        <v>45889</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37939-2025</t>
        </is>
      </c>
      <c r="B827" s="1" t="n">
        <v>45881.59877314815</v>
      </c>
      <c r="C827" s="1" t="n">
        <v>45889</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38604-2025</t>
        </is>
      </c>
      <c r="B828" s="1" t="n">
        <v>45884.50613425926</v>
      </c>
      <c r="C828" s="1" t="n">
        <v>45889</v>
      </c>
      <c r="D828" t="inlineStr">
        <is>
          <t>KALMAR LÄN</t>
        </is>
      </c>
      <c r="E828" t="inlineStr">
        <is>
          <t>VIMMERBY</t>
        </is>
      </c>
      <c r="F828" t="inlineStr">
        <is>
          <t>Sveaskog</t>
        </is>
      </c>
      <c r="G828" t="n">
        <v>1.1</v>
      </c>
      <c r="H828" t="n">
        <v>0</v>
      </c>
      <c r="I828" t="n">
        <v>0</v>
      </c>
      <c r="J828" t="n">
        <v>0</v>
      </c>
      <c r="K828" t="n">
        <v>0</v>
      </c>
      <c r="L828" t="n">
        <v>0</v>
      </c>
      <c r="M828" t="n">
        <v>0</v>
      </c>
      <c r="N828" t="n">
        <v>0</v>
      </c>
      <c r="O828" t="n">
        <v>0</v>
      </c>
      <c r="P828" t="n">
        <v>0</v>
      </c>
      <c r="Q828" t="n">
        <v>0</v>
      </c>
      <c r="R828" s="2" t="inlineStr"/>
    </row>
    <row r="829" ht="15" customHeight="1">
      <c r="A829" t="inlineStr">
        <is>
          <t>A 19445-2021</t>
        </is>
      </c>
      <c r="B829" s="1" t="n">
        <v>44310</v>
      </c>
      <c r="C829" s="1" t="n">
        <v>45889</v>
      </c>
      <c r="D829" t="inlineStr">
        <is>
          <t>KALMAR LÄN</t>
        </is>
      </c>
      <c r="E829" t="inlineStr">
        <is>
          <t>VIMMERBY</t>
        </is>
      </c>
      <c r="G829" t="n">
        <v>6.8</v>
      </c>
      <c r="H829" t="n">
        <v>0</v>
      </c>
      <c r="I829" t="n">
        <v>0</v>
      </c>
      <c r="J829" t="n">
        <v>0</v>
      </c>
      <c r="K829" t="n">
        <v>0</v>
      </c>
      <c r="L829" t="n">
        <v>0</v>
      </c>
      <c r="M829" t="n">
        <v>0</v>
      </c>
      <c r="N829" t="n">
        <v>0</v>
      </c>
      <c r="O829" t="n">
        <v>0</v>
      </c>
      <c r="P829" t="n">
        <v>0</v>
      </c>
      <c r="Q829" t="n">
        <v>0</v>
      </c>
      <c r="R829" s="2" t="inlineStr"/>
    </row>
    <row r="830" ht="15" customHeight="1">
      <c r="A830" t="inlineStr">
        <is>
          <t>A 33695-2025</t>
        </is>
      </c>
      <c r="B830" s="1" t="n">
        <v>45841.70569444444</v>
      </c>
      <c r="C830" s="1" t="n">
        <v>45889</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33698-2025</t>
        </is>
      </c>
      <c r="B831" s="1" t="n">
        <v>45841.70868055556</v>
      </c>
      <c r="C831" s="1" t="n">
        <v>45889</v>
      </c>
      <c r="D831" t="inlineStr">
        <is>
          <t>KALMAR LÄN</t>
        </is>
      </c>
      <c r="E831" t="inlineStr">
        <is>
          <t>VIMMERBY</t>
        </is>
      </c>
      <c r="G831" t="n">
        <v>3.7</v>
      </c>
      <c r="H831" t="n">
        <v>0</v>
      </c>
      <c r="I831" t="n">
        <v>0</v>
      </c>
      <c r="J831" t="n">
        <v>0</v>
      </c>
      <c r="K831" t="n">
        <v>0</v>
      </c>
      <c r="L831" t="n">
        <v>0</v>
      </c>
      <c r="M831" t="n">
        <v>0</v>
      </c>
      <c r="N831" t="n">
        <v>0</v>
      </c>
      <c r="O831" t="n">
        <v>0</v>
      </c>
      <c r="P831" t="n">
        <v>0</v>
      </c>
      <c r="Q831" t="n">
        <v>0</v>
      </c>
      <c r="R831" s="2" t="inlineStr"/>
    </row>
    <row r="832" ht="15" customHeight="1">
      <c r="A832" t="inlineStr">
        <is>
          <t>A 18329-2023</t>
        </is>
      </c>
      <c r="B832" s="1" t="n">
        <v>45041.63380787037</v>
      </c>
      <c r="C832" s="1" t="n">
        <v>45889</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5720-2023</t>
        </is>
      </c>
      <c r="B833" s="1" t="n">
        <v>44961</v>
      </c>
      <c r="C833" s="1" t="n">
        <v>45889</v>
      </c>
      <c r="D833" t="inlineStr">
        <is>
          <t>KALMAR LÄN</t>
        </is>
      </c>
      <c r="E833" t="inlineStr">
        <is>
          <t>VIMMERBY</t>
        </is>
      </c>
      <c r="G833" t="n">
        <v>1.4</v>
      </c>
      <c r="H833" t="n">
        <v>0</v>
      </c>
      <c r="I833" t="n">
        <v>0</v>
      </c>
      <c r="J833" t="n">
        <v>0</v>
      </c>
      <c r="K833" t="n">
        <v>0</v>
      </c>
      <c r="L833" t="n">
        <v>0</v>
      </c>
      <c r="M833" t="n">
        <v>0</v>
      </c>
      <c r="N833" t="n">
        <v>0</v>
      </c>
      <c r="O833" t="n">
        <v>0</v>
      </c>
      <c r="P833" t="n">
        <v>0</v>
      </c>
      <c r="Q833" t="n">
        <v>0</v>
      </c>
      <c r="R833" s="2" t="inlineStr"/>
    </row>
    <row r="834" ht="15" customHeight="1">
      <c r="A834" t="inlineStr">
        <is>
          <t>A 61538-2022</t>
        </is>
      </c>
      <c r="B834" s="1" t="n">
        <v>44916.55414351852</v>
      </c>
      <c r="C834" s="1" t="n">
        <v>45889</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33696-2025</t>
        </is>
      </c>
      <c r="B835" s="1" t="n">
        <v>45841.7072337963</v>
      </c>
      <c r="C835" s="1" t="n">
        <v>45889</v>
      </c>
      <c r="D835" t="inlineStr">
        <is>
          <t>KALMAR LÄN</t>
        </is>
      </c>
      <c r="E835" t="inlineStr">
        <is>
          <t>VIMMERBY</t>
        </is>
      </c>
      <c r="G835" t="n">
        <v>1.1</v>
      </c>
      <c r="H835" t="n">
        <v>0</v>
      </c>
      <c r="I835" t="n">
        <v>0</v>
      </c>
      <c r="J835" t="n">
        <v>0</v>
      </c>
      <c r="K835" t="n">
        <v>0</v>
      </c>
      <c r="L835" t="n">
        <v>0</v>
      </c>
      <c r="M835" t="n">
        <v>0</v>
      </c>
      <c r="N835" t="n">
        <v>0</v>
      </c>
      <c r="O835" t="n">
        <v>0</v>
      </c>
      <c r="P835" t="n">
        <v>0</v>
      </c>
      <c r="Q835" t="n">
        <v>0</v>
      </c>
      <c r="R835" s="2" t="inlineStr"/>
    </row>
    <row r="836" ht="15" customHeight="1">
      <c r="A836" t="inlineStr">
        <is>
          <t>A 694-2024</t>
        </is>
      </c>
      <c r="B836" s="1" t="n">
        <v>45300.3794212963</v>
      </c>
      <c r="C836" s="1" t="n">
        <v>45889</v>
      </c>
      <c r="D836" t="inlineStr">
        <is>
          <t>KALMAR LÄN</t>
        </is>
      </c>
      <c r="E836" t="inlineStr">
        <is>
          <t>VIMMERBY</t>
        </is>
      </c>
      <c r="G836" t="n">
        <v>1.4</v>
      </c>
      <c r="H836" t="n">
        <v>0</v>
      </c>
      <c r="I836" t="n">
        <v>0</v>
      </c>
      <c r="J836" t="n">
        <v>0</v>
      </c>
      <c r="K836" t="n">
        <v>0</v>
      </c>
      <c r="L836" t="n">
        <v>0</v>
      </c>
      <c r="M836" t="n">
        <v>0</v>
      </c>
      <c r="N836" t="n">
        <v>0</v>
      </c>
      <c r="O836" t="n">
        <v>0</v>
      </c>
      <c r="P836" t="n">
        <v>0</v>
      </c>
      <c r="Q836" t="n">
        <v>0</v>
      </c>
      <c r="R836" s="2" t="inlineStr"/>
    </row>
    <row r="837" ht="15" customHeight="1">
      <c r="A837" t="inlineStr">
        <is>
          <t>A 57114-2023</t>
        </is>
      </c>
      <c r="B837" s="1" t="n">
        <v>45245.36174768519</v>
      </c>
      <c r="C837" s="1" t="n">
        <v>45889</v>
      </c>
      <c r="D837" t="inlineStr">
        <is>
          <t>KALMAR LÄN</t>
        </is>
      </c>
      <c r="E837" t="inlineStr">
        <is>
          <t>VIMMERBY</t>
        </is>
      </c>
      <c r="G837" t="n">
        <v>1.5</v>
      </c>
      <c r="H837" t="n">
        <v>0</v>
      </c>
      <c r="I837" t="n">
        <v>0</v>
      </c>
      <c r="J837" t="n">
        <v>0</v>
      </c>
      <c r="K837" t="n">
        <v>0</v>
      </c>
      <c r="L837" t="n">
        <v>0</v>
      </c>
      <c r="M837" t="n">
        <v>0</v>
      </c>
      <c r="N837" t="n">
        <v>0</v>
      </c>
      <c r="O837" t="n">
        <v>0</v>
      </c>
      <c r="P837" t="n">
        <v>0</v>
      </c>
      <c r="Q837" t="n">
        <v>0</v>
      </c>
      <c r="R837" s="2" t="inlineStr"/>
    </row>
    <row r="838" ht="15" customHeight="1">
      <c r="A838" t="inlineStr">
        <is>
          <t>A 38602-2025</t>
        </is>
      </c>
      <c r="B838" s="1" t="n">
        <v>45884.50331018519</v>
      </c>
      <c r="C838" s="1" t="n">
        <v>45889</v>
      </c>
      <c r="D838" t="inlineStr">
        <is>
          <t>KALMAR LÄN</t>
        </is>
      </c>
      <c r="E838" t="inlineStr">
        <is>
          <t>VIMMERBY</t>
        </is>
      </c>
      <c r="F838" t="inlineStr">
        <is>
          <t>Sveaskog</t>
        </is>
      </c>
      <c r="G838" t="n">
        <v>4.9</v>
      </c>
      <c r="H838" t="n">
        <v>0</v>
      </c>
      <c r="I838" t="n">
        <v>0</v>
      </c>
      <c r="J838" t="n">
        <v>0</v>
      </c>
      <c r="K838" t="n">
        <v>0</v>
      </c>
      <c r="L838" t="n">
        <v>0</v>
      </c>
      <c r="M838" t="n">
        <v>0</v>
      </c>
      <c r="N838" t="n">
        <v>0</v>
      </c>
      <c r="O838" t="n">
        <v>0</v>
      </c>
      <c r="P838" t="n">
        <v>0</v>
      </c>
      <c r="Q838" t="n">
        <v>0</v>
      </c>
      <c r="R838" s="2" t="inlineStr"/>
    </row>
    <row r="839" ht="15" customHeight="1">
      <c r="A839" t="inlineStr">
        <is>
          <t>A 28702-2025</t>
        </is>
      </c>
      <c r="B839" s="1" t="n">
        <v>45820.03976851852</v>
      </c>
      <c r="C839" s="1" t="n">
        <v>45889</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12327-2023</t>
        </is>
      </c>
      <c r="B840" s="1" t="n">
        <v>44999.36081018519</v>
      </c>
      <c r="C840" s="1" t="n">
        <v>45889</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38964-2025</t>
        </is>
      </c>
      <c r="B841" s="1" t="n">
        <v>45887.68759259259</v>
      </c>
      <c r="C841" s="1" t="n">
        <v>45889</v>
      </c>
      <c r="D841" t="inlineStr">
        <is>
          <t>KALMAR LÄN</t>
        </is>
      </c>
      <c r="E841" t="inlineStr">
        <is>
          <t>VIMMERBY</t>
        </is>
      </c>
      <c r="G841" t="n">
        <v>7.5</v>
      </c>
      <c r="H841" t="n">
        <v>0</v>
      </c>
      <c r="I841" t="n">
        <v>0</v>
      </c>
      <c r="J841" t="n">
        <v>0</v>
      </c>
      <c r="K841" t="n">
        <v>0</v>
      </c>
      <c r="L841" t="n">
        <v>0</v>
      </c>
      <c r="M841" t="n">
        <v>0</v>
      </c>
      <c r="N841" t="n">
        <v>0</v>
      </c>
      <c r="O841" t="n">
        <v>0</v>
      </c>
      <c r="P841" t="n">
        <v>0</v>
      </c>
      <c r="Q841" t="n">
        <v>0</v>
      </c>
      <c r="R841" s="2" t="inlineStr"/>
    </row>
    <row r="842" ht="15" customHeight="1">
      <c r="A842" t="inlineStr">
        <is>
          <t>A 30633-2024</t>
        </is>
      </c>
      <c r="B842" s="1" t="n">
        <v>45495</v>
      </c>
      <c r="C842" s="1" t="n">
        <v>45889</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33424-2023</t>
        </is>
      </c>
      <c r="B843" s="1" t="n">
        <v>45128.9325</v>
      </c>
      <c r="C843" s="1" t="n">
        <v>45889</v>
      </c>
      <c r="D843" t="inlineStr">
        <is>
          <t>KALMAR LÄN</t>
        </is>
      </c>
      <c r="E843" t="inlineStr">
        <is>
          <t>VIMMERBY</t>
        </is>
      </c>
      <c r="G843" t="n">
        <v>2.4</v>
      </c>
      <c r="H843" t="n">
        <v>0</v>
      </c>
      <c r="I843" t="n">
        <v>0</v>
      </c>
      <c r="J843" t="n">
        <v>0</v>
      </c>
      <c r="K843" t="n">
        <v>0</v>
      </c>
      <c r="L843" t="n">
        <v>0</v>
      </c>
      <c r="M843" t="n">
        <v>0</v>
      </c>
      <c r="N843" t="n">
        <v>0</v>
      </c>
      <c r="O843" t="n">
        <v>0</v>
      </c>
      <c r="P843" t="n">
        <v>0</v>
      </c>
      <c r="Q843" t="n">
        <v>0</v>
      </c>
      <c r="R843" s="2" t="inlineStr"/>
    </row>
    <row r="844" ht="15" customHeight="1">
      <c r="A844" t="inlineStr">
        <is>
          <t>A 33425-2023</t>
        </is>
      </c>
      <c r="B844" s="1" t="n">
        <v>45128.93540509259</v>
      </c>
      <c r="C844" s="1" t="n">
        <v>45889</v>
      </c>
      <c r="D844" t="inlineStr">
        <is>
          <t>KALMAR LÄN</t>
        </is>
      </c>
      <c r="E844" t="inlineStr">
        <is>
          <t>VIMMERBY</t>
        </is>
      </c>
      <c r="G844" t="n">
        <v>1.4</v>
      </c>
      <c r="H844" t="n">
        <v>0</v>
      </c>
      <c r="I844" t="n">
        <v>0</v>
      </c>
      <c r="J844" t="n">
        <v>0</v>
      </c>
      <c r="K844" t="n">
        <v>0</v>
      </c>
      <c r="L844" t="n">
        <v>0</v>
      </c>
      <c r="M844" t="n">
        <v>0</v>
      </c>
      <c r="N844" t="n">
        <v>0</v>
      </c>
      <c r="O844" t="n">
        <v>0</v>
      </c>
      <c r="P844" t="n">
        <v>0</v>
      </c>
      <c r="Q844" t="n">
        <v>0</v>
      </c>
      <c r="R844" s="2" t="inlineStr"/>
    </row>
    <row r="845" ht="15" customHeight="1">
      <c r="A845" t="inlineStr">
        <is>
          <t>A 3609-2024</t>
        </is>
      </c>
      <c r="B845" s="1" t="n">
        <v>45320.89128472222</v>
      </c>
      <c r="C845" s="1" t="n">
        <v>45889</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34060-2025</t>
        </is>
      </c>
      <c r="B846" s="1" t="n">
        <v>45845.42015046296</v>
      </c>
      <c r="C846" s="1" t="n">
        <v>45889</v>
      </c>
      <c r="D846" t="inlineStr">
        <is>
          <t>KALMAR LÄN</t>
        </is>
      </c>
      <c r="E846" t="inlineStr">
        <is>
          <t>VIMMERBY</t>
        </is>
      </c>
      <c r="G846" t="n">
        <v>5.7</v>
      </c>
      <c r="H846" t="n">
        <v>0</v>
      </c>
      <c r="I846" t="n">
        <v>0</v>
      </c>
      <c r="J846" t="n">
        <v>0</v>
      </c>
      <c r="K846" t="n">
        <v>0</v>
      </c>
      <c r="L846" t="n">
        <v>0</v>
      </c>
      <c r="M846" t="n">
        <v>0</v>
      </c>
      <c r="N846" t="n">
        <v>0</v>
      </c>
      <c r="O846" t="n">
        <v>0</v>
      </c>
      <c r="P846" t="n">
        <v>0</v>
      </c>
      <c r="Q846" t="n">
        <v>0</v>
      </c>
      <c r="R846" s="2" t="inlineStr"/>
    </row>
    <row r="847" ht="15" customHeight="1">
      <c r="A847" t="inlineStr">
        <is>
          <t>A 34071-2025</t>
        </is>
      </c>
      <c r="B847" s="1" t="n">
        <v>45845.43803240741</v>
      </c>
      <c r="C847" s="1" t="n">
        <v>45889</v>
      </c>
      <c r="D847" t="inlineStr">
        <is>
          <t>KALMAR LÄN</t>
        </is>
      </c>
      <c r="E847" t="inlineStr">
        <is>
          <t>VIMMERBY</t>
        </is>
      </c>
      <c r="G847" t="n">
        <v>6.8</v>
      </c>
      <c r="H847" t="n">
        <v>0</v>
      </c>
      <c r="I847" t="n">
        <v>0</v>
      </c>
      <c r="J847" t="n">
        <v>0</v>
      </c>
      <c r="K847" t="n">
        <v>0</v>
      </c>
      <c r="L847" t="n">
        <v>0</v>
      </c>
      <c r="M847" t="n">
        <v>0</v>
      </c>
      <c r="N847" t="n">
        <v>0</v>
      </c>
      <c r="O847" t="n">
        <v>0</v>
      </c>
      <c r="P847" t="n">
        <v>0</v>
      </c>
      <c r="Q847" t="n">
        <v>0</v>
      </c>
      <c r="R847" s="2" t="inlineStr"/>
    </row>
    <row r="848" ht="15" customHeight="1">
      <c r="A848" t="inlineStr">
        <is>
          <t>A 34106-2025</t>
        </is>
      </c>
      <c r="B848" s="1" t="n">
        <v>45845.49414351852</v>
      </c>
      <c r="C848" s="1" t="n">
        <v>45889</v>
      </c>
      <c r="D848" t="inlineStr">
        <is>
          <t>KALMAR LÄN</t>
        </is>
      </c>
      <c r="E848" t="inlineStr">
        <is>
          <t>VIMMERBY</t>
        </is>
      </c>
      <c r="G848" t="n">
        <v>6</v>
      </c>
      <c r="H848" t="n">
        <v>0</v>
      </c>
      <c r="I848" t="n">
        <v>0</v>
      </c>
      <c r="J848" t="n">
        <v>0</v>
      </c>
      <c r="K848" t="n">
        <v>0</v>
      </c>
      <c r="L848" t="n">
        <v>0</v>
      </c>
      <c r="M848" t="n">
        <v>0</v>
      </c>
      <c r="N848" t="n">
        <v>0</v>
      </c>
      <c r="O848" t="n">
        <v>0</v>
      </c>
      <c r="P848" t="n">
        <v>0</v>
      </c>
      <c r="Q848" t="n">
        <v>0</v>
      </c>
      <c r="R848" s="2" t="inlineStr"/>
    </row>
    <row r="849" ht="15" customHeight="1">
      <c r="A849" t="inlineStr">
        <is>
          <t>A 26956-2025</t>
        </is>
      </c>
      <c r="B849" s="1" t="n">
        <v>45811.45460648148</v>
      </c>
      <c r="C849" s="1" t="n">
        <v>45889</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8650-2022</t>
        </is>
      </c>
      <c r="B850" s="1" t="n">
        <v>44613</v>
      </c>
      <c r="C850" s="1" t="n">
        <v>45889</v>
      </c>
      <c r="D850" t="inlineStr">
        <is>
          <t>KALMAR LÄN</t>
        </is>
      </c>
      <c r="E850" t="inlineStr">
        <is>
          <t>VIMMERBY</t>
        </is>
      </c>
      <c r="G850" t="n">
        <v>1.4</v>
      </c>
      <c r="H850" t="n">
        <v>0</v>
      </c>
      <c r="I850" t="n">
        <v>0</v>
      </c>
      <c r="J850" t="n">
        <v>0</v>
      </c>
      <c r="K850" t="n">
        <v>0</v>
      </c>
      <c r="L850" t="n">
        <v>0</v>
      </c>
      <c r="M850" t="n">
        <v>0</v>
      </c>
      <c r="N850" t="n">
        <v>0</v>
      </c>
      <c r="O850" t="n">
        <v>0</v>
      </c>
      <c r="P850" t="n">
        <v>0</v>
      </c>
      <c r="Q850" t="n">
        <v>0</v>
      </c>
      <c r="R850" s="2" t="inlineStr"/>
    </row>
    <row r="851" ht="15" customHeight="1">
      <c r="A851" t="inlineStr">
        <is>
          <t>A 11147-2023</t>
        </is>
      </c>
      <c r="B851" s="1" t="n">
        <v>44992</v>
      </c>
      <c r="C851" s="1" t="n">
        <v>45889</v>
      </c>
      <c r="D851" t="inlineStr">
        <is>
          <t>KALMAR LÄN</t>
        </is>
      </c>
      <c r="E851" t="inlineStr">
        <is>
          <t>VIMMERBY</t>
        </is>
      </c>
      <c r="G851" t="n">
        <v>0.8</v>
      </c>
      <c r="H851" t="n">
        <v>0</v>
      </c>
      <c r="I851" t="n">
        <v>0</v>
      </c>
      <c r="J851" t="n">
        <v>0</v>
      </c>
      <c r="K851" t="n">
        <v>0</v>
      </c>
      <c r="L851" t="n">
        <v>0</v>
      </c>
      <c r="M851" t="n">
        <v>0</v>
      </c>
      <c r="N851" t="n">
        <v>0</v>
      </c>
      <c r="O851" t="n">
        <v>0</v>
      </c>
      <c r="P851" t="n">
        <v>0</v>
      </c>
      <c r="Q851" t="n">
        <v>0</v>
      </c>
      <c r="R851" s="2" t="inlineStr"/>
    </row>
    <row r="852" ht="15" customHeight="1">
      <c r="A852" t="inlineStr">
        <is>
          <t>A 16676-2023</t>
        </is>
      </c>
      <c r="B852" s="1" t="n">
        <v>45028</v>
      </c>
      <c r="C852" s="1" t="n">
        <v>45889</v>
      </c>
      <c r="D852" t="inlineStr">
        <is>
          <t>KALMAR LÄN</t>
        </is>
      </c>
      <c r="E852" t="inlineStr">
        <is>
          <t>VIMMERBY</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23263-2024</t>
        </is>
      </c>
      <c r="B853" s="1" t="n">
        <v>45453.36854166666</v>
      </c>
      <c r="C853" s="1" t="n">
        <v>45889</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49488-2023</t>
        </is>
      </c>
      <c r="B854" s="1" t="n">
        <v>45211.55472222222</v>
      </c>
      <c r="C854" s="1" t="n">
        <v>45889</v>
      </c>
      <c r="D854" t="inlineStr">
        <is>
          <t>KALMAR LÄN</t>
        </is>
      </c>
      <c r="E854" t="inlineStr">
        <is>
          <t>VIMMERBY</t>
        </is>
      </c>
      <c r="F854" t="inlineStr">
        <is>
          <t>Sveaskog</t>
        </is>
      </c>
      <c r="G854" t="n">
        <v>6.2</v>
      </c>
      <c r="H854" t="n">
        <v>0</v>
      </c>
      <c r="I854" t="n">
        <v>0</v>
      </c>
      <c r="J854" t="n">
        <v>0</v>
      </c>
      <c r="K854" t="n">
        <v>0</v>
      </c>
      <c r="L854" t="n">
        <v>0</v>
      </c>
      <c r="M854" t="n">
        <v>0</v>
      </c>
      <c r="N854" t="n">
        <v>0</v>
      </c>
      <c r="O854" t="n">
        <v>0</v>
      </c>
      <c r="P854" t="n">
        <v>0</v>
      </c>
      <c r="Q854" t="n">
        <v>0</v>
      </c>
      <c r="R854" s="2" t="inlineStr"/>
    </row>
    <row r="855" ht="15" customHeight="1">
      <c r="A855" t="inlineStr">
        <is>
          <t>A 59768-2024</t>
        </is>
      </c>
      <c r="B855" s="1" t="n">
        <v>45639.56185185185</v>
      </c>
      <c r="C855" s="1" t="n">
        <v>45889</v>
      </c>
      <c r="D855" t="inlineStr">
        <is>
          <t>KALMAR LÄN</t>
        </is>
      </c>
      <c r="E855" t="inlineStr">
        <is>
          <t>VIMMERBY</t>
        </is>
      </c>
      <c r="G855" t="n">
        <v>5.9</v>
      </c>
      <c r="H855" t="n">
        <v>0</v>
      </c>
      <c r="I855" t="n">
        <v>0</v>
      </c>
      <c r="J855" t="n">
        <v>0</v>
      </c>
      <c r="K855" t="n">
        <v>0</v>
      </c>
      <c r="L855" t="n">
        <v>0</v>
      </c>
      <c r="M855" t="n">
        <v>0</v>
      </c>
      <c r="N855" t="n">
        <v>0</v>
      </c>
      <c r="O855" t="n">
        <v>0</v>
      </c>
      <c r="P855" t="n">
        <v>0</v>
      </c>
      <c r="Q855" t="n">
        <v>0</v>
      </c>
      <c r="R855" s="2" t="inlineStr"/>
    </row>
    <row r="856" ht="15" customHeight="1">
      <c r="A856" t="inlineStr">
        <is>
          <t>A 72067-2021</t>
        </is>
      </c>
      <c r="B856" s="1" t="n">
        <v>44540</v>
      </c>
      <c r="C856" s="1" t="n">
        <v>45889</v>
      </c>
      <c r="D856" t="inlineStr">
        <is>
          <t>KALMAR LÄN</t>
        </is>
      </c>
      <c r="E856" t="inlineStr">
        <is>
          <t>VIMMERBY</t>
        </is>
      </c>
      <c r="G856" t="n">
        <v>1.6</v>
      </c>
      <c r="H856" t="n">
        <v>0</v>
      </c>
      <c r="I856" t="n">
        <v>0</v>
      </c>
      <c r="J856" t="n">
        <v>0</v>
      </c>
      <c r="K856" t="n">
        <v>0</v>
      </c>
      <c r="L856" t="n">
        <v>0</v>
      </c>
      <c r="M856" t="n">
        <v>0</v>
      </c>
      <c r="N856" t="n">
        <v>0</v>
      </c>
      <c r="O856" t="n">
        <v>0</v>
      </c>
      <c r="P856" t="n">
        <v>0</v>
      </c>
      <c r="Q856" t="n">
        <v>0</v>
      </c>
      <c r="R856" s="2" t="inlineStr"/>
    </row>
    <row r="857" ht="15" customHeight="1">
      <c r="A857" t="inlineStr">
        <is>
          <t>A 41158-2023</t>
        </is>
      </c>
      <c r="B857" s="1" t="n">
        <v>45174.31395833333</v>
      </c>
      <c r="C857" s="1" t="n">
        <v>45889</v>
      </c>
      <c r="D857" t="inlineStr">
        <is>
          <t>KALMAR LÄN</t>
        </is>
      </c>
      <c r="E857" t="inlineStr">
        <is>
          <t>VIMMERBY</t>
        </is>
      </c>
      <c r="G857" t="n">
        <v>1.4</v>
      </c>
      <c r="H857" t="n">
        <v>0</v>
      </c>
      <c r="I857" t="n">
        <v>0</v>
      </c>
      <c r="J857" t="n">
        <v>0</v>
      </c>
      <c r="K857" t="n">
        <v>0</v>
      </c>
      <c r="L857" t="n">
        <v>0</v>
      </c>
      <c r="M857" t="n">
        <v>0</v>
      </c>
      <c r="N857" t="n">
        <v>0</v>
      </c>
      <c r="O857" t="n">
        <v>0</v>
      </c>
      <c r="P857" t="n">
        <v>0</v>
      </c>
      <c r="Q857" t="n">
        <v>0</v>
      </c>
      <c r="R857" s="2" t="inlineStr"/>
    </row>
    <row r="858" ht="15" customHeight="1">
      <c r="A858" t="inlineStr">
        <is>
          <t>A 22198-2024</t>
        </is>
      </c>
      <c r="B858" s="1" t="n">
        <v>45446.36865740741</v>
      </c>
      <c r="C858" s="1" t="n">
        <v>45889</v>
      </c>
      <c r="D858" t="inlineStr">
        <is>
          <t>KALMAR LÄN</t>
        </is>
      </c>
      <c r="E858" t="inlineStr">
        <is>
          <t>VIMMERBY</t>
        </is>
      </c>
      <c r="F858" t="inlineStr">
        <is>
          <t>Sveaskog</t>
        </is>
      </c>
      <c r="G858" t="n">
        <v>2.3</v>
      </c>
      <c r="H858" t="n">
        <v>0</v>
      </c>
      <c r="I858" t="n">
        <v>0</v>
      </c>
      <c r="J858" t="n">
        <v>0</v>
      </c>
      <c r="K858" t="n">
        <v>0</v>
      </c>
      <c r="L858" t="n">
        <v>0</v>
      </c>
      <c r="M858" t="n">
        <v>0</v>
      </c>
      <c r="N858" t="n">
        <v>0</v>
      </c>
      <c r="O858" t="n">
        <v>0</v>
      </c>
      <c r="P858" t="n">
        <v>0</v>
      </c>
      <c r="Q858" t="n">
        <v>0</v>
      </c>
      <c r="R858" s="2" t="inlineStr"/>
    </row>
    <row r="859">
      <c r="A859" t="inlineStr">
        <is>
          <t>A 9511-2023</t>
        </is>
      </c>
      <c r="B859" s="1" t="n">
        <v>44981.64725694444</v>
      </c>
      <c r="C859" s="1" t="n">
        <v>45889</v>
      </c>
      <c r="D859" t="inlineStr">
        <is>
          <t>KALMAR LÄN</t>
        </is>
      </c>
      <c r="E859" t="inlineStr">
        <is>
          <t>VIMMERBY</t>
        </is>
      </c>
      <c r="G859" t="n">
        <v>3.5</v>
      </c>
      <c r="H859" t="n">
        <v>0</v>
      </c>
      <c r="I859" t="n">
        <v>0</v>
      </c>
      <c r="J859" t="n">
        <v>0</v>
      </c>
      <c r="K859" t="n">
        <v>0</v>
      </c>
      <c r="L859" t="n">
        <v>0</v>
      </c>
      <c r="M859" t="n">
        <v>0</v>
      </c>
      <c r="N859" t="n">
        <v>0</v>
      </c>
      <c r="O859" t="n">
        <v>0</v>
      </c>
      <c r="P859" t="n">
        <v>0</v>
      </c>
      <c r="Q859" t="n">
        <v>0</v>
      </c>
      <c r="R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2025-08-20T08:26:00Z</dcterms:created>
  <dcterms:modified xmlns:dcterms="http://purl.org/dc/terms/" xmlns:xsi="http://www.w3.org/2001/XMLSchema-instance" xsi:type="dcterms:W3CDTF">2025-08-20T08:26:01Z</dcterms:modified>
</cp:coreProperties>
</file>