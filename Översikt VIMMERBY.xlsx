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46073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46073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46073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46073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46073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46073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46073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46073</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46073</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37901-2022</t>
        </is>
      </c>
      <c r="B18" s="1" t="n">
        <v>44811</v>
      </c>
      <c r="C18" s="1" t="n">
        <v>46073</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46073</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46073</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46073</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46073</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46073</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46073</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46073</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46073</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46073</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2518-2023</t>
        </is>
      </c>
      <c r="B29" s="1" t="n">
        <v>44943</v>
      </c>
      <c r="C29" s="1" t="n">
        <v>46073</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46073</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46073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46073</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46073</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32396-2021</t>
        </is>
      </c>
      <c r="B34" s="1" t="n">
        <v>44371</v>
      </c>
      <c r="C34" s="1" t="n">
        <v>46073</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61860-2024</t>
        </is>
      </c>
      <c r="B35" s="1" t="n">
        <v>45649</v>
      </c>
      <c r="C35" s="1" t="n">
        <v>46073</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37930-2021</t>
        </is>
      </c>
      <c r="B36" s="1" t="n">
        <v>44403</v>
      </c>
      <c r="C36" s="1" t="n">
        <v>46073</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53400-2025</t>
        </is>
      </c>
      <c r="B37" s="1" t="n">
        <v>45959.56684027778</v>
      </c>
      <c r="C37" s="1" t="n">
        <v>46073</v>
      </c>
      <c r="D37" t="inlineStr">
        <is>
          <t>KALMAR LÄN</t>
        </is>
      </c>
      <c r="E37" t="inlineStr">
        <is>
          <t>VIMMERBY</t>
        </is>
      </c>
      <c r="G37" t="n">
        <v>9.199999999999999</v>
      </c>
      <c r="H37" t="n">
        <v>1</v>
      </c>
      <c r="I37" t="n">
        <v>0</v>
      </c>
      <c r="J37" t="n">
        <v>0</v>
      </c>
      <c r="K37" t="n">
        <v>1</v>
      </c>
      <c r="L37" t="n">
        <v>0</v>
      </c>
      <c r="M37" t="n">
        <v>0</v>
      </c>
      <c r="N37" t="n">
        <v>0</v>
      </c>
      <c r="O37" t="n">
        <v>1</v>
      </c>
      <c r="P37" t="n">
        <v>1</v>
      </c>
      <c r="Q37" t="n">
        <v>1</v>
      </c>
      <c r="R37" s="2" t="inlineStr">
        <is>
          <t>Knärot</t>
        </is>
      </c>
      <c r="S37">
        <f>HYPERLINK("https://klasma.github.io/Logging_0884/artfynd/A 53400-2025 artfynd.xlsx", "A 53400-2025")</f>
        <v/>
      </c>
      <c r="T37">
        <f>HYPERLINK("https://klasma.github.io/Logging_0884/kartor/A 53400-2025 karta.png", "A 53400-2025")</f>
        <v/>
      </c>
      <c r="U37">
        <f>HYPERLINK("https://klasma.github.io/Logging_0884/knärot/A 53400-2025 karta knärot.png", "A 53400-2025")</f>
        <v/>
      </c>
      <c r="V37">
        <f>HYPERLINK("https://klasma.github.io/Logging_0884/klagomål/A 53400-2025 FSC-klagomål.docx", "A 53400-2025")</f>
        <v/>
      </c>
      <c r="W37">
        <f>HYPERLINK("https://klasma.github.io/Logging_0884/klagomålsmail/A 53400-2025 FSC-klagomål mail.docx", "A 53400-2025")</f>
        <v/>
      </c>
      <c r="X37">
        <f>HYPERLINK("https://klasma.github.io/Logging_0884/tillsyn/A 53400-2025 tillsynsbegäran.docx", "A 53400-2025")</f>
        <v/>
      </c>
      <c r="Y37">
        <f>HYPERLINK("https://klasma.github.io/Logging_0884/tillsynsmail/A 53400-2025 tillsynsbegäran mail.docx", "A 53400-2025")</f>
        <v/>
      </c>
    </row>
    <row r="38" ht="15" customHeight="1">
      <c r="A38" t="inlineStr">
        <is>
          <t>A 53404-2025</t>
        </is>
      </c>
      <c r="B38" s="1" t="n">
        <v>45959.57126157408</v>
      </c>
      <c r="C38" s="1" t="n">
        <v>46073</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1201-2025</t>
        </is>
      </c>
      <c r="B39" s="1" t="n">
        <v>45667</v>
      </c>
      <c r="C39" s="1" t="n">
        <v>46073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55384-2025</t>
        </is>
      </c>
      <c r="B40" s="1" t="n">
        <v>45971.43178240741</v>
      </c>
      <c r="C40" s="1" t="n">
        <v>46073</v>
      </c>
      <c r="D40" t="inlineStr">
        <is>
          <t>KALMAR LÄN</t>
        </is>
      </c>
      <c r="E40" t="inlineStr">
        <is>
          <t>VIMMERBY</t>
        </is>
      </c>
      <c r="G40" t="n">
        <v>1.7</v>
      </c>
      <c r="H40" t="n">
        <v>1</v>
      </c>
      <c r="I40" t="n">
        <v>0</v>
      </c>
      <c r="J40" t="n">
        <v>1</v>
      </c>
      <c r="K40" t="n">
        <v>0</v>
      </c>
      <c r="L40" t="n">
        <v>0</v>
      </c>
      <c r="M40" t="n">
        <v>0</v>
      </c>
      <c r="N40" t="n">
        <v>0</v>
      </c>
      <c r="O40" t="n">
        <v>1</v>
      </c>
      <c r="P40" t="n">
        <v>0</v>
      </c>
      <c r="Q40" t="n">
        <v>1</v>
      </c>
      <c r="R40" s="2" t="inlineStr">
        <is>
          <t>Talltita</t>
        </is>
      </c>
      <c r="S40">
        <f>HYPERLINK("https://klasma.github.io/Logging_0884/artfynd/A 55384-2025 artfynd.xlsx", "A 55384-2025")</f>
        <v/>
      </c>
      <c r="T40">
        <f>HYPERLINK("https://klasma.github.io/Logging_0884/kartor/A 55384-2025 karta.png", "A 55384-2025")</f>
        <v/>
      </c>
      <c r="V40">
        <f>HYPERLINK("https://klasma.github.io/Logging_0884/klagomål/A 55384-2025 FSC-klagomål.docx", "A 55384-2025")</f>
        <v/>
      </c>
      <c r="W40">
        <f>HYPERLINK("https://klasma.github.io/Logging_0884/klagomålsmail/A 55384-2025 FSC-klagomål mail.docx", "A 55384-2025")</f>
        <v/>
      </c>
      <c r="X40">
        <f>HYPERLINK("https://klasma.github.io/Logging_0884/tillsyn/A 55384-2025 tillsynsbegäran.docx", "A 55384-2025")</f>
        <v/>
      </c>
      <c r="Y40">
        <f>HYPERLINK("https://klasma.github.io/Logging_0884/tillsynsmail/A 55384-2025 tillsynsbegäran mail.docx", "A 55384-2025")</f>
        <v/>
      </c>
      <c r="Z40">
        <f>HYPERLINK("https://klasma.github.io/Logging_0884/fåglar/A 55384-2025 prioriterade fågelarter.docx", "A 55384-2025")</f>
        <v/>
      </c>
    </row>
    <row r="41" ht="15" customHeight="1">
      <c r="A41" t="inlineStr">
        <is>
          <t>A 29183-2025</t>
        </is>
      </c>
      <c r="B41" s="1" t="n">
        <v>45821</v>
      </c>
      <c r="C41" s="1" t="n">
        <v>46073</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57062-2025</t>
        </is>
      </c>
      <c r="B42" s="1" t="n">
        <v>45979.37598379629</v>
      </c>
      <c r="C42" s="1" t="n">
        <v>46073</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40083-2023</t>
        </is>
      </c>
      <c r="B43" s="1" t="n">
        <v>45168</v>
      </c>
      <c r="C43" s="1" t="n">
        <v>46073</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46073</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23602-2023</t>
        </is>
      </c>
      <c r="B45" s="1" t="n">
        <v>45077</v>
      </c>
      <c r="C45" s="1" t="n">
        <v>46073</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15122-2024</t>
        </is>
      </c>
      <c r="B46" s="1" t="n">
        <v>45399.71412037037</v>
      </c>
      <c r="C46" s="1" t="n">
        <v>46073</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46073</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46073</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46073</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46073</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46073</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46073</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46073</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46073</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46073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46073</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46073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46073</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46073</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46073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46073</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46073</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46073</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46073</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46073</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46073</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46073</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46073</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46073</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46073</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46073</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46073</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46073</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46073</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46073</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46073</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46073</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46073</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46073</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64923-2021</t>
        </is>
      </c>
      <c r="B84" s="1" t="n">
        <v>44512.70245370371</v>
      </c>
      <c r="C84" s="1" t="n">
        <v>46073</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33829-2022</t>
        </is>
      </c>
      <c r="B85" s="1" t="n">
        <v>44790</v>
      </c>
      <c r="C85" s="1" t="n">
        <v>46073</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11145-2021</t>
        </is>
      </c>
      <c r="B86" s="1" t="n">
        <v>44261</v>
      </c>
      <c r="C86" s="1" t="n">
        <v>46073</v>
      </c>
      <c r="D86" t="inlineStr">
        <is>
          <t>KALMAR LÄN</t>
        </is>
      </c>
      <c r="E86" t="inlineStr">
        <is>
          <t>VIMMERBY</t>
        </is>
      </c>
      <c r="G86" t="n">
        <v>3.5</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46073</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46073</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46073</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46073</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46073</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27762-2021</t>
        </is>
      </c>
      <c r="B92" s="1" t="n">
        <v>44354</v>
      </c>
      <c r="C92" s="1" t="n">
        <v>46073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46073</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46073</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46073</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46073</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46073</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46073</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46073</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46073</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12848-2021</t>
        </is>
      </c>
      <c r="B102" s="1" t="n">
        <v>44271.37226851852</v>
      </c>
      <c r="C102" s="1" t="n">
        <v>46073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25049-2022</t>
        </is>
      </c>
      <c r="B103" s="1" t="n">
        <v>44729.28226851852</v>
      </c>
      <c r="C103" s="1" t="n">
        <v>46073</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46073</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46073</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46073</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46073</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46073</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46073</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46073</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46073</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51972-2021</t>
        </is>
      </c>
      <c r="B114" s="1" t="n">
        <v>44463.29439814815</v>
      </c>
      <c r="C114" s="1" t="n">
        <v>46073</v>
      </c>
      <c r="D114" t="inlineStr">
        <is>
          <t>KALMAR LÄN</t>
        </is>
      </c>
      <c r="E114" t="inlineStr">
        <is>
          <t>VIMMERBY</t>
        </is>
      </c>
      <c r="G114" t="n">
        <v>4.5</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46073</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46073</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46073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46073</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46073</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46073</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46073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46073</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46073</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46073</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46073</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46073</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46073</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46073</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46073</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46073</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46073</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46073</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46073</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46073</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46073</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46073</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46073</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46073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46073</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46073</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46073</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46073</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46073</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46073</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46073</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46073</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46073</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46073</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46073</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46073</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46073</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46073</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46073</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46073</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46073</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46073</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46073</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46073</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46073</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46073</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46073</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46073</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46073</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46073</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46073</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46073</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46073</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46073</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46073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46073</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46073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46073</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46073</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29441-2024</t>
        </is>
      </c>
      <c r="B186" s="1" t="n">
        <v>45483.82834490741</v>
      </c>
      <c r="C186" s="1" t="n">
        <v>46073</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25728-2023</t>
        </is>
      </c>
      <c r="B187" s="1" t="n">
        <v>45090.38012731481</v>
      </c>
      <c r="C187" s="1" t="n">
        <v>46073</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47965-2025</t>
        </is>
      </c>
      <c r="B188" s="1" t="n">
        <v>45932.59597222223</v>
      </c>
      <c r="C188" s="1" t="n">
        <v>46073</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52435-2021</t>
        </is>
      </c>
      <c r="B189" s="1" t="n">
        <v>44466.34962962963</v>
      </c>
      <c r="C189" s="1" t="n">
        <v>46073</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29093-2023</t>
        </is>
      </c>
      <c r="B190" s="1" t="n">
        <v>45105</v>
      </c>
      <c r="C190" s="1" t="n">
        <v>46073</v>
      </c>
      <c r="D190" t="inlineStr">
        <is>
          <t>KALMAR LÄN</t>
        </is>
      </c>
      <c r="E190" t="inlineStr">
        <is>
          <t>VIMMERBY</t>
        </is>
      </c>
      <c r="G190" t="n">
        <v>2.9</v>
      </c>
      <c r="H190" t="n">
        <v>0</v>
      </c>
      <c r="I190" t="n">
        <v>0</v>
      </c>
      <c r="J190" t="n">
        <v>0</v>
      </c>
      <c r="K190" t="n">
        <v>0</v>
      </c>
      <c r="L190" t="n">
        <v>0</v>
      </c>
      <c r="M190" t="n">
        <v>0</v>
      </c>
      <c r="N190" t="n">
        <v>0</v>
      </c>
      <c r="O190" t="n">
        <v>0</v>
      </c>
      <c r="P190" t="n">
        <v>0</v>
      </c>
      <c r="Q190" t="n">
        <v>0</v>
      </c>
      <c r="R190" s="2" t="inlineStr"/>
    </row>
    <row r="191" ht="15" customHeight="1">
      <c r="A191" t="inlineStr">
        <is>
          <t>A 14220-2021</t>
        </is>
      </c>
      <c r="B191" s="1" t="n">
        <v>44278.54855324074</v>
      </c>
      <c r="C191" s="1" t="n">
        <v>46073</v>
      </c>
      <c r="D191" t="inlineStr">
        <is>
          <t>KALMAR LÄN</t>
        </is>
      </c>
      <c r="E191" t="inlineStr">
        <is>
          <t>VIMMERBY</t>
        </is>
      </c>
      <c r="G191" t="n">
        <v>0.3</v>
      </c>
      <c r="H191" t="n">
        <v>0</v>
      </c>
      <c r="I191" t="n">
        <v>0</v>
      </c>
      <c r="J191" t="n">
        <v>0</v>
      </c>
      <c r="K191" t="n">
        <v>0</v>
      </c>
      <c r="L191" t="n">
        <v>0</v>
      </c>
      <c r="M191" t="n">
        <v>0</v>
      </c>
      <c r="N191" t="n">
        <v>0</v>
      </c>
      <c r="O191" t="n">
        <v>0</v>
      </c>
      <c r="P191" t="n">
        <v>0</v>
      </c>
      <c r="Q191" t="n">
        <v>0</v>
      </c>
      <c r="R191" s="2" t="inlineStr"/>
    </row>
    <row r="192" ht="15" customHeight="1">
      <c r="A192" t="inlineStr">
        <is>
          <t>A 55716-2023</t>
        </is>
      </c>
      <c r="B192" s="1" t="n">
        <v>45232</v>
      </c>
      <c r="C192" s="1" t="n">
        <v>46073</v>
      </c>
      <c r="D192" t="inlineStr">
        <is>
          <t>KALMAR LÄN</t>
        </is>
      </c>
      <c r="E192" t="inlineStr">
        <is>
          <t>VIMMERBY</t>
        </is>
      </c>
      <c r="G192" t="n">
        <v>2.3</v>
      </c>
      <c r="H192" t="n">
        <v>0</v>
      </c>
      <c r="I192" t="n">
        <v>0</v>
      </c>
      <c r="J192" t="n">
        <v>0</v>
      </c>
      <c r="K192" t="n">
        <v>0</v>
      </c>
      <c r="L192" t="n">
        <v>0</v>
      </c>
      <c r="M192" t="n">
        <v>0</v>
      </c>
      <c r="N192" t="n">
        <v>0</v>
      </c>
      <c r="O192" t="n">
        <v>0</v>
      </c>
      <c r="P192" t="n">
        <v>0</v>
      </c>
      <c r="Q192" t="n">
        <v>0</v>
      </c>
      <c r="R192" s="2" t="inlineStr"/>
    </row>
    <row r="193" ht="15" customHeight="1">
      <c r="A193" t="inlineStr">
        <is>
          <t>A 34386-2024</t>
        </is>
      </c>
      <c r="B193" s="1" t="n">
        <v>45525.41762731481</v>
      </c>
      <c r="C193" s="1" t="n">
        <v>46073</v>
      </c>
      <c r="D193" t="inlineStr">
        <is>
          <t>KALMAR LÄN</t>
        </is>
      </c>
      <c r="E193" t="inlineStr">
        <is>
          <t>VIMMERBY</t>
        </is>
      </c>
      <c r="G193" t="n">
        <v>0.3</v>
      </c>
      <c r="H193" t="n">
        <v>0</v>
      </c>
      <c r="I193" t="n">
        <v>0</v>
      </c>
      <c r="J193" t="n">
        <v>0</v>
      </c>
      <c r="K193" t="n">
        <v>0</v>
      </c>
      <c r="L193" t="n">
        <v>0</v>
      </c>
      <c r="M193" t="n">
        <v>0</v>
      </c>
      <c r="N193" t="n">
        <v>0</v>
      </c>
      <c r="O193" t="n">
        <v>0</v>
      </c>
      <c r="P193" t="n">
        <v>0</v>
      </c>
      <c r="Q193" t="n">
        <v>0</v>
      </c>
      <c r="R193" s="2" t="inlineStr"/>
    </row>
    <row r="194" ht="15" customHeight="1">
      <c r="A194" t="inlineStr">
        <is>
          <t>A 42429-2024</t>
        </is>
      </c>
      <c r="B194" s="1" t="n">
        <v>45565.40657407408</v>
      </c>
      <c r="C194" s="1" t="n">
        <v>46073</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11946-2025</t>
        </is>
      </c>
      <c r="B195" s="1" t="n">
        <v>45728.54832175926</v>
      </c>
      <c r="C195" s="1" t="n">
        <v>46073</v>
      </c>
      <c r="D195" t="inlineStr">
        <is>
          <t>KALMAR LÄN</t>
        </is>
      </c>
      <c r="E195" t="inlineStr">
        <is>
          <t>VIMMERBY</t>
        </is>
      </c>
      <c r="G195" t="n">
        <v>0.4</v>
      </c>
      <c r="H195" t="n">
        <v>0</v>
      </c>
      <c r="I195" t="n">
        <v>0</v>
      </c>
      <c r="J195" t="n">
        <v>0</v>
      </c>
      <c r="K195" t="n">
        <v>0</v>
      </c>
      <c r="L195" t="n">
        <v>0</v>
      </c>
      <c r="M195" t="n">
        <v>0</v>
      </c>
      <c r="N195" t="n">
        <v>0</v>
      </c>
      <c r="O195" t="n">
        <v>0</v>
      </c>
      <c r="P195" t="n">
        <v>0</v>
      </c>
      <c r="Q195" t="n">
        <v>0</v>
      </c>
      <c r="R195" s="2" t="inlineStr"/>
    </row>
    <row r="196" ht="15" customHeight="1">
      <c r="A196" t="inlineStr">
        <is>
          <t>A 33359-2021</t>
        </is>
      </c>
      <c r="B196" s="1" t="n">
        <v>44377.49684027778</v>
      </c>
      <c r="C196" s="1" t="n">
        <v>46073</v>
      </c>
      <c r="D196" t="inlineStr">
        <is>
          <t>KALMAR LÄN</t>
        </is>
      </c>
      <c r="E196" t="inlineStr">
        <is>
          <t>VIMMERBY</t>
        </is>
      </c>
      <c r="F196" t="inlineStr">
        <is>
          <t>Kommuner</t>
        </is>
      </c>
      <c r="G196" t="n">
        <v>8</v>
      </c>
      <c r="H196" t="n">
        <v>0</v>
      </c>
      <c r="I196" t="n">
        <v>0</v>
      </c>
      <c r="J196" t="n">
        <v>0</v>
      </c>
      <c r="K196" t="n">
        <v>0</v>
      </c>
      <c r="L196" t="n">
        <v>0</v>
      </c>
      <c r="M196" t="n">
        <v>0</v>
      </c>
      <c r="N196" t="n">
        <v>0</v>
      </c>
      <c r="O196" t="n">
        <v>0</v>
      </c>
      <c r="P196" t="n">
        <v>0</v>
      </c>
      <c r="Q196" t="n">
        <v>0</v>
      </c>
      <c r="R196" s="2" t="inlineStr"/>
    </row>
    <row r="197" ht="15" customHeight="1">
      <c r="A197" t="inlineStr">
        <is>
          <t>A 43038-2022</t>
        </is>
      </c>
      <c r="B197" s="1" t="n">
        <v>44833.60123842592</v>
      </c>
      <c r="C197" s="1" t="n">
        <v>46073</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50087-2023</t>
        </is>
      </c>
      <c r="B198" s="1" t="n">
        <v>45215.59743055556</v>
      </c>
      <c r="C198" s="1" t="n">
        <v>46073</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33681-2022</t>
        </is>
      </c>
      <c r="B199" s="1" t="n">
        <v>44789</v>
      </c>
      <c r="C199" s="1" t="n">
        <v>46073</v>
      </c>
      <c r="D199" t="inlineStr">
        <is>
          <t>KALMAR LÄN</t>
        </is>
      </c>
      <c r="E199" t="inlineStr">
        <is>
          <t>VIMMERBY</t>
        </is>
      </c>
      <c r="G199" t="n">
        <v>3.2</v>
      </c>
      <c r="H199" t="n">
        <v>0</v>
      </c>
      <c r="I199" t="n">
        <v>0</v>
      </c>
      <c r="J199" t="n">
        <v>0</v>
      </c>
      <c r="K199" t="n">
        <v>0</v>
      </c>
      <c r="L199" t="n">
        <v>0</v>
      </c>
      <c r="M199" t="n">
        <v>0</v>
      </c>
      <c r="N199" t="n">
        <v>0</v>
      </c>
      <c r="O199" t="n">
        <v>0</v>
      </c>
      <c r="P199" t="n">
        <v>0</v>
      </c>
      <c r="Q199" t="n">
        <v>0</v>
      </c>
      <c r="R199" s="2" t="inlineStr"/>
    </row>
    <row r="200" ht="15" customHeight="1">
      <c r="A200" t="inlineStr">
        <is>
          <t>A 59943-2023</t>
        </is>
      </c>
      <c r="B200" s="1" t="n">
        <v>45257.67958333333</v>
      </c>
      <c r="C200" s="1" t="n">
        <v>46073</v>
      </c>
      <c r="D200" t="inlineStr">
        <is>
          <t>KALMAR LÄN</t>
        </is>
      </c>
      <c r="E200" t="inlineStr">
        <is>
          <t>VIMMERBY</t>
        </is>
      </c>
      <c r="G200" t="n">
        <v>6.4</v>
      </c>
      <c r="H200" t="n">
        <v>0</v>
      </c>
      <c r="I200" t="n">
        <v>0</v>
      </c>
      <c r="J200" t="n">
        <v>0</v>
      </c>
      <c r="K200" t="n">
        <v>0</v>
      </c>
      <c r="L200" t="n">
        <v>0</v>
      </c>
      <c r="M200" t="n">
        <v>0</v>
      </c>
      <c r="N200" t="n">
        <v>0</v>
      </c>
      <c r="O200" t="n">
        <v>0</v>
      </c>
      <c r="P200" t="n">
        <v>0</v>
      </c>
      <c r="Q200" t="n">
        <v>0</v>
      </c>
      <c r="R200" s="2" t="inlineStr"/>
    </row>
    <row r="201" ht="15" customHeight="1">
      <c r="A201" t="inlineStr">
        <is>
          <t>A 15493-2023</t>
        </is>
      </c>
      <c r="B201" s="1" t="n">
        <v>45018</v>
      </c>
      <c r="C201" s="1" t="n">
        <v>46073</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51881-2024</t>
        </is>
      </c>
      <c r="B202" s="1" t="n">
        <v>45607.56773148148</v>
      </c>
      <c r="C202" s="1" t="n">
        <v>46073</v>
      </c>
      <c r="D202" t="inlineStr">
        <is>
          <t>KALMAR LÄN</t>
        </is>
      </c>
      <c r="E202" t="inlineStr">
        <is>
          <t>VIMMERBY</t>
        </is>
      </c>
      <c r="G202" t="n">
        <v>3.4</v>
      </c>
      <c r="H202" t="n">
        <v>0</v>
      </c>
      <c r="I202" t="n">
        <v>0</v>
      </c>
      <c r="J202" t="n">
        <v>0</v>
      </c>
      <c r="K202" t="n">
        <v>0</v>
      </c>
      <c r="L202" t="n">
        <v>0</v>
      </c>
      <c r="M202" t="n">
        <v>0</v>
      </c>
      <c r="N202" t="n">
        <v>0</v>
      </c>
      <c r="O202" t="n">
        <v>0</v>
      </c>
      <c r="P202" t="n">
        <v>0</v>
      </c>
      <c r="Q202" t="n">
        <v>0</v>
      </c>
      <c r="R202" s="2" t="inlineStr"/>
    </row>
    <row r="203" ht="15" customHeight="1">
      <c r="A203" t="inlineStr">
        <is>
          <t>A 1021-2024</t>
        </is>
      </c>
      <c r="B203" s="1" t="n">
        <v>45301.67736111111</v>
      </c>
      <c r="C203" s="1" t="n">
        <v>46073</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32569-2024</t>
        </is>
      </c>
      <c r="B204" s="1" t="n">
        <v>45513.55840277778</v>
      </c>
      <c r="C204" s="1" t="n">
        <v>46073</v>
      </c>
      <c r="D204" t="inlineStr">
        <is>
          <t>KALMAR LÄN</t>
        </is>
      </c>
      <c r="E204" t="inlineStr">
        <is>
          <t>VIMMERBY</t>
        </is>
      </c>
      <c r="G204" t="n">
        <v>3.7</v>
      </c>
      <c r="H204" t="n">
        <v>0</v>
      </c>
      <c r="I204" t="n">
        <v>0</v>
      </c>
      <c r="J204" t="n">
        <v>0</v>
      </c>
      <c r="K204" t="n">
        <v>0</v>
      </c>
      <c r="L204" t="n">
        <v>0</v>
      </c>
      <c r="M204" t="n">
        <v>0</v>
      </c>
      <c r="N204" t="n">
        <v>0</v>
      </c>
      <c r="O204" t="n">
        <v>0</v>
      </c>
      <c r="P204" t="n">
        <v>0</v>
      </c>
      <c r="Q204" t="n">
        <v>0</v>
      </c>
      <c r="R204" s="2" t="inlineStr"/>
    </row>
    <row r="205" ht="15" customHeight="1">
      <c r="A205" t="inlineStr">
        <is>
          <t>A 32575-2024</t>
        </is>
      </c>
      <c r="B205" s="1" t="n">
        <v>45513.56527777778</v>
      </c>
      <c r="C205" s="1" t="n">
        <v>46073</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30063-2023</t>
        </is>
      </c>
      <c r="B206" s="1" t="n">
        <v>45110.4184375</v>
      </c>
      <c r="C206" s="1" t="n">
        <v>46073</v>
      </c>
      <c r="D206" t="inlineStr">
        <is>
          <t>KALMAR LÄN</t>
        </is>
      </c>
      <c r="E206" t="inlineStr">
        <is>
          <t>VIMMERBY</t>
        </is>
      </c>
      <c r="G206" t="n">
        <v>1.2</v>
      </c>
      <c r="H206" t="n">
        <v>0</v>
      </c>
      <c r="I206" t="n">
        <v>0</v>
      </c>
      <c r="J206" t="n">
        <v>0</v>
      </c>
      <c r="K206" t="n">
        <v>0</v>
      </c>
      <c r="L206" t="n">
        <v>0</v>
      </c>
      <c r="M206" t="n">
        <v>0</v>
      </c>
      <c r="N206" t="n">
        <v>0</v>
      </c>
      <c r="O206" t="n">
        <v>0</v>
      </c>
      <c r="P206" t="n">
        <v>0</v>
      </c>
      <c r="Q206" t="n">
        <v>0</v>
      </c>
      <c r="R206" s="2" t="inlineStr"/>
    </row>
    <row r="207" ht="15" customHeight="1">
      <c r="A207" t="inlineStr">
        <is>
          <t>A 16825-2024</t>
        </is>
      </c>
      <c r="B207" s="1" t="n">
        <v>45411.47335648148</v>
      </c>
      <c r="C207" s="1" t="n">
        <v>46073</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17482-2024</t>
        </is>
      </c>
      <c r="B208" s="1" t="n">
        <v>45415.47848379629</v>
      </c>
      <c r="C208" s="1" t="n">
        <v>46073</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38604-2025</t>
        </is>
      </c>
      <c r="B209" s="1" t="n">
        <v>45884.50613425926</v>
      </c>
      <c r="C209" s="1" t="n">
        <v>46073</v>
      </c>
      <c r="D209" t="inlineStr">
        <is>
          <t>KALMAR LÄN</t>
        </is>
      </c>
      <c r="E209" t="inlineStr">
        <is>
          <t>VIMMERBY</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46073</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6214-2025</t>
        </is>
      </c>
      <c r="B211" s="1" t="n">
        <v>45698.51711805556</v>
      </c>
      <c r="C211" s="1" t="n">
        <v>46073</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47955-2025</t>
        </is>
      </c>
      <c r="B212" s="1" t="n">
        <v>45932.58896990741</v>
      </c>
      <c r="C212" s="1" t="n">
        <v>46073</v>
      </c>
      <c r="D212" t="inlineStr">
        <is>
          <t>KALMAR LÄN</t>
        </is>
      </c>
      <c r="E212" t="inlineStr">
        <is>
          <t>VIMMERBY</t>
        </is>
      </c>
      <c r="G212" t="n">
        <v>3.4</v>
      </c>
      <c r="H212" t="n">
        <v>0</v>
      </c>
      <c r="I212" t="n">
        <v>0</v>
      </c>
      <c r="J212" t="n">
        <v>0</v>
      </c>
      <c r="K212" t="n">
        <v>0</v>
      </c>
      <c r="L212" t="n">
        <v>0</v>
      </c>
      <c r="M212" t="n">
        <v>0</v>
      </c>
      <c r="N212" t="n">
        <v>0</v>
      </c>
      <c r="O212" t="n">
        <v>0</v>
      </c>
      <c r="P212" t="n">
        <v>0</v>
      </c>
      <c r="Q212" t="n">
        <v>0</v>
      </c>
      <c r="R212" s="2" t="inlineStr"/>
    </row>
    <row r="213" ht="15" customHeight="1">
      <c r="A213" t="inlineStr">
        <is>
          <t>A 13817-2024</t>
        </is>
      </c>
      <c r="B213" s="1" t="n">
        <v>45391.41976851852</v>
      </c>
      <c r="C213" s="1" t="n">
        <v>46073</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46073</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30406-2023</t>
        </is>
      </c>
      <c r="B215" s="1" t="n">
        <v>45111.48787037037</v>
      </c>
      <c r="C215" s="1" t="n">
        <v>46073</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48299-2025</t>
        </is>
      </c>
      <c r="B216" s="1" t="n">
        <v>45933.60982638889</v>
      </c>
      <c r="C216" s="1" t="n">
        <v>46073</v>
      </c>
      <c r="D216" t="inlineStr">
        <is>
          <t>KALMAR LÄN</t>
        </is>
      </c>
      <c r="E216" t="inlineStr">
        <is>
          <t>VIMMERBY</t>
        </is>
      </c>
      <c r="G216" t="n">
        <v>1.8</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46073</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28395-2023</t>
        </is>
      </c>
      <c r="B218" s="1" t="n">
        <v>45100.4062962963</v>
      </c>
      <c r="C218" s="1" t="n">
        <v>46073</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29020-2024</t>
        </is>
      </c>
      <c r="B219" s="1" t="n">
        <v>45481.58048611111</v>
      </c>
      <c r="C219" s="1" t="n">
        <v>46073</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48723-2025</t>
        </is>
      </c>
      <c r="B220" s="1" t="n">
        <v>45936.65121527778</v>
      </c>
      <c r="C220" s="1" t="n">
        <v>46073</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18501-2024</t>
        </is>
      </c>
      <c r="B221" s="1" t="n">
        <v>45425.57538194444</v>
      </c>
      <c r="C221" s="1" t="n">
        <v>46073</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48600-2025</t>
        </is>
      </c>
      <c r="B222" s="1" t="n">
        <v>45935</v>
      </c>
      <c r="C222" s="1" t="n">
        <v>46073</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48408-2025</t>
        </is>
      </c>
      <c r="B223" s="1" t="n">
        <v>45934.40527777778</v>
      </c>
      <c r="C223" s="1" t="n">
        <v>46073</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48409-2025</t>
        </is>
      </c>
      <c r="B224" s="1" t="n">
        <v>45934.41387731482</v>
      </c>
      <c r="C224" s="1" t="n">
        <v>46073</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48712-2025</t>
        </is>
      </c>
      <c r="B225" s="1" t="n">
        <v>45936.63373842592</v>
      </c>
      <c r="C225" s="1" t="n">
        <v>46073</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25799-2023</t>
        </is>
      </c>
      <c r="B226" s="1" t="n">
        <v>45090</v>
      </c>
      <c r="C226" s="1" t="n">
        <v>46073</v>
      </c>
      <c r="D226" t="inlineStr">
        <is>
          <t>KALMAR LÄN</t>
        </is>
      </c>
      <c r="E226" t="inlineStr">
        <is>
          <t>VIMMERBY</t>
        </is>
      </c>
      <c r="G226" t="n">
        <v>7.7</v>
      </c>
      <c r="H226" t="n">
        <v>0</v>
      </c>
      <c r="I226" t="n">
        <v>0</v>
      </c>
      <c r="J226" t="n">
        <v>0</v>
      </c>
      <c r="K226" t="n">
        <v>0</v>
      </c>
      <c r="L226" t="n">
        <v>0</v>
      </c>
      <c r="M226" t="n">
        <v>0</v>
      </c>
      <c r="N226" t="n">
        <v>0</v>
      </c>
      <c r="O226" t="n">
        <v>0</v>
      </c>
      <c r="P226" t="n">
        <v>0</v>
      </c>
      <c r="Q226" t="n">
        <v>0</v>
      </c>
      <c r="R226" s="2" t="inlineStr"/>
    </row>
    <row r="227" ht="15" customHeight="1">
      <c r="A227" t="inlineStr">
        <is>
          <t>A 16015-2025</t>
        </is>
      </c>
      <c r="B227" s="1" t="n">
        <v>45749.60487268519</v>
      </c>
      <c r="C227" s="1" t="n">
        <v>46073</v>
      </c>
      <c r="D227" t="inlineStr">
        <is>
          <t>KALMAR LÄN</t>
        </is>
      </c>
      <c r="E227" t="inlineStr">
        <is>
          <t>VIMMERBY</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57256-2023</t>
        </is>
      </c>
      <c r="B228" s="1" t="n">
        <v>45245.5735300926</v>
      </c>
      <c r="C228" s="1" t="n">
        <v>46073</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23088-2024</t>
        </is>
      </c>
      <c r="B229" s="1" t="n">
        <v>45450.51092592593</v>
      </c>
      <c r="C229" s="1" t="n">
        <v>46073</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57189-2022</t>
        </is>
      </c>
      <c r="B230" s="1" t="n">
        <v>44895.62296296296</v>
      </c>
      <c r="C230" s="1" t="n">
        <v>46073</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29726-2025</t>
        </is>
      </c>
      <c r="B231" s="1" t="n">
        <v>45825.57805555555</v>
      </c>
      <c r="C231" s="1" t="n">
        <v>46073</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1987-2024</t>
        </is>
      </c>
      <c r="B232" s="1" t="n">
        <v>45308.61152777778</v>
      </c>
      <c r="C232" s="1" t="n">
        <v>46073</v>
      </c>
      <c r="D232" t="inlineStr">
        <is>
          <t>KALMAR LÄN</t>
        </is>
      </c>
      <c r="E232" t="inlineStr">
        <is>
          <t>VIMMERBY</t>
        </is>
      </c>
      <c r="G232" t="n">
        <v>3</v>
      </c>
      <c r="H232" t="n">
        <v>0</v>
      </c>
      <c r="I232" t="n">
        <v>0</v>
      </c>
      <c r="J232" t="n">
        <v>0</v>
      </c>
      <c r="K232" t="n">
        <v>0</v>
      </c>
      <c r="L232" t="n">
        <v>0</v>
      </c>
      <c r="M232" t="n">
        <v>0</v>
      </c>
      <c r="N232" t="n">
        <v>0</v>
      </c>
      <c r="O232" t="n">
        <v>0</v>
      </c>
      <c r="P232" t="n">
        <v>0</v>
      </c>
      <c r="Q232" t="n">
        <v>0</v>
      </c>
      <c r="R232" s="2" t="inlineStr"/>
    </row>
    <row r="233" ht="15" customHeight="1">
      <c r="A233" t="inlineStr">
        <is>
          <t>A 527-2024</t>
        </is>
      </c>
      <c r="B233" s="1" t="n">
        <v>45299.47513888889</v>
      </c>
      <c r="C233" s="1" t="n">
        <v>46073</v>
      </c>
      <c r="D233" t="inlineStr">
        <is>
          <t>KALMAR LÄN</t>
        </is>
      </c>
      <c r="E233" t="inlineStr">
        <is>
          <t>VIMMERBY</t>
        </is>
      </c>
      <c r="G233" t="n">
        <v>2.2</v>
      </c>
      <c r="H233" t="n">
        <v>0</v>
      </c>
      <c r="I233" t="n">
        <v>0</v>
      </c>
      <c r="J233" t="n">
        <v>0</v>
      </c>
      <c r="K233" t="n">
        <v>0</v>
      </c>
      <c r="L233" t="n">
        <v>0</v>
      </c>
      <c r="M233" t="n">
        <v>0</v>
      </c>
      <c r="N233" t="n">
        <v>0</v>
      </c>
      <c r="O233" t="n">
        <v>0</v>
      </c>
      <c r="P233" t="n">
        <v>0</v>
      </c>
      <c r="Q233" t="n">
        <v>0</v>
      </c>
      <c r="R233" s="2" t="inlineStr"/>
    </row>
    <row r="234" ht="15" customHeight="1">
      <c r="A234" t="inlineStr">
        <is>
          <t>A 38964-2025</t>
        </is>
      </c>
      <c r="B234" s="1" t="n">
        <v>45887.68759259259</v>
      </c>
      <c r="C234" s="1" t="n">
        <v>46073</v>
      </c>
      <c r="D234" t="inlineStr">
        <is>
          <t>KALMAR LÄN</t>
        </is>
      </c>
      <c r="E234" t="inlineStr">
        <is>
          <t>VIMMERBY</t>
        </is>
      </c>
      <c r="G234" t="n">
        <v>7.5</v>
      </c>
      <c r="H234" t="n">
        <v>0</v>
      </c>
      <c r="I234" t="n">
        <v>0</v>
      </c>
      <c r="J234" t="n">
        <v>0</v>
      </c>
      <c r="K234" t="n">
        <v>0</v>
      </c>
      <c r="L234" t="n">
        <v>0</v>
      </c>
      <c r="M234" t="n">
        <v>0</v>
      </c>
      <c r="N234" t="n">
        <v>0</v>
      </c>
      <c r="O234" t="n">
        <v>0</v>
      </c>
      <c r="P234" t="n">
        <v>0</v>
      </c>
      <c r="Q234" t="n">
        <v>0</v>
      </c>
      <c r="R234" s="2" t="inlineStr"/>
    </row>
    <row r="235" ht="15" customHeight="1">
      <c r="A235" t="inlineStr">
        <is>
          <t>A 37192-2024</t>
        </is>
      </c>
      <c r="B235" s="1" t="n">
        <v>45539.66027777778</v>
      </c>
      <c r="C235" s="1" t="n">
        <v>46073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25582-2024</t>
        </is>
      </c>
      <c r="B236" s="1" t="n">
        <v>45463</v>
      </c>
      <c r="C236" s="1" t="n">
        <v>46073</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57578-2024</t>
        </is>
      </c>
      <c r="B237" s="1" t="n">
        <v>45630.47564814815</v>
      </c>
      <c r="C237" s="1" t="n">
        <v>46073</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47063-2022</t>
        </is>
      </c>
      <c r="B238" s="1" t="n">
        <v>44852</v>
      </c>
      <c r="C238" s="1" t="n">
        <v>46073</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12819-2024</t>
        </is>
      </c>
      <c r="B239" s="1" t="n">
        <v>45384.66917824074</v>
      </c>
      <c r="C239" s="1" t="n">
        <v>46073</v>
      </c>
      <c r="D239" t="inlineStr">
        <is>
          <t>KALMAR LÄN</t>
        </is>
      </c>
      <c r="E239" t="inlineStr">
        <is>
          <t>VIMMERBY</t>
        </is>
      </c>
      <c r="G239" t="n">
        <v>5.1</v>
      </c>
      <c r="H239" t="n">
        <v>0</v>
      </c>
      <c r="I239" t="n">
        <v>0</v>
      </c>
      <c r="J239" t="n">
        <v>0</v>
      </c>
      <c r="K239" t="n">
        <v>0</v>
      </c>
      <c r="L239" t="n">
        <v>0</v>
      </c>
      <c r="M239" t="n">
        <v>0</v>
      </c>
      <c r="N239" t="n">
        <v>0</v>
      </c>
      <c r="O239" t="n">
        <v>0</v>
      </c>
      <c r="P239" t="n">
        <v>0</v>
      </c>
      <c r="Q239" t="n">
        <v>0</v>
      </c>
      <c r="R239" s="2" t="inlineStr"/>
    </row>
    <row r="240" ht="15" customHeight="1">
      <c r="A240" t="inlineStr">
        <is>
          <t>A 39801-2025</t>
        </is>
      </c>
      <c r="B240" s="1" t="n">
        <v>45891.50216435185</v>
      </c>
      <c r="C240" s="1" t="n">
        <v>46073</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39807-2025</t>
        </is>
      </c>
      <c r="B241" s="1" t="n">
        <v>45891.50986111111</v>
      </c>
      <c r="C241" s="1" t="n">
        <v>46073</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22399-2025</t>
        </is>
      </c>
      <c r="B242" s="1" t="n">
        <v>45786.52996527778</v>
      </c>
      <c r="C242" s="1" t="n">
        <v>46073</v>
      </c>
      <c r="D242" t="inlineStr">
        <is>
          <t>KALMAR LÄN</t>
        </is>
      </c>
      <c r="E242" t="inlineStr">
        <is>
          <t>VIMMERBY</t>
        </is>
      </c>
      <c r="G242" t="n">
        <v>2.1</v>
      </c>
      <c r="H242" t="n">
        <v>0</v>
      </c>
      <c r="I242" t="n">
        <v>0</v>
      </c>
      <c r="J242" t="n">
        <v>0</v>
      </c>
      <c r="K242" t="n">
        <v>0</v>
      </c>
      <c r="L242" t="n">
        <v>0</v>
      </c>
      <c r="M242" t="n">
        <v>0</v>
      </c>
      <c r="N242" t="n">
        <v>0</v>
      </c>
      <c r="O242" t="n">
        <v>0</v>
      </c>
      <c r="P242" t="n">
        <v>0</v>
      </c>
      <c r="Q242" t="n">
        <v>0</v>
      </c>
      <c r="R242" s="2" t="inlineStr"/>
    </row>
    <row r="243" ht="15" customHeight="1">
      <c r="A243" t="inlineStr">
        <is>
          <t>A 31382-2023</t>
        </is>
      </c>
      <c r="B243" s="1" t="n">
        <v>45114.55136574074</v>
      </c>
      <c r="C243" s="1" t="n">
        <v>46073</v>
      </c>
      <c r="D243" t="inlineStr">
        <is>
          <t>KALMAR LÄN</t>
        </is>
      </c>
      <c r="E243" t="inlineStr">
        <is>
          <t>VIMMERBY</t>
        </is>
      </c>
      <c r="G243" t="n">
        <v>3.7</v>
      </c>
      <c r="H243" t="n">
        <v>0</v>
      </c>
      <c r="I243" t="n">
        <v>0</v>
      </c>
      <c r="J243" t="n">
        <v>0</v>
      </c>
      <c r="K243" t="n">
        <v>0</v>
      </c>
      <c r="L243" t="n">
        <v>0</v>
      </c>
      <c r="M243" t="n">
        <v>0</v>
      </c>
      <c r="N243" t="n">
        <v>0</v>
      </c>
      <c r="O243" t="n">
        <v>0</v>
      </c>
      <c r="P243" t="n">
        <v>0</v>
      </c>
      <c r="Q243" t="n">
        <v>0</v>
      </c>
      <c r="R243" s="2" t="inlineStr"/>
    </row>
    <row r="244" ht="15" customHeight="1">
      <c r="A244" t="inlineStr">
        <is>
          <t>A 11073-2023</t>
        </is>
      </c>
      <c r="B244" s="1" t="n">
        <v>44992</v>
      </c>
      <c r="C244" s="1" t="n">
        <v>46073</v>
      </c>
      <c r="D244" t="inlineStr">
        <is>
          <t>KALMAR LÄN</t>
        </is>
      </c>
      <c r="E244" t="inlineStr">
        <is>
          <t>VIMMERBY</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39736-2025</t>
        </is>
      </c>
      <c r="B245" s="1" t="n">
        <v>45891</v>
      </c>
      <c r="C245" s="1" t="n">
        <v>46073</v>
      </c>
      <c r="D245" t="inlineStr">
        <is>
          <t>KALMAR LÄN</t>
        </is>
      </c>
      <c r="E245" t="inlineStr">
        <is>
          <t>VIMMERBY</t>
        </is>
      </c>
      <c r="G245" t="n">
        <v>12.8</v>
      </c>
      <c r="H245" t="n">
        <v>0</v>
      </c>
      <c r="I245" t="n">
        <v>0</v>
      </c>
      <c r="J245" t="n">
        <v>0</v>
      </c>
      <c r="K245" t="n">
        <v>0</v>
      </c>
      <c r="L245" t="n">
        <v>0</v>
      </c>
      <c r="M245" t="n">
        <v>0</v>
      </c>
      <c r="N245" t="n">
        <v>0</v>
      </c>
      <c r="O245" t="n">
        <v>0</v>
      </c>
      <c r="P245" t="n">
        <v>0</v>
      </c>
      <c r="Q245" t="n">
        <v>0</v>
      </c>
      <c r="R245" s="2" t="inlineStr"/>
    </row>
    <row r="246" ht="15" customHeight="1">
      <c r="A246" t="inlineStr">
        <is>
          <t>A 39803-2025</t>
        </is>
      </c>
      <c r="B246" s="1" t="n">
        <v>45891.50525462963</v>
      </c>
      <c r="C246" s="1" t="n">
        <v>46073</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39889-2025</t>
        </is>
      </c>
      <c r="B247" s="1" t="n">
        <v>45891</v>
      </c>
      <c r="C247" s="1" t="n">
        <v>46073</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59955-2023</t>
        </is>
      </c>
      <c r="B248" s="1" t="n">
        <v>45257.70313657408</v>
      </c>
      <c r="C248" s="1" t="n">
        <v>46073</v>
      </c>
      <c r="D248" t="inlineStr">
        <is>
          <t>KALMAR LÄN</t>
        </is>
      </c>
      <c r="E248" t="inlineStr">
        <is>
          <t>VIMMERBY</t>
        </is>
      </c>
      <c r="G248" t="n">
        <v>13.8</v>
      </c>
      <c r="H248" t="n">
        <v>0</v>
      </c>
      <c r="I248" t="n">
        <v>0</v>
      </c>
      <c r="J248" t="n">
        <v>0</v>
      </c>
      <c r="K248" t="n">
        <v>0</v>
      </c>
      <c r="L248" t="n">
        <v>0</v>
      </c>
      <c r="M248" t="n">
        <v>0</v>
      </c>
      <c r="N248" t="n">
        <v>0</v>
      </c>
      <c r="O248" t="n">
        <v>0</v>
      </c>
      <c r="P248" t="n">
        <v>0</v>
      </c>
      <c r="Q248" t="n">
        <v>0</v>
      </c>
      <c r="R248" s="2" t="inlineStr"/>
    </row>
    <row r="249" ht="15" customHeight="1">
      <c r="A249" t="inlineStr">
        <is>
          <t>A 22397-2025</t>
        </is>
      </c>
      <c r="B249" s="1" t="n">
        <v>45786.52878472222</v>
      </c>
      <c r="C249" s="1" t="n">
        <v>46073</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36802-2021</t>
        </is>
      </c>
      <c r="B250" s="1" t="n">
        <v>44392</v>
      </c>
      <c r="C250" s="1" t="n">
        <v>46073</v>
      </c>
      <c r="D250" t="inlineStr">
        <is>
          <t>KALMAR LÄN</t>
        </is>
      </c>
      <c r="E250" t="inlineStr">
        <is>
          <t>VIMMERBY</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61820-2023</t>
        </is>
      </c>
      <c r="B251" s="1" t="n">
        <v>45266.32614583334</v>
      </c>
      <c r="C251" s="1" t="n">
        <v>46073</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3269-2024</t>
        </is>
      </c>
      <c r="B252" s="1" t="n">
        <v>45317.40372685185</v>
      </c>
      <c r="C252" s="1" t="n">
        <v>46073</v>
      </c>
      <c r="D252" t="inlineStr">
        <is>
          <t>KALMAR LÄN</t>
        </is>
      </c>
      <c r="E252" t="inlineStr">
        <is>
          <t>VIMMERBY</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2157-2024</t>
        </is>
      </c>
      <c r="B253" s="1" t="n">
        <v>45309.59487268519</v>
      </c>
      <c r="C253" s="1" t="n">
        <v>46073</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40970-2025</t>
        </is>
      </c>
      <c r="B254" s="1" t="n">
        <v>45897.88706018519</v>
      </c>
      <c r="C254" s="1" t="n">
        <v>46073</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40973-2025</t>
        </is>
      </c>
      <c r="B255" s="1" t="n">
        <v>45897.89737268518</v>
      </c>
      <c r="C255" s="1" t="n">
        <v>46073</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9416-2024</t>
        </is>
      </c>
      <c r="B256" s="1" t="n">
        <v>45359.44837962963</v>
      </c>
      <c r="C256" s="1" t="n">
        <v>46073</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58318-2021</t>
        </is>
      </c>
      <c r="B257" s="1" t="n">
        <v>44488.35878472222</v>
      </c>
      <c r="C257" s="1" t="n">
        <v>46073</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53083-2021</t>
        </is>
      </c>
      <c r="B258" s="1" t="n">
        <v>44467.83386574074</v>
      </c>
      <c r="C258" s="1" t="n">
        <v>46073</v>
      </c>
      <c r="D258" t="inlineStr">
        <is>
          <t>KALMAR LÄN</t>
        </is>
      </c>
      <c r="E258" t="inlineStr">
        <is>
          <t>VIMMERBY</t>
        </is>
      </c>
      <c r="G258" t="n">
        <v>6.8</v>
      </c>
      <c r="H258" t="n">
        <v>0</v>
      </c>
      <c r="I258" t="n">
        <v>0</v>
      </c>
      <c r="J258" t="n">
        <v>0</v>
      </c>
      <c r="K258" t="n">
        <v>0</v>
      </c>
      <c r="L258" t="n">
        <v>0</v>
      </c>
      <c r="M258" t="n">
        <v>0</v>
      </c>
      <c r="N258" t="n">
        <v>0</v>
      </c>
      <c r="O258" t="n">
        <v>0</v>
      </c>
      <c r="P258" t="n">
        <v>0</v>
      </c>
      <c r="Q258" t="n">
        <v>0</v>
      </c>
      <c r="R258" s="2" t="inlineStr"/>
    </row>
    <row r="259" ht="15" customHeight="1">
      <c r="A259" t="inlineStr">
        <is>
          <t>A 29173-2024</t>
        </is>
      </c>
      <c r="B259" s="1" t="n">
        <v>45482.52887731481</v>
      </c>
      <c r="C259" s="1" t="n">
        <v>46073</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11442-2025</t>
        </is>
      </c>
      <c r="B260" s="1" t="n">
        <v>45726.62721064815</v>
      </c>
      <c r="C260" s="1" t="n">
        <v>46073</v>
      </c>
      <c r="D260" t="inlineStr">
        <is>
          <t>KALMAR LÄN</t>
        </is>
      </c>
      <c r="E260" t="inlineStr">
        <is>
          <t>VIMMERBY</t>
        </is>
      </c>
      <c r="G260" t="n">
        <v>2.6</v>
      </c>
      <c r="H260" t="n">
        <v>0</v>
      </c>
      <c r="I260" t="n">
        <v>0</v>
      </c>
      <c r="J260" t="n">
        <v>0</v>
      </c>
      <c r="K260" t="n">
        <v>0</v>
      </c>
      <c r="L260" t="n">
        <v>0</v>
      </c>
      <c r="M260" t="n">
        <v>0</v>
      </c>
      <c r="N260" t="n">
        <v>0</v>
      </c>
      <c r="O260" t="n">
        <v>0</v>
      </c>
      <c r="P260" t="n">
        <v>0</v>
      </c>
      <c r="Q260" t="n">
        <v>0</v>
      </c>
      <c r="R260" s="2" t="inlineStr"/>
    </row>
    <row r="261" ht="15" customHeight="1">
      <c r="A261" t="inlineStr">
        <is>
          <t>A 41224-2025</t>
        </is>
      </c>
      <c r="B261" s="1" t="n">
        <v>45898.58861111111</v>
      </c>
      <c r="C261" s="1" t="n">
        <v>46073</v>
      </c>
      <c r="D261" t="inlineStr">
        <is>
          <t>KALMAR LÄN</t>
        </is>
      </c>
      <c r="E261" t="inlineStr">
        <is>
          <t>VIMMERBY</t>
        </is>
      </c>
      <c r="G261" t="n">
        <v>4.4</v>
      </c>
      <c r="H261" t="n">
        <v>0</v>
      </c>
      <c r="I261" t="n">
        <v>0</v>
      </c>
      <c r="J261" t="n">
        <v>0</v>
      </c>
      <c r="K261" t="n">
        <v>0</v>
      </c>
      <c r="L261" t="n">
        <v>0</v>
      </c>
      <c r="M261" t="n">
        <v>0</v>
      </c>
      <c r="N261" t="n">
        <v>0</v>
      </c>
      <c r="O261" t="n">
        <v>0</v>
      </c>
      <c r="P261" t="n">
        <v>0</v>
      </c>
      <c r="Q261" t="n">
        <v>0</v>
      </c>
      <c r="R261" s="2" t="inlineStr"/>
    </row>
    <row r="262" ht="15" customHeight="1">
      <c r="A262" t="inlineStr">
        <is>
          <t>A 11111-2024</t>
        </is>
      </c>
      <c r="B262" s="1" t="n">
        <v>45371.36359953704</v>
      </c>
      <c r="C262" s="1" t="n">
        <v>46073</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11141-2024</t>
        </is>
      </c>
      <c r="B263" s="1" t="n">
        <v>45371.45865740741</v>
      </c>
      <c r="C263" s="1" t="n">
        <v>46073</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9418-2024</t>
        </is>
      </c>
      <c r="B264" s="1" t="n">
        <v>45359.45038194444</v>
      </c>
      <c r="C264" s="1" t="n">
        <v>46073</v>
      </c>
      <c r="D264" t="inlineStr">
        <is>
          <t>KALMAR LÄN</t>
        </is>
      </c>
      <c r="E264" t="inlineStr">
        <is>
          <t>VIMMERBY</t>
        </is>
      </c>
      <c r="G264" t="n">
        <v>1.9</v>
      </c>
      <c r="H264" t="n">
        <v>0</v>
      </c>
      <c r="I264" t="n">
        <v>0</v>
      </c>
      <c r="J264" t="n">
        <v>0</v>
      </c>
      <c r="K264" t="n">
        <v>0</v>
      </c>
      <c r="L264" t="n">
        <v>0</v>
      </c>
      <c r="M264" t="n">
        <v>0</v>
      </c>
      <c r="N264" t="n">
        <v>0</v>
      </c>
      <c r="O264" t="n">
        <v>0</v>
      </c>
      <c r="P264" t="n">
        <v>0</v>
      </c>
      <c r="Q264" t="n">
        <v>0</v>
      </c>
      <c r="R264" s="2" t="inlineStr"/>
    </row>
    <row r="265" ht="15" customHeight="1">
      <c r="A265" t="inlineStr">
        <is>
          <t>A 6307-2025</t>
        </is>
      </c>
      <c r="B265" s="1" t="n">
        <v>45698.69016203703</v>
      </c>
      <c r="C265" s="1" t="n">
        <v>46073</v>
      </c>
      <c r="D265" t="inlineStr">
        <is>
          <t>KALMAR LÄN</t>
        </is>
      </c>
      <c r="E265" t="inlineStr">
        <is>
          <t>VIMMERBY</t>
        </is>
      </c>
      <c r="G265" t="n">
        <v>3</v>
      </c>
      <c r="H265" t="n">
        <v>0</v>
      </c>
      <c r="I265" t="n">
        <v>0</v>
      </c>
      <c r="J265" t="n">
        <v>0</v>
      </c>
      <c r="K265" t="n">
        <v>0</v>
      </c>
      <c r="L265" t="n">
        <v>0</v>
      </c>
      <c r="M265" t="n">
        <v>0</v>
      </c>
      <c r="N265" t="n">
        <v>0</v>
      </c>
      <c r="O265" t="n">
        <v>0</v>
      </c>
      <c r="P265" t="n">
        <v>0</v>
      </c>
      <c r="Q265" t="n">
        <v>0</v>
      </c>
      <c r="R265" s="2" t="inlineStr"/>
    </row>
    <row r="266" ht="15" customHeight="1">
      <c r="A266" t="inlineStr">
        <is>
          <t>A 49313-2022</t>
        </is>
      </c>
      <c r="B266" s="1" t="n">
        <v>44861.52505787037</v>
      </c>
      <c r="C266" s="1" t="n">
        <v>46073</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35998-2024</t>
        </is>
      </c>
      <c r="B267" s="1" t="n">
        <v>45533.54429398148</v>
      </c>
      <c r="C267" s="1" t="n">
        <v>46073</v>
      </c>
      <c r="D267" t="inlineStr">
        <is>
          <t>KALMAR LÄN</t>
        </is>
      </c>
      <c r="E267" t="inlineStr">
        <is>
          <t>VIMMERBY</t>
        </is>
      </c>
      <c r="G267" t="n">
        <v>8.6</v>
      </c>
      <c r="H267" t="n">
        <v>0</v>
      </c>
      <c r="I267" t="n">
        <v>0</v>
      </c>
      <c r="J267" t="n">
        <v>0</v>
      </c>
      <c r="K267" t="n">
        <v>0</v>
      </c>
      <c r="L267" t="n">
        <v>0</v>
      </c>
      <c r="M267" t="n">
        <v>0</v>
      </c>
      <c r="N267" t="n">
        <v>0</v>
      </c>
      <c r="O267" t="n">
        <v>0</v>
      </c>
      <c r="P267" t="n">
        <v>0</v>
      </c>
      <c r="Q267" t="n">
        <v>0</v>
      </c>
      <c r="R267" s="2" t="inlineStr"/>
    </row>
    <row r="268" ht="15" customHeight="1">
      <c r="A268" t="inlineStr">
        <is>
          <t>A 36040-2024</t>
        </is>
      </c>
      <c r="B268" s="1" t="n">
        <v>45533.60232638889</v>
      </c>
      <c r="C268" s="1" t="n">
        <v>46073</v>
      </c>
      <c r="D268" t="inlineStr">
        <is>
          <t>KALMAR LÄN</t>
        </is>
      </c>
      <c r="E268" t="inlineStr">
        <is>
          <t>VIMMERBY</t>
        </is>
      </c>
      <c r="F268" t="inlineStr">
        <is>
          <t>Kommuner</t>
        </is>
      </c>
      <c r="G268" t="n">
        <v>3.6</v>
      </c>
      <c r="H268" t="n">
        <v>0</v>
      </c>
      <c r="I268" t="n">
        <v>0</v>
      </c>
      <c r="J268" t="n">
        <v>0</v>
      </c>
      <c r="K268" t="n">
        <v>0</v>
      </c>
      <c r="L268" t="n">
        <v>0</v>
      </c>
      <c r="M268" t="n">
        <v>0</v>
      </c>
      <c r="N268" t="n">
        <v>0</v>
      </c>
      <c r="O268" t="n">
        <v>0</v>
      </c>
      <c r="P268" t="n">
        <v>0</v>
      </c>
      <c r="Q268" t="n">
        <v>0</v>
      </c>
      <c r="R268" s="2" t="inlineStr"/>
    </row>
    <row r="269" ht="15" customHeight="1">
      <c r="A269" t="inlineStr">
        <is>
          <t>A 36043-2024</t>
        </is>
      </c>
      <c r="B269" s="1" t="n">
        <v>45533.60770833334</v>
      </c>
      <c r="C269" s="1" t="n">
        <v>46073</v>
      </c>
      <c r="D269" t="inlineStr">
        <is>
          <t>KALMAR LÄN</t>
        </is>
      </c>
      <c r="E269" t="inlineStr">
        <is>
          <t>VIMMERBY</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40925-2025</t>
        </is>
      </c>
      <c r="B270" s="1" t="n">
        <v>45897.64208333333</v>
      </c>
      <c r="C270" s="1" t="n">
        <v>46073</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22197-2024</t>
        </is>
      </c>
      <c r="B271" s="1" t="n">
        <v>45446.36774305555</v>
      </c>
      <c r="C271" s="1" t="n">
        <v>46073</v>
      </c>
      <c r="D271" t="inlineStr">
        <is>
          <t>KALMAR LÄN</t>
        </is>
      </c>
      <c r="E271" t="inlineStr">
        <is>
          <t>VIMMERBY</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40921-2025</t>
        </is>
      </c>
      <c r="B272" s="1" t="n">
        <v>45897.63520833333</v>
      </c>
      <c r="C272" s="1" t="n">
        <v>46073</v>
      </c>
      <c r="D272" t="inlineStr">
        <is>
          <t>KALMAR LÄN</t>
        </is>
      </c>
      <c r="E272" t="inlineStr">
        <is>
          <t>VIMMERBY</t>
        </is>
      </c>
      <c r="G272" t="n">
        <v>4.2</v>
      </c>
      <c r="H272" t="n">
        <v>0</v>
      </c>
      <c r="I272" t="n">
        <v>0</v>
      </c>
      <c r="J272" t="n">
        <v>0</v>
      </c>
      <c r="K272" t="n">
        <v>0</v>
      </c>
      <c r="L272" t="n">
        <v>0</v>
      </c>
      <c r="M272" t="n">
        <v>0</v>
      </c>
      <c r="N272" t="n">
        <v>0</v>
      </c>
      <c r="O272" t="n">
        <v>0</v>
      </c>
      <c r="P272" t="n">
        <v>0</v>
      </c>
      <c r="Q272" t="n">
        <v>0</v>
      </c>
      <c r="R272" s="2" t="inlineStr"/>
    </row>
    <row r="273" ht="15" customHeight="1">
      <c r="A273" t="inlineStr">
        <is>
          <t>A 40971-2025</t>
        </is>
      </c>
      <c r="B273" s="1" t="n">
        <v>45897.88836805556</v>
      </c>
      <c r="C273" s="1" t="n">
        <v>46073</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35710-2023</t>
        </is>
      </c>
      <c r="B274" s="1" t="n">
        <v>45147.67096064815</v>
      </c>
      <c r="C274" s="1" t="n">
        <v>46073</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23394-2025</t>
        </is>
      </c>
      <c r="B275" s="1" t="n">
        <v>45791.89865740741</v>
      </c>
      <c r="C275" s="1" t="n">
        <v>46073</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35711-2023</t>
        </is>
      </c>
      <c r="B276" s="1" t="n">
        <v>45147.67172453704</v>
      </c>
      <c r="C276" s="1" t="n">
        <v>46073</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41591-2025</t>
        </is>
      </c>
      <c r="B277" s="1" t="n">
        <v>45901.6327662037</v>
      </c>
      <c r="C277" s="1" t="n">
        <v>46073</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41589-2025</t>
        </is>
      </c>
      <c r="B278" s="1" t="n">
        <v>45901.63219907408</v>
      </c>
      <c r="C278" s="1" t="n">
        <v>46073</v>
      </c>
      <c r="D278" t="inlineStr">
        <is>
          <t>KALMAR LÄN</t>
        </is>
      </c>
      <c r="E278" t="inlineStr">
        <is>
          <t>VIMMERBY</t>
        </is>
      </c>
      <c r="G278" t="n">
        <v>1.7</v>
      </c>
      <c r="H278" t="n">
        <v>0</v>
      </c>
      <c r="I278" t="n">
        <v>0</v>
      </c>
      <c r="J278" t="n">
        <v>0</v>
      </c>
      <c r="K278" t="n">
        <v>0</v>
      </c>
      <c r="L278" t="n">
        <v>0</v>
      </c>
      <c r="M278" t="n">
        <v>0</v>
      </c>
      <c r="N278" t="n">
        <v>0</v>
      </c>
      <c r="O278" t="n">
        <v>0</v>
      </c>
      <c r="P278" t="n">
        <v>0</v>
      </c>
      <c r="Q278" t="n">
        <v>0</v>
      </c>
      <c r="R278" s="2" t="inlineStr"/>
    </row>
    <row r="279" ht="15" customHeight="1">
      <c r="A279" t="inlineStr">
        <is>
          <t>A 34090-2025</t>
        </is>
      </c>
      <c r="B279" s="1" t="n">
        <v>45845</v>
      </c>
      <c r="C279" s="1" t="n">
        <v>46073</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41735-2025</t>
        </is>
      </c>
      <c r="B280" s="1" t="n">
        <v>45902.47164351852</v>
      </c>
      <c r="C280" s="1" t="n">
        <v>46073</v>
      </c>
      <c r="D280" t="inlineStr">
        <is>
          <t>KALMAR LÄN</t>
        </is>
      </c>
      <c r="E280" t="inlineStr">
        <is>
          <t>VIMMERBY</t>
        </is>
      </c>
      <c r="G280" t="n">
        <v>3</v>
      </c>
      <c r="H280" t="n">
        <v>0</v>
      </c>
      <c r="I280" t="n">
        <v>0</v>
      </c>
      <c r="J280" t="n">
        <v>0</v>
      </c>
      <c r="K280" t="n">
        <v>0</v>
      </c>
      <c r="L280" t="n">
        <v>0</v>
      </c>
      <c r="M280" t="n">
        <v>0</v>
      </c>
      <c r="N280" t="n">
        <v>0</v>
      </c>
      <c r="O280" t="n">
        <v>0</v>
      </c>
      <c r="P280" t="n">
        <v>0</v>
      </c>
      <c r="Q280" t="n">
        <v>0</v>
      </c>
      <c r="R280" s="2" t="inlineStr"/>
    </row>
    <row r="281" ht="15" customHeight="1">
      <c r="A281" t="inlineStr">
        <is>
          <t>A 34588-2024</t>
        </is>
      </c>
      <c r="B281" s="1" t="n">
        <v>45526.3865625</v>
      </c>
      <c r="C281" s="1" t="n">
        <v>46073</v>
      </c>
      <c r="D281" t="inlineStr">
        <is>
          <t>KALMAR LÄN</t>
        </is>
      </c>
      <c r="E281" t="inlineStr">
        <is>
          <t>VIMMERBY</t>
        </is>
      </c>
      <c r="F281" t="inlineStr">
        <is>
          <t>Övriga Aktiebolag</t>
        </is>
      </c>
      <c r="G281" t="n">
        <v>3.3</v>
      </c>
      <c r="H281" t="n">
        <v>0</v>
      </c>
      <c r="I281" t="n">
        <v>0</v>
      </c>
      <c r="J281" t="n">
        <v>0</v>
      </c>
      <c r="K281" t="n">
        <v>0</v>
      </c>
      <c r="L281" t="n">
        <v>0</v>
      </c>
      <c r="M281" t="n">
        <v>0</v>
      </c>
      <c r="N281" t="n">
        <v>0</v>
      </c>
      <c r="O281" t="n">
        <v>0</v>
      </c>
      <c r="P281" t="n">
        <v>0</v>
      </c>
      <c r="Q281" t="n">
        <v>0</v>
      </c>
      <c r="R281" s="2" t="inlineStr"/>
    </row>
    <row r="282" ht="15" customHeight="1">
      <c r="A282" t="inlineStr">
        <is>
          <t>A 56659-2023</t>
        </is>
      </c>
      <c r="B282" s="1" t="n">
        <v>45243.84869212963</v>
      </c>
      <c r="C282" s="1" t="n">
        <v>46073</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49871-2025</t>
        </is>
      </c>
      <c r="B283" s="1" t="n">
        <v>45940.54104166666</v>
      </c>
      <c r="C283" s="1" t="n">
        <v>46073</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50324-2025</t>
        </is>
      </c>
      <c r="B284" s="1" t="n">
        <v>45944.45962962963</v>
      </c>
      <c r="C284" s="1" t="n">
        <v>46073</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23984-2025</t>
        </is>
      </c>
      <c r="B285" s="1" t="n">
        <v>45796</v>
      </c>
      <c r="C285" s="1" t="n">
        <v>46073</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42828-2025</t>
        </is>
      </c>
      <c r="B286" s="1" t="n">
        <v>45908.57716435185</v>
      </c>
      <c r="C286" s="1" t="n">
        <v>46073</v>
      </c>
      <c r="D286" t="inlineStr">
        <is>
          <t>KALMAR LÄN</t>
        </is>
      </c>
      <c r="E286" t="inlineStr">
        <is>
          <t>VIMMERBY</t>
        </is>
      </c>
      <c r="G286" t="n">
        <v>5.2</v>
      </c>
      <c r="H286" t="n">
        <v>0</v>
      </c>
      <c r="I286" t="n">
        <v>0</v>
      </c>
      <c r="J286" t="n">
        <v>0</v>
      </c>
      <c r="K286" t="n">
        <v>0</v>
      </c>
      <c r="L286" t="n">
        <v>0</v>
      </c>
      <c r="M286" t="n">
        <v>0</v>
      </c>
      <c r="N286" t="n">
        <v>0</v>
      </c>
      <c r="O286" t="n">
        <v>0</v>
      </c>
      <c r="P286" t="n">
        <v>0</v>
      </c>
      <c r="Q286" t="n">
        <v>0</v>
      </c>
      <c r="R286" s="2" t="inlineStr"/>
    </row>
    <row r="287" ht="15" customHeight="1">
      <c r="A287" t="inlineStr">
        <is>
          <t>A 50544-2025</t>
        </is>
      </c>
      <c r="B287" s="1" t="n">
        <v>45945.50736111111</v>
      </c>
      <c r="C287" s="1" t="n">
        <v>46073</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3331-2023</t>
        </is>
      </c>
      <c r="B288" s="1" t="n">
        <v>44949</v>
      </c>
      <c r="C288" s="1" t="n">
        <v>46073</v>
      </c>
      <c r="D288" t="inlineStr">
        <is>
          <t>KALMAR LÄN</t>
        </is>
      </c>
      <c r="E288" t="inlineStr">
        <is>
          <t>VIMMERBY</t>
        </is>
      </c>
      <c r="G288" t="n">
        <v>6.2</v>
      </c>
      <c r="H288" t="n">
        <v>0</v>
      </c>
      <c r="I288" t="n">
        <v>0</v>
      </c>
      <c r="J288" t="n">
        <v>0</v>
      </c>
      <c r="K288" t="n">
        <v>0</v>
      </c>
      <c r="L288" t="n">
        <v>0</v>
      </c>
      <c r="M288" t="n">
        <v>0</v>
      </c>
      <c r="N288" t="n">
        <v>0</v>
      </c>
      <c r="O288" t="n">
        <v>0</v>
      </c>
      <c r="P288" t="n">
        <v>0</v>
      </c>
      <c r="Q288" t="n">
        <v>0</v>
      </c>
      <c r="R288" s="2" t="inlineStr"/>
    </row>
    <row r="289" ht="15" customHeight="1">
      <c r="A289" t="inlineStr">
        <is>
          <t>A 51062-2025</t>
        </is>
      </c>
      <c r="B289" s="1" t="n">
        <v>45947.44685185186</v>
      </c>
      <c r="C289" s="1" t="n">
        <v>46073</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42794-2025</t>
        </is>
      </c>
      <c r="B290" s="1" t="n">
        <v>45908</v>
      </c>
      <c r="C290" s="1" t="n">
        <v>46073</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51993-2025</t>
        </is>
      </c>
      <c r="B291" s="1" t="n">
        <v>45952.58194444444</v>
      </c>
      <c r="C291" s="1" t="n">
        <v>46073</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40828-2023</t>
        </is>
      </c>
      <c r="B292" s="1" t="n">
        <v>45171.96248842592</v>
      </c>
      <c r="C292" s="1" t="n">
        <v>46073</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16734-2023</t>
        </is>
      </c>
      <c r="B293" s="1" t="n">
        <v>45030.71012731481</v>
      </c>
      <c r="C293" s="1" t="n">
        <v>46073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64143-2021</t>
        </is>
      </c>
      <c r="B294" s="1" t="n">
        <v>44510.52157407408</v>
      </c>
      <c r="C294" s="1" t="n">
        <v>46073</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42820-2025</t>
        </is>
      </c>
      <c r="B295" s="1" t="n">
        <v>45908</v>
      </c>
      <c r="C295" s="1" t="n">
        <v>46073</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9720-2023</t>
        </is>
      </c>
      <c r="B296" s="1" t="n">
        <v>44984</v>
      </c>
      <c r="C296" s="1" t="n">
        <v>46073</v>
      </c>
      <c r="D296" t="inlineStr">
        <is>
          <t>KALMAR LÄN</t>
        </is>
      </c>
      <c r="E296" t="inlineStr">
        <is>
          <t>VIMMERBY</t>
        </is>
      </c>
      <c r="G296" t="n">
        <v>4.4</v>
      </c>
      <c r="H296" t="n">
        <v>0</v>
      </c>
      <c r="I296" t="n">
        <v>0</v>
      </c>
      <c r="J296" t="n">
        <v>0</v>
      </c>
      <c r="K296" t="n">
        <v>0</v>
      </c>
      <c r="L296" t="n">
        <v>0</v>
      </c>
      <c r="M296" t="n">
        <v>0</v>
      </c>
      <c r="N296" t="n">
        <v>0</v>
      </c>
      <c r="O296" t="n">
        <v>0</v>
      </c>
      <c r="P296" t="n">
        <v>0</v>
      </c>
      <c r="Q296" t="n">
        <v>0</v>
      </c>
      <c r="R296" s="2" t="inlineStr"/>
    </row>
    <row r="297" ht="15" customHeight="1">
      <c r="A297" t="inlineStr">
        <is>
          <t>A 5938-2022</t>
        </is>
      </c>
      <c r="B297" s="1" t="n">
        <v>44598</v>
      </c>
      <c r="C297" s="1" t="n">
        <v>46073</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1687-2023</t>
        </is>
      </c>
      <c r="B298" s="1" t="n">
        <v>44938</v>
      </c>
      <c r="C298" s="1" t="n">
        <v>46073</v>
      </c>
      <c r="D298" t="inlineStr">
        <is>
          <t>KALMAR LÄN</t>
        </is>
      </c>
      <c r="E298" t="inlineStr">
        <is>
          <t>VIMMERBY</t>
        </is>
      </c>
      <c r="F298" t="inlineStr">
        <is>
          <t>Kommuner</t>
        </is>
      </c>
      <c r="G298" t="n">
        <v>2.5</v>
      </c>
      <c r="H298" t="n">
        <v>0</v>
      </c>
      <c r="I298" t="n">
        <v>0</v>
      </c>
      <c r="J298" t="n">
        <v>0</v>
      </c>
      <c r="K298" t="n">
        <v>0</v>
      </c>
      <c r="L298" t="n">
        <v>0</v>
      </c>
      <c r="M298" t="n">
        <v>0</v>
      </c>
      <c r="N298" t="n">
        <v>0</v>
      </c>
      <c r="O298" t="n">
        <v>0</v>
      </c>
      <c r="P298" t="n">
        <v>0</v>
      </c>
      <c r="Q298" t="n">
        <v>0</v>
      </c>
      <c r="R298" s="2" t="inlineStr"/>
    </row>
    <row r="299" ht="15" customHeight="1">
      <c r="A299" t="inlineStr">
        <is>
          <t>A 29440-2024</t>
        </is>
      </c>
      <c r="B299" s="1" t="n">
        <v>45483.82479166667</v>
      </c>
      <c r="C299" s="1" t="n">
        <v>46073</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30921-2024</t>
        </is>
      </c>
      <c r="B300" s="1" t="n">
        <v>45498</v>
      </c>
      <c r="C300" s="1" t="n">
        <v>46073</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51990-2025</t>
        </is>
      </c>
      <c r="B301" s="1" t="n">
        <v>45952.58061342593</v>
      </c>
      <c r="C301" s="1" t="n">
        <v>46073</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52473-2025</t>
        </is>
      </c>
      <c r="B302" s="1" t="n">
        <v>45954.45947916667</v>
      </c>
      <c r="C302" s="1" t="n">
        <v>46073</v>
      </c>
      <c r="D302" t="inlineStr">
        <is>
          <t>KALMAR LÄN</t>
        </is>
      </c>
      <c r="E302" t="inlineStr">
        <is>
          <t>VIMMERBY</t>
        </is>
      </c>
      <c r="G302" t="n">
        <v>2.4</v>
      </c>
      <c r="H302" t="n">
        <v>0</v>
      </c>
      <c r="I302" t="n">
        <v>0</v>
      </c>
      <c r="J302" t="n">
        <v>0</v>
      </c>
      <c r="K302" t="n">
        <v>0</v>
      </c>
      <c r="L302" t="n">
        <v>0</v>
      </c>
      <c r="M302" t="n">
        <v>0</v>
      </c>
      <c r="N302" t="n">
        <v>0</v>
      </c>
      <c r="O302" t="n">
        <v>0</v>
      </c>
      <c r="P302" t="n">
        <v>0</v>
      </c>
      <c r="Q302" t="n">
        <v>0</v>
      </c>
      <c r="R302" s="2" t="inlineStr"/>
    </row>
    <row r="303" ht="15" customHeight="1">
      <c r="A303" t="inlineStr">
        <is>
          <t>A 52480-2025</t>
        </is>
      </c>
      <c r="B303" s="1" t="n">
        <v>45954.47172453703</v>
      </c>
      <c r="C303" s="1" t="n">
        <v>46073</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52466-2025</t>
        </is>
      </c>
      <c r="B304" s="1" t="n">
        <v>45954.44707175926</v>
      </c>
      <c r="C304" s="1" t="n">
        <v>46073</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53482-2022</t>
        </is>
      </c>
      <c r="B305" s="1" t="n">
        <v>44879</v>
      </c>
      <c r="C305" s="1" t="n">
        <v>46073</v>
      </c>
      <c r="D305" t="inlineStr">
        <is>
          <t>KALMAR LÄN</t>
        </is>
      </c>
      <c r="E305" t="inlineStr">
        <is>
          <t>VIMMERBY</t>
        </is>
      </c>
      <c r="G305" t="n">
        <v>10.1</v>
      </c>
      <c r="H305" t="n">
        <v>0</v>
      </c>
      <c r="I305" t="n">
        <v>0</v>
      </c>
      <c r="J305" t="n">
        <v>0</v>
      </c>
      <c r="K305" t="n">
        <v>0</v>
      </c>
      <c r="L305" t="n">
        <v>0</v>
      </c>
      <c r="M305" t="n">
        <v>0</v>
      </c>
      <c r="N305" t="n">
        <v>0</v>
      </c>
      <c r="O305" t="n">
        <v>0</v>
      </c>
      <c r="P305" t="n">
        <v>0</v>
      </c>
      <c r="Q305" t="n">
        <v>0</v>
      </c>
      <c r="R305" s="2" t="inlineStr"/>
    </row>
    <row r="306" ht="15" customHeight="1">
      <c r="A306" t="inlineStr">
        <is>
          <t>A 52516-2025</t>
        </is>
      </c>
      <c r="B306" s="1" t="n">
        <v>45954.51412037037</v>
      </c>
      <c r="C306" s="1" t="n">
        <v>46073</v>
      </c>
      <c r="D306" t="inlineStr">
        <is>
          <t>KALMAR LÄN</t>
        </is>
      </c>
      <c r="E306" t="inlineStr">
        <is>
          <t>VIMMERBY</t>
        </is>
      </c>
      <c r="G306" t="n">
        <v>2.8</v>
      </c>
      <c r="H306" t="n">
        <v>0</v>
      </c>
      <c r="I306" t="n">
        <v>0</v>
      </c>
      <c r="J306" t="n">
        <v>0</v>
      </c>
      <c r="K306" t="n">
        <v>0</v>
      </c>
      <c r="L306" t="n">
        <v>0</v>
      </c>
      <c r="M306" t="n">
        <v>0</v>
      </c>
      <c r="N306" t="n">
        <v>0</v>
      </c>
      <c r="O306" t="n">
        <v>0</v>
      </c>
      <c r="P306" t="n">
        <v>0</v>
      </c>
      <c r="Q306" t="n">
        <v>0</v>
      </c>
      <c r="R306" s="2" t="inlineStr"/>
    </row>
    <row r="307" ht="15" customHeight="1">
      <c r="A307" t="inlineStr">
        <is>
          <t>A 52465-2025</t>
        </is>
      </c>
      <c r="B307" s="1" t="n">
        <v>45954.44543981482</v>
      </c>
      <c r="C307" s="1" t="n">
        <v>46073</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34060-2025</t>
        </is>
      </c>
      <c r="B308" s="1" t="n">
        <v>45845.42015046296</v>
      </c>
      <c r="C308" s="1" t="n">
        <v>46073</v>
      </c>
      <c r="D308" t="inlineStr">
        <is>
          <t>KALMAR LÄN</t>
        </is>
      </c>
      <c r="E308" t="inlineStr">
        <is>
          <t>VIMMERBY</t>
        </is>
      </c>
      <c r="G308" t="n">
        <v>5.7</v>
      </c>
      <c r="H308" t="n">
        <v>0</v>
      </c>
      <c r="I308" t="n">
        <v>0</v>
      </c>
      <c r="J308" t="n">
        <v>0</v>
      </c>
      <c r="K308" t="n">
        <v>0</v>
      </c>
      <c r="L308" t="n">
        <v>0</v>
      </c>
      <c r="M308" t="n">
        <v>0</v>
      </c>
      <c r="N308" t="n">
        <v>0</v>
      </c>
      <c r="O308" t="n">
        <v>0</v>
      </c>
      <c r="P308" t="n">
        <v>0</v>
      </c>
      <c r="Q308" t="n">
        <v>0</v>
      </c>
      <c r="R308" s="2" t="inlineStr"/>
    </row>
    <row r="309" ht="15" customHeight="1">
      <c r="A309" t="inlineStr">
        <is>
          <t>A 52475-2025</t>
        </is>
      </c>
      <c r="B309" s="1" t="n">
        <v>45954.468125</v>
      </c>
      <c r="C309" s="1" t="n">
        <v>46073</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53220-2025</t>
        </is>
      </c>
      <c r="B310" s="1" t="n">
        <v>45958.60146990741</v>
      </c>
      <c r="C310" s="1" t="n">
        <v>46073</v>
      </c>
      <c r="D310" t="inlineStr">
        <is>
          <t>KALMAR LÄN</t>
        </is>
      </c>
      <c r="E310" t="inlineStr">
        <is>
          <t>VIMMERBY</t>
        </is>
      </c>
      <c r="G310" t="n">
        <v>2.2</v>
      </c>
      <c r="H310" t="n">
        <v>0</v>
      </c>
      <c r="I310" t="n">
        <v>0</v>
      </c>
      <c r="J310" t="n">
        <v>0</v>
      </c>
      <c r="K310" t="n">
        <v>0</v>
      </c>
      <c r="L310" t="n">
        <v>0</v>
      </c>
      <c r="M310" t="n">
        <v>0</v>
      </c>
      <c r="N310" t="n">
        <v>0</v>
      </c>
      <c r="O310" t="n">
        <v>0</v>
      </c>
      <c r="P310" t="n">
        <v>0</v>
      </c>
      <c r="Q310" t="n">
        <v>0</v>
      </c>
      <c r="R310" s="2" t="inlineStr"/>
    </row>
    <row r="311" ht="15" customHeight="1">
      <c r="A311" t="inlineStr">
        <is>
          <t>A 51278-2024</t>
        </is>
      </c>
      <c r="B311" s="1" t="n">
        <v>45603.74959490741</v>
      </c>
      <c r="C311" s="1" t="n">
        <v>46073</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52451-2025</t>
        </is>
      </c>
      <c r="B312" s="1" t="n">
        <v>45954.42326388889</v>
      </c>
      <c r="C312" s="1" t="n">
        <v>46073</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53393-2025</t>
        </is>
      </c>
      <c r="B313" s="1" t="n">
        <v>45959.55284722222</v>
      </c>
      <c r="C313" s="1" t="n">
        <v>46073</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53398-2025</t>
        </is>
      </c>
      <c r="B314" s="1" t="n">
        <v>45959.56247685185</v>
      </c>
      <c r="C314" s="1" t="n">
        <v>46073</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29180-2024</t>
        </is>
      </c>
      <c r="B315" s="1" t="n">
        <v>45482.54108796296</v>
      </c>
      <c r="C315" s="1" t="n">
        <v>46073</v>
      </c>
      <c r="D315" t="inlineStr">
        <is>
          <t>KALMAR LÄN</t>
        </is>
      </c>
      <c r="E315" t="inlineStr">
        <is>
          <t>VIMMERBY</t>
        </is>
      </c>
      <c r="G315" t="n">
        <v>3.8</v>
      </c>
      <c r="H315" t="n">
        <v>0</v>
      </c>
      <c r="I315" t="n">
        <v>0</v>
      </c>
      <c r="J315" t="n">
        <v>0</v>
      </c>
      <c r="K315" t="n">
        <v>0</v>
      </c>
      <c r="L315" t="n">
        <v>0</v>
      </c>
      <c r="M315" t="n">
        <v>0</v>
      </c>
      <c r="N315" t="n">
        <v>0</v>
      </c>
      <c r="O315" t="n">
        <v>0</v>
      </c>
      <c r="P315" t="n">
        <v>0</v>
      </c>
      <c r="Q315" t="n">
        <v>0</v>
      </c>
      <c r="R315" s="2" t="inlineStr"/>
    </row>
    <row r="316" ht="15" customHeight="1">
      <c r="A316" t="inlineStr">
        <is>
          <t>A 53397-2025</t>
        </is>
      </c>
      <c r="B316" s="1" t="n">
        <v>45959.55918981481</v>
      </c>
      <c r="C316" s="1" t="n">
        <v>46073</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53416-2025</t>
        </is>
      </c>
      <c r="B317" s="1" t="n">
        <v>45959.58387731481</v>
      </c>
      <c r="C317" s="1" t="n">
        <v>46073</v>
      </c>
      <c r="D317" t="inlineStr">
        <is>
          <t>KALMAR LÄN</t>
        </is>
      </c>
      <c r="E317" t="inlineStr">
        <is>
          <t>VIMMERBY</t>
        </is>
      </c>
      <c r="G317" t="n">
        <v>4.4</v>
      </c>
      <c r="H317" t="n">
        <v>0</v>
      </c>
      <c r="I317" t="n">
        <v>0</v>
      </c>
      <c r="J317" t="n">
        <v>0</v>
      </c>
      <c r="K317" t="n">
        <v>0</v>
      </c>
      <c r="L317" t="n">
        <v>0</v>
      </c>
      <c r="M317" t="n">
        <v>0</v>
      </c>
      <c r="N317" t="n">
        <v>0</v>
      </c>
      <c r="O317" t="n">
        <v>0</v>
      </c>
      <c r="P317" t="n">
        <v>0</v>
      </c>
      <c r="Q317" t="n">
        <v>0</v>
      </c>
      <c r="R317" s="2" t="inlineStr"/>
    </row>
    <row r="318" ht="15" customHeight="1">
      <c r="A318" t="inlineStr">
        <is>
          <t>A 53413-2025</t>
        </is>
      </c>
      <c r="B318" s="1" t="n">
        <v>45959.5787037037</v>
      </c>
      <c r="C318" s="1" t="n">
        <v>46073</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35082-2024</t>
        </is>
      </c>
      <c r="B319" s="1" t="n">
        <v>45527.68784722222</v>
      </c>
      <c r="C319" s="1" t="n">
        <v>46073</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29783-2024</t>
        </is>
      </c>
      <c r="B320" s="1" t="n">
        <v>45485.45778935185</v>
      </c>
      <c r="C320" s="1" t="n">
        <v>46073</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44582-2024</t>
        </is>
      </c>
      <c r="B321" s="1" t="n">
        <v>45574.49298611111</v>
      </c>
      <c r="C321" s="1" t="n">
        <v>46073</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43617-2025</t>
        </is>
      </c>
      <c r="B322" s="1" t="n">
        <v>45911.67798611111</v>
      </c>
      <c r="C322" s="1" t="n">
        <v>46073</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9456-2025</t>
        </is>
      </c>
      <c r="B323" s="1" t="n">
        <v>45715.44159722222</v>
      </c>
      <c r="C323" s="1" t="n">
        <v>46073</v>
      </c>
      <c r="D323" t="inlineStr">
        <is>
          <t>KALMAR LÄN</t>
        </is>
      </c>
      <c r="E323" t="inlineStr">
        <is>
          <t>VIMMERBY</t>
        </is>
      </c>
      <c r="G323" t="n">
        <v>1.5</v>
      </c>
      <c r="H323" t="n">
        <v>0</v>
      </c>
      <c r="I323" t="n">
        <v>0</v>
      </c>
      <c r="J323" t="n">
        <v>0</v>
      </c>
      <c r="K323" t="n">
        <v>0</v>
      </c>
      <c r="L323" t="n">
        <v>0</v>
      </c>
      <c r="M323" t="n">
        <v>0</v>
      </c>
      <c r="N323" t="n">
        <v>0</v>
      </c>
      <c r="O323" t="n">
        <v>0</v>
      </c>
      <c r="P323" t="n">
        <v>0</v>
      </c>
      <c r="Q323" t="n">
        <v>0</v>
      </c>
      <c r="R323" s="2" t="inlineStr"/>
    </row>
    <row r="324" ht="15" customHeight="1">
      <c r="A324" t="inlineStr">
        <is>
          <t>A 54838-2024</t>
        </is>
      </c>
      <c r="B324" s="1" t="n">
        <v>45618.56787037037</v>
      </c>
      <c r="C324" s="1" t="n">
        <v>46073</v>
      </c>
      <c r="D324" t="inlineStr">
        <is>
          <t>KALMAR LÄN</t>
        </is>
      </c>
      <c r="E324" t="inlineStr">
        <is>
          <t>VIMMERBY</t>
        </is>
      </c>
      <c r="G324" t="n">
        <v>3.3</v>
      </c>
      <c r="H324" t="n">
        <v>0</v>
      </c>
      <c r="I324" t="n">
        <v>0</v>
      </c>
      <c r="J324" t="n">
        <v>0</v>
      </c>
      <c r="K324" t="n">
        <v>0</v>
      </c>
      <c r="L324" t="n">
        <v>0</v>
      </c>
      <c r="M324" t="n">
        <v>0</v>
      </c>
      <c r="N324" t="n">
        <v>0</v>
      </c>
      <c r="O324" t="n">
        <v>0</v>
      </c>
      <c r="P324" t="n">
        <v>0</v>
      </c>
      <c r="Q324" t="n">
        <v>0</v>
      </c>
      <c r="R324" s="2" t="inlineStr"/>
    </row>
    <row r="325" ht="15" customHeight="1">
      <c r="A325" t="inlineStr">
        <is>
          <t>A 53396-2025</t>
        </is>
      </c>
      <c r="B325" s="1" t="n">
        <v>45959.55577546296</v>
      </c>
      <c r="C325" s="1" t="n">
        <v>46073</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53788-2025</t>
        </is>
      </c>
      <c r="B326" s="1" t="n">
        <v>45960</v>
      </c>
      <c r="C326" s="1" t="n">
        <v>46073</v>
      </c>
      <c r="D326" t="inlineStr">
        <is>
          <t>KALMAR LÄN</t>
        </is>
      </c>
      <c r="E326" t="inlineStr">
        <is>
          <t>VIMMERBY</t>
        </is>
      </c>
      <c r="F326" t="inlineStr">
        <is>
          <t>Övriga statliga verk och myndigheter</t>
        </is>
      </c>
      <c r="G326" t="n">
        <v>6.3</v>
      </c>
      <c r="H326" t="n">
        <v>0</v>
      </c>
      <c r="I326" t="n">
        <v>0</v>
      </c>
      <c r="J326" t="n">
        <v>0</v>
      </c>
      <c r="K326" t="n">
        <v>0</v>
      </c>
      <c r="L326" t="n">
        <v>0</v>
      </c>
      <c r="M326" t="n">
        <v>0</v>
      </c>
      <c r="N326" t="n">
        <v>0</v>
      </c>
      <c r="O326" t="n">
        <v>0</v>
      </c>
      <c r="P326" t="n">
        <v>0</v>
      </c>
      <c r="Q326" t="n">
        <v>0</v>
      </c>
      <c r="R326" s="2" t="inlineStr"/>
    </row>
    <row r="327" ht="15" customHeight="1">
      <c r="A327" t="inlineStr">
        <is>
          <t>A 53927-2025</t>
        </is>
      </c>
      <c r="B327" s="1" t="n">
        <v>45961.46740740741</v>
      </c>
      <c r="C327" s="1" t="n">
        <v>46073</v>
      </c>
      <c r="D327" t="inlineStr">
        <is>
          <t>KALMAR LÄN</t>
        </is>
      </c>
      <c r="E327" t="inlineStr">
        <is>
          <t>VIMMERBY</t>
        </is>
      </c>
      <c r="G327" t="n">
        <v>2.5</v>
      </c>
      <c r="H327" t="n">
        <v>0</v>
      </c>
      <c r="I327" t="n">
        <v>0</v>
      </c>
      <c r="J327" t="n">
        <v>0</v>
      </c>
      <c r="K327" t="n">
        <v>0</v>
      </c>
      <c r="L327" t="n">
        <v>0</v>
      </c>
      <c r="M327" t="n">
        <v>0</v>
      </c>
      <c r="N327" t="n">
        <v>0</v>
      </c>
      <c r="O327" t="n">
        <v>0</v>
      </c>
      <c r="P327" t="n">
        <v>0</v>
      </c>
      <c r="Q327" t="n">
        <v>0</v>
      </c>
      <c r="R327" s="2" t="inlineStr"/>
    </row>
    <row r="328" ht="15" customHeight="1">
      <c r="A328" t="inlineStr">
        <is>
          <t>A 53933-2025</t>
        </is>
      </c>
      <c r="B328" s="1" t="n">
        <v>45961.47650462963</v>
      </c>
      <c r="C328" s="1" t="n">
        <v>46073</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25987-2024</t>
        </is>
      </c>
      <c r="B329" s="1" t="n">
        <v>45467.74417824074</v>
      </c>
      <c r="C329" s="1" t="n">
        <v>46073</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54236-2025</t>
        </is>
      </c>
      <c r="B330" s="1" t="n">
        <v>45964.62671296296</v>
      </c>
      <c r="C330" s="1" t="n">
        <v>46073</v>
      </c>
      <c r="D330" t="inlineStr">
        <is>
          <t>KALMAR LÄN</t>
        </is>
      </c>
      <c r="E330" t="inlineStr">
        <is>
          <t>VIMMERBY</t>
        </is>
      </c>
      <c r="G330" t="n">
        <v>1.3</v>
      </c>
      <c r="H330" t="n">
        <v>0</v>
      </c>
      <c r="I330" t="n">
        <v>0</v>
      </c>
      <c r="J330" t="n">
        <v>0</v>
      </c>
      <c r="K330" t="n">
        <v>0</v>
      </c>
      <c r="L330" t="n">
        <v>0</v>
      </c>
      <c r="M330" t="n">
        <v>0</v>
      </c>
      <c r="N330" t="n">
        <v>0</v>
      </c>
      <c r="O330" t="n">
        <v>0</v>
      </c>
      <c r="P330" t="n">
        <v>0</v>
      </c>
      <c r="Q330" t="n">
        <v>0</v>
      </c>
      <c r="R330" s="2" t="inlineStr"/>
    </row>
    <row r="331" ht="15" customHeight="1">
      <c r="A331" t="inlineStr">
        <is>
          <t>A 53923-2025</t>
        </is>
      </c>
      <c r="B331" s="1" t="n">
        <v>45961.4569212963</v>
      </c>
      <c r="C331" s="1" t="n">
        <v>46073</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53920-2025</t>
        </is>
      </c>
      <c r="B332" s="1" t="n">
        <v>45961.44951388889</v>
      </c>
      <c r="C332" s="1" t="n">
        <v>46073</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54234-2025</t>
        </is>
      </c>
      <c r="B333" s="1" t="n">
        <v>45964.62486111111</v>
      </c>
      <c r="C333" s="1" t="n">
        <v>46073</v>
      </c>
      <c r="D333" t="inlineStr">
        <is>
          <t>KALMAR LÄN</t>
        </is>
      </c>
      <c r="E333" t="inlineStr">
        <is>
          <t>VIMMERBY</t>
        </is>
      </c>
      <c r="G333" t="n">
        <v>4.1</v>
      </c>
      <c r="H333" t="n">
        <v>0</v>
      </c>
      <c r="I333" t="n">
        <v>0</v>
      </c>
      <c r="J333" t="n">
        <v>0</v>
      </c>
      <c r="K333" t="n">
        <v>0</v>
      </c>
      <c r="L333" t="n">
        <v>0</v>
      </c>
      <c r="M333" t="n">
        <v>0</v>
      </c>
      <c r="N333" t="n">
        <v>0</v>
      </c>
      <c r="O333" t="n">
        <v>0</v>
      </c>
      <c r="P333" t="n">
        <v>0</v>
      </c>
      <c r="Q333" t="n">
        <v>0</v>
      </c>
      <c r="R333" s="2" t="inlineStr"/>
    </row>
    <row r="334" ht="15" customHeight="1">
      <c r="A334" t="inlineStr">
        <is>
          <t>A 25109-2023</t>
        </is>
      </c>
      <c r="B334" s="1" t="n">
        <v>45086</v>
      </c>
      <c r="C334" s="1" t="n">
        <v>46073</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53789-2025</t>
        </is>
      </c>
      <c r="B335" s="1" t="n">
        <v>45960</v>
      </c>
      <c r="C335" s="1" t="n">
        <v>46073</v>
      </c>
      <c r="D335" t="inlineStr">
        <is>
          <t>KALMAR LÄN</t>
        </is>
      </c>
      <c r="E335" t="inlineStr">
        <is>
          <t>VIMMERBY</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11111-2023</t>
        </is>
      </c>
      <c r="B336" s="1" t="n">
        <v>44992.4255787037</v>
      </c>
      <c r="C336" s="1" t="n">
        <v>46073</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43465-2025</t>
        </is>
      </c>
      <c r="B337" s="1" t="n">
        <v>45911.47138888889</v>
      </c>
      <c r="C337" s="1" t="n">
        <v>46073</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53903-2025</t>
        </is>
      </c>
      <c r="B338" s="1" t="n">
        <v>45961.43738425926</v>
      </c>
      <c r="C338" s="1" t="n">
        <v>46073</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58724-2024</t>
        </is>
      </c>
      <c r="B339" s="1" t="n">
        <v>45635.66409722222</v>
      </c>
      <c r="C339" s="1" t="n">
        <v>46073</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15494-2024</t>
        </is>
      </c>
      <c r="B340" s="1" t="n">
        <v>45401.53033564815</v>
      </c>
      <c r="C340" s="1" t="n">
        <v>46073</v>
      </c>
      <c r="D340" t="inlineStr">
        <is>
          <t>KALMAR LÄN</t>
        </is>
      </c>
      <c r="E340" t="inlineStr">
        <is>
          <t>VIMMERBY</t>
        </is>
      </c>
      <c r="G340" t="n">
        <v>3.2</v>
      </c>
      <c r="H340" t="n">
        <v>0</v>
      </c>
      <c r="I340" t="n">
        <v>0</v>
      </c>
      <c r="J340" t="n">
        <v>0</v>
      </c>
      <c r="K340" t="n">
        <v>0</v>
      </c>
      <c r="L340" t="n">
        <v>0</v>
      </c>
      <c r="M340" t="n">
        <v>0</v>
      </c>
      <c r="N340" t="n">
        <v>0</v>
      </c>
      <c r="O340" t="n">
        <v>0</v>
      </c>
      <c r="P340" t="n">
        <v>0</v>
      </c>
      <c r="Q340" t="n">
        <v>0</v>
      </c>
      <c r="R340" s="2" t="inlineStr"/>
    </row>
    <row r="341" ht="15" customHeight="1">
      <c r="A341" t="inlineStr">
        <is>
          <t>A 54737-2025</t>
        </is>
      </c>
      <c r="B341" s="1" t="n">
        <v>45966.56826388889</v>
      </c>
      <c r="C341" s="1" t="n">
        <v>46073</v>
      </c>
      <c r="D341" t="inlineStr">
        <is>
          <t>KALMAR LÄN</t>
        </is>
      </c>
      <c r="E341" t="inlineStr">
        <is>
          <t>VIMMERBY</t>
        </is>
      </c>
      <c r="G341" t="n">
        <v>2.1</v>
      </c>
      <c r="H341" t="n">
        <v>0</v>
      </c>
      <c r="I341" t="n">
        <v>0</v>
      </c>
      <c r="J341" t="n">
        <v>0</v>
      </c>
      <c r="K341" t="n">
        <v>0</v>
      </c>
      <c r="L341" t="n">
        <v>0</v>
      </c>
      <c r="M341" t="n">
        <v>0</v>
      </c>
      <c r="N341" t="n">
        <v>0</v>
      </c>
      <c r="O341" t="n">
        <v>0</v>
      </c>
      <c r="P341" t="n">
        <v>0</v>
      </c>
      <c r="Q341" t="n">
        <v>0</v>
      </c>
      <c r="R341" s="2" t="inlineStr"/>
    </row>
    <row r="342" ht="15" customHeight="1">
      <c r="A342" t="inlineStr">
        <is>
          <t>A 62023-2022</t>
        </is>
      </c>
      <c r="B342" s="1" t="n">
        <v>44918.50106481482</v>
      </c>
      <c r="C342" s="1" t="n">
        <v>46073</v>
      </c>
      <c r="D342" t="inlineStr">
        <is>
          <t>KALMAR LÄN</t>
        </is>
      </c>
      <c r="E342" t="inlineStr">
        <is>
          <t>VIMMERBY</t>
        </is>
      </c>
      <c r="G342" t="n">
        <v>0.3</v>
      </c>
      <c r="H342" t="n">
        <v>0</v>
      </c>
      <c r="I342" t="n">
        <v>0</v>
      </c>
      <c r="J342" t="n">
        <v>0</v>
      </c>
      <c r="K342" t="n">
        <v>0</v>
      </c>
      <c r="L342" t="n">
        <v>0</v>
      </c>
      <c r="M342" t="n">
        <v>0</v>
      </c>
      <c r="N342" t="n">
        <v>0</v>
      </c>
      <c r="O342" t="n">
        <v>0</v>
      </c>
      <c r="P342" t="n">
        <v>0</v>
      </c>
      <c r="Q342" t="n">
        <v>0</v>
      </c>
      <c r="R342" s="2" t="inlineStr"/>
    </row>
    <row r="343" ht="15" customHeight="1">
      <c r="A343" t="inlineStr">
        <is>
          <t>A 44329-2025</t>
        </is>
      </c>
      <c r="B343" s="1" t="n">
        <v>45916.41019675926</v>
      </c>
      <c r="C343" s="1" t="n">
        <v>46073</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26039-2025</t>
        </is>
      </c>
      <c r="B344" s="1" t="n">
        <v>45804.6953587963</v>
      </c>
      <c r="C344" s="1" t="n">
        <v>46073</v>
      </c>
      <c r="D344" t="inlineStr">
        <is>
          <t>KALMAR LÄN</t>
        </is>
      </c>
      <c r="E344" t="inlineStr">
        <is>
          <t>VIMMERBY</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26046-2025</t>
        </is>
      </c>
      <c r="B345" s="1" t="n">
        <v>45804.708125</v>
      </c>
      <c r="C345" s="1" t="n">
        <v>46073</v>
      </c>
      <c r="D345" t="inlineStr">
        <is>
          <t>KALMAR LÄN</t>
        </is>
      </c>
      <c r="E345" t="inlineStr">
        <is>
          <t>VIMMERBY</t>
        </is>
      </c>
      <c r="F345" t="inlineStr">
        <is>
          <t>Sveaskog</t>
        </is>
      </c>
      <c r="G345" t="n">
        <v>5.1</v>
      </c>
      <c r="H345" t="n">
        <v>0</v>
      </c>
      <c r="I345" t="n">
        <v>0</v>
      </c>
      <c r="J345" t="n">
        <v>0</v>
      </c>
      <c r="K345" t="n">
        <v>0</v>
      </c>
      <c r="L345" t="n">
        <v>0</v>
      </c>
      <c r="M345" t="n">
        <v>0</v>
      </c>
      <c r="N345" t="n">
        <v>0</v>
      </c>
      <c r="O345" t="n">
        <v>0</v>
      </c>
      <c r="P345" t="n">
        <v>0</v>
      </c>
      <c r="Q345" t="n">
        <v>0</v>
      </c>
      <c r="R345" s="2" t="inlineStr"/>
    </row>
    <row r="346" ht="15" customHeight="1">
      <c r="A346" t="inlineStr">
        <is>
          <t>A 25792-2025</t>
        </is>
      </c>
      <c r="B346" s="1" t="n">
        <v>45804.39141203704</v>
      </c>
      <c r="C346" s="1" t="n">
        <v>46073</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54813-2025</t>
        </is>
      </c>
      <c r="B347" s="1" t="n">
        <v>45966.64881944445</v>
      </c>
      <c r="C347" s="1" t="n">
        <v>46073</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44517-2025</t>
        </is>
      </c>
      <c r="B348" s="1" t="n">
        <v>45916.7103587963</v>
      </c>
      <c r="C348" s="1" t="n">
        <v>46073</v>
      </c>
      <c r="D348" t="inlineStr">
        <is>
          <t>KALMAR LÄN</t>
        </is>
      </c>
      <c r="E348" t="inlineStr">
        <is>
          <t>VIMMERBY</t>
        </is>
      </c>
      <c r="G348" t="n">
        <v>0.9</v>
      </c>
      <c r="H348" t="n">
        <v>0</v>
      </c>
      <c r="I348" t="n">
        <v>0</v>
      </c>
      <c r="J348" t="n">
        <v>0</v>
      </c>
      <c r="K348" t="n">
        <v>0</v>
      </c>
      <c r="L348" t="n">
        <v>0</v>
      </c>
      <c r="M348" t="n">
        <v>0</v>
      </c>
      <c r="N348" t="n">
        <v>0</v>
      </c>
      <c r="O348" t="n">
        <v>0</v>
      </c>
      <c r="P348" t="n">
        <v>0</v>
      </c>
      <c r="Q348" t="n">
        <v>0</v>
      </c>
      <c r="R348" s="2" t="inlineStr"/>
    </row>
    <row r="349" ht="15" customHeight="1">
      <c r="A349" t="inlineStr">
        <is>
          <t>A 58104-2024</t>
        </is>
      </c>
      <c r="B349" s="1" t="n">
        <v>45632.37459490741</v>
      </c>
      <c r="C349" s="1" t="n">
        <v>46073</v>
      </c>
      <c r="D349" t="inlineStr">
        <is>
          <t>KALMAR LÄN</t>
        </is>
      </c>
      <c r="E349" t="inlineStr">
        <is>
          <t>VIMMERBY</t>
        </is>
      </c>
      <c r="G349" t="n">
        <v>5</v>
      </c>
      <c r="H349" t="n">
        <v>0</v>
      </c>
      <c r="I349" t="n">
        <v>0</v>
      </c>
      <c r="J349" t="n">
        <v>0</v>
      </c>
      <c r="K349" t="n">
        <v>0</v>
      </c>
      <c r="L349" t="n">
        <v>0</v>
      </c>
      <c r="M349" t="n">
        <v>0</v>
      </c>
      <c r="N349" t="n">
        <v>0</v>
      </c>
      <c r="O349" t="n">
        <v>0</v>
      </c>
      <c r="P349" t="n">
        <v>0</v>
      </c>
      <c r="Q349" t="n">
        <v>0</v>
      </c>
      <c r="R349" s="2" t="inlineStr"/>
    </row>
    <row r="350" ht="15" customHeight="1">
      <c r="A350" t="inlineStr">
        <is>
          <t>A 12215-2024</t>
        </is>
      </c>
      <c r="B350" s="1" t="n">
        <v>45378.32185185186</v>
      </c>
      <c r="C350" s="1" t="n">
        <v>46073</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30920-2024</t>
        </is>
      </c>
      <c r="B351" s="1" t="n">
        <v>45498.673125</v>
      </c>
      <c r="C351" s="1" t="n">
        <v>46073</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56536-2022</t>
        </is>
      </c>
      <c r="B352" s="1" t="n">
        <v>44893</v>
      </c>
      <c r="C352" s="1" t="n">
        <v>46073</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63541-2023</t>
        </is>
      </c>
      <c r="B353" s="1" t="n">
        <v>45275.32266203704</v>
      </c>
      <c r="C353" s="1" t="n">
        <v>46073</v>
      </c>
      <c r="D353" t="inlineStr">
        <is>
          <t>KALMAR LÄN</t>
        </is>
      </c>
      <c r="E353" t="inlineStr">
        <is>
          <t>VIMMERBY</t>
        </is>
      </c>
      <c r="G353" t="n">
        <v>1.1</v>
      </c>
      <c r="H353" t="n">
        <v>0</v>
      </c>
      <c r="I353" t="n">
        <v>0</v>
      </c>
      <c r="J353" t="n">
        <v>0</v>
      </c>
      <c r="K353" t="n">
        <v>0</v>
      </c>
      <c r="L353" t="n">
        <v>0</v>
      </c>
      <c r="M353" t="n">
        <v>0</v>
      </c>
      <c r="N353" t="n">
        <v>0</v>
      </c>
      <c r="O353" t="n">
        <v>0</v>
      </c>
      <c r="P353" t="n">
        <v>0</v>
      </c>
      <c r="Q353" t="n">
        <v>0</v>
      </c>
      <c r="R353" s="2" t="inlineStr"/>
    </row>
    <row r="354" ht="15" customHeight="1">
      <c r="A354" t="inlineStr">
        <is>
          <t>A 25830-2025</t>
        </is>
      </c>
      <c r="B354" s="1" t="n">
        <v>45804.44519675926</v>
      </c>
      <c r="C354" s="1" t="n">
        <v>46073</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37323-2024</t>
        </is>
      </c>
      <c r="B355" s="1" t="n">
        <v>45540.50098379629</v>
      </c>
      <c r="C355" s="1" t="n">
        <v>46073</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44091-2025</t>
        </is>
      </c>
      <c r="B356" s="1" t="n">
        <v>45915.55950231481</v>
      </c>
      <c r="C356" s="1" t="n">
        <v>46073</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44095-2025</t>
        </is>
      </c>
      <c r="B357" s="1" t="n">
        <v>45915.56430555556</v>
      </c>
      <c r="C357" s="1" t="n">
        <v>46073</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26124-2025</t>
        </is>
      </c>
      <c r="B358" s="1" t="n">
        <v>45805.39247685186</v>
      </c>
      <c r="C358" s="1" t="n">
        <v>46073</v>
      </c>
      <c r="D358" t="inlineStr">
        <is>
          <t>KALMAR LÄN</t>
        </is>
      </c>
      <c r="E358" t="inlineStr">
        <is>
          <t>VIMMERBY</t>
        </is>
      </c>
      <c r="G358" t="n">
        <v>6.6</v>
      </c>
      <c r="H358" t="n">
        <v>0</v>
      </c>
      <c r="I358" t="n">
        <v>0</v>
      </c>
      <c r="J358" t="n">
        <v>0</v>
      </c>
      <c r="K358" t="n">
        <v>0</v>
      </c>
      <c r="L358" t="n">
        <v>0</v>
      </c>
      <c r="M358" t="n">
        <v>0</v>
      </c>
      <c r="N358" t="n">
        <v>0</v>
      </c>
      <c r="O358" t="n">
        <v>0</v>
      </c>
      <c r="P358" t="n">
        <v>0</v>
      </c>
      <c r="Q358" t="n">
        <v>0</v>
      </c>
      <c r="R358" s="2" t="inlineStr"/>
    </row>
    <row r="359" ht="15" customHeight="1">
      <c r="A359" t="inlineStr">
        <is>
          <t>A 55385-2025</t>
        </is>
      </c>
      <c r="B359" s="1" t="n">
        <v>45971.43350694444</v>
      </c>
      <c r="C359" s="1" t="n">
        <v>46073</v>
      </c>
      <c r="D359" t="inlineStr">
        <is>
          <t>KALMAR LÄN</t>
        </is>
      </c>
      <c r="E359" t="inlineStr">
        <is>
          <t>VIMMERBY</t>
        </is>
      </c>
      <c r="G359" t="n">
        <v>5</v>
      </c>
      <c r="H359" t="n">
        <v>0</v>
      </c>
      <c r="I359" t="n">
        <v>0</v>
      </c>
      <c r="J359" t="n">
        <v>0</v>
      </c>
      <c r="K359" t="n">
        <v>0</v>
      </c>
      <c r="L359" t="n">
        <v>0</v>
      </c>
      <c r="M359" t="n">
        <v>0</v>
      </c>
      <c r="N359" t="n">
        <v>0</v>
      </c>
      <c r="O359" t="n">
        <v>0</v>
      </c>
      <c r="P359" t="n">
        <v>0</v>
      </c>
      <c r="Q359" t="n">
        <v>0</v>
      </c>
      <c r="R359" s="2" t="inlineStr"/>
    </row>
    <row r="360" ht="15" customHeight="1">
      <c r="A360" t="inlineStr">
        <is>
          <t>A 26254-2025</t>
        </is>
      </c>
      <c r="B360" s="1" t="n">
        <v>45805</v>
      </c>
      <c r="C360" s="1" t="n">
        <v>46073</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44742-2025</t>
        </is>
      </c>
      <c r="B361" s="1" t="n">
        <v>45917.67054398148</v>
      </c>
      <c r="C361" s="1" t="n">
        <v>46073</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55602-2025</t>
        </is>
      </c>
      <c r="B362" s="1" t="n">
        <v>45971</v>
      </c>
      <c r="C362" s="1" t="n">
        <v>46073</v>
      </c>
      <c r="D362" t="inlineStr">
        <is>
          <t>KALMAR LÄN</t>
        </is>
      </c>
      <c r="E362" t="inlineStr">
        <is>
          <t>VIMMERBY</t>
        </is>
      </c>
      <c r="G362" t="n">
        <v>2.7</v>
      </c>
      <c r="H362" t="n">
        <v>0</v>
      </c>
      <c r="I362" t="n">
        <v>0</v>
      </c>
      <c r="J362" t="n">
        <v>0</v>
      </c>
      <c r="K362" t="n">
        <v>0</v>
      </c>
      <c r="L362" t="n">
        <v>0</v>
      </c>
      <c r="M362" t="n">
        <v>0</v>
      </c>
      <c r="N362" t="n">
        <v>0</v>
      </c>
      <c r="O362" t="n">
        <v>0</v>
      </c>
      <c r="P362" t="n">
        <v>0</v>
      </c>
      <c r="Q362" t="n">
        <v>0</v>
      </c>
      <c r="R362" s="2" t="inlineStr"/>
    </row>
    <row r="363" ht="15" customHeight="1">
      <c r="A363" t="inlineStr">
        <is>
          <t>A 55603-2025</t>
        </is>
      </c>
      <c r="B363" s="1" t="n">
        <v>45971</v>
      </c>
      <c r="C363" s="1" t="n">
        <v>46073</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55605-2025</t>
        </is>
      </c>
      <c r="B364" s="1" t="n">
        <v>45971</v>
      </c>
      <c r="C364" s="1" t="n">
        <v>46073</v>
      </c>
      <c r="D364" t="inlineStr">
        <is>
          <t>KALMAR LÄN</t>
        </is>
      </c>
      <c r="E364" t="inlineStr">
        <is>
          <t>VIMMERBY</t>
        </is>
      </c>
      <c r="G364" t="n">
        <v>1.4</v>
      </c>
      <c r="H364" t="n">
        <v>0</v>
      </c>
      <c r="I364" t="n">
        <v>0</v>
      </c>
      <c r="J364" t="n">
        <v>0</v>
      </c>
      <c r="K364" t="n">
        <v>0</v>
      </c>
      <c r="L364" t="n">
        <v>0</v>
      </c>
      <c r="M364" t="n">
        <v>0</v>
      </c>
      <c r="N364" t="n">
        <v>0</v>
      </c>
      <c r="O364" t="n">
        <v>0</v>
      </c>
      <c r="P364" t="n">
        <v>0</v>
      </c>
      <c r="Q364" t="n">
        <v>0</v>
      </c>
      <c r="R364" s="2" t="inlineStr"/>
    </row>
    <row r="365" ht="15" customHeight="1">
      <c r="A365" t="inlineStr">
        <is>
          <t>A 41896-2025</t>
        </is>
      </c>
      <c r="B365" s="1" t="n">
        <v>45903.38800925926</v>
      </c>
      <c r="C365" s="1" t="n">
        <v>46073</v>
      </c>
      <c r="D365" t="inlineStr">
        <is>
          <t>KALMAR LÄN</t>
        </is>
      </c>
      <c r="E365" t="inlineStr">
        <is>
          <t>VIMMERBY</t>
        </is>
      </c>
      <c r="G365" t="n">
        <v>2.9</v>
      </c>
      <c r="H365" t="n">
        <v>0</v>
      </c>
      <c r="I365" t="n">
        <v>0</v>
      </c>
      <c r="J365" t="n">
        <v>0</v>
      </c>
      <c r="K365" t="n">
        <v>0</v>
      </c>
      <c r="L365" t="n">
        <v>0</v>
      </c>
      <c r="M365" t="n">
        <v>0</v>
      </c>
      <c r="N365" t="n">
        <v>0</v>
      </c>
      <c r="O365" t="n">
        <v>0</v>
      </c>
      <c r="P365" t="n">
        <v>0</v>
      </c>
      <c r="Q365" t="n">
        <v>0</v>
      </c>
      <c r="R365" s="2" t="inlineStr"/>
    </row>
    <row r="366" ht="15" customHeight="1">
      <c r="A366" t="inlineStr">
        <is>
          <t>A 26207-2025</t>
        </is>
      </c>
      <c r="B366" s="1" t="n">
        <v>45805.52983796296</v>
      </c>
      <c r="C366" s="1" t="n">
        <v>46073</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11429-2022</t>
        </is>
      </c>
      <c r="B367" s="1" t="n">
        <v>44630</v>
      </c>
      <c r="C367" s="1" t="n">
        <v>46073</v>
      </c>
      <c r="D367" t="inlineStr">
        <is>
          <t>KALMAR LÄN</t>
        </is>
      </c>
      <c r="E367" t="inlineStr">
        <is>
          <t>VIMMERBY</t>
        </is>
      </c>
      <c r="G367" t="n">
        <v>2.6</v>
      </c>
      <c r="H367" t="n">
        <v>0</v>
      </c>
      <c r="I367" t="n">
        <v>0</v>
      </c>
      <c r="J367" t="n">
        <v>0</v>
      </c>
      <c r="K367" t="n">
        <v>0</v>
      </c>
      <c r="L367" t="n">
        <v>0</v>
      </c>
      <c r="M367" t="n">
        <v>0</v>
      </c>
      <c r="N367" t="n">
        <v>0</v>
      </c>
      <c r="O367" t="n">
        <v>0</v>
      </c>
      <c r="P367" t="n">
        <v>0</v>
      </c>
      <c r="Q367" t="n">
        <v>0</v>
      </c>
      <c r="R367" s="2" t="inlineStr"/>
    </row>
    <row r="368" ht="15" customHeight="1">
      <c r="A368" t="inlineStr">
        <is>
          <t>A 56582-2022</t>
        </is>
      </c>
      <c r="B368" s="1" t="n">
        <v>44893</v>
      </c>
      <c r="C368" s="1" t="n">
        <v>46073</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6408-2025</t>
        </is>
      </c>
      <c r="B369" s="1" t="n">
        <v>45699.45671296296</v>
      </c>
      <c r="C369" s="1" t="n">
        <v>46073</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45319-2025</t>
        </is>
      </c>
      <c r="B370" s="1" t="n">
        <v>45921.95611111111</v>
      </c>
      <c r="C370" s="1" t="n">
        <v>46073</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45320-2025</t>
        </is>
      </c>
      <c r="B371" s="1" t="n">
        <v>45921.96395833333</v>
      </c>
      <c r="C371" s="1" t="n">
        <v>46073</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11609-2023</t>
        </is>
      </c>
      <c r="B372" s="1" t="n">
        <v>44994.40635416667</v>
      </c>
      <c r="C372" s="1" t="n">
        <v>46073</v>
      </c>
      <c r="D372" t="inlineStr">
        <is>
          <t>KALMAR LÄN</t>
        </is>
      </c>
      <c r="E372" t="inlineStr">
        <is>
          <t>VIMMERBY</t>
        </is>
      </c>
      <c r="G372" t="n">
        <v>4.9</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46073</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44464-2024</t>
        </is>
      </c>
      <c r="B374" s="1" t="n">
        <v>45574.35809027778</v>
      </c>
      <c r="C374" s="1" t="n">
        <v>46073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41066-2024</t>
        </is>
      </c>
      <c r="B375" s="1" t="n">
        <v>45559.38876157408</v>
      </c>
      <c r="C375" s="1" t="n">
        <v>46073</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46118-2025</t>
        </is>
      </c>
      <c r="B376" s="1" t="n">
        <v>45924.57697916667</v>
      </c>
      <c r="C376" s="1" t="n">
        <v>46073</v>
      </c>
      <c r="D376" t="inlineStr">
        <is>
          <t>KALMAR LÄN</t>
        </is>
      </c>
      <c r="E376" t="inlineStr">
        <is>
          <t>VIMMERBY</t>
        </is>
      </c>
      <c r="G376" t="n">
        <v>2.9</v>
      </c>
      <c r="H376" t="n">
        <v>0</v>
      </c>
      <c r="I376" t="n">
        <v>0</v>
      </c>
      <c r="J376" t="n">
        <v>0</v>
      </c>
      <c r="K376" t="n">
        <v>0</v>
      </c>
      <c r="L376" t="n">
        <v>0</v>
      </c>
      <c r="M376" t="n">
        <v>0</v>
      </c>
      <c r="N376" t="n">
        <v>0</v>
      </c>
      <c r="O376" t="n">
        <v>0</v>
      </c>
      <c r="P376" t="n">
        <v>0</v>
      </c>
      <c r="Q376" t="n">
        <v>0</v>
      </c>
      <c r="R376" s="2" t="inlineStr"/>
    </row>
    <row r="377" ht="15" customHeight="1">
      <c r="A377" t="inlineStr">
        <is>
          <t>A 3816-2022</t>
        </is>
      </c>
      <c r="B377" s="1" t="n">
        <v>44587</v>
      </c>
      <c r="C377" s="1" t="n">
        <v>46073</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1081-2023</t>
        </is>
      </c>
      <c r="B378" s="1" t="n">
        <v>44935</v>
      </c>
      <c r="C378" s="1" t="n">
        <v>46073</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7047-2022</t>
        </is>
      </c>
      <c r="B379" s="1" t="n">
        <v>44603</v>
      </c>
      <c r="C379" s="1" t="n">
        <v>46073</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12499-2023</t>
        </is>
      </c>
      <c r="B380" s="1" t="n">
        <v>44999.86172453704</v>
      </c>
      <c r="C380" s="1" t="n">
        <v>46073</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12500-2023</t>
        </is>
      </c>
      <c r="B381" s="1" t="n">
        <v>44999.8625</v>
      </c>
      <c r="C381" s="1" t="n">
        <v>46073</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45854-2025</t>
        </is>
      </c>
      <c r="B382" s="1" t="n">
        <v>45923</v>
      </c>
      <c r="C382" s="1" t="n">
        <v>46073</v>
      </c>
      <c r="D382" t="inlineStr">
        <is>
          <t>KALMAR LÄN</t>
        </is>
      </c>
      <c r="E382" t="inlineStr">
        <is>
          <t>VIMMERBY</t>
        </is>
      </c>
      <c r="G382" t="n">
        <v>2.2</v>
      </c>
      <c r="H382" t="n">
        <v>0</v>
      </c>
      <c r="I382" t="n">
        <v>0</v>
      </c>
      <c r="J382" t="n">
        <v>0</v>
      </c>
      <c r="K382" t="n">
        <v>0</v>
      </c>
      <c r="L382" t="n">
        <v>0</v>
      </c>
      <c r="M382" t="n">
        <v>0</v>
      </c>
      <c r="N382" t="n">
        <v>0</v>
      </c>
      <c r="O382" t="n">
        <v>0</v>
      </c>
      <c r="P382" t="n">
        <v>0</v>
      </c>
      <c r="Q382" t="n">
        <v>0</v>
      </c>
      <c r="R382" s="2" t="inlineStr"/>
    </row>
    <row r="383" ht="15" customHeight="1">
      <c r="A383" t="inlineStr">
        <is>
          <t>A 45855-2025</t>
        </is>
      </c>
      <c r="B383" s="1" t="n">
        <v>45923</v>
      </c>
      <c r="C383" s="1" t="n">
        <v>46073</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6066-2023</t>
        </is>
      </c>
      <c r="B384" s="1" t="n">
        <v>44964.50894675926</v>
      </c>
      <c r="C384" s="1" t="n">
        <v>46073</v>
      </c>
      <c r="D384" t="inlineStr">
        <is>
          <t>KALMAR LÄN</t>
        </is>
      </c>
      <c r="E384" t="inlineStr">
        <is>
          <t>VIMMERBY</t>
        </is>
      </c>
      <c r="G384" t="n">
        <v>2.8</v>
      </c>
      <c r="H384" t="n">
        <v>0</v>
      </c>
      <c r="I384" t="n">
        <v>0</v>
      </c>
      <c r="J384" t="n">
        <v>0</v>
      </c>
      <c r="K384" t="n">
        <v>0</v>
      </c>
      <c r="L384" t="n">
        <v>0</v>
      </c>
      <c r="M384" t="n">
        <v>0</v>
      </c>
      <c r="N384" t="n">
        <v>0</v>
      </c>
      <c r="O384" t="n">
        <v>0</v>
      </c>
      <c r="P384" t="n">
        <v>0</v>
      </c>
      <c r="Q384" t="n">
        <v>0</v>
      </c>
      <c r="R384" s="2" t="inlineStr"/>
    </row>
    <row r="385" ht="15" customHeight="1">
      <c r="A385" t="inlineStr">
        <is>
          <t>A 33103-2024</t>
        </is>
      </c>
      <c r="B385" s="1" t="n">
        <v>45517.8162037037</v>
      </c>
      <c r="C385" s="1" t="n">
        <v>46073</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33161-2024</t>
        </is>
      </c>
      <c r="B386" s="1" t="n">
        <v>45518.40657407408</v>
      </c>
      <c r="C386" s="1" t="n">
        <v>46073</v>
      </c>
      <c r="D386" t="inlineStr">
        <is>
          <t>KALMAR LÄN</t>
        </is>
      </c>
      <c r="E386" t="inlineStr">
        <is>
          <t>VIMMERBY</t>
        </is>
      </c>
      <c r="G386" t="n">
        <v>4.7</v>
      </c>
      <c r="H386" t="n">
        <v>0</v>
      </c>
      <c r="I386" t="n">
        <v>0</v>
      </c>
      <c r="J386" t="n">
        <v>0</v>
      </c>
      <c r="K386" t="n">
        <v>0</v>
      </c>
      <c r="L386" t="n">
        <v>0</v>
      </c>
      <c r="M386" t="n">
        <v>0</v>
      </c>
      <c r="N386" t="n">
        <v>0</v>
      </c>
      <c r="O386" t="n">
        <v>0</v>
      </c>
      <c r="P386" t="n">
        <v>0</v>
      </c>
      <c r="Q386" t="n">
        <v>0</v>
      </c>
      <c r="R386" s="2" t="inlineStr"/>
    </row>
    <row r="387" ht="15" customHeight="1">
      <c r="A387" t="inlineStr">
        <is>
          <t>A 12510-2022</t>
        </is>
      </c>
      <c r="B387" s="1" t="n">
        <v>44638.55256944444</v>
      </c>
      <c r="C387" s="1" t="n">
        <v>46073</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46361-2025</t>
        </is>
      </c>
      <c r="B388" s="1" t="n">
        <v>45925.49670138889</v>
      </c>
      <c r="C388" s="1" t="n">
        <v>46073</v>
      </c>
      <c r="D388" t="inlineStr">
        <is>
          <t>KALMAR LÄN</t>
        </is>
      </c>
      <c r="E388" t="inlineStr">
        <is>
          <t>VIMMERBY</t>
        </is>
      </c>
      <c r="G388" t="n">
        <v>4.2</v>
      </c>
      <c r="H388" t="n">
        <v>0</v>
      </c>
      <c r="I388" t="n">
        <v>0</v>
      </c>
      <c r="J388" t="n">
        <v>0</v>
      </c>
      <c r="K388" t="n">
        <v>0</v>
      </c>
      <c r="L388" t="n">
        <v>0</v>
      </c>
      <c r="M388" t="n">
        <v>0</v>
      </c>
      <c r="N388" t="n">
        <v>0</v>
      </c>
      <c r="O388" t="n">
        <v>0</v>
      </c>
      <c r="P388" t="n">
        <v>0</v>
      </c>
      <c r="Q388" t="n">
        <v>0</v>
      </c>
      <c r="R388" s="2" t="inlineStr"/>
    </row>
    <row r="389" ht="15" customHeight="1">
      <c r="A389" t="inlineStr">
        <is>
          <t>A 46365-2025</t>
        </is>
      </c>
      <c r="B389" s="1" t="n">
        <v>45925.50075231482</v>
      </c>
      <c r="C389" s="1" t="n">
        <v>46073</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45856-2025</t>
        </is>
      </c>
      <c r="B390" s="1" t="n">
        <v>45923</v>
      </c>
      <c r="C390" s="1" t="n">
        <v>46073</v>
      </c>
      <c r="D390" t="inlineStr">
        <is>
          <t>KALMAR LÄN</t>
        </is>
      </c>
      <c r="E390" t="inlineStr">
        <is>
          <t>VIMMERBY</t>
        </is>
      </c>
      <c r="G390" t="n">
        <v>2.1</v>
      </c>
      <c r="H390" t="n">
        <v>0</v>
      </c>
      <c r="I390" t="n">
        <v>0</v>
      </c>
      <c r="J390" t="n">
        <v>0</v>
      </c>
      <c r="K390" t="n">
        <v>0</v>
      </c>
      <c r="L390" t="n">
        <v>0</v>
      </c>
      <c r="M390" t="n">
        <v>0</v>
      </c>
      <c r="N390" t="n">
        <v>0</v>
      </c>
      <c r="O390" t="n">
        <v>0</v>
      </c>
      <c r="P390" t="n">
        <v>0</v>
      </c>
      <c r="Q390" t="n">
        <v>0</v>
      </c>
      <c r="R390" s="2" t="inlineStr"/>
    </row>
    <row r="391" ht="15" customHeight="1">
      <c r="A391" t="inlineStr">
        <is>
          <t>A 1146-2025</t>
        </is>
      </c>
      <c r="B391" s="1" t="n">
        <v>45666</v>
      </c>
      <c r="C391" s="1" t="n">
        <v>46073</v>
      </c>
      <c r="D391" t="inlineStr">
        <is>
          <t>KALMAR LÄN</t>
        </is>
      </c>
      <c r="E391" t="inlineStr">
        <is>
          <t>VIMMERBY</t>
        </is>
      </c>
      <c r="G391" t="n">
        <v>4</v>
      </c>
      <c r="H391" t="n">
        <v>0</v>
      </c>
      <c r="I391" t="n">
        <v>0</v>
      </c>
      <c r="J391" t="n">
        <v>0</v>
      </c>
      <c r="K391" t="n">
        <v>0</v>
      </c>
      <c r="L391" t="n">
        <v>0</v>
      </c>
      <c r="M391" t="n">
        <v>0</v>
      </c>
      <c r="N391" t="n">
        <v>0</v>
      </c>
      <c r="O391" t="n">
        <v>0</v>
      </c>
      <c r="P391" t="n">
        <v>0</v>
      </c>
      <c r="Q391" t="n">
        <v>0</v>
      </c>
      <c r="R391" s="2" t="inlineStr"/>
    </row>
    <row r="392" ht="15" customHeight="1">
      <c r="A392" t="inlineStr">
        <is>
          <t>A 28290-2025</t>
        </is>
      </c>
      <c r="B392" s="1" t="n">
        <v>45818.59261574074</v>
      </c>
      <c r="C392" s="1" t="n">
        <v>46073</v>
      </c>
      <c r="D392" t="inlineStr">
        <is>
          <t>KALMAR LÄN</t>
        </is>
      </c>
      <c r="E392" t="inlineStr">
        <is>
          <t>VIMMERBY</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46887-2025</t>
        </is>
      </c>
      <c r="B393" s="1" t="n">
        <v>45929.3672337963</v>
      </c>
      <c r="C393" s="1" t="n">
        <v>46073</v>
      </c>
      <c r="D393" t="inlineStr">
        <is>
          <t>KALMAR LÄN</t>
        </is>
      </c>
      <c r="E393" t="inlineStr">
        <is>
          <t>VIMMERBY</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28280-2025</t>
        </is>
      </c>
      <c r="B394" s="1" t="n">
        <v>45818.5862037037</v>
      </c>
      <c r="C394" s="1" t="n">
        <v>46073</v>
      </c>
      <c r="D394" t="inlineStr">
        <is>
          <t>KALMAR LÄN</t>
        </is>
      </c>
      <c r="E394" t="inlineStr">
        <is>
          <t>VIMMERBY</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28286-2025</t>
        </is>
      </c>
      <c r="B395" s="1" t="n">
        <v>45818.58993055556</v>
      </c>
      <c r="C395" s="1" t="n">
        <v>46073</v>
      </c>
      <c r="D395" t="inlineStr">
        <is>
          <t>KALMAR LÄN</t>
        </is>
      </c>
      <c r="E395" t="inlineStr">
        <is>
          <t>VIMMERBY</t>
        </is>
      </c>
      <c r="F395" t="inlineStr">
        <is>
          <t>Sveaskog</t>
        </is>
      </c>
      <c r="G395" t="n">
        <v>8</v>
      </c>
      <c r="H395" t="n">
        <v>0</v>
      </c>
      <c r="I395" t="n">
        <v>0</v>
      </c>
      <c r="J395" t="n">
        <v>0</v>
      </c>
      <c r="K395" t="n">
        <v>0</v>
      </c>
      <c r="L395" t="n">
        <v>0</v>
      </c>
      <c r="M395" t="n">
        <v>0</v>
      </c>
      <c r="N395" t="n">
        <v>0</v>
      </c>
      <c r="O395" t="n">
        <v>0</v>
      </c>
      <c r="P395" t="n">
        <v>0</v>
      </c>
      <c r="Q395" t="n">
        <v>0</v>
      </c>
      <c r="R395" s="2" t="inlineStr"/>
    </row>
    <row r="396" ht="15" customHeight="1">
      <c r="A396" t="inlineStr">
        <is>
          <t>A 47227-2025</t>
        </is>
      </c>
      <c r="B396" s="1" t="n">
        <v>45930.39769675926</v>
      </c>
      <c r="C396" s="1" t="n">
        <v>46073</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12890-2023</t>
        </is>
      </c>
      <c r="B397" s="1" t="n">
        <v>45001.59209490741</v>
      </c>
      <c r="C397" s="1" t="n">
        <v>46073</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3902-2022</t>
        </is>
      </c>
      <c r="B398" s="1" t="n">
        <v>44587.48847222222</v>
      </c>
      <c r="C398" s="1" t="n">
        <v>46073</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28282-2025</t>
        </is>
      </c>
      <c r="B399" s="1" t="n">
        <v>45818.58769675926</v>
      </c>
      <c r="C399" s="1" t="n">
        <v>46073</v>
      </c>
      <c r="D399" t="inlineStr">
        <is>
          <t>KALMAR LÄN</t>
        </is>
      </c>
      <c r="E399" t="inlineStr">
        <is>
          <t>VIMMERBY</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28294-2025</t>
        </is>
      </c>
      <c r="B400" s="1" t="n">
        <v>45818.595625</v>
      </c>
      <c r="C400" s="1" t="n">
        <v>46073</v>
      </c>
      <c r="D400" t="inlineStr">
        <is>
          <t>KALMAR LÄN</t>
        </is>
      </c>
      <c r="E400" t="inlineStr">
        <is>
          <t>VIMMERBY</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89-2023</t>
        </is>
      </c>
      <c r="B401" s="1" t="n">
        <v>44918</v>
      </c>
      <c r="C401" s="1" t="n">
        <v>46073</v>
      </c>
      <c r="D401" t="inlineStr">
        <is>
          <t>KALMAR LÄN</t>
        </is>
      </c>
      <c r="E401" t="inlineStr">
        <is>
          <t>VIMMERBY</t>
        </is>
      </c>
      <c r="G401" t="n">
        <v>16.1</v>
      </c>
      <c r="H401" t="n">
        <v>0</v>
      </c>
      <c r="I401" t="n">
        <v>0</v>
      </c>
      <c r="J401" t="n">
        <v>0</v>
      </c>
      <c r="K401" t="n">
        <v>0</v>
      </c>
      <c r="L401" t="n">
        <v>0</v>
      </c>
      <c r="M401" t="n">
        <v>0</v>
      </c>
      <c r="N401" t="n">
        <v>0</v>
      </c>
      <c r="O401" t="n">
        <v>0</v>
      </c>
      <c r="P401" t="n">
        <v>0</v>
      </c>
      <c r="Q401" t="n">
        <v>0</v>
      </c>
      <c r="R401" s="2" t="inlineStr"/>
    </row>
    <row r="402" ht="15" customHeight="1">
      <c r="A402" t="inlineStr">
        <is>
          <t>A 5382-2023</t>
        </is>
      </c>
      <c r="B402" s="1" t="n">
        <v>44959.66407407408</v>
      </c>
      <c r="C402" s="1" t="n">
        <v>46073</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6668-2023</t>
        </is>
      </c>
      <c r="B403" s="1" t="n">
        <v>44966</v>
      </c>
      <c r="C403" s="1" t="n">
        <v>46073</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172-2022</t>
        </is>
      </c>
      <c r="B404" s="1" t="n">
        <v>44564.62598379629</v>
      </c>
      <c r="C404" s="1" t="n">
        <v>46073</v>
      </c>
      <c r="D404" t="inlineStr">
        <is>
          <t>KALMAR LÄN</t>
        </is>
      </c>
      <c r="E404" t="inlineStr">
        <is>
          <t>VIMMERBY</t>
        </is>
      </c>
      <c r="G404" t="n">
        <v>2.1</v>
      </c>
      <c r="H404" t="n">
        <v>0</v>
      </c>
      <c r="I404" t="n">
        <v>0</v>
      </c>
      <c r="J404" t="n">
        <v>0</v>
      </c>
      <c r="K404" t="n">
        <v>0</v>
      </c>
      <c r="L404" t="n">
        <v>0</v>
      </c>
      <c r="M404" t="n">
        <v>0</v>
      </c>
      <c r="N404" t="n">
        <v>0</v>
      </c>
      <c r="O404" t="n">
        <v>0</v>
      </c>
      <c r="P404" t="n">
        <v>0</v>
      </c>
      <c r="Q404" t="n">
        <v>0</v>
      </c>
      <c r="R404" s="2" t="inlineStr"/>
    </row>
    <row r="405" ht="15" customHeight="1">
      <c r="A405" t="inlineStr">
        <is>
          <t>A 28713-2025</t>
        </is>
      </c>
      <c r="B405" s="1" t="n">
        <v>45820.33930555556</v>
      </c>
      <c r="C405" s="1" t="n">
        <v>46073</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30634-2024</t>
        </is>
      </c>
      <c r="B406" s="1" t="n">
        <v>45495</v>
      </c>
      <c r="C406" s="1" t="n">
        <v>46073</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6355-2022</t>
        </is>
      </c>
      <c r="B407" s="1" t="n">
        <v>44600</v>
      </c>
      <c r="C407" s="1" t="n">
        <v>46073</v>
      </c>
      <c r="D407" t="inlineStr">
        <is>
          <t>KALMAR LÄN</t>
        </is>
      </c>
      <c r="E407" t="inlineStr">
        <is>
          <t>VIMMERBY</t>
        </is>
      </c>
      <c r="G407" t="n">
        <v>4.9</v>
      </c>
      <c r="H407" t="n">
        <v>0</v>
      </c>
      <c r="I407" t="n">
        <v>0</v>
      </c>
      <c r="J407" t="n">
        <v>0</v>
      </c>
      <c r="K407" t="n">
        <v>0</v>
      </c>
      <c r="L407" t="n">
        <v>0</v>
      </c>
      <c r="M407" t="n">
        <v>0</v>
      </c>
      <c r="N407" t="n">
        <v>0</v>
      </c>
      <c r="O407" t="n">
        <v>0</v>
      </c>
      <c r="P407" t="n">
        <v>0</v>
      </c>
      <c r="Q407" t="n">
        <v>0</v>
      </c>
      <c r="R407" s="2" t="inlineStr"/>
    </row>
    <row r="408" ht="15" customHeight="1">
      <c r="A408" t="inlineStr">
        <is>
          <t>A 28712-2025</t>
        </is>
      </c>
      <c r="B408" s="1" t="n">
        <v>45820.33708333333</v>
      </c>
      <c r="C408" s="1" t="n">
        <v>46073</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28714-2025</t>
        </is>
      </c>
      <c r="B409" s="1" t="n">
        <v>45820.34128472222</v>
      </c>
      <c r="C409" s="1" t="n">
        <v>46073</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28620-2025</t>
        </is>
      </c>
      <c r="B410" s="1" t="n">
        <v>45819.61060185185</v>
      </c>
      <c r="C410" s="1" t="n">
        <v>46073</v>
      </c>
      <c r="D410" t="inlineStr">
        <is>
          <t>KALMAR LÄN</t>
        </is>
      </c>
      <c r="E410" t="inlineStr">
        <is>
          <t>VIMMERBY</t>
        </is>
      </c>
      <c r="G410" t="n">
        <v>5.6</v>
      </c>
      <c r="H410" t="n">
        <v>0</v>
      </c>
      <c r="I410" t="n">
        <v>0</v>
      </c>
      <c r="J410" t="n">
        <v>0</v>
      </c>
      <c r="K410" t="n">
        <v>0</v>
      </c>
      <c r="L410" t="n">
        <v>0</v>
      </c>
      <c r="M410" t="n">
        <v>0</v>
      </c>
      <c r="N410" t="n">
        <v>0</v>
      </c>
      <c r="O410" t="n">
        <v>0</v>
      </c>
      <c r="P410" t="n">
        <v>0</v>
      </c>
      <c r="Q410" t="n">
        <v>0</v>
      </c>
      <c r="R410" s="2" t="inlineStr"/>
    </row>
    <row r="411" ht="15" customHeight="1">
      <c r="A411" t="inlineStr">
        <is>
          <t>A 16020-2023</t>
        </is>
      </c>
      <c r="B411" s="1" t="n">
        <v>45026.82216435186</v>
      </c>
      <c r="C411" s="1" t="n">
        <v>46073</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60292-2022</t>
        </is>
      </c>
      <c r="B412" s="1" t="n">
        <v>44910.54231481482</v>
      </c>
      <c r="C412" s="1" t="n">
        <v>46073</v>
      </c>
      <c r="D412" t="inlineStr">
        <is>
          <t>KALMAR LÄN</t>
        </is>
      </c>
      <c r="E412" t="inlineStr">
        <is>
          <t>VIMMERBY</t>
        </is>
      </c>
      <c r="G412" t="n">
        <v>4.4</v>
      </c>
      <c r="H412" t="n">
        <v>0</v>
      </c>
      <c r="I412" t="n">
        <v>0</v>
      </c>
      <c r="J412" t="n">
        <v>0</v>
      </c>
      <c r="K412" t="n">
        <v>0</v>
      </c>
      <c r="L412" t="n">
        <v>0</v>
      </c>
      <c r="M412" t="n">
        <v>0</v>
      </c>
      <c r="N412" t="n">
        <v>0</v>
      </c>
      <c r="O412" t="n">
        <v>0</v>
      </c>
      <c r="P412" t="n">
        <v>0</v>
      </c>
      <c r="Q412" t="n">
        <v>0</v>
      </c>
      <c r="R412" s="2" t="inlineStr"/>
    </row>
    <row r="413" ht="15" customHeight="1">
      <c r="A413" t="inlineStr">
        <is>
          <t>A 43034-2024</t>
        </is>
      </c>
      <c r="B413" s="1" t="n">
        <v>45567.42011574074</v>
      </c>
      <c r="C413" s="1" t="n">
        <v>46073</v>
      </c>
      <c r="D413" t="inlineStr">
        <is>
          <t>KALMAR LÄN</t>
        </is>
      </c>
      <c r="E413" t="inlineStr">
        <is>
          <t>VIMMERBY</t>
        </is>
      </c>
      <c r="G413" t="n">
        <v>1.8</v>
      </c>
      <c r="H413" t="n">
        <v>0</v>
      </c>
      <c r="I413" t="n">
        <v>0</v>
      </c>
      <c r="J413" t="n">
        <v>0</v>
      </c>
      <c r="K413" t="n">
        <v>0</v>
      </c>
      <c r="L413" t="n">
        <v>0</v>
      </c>
      <c r="M413" t="n">
        <v>0</v>
      </c>
      <c r="N413" t="n">
        <v>0</v>
      </c>
      <c r="O413" t="n">
        <v>0</v>
      </c>
      <c r="P413" t="n">
        <v>0</v>
      </c>
      <c r="Q413" t="n">
        <v>0</v>
      </c>
      <c r="R413" s="2" t="inlineStr"/>
    </row>
    <row r="414" ht="15" customHeight="1">
      <c r="A414" t="inlineStr">
        <is>
          <t>A 40256-2024</t>
        </is>
      </c>
      <c r="B414" s="1" t="n">
        <v>45554.62944444444</v>
      </c>
      <c r="C414" s="1" t="n">
        <v>46073</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29727-2025</t>
        </is>
      </c>
      <c r="B415" s="1" t="n">
        <v>45825.5796875</v>
      </c>
      <c r="C415" s="1" t="n">
        <v>46073</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29737-2025</t>
        </is>
      </c>
      <c r="B416" s="1" t="n">
        <v>45825.58672453704</v>
      </c>
      <c r="C416" s="1" t="n">
        <v>46073</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43093-2024</t>
        </is>
      </c>
      <c r="B417" s="1" t="n">
        <v>45567</v>
      </c>
      <c r="C417" s="1" t="n">
        <v>46073</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35198-2023</t>
        </is>
      </c>
      <c r="B418" s="1" t="n">
        <v>45145</v>
      </c>
      <c r="C418" s="1" t="n">
        <v>46073</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30293-2025</t>
        </is>
      </c>
      <c r="B419" s="1" t="n">
        <v>45827</v>
      </c>
      <c r="C419" s="1" t="n">
        <v>46073</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30290-2025</t>
        </is>
      </c>
      <c r="B420" s="1" t="n">
        <v>45827</v>
      </c>
      <c r="C420" s="1" t="n">
        <v>46073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58374-2024</t>
        </is>
      </c>
      <c r="B421" s="1" t="n">
        <v>45632.72635416667</v>
      </c>
      <c r="C421" s="1" t="n">
        <v>46073</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30850-2025</t>
        </is>
      </c>
      <c r="B422" s="1" t="n">
        <v>45831</v>
      </c>
      <c r="C422" s="1" t="n">
        <v>46073</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55300-2021</t>
        </is>
      </c>
      <c r="B423" s="1" t="n">
        <v>44475</v>
      </c>
      <c r="C423" s="1" t="n">
        <v>46073</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47263-2023</t>
        </is>
      </c>
      <c r="B424" s="1" t="n">
        <v>45202.4209837963</v>
      </c>
      <c r="C424" s="1" t="n">
        <v>46073</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30882-2025</t>
        </is>
      </c>
      <c r="B425" s="1" t="n">
        <v>45832.34540509259</v>
      </c>
      <c r="C425" s="1" t="n">
        <v>46073</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30971-2025</t>
        </is>
      </c>
      <c r="B426" s="1" t="n">
        <v>45832.46146990741</v>
      </c>
      <c r="C426" s="1" t="n">
        <v>46073</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31552-2025</t>
        </is>
      </c>
      <c r="B427" s="1" t="n">
        <v>45833.64563657407</v>
      </c>
      <c r="C427" s="1" t="n">
        <v>46073</v>
      </c>
      <c r="D427" t="inlineStr">
        <is>
          <t>KALMAR LÄN</t>
        </is>
      </c>
      <c r="E427" t="inlineStr">
        <is>
          <t>VIMMERBY</t>
        </is>
      </c>
      <c r="G427" t="n">
        <v>1.7</v>
      </c>
      <c r="H427" t="n">
        <v>0</v>
      </c>
      <c r="I427" t="n">
        <v>0</v>
      </c>
      <c r="J427" t="n">
        <v>0</v>
      </c>
      <c r="K427" t="n">
        <v>0</v>
      </c>
      <c r="L427" t="n">
        <v>0</v>
      </c>
      <c r="M427" t="n">
        <v>0</v>
      </c>
      <c r="N427" t="n">
        <v>0</v>
      </c>
      <c r="O427" t="n">
        <v>0</v>
      </c>
      <c r="P427" t="n">
        <v>0</v>
      </c>
      <c r="Q427" t="n">
        <v>0</v>
      </c>
      <c r="R427" s="2" t="inlineStr"/>
    </row>
    <row r="428" ht="15" customHeight="1">
      <c r="A428" t="inlineStr">
        <is>
          <t>A 31555-2025</t>
        </is>
      </c>
      <c r="B428" s="1" t="n">
        <v>45833.64814814815</v>
      </c>
      <c r="C428" s="1" t="n">
        <v>46073</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2536-2023</t>
        </is>
      </c>
      <c r="B429" s="1" t="n">
        <v>44943.62954861111</v>
      </c>
      <c r="C429" s="1" t="n">
        <v>46073</v>
      </c>
      <c r="D429" t="inlineStr">
        <is>
          <t>KALMAR LÄN</t>
        </is>
      </c>
      <c r="E429" t="inlineStr">
        <is>
          <t>VIMMERBY</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2801-2023</t>
        </is>
      </c>
      <c r="B430" s="1" t="n">
        <v>44944.73487268519</v>
      </c>
      <c r="C430" s="1" t="n">
        <v>46073</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17968-2025</t>
        </is>
      </c>
      <c r="B431" s="1" t="n">
        <v>45761.35990740741</v>
      </c>
      <c r="C431" s="1" t="n">
        <v>46073</v>
      </c>
      <c r="D431" t="inlineStr">
        <is>
          <t>KALMAR LÄN</t>
        </is>
      </c>
      <c r="E431" t="inlineStr">
        <is>
          <t>VIMMERBY</t>
        </is>
      </c>
      <c r="G431" t="n">
        <v>3.3</v>
      </c>
      <c r="H431" t="n">
        <v>0</v>
      </c>
      <c r="I431" t="n">
        <v>0</v>
      </c>
      <c r="J431" t="n">
        <v>0</v>
      </c>
      <c r="K431" t="n">
        <v>0</v>
      </c>
      <c r="L431" t="n">
        <v>0</v>
      </c>
      <c r="M431" t="n">
        <v>0</v>
      </c>
      <c r="N431" t="n">
        <v>0</v>
      </c>
      <c r="O431" t="n">
        <v>0</v>
      </c>
      <c r="P431" t="n">
        <v>0</v>
      </c>
      <c r="Q431" t="n">
        <v>0</v>
      </c>
      <c r="R431" s="2" t="inlineStr"/>
    </row>
    <row r="432" ht="15" customHeight="1">
      <c r="A432" t="inlineStr">
        <is>
          <t>A 31870-2025</t>
        </is>
      </c>
      <c r="B432" s="1" t="n">
        <v>45834.64667824074</v>
      </c>
      <c r="C432" s="1" t="n">
        <v>46073</v>
      </c>
      <c r="D432" t="inlineStr">
        <is>
          <t>KALMAR LÄN</t>
        </is>
      </c>
      <c r="E432" t="inlineStr">
        <is>
          <t>VIMMERBY</t>
        </is>
      </c>
      <c r="F432" t="inlineStr">
        <is>
          <t>Sveaskog</t>
        </is>
      </c>
      <c r="G432" t="n">
        <v>3.5</v>
      </c>
      <c r="H432" t="n">
        <v>0</v>
      </c>
      <c r="I432" t="n">
        <v>0</v>
      </c>
      <c r="J432" t="n">
        <v>0</v>
      </c>
      <c r="K432" t="n">
        <v>0</v>
      </c>
      <c r="L432" t="n">
        <v>0</v>
      </c>
      <c r="M432" t="n">
        <v>0</v>
      </c>
      <c r="N432" t="n">
        <v>0</v>
      </c>
      <c r="O432" t="n">
        <v>0</v>
      </c>
      <c r="P432" t="n">
        <v>0</v>
      </c>
      <c r="Q432" t="n">
        <v>0</v>
      </c>
      <c r="R432" s="2" t="inlineStr"/>
    </row>
    <row r="433" ht="15" customHeight="1">
      <c r="A433" t="inlineStr">
        <is>
          <t>A 57728-2025</t>
        </is>
      </c>
      <c r="B433" s="1" t="n">
        <v>45981</v>
      </c>
      <c r="C433" s="1" t="n">
        <v>46073</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8559-2025</t>
        </is>
      </c>
      <c r="B434" s="1" t="n">
        <v>45709.62280092593</v>
      </c>
      <c r="C434" s="1" t="n">
        <v>46073</v>
      </c>
      <c r="D434" t="inlineStr">
        <is>
          <t>KALMAR LÄN</t>
        </is>
      </c>
      <c r="E434" t="inlineStr">
        <is>
          <t>VIMMERBY</t>
        </is>
      </c>
      <c r="G434" t="n">
        <v>8.9</v>
      </c>
      <c r="H434" t="n">
        <v>0</v>
      </c>
      <c r="I434" t="n">
        <v>0</v>
      </c>
      <c r="J434" t="n">
        <v>0</v>
      </c>
      <c r="K434" t="n">
        <v>0</v>
      </c>
      <c r="L434" t="n">
        <v>0</v>
      </c>
      <c r="M434" t="n">
        <v>0</v>
      </c>
      <c r="N434" t="n">
        <v>0</v>
      </c>
      <c r="O434" t="n">
        <v>0</v>
      </c>
      <c r="P434" t="n">
        <v>0</v>
      </c>
      <c r="Q434" t="n">
        <v>0</v>
      </c>
      <c r="R434" s="2" t="inlineStr"/>
    </row>
    <row r="435" ht="15" customHeight="1">
      <c r="A435" t="inlineStr">
        <is>
          <t>A 31872-2025</t>
        </is>
      </c>
      <c r="B435" s="1" t="n">
        <v>45834.65040509259</v>
      </c>
      <c r="C435" s="1" t="n">
        <v>46073</v>
      </c>
      <c r="D435" t="inlineStr">
        <is>
          <t>KALMAR LÄN</t>
        </is>
      </c>
      <c r="E435" t="inlineStr">
        <is>
          <t>VIMMERBY</t>
        </is>
      </c>
      <c r="F435" t="inlineStr">
        <is>
          <t>Sveaskog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31876-2025</t>
        </is>
      </c>
      <c r="B436" s="1" t="n">
        <v>45834.65197916667</v>
      </c>
      <c r="C436" s="1" t="n">
        <v>46073</v>
      </c>
      <c r="D436" t="inlineStr">
        <is>
          <t>KALMAR LÄN</t>
        </is>
      </c>
      <c r="E436" t="inlineStr">
        <is>
          <t>VIMMERBY</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31551-2025</t>
        </is>
      </c>
      <c r="B437" s="1" t="n">
        <v>45833.64237268519</v>
      </c>
      <c r="C437" s="1" t="n">
        <v>46073</v>
      </c>
      <c r="D437" t="inlineStr">
        <is>
          <t>KALMAR LÄN</t>
        </is>
      </c>
      <c r="E437" t="inlineStr">
        <is>
          <t>VIMMERBY</t>
        </is>
      </c>
      <c r="G437" t="n">
        <v>1.9</v>
      </c>
      <c r="H437" t="n">
        <v>0</v>
      </c>
      <c r="I437" t="n">
        <v>0</v>
      </c>
      <c r="J437" t="n">
        <v>0</v>
      </c>
      <c r="K437" t="n">
        <v>0</v>
      </c>
      <c r="L437" t="n">
        <v>0</v>
      </c>
      <c r="M437" t="n">
        <v>0</v>
      </c>
      <c r="N437" t="n">
        <v>0</v>
      </c>
      <c r="O437" t="n">
        <v>0</v>
      </c>
      <c r="P437" t="n">
        <v>0</v>
      </c>
      <c r="Q437" t="n">
        <v>0</v>
      </c>
      <c r="R437" s="2" t="inlineStr"/>
    </row>
    <row r="438" ht="15" customHeight="1">
      <c r="A438" t="inlineStr">
        <is>
          <t>A 31987-2025</t>
        </is>
      </c>
      <c r="B438" s="1" t="n">
        <v>45835.36229166666</v>
      </c>
      <c r="C438" s="1" t="n">
        <v>46073</v>
      </c>
      <c r="D438" t="inlineStr">
        <is>
          <t>KALMAR LÄN</t>
        </is>
      </c>
      <c r="E438" t="inlineStr">
        <is>
          <t>VIMMERBY</t>
        </is>
      </c>
      <c r="F438" t="inlineStr">
        <is>
          <t>Kyrkan</t>
        </is>
      </c>
      <c r="G438" t="n">
        <v>1.2</v>
      </c>
      <c r="H438" t="n">
        <v>0</v>
      </c>
      <c r="I438" t="n">
        <v>0</v>
      </c>
      <c r="J438" t="n">
        <v>0</v>
      </c>
      <c r="K438" t="n">
        <v>0</v>
      </c>
      <c r="L438" t="n">
        <v>0</v>
      </c>
      <c r="M438" t="n">
        <v>0</v>
      </c>
      <c r="N438" t="n">
        <v>0</v>
      </c>
      <c r="O438" t="n">
        <v>0</v>
      </c>
      <c r="P438" t="n">
        <v>0</v>
      </c>
      <c r="Q438" t="n">
        <v>0</v>
      </c>
      <c r="R438" s="2" t="inlineStr"/>
    </row>
    <row r="439" ht="15" customHeight="1">
      <c r="A439" t="inlineStr">
        <is>
          <t>A 14451-2024</t>
        </is>
      </c>
      <c r="B439" s="1" t="n">
        <v>45394.50028935185</v>
      </c>
      <c r="C439" s="1" t="n">
        <v>46073</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32120-2025</t>
        </is>
      </c>
      <c r="B440" s="1" t="n">
        <v>45835.4924537037</v>
      </c>
      <c r="C440" s="1" t="n">
        <v>46073</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32116-2025</t>
        </is>
      </c>
      <c r="B441" s="1" t="n">
        <v>45835.48862268519</v>
      </c>
      <c r="C441" s="1" t="n">
        <v>46073</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46238-2024</t>
        </is>
      </c>
      <c r="B442" s="1" t="n">
        <v>45581.58418981481</v>
      </c>
      <c r="C442" s="1" t="n">
        <v>46073</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58442-2025</t>
        </is>
      </c>
      <c r="B443" s="1" t="n">
        <v>45985.61635416667</v>
      </c>
      <c r="C443" s="1" t="n">
        <v>46073</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58498-2025</t>
        </is>
      </c>
      <c r="B444" s="1" t="n">
        <v>45985.68671296296</v>
      </c>
      <c r="C444" s="1" t="n">
        <v>46073</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58501-2025</t>
        </is>
      </c>
      <c r="B445" s="1" t="n">
        <v>45985.69153935185</v>
      </c>
      <c r="C445" s="1" t="n">
        <v>46073</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58514-2025</t>
        </is>
      </c>
      <c r="B446" s="1" t="n">
        <v>45985.70513888889</v>
      </c>
      <c r="C446" s="1" t="n">
        <v>46073</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50993-2022</t>
        </is>
      </c>
      <c r="B447" s="1" t="n">
        <v>44867</v>
      </c>
      <c r="C447" s="1" t="n">
        <v>46073</v>
      </c>
      <c r="D447" t="inlineStr">
        <is>
          <t>KALMAR LÄN</t>
        </is>
      </c>
      <c r="E447" t="inlineStr">
        <is>
          <t>VIMMERBY</t>
        </is>
      </c>
      <c r="G447" t="n">
        <v>1.7</v>
      </c>
      <c r="H447" t="n">
        <v>0</v>
      </c>
      <c r="I447" t="n">
        <v>0</v>
      </c>
      <c r="J447" t="n">
        <v>0</v>
      </c>
      <c r="K447" t="n">
        <v>0</v>
      </c>
      <c r="L447" t="n">
        <v>0</v>
      </c>
      <c r="M447" t="n">
        <v>0</v>
      </c>
      <c r="N447" t="n">
        <v>0</v>
      </c>
      <c r="O447" t="n">
        <v>0</v>
      </c>
      <c r="P447" t="n">
        <v>0</v>
      </c>
      <c r="Q447" t="n">
        <v>0</v>
      </c>
      <c r="R447" s="2" t="inlineStr"/>
    </row>
    <row r="448" ht="15" customHeight="1">
      <c r="A448" t="inlineStr">
        <is>
          <t>A 46225-2024</t>
        </is>
      </c>
      <c r="B448" s="1" t="n">
        <v>45581.57333333333</v>
      </c>
      <c r="C448" s="1" t="n">
        <v>46073</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32380-2025</t>
        </is>
      </c>
      <c r="B449" s="1" t="n">
        <v>45837.77701388889</v>
      </c>
      <c r="C449" s="1" t="n">
        <v>46073</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36055-2024</t>
        </is>
      </c>
      <c r="B450" s="1" t="n">
        <v>45533.63056712963</v>
      </c>
      <c r="C450" s="1" t="n">
        <v>46073</v>
      </c>
      <c r="D450" t="inlineStr">
        <is>
          <t>KALMAR LÄN</t>
        </is>
      </c>
      <c r="E450" t="inlineStr">
        <is>
          <t>VIMMERBY</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32109-2025</t>
        </is>
      </c>
      <c r="B451" s="1" t="n">
        <v>45835.48267361111</v>
      </c>
      <c r="C451" s="1" t="n">
        <v>46073</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32113-2025</t>
        </is>
      </c>
      <c r="B452" s="1" t="n">
        <v>45835.48445601852</v>
      </c>
      <c r="C452" s="1" t="n">
        <v>46073</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32077-2025</t>
        </is>
      </c>
      <c r="B453" s="1" t="n">
        <v>45835.45099537037</v>
      </c>
      <c r="C453" s="1" t="n">
        <v>46073</v>
      </c>
      <c r="D453" t="inlineStr">
        <is>
          <t>KALMAR LÄN</t>
        </is>
      </c>
      <c r="E453" t="inlineStr">
        <is>
          <t>VIMMERBY</t>
        </is>
      </c>
      <c r="G453" t="n">
        <v>1.8</v>
      </c>
      <c r="H453" t="n">
        <v>0</v>
      </c>
      <c r="I453" t="n">
        <v>0</v>
      </c>
      <c r="J453" t="n">
        <v>0</v>
      </c>
      <c r="K453" t="n">
        <v>0</v>
      </c>
      <c r="L453" t="n">
        <v>0</v>
      </c>
      <c r="M453" t="n">
        <v>0</v>
      </c>
      <c r="N453" t="n">
        <v>0</v>
      </c>
      <c r="O453" t="n">
        <v>0</v>
      </c>
      <c r="P453" t="n">
        <v>0</v>
      </c>
      <c r="Q453" t="n">
        <v>0</v>
      </c>
      <c r="R453" s="2" t="inlineStr"/>
    </row>
    <row r="454" ht="15" customHeight="1">
      <c r="A454" t="inlineStr">
        <is>
          <t>A 47859-2024</t>
        </is>
      </c>
      <c r="B454" s="1" t="n">
        <v>45588.67070601852</v>
      </c>
      <c r="C454" s="1" t="n">
        <v>46073</v>
      </c>
      <c r="D454" t="inlineStr">
        <is>
          <t>KALMAR LÄN</t>
        </is>
      </c>
      <c r="E454" t="inlineStr">
        <is>
          <t>VIMMERBY</t>
        </is>
      </c>
      <c r="G454" t="n">
        <v>1.7</v>
      </c>
      <c r="H454" t="n">
        <v>0</v>
      </c>
      <c r="I454" t="n">
        <v>0</v>
      </c>
      <c r="J454" t="n">
        <v>0</v>
      </c>
      <c r="K454" t="n">
        <v>0</v>
      </c>
      <c r="L454" t="n">
        <v>0</v>
      </c>
      <c r="M454" t="n">
        <v>0</v>
      </c>
      <c r="N454" t="n">
        <v>0</v>
      </c>
      <c r="O454" t="n">
        <v>0</v>
      </c>
      <c r="P454" t="n">
        <v>0</v>
      </c>
      <c r="Q454" t="n">
        <v>0</v>
      </c>
      <c r="R454" s="2" t="inlineStr"/>
    </row>
    <row r="455" ht="15" customHeight="1">
      <c r="A455" t="inlineStr">
        <is>
          <t>A 32064-2025</t>
        </is>
      </c>
      <c r="B455" s="1" t="n">
        <v>45835.44709490741</v>
      </c>
      <c r="C455" s="1" t="n">
        <v>46073</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32065-2025</t>
        </is>
      </c>
      <c r="B456" s="1" t="n">
        <v>45835.44732638889</v>
      </c>
      <c r="C456" s="1" t="n">
        <v>46073</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58503-2025</t>
        </is>
      </c>
      <c r="B457" s="1" t="n">
        <v>45985.69509259259</v>
      </c>
      <c r="C457" s="1" t="n">
        <v>46073</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58446-2025</t>
        </is>
      </c>
      <c r="B458" s="1" t="n">
        <v>45985.62168981481</v>
      </c>
      <c r="C458" s="1" t="n">
        <v>46073</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32835-2022</t>
        </is>
      </c>
      <c r="B459" s="1" t="n">
        <v>44784.42528935185</v>
      </c>
      <c r="C459" s="1" t="n">
        <v>46073</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58500-2025</t>
        </is>
      </c>
      <c r="B460" s="1" t="n">
        <v>45985.69008101852</v>
      </c>
      <c r="C460" s="1" t="n">
        <v>46073</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33186-2025</t>
        </is>
      </c>
      <c r="B461" s="1" t="n">
        <v>45840.59474537037</v>
      </c>
      <c r="C461" s="1" t="n">
        <v>46073</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41896-2023</t>
        </is>
      </c>
      <c r="B462" s="1" t="n">
        <v>45176.72427083334</v>
      </c>
      <c r="C462" s="1" t="n">
        <v>46073</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58435-2025</t>
        </is>
      </c>
      <c r="B463" s="1" t="n">
        <v>45985.61501157407</v>
      </c>
      <c r="C463" s="1" t="n">
        <v>46073</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30977-2025</t>
        </is>
      </c>
      <c r="B464" s="1" t="n">
        <v>45832.46649305556</v>
      </c>
      <c r="C464" s="1" t="n">
        <v>46073</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43606-2024</t>
        </is>
      </c>
      <c r="B465" s="1" t="n">
        <v>45569.45017361111</v>
      </c>
      <c r="C465" s="1" t="n">
        <v>46073</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33695-2025</t>
        </is>
      </c>
      <c r="B466" s="1" t="n">
        <v>45841.70569444444</v>
      </c>
      <c r="C466" s="1" t="n">
        <v>46073</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33698-2025</t>
        </is>
      </c>
      <c r="B467" s="1" t="n">
        <v>45841.70868055556</v>
      </c>
      <c r="C467" s="1" t="n">
        <v>46073</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12325-2023</t>
        </is>
      </c>
      <c r="B468" s="1" t="n">
        <v>44999.35858796296</v>
      </c>
      <c r="C468" s="1" t="n">
        <v>46073</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8945-2025</t>
        </is>
      </c>
      <c r="B469" s="1" t="n">
        <v>45713.45311342592</v>
      </c>
      <c r="C469" s="1" t="n">
        <v>46073</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59037-2025</t>
        </is>
      </c>
      <c r="B470" s="1" t="n">
        <v>45988.36508101852</v>
      </c>
      <c r="C470" s="1" t="n">
        <v>46073</v>
      </c>
      <c r="D470" t="inlineStr">
        <is>
          <t>KALMAR LÄN</t>
        </is>
      </c>
      <c r="E470" t="inlineStr">
        <is>
          <t>VIMMERBY</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40665-2023</t>
        </is>
      </c>
      <c r="B471" s="1" t="n">
        <v>45170</v>
      </c>
      <c r="C471" s="1" t="n">
        <v>46073</v>
      </c>
      <c r="D471" t="inlineStr">
        <is>
          <t>KALMAR LÄN</t>
        </is>
      </c>
      <c r="E471" t="inlineStr">
        <is>
          <t>VIMMERBY</t>
        </is>
      </c>
      <c r="G471" t="n">
        <v>2.6</v>
      </c>
      <c r="H471" t="n">
        <v>0</v>
      </c>
      <c r="I471" t="n">
        <v>0</v>
      </c>
      <c r="J471" t="n">
        <v>0</v>
      </c>
      <c r="K471" t="n">
        <v>0</v>
      </c>
      <c r="L471" t="n">
        <v>0</v>
      </c>
      <c r="M471" t="n">
        <v>0</v>
      </c>
      <c r="N471" t="n">
        <v>0</v>
      </c>
      <c r="O471" t="n">
        <v>0</v>
      </c>
      <c r="P471" t="n">
        <v>0</v>
      </c>
      <c r="Q471" t="n">
        <v>0</v>
      </c>
      <c r="R471" s="2" t="inlineStr"/>
    </row>
    <row r="472" ht="15" customHeight="1">
      <c r="A472" t="inlineStr">
        <is>
          <t>A 59034-2025</t>
        </is>
      </c>
      <c r="B472" s="1" t="n">
        <v>45988.36243055556</v>
      </c>
      <c r="C472" s="1" t="n">
        <v>46073</v>
      </c>
      <c r="D472" t="inlineStr">
        <is>
          <t>KALMAR LÄN</t>
        </is>
      </c>
      <c r="E472" t="inlineStr">
        <is>
          <t>VIMMERBY</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13307-2025</t>
        </is>
      </c>
      <c r="B473" s="1" t="n">
        <v>45735.58024305556</v>
      </c>
      <c r="C473" s="1" t="n">
        <v>46073</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59068-2025</t>
        </is>
      </c>
      <c r="B474" s="1" t="n">
        <v>45988.41725694444</v>
      </c>
      <c r="C474" s="1" t="n">
        <v>46073</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58858-2025</t>
        </is>
      </c>
      <c r="B475" s="1" t="n">
        <v>45987.4243287037</v>
      </c>
      <c r="C475" s="1" t="n">
        <v>46073</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59039-2025</t>
        </is>
      </c>
      <c r="B476" s="1" t="n">
        <v>45988.36790509259</v>
      </c>
      <c r="C476" s="1" t="n">
        <v>46073</v>
      </c>
      <c r="D476" t="inlineStr">
        <is>
          <t>KALMAR LÄN</t>
        </is>
      </c>
      <c r="E476" t="inlineStr">
        <is>
          <t>VIMMERBY</t>
        </is>
      </c>
      <c r="F476" t="inlineStr">
        <is>
          <t>Sveaskog</t>
        </is>
      </c>
      <c r="G476" t="n">
        <v>3.2</v>
      </c>
      <c r="H476" t="n">
        <v>0</v>
      </c>
      <c r="I476" t="n">
        <v>0</v>
      </c>
      <c r="J476" t="n">
        <v>0</v>
      </c>
      <c r="K476" t="n">
        <v>0</v>
      </c>
      <c r="L476" t="n">
        <v>0</v>
      </c>
      <c r="M476" t="n">
        <v>0</v>
      </c>
      <c r="N476" t="n">
        <v>0</v>
      </c>
      <c r="O476" t="n">
        <v>0</v>
      </c>
      <c r="P476" t="n">
        <v>0</v>
      </c>
      <c r="Q476" t="n">
        <v>0</v>
      </c>
      <c r="R476" s="2" t="inlineStr"/>
    </row>
    <row r="477" ht="15" customHeight="1">
      <c r="A477" t="inlineStr">
        <is>
          <t>A 28034-2022</t>
        </is>
      </c>
      <c r="B477" s="1" t="n">
        <v>44746.38834490741</v>
      </c>
      <c r="C477" s="1" t="n">
        <v>46073</v>
      </c>
      <c r="D477" t="inlineStr">
        <is>
          <t>KALMAR LÄN</t>
        </is>
      </c>
      <c r="E477" t="inlineStr">
        <is>
          <t>VIMMERBY</t>
        </is>
      </c>
      <c r="G477" t="n">
        <v>2</v>
      </c>
      <c r="H477" t="n">
        <v>0</v>
      </c>
      <c r="I477" t="n">
        <v>0</v>
      </c>
      <c r="J477" t="n">
        <v>0</v>
      </c>
      <c r="K477" t="n">
        <v>0</v>
      </c>
      <c r="L477" t="n">
        <v>0</v>
      </c>
      <c r="M477" t="n">
        <v>0</v>
      </c>
      <c r="N477" t="n">
        <v>0</v>
      </c>
      <c r="O477" t="n">
        <v>0</v>
      </c>
      <c r="P477" t="n">
        <v>0</v>
      </c>
      <c r="Q477" t="n">
        <v>0</v>
      </c>
      <c r="R477" s="2" t="inlineStr"/>
    </row>
    <row r="478" ht="15" customHeight="1">
      <c r="A478" t="inlineStr">
        <is>
          <t>A 33696-2025</t>
        </is>
      </c>
      <c r="B478" s="1" t="n">
        <v>45841.7072337963</v>
      </c>
      <c r="C478" s="1" t="n">
        <v>46073</v>
      </c>
      <c r="D478" t="inlineStr">
        <is>
          <t>KALMAR LÄN</t>
        </is>
      </c>
      <c r="E478" t="inlineStr">
        <is>
          <t>VIMMERBY</t>
        </is>
      </c>
      <c r="G478" t="n">
        <v>1.1</v>
      </c>
      <c r="H478" t="n">
        <v>0</v>
      </c>
      <c r="I478" t="n">
        <v>0</v>
      </c>
      <c r="J478" t="n">
        <v>0</v>
      </c>
      <c r="K478" t="n">
        <v>0</v>
      </c>
      <c r="L478" t="n">
        <v>0</v>
      </c>
      <c r="M478" t="n">
        <v>0</v>
      </c>
      <c r="N478" t="n">
        <v>0</v>
      </c>
      <c r="O478" t="n">
        <v>0</v>
      </c>
      <c r="P478" t="n">
        <v>0</v>
      </c>
      <c r="Q478" t="n">
        <v>0</v>
      </c>
      <c r="R478" s="2" t="inlineStr"/>
    </row>
    <row r="479" ht="15" customHeight="1">
      <c r="A479" t="inlineStr">
        <is>
          <t>A 55605-2024</t>
        </is>
      </c>
      <c r="B479" s="1" t="n">
        <v>45622</v>
      </c>
      <c r="C479" s="1" t="n">
        <v>46073</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42165-2024</t>
        </is>
      </c>
      <c r="B480" s="1" t="n">
        <v>45562.46342592593</v>
      </c>
      <c r="C480" s="1" t="n">
        <v>46073</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28702-2025</t>
        </is>
      </c>
      <c r="B481" s="1" t="n">
        <v>45820.03976851852</v>
      </c>
      <c r="C481" s="1" t="n">
        <v>46073</v>
      </c>
      <c r="D481" t="inlineStr">
        <is>
          <t>KALMAR LÄN</t>
        </is>
      </c>
      <c r="E481" t="inlineStr">
        <is>
          <t>VIMMERBY</t>
        </is>
      </c>
      <c r="G481" t="n">
        <v>2.1</v>
      </c>
      <c r="H481" t="n">
        <v>0</v>
      </c>
      <c r="I481" t="n">
        <v>0</v>
      </c>
      <c r="J481" t="n">
        <v>0</v>
      </c>
      <c r="K481" t="n">
        <v>0</v>
      </c>
      <c r="L481" t="n">
        <v>0</v>
      </c>
      <c r="M481" t="n">
        <v>0</v>
      </c>
      <c r="N481" t="n">
        <v>0</v>
      </c>
      <c r="O481" t="n">
        <v>0</v>
      </c>
      <c r="P481" t="n">
        <v>0</v>
      </c>
      <c r="Q481" t="n">
        <v>0</v>
      </c>
      <c r="R481" s="2" t="inlineStr"/>
    </row>
    <row r="482" ht="15" customHeight="1">
      <c r="A482" t="inlineStr">
        <is>
          <t>A 20129-2024</t>
        </is>
      </c>
      <c r="B482" s="1" t="n">
        <v>45434.55831018519</v>
      </c>
      <c r="C482" s="1" t="n">
        <v>46073</v>
      </c>
      <c r="D482" t="inlineStr">
        <is>
          <t>KALMAR LÄN</t>
        </is>
      </c>
      <c r="E482" t="inlineStr">
        <is>
          <t>VIMMERBY</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20137-2024</t>
        </is>
      </c>
      <c r="B483" s="1" t="n">
        <v>45434.56398148148</v>
      </c>
      <c r="C483" s="1" t="n">
        <v>46073</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58841-2025</t>
        </is>
      </c>
      <c r="B484" s="1" t="n">
        <v>45987.36275462963</v>
      </c>
      <c r="C484" s="1" t="n">
        <v>46073</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23095-2023</t>
        </is>
      </c>
      <c r="B485" s="1" t="n">
        <v>45075.43059027778</v>
      </c>
      <c r="C485" s="1" t="n">
        <v>46073</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32919-2022</t>
        </is>
      </c>
      <c r="B486" s="1" t="n">
        <v>44784.62724537037</v>
      </c>
      <c r="C486" s="1" t="n">
        <v>46073</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34071-2025</t>
        </is>
      </c>
      <c r="B487" s="1" t="n">
        <v>45845.43803240741</v>
      </c>
      <c r="C487" s="1" t="n">
        <v>46073</v>
      </c>
      <c r="D487" t="inlineStr">
        <is>
          <t>KALMAR LÄN</t>
        </is>
      </c>
      <c r="E487" t="inlineStr">
        <is>
          <t>VIMMERBY</t>
        </is>
      </c>
      <c r="G487" t="n">
        <v>6.8</v>
      </c>
      <c r="H487" t="n">
        <v>0</v>
      </c>
      <c r="I487" t="n">
        <v>0</v>
      </c>
      <c r="J487" t="n">
        <v>0</v>
      </c>
      <c r="K487" t="n">
        <v>0</v>
      </c>
      <c r="L487" t="n">
        <v>0</v>
      </c>
      <c r="M487" t="n">
        <v>0</v>
      </c>
      <c r="N487" t="n">
        <v>0</v>
      </c>
      <c r="O487" t="n">
        <v>0</v>
      </c>
      <c r="P487" t="n">
        <v>0</v>
      </c>
      <c r="Q487" t="n">
        <v>0</v>
      </c>
      <c r="R487" s="2" t="inlineStr"/>
    </row>
    <row r="488" ht="15" customHeight="1">
      <c r="A488" t="inlineStr">
        <is>
          <t>A 34106-2025</t>
        </is>
      </c>
      <c r="B488" s="1" t="n">
        <v>45845.49414351852</v>
      </c>
      <c r="C488" s="1" t="n">
        <v>46073</v>
      </c>
      <c r="D488" t="inlineStr">
        <is>
          <t>KALMAR LÄN</t>
        </is>
      </c>
      <c r="E488" t="inlineStr">
        <is>
          <t>VIMMERBY</t>
        </is>
      </c>
      <c r="G488" t="n">
        <v>6</v>
      </c>
      <c r="H488" t="n">
        <v>0</v>
      </c>
      <c r="I488" t="n">
        <v>0</v>
      </c>
      <c r="J488" t="n">
        <v>0</v>
      </c>
      <c r="K488" t="n">
        <v>0</v>
      </c>
      <c r="L488" t="n">
        <v>0</v>
      </c>
      <c r="M488" t="n">
        <v>0</v>
      </c>
      <c r="N488" t="n">
        <v>0</v>
      </c>
      <c r="O488" t="n">
        <v>0</v>
      </c>
      <c r="P488" t="n">
        <v>0</v>
      </c>
      <c r="Q488" t="n">
        <v>0</v>
      </c>
      <c r="R488" s="2" t="inlineStr"/>
    </row>
    <row r="489" ht="15" customHeight="1">
      <c r="A489" t="inlineStr">
        <is>
          <t>A 26956-2025</t>
        </is>
      </c>
      <c r="B489" s="1" t="n">
        <v>45811.45460648148</v>
      </c>
      <c r="C489" s="1" t="n">
        <v>46073</v>
      </c>
      <c r="D489" t="inlineStr">
        <is>
          <t>KALMAR LÄN</t>
        </is>
      </c>
      <c r="E489" t="inlineStr">
        <is>
          <t>VIMMERBY</t>
        </is>
      </c>
      <c r="G489" t="n">
        <v>1.1</v>
      </c>
      <c r="H489" t="n">
        <v>0</v>
      </c>
      <c r="I489" t="n">
        <v>0</v>
      </c>
      <c r="J489" t="n">
        <v>0</v>
      </c>
      <c r="K489" t="n">
        <v>0</v>
      </c>
      <c r="L489" t="n">
        <v>0</v>
      </c>
      <c r="M489" t="n">
        <v>0</v>
      </c>
      <c r="N489" t="n">
        <v>0</v>
      </c>
      <c r="O489" t="n">
        <v>0</v>
      </c>
      <c r="P489" t="n">
        <v>0</v>
      </c>
      <c r="Q489" t="n">
        <v>0</v>
      </c>
      <c r="R489" s="2" t="inlineStr"/>
    </row>
    <row r="490" ht="15" customHeight="1">
      <c r="A490" t="inlineStr">
        <is>
          <t>A 1748-2026</t>
        </is>
      </c>
      <c r="B490" s="1" t="n">
        <v>46034.65589120371</v>
      </c>
      <c r="C490" s="1" t="n">
        <v>46073</v>
      </c>
      <c r="D490" t="inlineStr">
        <is>
          <t>KALMAR LÄN</t>
        </is>
      </c>
      <c r="E490" t="inlineStr">
        <is>
          <t>VIMMERBY</t>
        </is>
      </c>
      <c r="G490" t="n">
        <v>0.9</v>
      </c>
      <c r="H490" t="n">
        <v>0</v>
      </c>
      <c r="I490" t="n">
        <v>0</v>
      </c>
      <c r="J490" t="n">
        <v>0</v>
      </c>
      <c r="K490" t="n">
        <v>0</v>
      </c>
      <c r="L490" t="n">
        <v>0</v>
      </c>
      <c r="M490" t="n">
        <v>0</v>
      </c>
      <c r="N490" t="n">
        <v>0</v>
      </c>
      <c r="O490" t="n">
        <v>0</v>
      </c>
      <c r="P490" t="n">
        <v>0</v>
      </c>
      <c r="Q490" t="n">
        <v>0</v>
      </c>
      <c r="R490" s="2" t="inlineStr"/>
    </row>
    <row r="491" ht="15" customHeight="1">
      <c r="A491" t="inlineStr">
        <is>
          <t>A 1734-2026</t>
        </is>
      </c>
      <c r="B491" s="1" t="n">
        <v>46034</v>
      </c>
      <c r="C491" s="1" t="n">
        <v>46073</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34628-2025</t>
        </is>
      </c>
      <c r="B492" s="1" t="n">
        <v>45847.91280092593</v>
      </c>
      <c r="C492" s="1" t="n">
        <v>46073</v>
      </c>
      <c r="D492" t="inlineStr">
        <is>
          <t>KALMAR LÄN</t>
        </is>
      </c>
      <c r="E492" t="inlineStr">
        <is>
          <t>VIMMERBY</t>
        </is>
      </c>
      <c r="G492" t="n">
        <v>4.2</v>
      </c>
      <c r="H492" t="n">
        <v>0</v>
      </c>
      <c r="I492" t="n">
        <v>0</v>
      </c>
      <c r="J492" t="n">
        <v>0</v>
      </c>
      <c r="K492" t="n">
        <v>0</v>
      </c>
      <c r="L492" t="n">
        <v>0</v>
      </c>
      <c r="M492" t="n">
        <v>0</v>
      </c>
      <c r="N492" t="n">
        <v>0</v>
      </c>
      <c r="O492" t="n">
        <v>0</v>
      </c>
      <c r="P492" t="n">
        <v>0</v>
      </c>
      <c r="Q492" t="n">
        <v>0</v>
      </c>
      <c r="R492" s="2" t="inlineStr"/>
    </row>
    <row r="493" ht="15" customHeight="1">
      <c r="A493" t="inlineStr">
        <is>
          <t>A 7068-2024</t>
        </is>
      </c>
      <c r="B493" s="1" t="n">
        <v>45343.68038194445</v>
      </c>
      <c r="C493" s="1" t="n">
        <v>46073</v>
      </c>
      <c r="D493" t="inlineStr">
        <is>
          <t>KALMAR LÄN</t>
        </is>
      </c>
      <c r="E493" t="inlineStr">
        <is>
          <t>VIMMERBY</t>
        </is>
      </c>
      <c r="G493" t="n">
        <v>2.5</v>
      </c>
      <c r="H493" t="n">
        <v>0</v>
      </c>
      <c r="I493" t="n">
        <v>0</v>
      </c>
      <c r="J493" t="n">
        <v>0</v>
      </c>
      <c r="K493" t="n">
        <v>0</v>
      </c>
      <c r="L493" t="n">
        <v>0</v>
      </c>
      <c r="M493" t="n">
        <v>0</v>
      </c>
      <c r="N493" t="n">
        <v>0</v>
      </c>
      <c r="O493" t="n">
        <v>0</v>
      </c>
      <c r="P493" t="n">
        <v>0</v>
      </c>
      <c r="Q493" t="n">
        <v>0</v>
      </c>
      <c r="R493" s="2" t="inlineStr"/>
    </row>
    <row r="494" ht="15" customHeight="1">
      <c r="A494" t="inlineStr">
        <is>
          <t>A 59579-2025</t>
        </is>
      </c>
      <c r="B494" s="1" t="n">
        <v>45992.30569444445</v>
      </c>
      <c r="C494" s="1" t="n">
        <v>46073</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35270-2025</t>
        </is>
      </c>
      <c r="B495" s="1" t="n">
        <v>45853.87112268519</v>
      </c>
      <c r="C495" s="1" t="n">
        <v>46073</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12596-2021</t>
        </is>
      </c>
      <c r="B496" s="1" t="n">
        <v>44270.39765046296</v>
      </c>
      <c r="C496" s="1" t="n">
        <v>46073</v>
      </c>
      <c r="D496" t="inlineStr">
        <is>
          <t>KALMAR LÄN</t>
        </is>
      </c>
      <c r="E496" t="inlineStr">
        <is>
          <t>VIMMERBY</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35271-2025</t>
        </is>
      </c>
      <c r="B497" s="1" t="n">
        <v>45853.87599537037</v>
      </c>
      <c r="C497" s="1" t="n">
        <v>46073</v>
      </c>
      <c r="D497" t="inlineStr">
        <is>
          <t>KALMAR LÄN</t>
        </is>
      </c>
      <c r="E497" t="inlineStr">
        <is>
          <t>VIMMERBY</t>
        </is>
      </c>
      <c r="G497" t="n">
        <v>0.4</v>
      </c>
      <c r="H497" t="n">
        <v>0</v>
      </c>
      <c r="I497" t="n">
        <v>0</v>
      </c>
      <c r="J497" t="n">
        <v>0</v>
      </c>
      <c r="K497" t="n">
        <v>0</v>
      </c>
      <c r="L497" t="n">
        <v>0</v>
      </c>
      <c r="M497" t="n">
        <v>0</v>
      </c>
      <c r="N497" t="n">
        <v>0</v>
      </c>
      <c r="O497" t="n">
        <v>0</v>
      </c>
      <c r="P497" t="n">
        <v>0</v>
      </c>
      <c r="Q497" t="n">
        <v>0</v>
      </c>
      <c r="R497" s="2" t="inlineStr"/>
    </row>
    <row r="498" ht="15" customHeight="1">
      <c r="A498" t="inlineStr">
        <is>
          <t>A 35272-2025</t>
        </is>
      </c>
      <c r="B498" s="1" t="n">
        <v>45853.88070601852</v>
      </c>
      <c r="C498" s="1" t="n">
        <v>46073</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16953-2025</t>
        </is>
      </c>
      <c r="B499" s="1" t="n">
        <v>45755.44333333334</v>
      </c>
      <c r="C499" s="1" t="n">
        <v>46073</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60180-2025</t>
        </is>
      </c>
      <c r="B500" s="1" t="n">
        <v>45994.46428240741</v>
      </c>
      <c r="C500" s="1" t="n">
        <v>46073</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32655-2023</t>
        </is>
      </c>
      <c r="B501" s="1" t="n">
        <v>45121.61318287037</v>
      </c>
      <c r="C501" s="1" t="n">
        <v>46073</v>
      </c>
      <c r="D501" t="inlineStr">
        <is>
          <t>KALMAR LÄN</t>
        </is>
      </c>
      <c r="E501" t="inlineStr">
        <is>
          <t>VIMMERBY</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54409-2024</t>
        </is>
      </c>
      <c r="B502" s="1" t="n">
        <v>45617.47570601852</v>
      </c>
      <c r="C502" s="1" t="n">
        <v>46073</v>
      </c>
      <c r="D502" t="inlineStr">
        <is>
          <t>KALMAR LÄN</t>
        </is>
      </c>
      <c r="E502" t="inlineStr">
        <is>
          <t>VIMMERBY</t>
        </is>
      </c>
      <c r="G502" t="n">
        <v>4.3</v>
      </c>
      <c r="H502" t="n">
        <v>0</v>
      </c>
      <c r="I502" t="n">
        <v>0</v>
      </c>
      <c r="J502" t="n">
        <v>0</v>
      </c>
      <c r="K502" t="n">
        <v>0</v>
      </c>
      <c r="L502" t="n">
        <v>0</v>
      </c>
      <c r="M502" t="n">
        <v>0</v>
      </c>
      <c r="N502" t="n">
        <v>0</v>
      </c>
      <c r="O502" t="n">
        <v>0</v>
      </c>
      <c r="P502" t="n">
        <v>0</v>
      </c>
      <c r="Q502" t="n">
        <v>0</v>
      </c>
      <c r="R502" s="2" t="inlineStr"/>
    </row>
    <row r="503" ht="15" customHeight="1">
      <c r="A503" t="inlineStr">
        <is>
          <t>A 35597-2025</t>
        </is>
      </c>
      <c r="B503" s="1" t="n">
        <v>45858.66019675926</v>
      </c>
      <c r="C503" s="1" t="n">
        <v>46073</v>
      </c>
      <c r="D503" t="inlineStr">
        <is>
          <t>KALMAR LÄN</t>
        </is>
      </c>
      <c r="E503" t="inlineStr">
        <is>
          <t>VIMMERBY</t>
        </is>
      </c>
      <c r="G503" t="n">
        <v>6.4</v>
      </c>
      <c r="H503" t="n">
        <v>0</v>
      </c>
      <c r="I503" t="n">
        <v>0</v>
      </c>
      <c r="J503" t="n">
        <v>0</v>
      </c>
      <c r="K503" t="n">
        <v>0</v>
      </c>
      <c r="L503" t="n">
        <v>0</v>
      </c>
      <c r="M503" t="n">
        <v>0</v>
      </c>
      <c r="N503" t="n">
        <v>0</v>
      </c>
      <c r="O503" t="n">
        <v>0</v>
      </c>
      <c r="P503" t="n">
        <v>0</v>
      </c>
      <c r="Q503" t="n">
        <v>0</v>
      </c>
      <c r="R503" s="2" t="inlineStr"/>
    </row>
    <row r="504" ht="15" customHeight="1">
      <c r="A504" t="inlineStr">
        <is>
          <t>A 35596-2025</t>
        </is>
      </c>
      <c r="B504" s="1" t="n">
        <v>45858.60641203704</v>
      </c>
      <c r="C504" s="1" t="n">
        <v>46073</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1862-2026</t>
        </is>
      </c>
      <c r="B505" s="1" t="n">
        <v>46035.44689814815</v>
      </c>
      <c r="C505" s="1" t="n">
        <v>46073</v>
      </c>
      <c r="D505" t="inlineStr">
        <is>
          <t>KALMAR LÄN</t>
        </is>
      </c>
      <c r="E505" t="inlineStr">
        <is>
          <t>VIMMERBY</t>
        </is>
      </c>
      <c r="G505" t="n">
        <v>3.1</v>
      </c>
      <c r="H505" t="n">
        <v>0</v>
      </c>
      <c r="I505" t="n">
        <v>0</v>
      </c>
      <c r="J505" t="n">
        <v>0</v>
      </c>
      <c r="K505" t="n">
        <v>0</v>
      </c>
      <c r="L505" t="n">
        <v>0</v>
      </c>
      <c r="M505" t="n">
        <v>0</v>
      </c>
      <c r="N505" t="n">
        <v>0</v>
      </c>
      <c r="O505" t="n">
        <v>0</v>
      </c>
      <c r="P505" t="n">
        <v>0</v>
      </c>
      <c r="Q505" t="n">
        <v>0</v>
      </c>
      <c r="R505" s="2" t="inlineStr"/>
    </row>
    <row r="506" ht="15" customHeight="1">
      <c r="A506" t="inlineStr">
        <is>
          <t>A 1743-2026</t>
        </is>
      </c>
      <c r="B506" s="1" t="n">
        <v>46034</v>
      </c>
      <c r="C506" s="1" t="n">
        <v>46073</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9475-2023</t>
        </is>
      </c>
      <c r="B507" s="1" t="n">
        <v>44981.58834490741</v>
      </c>
      <c r="C507" s="1" t="n">
        <v>46073</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19502-2025</t>
        </is>
      </c>
      <c r="B508" s="1" t="n">
        <v>45769</v>
      </c>
      <c r="C508" s="1" t="n">
        <v>46073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43092-2024</t>
        </is>
      </c>
      <c r="B509" s="1" t="n">
        <v>45567</v>
      </c>
      <c r="C509" s="1" t="n">
        <v>46073</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11619-2023</t>
        </is>
      </c>
      <c r="B510" s="1" t="n">
        <v>44994.42113425926</v>
      </c>
      <c r="C510" s="1" t="n">
        <v>46073</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60297-2025</t>
        </is>
      </c>
      <c r="B511" s="1" t="n">
        <v>45994</v>
      </c>
      <c r="C511" s="1" t="n">
        <v>46073</v>
      </c>
      <c r="D511" t="inlineStr">
        <is>
          <t>KALMAR LÄN</t>
        </is>
      </c>
      <c r="E511" t="inlineStr">
        <is>
          <t>VIMMERBY</t>
        </is>
      </c>
      <c r="G511" t="n">
        <v>4.2</v>
      </c>
      <c r="H511" t="n">
        <v>0</v>
      </c>
      <c r="I511" t="n">
        <v>0</v>
      </c>
      <c r="J511" t="n">
        <v>0</v>
      </c>
      <c r="K511" t="n">
        <v>0</v>
      </c>
      <c r="L511" t="n">
        <v>0</v>
      </c>
      <c r="M511" t="n">
        <v>0</v>
      </c>
      <c r="N511" t="n">
        <v>0</v>
      </c>
      <c r="O511" t="n">
        <v>0</v>
      </c>
      <c r="P511" t="n">
        <v>0</v>
      </c>
      <c r="Q511" t="n">
        <v>0</v>
      </c>
      <c r="R511" s="2" t="inlineStr"/>
    </row>
    <row r="512" ht="15" customHeight="1">
      <c r="A512" t="inlineStr">
        <is>
          <t>A 5074-2023</t>
        </is>
      </c>
      <c r="B512" s="1" t="n">
        <v>44958.61047453704</v>
      </c>
      <c r="C512" s="1" t="n">
        <v>46073</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36273-2025</t>
        </is>
      </c>
      <c r="B513" s="1" t="n">
        <v>45867.63094907408</v>
      </c>
      <c r="C513" s="1" t="n">
        <v>46073</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6368-2023</t>
        </is>
      </c>
      <c r="B514" s="1" t="n">
        <v>44965</v>
      </c>
      <c r="C514" s="1" t="n">
        <v>46073</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36299-2025</t>
        </is>
      </c>
      <c r="B515" s="1" t="n">
        <v>45867.69346064814</v>
      </c>
      <c r="C515" s="1" t="n">
        <v>46073</v>
      </c>
      <c r="D515" t="inlineStr">
        <is>
          <t>KALMAR LÄN</t>
        </is>
      </c>
      <c r="E515" t="inlineStr">
        <is>
          <t>VIMMERBY</t>
        </is>
      </c>
      <c r="G515" t="n">
        <v>7.6</v>
      </c>
      <c r="H515" t="n">
        <v>0</v>
      </c>
      <c r="I515" t="n">
        <v>0</v>
      </c>
      <c r="J515" t="n">
        <v>0</v>
      </c>
      <c r="K515" t="n">
        <v>0</v>
      </c>
      <c r="L515" t="n">
        <v>0</v>
      </c>
      <c r="M515" t="n">
        <v>0</v>
      </c>
      <c r="N515" t="n">
        <v>0</v>
      </c>
      <c r="O515" t="n">
        <v>0</v>
      </c>
      <c r="P515" t="n">
        <v>0</v>
      </c>
      <c r="Q515" t="n">
        <v>0</v>
      </c>
      <c r="R515" s="2" t="inlineStr"/>
    </row>
    <row r="516" ht="15" customHeight="1">
      <c r="A516" t="inlineStr">
        <is>
          <t>A 5701-2024</t>
        </is>
      </c>
      <c r="B516" s="1" t="n">
        <v>45334.78826388889</v>
      </c>
      <c r="C516" s="1" t="n">
        <v>46073</v>
      </c>
      <c r="D516" t="inlineStr">
        <is>
          <t>KALMAR LÄN</t>
        </is>
      </c>
      <c r="E516" t="inlineStr">
        <is>
          <t>VIMMERBY</t>
        </is>
      </c>
      <c r="G516" t="n">
        <v>2.3</v>
      </c>
      <c r="H516" t="n">
        <v>0</v>
      </c>
      <c r="I516" t="n">
        <v>0</v>
      </c>
      <c r="J516" t="n">
        <v>0</v>
      </c>
      <c r="K516" t="n">
        <v>0</v>
      </c>
      <c r="L516" t="n">
        <v>0</v>
      </c>
      <c r="M516" t="n">
        <v>0</v>
      </c>
      <c r="N516" t="n">
        <v>0</v>
      </c>
      <c r="O516" t="n">
        <v>0</v>
      </c>
      <c r="P516" t="n">
        <v>0</v>
      </c>
      <c r="Q516" t="n">
        <v>0</v>
      </c>
      <c r="R516" s="2" t="inlineStr"/>
    </row>
    <row r="517" ht="15" customHeight="1">
      <c r="A517" t="inlineStr">
        <is>
          <t>A 36221-2025</t>
        </is>
      </c>
      <c r="B517" s="1" t="n">
        <v>45867.50792824074</v>
      </c>
      <c r="C517" s="1" t="n">
        <v>46073</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36226-2025</t>
        </is>
      </c>
      <c r="B518" s="1" t="n">
        <v>45867.51630787037</v>
      </c>
      <c r="C518" s="1" t="n">
        <v>46073</v>
      </c>
      <c r="D518" t="inlineStr">
        <is>
          <t>KALMAR LÄN</t>
        </is>
      </c>
      <c r="E518" t="inlineStr">
        <is>
          <t>VIMMERBY</t>
        </is>
      </c>
      <c r="G518" t="n">
        <v>3.1</v>
      </c>
      <c r="H518" t="n">
        <v>0</v>
      </c>
      <c r="I518" t="n">
        <v>0</v>
      </c>
      <c r="J518" t="n">
        <v>0</v>
      </c>
      <c r="K518" t="n">
        <v>0</v>
      </c>
      <c r="L518" t="n">
        <v>0</v>
      </c>
      <c r="M518" t="n">
        <v>0</v>
      </c>
      <c r="N518" t="n">
        <v>0</v>
      </c>
      <c r="O518" t="n">
        <v>0</v>
      </c>
      <c r="P518" t="n">
        <v>0</v>
      </c>
      <c r="Q518" t="n">
        <v>0</v>
      </c>
      <c r="R518" s="2" t="inlineStr"/>
    </row>
    <row r="519" ht="15" customHeight="1">
      <c r="A519" t="inlineStr">
        <is>
          <t>A 36297-2025</t>
        </is>
      </c>
      <c r="B519" s="1" t="n">
        <v>45867.68625</v>
      </c>
      <c r="C519" s="1" t="n">
        <v>46073</v>
      </c>
      <c r="D519" t="inlineStr">
        <is>
          <t>KALMAR LÄN</t>
        </is>
      </c>
      <c r="E519" t="inlineStr">
        <is>
          <t>VIMMERBY</t>
        </is>
      </c>
      <c r="G519" t="n">
        <v>4.9</v>
      </c>
      <c r="H519" t="n">
        <v>0</v>
      </c>
      <c r="I519" t="n">
        <v>0</v>
      </c>
      <c r="J519" t="n">
        <v>0</v>
      </c>
      <c r="K519" t="n">
        <v>0</v>
      </c>
      <c r="L519" t="n">
        <v>0</v>
      </c>
      <c r="M519" t="n">
        <v>0</v>
      </c>
      <c r="N519" t="n">
        <v>0</v>
      </c>
      <c r="O519" t="n">
        <v>0</v>
      </c>
      <c r="P519" t="n">
        <v>0</v>
      </c>
      <c r="Q519" t="n">
        <v>0</v>
      </c>
      <c r="R519" s="2" t="inlineStr"/>
    </row>
    <row r="520" ht="15" customHeight="1">
      <c r="A520" t="inlineStr">
        <is>
          <t>A 36246-2025</t>
        </is>
      </c>
      <c r="B520" s="1" t="n">
        <v>45867.56320601852</v>
      </c>
      <c r="C520" s="1" t="n">
        <v>46073</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36282-2025</t>
        </is>
      </c>
      <c r="B521" s="1" t="n">
        <v>45867.64663194444</v>
      </c>
      <c r="C521" s="1" t="n">
        <v>46073</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36538-2025</t>
        </is>
      </c>
      <c r="B522" s="1" t="n">
        <v>45869.62276620371</v>
      </c>
      <c r="C522" s="1" t="n">
        <v>46073</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36598-2025</t>
        </is>
      </c>
      <c r="B523" s="1" t="n">
        <v>45870.51708333333</v>
      </c>
      <c r="C523" s="1" t="n">
        <v>46073</v>
      </c>
      <c r="D523" t="inlineStr">
        <is>
          <t>KALMAR LÄN</t>
        </is>
      </c>
      <c r="E523" t="inlineStr">
        <is>
          <t>VIMMERBY</t>
        </is>
      </c>
      <c r="G523" t="n">
        <v>3.7</v>
      </c>
      <c r="H523" t="n">
        <v>0</v>
      </c>
      <c r="I523" t="n">
        <v>0</v>
      </c>
      <c r="J523" t="n">
        <v>0</v>
      </c>
      <c r="K523" t="n">
        <v>0</v>
      </c>
      <c r="L523" t="n">
        <v>0</v>
      </c>
      <c r="M523" t="n">
        <v>0</v>
      </c>
      <c r="N523" t="n">
        <v>0</v>
      </c>
      <c r="O523" t="n">
        <v>0</v>
      </c>
      <c r="P523" t="n">
        <v>0</v>
      </c>
      <c r="Q523" t="n">
        <v>0</v>
      </c>
      <c r="R523" s="2" t="inlineStr"/>
    </row>
    <row r="524" ht="15" customHeight="1">
      <c r="A524" t="inlineStr">
        <is>
          <t>A 36602-2025</t>
        </is>
      </c>
      <c r="B524" s="1" t="n">
        <v>45870.52111111111</v>
      </c>
      <c r="C524" s="1" t="n">
        <v>46073</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7797-2023</t>
        </is>
      </c>
      <c r="B525" s="1" t="n">
        <v>44973.43075231482</v>
      </c>
      <c r="C525" s="1" t="n">
        <v>46073</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36600-2025</t>
        </is>
      </c>
      <c r="B526" s="1" t="n">
        <v>45870.51958333333</v>
      </c>
      <c r="C526" s="1" t="n">
        <v>46073</v>
      </c>
      <c r="D526" t="inlineStr">
        <is>
          <t>KALMAR LÄN</t>
        </is>
      </c>
      <c r="E526" t="inlineStr">
        <is>
          <t>VIMMERBY</t>
        </is>
      </c>
      <c r="G526" t="n">
        <v>2</v>
      </c>
      <c r="H526" t="n">
        <v>0</v>
      </c>
      <c r="I526" t="n">
        <v>0</v>
      </c>
      <c r="J526" t="n">
        <v>0</v>
      </c>
      <c r="K526" t="n">
        <v>0</v>
      </c>
      <c r="L526" t="n">
        <v>0</v>
      </c>
      <c r="M526" t="n">
        <v>0</v>
      </c>
      <c r="N526" t="n">
        <v>0</v>
      </c>
      <c r="O526" t="n">
        <v>0</v>
      </c>
      <c r="P526" t="n">
        <v>0</v>
      </c>
      <c r="Q526" t="n">
        <v>0</v>
      </c>
      <c r="R526" s="2" t="inlineStr"/>
    </row>
    <row r="527" ht="15" customHeight="1">
      <c r="A527" t="inlineStr">
        <is>
          <t>A 36601-2025</t>
        </is>
      </c>
      <c r="B527" s="1" t="n">
        <v>45870.52005787037</v>
      </c>
      <c r="C527" s="1" t="n">
        <v>46073</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36603-2025</t>
        </is>
      </c>
      <c r="B528" s="1" t="n">
        <v>45870.52142361111</v>
      </c>
      <c r="C528" s="1" t="n">
        <v>46073</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24655-2021</t>
        </is>
      </c>
      <c r="B529" s="1" t="n">
        <v>44340</v>
      </c>
      <c r="C529" s="1" t="n">
        <v>46073</v>
      </c>
      <c r="D529" t="inlineStr">
        <is>
          <t>KALMAR LÄN</t>
        </is>
      </c>
      <c r="E529" t="inlineStr">
        <is>
          <t>VIMMERBY</t>
        </is>
      </c>
      <c r="G529" t="n">
        <v>14.9</v>
      </c>
      <c r="H529" t="n">
        <v>0</v>
      </c>
      <c r="I529" t="n">
        <v>0</v>
      </c>
      <c r="J529" t="n">
        <v>0</v>
      </c>
      <c r="K529" t="n">
        <v>0</v>
      </c>
      <c r="L529" t="n">
        <v>0</v>
      </c>
      <c r="M529" t="n">
        <v>0</v>
      </c>
      <c r="N529" t="n">
        <v>0</v>
      </c>
      <c r="O529" t="n">
        <v>0</v>
      </c>
      <c r="P529" t="n">
        <v>0</v>
      </c>
      <c r="Q529" t="n">
        <v>0</v>
      </c>
      <c r="R529" s="2" t="inlineStr"/>
    </row>
    <row r="530" ht="15" customHeight="1">
      <c r="A530" t="inlineStr">
        <is>
          <t>A 8410-2023</t>
        </is>
      </c>
      <c r="B530" s="1" t="n">
        <v>44977</v>
      </c>
      <c r="C530" s="1" t="n">
        <v>46073</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6028-2023</t>
        </is>
      </c>
      <c r="B531" s="1" t="n">
        <v>44964.44356481481</v>
      </c>
      <c r="C531" s="1" t="n">
        <v>46073</v>
      </c>
      <c r="D531" t="inlineStr">
        <is>
          <t>KALMAR LÄN</t>
        </is>
      </c>
      <c r="E531" t="inlineStr">
        <is>
          <t>VIMMERBY</t>
        </is>
      </c>
      <c r="G531" t="n">
        <v>2.5</v>
      </c>
      <c r="H531" t="n">
        <v>0</v>
      </c>
      <c r="I531" t="n">
        <v>0</v>
      </c>
      <c r="J531" t="n">
        <v>0</v>
      </c>
      <c r="K531" t="n">
        <v>0</v>
      </c>
      <c r="L531" t="n">
        <v>0</v>
      </c>
      <c r="M531" t="n">
        <v>0</v>
      </c>
      <c r="N531" t="n">
        <v>0</v>
      </c>
      <c r="O531" t="n">
        <v>0</v>
      </c>
      <c r="P531" t="n">
        <v>0</v>
      </c>
      <c r="Q531" t="n">
        <v>0</v>
      </c>
      <c r="R531" s="2" t="inlineStr"/>
    </row>
    <row r="532" ht="15" customHeight="1">
      <c r="A532" t="inlineStr">
        <is>
          <t>A 52823-2024</t>
        </is>
      </c>
      <c r="B532" s="1" t="n">
        <v>45610.59094907407</v>
      </c>
      <c r="C532" s="1" t="n">
        <v>46073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56853-2022</t>
        </is>
      </c>
      <c r="B533" s="1" t="n">
        <v>44894.49538194444</v>
      </c>
      <c r="C533" s="1" t="n">
        <v>46073</v>
      </c>
      <c r="D533" t="inlineStr">
        <is>
          <t>KALMAR LÄN</t>
        </is>
      </c>
      <c r="E533" t="inlineStr">
        <is>
          <t>VIMMERBY</t>
        </is>
      </c>
      <c r="G533" t="n">
        <v>4.3</v>
      </c>
      <c r="H533" t="n">
        <v>0</v>
      </c>
      <c r="I533" t="n">
        <v>0</v>
      </c>
      <c r="J533" t="n">
        <v>0</v>
      </c>
      <c r="K533" t="n">
        <v>0</v>
      </c>
      <c r="L533" t="n">
        <v>0</v>
      </c>
      <c r="M533" t="n">
        <v>0</v>
      </c>
      <c r="N533" t="n">
        <v>0</v>
      </c>
      <c r="O533" t="n">
        <v>0</v>
      </c>
      <c r="P533" t="n">
        <v>0</v>
      </c>
      <c r="Q533" t="n">
        <v>0</v>
      </c>
      <c r="R533" s="2" t="inlineStr"/>
    </row>
    <row r="534" ht="15" customHeight="1">
      <c r="A534" t="inlineStr">
        <is>
          <t>A 11152-2023</t>
        </is>
      </c>
      <c r="B534" s="1" t="n">
        <v>44992</v>
      </c>
      <c r="C534" s="1" t="n">
        <v>46073</v>
      </c>
      <c r="D534" t="inlineStr">
        <is>
          <t>KALMAR LÄN</t>
        </is>
      </c>
      <c r="E534" t="inlineStr">
        <is>
          <t>VIMMERBY</t>
        </is>
      </c>
      <c r="G534" t="n">
        <v>10.6</v>
      </c>
      <c r="H534" t="n">
        <v>0</v>
      </c>
      <c r="I534" t="n">
        <v>0</v>
      </c>
      <c r="J534" t="n">
        <v>0</v>
      </c>
      <c r="K534" t="n">
        <v>0</v>
      </c>
      <c r="L534" t="n">
        <v>0</v>
      </c>
      <c r="M534" t="n">
        <v>0</v>
      </c>
      <c r="N534" t="n">
        <v>0</v>
      </c>
      <c r="O534" t="n">
        <v>0</v>
      </c>
      <c r="P534" t="n">
        <v>0</v>
      </c>
      <c r="Q534" t="n">
        <v>0</v>
      </c>
      <c r="R534" s="2" t="inlineStr"/>
    </row>
    <row r="535" ht="15" customHeight="1">
      <c r="A535" t="inlineStr">
        <is>
          <t>A 15550-2023</t>
        </is>
      </c>
      <c r="B535" s="1" t="n">
        <v>45020</v>
      </c>
      <c r="C535" s="1" t="n">
        <v>46073</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36934-2025</t>
        </is>
      </c>
      <c r="B536" s="1" t="n">
        <v>45874.57109953704</v>
      </c>
      <c r="C536" s="1" t="n">
        <v>46073</v>
      </c>
      <c r="D536" t="inlineStr">
        <is>
          <t>KALMAR LÄN</t>
        </is>
      </c>
      <c r="E536" t="inlineStr">
        <is>
          <t>VIMMERBY</t>
        </is>
      </c>
      <c r="G536" t="n">
        <v>4.2</v>
      </c>
      <c r="H536" t="n">
        <v>0</v>
      </c>
      <c r="I536" t="n">
        <v>0</v>
      </c>
      <c r="J536" t="n">
        <v>0</v>
      </c>
      <c r="K536" t="n">
        <v>0</v>
      </c>
      <c r="L536" t="n">
        <v>0</v>
      </c>
      <c r="M536" t="n">
        <v>0</v>
      </c>
      <c r="N536" t="n">
        <v>0</v>
      </c>
      <c r="O536" t="n">
        <v>0</v>
      </c>
      <c r="P536" t="n">
        <v>0</v>
      </c>
      <c r="Q536" t="n">
        <v>0</v>
      </c>
      <c r="R536" s="2" t="inlineStr"/>
    </row>
    <row r="537" ht="15" customHeight="1">
      <c r="A537" t="inlineStr">
        <is>
          <t>A 2523-2026</t>
        </is>
      </c>
      <c r="B537" s="1" t="n">
        <v>46037.42825231481</v>
      </c>
      <c r="C537" s="1" t="n">
        <v>46073</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37088-2025</t>
        </is>
      </c>
      <c r="B538" s="1" t="n">
        <v>45875.45716435185</v>
      </c>
      <c r="C538" s="1" t="n">
        <v>46073</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37102-2025</t>
        </is>
      </c>
      <c r="B539" s="1" t="n">
        <v>45875.47454861111</v>
      </c>
      <c r="C539" s="1" t="n">
        <v>46073</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31355-2023</t>
        </is>
      </c>
      <c r="B540" s="1" t="n">
        <v>45114.49505787037</v>
      </c>
      <c r="C540" s="1" t="n">
        <v>46073</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2514-2026</t>
        </is>
      </c>
      <c r="B541" s="1" t="n">
        <v>46037.42219907408</v>
      </c>
      <c r="C541" s="1" t="n">
        <v>46073</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2518-2026</t>
        </is>
      </c>
      <c r="B542" s="1" t="n">
        <v>46037.42511574074</v>
      </c>
      <c r="C542" s="1" t="n">
        <v>46073</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37079-2025</t>
        </is>
      </c>
      <c r="B543" s="1" t="n">
        <v>45875.42716435185</v>
      </c>
      <c r="C543" s="1" t="n">
        <v>46073</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18330-2023</t>
        </is>
      </c>
      <c r="B544" s="1" t="n">
        <v>45041</v>
      </c>
      <c r="C544" s="1" t="n">
        <v>46073</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37668-2025</t>
        </is>
      </c>
      <c r="B545" s="1" t="n">
        <v>45880.51550925926</v>
      </c>
      <c r="C545" s="1" t="n">
        <v>46073</v>
      </c>
      <c r="D545" t="inlineStr">
        <is>
          <t>KALMAR LÄN</t>
        </is>
      </c>
      <c r="E545" t="inlineStr">
        <is>
          <t>VIMMERBY</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58100-2024</t>
        </is>
      </c>
      <c r="B546" s="1" t="n">
        <v>45632.36706018518</v>
      </c>
      <c r="C546" s="1" t="n">
        <v>46073</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37578-2025</t>
        </is>
      </c>
      <c r="B547" s="1" t="n">
        <v>45880.38380787037</v>
      </c>
      <c r="C547" s="1" t="n">
        <v>46073</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27993-2022</t>
        </is>
      </c>
      <c r="B548" s="1" t="n">
        <v>44745.84396990741</v>
      </c>
      <c r="C548" s="1" t="n">
        <v>46073</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38969-2023</t>
        </is>
      </c>
      <c r="B549" s="1" t="n">
        <v>45163.63621527778</v>
      </c>
      <c r="C549" s="1" t="n">
        <v>46073</v>
      </c>
      <c r="D549" t="inlineStr">
        <is>
          <t>KALMAR LÄN</t>
        </is>
      </c>
      <c r="E549" t="inlineStr">
        <is>
          <t>VIMMERBY</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53752-2024</t>
        </is>
      </c>
      <c r="B550" s="1" t="n">
        <v>45615.48927083334</v>
      </c>
      <c r="C550" s="1" t="n">
        <v>46073</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37866-2025</t>
        </is>
      </c>
      <c r="B551" s="1" t="n">
        <v>45881</v>
      </c>
      <c r="C551" s="1" t="n">
        <v>46073</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58728-2024</t>
        </is>
      </c>
      <c r="B552" s="1" t="n">
        <v>45635.66695601852</v>
      </c>
      <c r="C552" s="1" t="n">
        <v>46073</v>
      </c>
      <c r="D552" t="inlineStr">
        <is>
          <t>KALMAR LÄN</t>
        </is>
      </c>
      <c r="E552" t="inlineStr">
        <is>
          <t>VIMMERBY</t>
        </is>
      </c>
      <c r="G552" t="n">
        <v>0.4</v>
      </c>
      <c r="H552" t="n">
        <v>0</v>
      </c>
      <c r="I552" t="n">
        <v>0</v>
      </c>
      <c r="J552" t="n">
        <v>0</v>
      </c>
      <c r="K552" t="n">
        <v>0</v>
      </c>
      <c r="L552" t="n">
        <v>0</v>
      </c>
      <c r="M552" t="n">
        <v>0</v>
      </c>
      <c r="N552" t="n">
        <v>0</v>
      </c>
      <c r="O552" t="n">
        <v>0</v>
      </c>
      <c r="P552" t="n">
        <v>0</v>
      </c>
      <c r="Q552" t="n">
        <v>0</v>
      </c>
      <c r="R552" s="2" t="inlineStr"/>
    </row>
    <row r="553" ht="15" customHeight="1">
      <c r="A553" t="inlineStr">
        <is>
          <t>A 37939-2025</t>
        </is>
      </c>
      <c r="B553" s="1" t="n">
        <v>45881.59877314815</v>
      </c>
      <c r="C553" s="1" t="n">
        <v>46073</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43242-2024</t>
        </is>
      </c>
      <c r="B554" s="1" t="n">
        <v>45568.30189814815</v>
      </c>
      <c r="C554" s="1" t="n">
        <v>46073</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16983-2023</t>
        </is>
      </c>
      <c r="B555" s="1" t="n">
        <v>45033.76043981482</v>
      </c>
      <c r="C555" s="1" t="n">
        <v>46073</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6405-2025</t>
        </is>
      </c>
      <c r="B556" s="1" t="n">
        <v>45699.45392361111</v>
      </c>
      <c r="C556" s="1" t="n">
        <v>46073</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36843-2023</t>
        </is>
      </c>
      <c r="B557" s="1" t="n">
        <v>45154.49831018518</v>
      </c>
      <c r="C557" s="1" t="n">
        <v>46073</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57486-2024</t>
        </is>
      </c>
      <c r="B558" s="1" t="n">
        <v>45630.35827546296</v>
      </c>
      <c r="C558" s="1" t="n">
        <v>46073</v>
      </c>
      <c r="D558" t="inlineStr">
        <is>
          <t>KALMAR LÄN</t>
        </is>
      </c>
      <c r="E558" t="inlineStr">
        <is>
          <t>VIMMERBY</t>
        </is>
      </c>
      <c r="G558" t="n">
        <v>0.4</v>
      </c>
      <c r="H558" t="n">
        <v>0</v>
      </c>
      <c r="I558" t="n">
        <v>0</v>
      </c>
      <c r="J558" t="n">
        <v>0</v>
      </c>
      <c r="K558" t="n">
        <v>0</v>
      </c>
      <c r="L558" t="n">
        <v>0</v>
      </c>
      <c r="M558" t="n">
        <v>0</v>
      </c>
      <c r="N558" t="n">
        <v>0</v>
      </c>
      <c r="O558" t="n">
        <v>0</v>
      </c>
      <c r="P558" t="n">
        <v>0</v>
      </c>
      <c r="Q558" t="n">
        <v>0</v>
      </c>
      <c r="R558" s="2" t="inlineStr"/>
    </row>
    <row r="559" ht="15" customHeight="1">
      <c r="A559" t="inlineStr">
        <is>
          <t>A 44423-2023</t>
        </is>
      </c>
      <c r="B559" s="1" t="n">
        <v>45189</v>
      </c>
      <c r="C559" s="1" t="n">
        <v>46073</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20-2025</t>
        </is>
      </c>
      <c r="B560" s="1" t="n">
        <v>45658.80232638889</v>
      </c>
      <c r="C560" s="1" t="n">
        <v>46073</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23-2025</t>
        </is>
      </c>
      <c r="B561" s="1" t="n">
        <v>45658.80827546296</v>
      </c>
      <c r="C561" s="1" t="n">
        <v>46073</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21496-2023</t>
        </is>
      </c>
      <c r="B562" s="1" t="n">
        <v>45063.49936342592</v>
      </c>
      <c r="C562" s="1" t="n">
        <v>46073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31056-2022</t>
        </is>
      </c>
      <c r="B563" s="1" t="n">
        <v>44769.45805555556</v>
      </c>
      <c r="C563" s="1" t="n">
        <v>46073</v>
      </c>
      <c r="D563" t="inlineStr">
        <is>
          <t>KALMAR LÄN</t>
        </is>
      </c>
      <c r="E563" t="inlineStr">
        <is>
          <t>VIMMERBY</t>
        </is>
      </c>
      <c r="G563" t="n">
        <v>2</v>
      </c>
      <c r="H563" t="n">
        <v>0</v>
      </c>
      <c r="I563" t="n">
        <v>0</v>
      </c>
      <c r="J563" t="n">
        <v>0</v>
      </c>
      <c r="K563" t="n">
        <v>0</v>
      </c>
      <c r="L563" t="n">
        <v>0</v>
      </c>
      <c r="M563" t="n">
        <v>0</v>
      </c>
      <c r="N563" t="n">
        <v>0</v>
      </c>
      <c r="O563" t="n">
        <v>0</v>
      </c>
      <c r="P563" t="n">
        <v>0</v>
      </c>
      <c r="Q563" t="n">
        <v>0</v>
      </c>
      <c r="R563" s="2" t="inlineStr"/>
    </row>
    <row r="564" ht="15" customHeight="1">
      <c r="A564" t="inlineStr">
        <is>
          <t>A 72701-2021</t>
        </is>
      </c>
      <c r="B564" s="1" t="n">
        <v>44546</v>
      </c>
      <c r="C564" s="1" t="n">
        <v>46073</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3965-2026</t>
        </is>
      </c>
      <c r="B565" s="1" t="n">
        <v>46044.34563657407</v>
      </c>
      <c r="C565" s="1" t="n">
        <v>46073</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52294-2023</t>
        </is>
      </c>
      <c r="B566" s="1" t="n">
        <v>45224.60075231481</v>
      </c>
      <c r="C566" s="1" t="n">
        <v>46073</v>
      </c>
      <c r="D566" t="inlineStr">
        <is>
          <t>KALMAR LÄN</t>
        </is>
      </c>
      <c r="E566" t="inlineStr">
        <is>
          <t>VIMMERBY</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61355-2024</t>
        </is>
      </c>
      <c r="B567" s="1" t="n">
        <v>45646.38200231481</v>
      </c>
      <c r="C567" s="1" t="n">
        <v>46073</v>
      </c>
      <c r="D567" t="inlineStr">
        <is>
          <t>KALMAR LÄN</t>
        </is>
      </c>
      <c r="E567" t="inlineStr">
        <is>
          <t>VIMMERBY</t>
        </is>
      </c>
      <c r="G567" t="n">
        <v>2.7</v>
      </c>
      <c r="H567" t="n">
        <v>0</v>
      </c>
      <c r="I567" t="n">
        <v>0</v>
      </c>
      <c r="J567" t="n">
        <v>0</v>
      </c>
      <c r="K567" t="n">
        <v>0</v>
      </c>
      <c r="L567" t="n">
        <v>0</v>
      </c>
      <c r="M567" t="n">
        <v>0</v>
      </c>
      <c r="N567" t="n">
        <v>0</v>
      </c>
      <c r="O567" t="n">
        <v>0</v>
      </c>
      <c r="P567" t="n">
        <v>0</v>
      </c>
      <c r="Q567" t="n">
        <v>0</v>
      </c>
      <c r="R567" s="2" t="inlineStr"/>
    </row>
    <row r="568" ht="15" customHeight="1">
      <c r="A568" t="inlineStr">
        <is>
          <t>A 33374-2021</t>
        </is>
      </c>
      <c r="B568" s="1" t="n">
        <v>44377</v>
      </c>
      <c r="C568" s="1" t="n">
        <v>46073</v>
      </c>
      <c r="D568" t="inlineStr">
        <is>
          <t>KALMAR LÄN</t>
        </is>
      </c>
      <c r="E568" t="inlineStr">
        <is>
          <t>VIMMERBY</t>
        </is>
      </c>
      <c r="G568" t="n">
        <v>3.3</v>
      </c>
      <c r="H568" t="n">
        <v>0</v>
      </c>
      <c r="I568" t="n">
        <v>0</v>
      </c>
      <c r="J568" t="n">
        <v>0</v>
      </c>
      <c r="K568" t="n">
        <v>0</v>
      </c>
      <c r="L568" t="n">
        <v>0</v>
      </c>
      <c r="M568" t="n">
        <v>0</v>
      </c>
      <c r="N568" t="n">
        <v>0</v>
      </c>
      <c r="O568" t="n">
        <v>0</v>
      </c>
      <c r="P568" t="n">
        <v>0</v>
      </c>
      <c r="Q568" t="n">
        <v>0</v>
      </c>
      <c r="R568" s="2" t="inlineStr"/>
    </row>
    <row r="569" ht="15" customHeight="1">
      <c r="A569" t="inlineStr">
        <is>
          <t>A 61790-2025</t>
        </is>
      </c>
      <c r="B569" s="1" t="n">
        <v>46002.68768518518</v>
      </c>
      <c r="C569" s="1" t="n">
        <v>46073</v>
      </c>
      <c r="D569" t="inlineStr">
        <is>
          <t>KALMAR LÄN</t>
        </is>
      </c>
      <c r="E569" t="inlineStr">
        <is>
          <t>VIMMERBY</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10759-2023</t>
        </is>
      </c>
      <c r="B570" s="1" t="n">
        <v>44988</v>
      </c>
      <c r="C570" s="1" t="n">
        <v>46073</v>
      </c>
      <c r="D570" t="inlineStr">
        <is>
          <t>KALMAR LÄN</t>
        </is>
      </c>
      <c r="E570" t="inlineStr">
        <is>
          <t>VIMMERBY</t>
        </is>
      </c>
      <c r="G570" t="n">
        <v>0.4</v>
      </c>
      <c r="H570" t="n">
        <v>0</v>
      </c>
      <c r="I570" t="n">
        <v>0</v>
      </c>
      <c r="J570" t="n">
        <v>0</v>
      </c>
      <c r="K570" t="n">
        <v>0</v>
      </c>
      <c r="L570" t="n">
        <v>0</v>
      </c>
      <c r="M570" t="n">
        <v>0</v>
      </c>
      <c r="N570" t="n">
        <v>0</v>
      </c>
      <c r="O570" t="n">
        <v>0</v>
      </c>
      <c r="P570" t="n">
        <v>0</v>
      </c>
      <c r="Q570" t="n">
        <v>0</v>
      </c>
      <c r="R570" s="2" t="inlineStr"/>
    </row>
    <row r="571" ht="15" customHeight="1">
      <c r="A571" t="inlineStr">
        <is>
          <t>A 18899-2025</t>
        </is>
      </c>
      <c r="B571" s="1" t="n">
        <v>45764.44931712963</v>
      </c>
      <c r="C571" s="1" t="n">
        <v>46073</v>
      </c>
      <c r="D571" t="inlineStr">
        <is>
          <t>KALMAR LÄN</t>
        </is>
      </c>
      <c r="E571" t="inlineStr">
        <is>
          <t>VIMMERBY</t>
        </is>
      </c>
      <c r="F571" t="inlineStr">
        <is>
          <t>Kommuner</t>
        </is>
      </c>
      <c r="G571" t="n">
        <v>4</v>
      </c>
      <c r="H571" t="n">
        <v>0</v>
      </c>
      <c r="I571" t="n">
        <v>0</v>
      </c>
      <c r="J571" t="n">
        <v>0</v>
      </c>
      <c r="K571" t="n">
        <v>0</v>
      </c>
      <c r="L571" t="n">
        <v>0</v>
      </c>
      <c r="M571" t="n">
        <v>0</v>
      </c>
      <c r="N571" t="n">
        <v>0</v>
      </c>
      <c r="O571" t="n">
        <v>0</v>
      </c>
      <c r="P571" t="n">
        <v>0</v>
      </c>
      <c r="Q571" t="n">
        <v>0</v>
      </c>
      <c r="R571" s="2" t="inlineStr"/>
    </row>
    <row r="572" ht="15" customHeight="1">
      <c r="A572" t="inlineStr">
        <is>
          <t>A 3868-2026</t>
        </is>
      </c>
      <c r="B572" s="1" t="n">
        <v>46043.6360300926</v>
      </c>
      <c r="C572" s="1" t="n">
        <v>46073</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3869-2026</t>
        </is>
      </c>
      <c r="B573" s="1" t="n">
        <v>46043.63940972222</v>
      </c>
      <c r="C573" s="1" t="n">
        <v>46073</v>
      </c>
      <c r="D573" t="inlineStr">
        <is>
          <t>KALMAR LÄN</t>
        </is>
      </c>
      <c r="E573" t="inlineStr">
        <is>
          <t>VIMMERBY</t>
        </is>
      </c>
      <c r="G573" t="n">
        <v>0.7</v>
      </c>
      <c r="H573" t="n">
        <v>0</v>
      </c>
      <c r="I573" t="n">
        <v>0</v>
      </c>
      <c r="J573" t="n">
        <v>0</v>
      </c>
      <c r="K573" t="n">
        <v>0</v>
      </c>
      <c r="L573" t="n">
        <v>0</v>
      </c>
      <c r="M573" t="n">
        <v>0</v>
      </c>
      <c r="N573" t="n">
        <v>0</v>
      </c>
      <c r="O573" t="n">
        <v>0</v>
      </c>
      <c r="P573" t="n">
        <v>0</v>
      </c>
      <c r="Q573" t="n">
        <v>0</v>
      </c>
      <c r="R573" s="2" t="inlineStr"/>
    </row>
    <row r="574" ht="15" customHeight="1">
      <c r="A574" t="inlineStr">
        <is>
          <t>A 61726-2025</t>
        </is>
      </c>
      <c r="B574" s="1" t="n">
        <v>46002.58822916666</v>
      </c>
      <c r="C574" s="1" t="n">
        <v>46073</v>
      </c>
      <c r="D574" t="inlineStr">
        <is>
          <t>KALMAR LÄN</t>
        </is>
      </c>
      <c r="E574" t="inlineStr">
        <is>
          <t>VIMMERBY</t>
        </is>
      </c>
      <c r="F574" t="inlineStr">
        <is>
          <t>Sveaskog</t>
        </is>
      </c>
      <c r="G574" t="n">
        <v>0.2</v>
      </c>
      <c r="H574" t="n">
        <v>0</v>
      </c>
      <c r="I574" t="n">
        <v>0</v>
      </c>
      <c r="J574" t="n">
        <v>0</v>
      </c>
      <c r="K574" t="n">
        <v>0</v>
      </c>
      <c r="L574" t="n">
        <v>0</v>
      </c>
      <c r="M574" t="n">
        <v>0</v>
      </c>
      <c r="N574" t="n">
        <v>0</v>
      </c>
      <c r="O574" t="n">
        <v>0</v>
      </c>
      <c r="P574" t="n">
        <v>0</v>
      </c>
      <c r="Q574" t="n">
        <v>0</v>
      </c>
      <c r="R574" s="2" t="inlineStr"/>
    </row>
    <row r="575" ht="15" customHeight="1">
      <c r="A575" t="inlineStr">
        <is>
          <t>A 12586-2021</t>
        </is>
      </c>
      <c r="B575" s="1" t="n">
        <v>44270.38002314815</v>
      </c>
      <c r="C575" s="1" t="n">
        <v>46073</v>
      </c>
      <c r="D575" t="inlineStr">
        <is>
          <t>KALMAR LÄN</t>
        </is>
      </c>
      <c r="E575" t="inlineStr">
        <is>
          <t>VIMMERBY</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61725-2025</t>
        </is>
      </c>
      <c r="B576" s="1" t="n">
        <v>46002.58680555555</v>
      </c>
      <c r="C576" s="1" t="n">
        <v>46073</v>
      </c>
      <c r="D576" t="inlineStr">
        <is>
          <t>KALMAR LÄN</t>
        </is>
      </c>
      <c r="E576" t="inlineStr">
        <is>
          <t>VIMMERBY</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32614-2023</t>
        </is>
      </c>
      <c r="B577" s="1" t="n">
        <v>45121</v>
      </c>
      <c r="C577" s="1" t="n">
        <v>46073</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61939-2021</t>
        </is>
      </c>
      <c r="B578" s="1" t="n">
        <v>44502</v>
      </c>
      <c r="C578" s="1" t="n">
        <v>46073</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3292-2026</t>
        </is>
      </c>
      <c r="B579" s="1" t="n">
        <v>46041</v>
      </c>
      <c r="C579" s="1" t="n">
        <v>46073</v>
      </c>
      <c r="D579" t="inlineStr">
        <is>
          <t>KALMAR LÄN</t>
        </is>
      </c>
      <c r="E579" t="inlineStr">
        <is>
          <t>VIMMERBY</t>
        </is>
      </c>
      <c r="G579" t="n">
        <v>3.9</v>
      </c>
      <c r="H579" t="n">
        <v>0</v>
      </c>
      <c r="I579" t="n">
        <v>0</v>
      </c>
      <c r="J579" t="n">
        <v>0</v>
      </c>
      <c r="K579" t="n">
        <v>0</v>
      </c>
      <c r="L579" t="n">
        <v>0</v>
      </c>
      <c r="M579" t="n">
        <v>0</v>
      </c>
      <c r="N579" t="n">
        <v>0</v>
      </c>
      <c r="O579" t="n">
        <v>0</v>
      </c>
      <c r="P579" t="n">
        <v>0</v>
      </c>
      <c r="Q579" t="n">
        <v>0</v>
      </c>
      <c r="R579" s="2" t="inlineStr"/>
    </row>
    <row r="580" ht="15" customHeight="1">
      <c r="A580" t="inlineStr">
        <is>
          <t>A 6218-2025</t>
        </is>
      </c>
      <c r="B580" s="1" t="n">
        <v>45698.53336805556</v>
      </c>
      <c r="C580" s="1" t="n">
        <v>46073</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40076-2021</t>
        </is>
      </c>
      <c r="B581" s="1" t="n">
        <v>44418</v>
      </c>
      <c r="C581" s="1" t="n">
        <v>46073</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3266-2026</t>
        </is>
      </c>
      <c r="B582" s="1" t="n">
        <v>46041</v>
      </c>
      <c r="C582" s="1" t="n">
        <v>46073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12588-2025</t>
        </is>
      </c>
      <c r="B583" s="1" t="n">
        <v>45732.76936342593</v>
      </c>
      <c r="C583" s="1" t="n">
        <v>46073</v>
      </c>
      <c r="D583" t="inlineStr">
        <is>
          <t>KALMAR LÄN</t>
        </is>
      </c>
      <c r="E583" t="inlineStr">
        <is>
          <t>VIMMERBY</t>
        </is>
      </c>
      <c r="G583" t="n">
        <v>1.6</v>
      </c>
      <c r="H583" t="n">
        <v>0</v>
      </c>
      <c r="I583" t="n">
        <v>0</v>
      </c>
      <c r="J583" t="n">
        <v>0</v>
      </c>
      <c r="K583" t="n">
        <v>0</v>
      </c>
      <c r="L583" t="n">
        <v>0</v>
      </c>
      <c r="M583" t="n">
        <v>0</v>
      </c>
      <c r="N583" t="n">
        <v>0</v>
      </c>
      <c r="O583" t="n">
        <v>0</v>
      </c>
      <c r="P583" t="n">
        <v>0</v>
      </c>
      <c r="Q583" t="n">
        <v>0</v>
      </c>
      <c r="R583" s="2" t="inlineStr"/>
    </row>
    <row r="584" ht="15" customHeight="1">
      <c r="A584" t="inlineStr">
        <is>
          <t>A 25979-2023</t>
        </is>
      </c>
      <c r="B584" s="1" t="n">
        <v>45090.89653935185</v>
      </c>
      <c r="C584" s="1" t="n">
        <v>46073</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25980-2023</t>
        </is>
      </c>
      <c r="B585" s="1" t="n">
        <v>45090.89880787037</v>
      </c>
      <c r="C585" s="1" t="n">
        <v>46073</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46921-2023</t>
        </is>
      </c>
      <c r="B586" s="1" t="n">
        <v>45201.39996527778</v>
      </c>
      <c r="C586" s="1" t="n">
        <v>46073</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10837-2023</t>
        </is>
      </c>
      <c r="B587" s="1" t="n">
        <v>44991.30547453704</v>
      </c>
      <c r="C587" s="1" t="n">
        <v>46073</v>
      </c>
      <c r="D587" t="inlineStr">
        <is>
          <t>KALMAR LÄN</t>
        </is>
      </c>
      <c r="E587" t="inlineStr">
        <is>
          <t>VIMMERBY</t>
        </is>
      </c>
      <c r="G587" t="n">
        <v>7.3</v>
      </c>
      <c r="H587" t="n">
        <v>0</v>
      </c>
      <c r="I587" t="n">
        <v>0</v>
      </c>
      <c r="J587" t="n">
        <v>0</v>
      </c>
      <c r="K587" t="n">
        <v>0</v>
      </c>
      <c r="L587" t="n">
        <v>0</v>
      </c>
      <c r="M587" t="n">
        <v>0</v>
      </c>
      <c r="N587" t="n">
        <v>0</v>
      </c>
      <c r="O587" t="n">
        <v>0</v>
      </c>
      <c r="P587" t="n">
        <v>0</v>
      </c>
      <c r="Q587" t="n">
        <v>0</v>
      </c>
      <c r="R587" s="2" t="inlineStr"/>
    </row>
    <row r="588" ht="15" customHeight="1">
      <c r="A588" t="inlineStr">
        <is>
          <t>A 10838-2023</t>
        </is>
      </c>
      <c r="B588" s="1" t="n">
        <v>44991</v>
      </c>
      <c r="C588" s="1" t="n">
        <v>46073</v>
      </c>
      <c r="D588" t="inlineStr">
        <is>
          <t>KALMAR LÄN</t>
        </is>
      </c>
      <c r="E588" t="inlineStr">
        <is>
          <t>VIMMERBY</t>
        </is>
      </c>
      <c r="G588" t="n">
        <v>5.1</v>
      </c>
      <c r="H588" t="n">
        <v>0</v>
      </c>
      <c r="I588" t="n">
        <v>0</v>
      </c>
      <c r="J588" t="n">
        <v>0</v>
      </c>
      <c r="K588" t="n">
        <v>0</v>
      </c>
      <c r="L588" t="n">
        <v>0</v>
      </c>
      <c r="M588" t="n">
        <v>0</v>
      </c>
      <c r="N588" t="n">
        <v>0</v>
      </c>
      <c r="O588" t="n">
        <v>0</v>
      </c>
      <c r="P588" t="n">
        <v>0</v>
      </c>
      <c r="Q588" t="n">
        <v>0</v>
      </c>
      <c r="R588" s="2" t="inlineStr"/>
    </row>
    <row r="589" ht="15" customHeight="1">
      <c r="A589" t="inlineStr">
        <is>
          <t>A 30912-2023</t>
        </is>
      </c>
      <c r="B589" s="1" t="n">
        <v>45113.41633101852</v>
      </c>
      <c r="C589" s="1" t="n">
        <v>46073</v>
      </c>
      <c r="D589" t="inlineStr">
        <is>
          <t>KALMAR LÄN</t>
        </is>
      </c>
      <c r="E589" t="inlineStr">
        <is>
          <t>VIMMERBY</t>
        </is>
      </c>
      <c r="G589" t="n">
        <v>5</v>
      </c>
      <c r="H589" t="n">
        <v>0</v>
      </c>
      <c r="I589" t="n">
        <v>0</v>
      </c>
      <c r="J589" t="n">
        <v>0</v>
      </c>
      <c r="K589" t="n">
        <v>0</v>
      </c>
      <c r="L589" t="n">
        <v>0</v>
      </c>
      <c r="M589" t="n">
        <v>0</v>
      </c>
      <c r="N589" t="n">
        <v>0</v>
      </c>
      <c r="O589" t="n">
        <v>0</v>
      </c>
      <c r="P589" t="n">
        <v>0</v>
      </c>
      <c r="Q589" t="n">
        <v>0</v>
      </c>
      <c r="R589" s="2" t="inlineStr"/>
    </row>
    <row r="590" ht="15" customHeight="1">
      <c r="A590" t="inlineStr">
        <is>
          <t>A 55436-2023</t>
        </is>
      </c>
      <c r="B590" s="1" t="n">
        <v>45238.4328587963</v>
      </c>
      <c r="C590" s="1" t="n">
        <v>46073</v>
      </c>
      <c r="D590" t="inlineStr">
        <is>
          <t>KALMAR LÄN</t>
        </is>
      </c>
      <c r="E590" t="inlineStr">
        <is>
          <t>VIMMERBY</t>
        </is>
      </c>
      <c r="G590" t="n">
        <v>5.6</v>
      </c>
      <c r="H590" t="n">
        <v>0</v>
      </c>
      <c r="I590" t="n">
        <v>0</v>
      </c>
      <c r="J590" t="n">
        <v>0</v>
      </c>
      <c r="K590" t="n">
        <v>0</v>
      </c>
      <c r="L590" t="n">
        <v>0</v>
      </c>
      <c r="M590" t="n">
        <v>0</v>
      </c>
      <c r="N590" t="n">
        <v>0</v>
      </c>
      <c r="O590" t="n">
        <v>0</v>
      </c>
      <c r="P590" t="n">
        <v>0</v>
      </c>
      <c r="Q590" t="n">
        <v>0</v>
      </c>
      <c r="R590" s="2" t="inlineStr"/>
    </row>
    <row r="591" ht="15" customHeight="1">
      <c r="A591" t="inlineStr">
        <is>
          <t>A 21507-2023</t>
        </is>
      </c>
      <c r="B591" s="1" t="n">
        <v>45063.508125</v>
      </c>
      <c r="C591" s="1" t="n">
        <v>46073</v>
      </c>
      <c r="D591" t="inlineStr">
        <is>
          <t>KALMAR LÄN</t>
        </is>
      </c>
      <c r="E591" t="inlineStr">
        <is>
          <t>VIMMERBY</t>
        </is>
      </c>
      <c r="G591" t="n">
        <v>2.8</v>
      </c>
      <c r="H591" t="n">
        <v>0</v>
      </c>
      <c r="I591" t="n">
        <v>0</v>
      </c>
      <c r="J591" t="n">
        <v>0</v>
      </c>
      <c r="K591" t="n">
        <v>0</v>
      </c>
      <c r="L591" t="n">
        <v>0</v>
      </c>
      <c r="M591" t="n">
        <v>0</v>
      </c>
      <c r="N591" t="n">
        <v>0</v>
      </c>
      <c r="O591" t="n">
        <v>0</v>
      </c>
      <c r="P591" t="n">
        <v>0</v>
      </c>
      <c r="Q591" t="n">
        <v>0</v>
      </c>
      <c r="R591" s="2" t="inlineStr"/>
    </row>
    <row r="592" ht="15" customHeight="1">
      <c r="A592" t="inlineStr">
        <is>
          <t>A 51187-2023</t>
        </is>
      </c>
      <c r="B592" s="1" t="n">
        <v>45219.40528935185</v>
      </c>
      <c r="C592" s="1" t="n">
        <v>46073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13290-2025</t>
        </is>
      </c>
      <c r="B593" s="1" t="n">
        <v>45735.56751157407</v>
      </c>
      <c r="C593" s="1" t="n">
        <v>46073</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45560-2021</t>
        </is>
      </c>
      <c r="B594" s="1" t="n">
        <v>44440</v>
      </c>
      <c r="C594" s="1" t="n">
        <v>46073</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16622-2025</t>
        </is>
      </c>
      <c r="B595" s="1" t="n">
        <v>45754.33641203704</v>
      </c>
      <c r="C595" s="1" t="n">
        <v>46073</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31340-2023</t>
        </is>
      </c>
      <c r="B596" s="1" t="n">
        <v>45114.47895833333</v>
      </c>
      <c r="C596" s="1" t="n">
        <v>46073</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29168-2024</t>
        </is>
      </c>
      <c r="B597" s="1" t="n">
        <v>45482.49870370371</v>
      </c>
      <c r="C597" s="1" t="n">
        <v>46073</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29186-2024</t>
        </is>
      </c>
      <c r="B598" s="1" t="n">
        <v>45482.54844907407</v>
      </c>
      <c r="C598" s="1" t="n">
        <v>46073</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35895-2024</t>
        </is>
      </c>
      <c r="B599" s="1" t="n">
        <v>45533.38870370371</v>
      </c>
      <c r="C599" s="1" t="n">
        <v>46073</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12590-2025</t>
        </is>
      </c>
      <c r="B600" s="1" t="n">
        <v>45732.79925925926</v>
      </c>
      <c r="C600" s="1" t="n">
        <v>46073</v>
      </c>
      <c r="D600" t="inlineStr">
        <is>
          <t>KALMAR LÄN</t>
        </is>
      </c>
      <c r="E600" t="inlineStr">
        <is>
          <t>VIMMERBY</t>
        </is>
      </c>
      <c r="G600" t="n">
        <v>0.8</v>
      </c>
      <c r="H600" t="n">
        <v>0</v>
      </c>
      <c r="I600" t="n">
        <v>0</v>
      </c>
      <c r="J600" t="n">
        <v>0</v>
      </c>
      <c r="K600" t="n">
        <v>0</v>
      </c>
      <c r="L600" t="n">
        <v>0</v>
      </c>
      <c r="M600" t="n">
        <v>0</v>
      </c>
      <c r="N600" t="n">
        <v>0</v>
      </c>
      <c r="O600" t="n">
        <v>0</v>
      </c>
      <c r="P600" t="n">
        <v>0</v>
      </c>
      <c r="Q600" t="n">
        <v>0</v>
      </c>
      <c r="R600" s="2" t="inlineStr"/>
    </row>
    <row r="601" ht="15" customHeight="1">
      <c r="A601" t="inlineStr">
        <is>
          <t>A 30318-2023</t>
        </is>
      </c>
      <c r="B601" s="1" t="n">
        <v>45111.30824074074</v>
      </c>
      <c r="C601" s="1" t="n">
        <v>46073</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43186-2021</t>
        </is>
      </c>
      <c r="B602" s="1" t="n">
        <v>44431.84840277778</v>
      </c>
      <c r="C602" s="1" t="n">
        <v>46073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60215-2022</t>
        </is>
      </c>
      <c r="B603" s="1" t="n">
        <v>44910.41346064815</v>
      </c>
      <c r="C603" s="1" t="n">
        <v>46073</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60230-2022</t>
        </is>
      </c>
      <c r="B604" s="1" t="n">
        <v>44910</v>
      </c>
      <c r="C604" s="1" t="n">
        <v>46073</v>
      </c>
      <c r="D604" t="inlineStr">
        <is>
          <t>KALMAR LÄN</t>
        </is>
      </c>
      <c r="E604" t="inlineStr">
        <is>
          <t>VIMMERBY</t>
        </is>
      </c>
      <c r="G604" t="n">
        <v>11.3</v>
      </c>
      <c r="H604" t="n">
        <v>0</v>
      </c>
      <c r="I604" t="n">
        <v>0</v>
      </c>
      <c r="J604" t="n">
        <v>0</v>
      </c>
      <c r="K604" t="n">
        <v>0</v>
      </c>
      <c r="L604" t="n">
        <v>0</v>
      </c>
      <c r="M604" t="n">
        <v>0</v>
      </c>
      <c r="N604" t="n">
        <v>0</v>
      </c>
      <c r="O604" t="n">
        <v>0</v>
      </c>
      <c r="P604" t="n">
        <v>0</v>
      </c>
      <c r="Q604" t="n">
        <v>0</v>
      </c>
      <c r="R604" s="2" t="inlineStr"/>
    </row>
    <row r="605" ht="15" customHeight="1">
      <c r="A605" t="inlineStr">
        <is>
          <t>A 5925-2022</t>
        </is>
      </c>
      <c r="B605" s="1" t="n">
        <v>44598.7384837963</v>
      </c>
      <c r="C605" s="1" t="n">
        <v>46073</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845-2023</t>
        </is>
      </c>
      <c r="B606" s="1" t="n">
        <v>44931</v>
      </c>
      <c r="C606" s="1" t="n">
        <v>46073</v>
      </c>
      <c r="D606" t="inlineStr">
        <is>
          <t>KALMAR LÄN</t>
        </is>
      </c>
      <c r="E606" t="inlineStr">
        <is>
          <t>VIMMERBY</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16119-2023</t>
        </is>
      </c>
      <c r="B607" s="1" t="n">
        <v>45027.59450231482</v>
      </c>
      <c r="C607" s="1" t="n">
        <v>46073</v>
      </c>
      <c r="D607" t="inlineStr">
        <is>
          <t>KALMAR LÄN</t>
        </is>
      </c>
      <c r="E607" t="inlineStr">
        <is>
          <t>VIMMERBY</t>
        </is>
      </c>
      <c r="F607" t="inlineStr">
        <is>
          <t>Kommuner</t>
        </is>
      </c>
      <c r="G607" t="n">
        <v>4.4</v>
      </c>
      <c r="H607" t="n">
        <v>0</v>
      </c>
      <c r="I607" t="n">
        <v>0</v>
      </c>
      <c r="J607" t="n">
        <v>0</v>
      </c>
      <c r="K607" t="n">
        <v>0</v>
      </c>
      <c r="L607" t="n">
        <v>0</v>
      </c>
      <c r="M607" t="n">
        <v>0</v>
      </c>
      <c r="N607" t="n">
        <v>0</v>
      </c>
      <c r="O607" t="n">
        <v>0</v>
      </c>
      <c r="P607" t="n">
        <v>0</v>
      </c>
      <c r="Q607" t="n">
        <v>0</v>
      </c>
      <c r="R607" s="2" t="inlineStr"/>
    </row>
    <row r="608" ht="15" customHeight="1">
      <c r="A608" t="inlineStr">
        <is>
          <t>A 30588-2023</t>
        </is>
      </c>
      <c r="B608" s="1" t="n">
        <v>45112.33599537037</v>
      </c>
      <c r="C608" s="1" t="n">
        <v>46073</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45528-2021</t>
        </is>
      </c>
      <c r="B609" s="1" t="n">
        <v>44440.60415509259</v>
      </c>
      <c r="C609" s="1" t="n">
        <v>46073</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16516-2023</t>
        </is>
      </c>
      <c r="B610" s="1" t="n">
        <v>45029</v>
      </c>
      <c r="C610" s="1" t="n">
        <v>46073</v>
      </c>
      <c r="D610" t="inlineStr">
        <is>
          <t>KALMAR LÄN</t>
        </is>
      </c>
      <c r="E610" t="inlineStr">
        <is>
          <t>VIMMERBY</t>
        </is>
      </c>
      <c r="G610" t="n">
        <v>4.3</v>
      </c>
      <c r="H610" t="n">
        <v>0</v>
      </c>
      <c r="I610" t="n">
        <v>0</v>
      </c>
      <c r="J610" t="n">
        <v>0</v>
      </c>
      <c r="K610" t="n">
        <v>0</v>
      </c>
      <c r="L610" t="n">
        <v>0</v>
      </c>
      <c r="M610" t="n">
        <v>0</v>
      </c>
      <c r="N610" t="n">
        <v>0</v>
      </c>
      <c r="O610" t="n">
        <v>0</v>
      </c>
      <c r="P610" t="n">
        <v>0</v>
      </c>
      <c r="Q610" t="n">
        <v>0</v>
      </c>
      <c r="R610" s="2" t="inlineStr"/>
    </row>
    <row r="611" ht="15" customHeight="1">
      <c r="A611" t="inlineStr">
        <is>
          <t>A 61937-2025</t>
        </is>
      </c>
      <c r="B611" s="1" t="n">
        <v>46003</v>
      </c>
      <c r="C611" s="1" t="n">
        <v>46073</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2510-2023</t>
        </is>
      </c>
      <c r="B612" s="1" t="n">
        <v>44943.57309027778</v>
      </c>
      <c r="C612" s="1" t="n">
        <v>46073</v>
      </c>
      <c r="D612" t="inlineStr">
        <is>
          <t>KALMAR LÄN</t>
        </is>
      </c>
      <c r="E612" t="inlineStr">
        <is>
          <t>VIMMERBY</t>
        </is>
      </c>
      <c r="G612" t="n">
        <v>8.6</v>
      </c>
      <c r="H612" t="n">
        <v>0</v>
      </c>
      <c r="I612" t="n">
        <v>0</v>
      </c>
      <c r="J612" t="n">
        <v>0</v>
      </c>
      <c r="K612" t="n">
        <v>0</v>
      </c>
      <c r="L612" t="n">
        <v>0</v>
      </c>
      <c r="M612" t="n">
        <v>0</v>
      </c>
      <c r="N612" t="n">
        <v>0</v>
      </c>
      <c r="O612" t="n">
        <v>0</v>
      </c>
      <c r="P612" t="n">
        <v>0</v>
      </c>
      <c r="Q612" t="n">
        <v>0</v>
      </c>
      <c r="R612" s="2" t="inlineStr"/>
    </row>
    <row r="613" ht="15" customHeight="1">
      <c r="A613" t="inlineStr">
        <is>
          <t>A 48373-2021</t>
        </is>
      </c>
      <c r="B613" s="1" t="n">
        <v>44451</v>
      </c>
      <c r="C613" s="1" t="n">
        <v>46073</v>
      </c>
      <c r="D613" t="inlineStr">
        <is>
          <t>KALMAR LÄN</t>
        </is>
      </c>
      <c r="E613" t="inlineStr">
        <is>
          <t>VIMMERBY</t>
        </is>
      </c>
      <c r="G613" t="n">
        <v>2.2</v>
      </c>
      <c r="H613" t="n">
        <v>0</v>
      </c>
      <c r="I613" t="n">
        <v>0</v>
      </c>
      <c r="J613" t="n">
        <v>0</v>
      </c>
      <c r="K613" t="n">
        <v>0</v>
      </c>
      <c r="L613" t="n">
        <v>0</v>
      </c>
      <c r="M613" t="n">
        <v>0</v>
      </c>
      <c r="N613" t="n">
        <v>0</v>
      </c>
      <c r="O613" t="n">
        <v>0</v>
      </c>
      <c r="P613" t="n">
        <v>0</v>
      </c>
      <c r="Q613" t="n">
        <v>0</v>
      </c>
      <c r="R613" s="2" t="inlineStr"/>
    </row>
    <row r="614" ht="15" customHeight="1">
      <c r="A614" t="inlineStr">
        <is>
          <t>A 63711-2025</t>
        </is>
      </c>
      <c r="B614" s="1" t="n">
        <v>46014.62724537037</v>
      </c>
      <c r="C614" s="1" t="n">
        <v>46073</v>
      </c>
      <c r="D614" t="inlineStr">
        <is>
          <t>KALMAR LÄN</t>
        </is>
      </c>
      <c r="E614" t="inlineStr">
        <is>
          <t>VIMMERBY</t>
        </is>
      </c>
      <c r="G614" t="n">
        <v>2.1</v>
      </c>
      <c r="H614" t="n">
        <v>0</v>
      </c>
      <c r="I614" t="n">
        <v>0</v>
      </c>
      <c r="J614" t="n">
        <v>0</v>
      </c>
      <c r="K614" t="n">
        <v>0</v>
      </c>
      <c r="L614" t="n">
        <v>0</v>
      </c>
      <c r="M614" t="n">
        <v>0</v>
      </c>
      <c r="N614" t="n">
        <v>0</v>
      </c>
      <c r="O614" t="n">
        <v>0</v>
      </c>
      <c r="P614" t="n">
        <v>0</v>
      </c>
      <c r="Q614" t="n">
        <v>0</v>
      </c>
      <c r="R614" s="2" t="inlineStr"/>
    </row>
    <row r="615" ht="15" customHeight="1">
      <c r="A615" t="inlineStr">
        <is>
          <t>A 7485-2024</t>
        </is>
      </c>
      <c r="B615" s="1" t="n">
        <v>45346.67184027778</v>
      </c>
      <c r="C615" s="1" t="n">
        <v>46073</v>
      </c>
      <c r="D615" t="inlineStr">
        <is>
          <t>KALMAR LÄN</t>
        </is>
      </c>
      <c r="E615" t="inlineStr">
        <is>
          <t>VIMMERBY</t>
        </is>
      </c>
      <c r="G615" t="n">
        <v>1.9</v>
      </c>
      <c r="H615" t="n">
        <v>0</v>
      </c>
      <c r="I615" t="n">
        <v>0</v>
      </c>
      <c r="J615" t="n">
        <v>0</v>
      </c>
      <c r="K615" t="n">
        <v>0</v>
      </c>
      <c r="L615" t="n">
        <v>0</v>
      </c>
      <c r="M615" t="n">
        <v>0</v>
      </c>
      <c r="N615" t="n">
        <v>0</v>
      </c>
      <c r="O615" t="n">
        <v>0</v>
      </c>
      <c r="P615" t="n">
        <v>0</v>
      </c>
      <c r="Q615" t="n">
        <v>0</v>
      </c>
      <c r="R615" s="2" t="inlineStr"/>
    </row>
    <row r="616" ht="15" customHeight="1">
      <c r="A616" t="inlineStr">
        <is>
          <t>A 6574-2023</t>
        </is>
      </c>
      <c r="B616" s="1" t="n">
        <v>44966</v>
      </c>
      <c r="C616" s="1" t="n">
        <v>46073</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20054-2023</t>
        </is>
      </c>
      <c r="B617" s="1" t="n">
        <v>45054.6750462963</v>
      </c>
      <c r="C617" s="1" t="n">
        <v>46073</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58750-2022</t>
        </is>
      </c>
      <c r="B618" s="1" t="n">
        <v>44903.33363425926</v>
      </c>
      <c r="C618" s="1" t="n">
        <v>46073</v>
      </c>
      <c r="D618" t="inlineStr">
        <is>
          <t>KALMAR LÄN</t>
        </is>
      </c>
      <c r="E618" t="inlineStr">
        <is>
          <t>VIMMERBY</t>
        </is>
      </c>
      <c r="G618" t="n">
        <v>3.3</v>
      </c>
      <c r="H618" t="n">
        <v>0</v>
      </c>
      <c r="I618" t="n">
        <v>0</v>
      </c>
      <c r="J618" t="n">
        <v>0</v>
      </c>
      <c r="K618" t="n">
        <v>0</v>
      </c>
      <c r="L618" t="n">
        <v>0</v>
      </c>
      <c r="M618" t="n">
        <v>0</v>
      </c>
      <c r="N618" t="n">
        <v>0</v>
      </c>
      <c r="O618" t="n">
        <v>0</v>
      </c>
      <c r="P618" t="n">
        <v>0</v>
      </c>
      <c r="Q618" t="n">
        <v>0</v>
      </c>
      <c r="R618" s="2" t="inlineStr"/>
    </row>
    <row r="619" ht="15" customHeight="1">
      <c r="A619" t="inlineStr">
        <is>
          <t>A 7040-2026</t>
        </is>
      </c>
      <c r="B619" s="1" t="n">
        <v>46057.69520833333</v>
      </c>
      <c r="C619" s="1" t="n">
        <v>46073</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2260-2022</t>
        </is>
      </c>
      <c r="B620" s="1" t="n">
        <v>44578.62943287037</v>
      </c>
      <c r="C620" s="1" t="n">
        <v>46073</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6817-2026</t>
        </is>
      </c>
      <c r="B621" s="1" t="n">
        <v>46057.38412037037</v>
      </c>
      <c r="C621" s="1" t="n">
        <v>46073</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50860-2022</t>
        </is>
      </c>
      <c r="B622" s="1" t="n">
        <v>44867</v>
      </c>
      <c r="C622" s="1" t="n">
        <v>46073</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53483-2022</t>
        </is>
      </c>
      <c r="B623" s="1" t="n">
        <v>44879.55940972222</v>
      </c>
      <c r="C623" s="1" t="n">
        <v>46073</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58962-2022</t>
        </is>
      </c>
      <c r="B624" s="1" t="n">
        <v>44903</v>
      </c>
      <c r="C624" s="1" t="n">
        <v>46073</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58967-2022</t>
        </is>
      </c>
      <c r="B625" s="1" t="n">
        <v>44896</v>
      </c>
      <c r="C625" s="1" t="n">
        <v>46073</v>
      </c>
      <c r="D625" t="inlineStr">
        <is>
          <t>KALMAR LÄN</t>
        </is>
      </c>
      <c r="E625" t="inlineStr">
        <is>
          <t>VIMMERBY</t>
        </is>
      </c>
      <c r="G625" t="n">
        <v>5</v>
      </c>
      <c r="H625" t="n">
        <v>0</v>
      </c>
      <c r="I625" t="n">
        <v>0</v>
      </c>
      <c r="J625" t="n">
        <v>0</v>
      </c>
      <c r="K625" t="n">
        <v>0</v>
      </c>
      <c r="L625" t="n">
        <v>0</v>
      </c>
      <c r="M625" t="n">
        <v>0</v>
      </c>
      <c r="N625" t="n">
        <v>0</v>
      </c>
      <c r="O625" t="n">
        <v>0</v>
      </c>
      <c r="P625" t="n">
        <v>0</v>
      </c>
      <c r="Q625" t="n">
        <v>0</v>
      </c>
      <c r="R625" s="2" t="inlineStr"/>
    </row>
    <row r="626" ht="15" customHeight="1">
      <c r="A626" t="inlineStr">
        <is>
          <t>A 57682-2022</t>
        </is>
      </c>
      <c r="B626" s="1" t="n">
        <v>44890</v>
      </c>
      <c r="C626" s="1" t="n">
        <v>46073</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63845-2025</t>
        </is>
      </c>
      <c r="B627" s="1" t="n">
        <v>46020.43715277778</v>
      </c>
      <c r="C627" s="1" t="n">
        <v>46073</v>
      </c>
      <c r="D627" t="inlineStr">
        <is>
          <t>KALMAR LÄN</t>
        </is>
      </c>
      <c r="E627" t="inlineStr">
        <is>
          <t>VIMMERBY</t>
        </is>
      </c>
      <c r="G627" t="n">
        <v>3.8</v>
      </c>
      <c r="H627" t="n">
        <v>0</v>
      </c>
      <c r="I627" t="n">
        <v>0</v>
      </c>
      <c r="J627" t="n">
        <v>0</v>
      </c>
      <c r="K627" t="n">
        <v>0</v>
      </c>
      <c r="L627" t="n">
        <v>0</v>
      </c>
      <c r="M627" t="n">
        <v>0</v>
      </c>
      <c r="N627" t="n">
        <v>0</v>
      </c>
      <c r="O627" t="n">
        <v>0</v>
      </c>
      <c r="P627" t="n">
        <v>0</v>
      </c>
      <c r="Q627" t="n">
        <v>0</v>
      </c>
      <c r="R627" s="2" t="inlineStr"/>
    </row>
    <row r="628" ht="15" customHeight="1">
      <c r="A628" t="inlineStr">
        <is>
          <t>A 63848-2025</t>
        </is>
      </c>
      <c r="B628" s="1" t="n">
        <v>46020.44902777778</v>
      </c>
      <c r="C628" s="1" t="n">
        <v>46073</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4076-2022</t>
        </is>
      </c>
      <c r="B629" s="1" t="n">
        <v>44588.37998842593</v>
      </c>
      <c r="C629" s="1" t="n">
        <v>46073</v>
      </c>
      <c r="D629" t="inlineStr">
        <is>
          <t>KALMAR LÄN</t>
        </is>
      </c>
      <c r="E629" t="inlineStr">
        <is>
          <t>VIMMERBY</t>
        </is>
      </c>
      <c r="G629" t="n">
        <v>3</v>
      </c>
      <c r="H629" t="n">
        <v>0</v>
      </c>
      <c r="I629" t="n">
        <v>0</v>
      </c>
      <c r="J629" t="n">
        <v>0</v>
      </c>
      <c r="K629" t="n">
        <v>0</v>
      </c>
      <c r="L629" t="n">
        <v>0</v>
      </c>
      <c r="M629" t="n">
        <v>0</v>
      </c>
      <c r="N629" t="n">
        <v>0</v>
      </c>
      <c r="O629" t="n">
        <v>0</v>
      </c>
      <c r="P629" t="n">
        <v>0</v>
      </c>
      <c r="Q629" t="n">
        <v>0</v>
      </c>
      <c r="R629" s="2" t="inlineStr"/>
    </row>
    <row r="630" ht="15" customHeight="1">
      <c r="A630" t="inlineStr">
        <is>
          <t>A 63758-2025</t>
        </is>
      </c>
      <c r="B630" s="1" t="n">
        <v>46018.46483796297</v>
      </c>
      <c r="C630" s="1" t="n">
        <v>46073</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4122-2022</t>
        </is>
      </c>
      <c r="B631" s="1" t="n">
        <v>44588</v>
      </c>
      <c r="C631" s="1" t="n">
        <v>46073</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9624-2024</t>
        </is>
      </c>
      <c r="B632" s="1" t="n">
        <v>45361.90282407407</v>
      </c>
      <c r="C632" s="1" t="n">
        <v>46073</v>
      </c>
      <c r="D632" t="inlineStr">
        <is>
          <t>KALMAR LÄN</t>
        </is>
      </c>
      <c r="E632" t="inlineStr">
        <is>
          <t>VIMMERBY</t>
        </is>
      </c>
      <c r="G632" t="n">
        <v>3.8</v>
      </c>
      <c r="H632" t="n">
        <v>0</v>
      </c>
      <c r="I632" t="n">
        <v>0</v>
      </c>
      <c r="J632" t="n">
        <v>0</v>
      </c>
      <c r="K632" t="n">
        <v>0</v>
      </c>
      <c r="L632" t="n">
        <v>0</v>
      </c>
      <c r="M632" t="n">
        <v>0</v>
      </c>
      <c r="N632" t="n">
        <v>0</v>
      </c>
      <c r="O632" t="n">
        <v>0</v>
      </c>
      <c r="P632" t="n">
        <v>0</v>
      </c>
      <c r="Q632" t="n">
        <v>0</v>
      </c>
      <c r="R632" s="2" t="inlineStr"/>
    </row>
    <row r="633" ht="15" customHeight="1">
      <c r="A633" t="inlineStr">
        <is>
          <t>A 63839-2025</t>
        </is>
      </c>
      <c r="B633" s="1" t="n">
        <v>46020.41998842593</v>
      </c>
      <c r="C633" s="1" t="n">
        <v>46073</v>
      </c>
      <c r="D633" t="inlineStr">
        <is>
          <t>KALMAR LÄN</t>
        </is>
      </c>
      <c r="E633" t="inlineStr">
        <is>
          <t>VIMMERBY</t>
        </is>
      </c>
      <c r="G633" t="n">
        <v>2.9</v>
      </c>
      <c r="H633" t="n">
        <v>0</v>
      </c>
      <c r="I633" t="n">
        <v>0</v>
      </c>
      <c r="J633" t="n">
        <v>0</v>
      </c>
      <c r="K633" t="n">
        <v>0</v>
      </c>
      <c r="L633" t="n">
        <v>0</v>
      </c>
      <c r="M633" t="n">
        <v>0</v>
      </c>
      <c r="N633" t="n">
        <v>0</v>
      </c>
      <c r="O633" t="n">
        <v>0</v>
      </c>
      <c r="P633" t="n">
        <v>0</v>
      </c>
      <c r="Q633" t="n">
        <v>0</v>
      </c>
      <c r="R633" s="2" t="inlineStr"/>
    </row>
    <row r="634" ht="15" customHeight="1">
      <c r="A634" t="inlineStr">
        <is>
          <t>A 52327-2023</t>
        </is>
      </c>
      <c r="B634" s="1" t="n">
        <v>45224.6515162037</v>
      </c>
      <c r="C634" s="1" t="n">
        <v>46073</v>
      </c>
      <c r="D634" t="inlineStr">
        <is>
          <t>KALMAR LÄN</t>
        </is>
      </c>
      <c r="E634" t="inlineStr">
        <is>
          <t>VIMMERBY</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63762-2025</t>
        </is>
      </c>
      <c r="B635" s="1" t="n">
        <v>46018.67197916667</v>
      </c>
      <c r="C635" s="1" t="n">
        <v>46073</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29616-2022</t>
        </is>
      </c>
      <c r="B636" s="1" t="n">
        <v>44754</v>
      </c>
      <c r="C636" s="1" t="n">
        <v>46073</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29348-2023</t>
        </is>
      </c>
      <c r="B637" s="1" t="n">
        <v>45106.25025462963</v>
      </c>
      <c r="C637" s="1" t="n">
        <v>46073</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28403-2023</t>
        </is>
      </c>
      <c r="B638" s="1" t="n">
        <v>45100.85270833333</v>
      </c>
      <c r="C638" s="1" t="n">
        <v>46073</v>
      </c>
      <c r="D638" t="inlineStr">
        <is>
          <t>KALMAR LÄN</t>
        </is>
      </c>
      <c r="E638" t="inlineStr">
        <is>
          <t>VIMMERBY</t>
        </is>
      </c>
      <c r="G638" t="n">
        <v>1.8</v>
      </c>
      <c r="H638" t="n">
        <v>0</v>
      </c>
      <c r="I638" t="n">
        <v>0</v>
      </c>
      <c r="J638" t="n">
        <v>0</v>
      </c>
      <c r="K638" t="n">
        <v>0</v>
      </c>
      <c r="L638" t="n">
        <v>0</v>
      </c>
      <c r="M638" t="n">
        <v>0</v>
      </c>
      <c r="N638" t="n">
        <v>0</v>
      </c>
      <c r="O638" t="n">
        <v>0</v>
      </c>
      <c r="P638" t="n">
        <v>0</v>
      </c>
      <c r="Q638" t="n">
        <v>0</v>
      </c>
      <c r="R638" s="2" t="inlineStr"/>
    </row>
    <row r="639" ht="15" customHeight="1">
      <c r="A639" t="inlineStr">
        <is>
          <t>A 17511-2024</t>
        </is>
      </c>
      <c r="B639" s="1" t="n">
        <v>45415.57682870371</v>
      </c>
      <c r="C639" s="1" t="n">
        <v>46073</v>
      </c>
      <c r="D639" t="inlineStr">
        <is>
          <t>KALMAR LÄN</t>
        </is>
      </c>
      <c r="E639" t="inlineStr">
        <is>
          <t>VIMMERBY</t>
        </is>
      </c>
      <c r="G639" t="n">
        <v>5.3</v>
      </c>
      <c r="H639" t="n">
        <v>0</v>
      </c>
      <c r="I639" t="n">
        <v>0</v>
      </c>
      <c r="J639" t="n">
        <v>0</v>
      </c>
      <c r="K639" t="n">
        <v>0</v>
      </c>
      <c r="L639" t="n">
        <v>0</v>
      </c>
      <c r="M639" t="n">
        <v>0</v>
      </c>
      <c r="N639" t="n">
        <v>0</v>
      </c>
      <c r="O639" t="n">
        <v>0</v>
      </c>
      <c r="P639" t="n">
        <v>0</v>
      </c>
      <c r="Q639" t="n">
        <v>0</v>
      </c>
      <c r="R639" s="2" t="inlineStr"/>
    </row>
    <row r="640" ht="15" customHeight="1">
      <c r="A640" t="inlineStr">
        <is>
          <t>A 66022-2021</t>
        </is>
      </c>
      <c r="B640" s="1" t="n">
        <v>44517</v>
      </c>
      <c r="C640" s="1" t="n">
        <v>46073</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29973-2023</t>
        </is>
      </c>
      <c r="B641" s="1" t="n">
        <v>45108.703125</v>
      </c>
      <c r="C641" s="1" t="n">
        <v>46073</v>
      </c>
      <c r="D641" t="inlineStr">
        <is>
          <t>KALMAR LÄN</t>
        </is>
      </c>
      <c r="E641" t="inlineStr">
        <is>
          <t>VIMMERBY</t>
        </is>
      </c>
      <c r="G641" t="n">
        <v>4</v>
      </c>
      <c r="H641" t="n">
        <v>0</v>
      </c>
      <c r="I641" t="n">
        <v>0</v>
      </c>
      <c r="J641" t="n">
        <v>0</v>
      </c>
      <c r="K641" t="n">
        <v>0</v>
      </c>
      <c r="L641" t="n">
        <v>0</v>
      </c>
      <c r="M641" t="n">
        <v>0</v>
      </c>
      <c r="N641" t="n">
        <v>0</v>
      </c>
      <c r="O641" t="n">
        <v>0</v>
      </c>
      <c r="P641" t="n">
        <v>0</v>
      </c>
      <c r="Q641" t="n">
        <v>0</v>
      </c>
      <c r="R641" s="2" t="inlineStr"/>
    </row>
    <row r="642" ht="15" customHeight="1">
      <c r="A642" t="inlineStr">
        <is>
          <t>A 30070-2023</t>
        </is>
      </c>
      <c r="B642" s="1" t="n">
        <v>45110.4275</v>
      </c>
      <c r="C642" s="1" t="n">
        <v>46073</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46078-2023</t>
        </is>
      </c>
      <c r="B643" s="1" t="n">
        <v>45196</v>
      </c>
      <c r="C643" s="1" t="n">
        <v>46073</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7643-2022</t>
        </is>
      </c>
      <c r="B644" s="1" t="n">
        <v>44607</v>
      </c>
      <c r="C644" s="1" t="n">
        <v>46073</v>
      </c>
      <c r="D644" t="inlineStr">
        <is>
          <t>KALMAR LÄN</t>
        </is>
      </c>
      <c r="E644" t="inlineStr">
        <is>
          <t>VIMMERBY</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3494-2023</t>
        </is>
      </c>
      <c r="B645" s="1" t="n">
        <v>44949</v>
      </c>
      <c r="C645" s="1" t="n">
        <v>46073</v>
      </c>
      <c r="D645" t="inlineStr">
        <is>
          <t>KALMAR LÄN</t>
        </is>
      </c>
      <c r="E645" t="inlineStr">
        <is>
          <t>VIMMERBY</t>
        </is>
      </c>
      <c r="F645" t="inlineStr">
        <is>
          <t>Kyrkan</t>
        </is>
      </c>
      <c r="G645" t="n">
        <v>0.8</v>
      </c>
      <c r="H645" t="n">
        <v>0</v>
      </c>
      <c r="I645" t="n">
        <v>0</v>
      </c>
      <c r="J645" t="n">
        <v>0</v>
      </c>
      <c r="K645" t="n">
        <v>0</v>
      </c>
      <c r="L645" t="n">
        <v>0</v>
      </c>
      <c r="M645" t="n">
        <v>0</v>
      </c>
      <c r="N645" t="n">
        <v>0</v>
      </c>
      <c r="O645" t="n">
        <v>0</v>
      </c>
      <c r="P645" t="n">
        <v>0</v>
      </c>
      <c r="Q645" t="n">
        <v>0</v>
      </c>
      <c r="R645" s="2" t="inlineStr"/>
    </row>
    <row r="646" ht="15" customHeight="1">
      <c r="A646" t="inlineStr">
        <is>
          <t>A 32633-2023</t>
        </is>
      </c>
      <c r="B646" s="1" t="n">
        <v>45121.58699074074</v>
      </c>
      <c r="C646" s="1" t="n">
        <v>46073</v>
      </c>
      <c r="D646" t="inlineStr">
        <is>
          <t>KALMAR LÄN</t>
        </is>
      </c>
      <c r="E646" t="inlineStr">
        <is>
          <t>VIMMERBY</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43601-2024</t>
        </is>
      </c>
      <c r="B647" s="1" t="n">
        <v>45569.44684027778</v>
      </c>
      <c r="C647" s="1" t="n">
        <v>46073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13813-2024</t>
        </is>
      </c>
      <c r="B648" s="1" t="n">
        <v>45391.41310185185</v>
      </c>
      <c r="C648" s="1" t="n">
        <v>46073</v>
      </c>
      <c r="D648" t="inlineStr">
        <is>
          <t>KALMAR LÄN</t>
        </is>
      </c>
      <c r="E648" t="inlineStr">
        <is>
          <t>VIMMERBY</t>
        </is>
      </c>
      <c r="G648" t="n">
        <v>0.4</v>
      </c>
      <c r="H648" t="n">
        <v>0</v>
      </c>
      <c r="I648" t="n">
        <v>0</v>
      </c>
      <c r="J648" t="n">
        <v>0</v>
      </c>
      <c r="K648" t="n">
        <v>0</v>
      </c>
      <c r="L648" t="n">
        <v>0</v>
      </c>
      <c r="M648" t="n">
        <v>0</v>
      </c>
      <c r="N648" t="n">
        <v>0</v>
      </c>
      <c r="O648" t="n">
        <v>0</v>
      </c>
      <c r="P648" t="n">
        <v>0</v>
      </c>
      <c r="Q648" t="n">
        <v>0</v>
      </c>
      <c r="R648" s="2" t="inlineStr"/>
    </row>
    <row r="649" ht="15" customHeight="1">
      <c r="A649" t="inlineStr">
        <is>
          <t>A 25234-2023</t>
        </is>
      </c>
      <c r="B649" s="1" t="n">
        <v>45086.63194444445</v>
      </c>
      <c r="C649" s="1" t="n">
        <v>46073</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25236-2023</t>
        </is>
      </c>
      <c r="B650" s="1" t="n">
        <v>45086.63334490741</v>
      </c>
      <c r="C650" s="1" t="n">
        <v>46073</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25244-2023</t>
        </is>
      </c>
      <c r="B651" s="1" t="n">
        <v>45086</v>
      </c>
      <c r="C651" s="1" t="n">
        <v>46073</v>
      </c>
      <c r="D651" t="inlineStr">
        <is>
          <t>KALMAR LÄN</t>
        </is>
      </c>
      <c r="E651" t="inlineStr">
        <is>
          <t>VIMMERBY</t>
        </is>
      </c>
      <c r="G651" t="n">
        <v>4.7</v>
      </c>
      <c r="H651" t="n">
        <v>0</v>
      </c>
      <c r="I651" t="n">
        <v>0</v>
      </c>
      <c r="J651" t="n">
        <v>0</v>
      </c>
      <c r="K651" t="n">
        <v>0</v>
      </c>
      <c r="L651" t="n">
        <v>0</v>
      </c>
      <c r="M651" t="n">
        <v>0</v>
      </c>
      <c r="N651" t="n">
        <v>0</v>
      </c>
      <c r="O651" t="n">
        <v>0</v>
      </c>
      <c r="P651" t="n">
        <v>0</v>
      </c>
      <c r="Q651" t="n">
        <v>0</v>
      </c>
      <c r="R651" s="2" t="inlineStr"/>
    </row>
    <row r="652" ht="15" customHeight="1">
      <c r="A652" t="inlineStr">
        <is>
          <t>A 23341-2022</t>
        </is>
      </c>
      <c r="B652" s="1" t="n">
        <v>44720.53898148148</v>
      </c>
      <c r="C652" s="1" t="n">
        <v>46073</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8696-2026</t>
        </is>
      </c>
      <c r="B653" s="1" t="n">
        <v>46066.45273148148</v>
      </c>
      <c r="C653" s="1" t="n">
        <v>46073</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71793-2021</t>
        </is>
      </c>
      <c r="B654" s="1" t="n">
        <v>44539</v>
      </c>
      <c r="C654" s="1" t="n">
        <v>46073</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73938-2021</t>
        </is>
      </c>
      <c r="B655" s="1" t="n">
        <v>44553</v>
      </c>
      <c r="C655" s="1" t="n">
        <v>46073</v>
      </c>
      <c r="D655" t="inlineStr">
        <is>
          <t>KALMAR LÄN</t>
        </is>
      </c>
      <c r="E655" t="inlineStr">
        <is>
          <t>VIMMERBY</t>
        </is>
      </c>
      <c r="G655" t="n">
        <v>3.2</v>
      </c>
      <c r="H655" t="n">
        <v>0</v>
      </c>
      <c r="I655" t="n">
        <v>0</v>
      </c>
      <c r="J655" t="n">
        <v>0</v>
      </c>
      <c r="K655" t="n">
        <v>0</v>
      </c>
      <c r="L655" t="n">
        <v>0</v>
      </c>
      <c r="M655" t="n">
        <v>0</v>
      </c>
      <c r="N655" t="n">
        <v>0</v>
      </c>
      <c r="O655" t="n">
        <v>0</v>
      </c>
      <c r="P655" t="n">
        <v>0</v>
      </c>
      <c r="Q655" t="n">
        <v>0</v>
      </c>
      <c r="R655" s="2" t="inlineStr"/>
    </row>
    <row r="656" ht="15" customHeight="1">
      <c r="A656" t="inlineStr">
        <is>
          <t>A 6069-2023</t>
        </is>
      </c>
      <c r="B656" s="1" t="n">
        <v>44964.5115162037</v>
      </c>
      <c r="C656" s="1" t="n">
        <v>46073</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8595-2026</t>
        </is>
      </c>
      <c r="B657" s="1" t="n">
        <v>46065.7372337963</v>
      </c>
      <c r="C657" s="1" t="n">
        <v>46073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50995-2022</t>
        </is>
      </c>
      <c r="B658" s="1" t="n">
        <v>44867</v>
      </c>
      <c r="C658" s="1" t="n">
        <v>46073</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27122-2023</t>
        </is>
      </c>
      <c r="B659" s="1" t="n">
        <v>45096.45247685185</v>
      </c>
      <c r="C659" s="1" t="n">
        <v>46073</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30402-2023</t>
        </is>
      </c>
      <c r="B660" s="1" t="n">
        <v>45111.48395833333</v>
      </c>
      <c r="C660" s="1" t="n">
        <v>46073</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409-2026</t>
        </is>
      </c>
      <c r="B661" s="1" t="n">
        <v>46028.69432870371</v>
      </c>
      <c r="C661" s="1" t="n">
        <v>46073</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47842-2024</t>
        </is>
      </c>
      <c r="B662" s="1" t="n">
        <v>45588.65545138889</v>
      </c>
      <c r="C662" s="1" t="n">
        <v>46073</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6857-2023</t>
        </is>
      </c>
      <c r="B663" s="1" t="n">
        <v>44967.45122685185</v>
      </c>
      <c r="C663" s="1" t="n">
        <v>46073</v>
      </c>
      <c r="D663" t="inlineStr">
        <is>
          <t>KALMAR LÄN</t>
        </is>
      </c>
      <c r="E663" t="inlineStr">
        <is>
          <t>VIMMERBY</t>
        </is>
      </c>
      <c r="G663" t="n">
        <v>2.1</v>
      </c>
      <c r="H663" t="n">
        <v>0</v>
      </c>
      <c r="I663" t="n">
        <v>0</v>
      </c>
      <c r="J663" t="n">
        <v>0</v>
      </c>
      <c r="K663" t="n">
        <v>0</v>
      </c>
      <c r="L663" t="n">
        <v>0</v>
      </c>
      <c r="M663" t="n">
        <v>0</v>
      </c>
      <c r="N663" t="n">
        <v>0</v>
      </c>
      <c r="O663" t="n">
        <v>0</v>
      </c>
      <c r="P663" t="n">
        <v>0</v>
      </c>
      <c r="Q663" t="n">
        <v>0</v>
      </c>
      <c r="R663" s="2" t="inlineStr"/>
    </row>
    <row r="664" ht="15" customHeight="1">
      <c r="A664" t="inlineStr">
        <is>
          <t>A 46224-2024</t>
        </is>
      </c>
      <c r="B664" s="1" t="n">
        <v>45581.57016203704</v>
      </c>
      <c r="C664" s="1" t="n">
        <v>46073</v>
      </c>
      <c r="D664" t="inlineStr">
        <is>
          <t>KALMAR LÄN</t>
        </is>
      </c>
      <c r="E664" t="inlineStr">
        <is>
          <t>VIMMERBY</t>
        </is>
      </c>
      <c r="G664" t="n">
        <v>3.1</v>
      </c>
      <c r="H664" t="n">
        <v>0</v>
      </c>
      <c r="I664" t="n">
        <v>0</v>
      </c>
      <c r="J664" t="n">
        <v>0</v>
      </c>
      <c r="K664" t="n">
        <v>0</v>
      </c>
      <c r="L664" t="n">
        <v>0</v>
      </c>
      <c r="M664" t="n">
        <v>0</v>
      </c>
      <c r="N664" t="n">
        <v>0</v>
      </c>
      <c r="O664" t="n">
        <v>0</v>
      </c>
      <c r="P664" t="n">
        <v>0</v>
      </c>
      <c r="Q664" t="n">
        <v>0</v>
      </c>
      <c r="R664" s="2" t="inlineStr"/>
    </row>
    <row r="665" ht="15" customHeight="1">
      <c r="A665" t="inlineStr">
        <is>
          <t>A 29013-2024</t>
        </is>
      </c>
      <c r="B665" s="1" t="n">
        <v>45481.55984953704</v>
      </c>
      <c r="C665" s="1" t="n">
        <v>46073</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406-2026</t>
        </is>
      </c>
      <c r="B666" s="1" t="n">
        <v>46028.68663194445</v>
      </c>
      <c r="C666" s="1" t="n">
        <v>46073</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37028-2024</t>
        </is>
      </c>
      <c r="B667" s="1" t="n">
        <v>45539.38744212963</v>
      </c>
      <c r="C667" s="1" t="n">
        <v>46073</v>
      </c>
      <c r="D667" t="inlineStr">
        <is>
          <t>KALMAR LÄN</t>
        </is>
      </c>
      <c r="E667" t="inlineStr">
        <is>
          <t>VIMMERBY</t>
        </is>
      </c>
      <c r="G667" t="n">
        <v>5.2</v>
      </c>
      <c r="H667" t="n">
        <v>0</v>
      </c>
      <c r="I667" t="n">
        <v>0</v>
      </c>
      <c r="J667" t="n">
        <v>0</v>
      </c>
      <c r="K667" t="n">
        <v>0</v>
      </c>
      <c r="L667" t="n">
        <v>0</v>
      </c>
      <c r="M667" t="n">
        <v>0</v>
      </c>
      <c r="N667" t="n">
        <v>0</v>
      </c>
      <c r="O667" t="n">
        <v>0</v>
      </c>
      <c r="P667" t="n">
        <v>0</v>
      </c>
      <c r="Q667" t="n">
        <v>0</v>
      </c>
      <c r="R667" s="2" t="inlineStr"/>
    </row>
    <row r="668" ht="15" customHeight="1">
      <c r="A668" t="inlineStr">
        <is>
          <t>A 37187-2024</t>
        </is>
      </c>
      <c r="B668" s="1" t="n">
        <v>45539.65212962963</v>
      </c>
      <c r="C668" s="1" t="n">
        <v>46073</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579-2026</t>
        </is>
      </c>
      <c r="B669" s="1" t="n">
        <v>46029.47912037037</v>
      </c>
      <c r="C669" s="1" t="n">
        <v>46073</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12630-2023</t>
        </is>
      </c>
      <c r="B670" s="1" t="n">
        <v>45000.47998842593</v>
      </c>
      <c r="C670" s="1" t="n">
        <v>46073</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39584-2024</t>
        </is>
      </c>
      <c r="B671" s="1" t="n">
        <v>45552.36759259259</v>
      </c>
      <c r="C671" s="1" t="n">
        <v>46073</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27705-2023</t>
        </is>
      </c>
      <c r="B672" s="1" t="n">
        <v>45098.30535879629</v>
      </c>
      <c r="C672" s="1" t="n">
        <v>46073</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31013-2023</t>
        </is>
      </c>
      <c r="B673" s="1" t="n">
        <v>45113.56574074074</v>
      </c>
      <c r="C673" s="1" t="n">
        <v>46073</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15388-2025</t>
        </is>
      </c>
      <c r="B674" s="1" t="n">
        <v>45747.42633101852</v>
      </c>
      <c r="C674" s="1" t="n">
        <v>46073</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15391-2025</t>
        </is>
      </c>
      <c r="B675" s="1" t="n">
        <v>45747.42958333333</v>
      </c>
      <c r="C675" s="1" t="n">
        <v>46073</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11303-2025</t>
        </is>
      </c>
      <c r="B676" s="1" t="n">
        <v>45726.44471064815</v>
      </c>
      <c r="C676" s="1" t="n">
        <v>46073</v>
      </c>
      <c r="D676" t="inlineStr">
        <is>
          <t>KALMAR LÄN</t>
        </is>
      </c>
      <c r="E676" t="inlineStr">
        <is>
          <t>VIMMERBY</t>
        </is>
      </c>
      <c r="G676" t="n">
        <v>2.1</v>
      </c>
      <c r="H676" t="n">
        <v>0</v>
      </c>
      <c r="I676" t="n">
        <v>0</v>
      </c>
      <c r="J676" t="n">
        <v>0</v>
      </c>
      <c r="K676" t="n">
        <v>0</v>
      </c>
      <c r="L676" t="n">
        <v>0</v>
      </c>
      <c r="M676" t="n">
        <v>0</v>
      </c>
      <c r="N676" t="n">
        <v>0</v>
      </c>
      <c r="O676" t="n">
        <v>0</v>
      </c>
      <c r="P676" t="n">
        <v>0</v>
      </c>
      <c r="Q676" t="n">
        <v>0</v>
      </c>
      <c r="R676" s="2" t="inlineStr"/>
    </row>
    <row r="677" ht="15" customHeight="1">
      <c r="A677" t="inlineStr">
        <is>
          <t>A 842-2026</t>
        </is>
      </c>
      <c r="B677" s="1" t="n">
        <v>46030.380625</v>
      </c>
      <c r="C677" s="1" t="n">
        <v>46073</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33352-2022</t>
        </is>
      </c>
      <c r="B678" s="1" t="n">
        <v>44788</v>
      </c>
      <c r="C678" s="1" t="n">
        <v>46073</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1069-2026</t>
        </is>
      </c>
      <c r="B679" s="1" t="n">
        <v>46030</v>
      </c>
      <c r="C679" s="1" t="n">
        <v>46073</v>
      </c>
      <c r="D679" t="inlineStr">
        <is>
          <t>KALMAR LÄN</t>
        </is>
      </c>
      <c r="E679" t="inlineStr">
        <is>
          <t>VIMMERBY</t>
        </is>
      </c>
      <c r="G679" t="n">
        <v>3.3</v>
      </c>
      <c r="H679" t="n">
        <v>0</v>
      </c>
      <c r="I679" t="n">
        <v>0</v>
      </c>
      <c r="J679" t="n">
        <v>0</v>
      </c>
      <c r="K679" t="n">
        <v>0</v>
      </c>
      <c r="L679" t="n">
        <v>0</v>
      </c>
      <c r="M679" t="n">
        <v>0</v>
      </c>
      <c r="N679" t="n">
        <v>0</v>
      </c>
      <c r="O679" t="n">
        <v>0</v>
      </c>
      <c r="P679" t="n">
        <v>0</v>
      </c>
      <c r="Q679" t="n">
        <v>0</v>
      </c>
      <c r="R679" s="2" t="inlineStr"/>
    </row>
    <row r="680" ht="15" customHeight="1">
      <c r="A680" t="inlineStr">
        <is>
          <t>A 46234-2024</t>
        </is>
      </c>
      <c r="B680" s="1" t="n">
        <v>45581.57958333333</v>
      </c>
      <c r="C680" s="1" t="n">
        <v>46073</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39053-2024</t>
        </is>
      </c>
      <c r="B681" s="1" t="n">
        <v>45548</v>
      </c>
      <c r="C681" s="1" t="n">
        <v>46073</v>
      </c>
      <c r="D681" t="inlineStr">
        <is>
          <t>KALMAR LÄN</t>
        </is>
      </c>
      <c r="E681" t="inlineStr">
        <is>
          <t>VIMMERBY</t>
        </is>
      </c>
      <c r="G681" t="n">
        <v>5</v>
      </c>
      <c r="H681" t="n">
        <v>0</v>
      </c>
      <c r="I681" t="n">
        <v>0</v>
      </c>
      <c r="J681" t="n">
        <v>0</v>
      </c>
      <c r="K681" t="n">
        <v>0</v>
      </c>
      <c r="L681" t="n">
        <v>0</v>
      </c>
      <c r="M681" t="n">
        <v>0</v>
      </c>
      <c r="N681" t="n">
        <v>0</v>
      </c>
      <c r="O681" t="n">
        <v>0</v>
      </c>
      <c r="P681" t="n">
        <v>0</v>
      </c>
      <c r="Q681" t="n">
        <v>0</v>
      </c>
      <c r="R681" s="2" t="inlineStr"/>
    </row>
    <row r="682" ht="15" customHeight="1">
      <c r="A682" t="inlineStr">
        <is>
          <t>A 15449-2023</t>
        </is>
      </c>
      <c r="B682" s="1" t="n">
        <v>45020</v>
      </c>
      <c r="C682" s="1" t="n">
        <v>46073</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43594-2024</t>
        </is>
      </c>
      <c r="B683" s="1" t="n">
        <v>45569.44295138889</v>
      </c>
      <c r="C683" s="1" t="n">
        <v>46073</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17486-2024</t>
        </is>
      </c>
      <c r="B684" s="1" t="n">
        <v>45415.48979166667</v>
      </c>
      <c r="C684" s="1" t="n">
        <v>46073</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14248-2023</t>
        </is>
      </c>
      <c r="B685" s="1" t="n">
        <v>45009</v>
      </c>
      <c r="C685" s="1" t="n">
        <v>46073</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30400-2023</t>
        </is>
      </c>
      <c r="B686" s="1" t="n">
        <v>45111.48225694444</v>
      </c>
      <c r="C686" s="1" t="n">
        <v>46073</v>
      </c>
      <c r="D686" t="inlineStr">
        <is>
          <t>KALMAR LÄN</t>
        </is>
      </c>
      <c r="E686" t="inlineStr">
        <is>
          <t>VIMMERBY</t>
        </is>
      </c>
      <c r="G686" t="n">
        <v>2.7</v>
      </c>
      <c r="H686" t="n">
        <v>0</v>
      </c>
      <c r="I686" t="n">
        <v>0</v>
      </c>
      <c r="J686" t="n">
        <v>0</v>
      </c>
      <c r="K686" t="n">
        <v>0</v>
      </c>
      <c r="L686" t="n">
        <v>0</v>
      </c>
      <c r="M686" t="n">
        <v>0</v>
      </c>
      <c r="N686" t="n">
        <v>0</v>
      </c>
      <c r="O686" t="n">
        <v>0</v>
      </c>
      <c r="P686" t="n">
        <v>0</v>
      </c>
      <c r="Q686" t="n">
        <v>0</v>
      </c>
      <c r="R686" s="2" t="inlineStr"/>
    </row>
    <row r="687" ht="15" customHeight="1">
      <c r="A687" t="inlineStr">
        <is>
          <t>A 30404-2023</t>
        </is>
      </c>
      <c r="B687" s="1" t="n">
        <v>45111.48636574074</v>
      </c>
      <c r="C687" s="1" t="n">
        <v>46073</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55123-2024</t>
        </is>
      </c>
      <c r="B688" s="1" t="n">
        <v>45621.46103009259</v>
      </c>
      <c r="C688" s="1" t="n">
        <v>46073</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31405-2023</t>
        </is>
      </c>
      <c r="B689" s="1" t="n">
        <v>45114.58148148148</v>
      </c>
      <c r="C689" s="1" t="n">
        <v>46073</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24707-2024</t>
        </is>
      </c>
      <c r="B690" s="1" t="n">
        <v>45460.62172453704</v>
      </c>
      <c r="C690" s="1" t="n">
        <v>46073</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46073</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58159-2024</t>
        </is>
      </c>
      <c r="B692" s="1" t="n">
        <v>45632.44886574074</v>
      </c>
      <c r="C692" s="1" t="n">
        <v>46073</v>
      </c>
      <c r="D692" t="inlineStr">
        <is>
          <t>KALMAR LÄN</t>
        </is>
      </c>
      <c r="E692" t="inlineStr">
        <is>
          <t>VIMMERBY</t>
        </is>
      </c>
      <c r="G692" t="n">
        <v>7.5</v>
      </c>
      <c r="H692" t="n">
        <v>0</v>
      </c>
      <c r="I692" t="n">
        <v>0</v>
      </c>
      <c r="J692" t="n">
        <v>0</v>
      </c>
      <c r="K692" t="n">
        <v>0</v>
      </c>
      <c r="L692" t="n">
        <v>0</v>
      </c>
      <c r="M692" t="n">
        <v>0</v>
      </c>
      <c r="N692" t="n">
        <v>0</v>
      </c>
      <c r="O692" t="n">
        <v>0</v>
      </c>
      <c r="P692" t="n">
        <v>0</v>
      </c>
      <c r="Q692" t="n">
        <v>0</v>
      </c>
      <c r="R692" s="2" t="inlineStr"/>
    </row>
    <row r="693" ht="15" customHeight="1">
      <c r="A693" t="inlineStr">
        <is>
          <t>A 14359-2025</t>
        </is>
      </c>
      <c r="B693" s="1" t="n">
        <v>45741.37270833334</v>
      </c>
      <c r="C693" s="1" t="n">
        <v>46073</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39578-2024</t>
        </is>
      </c>
      <c r="B694" s="1" t="n">
        <v>45552.36484953704</v>
      </c>
      <c r="C694" s="1" t="n">
        <v>46073</v>
      </c>
      <c r="D694" t="inlineStr">
        <is>
          <t>KALMAR LÄN</t>
        </is>
      </c>
      <c r="E694" t="inlineStr">
        <is>
          <t>VIMMERBY</t>
        </is>
      </c>
      <c r="G694" t="n">
        <v>1.5</v>
      </c>
      <c r="H694" t="n">
        <v>0</v>
      </c>
      <c r="I694" t="n">
        <v>0</v>
      </c>
      <c r="J694" t="n">
        <v>0</v>
      </c>
      <c r="K694" t="n">
        <v>0</v>
      </c>
      <c r="L694" t="n">
        <v>0</v>
      </c>
      <c r="M694" t="n">
        <v>0</v>
      </c>
      <c r="N694" t="n">
        <v>0</v>
      </c>
      <c r="O694" t="n">
        <v>0</v>
      </c>
      <c r="P694" t="n">
        <v>0</v>
      </c>
      <c r="Q694" t="n">
        <v>0</v>
      </c>
      <c r="R694" s="2" t="inlineStr"/>
    </row>
    <row r="695" ht="15" customHeight="1">
      <c r="A695" t="inlineStr">
        <is>
          <t>A 62779-2023</t>
        </is>
      </c>
      <c r="B695" s="1" t="n">
        <v>45271.66576388889</v>
      </c>
      <c r="C695" s="1" t="n">
        <v>46073</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46399-2024</t>
        </is>
      </c>
      <c r="B696" s="1" t="n">
        <v>45582.41200231481</v>
      </c>
      <c r="C696" s="1" t="n">
        <v>46073</v>
      </c>
      <c r="D696" t="inlineStr">
        <is>
          <t>KALMAR LÄN</t>
        </is>
      </c>
      <c r="E696" t="inlineStr">
        <is>
          <t>VIMMERBY</t>
        </is>
      </c>
      <c r="G696" t="n">
        <v>4.6</v>
      </c>
      <c r="H696" t="n">
        <v>0</v>
      </c>
      <c r="I696" t="n">
        <v>0</v>
      </c>
      <c r="J696" t="n">
        <v>0</v>
      </c>
      <c r="K696" t="n">
        <v>0</v>
      </c>
      <c r="L696" t="n">
        <v>0</v>
      </c>
      <c r="M696" t="n">
        <v>0</v>
      </c>
      <c r="N696" t="n">
        <v>0</v>
      </c>
      <c r="O696" t="n">
        <v>0</v>
      </c>
      <c r="P696" t="n">
        <v>0</v>
      </c>
      <c r="Q696" t="n">
        <v>0</v>
      </c>
      <c r="R696" s="2" t="inlineStr"/>
    </row>
    <row r="697" ht="15" customHeight="1">
      <c r="A697" t="inlineStr">
        <is>
          <t>A 3425-2022</t>
        </is>
      </c>
      <c r="B697" s="1" t="n">
        <v>44585.51060185185</v>
      </c>
      <c r="C697" s="1" t="n">
        <v>46073</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43962-2024</t>
        </is>
      </c>
      <c r="B698" s="1" t="n">
        <v>45572.48293981481</v>
      </c>
      <c r="C698" s="1" t="n">
        <v>46073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12810-2023</t>
        </is>
      </c>
      <c r="B699" s="1" t="n">
        <v>45001.43854166667</v>
      </c>
      <c r="C699" s="1" t="n">
        <v>46073</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43068-2023</t>
        </is>
      </c>
      <c r="B700" s="1" t="n">
        <v>45182.78834490741</v>
      </c>
      <c r="C700" s="1" t="n">
        <v>46073</v>
      </c>
      <c r="D700" t="inlineStr">
        <is>
          <t>KALMAR LÄN</t>
        </is>
      </c>
      <c r="E700" t="inlineStr">
        <is>
          <t>VIMMERBY</t>
        </is>
      </c>
      <c r="G700" t="n">
        <v>1.5</v>
      </c>
      <c r="H700" t="n">
        <v>0</v>
      </c>
      <c r="I700" t="n">
        <v>0</v>
      </c>
      <c r="J700" t="n">
        <v>0</v>
      </c>
      <c r="K700" t="n">
        <v>0</v>
      </c>
      <c r="L700" t="n">
        <v>0</v>
      </c>
      <c r="M700" t="n">
        <v>0</v>
      </c>
      <c r="N700" t="n">
        <v>0</v>
      </c>
      <c r="O700" t="n">
        <v>0</v>
      </c>
      <c r="P700" t="n">
        <v>0</v>
      </c>
      <c r="Q700" t="n">
        <v>0</v>
      </c>
      <c r="R700" s="2" t="inlineStr"/>
    </row>
    <row r="701" ht="15" customHeight="1">
      <c r="A701" t="inlineStr">
        <is>
          <t>A 12075-2024</t>
        </is>
      </c>
      <c r="B701" s="1" t="n">
        <v>45377</v>
      </c>
      <c r="C701" s="1" t="n">
        <v>46073</v>
      </c>
      <c r="D701" t="inlineStr">
        <is>
          <t>KALMAR LÄN</t>
        </is>
      </c>
      <c r="E701" t="inlineStr">
        <is>
          <t>VIMMERBY</t>
        </is>
      </c>
      <c r="G701" t="n">
        <v>3.7</v>
      </c>
      <c r="H701" t="n">
        <v>0</v>
      </c>
      <c r="I701" t="n">
        <v>0</v>
      </c>
      <c r="J701" t="n">
        <v>0</v>
      </c>
      <c r="K701" t="n">
        <v>0</v>
      </c>
      <c r="L701" t="n">
        <v>0</v>
      </c>
      <c r="M701" t="n">
        <v>0</v>
      </c>
      <c r="N701" t="n">
        <v>0</v>
      </c>
      <c r="O701" t="n">
        <v>0</v>
      </c>
      <c r="P701" t="n">
        <v>0</v>
      </c>
      <c r="Q701" t="n">
        <v>0</v>
      </c>
      <c r="R701" s="2" t="inlineStr"/>
    </row>
    <row r="702" ht="15" customHeight="1">
      <c r="A702" t="inlineStr">
        <is>
          <t>A 1799-2025</t>
        </is>
      </c>
      <c r="B702" s="1" t="n">
        <v>45671.46746527778</v>
      </c>
      <c r="C702" s="1" t="n">
        <v>46073</v>
      </c>
      <c r="D702" t="inlineStr">
        <is>
          <t>KALMAR LÄN</t>
        </is>
      </c>
      <c r="E702" t="inlineStr">
        <is>
          <t>VIMMERBY</t>
        </is>
      </c>
      <c r="G702" t="n">
        <v>3.3</v>
      </c>
      <c r="H702" t="n">
        <v>0</v>
      </c>
      <c r="I702" t="n">
        <v>0</v>
      </c>
      <c r="J702" t="n">
        <v>0</v>
      </c>
      <c r="K702" t="n">
        <v>0</v>
      </c>
      <c r="L702" t="n">
        <v>0</v>
      </c>
      <c r="M702" t="n">
        <v>0</v>
      </c>
      <c r="N702" t="n">
        <v>0</v>
      </c>
      <c r="O702" t="n">
        <v>0</v>
      </c>
      <c r="P702" t="n">
        <v>0</v>
      </c>
      <c r="Q702" t="n">
        <v>0</v>
      </c>
      <c r="R702" s="2" t="inlineStr"/>
    </row>
    <row r="703" ht="15" customHeight="1">
      <c r="A703" t="inlineStr">
        <is>
          <t>A 2462-2022</t>
        </is>
      </c>
      <c r="B703" s="1" t="n">
        <v>44579.62225694444</v>
      </c>
      <c r="C703" s="1" t="n">
        <v>46073</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13015-2022</t>
        </is>
      </c>
      <c r="B704" s="1" t="n">
        <v>44643</v>
      </c>
      <c r="C704" s="1" t="n">
        <v>46073</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4624-2024</t>
        </is>
      </c>
      <c r="B705" s="1" t="n">
        <v>45328.38755787037</v>
      </c>
      <c r="C705" s="1" t="n">
        <v>46073</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9129-2025</t>
        </is>
      </c>
      <c r="B706" s="1" t="n">
        <v>45713.92412037037</v>
      </c>
      <c r="C706" s="1" t="n">
        <v>46073</v>
      </c>
      <c r="D706" t="inlineStr">
        <is>
          <t>KALMAR LÄN</t>
        </is>
      </c>
      <c r="E706" t="inlineStr">
        <is>
          <t>VIMMERBY</t>
        </is>
      </c>
      <c r="G706" t="n">
        <v>2.8</v>
      </c>
      <c r="H706" t="n">
        <v>0</v>
      </c>
      <c r="I706" t="n">
        <v>0</v>
      </c>
      <c r="J706" t="n">
        <v>0</v>
      </c>
      <c r="K706" t="n">
        <v>0</v>
      </c>
      <c r="L706" t="n">
        <v>0</v>
      </c>
      <c r="M706" t="n">
        <v>0</v>
      </c>
      <c r="N706" t="n">
        <v>0</v>
      </c>
      <c r="O706" t="n">
        <v>0</v>
      </c>
      <c r="P706" t="n">
        <v>0</v>
      </c>
      <c r="Q706" t="n">
        <v>0</v>
      </c>
      <c r="R706" s="2" t="inlineStr"/>
    </row>
    <row r="707" ht="15" customHeight="1">
      <c r="A707" t="inlineStr">
        <is>
          <t>A 22643-2023</t>
        </is>
      </c>
      <c r="B707" s="1" t="n">
        <v>45071</v>
      </c>
      <c r="C707" s="1" t="n">
        <v>46073</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34597-2022</t>
        </is>
      </c>
      <c r="B708" s="1" t="n">
        <v>44795</v>
      </c>
      <c r="C708" s="1" t="n">
        <v>46073</v>
      </c>
      <c r="D708" t="inlineStr">
        <is>
          <t>KALMAR LÄN</t>
        </is>
      </c>
      <c r="E708" t="inlineStr">
        <is>
          <t>VIMMERBY</t>
        </is>
      </c>
      <c r="G708" t="n">
        <v>2.2</v>
      </c>
      <c r="H708" t="n">
        <v>0</v>
      </c>
      <c r="I708" t="n">
        <v>0</v>
      </c>
      <c r="J708" t="n">
        <v>0</v>
      </c>
      <c r="K708" t="n">
        <v>0</v>
      </c>
      <c r="L708" t="n">
        <v>0</v>
      </c>
      <c r="M708" t="n">
        <v>0</v>
      </c>
      <c r="N708" t="n">
        <v>0</v>
      </c>
      <c r="O708" t="n">
        <v>0</v>
      </c>
      <c r="P708" t="n">
        <v>0</v>
      </c>
      <c r="Q708" t="n">
        <v>0</v>
      </c>
      <c r="R708" s="2" t="inlineStr"/>
    </row>
    <row r="709" ht="15" customHeight="1">
      <c r="A709" t="inlineStr">
        <is>
          <t>A 40079-2023</t>
        </is>
      </c>
      <c r="B709" s="1" t="n">
        <v>45168.89298611111</v>
      </c>
      <c r="C709" s="1" t="n">
        <v>46073</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19833-2023</t>
        </is>
      </c>
      <c r="B710" s="1" t="n">
        <v>45052</v>
      </c>
      <c r="C710" s="1" t="n">
        <v>46073</v>
      </c>
      <c r="D710" t="inlineStr">
        <is>
          <t>KALMAR LÄN</t>
        </is>
      </c>
      <c r="E710" t="inlineStr">
        <is>
          <t>VIMMERBY</t>
        </is>
      </c>
      <c r="G710" t="n">
        <v>6.7</v>
      </c>
      <c r="H710" t="n">
        <v>0</v>
      </c>
      <c r="I710" t="n">
        <v>0</v>
      </c>
      <c r="J710" t="n">
        <v>0</v>
      </c>
      <c r="K710" t="n">
        <v>0</v>
      </c>
      <c r="L710" t="n">
        <v>0</v>
      </c>
      <c r="M710" t="n">
        <v>0</v>
      </c>
      <c r="N710" t="n">
        <v>0</v>
      </c>
      <c r="O710" t="n">
        <v>0</v>
      </c>
      <c r="P710" t="n">
        <v>0</v>
      </c>
      <c r="Q710" t="n">
        <v>0</v>
      </c>
      <c r="R710" s="2" t="inlineStr"/>
    </row>
    <row r="711" ht="15" customHeight="1">
      <c r="A711" t="inlineStr">
        <is>
          <t>A 17084-2025</t>
        </is>
      </c>
      <c r="B711" s="1" t="n">
        <v>45755.64450231481</v>
      </c>
      <c r="C711" s="1" t="n">
        <v>46073</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56022-2024</t>
        </is>
      </c>
      <c r="B712" s="1" t="n">
        <v>45623.95947916667</v>
      </c>
      <c r="C712" s="1" t="n">
        <v>46073</v>
      </c>
      <c r="D712" t="inlineStr">
        <is>
          <t>KALMAR LÄN</t>
        </is>
      </c>
      <c r="E712" t="inlineStr">
        <is>
          <t>VIMMERBY</t>
        </is>
      </c>
      <c r="G712" t="n">
        <v>0.3</v>
      </c>
      <c r="H712" t="n">
        <v>0</v>
      </c>
      <c r="I712" t="n">
        <v>0</v>
      </c>
      <c r="J712" t="n">
        <v>0</v>
      </c>
      <c r="K712" t="n">
        <v>0</v>
      </c>
      <c r="L712" t="n">
        <v>0</v>
      </c>
      <c r="M712" t="n">
        <v>0</v>
      </c>
      <c r="N712" t="n">
        <v>0</v>
      </c>
      <c r="O712" t="n">
        <v>0</v>
      </c>
      <c r="P712" t="n">
        <v>0</v>
      </c>
      <c r="Q712" t="n">
        <v>0</v>
      </c>
      <c r="R712" s="2" t="inlineStr"/>
    </row>
    <row r="713" ht="15" customHeight="1">
      <c r="A713" t="inlineStr">
        <is>
          <t>A 11928-2022</t>
        </is>
      </c>
      <c r="B713" s="1" t="n">
        <v>44635</v>
      </c>
      <c r="C713" s="1" t="n">
        <v>46073</v>
      </c>
      <c r="D713" t="inlineStr">
        <is>
          <t>KALMAR LÄN</t>
        </is>
      </c>
      <c r="E713" t="inlineStr">
        <is>
          <t>VIMMERBY</t>
        </is>
      </c>
      <c r="G713" t="n">
        <v>2.8</v>
      </c>
      <c r="H713" t="n">
        <v>0</v>
      </c>
      <c r="I713" t="n">
        <v>0</v>
      </c>
      <c r="J713" t="n">
        <v>0</v>
      </c>
      <c r="K713" t="n">
        <v>0</v>
      </c>
      <c r="L713" t="n">
        <v>0</v>
      </c>
      <c r="M713" t="n">
        <v>0</v>
      </c>
      <c r="N713" t="n">
        <v>0</v>
      </c>
      <c r="O713" t="n">
        <v>0</v>
      </c>
      <c r="P713" t="n">
        <v>0</v>
      </c>
      <c r="Q713" t="n">
        <v>0</v>
      </c>
      <c r="R713" s="2" t="inlineStr"/>
    </row>
    <row r="714" ht="15" customHeight="1">
      <c r="A714" t="inlineStr">
        <is>
          <t>A 5527-2022</t>
        </is>
      </c>
      <c r="B714" s="1" t="n">
        <v>44595.583125</v>
      </c>
      <c r="C714" s="1" t="n">
        <v>46073</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49461-2023</t>
        </is>
      </c>
      <c r="B715" s="1" t="n">
        <v>45211.52642361111</v>
      </c>
      <c r="C715" s="1" t="n">
        <v>46073</v>
      </c>
      <c r="D715" t="inlineStr">
        <is>
          <t>KALMAR LÄN</t>
        </is>
      </c>
      <c r="E715" t="inlineStr">
        <is>
          <t>VIMMERBY</t>
        </is>
      </c>
      <c r="G715" t="n">
        <v>1.5</v>
      </c>
      <c r="H715" t="n">
        <v>0</v>
      </c>
      <c r="I715" t="n">
        <v>0</v>
      </c>
      <c r="J715" t="n">
        <v>0</v>
      </c>
      <c r="K715" t="n">
        <v>0</v>
      </c>
      <c r="L715" t="n">
        <v>0</v>
      </c>
      <c r="M715" t="n">
        <v>0</v>
      </c>
      <c r="N715" t="n">
        <v>0</v>
      </c>
      <c r="O715" t="n">
        <v>0</v>
      </c>
      <c r="P715" t="n">
        <v>0</v>
      </c>
      <c r="Q715" t="n">
        <v>0</v>
      </c>
      <c r="R715" s="2" t="inlineStr"/>
    </row>
    <row r="716" ht="15" customHeight="1">
      <c r="A716" t="inlineStr">
        <is>
          <t>A 49474-2023</t>
        </is>
      </c>
      <c r="B716" s="1" t="n">
        <v>45211.541875</v>
      </c>
      <c r="C716" s="1" t="n">
        <v>46073</v>
      </c>
      <c r="D716" t="inlineStr">
        <is>
          <t>KALMAR LÄN</t>
        </is>
      </c>
      <c r="E716" t="inlineStr">
        <is>
          <t>VIMMERBY</t>
        </is>
      </c>
      <c r="G716" t="n">
        <v>3.6</v>
      </c>
      <c r="H716" t="n">
        <v>0</v>
      </c>
      <c r="I716" t="n">
        <v>0</v>
      </c>
      <c r="J716" t="n">
        <v>0</v>
      </c>
      <c r="K716" t="n">
        <v>0</v>
      </c>
      <c r="L716" t="n">
        <v>0</v>
      </c>
      <c r="M716" t="n">
        <v>0</v>
      </c>
      <c r="N716" t="n">
        <v>0</v>
      </c>
      <c r="O716" t="n">
        <v>0</v>
      </c>
      <c r="P716" t="n">
        <v>0</v>
      </c>
      <c r="Q716" t="n">
        <v>0</v>
      </c>
      <c r="R716" s="2" t="inlineStr"/>
    </row>
    <row r="717" ht="15" customHeight="1">
      <c r="A717" t="inlineStr">
        <is>
          <t>A 61861-2024</t>
        </is>
      </c>
      <c r="B717" s="1" t="n">
        <v>45650.37370370371</v>
      </c>
      <c r="C717" s="1" t="n">
        <v>46073</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45846-2023</t>
        </is>
      </c>
      <c r="B718" s="1" t="n">
        <v>45195.58452546296</v>
      </c>
      <c r="C718" s="1" t="n">
        <v>46073</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8167-2024</t>
        </is>
      </c>
      <c r="B719" s="1" t="n">
        <v>45351.6062962963</v>
      </c>
      <c r="C719" s="1" t="n">
        <v>46073</v>
      </c>
      <c r="D719" t="inlineStr">
        <is>
          <t>KALMAR LÄN</t>
        </is>
      </c>
      <c r="E719" t="inlineStr">
        <is>
          <t>VIMMERBY</t>
        </is>
      </c>
      <c r="G719" t="n">
        <v>3.8</v>
      </c>
      <c r="H719" t="n">
        <v>0</v>
      </c>
      <c r="I719" t="n">
        <v>0</v>
      </c>
      <c r="J719" t="n">
        <v>0</v>
      </c>
      <c r="K719" t="n">
        <v>0</v>
      </c>
      <c r="L719" t="n">
        <v>0</v>
      </c>
      <c r="M719" t="n">
        <v>0</v>
      </c>
      <c r="N719" t="n">
        <v>0</v>
      </c>
      <c r="O719" t="n">
        <v>0</v>
      </c>
      <c r="P719" t="n">
        <v>0</v>
      </c>
      <c r="Q719" t="n">
        <v>0</v>
      </c>
      <c r="R719" s="2" t="inlineStr"/>
    </row>
    <row r="720" ht="15" customHeight="1">
      <c r="A720" t="inlineStr">
        <is>
          <t>A 49382-2023</t>
        </is>
      </c>
      <c r="B720" s="1" t="n">
        <v>45208</v>
      </c>
      <c r="C720" s="1" t="n">
        <v>46073</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12121-2025</t>
        </is>
      </c>
      <c r="B721" s="1" t="n">
        <v>45729.36868055556</v>
      </c>
      <c r="C721" s="1" t="n">
        <v>46073</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35846-2023</t>
        </is>
      </c>
      <c r="B722" s="1" t="n">
        <v>45148</v>
      </c>
      <c r="C722" s="1" t="n">
        <v>46073</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35913-2023</t>
        </is>
      </c>
      <c r="B723" s="1" t="n">
        <v>45148</v>
      </c>
      <c r="C723" s="1" t="n">
        <v>46073</v>
      </c>
      <c r="D723" t="inlineStr">
        <is>
          <t>KALMAR LÄN</t>
        </is>
      </c>
      <c r="E723" t="inlineStr">
        <is>
          <t>VIMMERBY</t>
        </is>
      </c>
      <c r="G723" t="n">
        <v>6.9</v>
      </c>
      <c r="H723" t="n">
        <v>0</v>
      </c>
      <c r="I723" t="n">
        <v>0</v>
      </c>
      <c r="J723" t="n">
        <v>0</v>
      </c>
      <c r="K723" t="n">
        <v>0</v>
      </c>
      <c r="L723" t="n">
        <v>0</v>
      </c>
      <c r="M723" t="n">
        <v>0</v>
      </c>
      <c r="N723" t="n">
        <v>0</v>
      </c>
      <c r="O723" t="n">
        <v>0</v>
      </c>
      <c r="P723" t="n">
        <v>0</v>
      </c>
      <c r="Q723" t="n">
        <v>0</v>
      </c>
      <c r="R723" s="2" t="inlineStr"/>
    </row>
    <row r="724" ht="15" customHeight="1">
      <c r="A724" t="inlineStr">
        <is>
          <t>A 38757-2023</t>
        </is>
      </c>
      <c r="B724" s="1" t="n">
        <v>45163.41376157408</v>
      </c>
      <c r="C724" s="1" t="n">
        <v>46073</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20136-2024</t>
        </is>
      </c>
      <c r="B725" s="1" t="n">
        <v>45434.56291666667</v>
      </c>
      <c r="C725" s="1" t="n">
        <v>46073</v>
      </c>
      <c r="D725" t="inlineStr">
        <is>
          <t>KALMAR LÄN</t>
        </is>
      </c>
      <c r="E725" t="inlineStr">
        <is>
          <t>VIMMERBY</t>
        </is>
      </c>
      <c r="F725" t="inlineStr">
        <is>
          <t>Sveaskog</t>
        </is>
      </c>
      <c r="G725" t="n">
        <v>8.4</v>
      </c>
      <c r="H725" t="n">
        <v>0</v>
      </c>
      <c r="I725" t="n">
        <v>0</v>
      </c>
      <c r="J725" t="n">
        <v>0</v>
      </c>
      <c r="K725" t="n">
        <v>0</v>
      </c>
      <c r="L725" t="n">
        <v>0</v>
      </c>
      <c r="M725" t="n">
        <v>0</v>
      </c>
      <c r="N725" t="n">
        <v>0</v>
      </c>
      <c r="O725" t="n">
        <v>0</v>
      </c>
      <c r="P725" t="n">
        <v>0</v>
      </c>
      <c r="Q725" t="n">
        <v>0</v>
      </c>
      <c r="R725" s="2" t="inlineStr"/>
    </row>
    <row r="726" ht="15" customHeight="1">
      <c r="A726" t="inlineStr">
        <is>
          <t>A 24283-2023</t>
        </is>
      </c>
      <c r="B726" s="1" t="n">
        <v>45079.87827546296</v>
      </c>
      <c r="C726" s="1" t="n">
        <v>46073</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59598-2023</t>
        </is>
      </c>
      <c r="B727" s="1" t="n">
        <v>45254.62489583333</v>
      </c>
      <c r="C727" s="1" t="n">
        <v>46073</v>
      </c>
      <c r="D727" t="inlineStr">
        <is>
          <t>KALMAR LÄN</t>
        </is>
      </c>
      <c r="E727" t="inlineStr">
        <is>
          <t>VIMMERBY</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30920-2023</t>
        </is>
      </c>
      <c r="B728" s="1" t="n">
        <v>45113.43921296296</v>
      </c>
      <c r="C728" s="1" t="n">
        <v>46073</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40929-2022</t>
        </is>
      </c>
      <c r="B729" s="1" t="n">
        <v>44825.4336574074</v>
      </c>
      <c r="C729" s="1" t="n">
        <v>46073</v>
      </c>
      <c r="D729" t="inlineStr">
        <is>
          <t>KALMAR LÄN</t>
        </is>
      </c>
      <c r="E729" t="inlineStr">
        <is>
          <t>VIMMERBY</t>
        </is>
      </c>
      <c r="G729" t="n">
        <v>2.5</v>
      </c>
      <c r="H729" t="n">
        <v>0</v>
      </c>
      <c r="I729" t="n">
        <v>0</v>
      </c>
      <c r="J729" t="n">
        <v>0</v>
      </c>
      <c r="K729" t="n">
        <v>0</v>
      </c>
      <c r="L729" t="n">
        <v>0</v>
      </c>
      <c r="M729" t="n">
        <v>0</v>
      </c>
      <c r="N729" t="n">
        <v>0</v>
      </c>
      <c r="O729" t="n">
        <v>0</v>
      </c>
      <c r="P729" t="n">
        <v>0</v>
      </c>
      <c r="Q729" t="n">
        <v>0</v>
      </c>
      <c r="R729" s="2" t="inlineStr"/>
    </row>
    <row r="730" ht="15" customHeight="1">
      <c r="A730" t="inlineStr">
        <is>
          <t>A 33380-2023</t>
        </is>
      </c>
      <c r="B730" s="1" t="n">
        <v>45128</v>
      </c>
      <c r="C730" s="1" t="n">
        <v>46073</v>
      </c>
      <c r="D730" t="inlineStr">
        <is>
          <t>KALMAR LÄN</t>
        </is>
      </c>
      <c r="E730" t="inlineStr">
        <is>
          <t>VIMMERBY</t>
        </is>
      </c>
      <c r="G730" t="n">
        <v>5.2</v>
      </c>
      <c r="H730" t="n">
        <v>0</v>
      </c>
      <c r="I730" t="n">
        <v>0</v>
      </c>
      <c r="J730" t="n">
        <v>0</v>
      </c>
      <c r="K730" t="n">
        <v>0</v>
      </c>
      <c r="L730" t="n">
        <v>0</v>
      </c>
      <c r="M730" t="n">
        <v>0</v>
      </c>
      <c r="N730" t="n">
        <v>0</v>
      </c>
      <c r="O730" t="n">
        <v>0</v>
      </c>
      <c r="P730" t="n">
        <v>0</v>
      </c>
      <c r="Q730" t="n">
        <v>0</v>
      </c>
      <c r="R730" s="2" t="inlineStr"/>
    </row>
    <row r="731" ht="15" customHeight="1">
      <c r="A731" t="inlineStr">
        <is>
          <t>A 46144-2023</t>
        </is>
      </c>
      <c r="B731" s="1" t="n">
        <v>45196.57247685185</v>
      </c>
      <c r="C731" s="1" t="n">
        <v>46073</v>
      </c>
      <c r="D731" t="inlineStr">
        <is>
          <t>KALMAR LÄN</t>
        </is>
      </c>
      <c r="E731" t="inlineStr">
        <is>
          <t>VIMMERBY</t>
        </is>
      </c>
      <c r="G731" t="n">
        <v>6.5</v>
      </c>
      <c r="H731" t="n">
        <v>0</v>
      </c>
      <c r="I731" t="n">
        <v>0</v>
      </c>
      <c r="J731" t="n">
        <v>0</v>
      </c>
      <c r="K731" t="n">
        <v>0</v>
      </c>
      <c r="L731" t="n">
        <v>0</v>
      </c>
      <c r="M731" t="n">
        <v>0</v>
      </c>
      <c r="N731" t="n">
        <v>0</v>
      </c>
      <c r="O731" t="n">
        <v>0</v>
      </c>
      <c r="P731" t="n">
        <v>0</v>
      </c>
      <c r="Q731" t="n">
        <v>0</v>
      </c>
      <c r="R731" s="2" t="inlineStr"/>
    </row>
    <row r="732" ht="15" customHeight="1">
      <c r="A732" t="inlineStr">
        <is>
          <t>A 54787-2023</t>
        </is>
      </c>
      <c r="B732" s="1" t="n">
        <v>45236</v>
      </c>
      <c r="C732" s="1" t="n">
        <v>46073</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15715-2022</t>
        </is>
      </c>
      <c r="B733" s="1" t="n">
        <v>44663</v>
      </c>
      <c r="C733" s="1" t="n">
        <v>46073</v>
      </c>
      <c r="D733" t="inlineStr">
        <is>
          <t>KALMAR LÄN</t>
        </is>
      </c>
      <c r="E733" t="inlineStr">
        <is>
          <t>VIMMERBY</t>
        </is>
      </c>
      <c r="G733" t="n">
        <v>2.3</v>
      </c>
      <c r="H733" t="n">
        <v>0</v>
      </c>
      <c r="I733" t="n">
        <v>0</v>
      </c>
      <c r="J733" t="n">
        <v>0</v>
      </c>
      <c r="K733" t="n">
        <v>0</v>
      </c>
      <c r="L733" t="n">
        <v>0</v>
      </c>
      <c r="M733" t="n">
        <v>0</v>
      </c>
      <c r="N733" t="n">
        <v>0</v>
      </c>
      <c r="O733" t="n">
        <v>0</v>
      </c>
      <c r="P733" t="n">
        <v>0</v>
      </c>
      <c r="Q733" t="n">
        <v>0</v>
      </c>
      <c r="R733" s="2" t="inlineStr"/>
    </row>
    <row r="734" ht="15" customHeight="1">
      <c r="A734" t="inlineStr">
        <is>
          <t>A 43774-2023</t>
        </is>
      </c>
      <c r="B734" s="1" t="n">
        <v>45187</v>
      </c>
      <c r="C734" s="1" t="n">
        <v>46073</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43705-2023</t>
        </is>
      </c>
      <c r="B735" s="1" t="n">
        <v>45187.42854166667</v>
      </c>
      <c r="C735" s="1" t="n">
        <v>46073</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7932-2025</t>
        </is>
      </c>
      <c r="B736" s="1" t="n">
        <v>45707.3793287037</v>
      </c>
      <c r="C736" s="1" t="n">
        <v>46073</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13532-2025</t>
        </is>
      </c>
      <c r="B737" s="1" t="n">
        <v>45736.50743055555</v>
      </c>
      <c r="C737" s="1" t="n">
        <v>46073</v>
      </c>
      <c r="D737" t="inlineStr">
        <is>
          <t>KALMAR LÄN</t>
        </is>
      </c>
      <c r="E737" t="inlineStr">
        <is>
          <t>VIMMERBY</t>
        </is>
      </c>
      <c r="G737" t="n">
        <v>3.6</v>
      </c>
      <c r="H737" t="n">
        <v>0</v>
      </c>
      <c r="I737" t="n">
        <v>0</v>
      </c>
      <c r="J737" t="n">
        <v>0</v>
      </c>
      <c r="K737" t="n">
        <v>0</v>
      </c>
      <c r="L737" t="n">
        <v>0</v>
      </c>
      <c r="M737" t="n">
        <v>0</v>
      </c>
      <c r="N737" t="n">
        <v>0</v>
      </c>
      <c r="O737" t="n">
        <v>0</v>
      </c>
      <c r="P737" t="n">
        <v>0</v>
      </c>
      <c r="Q737" t="n">
        <v>0</v>
      </c>
      <c r="R737" s="2" t="inlineStr"/>
    </row>
    <row r="738" ht="15" customHeight="1">
      <c r="A738" t="inlineStr">
        <is>
          <t>A 1978-2024</t>
        </is>
      </c>
      <c r="B738" s="1" t="n">
        <v>45308.59001157407</v>
      </c>
      <c r="C738" s="1" t="n">
        <v>46073</v>
      </c>
      <c r="D738" t="inlineStr">
        <is>
          <t>KALMAR LÄN</t>
        </is>
      </c>
      <c r="E738" t="inlineStr">
        <is>
          <t>VIMMERBY</t>
        </is>
      </c>
      <c r="G738" t="n">
        <v>0.9</v>
      </c>
      <c r="H738" t="n">
        <v>0</v>
      </c>
      <c r="I738" t="n">
        <v>0</v>
      </c>
      <c r="J738" t="n">
        <v>0</v>
      </c>
      <c r="K738" t="n">
        <v>0</v>
      </c>
      <c r="L738" t="n">
        <v>0</v>
      </c>
      <c r="M738" t="n">
        <v>0</v>
      </c>
      <c r="N738" t="n">
        <v>0</v>
      </c>
      <c r="O738" t="n">
        <v>0</v>
      </c>
      <c r="P738" t="n">
        <v>0</v>
      </c>
      <c r="Q738" t="n">
        <v>0</v>
      </c>
      <c r="R738" s="2" t="inlineStr"/>
    </row>
    <row r="739" ht="15" customHeight="1">
      <c r="A739" t="inlineStr">
        <is>
          <t>A 6399-2025</t>
        </is>
      </c>
      <c r="B739" s="1" t="n">
        <v>45699.44291666667</v>
      </c>
      <c r="C739" s="1" t="n">
        <v>46073</v>
      </c>
      <c r="D739" t="inlineStr">
        <is>
          <t>KALMAR LÄN</t>
        </is>
      </c>
      <c r="E739" t="inlineStr">
        <is>
          <t>VIMMERBY</t>
        </is>
      </c>
      <c r="G739" t="n">
        <v>3.1</v>
      </c>
      <c r="H739" t="n">
        <v>0</v>
      </c>
      <c r="I739" t="n">
        <v>0</v>
      </c>
      <c r="J739" t="n">
        <v>0</v>
      </c>
      <c r="K739" t="n">
        <v>0</v>
      </c>
      <c r="L739" t="n">
        <v>0</v>
      </c>
      <c r="M739" t="n">
        <v>0</v>
      </c>
      <c r="N739" t="n">
        <v>0</v>
      </c>
      <c r="O739" t="n">
        <v>0</v>
      </c>
      <c r="P739" t="n">
        <v>0</v>
      </c>
      <c r="Q739" t="n">
        <v>0</v>
      </c>
      <c r="R739" s="2" t="inlineStr"/>
    </row>
    <row r="740" ht="15" customHeight="1">
      <c r="A740" t="inlineStr">
        <is>
          <t>A 41311-2023</t>
        </is>
      </c>
      <c r="B740" s="1" t="n">
        <v>45174</v>
      </c>
      <c r="C740" s="1" t="n">
        <v>46073</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10785-2025</t>
        </is>
      </c>
      <c r="B741" s="1" t="n">
        <v>45722.48634259259</v>
      </c>
      <c r="C741" s="1" t="n">
        <v>46073</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18020-2025</t>
        </is>
      </c>
      <c r="B742" s="1" t="n">
        <v>45761.4437962963</v>
      </c>
      <c r="C742" s="1" t="n">
        <v>46073</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585-2024</t>
        </is>
      </c>
      <c r="B743" s="1" t="n">
        <v>45299.62576388889</v>
      </c>
      <c r="C743" s="1" t="n">
        <v>46073</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6802-2025</t>
        </is>
      </c>
      <c r="B744" s="1" t="n">
        <v>45700.68289351852</v>
      </c>
      <c r="C744" s="1" t="n">
        <v>46073</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56020-2024</t>
        </is>
      </c>
      <c r="B745" s="1" t="n">
        <v>45623.9525462963</v>
      </c>
      <c r="C745" s="1" t="n">
        <v>46073</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33842-2022</t>
        </is>
      </c>
      <c r="B746" s="1" t="n">
        <v>44790.49523148148</v>
      </c>
      <c r="C746" s="1" t="n">
        <v>46073</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60675-2023</t>
        </is>
      </c>
      <c r="B747" s="1" t="n">
        <v>45260.4716550926</v>
      </c>
      <c r="C747" s="1" t="n">
        <v>46073</v>
      </c>
      <c r="D747" t="inlineStr">
        <is>
          <t>KALMAR LÄN</t>
        </is>
      </c>
      <c r="E747" t="inlineStr">
        <is>
          <t>VIMMERBY</t>
        </is>
      </c>
      <c r="G747" t="n">
        <v>1.2</v>
      </c>
      <c r="H747" t="n">
        <v>0</v>
      </c>
      <c r="I747" t="n">
        <v>0</v>
      </c>
      <c r="J747" t="n">
        <v>0</v>
      </c>
      <c r="K747" t="n">
        <v>0</v>
      </c>
      <c r="L747" t="n">
        <v>0</v>
      </c>
      <c r="M747" t="n">
        <v>0</v>
      </c>
      <c r="N747" t="n">
        <v>0</v>
      </c>
      <c r="O747" t="n">
        <v>0</v>
      </c>
      <c r="P747" t="n">
        <v>0</v>
      </c>
      <c r="Q747" t="n">
        <v>0</v>
      </c>
      <c r="R747" s="2" t="inlineStr"/>
    </row>
    <row r="748" ht="15" customHeight="1">
      <c r="A748" t="inlineStr">
        <is>
          <t>A 40095-2022</t>
        </is>
      </c>
      <c r="B748" s="1" t="n">
        <v>44820</v>
      </c>
      <c r="C748" s="1" t="n">
        <v>46073</v>
      </c>
      <c r="D748" t="inlineStr">
        <is>
          <t>KALMAR LÄN</t>
        </is>
      </c>
      <c r="E748" t="inlineStr">
        <is>
          <t>VIMMERBY</t>
        </is>
      </c>
      <c r="G748" t="n">
        <v>2.4</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44693.62822916666</v>
      </c>
      <c r="C749" s="1" t="n">
        <v>46073</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57311-2023</t>
        </is>
      </c>
      <c r="B750" s="1" t="n">
        <v>45245.63574074074</v>
      </c>
      <c r="C750" s="1" t="n">
        <v>46073</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64428-2023</t>
        </is>
      </c>
      <c r="B751" s="1" t="n">
        <v>45280.66769675926</v>
      </c>
      <c r="C751" s="1" t="n">
        <v>46073</v>
      </c>
      <c r="D751" t="inlineStr">
        <is>
          <t>KALMAR LÄN</t>
        </is>
      </c>
      <c r="E751" t="inlineStr">
        <is>
          <t>VIMMERBY</t>
        </is>
      </c>
      <c r="G751" t="n">
        <v>1.2</v>
      </c>
      <c r="H751" t="n">
        <v>0</v>
      </c>
      <c r="I751" t="n">
        <v>0</v>
      </c>
      <c r="J751" t="n">
        <v>0</v>
      </c>
      <c r="K751" t="n">
        <v>0</v>
      </c>
      <c r="L751" t="n">
        <v>0</v>
      </c>
      <c r="M751" t="n">
        <v>0</v>
      </c>
      <c r="N751" t="n">
        <v>0</v>
      </c>
      <c r="O751" t="n">
        <v>0</v>
      </c>
      <c r="P751" t="n">
        <v>0</v>
      </c>
      <c r="Q751" t="n">
        <v>0</v>
      </c>
      <c r="R751" s="2" t="inlineStr"/>
    </row>
    <row r="752" ht="15" customHeight="1">
      <c r="A752" t="inlineStr">
        <is>
          <t>A 4527-2023</t>
        </is>
      </c>
      <c r="B752" s="1" t="n">
        <v>44956</v>
      </c>
      <c r="C752" s="1" t="n">
        <v>46073</v>
      </c>
      <c r="D752" t="inlineStr">
        <is>
          <t>KALMAR LÄN</t>
        </is>
      </c>
      <c r="E752" t="inlineStr">
        <is>
          <t>VIMMERBY</t>
        </is>
      </c>
      <c r="F752" t="inlineStr">
        <is>
          <t>Kommuner</t>
        </is>
      </c>
      <c r="G752" t="n">
        <v>8.5</v>
      </c>
      <c r="H752" t="n">
        <v>0</v>
      </c>
      <c r="I752" t="n">
        <v>0</v>
      </c>
      <c r="J752" t="n">
        <v>0</v>
      </c>
      <c r="K752" t="n">
        <v>0</v>
      </c>
      <c r="L752" t="n">
        <v>0</v>
      </c>
      <c r="M752" t="n">
        <v>0</v>
      </c>
      <c r="N752" t="n">
        <v>0</v>
      </c>
      <c r="O752" t="n">
        <v>0</v>
      </c>
      <c r="P752" t="n">
        <v>0</v>
      </c>
      <c r="Q752" t="n">
        <v>0</v>
      </c>
      <c r="R752" s="2" t="inlineStr"/>
    </row>
    <row r="753" ht="15" customHeight="1">
      <c r="A753" t="inlineStr">
        <is>
          <t>A 3268-2024</t>
        </is>
      </c>
      <c r="B753" s="1" t="n">
        <v>45317</v>
      </c>
      <c r="C753" s="1" t="n">
        <v>46073</v>
      </c>
      <c r="D753" t="inlineStr">
        <is>
          <t>KALMAR LÄN</t>
        </is>
      </c>
      <c r="E753" t="inlineStr">
        <is>
          <t>VIMMERBY</t>
        </is>
      </c>
      <c r="F753" t="inlineStr">
        <is>
          <t>Övriga Aktiebolag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51408-2023</t>
        </is>
      </c>
      <c r="B754" s="1" t="n">
        <v>45219.69356481481</v>
      </c>
      <c r="C754" s="1" t="n">
        <v>46073</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12480-2024</t>
        </is>
      </c>
      <c r="B755" s="1" t="n">
        <v>45379</v>
      </c>
      <c r="C755" s="1" t="n">
        <v>46073</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52588-2023</t>
        </is>
      </c>
      <c r="B756" s="1" t="n">
        <v>45225.60192129629</v>
      </c>
      <c r="C756" s="1" t="n">
        <v>46073</v>
      </c>
      <c r="D756" t="inlineStr">
        <is>
          <t>KALMAR LÄN</t>
        </is>
      </c>
      <c r="E756" t="inlineStr">
        <is>
          <t>VIMMERBY</t>
        </is>
      </c>
      <c r="G756" t="n">
        <v>2.9</v>
      </c>
      <c r="H756" t="n">
        <v>0</v>
      </c>
      <c r="I756" t="n">
        <v>0</v>
      </c>
      <c r="J756" t="n">
        <v>0</v>
      </c>
      <c r="K756" t="n">
        <v>0</v>
      </c>
      <c r="L756" t="n">
        <v>0</v>
      </c>
      <c r="M756" t="n">
        <v>0</v>
      </c>
      <c r="N756" t="n">
        <v>0</v>
      </c>
      <c r="O756" t="n">
        <v>0</v>
      </c>
      <c r="P756" t="n">
        <v>0</v>
      </c>
      <c r="Q756" t="n">
        <v>0</v>
      </c>
      <c r="R756" s="2" t="inlineStr"/>
    </row>
    <row r="757" ht="15" customHeight="1">
      <c r="A757" t="inlineStr">
        <is>
          <t>A 55236-2023</t>
        </is>
      </c>
      <c r="B757" s="1" t="n">
        <v>45237.63225694445</v>
      </c>
      <c r="C757" s="1" t="n">
        <v>46073</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55245-2023</t>
        </is>
      </c>
      <c r="B758" s="1" t="n">
        <v>45237.64408564815</v>
      </c>
      <c r="C758" s="1" t="n">
        <v>46073</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19111-2025</t>
        </is>
      </c>
      <c r="B759" s="1" t="n">
        <v>45768.65611111111</v>
      </c>
      <c r="C759" s="1" t="n">
        <v>46073</v>
      </c>
      <c r="D759" t="inlineStr">
        <is>
          <t>KALMAR LÄN</t>
        </is>
      </c>
      <c r="E759" t="inlineStr">
        <is>
          <t>VIMMERBY</t>
        </is>
      </c>
      <c r="G759" t="n">
        <v>6.2</v>
      </c>
      <c r="H759" t="n">
        <v>0</v>
      </c>
      <c r="I759" t="n">
        <v>0</v>
      </c>
      <c r="J759" t="n">
        <v>0</v>
      </c>
      <c r="K759" t="n">
        <v>0</v>
      </c>
      <c r="L759" t="n">
        <v>0</v>
      </c>
      <c r="M759" t="n">
        <v>0</v>
      </c>
      <c r="N759" t="n">
        <v>0</v>
      </c>
      <c r="O759" t="n">
        <v>0</v>
      </c>
      <c r="P759" t="n">
        <v>0</v>
      </c>
      <c r="Q759" t="n">
        <v>0</v>
      </c>
      <c r="R759" s="2" t="inlineStr"/>
    </row>
    <row r="760" ht="15" customHeight="1">
      <c r="A760" t="inlineStr">
        <is>
          <t>A 25370-2022</t>
        </is>
      </c>
      <c r="B760" s="1" t="n">
        <v>44732.3659837963</v>
      </c>
      <c r="C760" s="1" t="n">
        <v>46073</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33838-2022</t>
        </is>
      </c>
      <c r="B761" s="1" t="n">
        <v>44790.49040509259</v>
      </c>
      <c r="C761" s="1" t="n">
        <v>46073</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4058-2024</t>
        </is>
      </c>
      <c r="B762" s="1" t="n">
        <v>45323.53744212963</v>
      </c>
      <c r="C762" s="1" t="n">
        <v>46073</v>
      </c>
      <c r="D762" t="inlineStr">
        <is>
          <t>KALMAR LÄN</t>
        </is>
      </c>
      <c r="E762" t="inlineStr">
        <is>
          <t>VIMMERBY</t>
        </is>
      </c>
      <c r="G762" t="n">
        <v>6.5</v>
      </c>
      <c r="H762" t="n">
        <v>0</v>
      </c>
      <c r="I762" t="n">
        <v>0</v>
      </c>
      <c r="J762" t="n">
        <v>0</v>
      </c>
      <c r="K762" t="n">
        <v>0</v>
      </c>
      <c r="L762" t="n">
        <v>0</v>
      </c>
      <c r="M762" t="n">
        <v>0</v>
      </c>
      <c r="N762" t="n">
        <v>0</v>
      </c>
      <c r="O762" t="n">
        <v>0</v>
      </c>
      <c r="P762" t="n">
        <v>0</v>
      </c>
      <c r="Q762" t="n">
        <v>0</v>
      </c>
      <c r="R762" s="2" t="inlineStr"/>
    </row>
    <row r="763" ht="15" customHeight="1">
      <c r="A763" t="inlineStr">
        <is>
          <t>A 36008-2024</t>
        </is>
      </c>
      <c r="B763" s="1" t="n">
        <v>45533.55362268518</v>
      </c>
      <c r="C763" s="1" t="n">
        <v>46073</v>
      </c>
      <c r="D763" t="inlineStr">
        <is>
          <t>KALMAR LÄN</t>
        </is>
      </c>
      <c r="E763" t="inlineStr">
        <is>
          <t>VIMMERBY</t>
        </is>
      </c>
      <c r="G763" t="n">
        <v>3.7</v>
      </c>
      <c r="H763" t="n">
        <v>0</v>
      </c>
      <c r="I763" t="n">
        <v>0</v>
      </c>
      <c r="J763" t="n">
        <v>0</v>
      </c>
      <c r="K763" t="n">
        <v>0</v>
      </c>
      <c r="L763" t="n">
        <v>0</v>
      </c>
      <c r="M763" t="n">
        <v>0</v>
      </c>
      <c r="N763" t="n">
        <v>0</v>
      </c>
      <c r="O763" t="n">
        <v>0</v>
      </c>
      <c r="P763" t="n">
        <v>0</v>
      </c>
      <c r="Q763" t="n">
        <v>0</v>
      </c>
      <c r="R763" s="2" t="inlineStr"/>
    </row>
    <row r="764" ht="15" customHeight="1">
      <c r="A764" t="inlineStr">
        <is>
          <t>A 18669-2025</t>
        </is>
      </c>
      <c r="B764" s="1" t="n">
        <v>45763.59436342592</v>
      </c>
      <c r="C764" s="1" t="n">
        <v>46073</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8540-2024</t>
        </is>
      </c>
      <c r="B765" s="1" t="n">
        <v>45355.54138888889</v>
      </c>
      <c r="C765" s="1" t="n">
        <v>46073</v>
      </c>
      <c r="D765" t="inlineStr">
        <is>
          <t>KALMAR LÄN</t>
        </is>
      </c>
      <c r="E765" t="inlineStr">
        <is>
          <t>VIMMERBY</t>
        </is>
      </c>
      <c r="G765" t="n">
        <v>1.9</v>
      </c>
      <c r="H765" t="n">
        <v>0</v>
      </c>
      <c r="I765" t="n">
        <v>0</v>
      </c>
      <c r="J765" t="n">
        <v>0</v>
      </c>
      <c r="K765" t="n">
        <v>0</v>
      </c>
      <c r="L765" t="n">
        <v>0</v>
      </c>
      <c r="M765" t="n">
        <v>0</v>
      </c>
      <c r="N765" t="n">
        <v>0</v>
      </c>
      <c r="O765" t="n">
        <v>0</v>
      </c>
      <c r="P765" t="n">
        <v>0</v>
      </c>
      <c r="Q765" t="n">
        <v>0</v>
      </c>
      <c r="R765" s="2" t="inlineStr"/>
    </row>
    <row r="766" ht="15" customHeight="1">
      <c r="A766" t="inlineStr">
        <is>
          <t>A 9623-2024</t>
        </is>
      </c>
      <c r="B766" s="1" t="n">
        <v>45361.87975694444</v>
      </c>
      <c r="C766" s="1" t="n">
        <v>46073</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5146-2024</t>
        </is>
      </c>
      <c r="B767" s="1" t="n">
        <v>45330</v>
      </c>
      <c r="C767" s="1" t="n">
        <v>46073</v>
      </c>
      <c r="D767" t="inlineStr">
        <is>
          <t>KALMAR LÄN</t>
        </is>
      </c>
      <c r="E767" t="inlineStr">
        <is>
          <t>VIMMERBY</t>
        </is>
      </c>
      <c r="G767" t="n">
        <v>5.3</v>
      </c>
      <c r="H767" t="n">
        <v>0</v>
      </c>
      <c r="I767" t="n">
        <v>0</v>
      </c>
      <c r="J767" t="n">
        <v>0</v>
      </c>
      <c r="K767" t="n">
        <v>0</v>
      </c>
      <c r="L767" t="n">
        <v>0</v>
      </c>
      <c r="M767" t="n">
        <v>0</v>
      </c>
      <c r="N767" t="n">
        <v>0</v>
      </c>
      <c r="O767" t="n">
        <v>0</v>
      </c>
      <c r="P767" t="n">
        <v>0</v>
      </c>
      <c r="Q767" t="n">
        <v>0</v>
      </c>
      <c r="R767" s="2" t="inlineStr"/>
    </row>
    <row r="768" ht="15" customHeight="1">
      <c r="A768" t="inlineStr">
        <is>
          <t>A 5148-2024</t>
        </is>
      </c>
      <c r="B768" s="1" t="n">
        <v>45330</v>
      </c>
      <c r="C768" s="1" t="n">
        <v>46073</v>
      </c>
      <c r="D768" t="inlineStr">
        <is>
          <t>KALMAR LÄN</t>
        </is>
      </c>
      <c r="E768" t="inlineStr">
        <is>
          <t>VIMMERBY</t>
        </is>
      </c>
      <c r="G768" t="n">
        <v>5.6</v>
      </c>
      <c r="H768" t="n">
        <v>0</v>
      </c>
      <c r="I768" t="n">
        <v>0</v>
      </c>
      <c r="J768" t="n">
        <v>0</v>
      </c>
      <c r="K768" t="n">
        <v>0</v>
      </c>
      <c r="L768" t="n">
        <v>0</v>
      </c>
      <c r="M768" t="n">
        <v>0</v>
      </c>
      <c r="N768" t="n">
        <v>0</v>
      </c>
      <c r="O768" t="n">
        <v>0</v>
      </c>
      <c r="P768" t="n">
        <v>0</v>
      </c>
      <c r="Q768" t="n">
        <v>0</v>
      </c>
      <c r="R768" s="2" t="inlineStr"/>
    </row>
    <row r="769" ht="15" customHeight="1">
      <c r="A769" t="inlineStr">
        <is>
          <t>A 44179-2022</t>
        </is>
      </c>
      <c r="B769" s="1" t="n">
        <v>44839.4528125</v>
      </c>
      <c r="C769" s="1" t="n">
        <v>46073</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50648-2023</t>
        </is>
      </c>
      <c r="B770" s="1" t="n">
        <v>45217.47834490741</v>
      </c>
      <c r="C770" s="1" t="n">
        <v>46073</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2121-2022</t>
        </is>
      </c>
      <c r="B771" s="1" t="n">
        <v>44578.32717592592</v>
      </c>
      <c r="C771" s="1" t="n">
        <v>46073</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57799-2022</t>
        </is>
      </c>
      <c r="B772" s="1" t="n">
        <v>44897</v>
      </c>
      <c r="C772" s="1" t="n">
        <v>46073</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15394-2025</t>
        </is>
      </c>
      <c r="B773" s="1" t="n">
        <v>45747.43196759259</v>
      </c>
      <c r="C773" s="1" t="n">
        <v>46073</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26318-2023</t>
        </is>
      </c>
      <c r="B774" s="1" t="n">
        <v>45091.67936342592</v>
      </c>
      <c r="C774" s="1" t="n">
        <v>46073</v>
      </c>
      <c r="D774" t="inlineStr">
        <is>
          <t>KALMAR LÄN</t>
        </is>
      </c>
      <c r="E774" t="inlineStr">
        <is>
          <t>VIMMERBY</t>
        </is>
      </c>
      <c r="G774" t="n">
        <v>3.8</v>
      </c>
      <c r="H774" t="n">
        <v>0</v>
      </c>
      <c r="I774" t="n">
        <v>0</v>
      </c>
      <c r="J774" t="n">
        <v>0</v>
      </c>
      <c r="K774" t="n">
        <v>0</v>
      </c>
      <c r="L774" t="n">
        <v>0</v>
      </c>
      <c r="M774" t="n">
        <v>0</v>
      </c>
      <c r="N774" t="n">
        <v>0</v>
      </c>
      <c r="O774" t="n">
        <v>0</v>
      </c>
      <c r="P774" t="n">
        <v>0</v>
      </c>
      <c r="Q774" t="n">
        <v>0</v>
      </c>
      <c r="R774" s="2" t="inlineStr"/>
    </row>
    <row r="775" ht="15" customHeight="1">
      <c r="A775" t="inlineStr">
        <is>
          <t>A 60437-2023</t>
        </is>
      </c>
      <c r="B775" s="1" t="n">
        <v>45259.51916666667</v>
      </c>
      <c r="C775" s="1" t="n">
        <v>46073</v>
      </c>
      <c r="D775" t="inlineStr">
        <is>
          <t>KALMAR LÄN</t>
        </is>
      </c>
      <c r="E775" t="inlineStr">
        <is>
          <t>VIMMERBY</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60438-2023</t>
        </is>
      </c>
      <c r="B776" s="1" t="n">
        <v>45259.52020833334</v>
      </c>
      <c r="C776" s="1" t="n">
        <v>46073</v>
      </c>
      <c r="D776" t="inlineStr">
        <is>
          <t>KALMAR LÄN</t>
        </is>
      </c>
      <c r="E776" t="inlineStr">
        <is>
          <t>VIMMERBY</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7758-2024</t>
        </is>
      </c>
      <c r="B777" s="1" t="n">
        <v>45349.54434027777</v>
      </c>
      <c r="C777" s="1" t="n">
        <v>46073</v>
      </c>
      <c r="D777" t="inlineStr">
        <is>
          <t>KALMAR LÄN</t>
        </is>
      </c>
      <c r="E777" t="inlineStr">
        <is>
          <t>VIMMERBY</t>
        </is>
      </c>
      <c r="G777" t="n">
        <v>3.5</v>
      </c>
      <c r="H777" t="n">
        <v>0</v>
      </c>
      <c r="I777" t="n">
        <v>0</v>
      </c>
      <c r="J777" t="n">
        <v>0</v>
      </c>
      <c r="K777" t="n">
        <v>0</v>
      </c>
      <c r="L777" t="n">
        <v>0</v>
      </c>
      <c r="M777" t="n">
        <v>0</v>
      </c>
      <c r="N777" t="n">
        <v>0</v>
      </c>
      <c r="O777" t="n">
        <v>0</v>
      </c>
      <c r="P777" t="n">
        <v>0</v>
      </c>
      <c r="Q777" t="n">
        <v>0</v>
      </c>
      <c r="R777" s="2" t="inlineStr"/>
    </row>
    <row r="778" ht="15" customHeight="1">
      <c r="A778" t="inlineStr">
        <is>
          <t>A 7456-2024</t>
        </is>
      </c>
      <c r="B778" s="1" t="n">
        <v>45345.83557870371</v>
      </c>
      <c r="C778" s="1" t="n">
        <v>46073</v>
      </c>
      <c r="D778" t="inlineStr">
        <is>
          <t>KALMAR LÄN</t>
        </is>
      </c>
      <c r="E778" t="inlineStr">
        <is>
          <t>VIMMERBY</t>
        </is>
      </c>
      <c r="G778" t="n">
        <v>4.1</v>
      </c>
      <c r="H778" t="n">
        <v>0</v>
      </c>
      <c r="I778" t="n">
        <v>0</v>
      </c>
      <c r="J778" t="n">
        <v>0</v>
      </c>
      <c r="K778" t="n">
        <v>0</v>
      </c>
      <c r="L778" t="n">
        <v>0</v>
      </c>
      <c r="M778" t="n">
        <v>0</v>
      </c>
      <c r="N778" t="n">
        <v>0</v>
      </c>
      <c r="O778" t="n">
        <v>0</v>
      </c>
      <c r="P778" t="n">
        <v>0</v>
      </c>
      <c r="Q778" t="n">
        <v>0</v>
      </c>
      <c r="R778" s="2" t="inlineStr"/>
    </row>
    <row r="779" ht="15" customHeight="1">
      <c r="A779" t="inlineStr">
        <is>
          <t>A 6082-2022</t>
        </is>
      </c>
      <c r="B779" s="1" t="n">
        <v>44599</v>
      </c>
      <c r="C779" s="1" t="n">
        <v>46073</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46979-2023</t>
        </is>
      </c>
      <c r="B780" s="1" t="n">
        <v>45201</v>
      </c>
      <c r="C780" s="1" t="n">
        <v>46073</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2596-2025</t>
        </is>
      </c>
      <c r="B781" s="1" t="n">
        <v>45674.71810185185</v>
      </c>
      <c r="C781" s="1" t="n">
        <v>46073</v>
      </c>
      <c r="D781" t="inlineStr">
        <is>
          <t>KALMAR LÄN</t>
        </is>
      </c>
      <c r="E781" t="inlineStr">
        <is>
          <t>VIMMERBY</t>
        </is>
      </c>
      <c r="G781" t="n">
        <v>9</v>
      </c>
      <c r="H781" t="n">
        <v>0</v>
      </c>
      <c r="I781" t="n">
        <v>0</v>
      </c>
      <c r="J781" t="n">
        <v>0</v>
      </c>
      <c r="K781" t="n">
        <v>0</v>
      </c>
      <c r="L781" t="n">
        <v>0</v>
      </c>
      <c r="M781" t="n">
        <v>0</v>
      </c>
      <c r="N781" t="n">
        <v>0</v>
      </c>
      <c r="O781" t="n">
        <v>0</v>
      </c>
      <c r="P781" t="n">
        <v>0</v>
      </c>
      <c r="Q781" t="n">
        <v>0</v>
      </c>
      <c r="R781" s="2" t="inlineStr"/>
    </row>
    <row r="782" ht="15" customHeight="1">
      <c r="A782" t="inlineStr">
        <is>
          <t>A 47855-2024</t>
        </is>
      </c>
      <c r="B782" s="1" t="n">
        <v>45588.66457175926</v>
      </c>
      <c r="C782" s="1" t="n">
        <v>46073</v>
      </c>
      <c r="D782" t="inlineStr">
        <is>
          <t>KALMAR LÄN</t>
        </is>
      </c>
      <c r="E782" t="inlineStr">
        <is>
          <t>VIMMERBY</t>
        </is>
      </c>
      <c r="G782" t="n">
        <v>0.8</v>
      </c>
      <c r="H782" t="n">
        <v>0</v>
      </c>
      <c r="I782" t="n">
        <v>0</v>
      </c>
      <c r="J782" t="n">
        <v>0</v>
      </c>
      <c r="K782" t="n">
        <v>0</v>
      </c>
      <c r="L782" t="n">
        <v>0</v>
      </c>
      <c r="M782" t="n">
        <v>0</v>
      </c>
      <c r="N782" t="n">
        <v>0</v>
      </c>
      <c r="O782" t="n">
        <v>0</v>
      </c>
      <c r="P782" t="n">
        <v>0</v>
      </c>
      <c r="Q782" t="n">
        <v>0</v>
      </c>
      <c r="R782" s="2" t="inlineStr"/>
    </row>
    <row r="783" ht="15" customHeight="1">
      <c r="A783" t="inlineStr">
        <is>
          <t>A 63583-2023</t>
        </is>
      </c>
      <c r="B783" s="1" t="n">
        <v>45275.41833333333</v>
      </c>
      <c r="C783" s="1" t="n">
        <v>46073</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60228-2021</t>
        </is>
      </c>
      <c r="B784" s="1" t="n">
        <v>44495</v>
      </c>
      <c r="C784" s="1" t="n">
        <v>46073</v>
      </c>
      <c r="D784" t="inlineStr">
        <is>
          <t>KALMAR LÄN</t>
        </is>
      </c>
      <c r="E784" t="inlineStr">
        <is>
          <t>VIMMERBY</t>
        </is>
      </c>
      <c r="G784" t="n">
        <v>4.1</v>
      </c>
      <c r="H784" t="n">
        <v>0</v>
      </c>
      <c r="I784" t="n">
        <v>0</v>
      </c>
      <c r="J784" t="n">
        <v>0</v>
      </c>
      <c r="K784" t="n">
        <v>0</v>
      </c>
      <c r="L784" t="n">
        <v>0</v>
      </c>
      <c r="M784" t="n">
        <v>0</v>
      </c>
      <c r="N784" t="n">
        <v>0</v>
      </c>
      <c r="O784" t="n">
        <v>0</v>
      </c>
      <c r="P784" t="n">
        <v>0</v>
      </c>
      <c r="Q784" t="n">
        <v>0</v>
      </c>
      <c r="R784" s="2" t="inlineStr"/>
    </row>
    <row r="785" ht="15" customHeight="1">
      <c r="A785" t="inlineStr">
        <is>
          <t>A 46522-2022</t>
        </is>
      </c>
      <c r="B785" s="1" t="n">
        <v>44848.59133101852</v>
      </c>
      <c r="C785" s="1" t="n">
        <v>46073</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21109-2024</t>
        </is>
      </c>
      <c r="B786" s="1" t="n">
        <v>45440.28329861111</v>
      </c>
      <c r="C786" s="1" t="n">
        <v>46073</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33815-2022</t>
        </is>
      </c>
      <c r="B787" s="1" t="n">
        <v>44790.45876157407</v>
      </c>
      <c r="C787" s="1" t="n">
        <v>46073</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49461-2022</t>
        </is>
      </c>
      <c r="B788" s="1" t="n">
        <v>44861</v>
      </c>
      <c r="C788" s="1" t="n">
        <v>46073</v>
      </c>
      <c r="D788" t="inlineStr">
        <is>
          <t>KALMAR LÄN</t>
        </is>
      </c>
      <c r="E788" t="inlineStr">
        <is>
          <t>VIMMERBY</t>
        </is>
      </c>
      <c r="G788" t="n">
        <v>3.2</v>
      </c>
      <c r="H788" t="n">
        <v>0</v>
      </c>
      <c r="I788" t="n">
        <v>0</v>
      </c>
      <c r="J788" t="n">
        <v>0</v>
      </c>
      <c r="K788" t="n">
        <v>0</v>
      </c>
      <c r="L788" t="n">
        <v>0</v>
      </c>
      <c r="M788" t="n">
        <v>0</v>
      </c>
      <c r="N788" t="n">
        <v>0</v>
      </c>
      <c r="O788" t="n">
        <v>0</v>
      </c>
      <c r="P788" t="n">
        <v>0</v>
      </c>
      <c r="Q788" t="n">
        <v>0</v>
      </c>
      <c r="R788" s="2" t="inlineStr"/>
    </row>
    <row r="789" ht="15" customHeight="1">
      <c r="A789" t="inlineStr">
        <is>
          <t>A 53542-2022</t>
        </is>
      </c>
      <c r="B789" s="1" t="n">
        <v>44879.62173611111</v>
      </c>
      <c r="C789" s="1" t="n">
        <v>46073</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35713-2023</t>
        </is>
      </c>
      <c r="B790" s="1" t="n">
        <v>45147</v>
      </c>
      <c r="C790" s="1" t="n">
        <v>46073</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10424-2023</t>
        </is>
      </c>
      <c r="B791" s="1" t="n">
        <v>44987.54104166666</v>
      </c>
      <c r="C791" s="1" t="n">
        <v>46073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33340-2023</t>
        </is>
      </c>
      <c r="B792" s="1" t="n">
        <v>45128.37305555555</v>
      </c>
      <c r="C792" s="1" t="n">
        <v>46073</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29017-2024</t>
        </is>
      </c>
      <c r="B793" s="1" t="n">
        <v>45481.56722222222</v>
      </c>
      <c r="C793" s="1" t="n">
        <v>46073</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58046-2022</t>
        </is>
      </c>
      <c r="B794" s="1" t="n">
        <v>44900.57393518519</v>
      </c>
      <c r="C794" s="1" t="n">
        <v>46073</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14548-2024</t>
        </is>
      </c>
      <c r="B795" s="1" t="n">
        <v>45394.66887731481</v>
      </c>
      <c r="C795" s="1" t="n">
        <v>46073</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48120-2022</t>
        </is>
      </c>
      <c r="B796" s="1" t="n">
        <v>44857.65989583333</v>
      </c>
      <c r="C796" s="1" t="n">
        <v>46073</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3423-2022</t>
        </is>
      </c>
      <c r="B797" s="1" t="n">
        <v>44585.50431712963</v>
      </c>
      <c r="C797" s="1" t="n">
        <v>46073</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11074-2023</t>
        </is>
      </c>
      <c r="B798" s="1" t="n">
        <v>44992.34151620371</v>
      </c>
      <c r="C798" s="1" t="n">
        <v>46073</v>
      </c>
      <c r="D798" t="inlineStr">
        <is>
          <t>KALMAR LÄN</t>
        </is>
      </c>
      <c r="E798" t="inlineStr">
        <is>
          <t>VIMMERBY</t>
        </is>
      </c>
      <c r="F798" t="inlineStr">
        <is>
          <t>Sveaskog</t>
        </is>
      </c>
      <c r="G798" t="n">
        <v>3.1</v>
      </c>
      <c r="H798" t="n">
        <v>0</v>
      </c>
      <c r="I798" t="n">
        <v>0</v>
      </c>
      <c r="J798" t="n">
        <v>0</v>
      </c>
      <c r="K798" t="n">
        <v>0</v>
      </c>
      <c r="L798" t="n">
        <v>0</v>
      </c>
      <c r="M798" t="n">
        <v>0</v>
      </c>
      <c r="N798" t="n">
        <v>0</v>
      </c>
      <c r="O798" t="n">
        <v>0</v>
      </c>
      <c r="P798" t="n">
        <v>0</v>
      </c>
      <c r="Q798" t="n">
        <v>0</v>
      </c>
      <c r="R798" s="2" t="inlineStr"/>
    </row>
    <row r="799" ht="15" customHeight="1">
      <c r="A799" t="inlineStr">
        <is>
          <t>A 71631-2021</t>
        </is>
      </c>
      <c r="B799" s="1" t="n">
        <v>44542.90072916666</v>
      </c>
      <c r="C799" s="1" t="n">
        <v>46073</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49039-2021</t>
        </is>
      </c>
      <c r="B800" s="1" t="n">
        <v>44453.56578703703</v>
      </c>
      <c r="C800" s="1" t="n">
        <v>46073</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42918-2021</t>
        </is>
      </c>
      <c r="B801" s="1" t="n">
        <v>44431</v>
      </c>
      <c r="C801" s="1" t="n">
        <v>46073</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529-2022</t>
        </is>
      </c>
      <c r="B802" s="1" t="n">
        <v>44566</v>
      </c>
      <c r="C802" s="1" t="n">
        <v>46073</v>
      </c>
      <c r="D802" t="inlineStr">
        <is>
          <t>KALMAR LÄN</t>
        </is>
      </c>
      <c r="E802" t="inlineStr">
        <is>
          <t>VIMMERBY</t>
        </is>
      </c>
      <c r="G802" t="n">
        <v>1.5</v>
      </c>
      <c r="H802" t="n">
        <v>0</v>
      </c>
      <c r="I802" t="n">
        <v>0</v>
      </c>
      <c r="J802" t="n">
        <v>0</v>
      </c>
      <c r="K802" t="n">
        <v>0</v>
      </c>
      <c r="L802" t="n">
        <v>0</v>
      </c>
      <c r="M802" t="n">
        <v>0</v>
      </c>
      <c r="N802" t="n">
        <v>0</v>
      </c>
      <c r="O802" t="n">
        <v>0</v>
      </c>
      <c r="P802" t="n">
        <v>0</v>
      </c>
      <c r="Q802" t="n">
        <v>0</v>
      </c>
      <c r="R802" s="2" t="inlineStr"/>
    </row>
    <row r="803" ht="15" customHeight="1">
      <c r="A803" t="inlineStr">
        <is>
          <t>A 14855-2025</t>
        </is>
      </c>
      <c r="B803" s="1" t="n">
        <v>45743.41148148148</v>
      </c>
      <c r="C803" s="1" t="n">
        <v>46073</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60951-2023</t>
        </is>
      </c>
      <c r="B804" s="1" t="n">
        <v>45261.44914351852</v>
      </c>
      <c r="C804" s="1" t="n">
        <v>46073</v>
      </c>
      <c r="D804" t="inlineStr">
        <is>
          <t>KALMAR LÄN</t>
        </is>
      </c>
      <c r="E804" t="inlineStr">
        <is>
          <t>VIMMERBY</t>
        </is>
      </c>
      <c r="G804" t="n">
        <v>4.3</v>
      </c>
      <c r="H804" t="n">
        <v>0</v>
      </c>
      <c r="I804" t="n">
        <v>0</v>
      </c>
      <c r="J804" t="n">
        <v>0</v>
      </c>
      <c r="K804" t="n">
        <v>0</v>
      </c>
      <c r="L804" t="n">
        <v>0</v>
      </c>
      <c r="M804" t="n">
        <v>0</v>
      </c>
      <c r="N804" t="n">
        <v>0</v>
      </c>
      <c r="O804" t="n">
        <v>0</v>
      </c>
      <c r="P804" t="n">
        <v>0</v>
      </c>
      <c r="Q804" t="n">
        <v>0</v>
      </c>
      <c r="R804" s="2" t="inlineStr"/>
    </row>
    <row r="805" ht="15" customHeight="1">
      <c r="A805" t="inlineStr">
        <is>
          <t>A 19162-2023</t>
        </is>
      </c>
      <c r="B805" s="1" t="n">
        <v>45048.59699074074</v>
      </c>
      <c r="C805" s="1" t="n">
        <v>46073</v>
      </c>
      <c r="D805" t="inlineStr">
        <is>
          <t>KALMAR LÄN</t>
        </is>
      </c>
      <c r="E805" t="inlineStr">
        <is>
          <t>VIMMERBY</t>
        </is>
      </c>
      <c r="G805" t="n">
        <v>0.6</v>
      </c>
      <c r="H805" t="n">
        <v>0</v>
      </c>
      <c r="I805" t="n">
        <v>0</v>
      </c>
      <c r="J805" t="n">
        <v>0</v>
      </c>
      <c r="K805" t="n">
        <v>0</v>
      </c>
      <c r="L805" t="n">
        <v>0</v>
      </c>
      <c r="M805" t="n">
        <v>0</v>
      </c>
      <c r="N805" t="n">
        <v>0</v>
      </c>
      <c r="O805" t="n">
        <v>0</v>
      </c>
      <c r="P805" t="n">
        <v>0</v>
      </c>
      <c r="Q805" t="n">
        <v>0</v>
      </c>
      <c r="R805" s="2" t="inlineStr"/>
    </row>
    <row r="806" ht="15" customHeight="1">
      <c r="A806" t="inlineStr">
        <is>
          <t>A 31209-2024</t>
        </is>
      </c>
      <c r="B806" s="1" t="n">
        <v>45503.5658912037</v>
      </c>
      <c r="C806" s="1" t="n">
        <v>46073</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5864-2022</t>
        </is>
      </c>
      <c r="B807" s="1" t="n">
        <v>44596</v>
      </c>
      <c r="C807" s="1" t="n">
        <v>46073</v>
      </c>
      <c r="D807" t="inlineStr">
        <is>
          <t>KALMAR LÄN</t>
        </is>
      </c>
      <c r="E807" t="inlineStr">
        <is>
          <t>VIMMERBY</t>
        </is>
      </c>
      <c r="G807" t="n">
        <v>0.7</v>
      </c>
      <c r="H807" t="n">
        <v>0</v>
      </c>
      <c r="I807" t="n">
        <v>0</v>
      </c>
      <c r="J807" t="n">
        <v>0</v>
      </c>
      <c r="K807" t="n">
        <v>0</v>
      </c>
      <c r="L807" t="n">
        <v>0</v>
      </c>
      <c r="M807" t="n">
        <v>0</v>
      </c>
      <c r="N807" t="n">
        <v>0</v>
      </c>
      <c r="O807" t="n">
        <v>0</v>
      </c>
      <c r="P807" t="n">
        <v>0</v>
      </c>
      <c r="Q807" t="n">
        <v>0</v>
      </c>
      <c r="R807" s="2" t="inlineStr"/>
    </row>
    <row r="808" ht="15" customHeight="1">
      <c r="A808" t="inlineStr">
        <is>
          <t>A 3938-2023</t>
        </is>
      </c>
      <c r="B808" s="1" t="n">
        <v>44952.35775462963</v>
      </c>
      <c r="C808" s="1" t="n">
        <v>46073</v>
      </c>
      <c r="D808" t="inlineStr">
        <is>
          <t>KALMAR LÄN</t>
        </is>
      </c>
      <c r="E808" t="inlineStr">
        <is>
          <t>VIMMERBY</t>
        </is>
      </c>
      <c r="G808" t="n">
        <v>0.9</v>
      </c>
      <c r="H808" t="n">
        <v>0</v>
      </c>
      <c r="I808" t="n">
        <v>0</v>
      </c>
      <c r="J808" t="n">
        <v>0</v>
      </c>
      <c r="K808" t="n">
        <v>0</v>
      </c>
      <c r="L808" t="n">
        <v>0</v>
      </c>
      <c r="M808" t="n">
        <v>0</v>
      </c>
      <c r="N808" t="n">
        <v>0</v>
      </c>
      <c r="O808" t="n">
        <v>0</v>
      </c>
      <c r="P808" t="n">
        <v>0</v>
      </c>
      <c r="Q808" t="n">
        <v>0</v>
      </c>
      <c r="R808" s="2" t="inlineStr"/>
    </row>
    <row r="809" ht="15" customHeight="1">
      <c r="A809" t="inlineStr">
        <is>
          <t>A 26937-2023</t>
        </is>
      </c>
      <c r="B809" s="1" t="n">
        <v>45093.62777777778</v>
      </c>
      <c r="C809" s="1" t="n">
        <v>46073</v>
      </c>
      <c r="D809" t="inlineStr">
        <is>
          <t>KALMAR LÄN</t>
        </is>
      </c>
      <c r="E809" t="inlineStr">
        <is>
          <t>VIMMERBY</t>
        </is>
      </c>
      <c r="F809" t="inlineStr">
        <is>
          <t>Sveaskog</t>
        </is>
      </c>
      <c r="G809" t="n">
        <v>14.5</v>
      </c>
      <c r="H809" t="n">
        <v>0</v>
      </c>
      <c r="I809" t="n">
        <v>0</v>
      </c>
      <c r="J809" t="n">
        <v>0</v>
      </c>
      <c r="K809" t="n">
        <v>0</v>
      </c>
      <c r="L809" t="n">
        <v>0</v>
      </c>
      <c r="M809" t="n">
        <v>0</v>
      </c>
      <c r="N809" t="n">
        <v>0</v>
      </c>
      <c r="O809" t="n">
        <v>0</v>
      </c>
      <c r="P809" t="n">
        <v>0</v>
      </c>
      <c r="Q809" t="n">
        <v>0</v>
      </c>
      <c r="R809" s="2" t="inlineStr"/>
    </row>
    <row r="810" ht="15" customHeight="1">
      <c r="A810" t="inlineStr">
        <is>
          <t>A 50085-2023</t>
        </is>
      </c>
      <c r="B810" s="1" t="n">
        <v>45215.5959375</v>
      </c>
      <c r="C810" s="1" t="n">
        <v>46073</v>
      </c>
      <c r="D810" t="inlineStr">
        <is>
          <t>KALMAR LÄN</t>
        </is>
      </c>
      <c r="E810" t="inlineStr">
        <is>
          <t>VIMMERBY</t>
        </is>
      </c>
      <c r="G810" t="n">
        <v>1.1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44992.62498842592</v>
      </c>
      <c r="C811" s="1" t="n">
        <v>46073</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6850-2023</t>
        </is>
      </c>
      <c r="B812" s="1" t="n">
        <v>44967.44255787037</v>
      </c>
      <c r="C812" s="1" t="n">
        <v>46073</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6358-2022</t>
        </is>
      </c>
      <c r="B813" s="1" t="n">
        <v>44600</v>
      </c>
      <c r="C813" s="1" t="n">
        <v>46073</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43853-2023</t>
        </is>
      </c>
      <c r="B814" s="1" t="n">
        <v>45187.60813657408</v>
      </c>
      <c r="C814" s="1" t="n">
        <v>46073</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48673-2021</t>
        </is>
      </c>
      <c r="B815" s="1" t="n">
        <v>44452</v>
      </c>
      <c r="C815" s="1" t="n">
        <v>46073</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14137-2023</t>
        </is>
      </c>
      <c r="B816" s="1" t="n">
        <v>45009.4671875</v>
      </c>
      <c r="C816" s="1" t="n">
        <v>46073</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7630-2025</t>
        </is>
      </c>
      <c r="B817" s="1" t="n">
        <v>45705.74418981482</v>
      </c>
      <c r="C817" s="1" t="n">
        <v>46073</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38780-2021</t>
        </is>
      </c>
      <c r="B818" s="1" t="n">
        <v>44410</v>
      </c>
      <c r="C818" s="1" t="n">
        <v>46073</v>
      </c>
      <c r="D818" t="inlineStr">
        <is>
          <t>KALMAR LÄN</t>
        </is>
      </c>
      <c r="E818" t="inlineStr">
        <is>
          <t>VIMMERBY</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30503-2023</t>
        </is>
      </c>
      <c r="B819" s="1" t="n">
        <v>45111</v>
      </c>
      <c r="C819" s="1" t="n">
        <v>46073</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60110-2022</t>
        </is>
      </c>
      <c r="B820" s="1" t="n">
        <v>44909</v>
      </c>
      <c r="C820" s="1" t="n">
        <v>46073</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59300-2024</t>
        </is>
      </c>
      <c r="B821" s="1" t="n">
        <v>45637.66542824074</v>
      </c>
      <c r="C821" s="1" t="n">
        <v>46073</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19445-2021</t>
        </is>
      </c>
      <c r="B822" s="1" t="n">
        <v>44310</v>
      </c>
      <c r="C822" s="1" t="n">
        <v>46073</v>
      </c>
      <c r="D822" t="inlineStr">
        <is>
          <t>KALMAR LÄN</t>
        </is>
      </c>
      <c r="E822" t="inlineStr">
        <is>
          <t>VIMMERBY</t>
        </is>
      </c>
      <c r="G822" t="n">
        <v>6.8</v>
      </c>
      <c r="H822" t="n">
        <v>0</v>
      </c>
      <c r="I822" t="n">
        <v>0</v>
      </c>
      <c r="J822" t="n">
        <v>0</v>
      </c>
      <c r="K822" t="n">
        <v>0</v>
      </c>
      <c r="L822" t="n">
        <v>0</v>
      </c>
      <c r="M822" t="n">
        <v>0</v>
      </c>
      <c r="N822" t="n">
        <v>0</v>
      </c>
      <c r="O822" t="n">
        <v>0</v>
      </c>
      <c r="P822" t="n">
        <v>0</v>
      </c>
      <c r="Q822" t="n">
        <v>0</v>
      </c>
      <c r="R822" s="2" t="inlineStr"/>
    </row>
    <row r="823" ht="15" customHeight="1">
      <c r="A823" t="inlineStr">
        <is>
          <t>A 18329-2023</t>
        </is>
      </c>
      <c r="B823" s="1" t="n">
        <v>45041.63380787037</v>
      </c>
      <c r="C823" s="1" t="n">
        <v>46073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5720-2023</t>
        </is>
      </c>
      <c r="B824" s="1" t="n">
        <v>44961</v>
      </c>
      <c r="C824" s="1" t="n">
        <v>46073</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61538-2022</t>
        </is>
      </c>
      <c r="B825" s="1" t="n">
        <v>44916.55414351852</v>
      </c>
      <c r="C825" s="1" t="n">
        <v>46073</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694-2024</t>
        </is>
      </c>
      <c r="B826" s="1" t="n">
        <v>45300.3794212963</v>
      </c>
      <c r="C826" s="1" t="n">
        <v>46073</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57114-2023</t>
        </is>
      </c>
      <c r="B827" s="1" t="n">
        <v>45245.36174768519</v>
      </c>
      <c r="C827" s="1" t="n">
        <v>46073</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44999.36081018519</v>
      </c>
      <c r="C828" s="1" t="n">
        <v>46073</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30633-2024</t>
        </is>
      </c>
      <c r="B829" s="1" t="n">
        <v>45495</v>
      </c>
      <c r="C829" s="1" t="n">
        <v>46073</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33424-2023</t>
        </is>
      </c>
      <c r="B830" s="1" t="n">
        <v>45128.9325</v>
      </c>
      <c r="C830" s="1" t="n">
        <v>46073</v>
      </c>
      <c r="D830" t="inlineStr">
        <is>
          <t>KALMAR LÄN</t>
        </is>
      </c>
      <c r="E830" t="inlineStr">
        <is>
          <t>VIMMERBY</t>
        </is>
      </c>
      <c r="G830" t="n">
        <v>2.4</v>
      </c>
      <c r="H830" t="n">
        <v>0</v>
      </c>
      <c r="I830" t="n">
        <v>0</v>
      </c>
      <c r="J830" t="n">
        <v>0</v>
      </c>
      <c r="K830" t="n">
        <v>0</v>
      </c>
      <c r="L830" t="n">
        <v>0</v>
      </c>
      <c r="M830" t="n">
        <v>0</v>
      </c>
      <c r="N830" t="n">
        <v>0</v>
      </c>
      <c r="O830" t="n">
        <v>0</v>
      </c>
      <c r="P830" t="n">
        <v>0</v>
      </c>
      <c r="Q830" t="n">
        <v>0</v>
      </c>
      <c r="R830" s="2" t="inlineStr"/>
    </row>
    <row r="831" ht="15" customHeight="1">
      <c r="A831" t="inlineStr">
        <is>
          <t>A 33425-2023</t>
        </is>
      </c>
      <c r="B831" s="1" t="n">
        <v>45128.93540509259</v>
      </c>
      <c r="C831" s="1" t="n">
        <v>46073</v>
      </c>
      <c r="D831" t="inlineStr">
        <is>
          <t>KALMAR LÄN</t>
        </is>
      </c>
      <c r="E831" t="inlineStr">
        <is>
          <t>VIMMERBY</t>
        </is>
      </c>
      <c r="G831" t="n">
        <v>1.4</v>
      </c>
      <c r="H831" t="n">
        <v>0</v>
      </c>
      <c r="I831" t="n">
        <v>0</v>
      </c>
      <c r="J831" t="n">
        <v>0</v>
      </c>
      <c r="K831" t="n">
        <v>0</v>
      </c>
      <c r="L831" t="n">
        <v>0</v>
      </c>
      <c r="M831" t="n">
        <v>0</v>
      </c>
      <c r="N831" t="n">
        <v>0</v>
      </c>
      <c r="O831" t="n">
        <v>0</v>
      </c>
      <c r="P831" t="n">
        <v>0</v>
      </c>
      <c r="Q831" t="n">
        <v>0</v>
      </c>
      <c r="R831" s="2" t="inlineStr"/>
    </row>
    <row r="832" ht="15" customHeight="1">
      <c r="A832" t="inlineStr">
        <is>
          <t>A 3609-2024</t>
        </is>
      </c>
      <c r="B832" s="1" t="n">
        <v>45320.89128472222</v>
      </c>
      <c r="C832" s="1" t="n">
        <v>46073</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8650-2022</t>
        </is>
      </c>
      <c r="B833" s="1" t="n">
        <v>44613</v>
      </c>
      <c r="C833" s="1" t="n">
        <v>46073</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11147-2023</t>
        </is>
      </c>
      <c r="B834" s="1" t="n">
        <v>44992</v>
      </c>
      <c r="C834" s="1" t="n">
        <v>46073</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16676-2023</t>
        </is>
      </c>
      <c r="B835" s="1" t="n">
        <v>45028</v>
      </c>
      <c r="C835" s="1" t="n">
        <v>46073</v>
      </c>
      <c r="D835" t="inlineStr">
        <is>
          <t>KALMAR LÄN</t>
        </is>
      </c>
      <c r="E835" t="inlineStr">
        <is>
          <t>VIMMERBY</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23263-2024</t>
        </is>
      </c>
      <c r="B836" s="1" t="n">
        <v>45453.36854166666</v>
      </c>
      <c r="C836" s="1" t="n">
        <v>46073</v>
      </c>
      <c r="D836" t="inlineStr">
        <is>
          <t>KALMAR LÄN</t>
        </is>
      </c>
      <c r="E836" t="inlineStr">
        <is>
          <t>VIMMERBY</t>
        </is>
      </c>
      <c r="G836" t="n">
        <v>0.7</v>
      </c>
      <c r="H836" t="n">
        <v>0</v>
      </c>
      <c r="I836" t="n">
        <v>0</v>
      </c>
      <c r="J836" t="n">
        <v>0</v>
      </c>
      <c r="K836" t="n">
        <v>0</v>
      </c>
      <c r="L836" t="n">
        <v>0</v>
      </c>
      <c r="M836" t="n">
        <v>0</v>
      </c>
      <c r="N836" t="n">
        <v>0</v>
      </c>
      <c r="O836" t="n">
        <v>0</v>
      </c>
      <c r="P836" t="n">
        <v>0</v>
      </c>
      <c r="Q836" t="n">
        <v>0</v>
      </c>
      <c r="R836" s="2" t="inlineStr"/>
    </row>
    <row r="837" ht="15" customHeight="1">
      <c r="A837" t="inlineStr">
        <is>
          <t>A 49488-2023</t>
        </is>
      </c>
      <c r="B837" s="1" t="n">
        <v>45211.55472222222</v>
      </c>
      <c r="C837" s="1" t="n">
        <v>46073</v>
      </c>
      <c r="D837" t="inlineStr">
        <is>
          <t>KALMAR LÄN</t>
        </is>
      </c>
      <c r="E837" t="inlineStr">
        <is>
          <t>VIMMERBY</t>
        </is>
      </c>
      <c r="F837" t="inlineStr">
        <is>
          <t>Sveaskog</t>
        </is>
      </c>
      <c r="G837" t="n">
        <v>6.2</v>
      </c>
      <c r="H837" t="n">
        <v>0</v>
      </c>
      <c r="I837" t="n">
        <v>0</v>
      </c>
      <c r="J837" t="n">
        <v>0</v>
      </c>
      <c r="K837" t="n">
        <v>0</v>
      </c>
      <c r="L837" t="n">
        <v>0</v>
      </c>
      <c r="M837" t="n">
        <v>0</v>
      </c>
      <c r="N837" t="n">
        <v>0</v>
      </c>
      <c r="O837" t="n">
        <v>0</v>
      </c>
      <c r="P837" t="n">
        <v>0</v>
      </c>
      <c r="Q837" t="n">
        <v>0</v>
      </c>
      <c r="R837" s="2" t="inlineStr"/>
    </row>
    <row r="838" ht="15" customHeight="1">
      <c r="A838" t="inlineStr">
        <is>
          <t>A 59768-2024</t>
        </is>
      </c>
      <c r="B838" s="1" t="n">
        <v>45639.56185185185</v>
      </c>
      <c r="C838" s="1" t="n">
        <v>46073</v>
      </c>
      <c r="D838" t="inlineStr">
        <is>
          <t>KALMAR LÄN</t>
        </is>
      </c>
      <c r="E838" t="inlineStr">
        <is>
          <t>VIMMERBY</t>
        </is>
      </c>
      <c r="G838" t="n">
        <v>5.9</v>
      </c>
      <c r="H838" t="n">
        <v>0</v>
      </c>
      <c r="I838" t="n">
        <v>0</v>
      </c>
      <c r="J838" t="n">
        <v>0</v>
      </c>
      <c r="K838" t="n">
        <v>0</v>
      </c>
      <c r="L838" t="n">
        <v>0</v>
      </c>
      <c r="M838" t="n">
        <v>0</v>
      </c>
      <c r="N838" t="n">
        <v>0</v>
      </c>
      <c r="O838" t="n">
        <v>0</v>
      </c>
      <c r="P838" t="n">
        <v>0</v>
      </c>
      <c r="Q838" t="n">
        <v>0</v>
      </c>
      <c r="R838" s="2" t="inlineStr"/>
    </row>
    <row r="839" ht="15" customHeight="1">
      <c r="A839" t="inlineStr">
        <is>
          <t>A 72067-2021</t>
        </is>
      </c>
      <c r="B839" s="1" t="n">
        <v>44540</v>
      </c>
      <c r="C839" s="1" t="n">
        <v>46073</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41158-2023</t>
        </is>
      </c>
      <c r="B840" s="1" t="n">
        <v>45174.31395833333</v>
      </c>
      <c r="C840" s="1" t="n">
        <v>46073</v>
      </c>
      <c r="D840" t="inlineStr">
        <is>
          <t>KALMAR LÄN</t>
        </is>
      </c>
      <c r="E840" t="inlineStr">
        <is>
          <t>VIMMERBY</t>
        </is>
      </c>
      <c r="G840" t="n">
        <v>1.4</v>
      </c>
      <c r="H840" t="n">
        <v>0</v>
      </c>
      <c r="I840" t="n">
        <v>0</v>
      </c>
      <c r="J840" t="n">
        <v>0</v>
      </c>
      <c r="K840" t="n">
        <v>0</v>
      </c>
      <c r="L840" t="n">
        <v>0</v>
      </c>
      <c r="M840" t="n">
        <v>0</v>
      </c>
      <c r="N840" t="n">
        <v>0</v>
      </c>
      <c r="O840" t="n">
        <v>0</v>
      </c>
      <c r="P840" t="n">
        <v>0</v>
      </c>
      <c r="Q840" t="n">
        <v>0</v>
      </c>
      <c r="R840" s="2" t="inlineStr"/>
    </row>
    <row r="841" ht="15" customHeight="1">
      <c r="A841" t="inlineStr">
        <is>
          <t>A 22198-2024</t>
        </is>
      </c>
      <c r="B841" s="1" t="n">
        <v>45446.36865740741</v>
      </c>
      <c r="C841" s="1" t="n">
        <v>46073</v>
      </c>
      <c r="D841" t="inlineStr">
        <is>
          <t>KALMAR LÄN</t>
        </is>
      </c>
      <c r="E841" t="inlineStr">
        <is>
          <t>VIMMERBY</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9511-2023</t>
        </is>
      </c>
      <c r="B842" s="1" t="n">
        <v>44981.64725694444</v>
      </c>
      <c r="C842" s="1" t="n">
        <v>46073</v>
      </c>
      <c r="D842" t="inlineStr">
        <is>
          <t>KALMAR LÄN</t>
        </is>
      </c>
      <c r="E842" t="inlineStr">
        <is>
          <t>VIMMERBY</t>
        </is>
      </c>
      <c r="G842" t="n">
        <v>3.5</v>
      </c>
      <c r="H842" t="n">
        <v>0</v>
      </c>
      <c r="I842" t="n">
        <v>0</v>
      </c>
      <c r="J842" t="n">
        <v>0</v>
      </c>
      <c r="K842" t="n">
        <v>0</v>
      </c>
      <c r="L842" t="n">
        <v>0</v>
      </c>
      <c r="M842" t="n">
        <v>0</v>
      </c>
      <c r="N842" t="n">
        <v>0</v>
      </c>
      <c r="O842" t="n">
        <v>0</v>
      </c>
      <c r="P842" t="n">
        <v>0</v>
      </c>
      <c r="Q842" t="n">
        <v>0</v>
      </c>
      <c r="R842" s="2" t="inlineStr"/>
    </row>
    <row r="843" ht="15" customHeight="1">
      <c r="A843" t="inlineStr">
        <is>
          <t>A 34205-2023</t>
        </is>
      </c>
      <c r="B843" s="1" t="n">
        <v>45138</v>
      </c>
      <c r="C843" s="1" t="n">
        <v>46073</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57091-2022</t>
        </is>
      </c>
      <c r="B844" s="1" t="n">
        <v>44895.46524305556</v>
      </c>
      <c r="C844" s="1" t="n">
        <v>46073</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2604-2025</t>
        </is>
      </c>
      <c r="B845" s="1" t="n">
        <v>45674.74094907408</v>
      </c>
      <c r="C845" s="1" t="n">
        <v>46073</v>
      </c>
      <c r="D845" t="inlineStr">
        <is>
          <t>KALMAR LÄN</t>
        </is>
      </c>
      <c r="E845" t="inlineStr">
        <is>
          <t>VIMMERBY</t>
        </is>
      </c>
      <c r="G845" t="n">
        <v>7.6</v>
      </c>
      <c r="H845" t="n">
        <v>0</v>
      </c>
      <c r="I845" t="n">
        <v>0</v>
      </c>
      <c r="J845" t="n">
        <v>0</v>
      </c>
      <c r="K845" t="n">
        <v>0</v>
      </c>
      <c r="L845" t="n">
        <v>0</v>
      </c>
      <c r="M845" t="n">
        <v>0</v>
      </c>
      <c r="N845" t="n">
        <v>0</v>
      </c>
      <c r="O845" t="n">
        <v>0</v>
      </c>
      <c r="P845" t="n">
        <v>0</v>
      </c>
      <c r="Q845" t="n">
        <v>0</v>
      </c>
      <c r="R845" s="2" t="inlineStr"/>
    </row>
    <row r="846" ht="15" customHeight="1">
      <c r="A846" t="inlineStr">
        <is>
          <t>A 6807-2025</t>
        </is>
      </c>
      <c r="B846" s="1" t="n">
        <v>45700.68672453704</v>
      </c>
      <c r="C846" s="1" t="n">
        <v>46073</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38851-2023</t>
        </is>
      </c>
      <c r="B847" s="1" t="n">
        <v>45163</v>
      </c>
      <c r="C847" s="1" t="n">
        <v>46073</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23252-2024</t>
        </is>
      </c>
      <c r="B848" s="1" t="n">
        <v>45453.36067129629</v>
      </c>
      <c r="C848" s="1" t="n">
        <v>46073</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5792-2023</t>
        </is>
      </c>
      <c r="B849" s="1" t="n">
        <v>44963.44769675926</v>
      </c>
      <c r="C849" s="1" t="n">
        <v>46073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2797-2023</t>
        </is>
      </c>
      <c r="B850" s="1" t="n">
        <v>44944.71386574074</v>
      </c>
      <c r="C850" s="1" t="n">
        <v>46073</v>
      </c>
      <c r="D850" t="inlineStr">
        <is>
          <t>KALMAR LÄN</t>
        </is>
      </c>
      <c r="E850" t="inlineStr">
        <is>
          <t>VIMMERBY</t>
        </is>
      </c>
      <c r="G850" t="n">
        <v>3.4</v>
      </c>
      <c r="H850" t="n">
        <v>0</v>
      </c>
      <c r="I850" t="n">
        <v>0</v>
      </c>
      <c r="J850" t="n">
        <v>0</v>
      </c>
      <c r="K850" t="n">
        <v>0</v>
      </c>
      <c r="L850" t="n">
        <v>0</v>
      </c>
      <c r="M850" t="n">
        <v>0</v>
      </c>
      <c r="N850" t="n">
        <v>0</v>
      </c>
      <c r="O850" t="n">
        <v>0</v>
      </c>
      <c r="P850" t="n">
        <v>0</v>
      </c>
      <c r="Q850" t="n">
        <v>0</v>
      </c>
      <c r="R850" s="2" t="inlineStr"/>
    </row>
    <row r="851" ht="15" customHeight="1">
      <c r="A851" t="inlineStr">
        <is>
          <t>A 2799-2023</t>
        </is>
      </c>
      <c r="B851" s="1" t="n">
        <v>44944.72100694444</v>
      </c>
      <c r="C851" s="1" t="n">
        <v>46073</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6220-2025</t>
        </is>
      </c>
      <c r="B852" s="1" t="n">
        <v>45698.53725694444</v>
      </c>
      <c r="C852" s="1" t="n">
        <v>46073</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58278-2023</t>
        </is>
      </c>
      <c r="B853" s="1" t="n">
        <v>45250.5278587963</v>
      </c>
      <c r="C853" s="1" t="n">
        <v>46073</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36259-2022</t>
        </is>
      </c>
      <c r="B854" s="1" t="n">
        <v>44803.59118055556</v>
      </c>
      <c r="C854" s="1" t="n">
        <v>46073</v>
      </c>
      <c r="D854" t="inlineStr">
        <is>
          <t>KALMAR LÄN</t>
        </is>
      </c>
      <c r="E854" t="inlineStr">
        <is>
          <t>VIMMERBY</t>
        </is>
      </c>
      <c r="G854" t="n">
        <v>3.9</v>
      </c>
      <c r="H854" t="n">
        <v>0</v>
      </c>
      <c r="I854" t="n">
        <v>0</v>
      </c>
      <c r="J854" t="n">
        <v>0</v>
      </c>
      <c r="K854" t="n">
        <v>0</v>
      </c>
      <c r="L854" t="n">
        <v>0</v>
      </c>
      <c r="M854" t="n">
        <v>0</v>
      </c>
      <c r="N854" t="n">
        <v>0</v>
      </c>
      <c r="O854" t="n">
        <v>0</v>
      </c>
      <c r="P854" t="n">
        <v>0</v>
      </c>
      <c r="Q854" t="n">
        <v>0</v>
      </c>
      <c r="R854" s="2" t="inlineStr"/>
    </row>
    <row r="855" ht="15" customHeight="1">
      <c r="A855" t="inlineStr">
        <is>
          <t>A 36526-2023</t>
        </is>
      </c>
      <c r="B855" s="1" t="n">
        <v>45153.32778935185</v>
      </c>
      <c r="C855" s="1" t="n">
        <v>46073</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17988-2025</t>
        </is>
      </c>
      <c r="B856" s="1" t="n">
        <v>45761.39600694444</v>
      </c>
      <c r="C856" s="1" t="n">
        <v>46073</v>
      </c>
      <c r="D856" t="inlineStr">
        <is>
          <t>KALMAR LÄN</t>
        </is>
      </c>
      <c r="E856" t="inlineStr">
        <is>
          <t>VIMMERBY</t>
        </is>
      </c>
      <c r="G856" t="n">
        <v>2.8</v>
      </c>
      <c r="H856" t="n">
        <v>0</v>
      </c>
      <c r="I856" t="n">
        <v>0</v>
      </c>
      <c r="J856" t="n">
        <v>0</v>
      </c>
      <c r="K856" t="n">
        <v>0</v>
      </c>
      <c r="L856" t="n">
        <v>0</v>
      </c>
      <c r="M856" t="n">
        <v>0</v>
      </c>
      <c r="N856" t="n">
        <v>0</v>
      </c>
      <c r="O856" t="n">
        <v>0</v>
      </c>
      <c r="P856" t="n">
        <v>0</v>
      </c>
      <c r="Q856" t="n">
        <v>0</v>
      </c>
      <c r="R856" s="2" t="inlineStr"/>
    </row>
    <row r="857" ht="15" customHeight="1">
      <c r="A857" t="inlineStr">
        <is>
          <t>A 29350-2023</t>
        </is>
      </c>
      <c r="B857" s="1" t="n">
        <v>45106</v>
      </c>
      <c r="C857" s="1" t="n">
        <v>46073</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29351-2023</t>
        </is>
      </c>
      <c r="B858" s="1" t="n">
        <v>45106.2610300926</v>
      </c>
      <c r="C858" s="1" t="n">
        <v>46073</v>
      </c>
      <c r="D858" t="inlineStr">
        <is>
          <t>KALMAR LÄN</t>
        </is>
      </c>
      <c r="E858" t="inlineStr">
        <is>
          <t>VIMMERBY</t>
        </is>
      </c>
      <c r="G858" t="n">
        <v>0.4</v>
      </c>
      <c r="H858" t="n">
        <v>0</v>
      </c>
      <c r="I858" t="n">
        <v>0</v>
      </c>
      <c r="J858" t="n">
        <v>0</v>
      </c>
      <c r="K858" t="n">
        <v>0</v>
      </c>
      <c r="L858" t="n">
        <v>0</v>
      </c>
      <c r="M858" t="n">
        <v>0</v>
      </c>
      <c r="N858" t="n">
        <v>0</v>
      </c>
      <c r="O858" t="n">
        <v>0</v>
      </c>
      <c r="P858" t="n">
        <v>0</v>
      </c>
      <c r="Q858" t="n">
        <v>0</v>
      </c>
      <c r="R858" s="2" t="inlineStr"/>
    </row>
    <row r="859" ht="15" customHeight="1">
      <c r="A859" t="inlineStr">
        <is>
          <t>A 6474-2025</t>
        </is>
      </c>
      <c r="B859" s="1" t="n">
        <v>45699.60055555555</v>
      </c>
      <c r="C859" s="1" t="n">
        <v>46073</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17-2025</t>
        </is>
      </c>
      <c r="B860" s="1" t="n">
        <v>45658.78774305555</v>
      </c>
      <c r="C860" s="1" t="n">
        <v>46073</v>
      </c>
      <c r="D860" t="inlineStr">
        <is>
          <t>KALMAR LÄN</t>
        </is>
      </c>
      <c r="E860" t="inlineStr">
        <is>
          <t>VIMMERBY</t>
        </is>
      </c>
      <c r="G860" t="n">
        <v>4.4</v>
      </c>
      <c r="H860" t="n">
        <v>0</v>
      </c>
      <c r="I860" t="n">
        <v>0</v>
      </c>
      <c r="J860" t="n">
        <v>0</v>
      </c>
      <c r="K860" t="n">
        <v>0</v>
      </c>
      <c r="L860" t="n">
        <v>0</v>
      </c>
      <c r="M860" t="n">
        <v>0</v>
      </c>
      <c r="N860" t="n">
        <v>0</v>
      </c>
      <c r="O860" t="n">
        <v>0</v>
      </c>
      <c r="P860" t="n">
        <v>0</v>
      </c>
      <c r="Q860" t="n">
        <v>0</v>
      </c>
      <c r="R860" s="2" t="inlineStr"/>
    </row>
    <row r="861" ht="15" customHeight="1">
      <c r="A861" t="inlineStr">
        <is>
          <t>A 57555-2024</t>
        </is>
      </c>
      <c r="B861" s="1" t="n">
        <v>45630.45069444444</v>
      </c>
      <c r="C861" s="1" t="n">
        <v>46073</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18411-2021</t>
        </is>
      </c>
      <c r="B862" s="1" t="n">
        <v>44302</v>
      </c>
      <c r="C862" s="1" t="n">
        <v>46073</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52279-2023</t>
        </is>
      </c>
      <c r="B863" s="1" t="n">
        <v>45224</v>
      </c>
      <c r="C863" s="1" t="n">
        <v>46073</v>
      </c>
      <c r="D863" t="inlineStr">
        <is>
          <t>KALMAR LÄN</t>
        </is>
      </c>
      <c r="E863" t="inlineStr">
        <is>
          <t>VIMMERBY</t>
        </is>
      </c>
      <c r="G863" t="n">
        <v>1.8</v>
      </c>
      <c r="H863" t="n">
        <v>0</v>
      </c>
      <c r="I863" t="n">
        <v>0</v>
      </c>
      <c r="J863" t="n">
        <v>0</v>
      </c>
      <c r="K863" t="n">
        <v>0</v>
      </c>
      <c r="L863" t="n">
        <v>0</v>
      </c>
      <c r="M863" t="n">
        <v>0</v>
      </c>
      <c r="N863" t="n">
        <v>0</v>
      </c>
      <c r="O863" t="n">
        <v>0</v>
      </c>
      <c r="P863" t="n">
        <v>0</v>
      </c>
      <c r="Q863" t="n">
        <v>0</v>
      </c>
      <c r="R863" s="2" t="inlineStr"/>
    </row>
    <row r="864" ht="15" customHeight="1">
      <c r="A864" t="inlineStr">
        <is>
          <t>A 52324-2023</t>
        </is>
      </c>
      <c r="B864" s="1" t="n">
        <v>45224.64659722222</v>
      </c>
      <c r="C864" s="1" t="n">
        <v>46073</v>
      </c>
      <c r="D864" t="inlineStr">
        <is>
          <t>KALMAR LÄN</t>
        </is>
      </c>
      <c r="E864" t="inlineStr">
        <is>
          <t>VIMMERBY</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32639-2023</t>
        </is>
      </c>
      <c r="B865" s="1" t="n">
        <v>45121.5965162037</v>
      </c>
      <c r="C865" s="1" t="n">
        <v>46073</v>
      </c>
      <c r="D865" t="inlineStr">
        <is>
          <t>KALMAR LÄN</t>
        </is>
      </c>
      <c r="E865" t="inlineStr">
        <is>
          <t>VIMMERBY</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32642-2023</t>
        </is>
      </c>
      <c r="B866" s="1" t="n">
        <v>45121.59954861111</v>
      </c>
      <c r="C866" s="1" t="n">
        <v>46073</v>
      </c>
      <c r="D866" t="inlineStr">
        <is>
          <t>KALMAR LÄN</t>
        </is>
      </c>
      <c r="E866" t="inlineStr">
        <is>
          <t>VIMMERBY</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32651-2023</t>
        </is>
      </c>
      <c r="B867" s="1" t="n">
        <v>45121.6096875</v>
      </c>
      <c r="C867" s="1" t="n">
        <v>46073</v>
      </c>
      <c r="D867" t="inlineStr">
        <is>
          <t>KALMAR LÄN</t>
        </is>
      </c>
      <c r="E867" t="inlineStr">
        <is>
          <t>VIMMERBY</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40730-2024</t>
        </is>
      </c>
      <c r="B868" s="1" t="n">
        <v>45558.44914351852</v>
      </c>
      <c r="C868" s="1" t="n">
        <v>46073</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9643-2023</t>
        </is>
      </c>
      <c r="B869" s="1" t="n">
        <v>44984</v>
      </c>
      <c r="C869" s="1" t="n">
        <v>46073</v>
      </c>
      <c r="D869" t="inlineStr">
        <is>
          <t>KALMAR LÄN</t>
        </is>
      </c>
      <c r="E869" t="inlineStr">
        <is>
          <t>VIMMERBY</t>
        </is>
      </c>
      <c r="G869" t="n">
        <v>2</v>
      </c>
      <c r="H869" t="n">
        <v>0</v>
      </c>
      <c r="I869" t="n">
        <v>0</v>
      </c>
      <c r="J869" t="n">
        <v>0</v>
      </c>
      <c r="K869" t="n">
        <v>0</v>
      </c>
      <c r="L869" t="n">
        <v>0</v>
      </c>
      <c r="M869" t="n">
        <v>0</v>
      </c>
      <c r="N869" t="n">
        <v>0</v>
      </c>
      <c r="O869" t="n">
        <v>0</v>
      </c>
      <c r="P869" t="n">
        <v>0</v>
      </c>
      <c r="Q869" t="n">
        <v>0</v>
      </c>
      <c r="R869" s="2" t="inlineStr"/>
    </row>
    <row r="870" ht="15" customHeight="1">
      <c r="A870" t="inlineStr">
        <is>
          <t>A 56213-2024</t>
        </is>
      </c>
      <c r="B870" s="1" t="n">
        <v>45624.60141203704</v>
      </c>
      <c r="C870" s="1" t="n">
        <v>46073</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20126-2024</t>
        </is>
      </c>
      <c r="B871" s="1" t="n">
        <v>45434.55471064815</v>
      </c>
      <c r="C871" s="1" t="n">
        <v>46073</v>
      </c>
      <c r="D871" t="inlineStr">
        <is>
          <t>KALMAR LÄN</t>
        </is>
      </c>
      <c r="E871" t="inlineStr">
        <is>
          <t>VIMMERBY</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19865-2021</t>
        </is>
      </c>
      <c r="B872" s="1" t="n">
        <v>44312</v>
      </c>
      <c r="C872" s="1" t="n">
        <v>46073</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9694-2023</t>
        </is>
      </c>
      <c r="B873" s="1" t="n">
        <v>44984.45895833334</v>
      </c>
      <c r="C873" s="1" t="n">
        <v>46073</v>
      </c>
      <c r="D873" t="inlineStr">
        <is>
          <t>KALMAR LÄN</t>
        </is>
      </c>
      <c r="E873" t="inlineStr">
        <is>
          <t>VIMMERBY</t>
        </is>
      </c>
      <c r="G873" t="n">
        <v>2.1</v>
      </c>
      <c r="H873" t="n">
        <v>0</v>
      </c>
      <c r="I873" t="n">
        <v>0</v>
      </c>
      <c r="J873" t="n">
        <v>0</v>
      </c>
      <c r="K873" t="n">
        <v>0</v>
      </c>
      <c r="L873" t="n">
        <v>0</v>
      </c>
      <c r="M873" t="n">
        <v>0</v>
      </c>
      <c r="N873" t="n">
        <v>0</v>
      </c>
      <c r="O873" t="n">
        <v>0</v>
      </c>
      <c r="P873" t="n">
        <v>0</v>
      </c>
      <c r="Q873" t="n">
        <v>0</v>
      </c>
      <c r="R873" s="2" t="inlineStr"/>
    </row>
    <row r="874" ht="15" customHeight="1">
      <c r="A874" t="inlineStr">
        <is>
          <t>A 9710-2023</t>
        </is>
      </c>
      <c r="B874" s="1" t="n">
        <v>44984</v>
      </c>
      <c r="C874" s="1" t="n">
        <v>46073</v>
      </c>
      <c r="D874" t="inlineStr">
        <is>
          <t>KALMAR LÄN</t>
        </is>
      </c>
      <c r="E874" t="inlineStr">
        <is>
          <t>VIMMERBY</t>
        </is>
      </c>
      <c r="G874" t="n">
        <v>3.7</v>
      </c>
      <c r="H874" t="n">
        <v>0</v>
      </c>
      <c r="I874" t="n">
        <v>0</v>
      </c>
      <c r="J874" t="n">
        <v>0</v>
      </c>
      <c r="K874" t="n">
        <v>0</v>
      </c>
      <c r="L874" t="n">
        <v>0</v>
      </c>
      <c r="M874" t="n">
        <v>0</v>
      </c>
      <c r="N874" t="n">
        <v>0</v>
      </c>
      <c r="O874" t="n">
        <v>0</v>
      </c>
      <c r="P874" t="n">
        <v>0</v>
      </c>
      <c r="Q874" t="n">
        <v>0</v>
      </c>
      <c r="R874" s="2" t="inlineStr"/>
    </row>
    <row r="875" ht="15" customHeight="1">
      <c r="A875" t="inlineStr">
        <is>
          <t>A 6216-2025</t>
        </is>
      </c>
      <c r="B875" s="1" t="n">
        <v>45698.52806712963</v>
      </c>
      <c r="C875" s="1" t="n">
        <v>46073</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7944-2024</t>
        </is>
      </c>
      <c r="B876" s="1" t="n">
        <v>45350.53306712963</v>
      </c>
      <c r="C876" s="1" t="n">
        <v>46073</v>
      </c>
      <c r="D876" t="inlineStr">
        <is>
          <t>KALMAR LÄN</t>
        </is>
      </c>
      <c r="E876" t="inlineStr">
        <is>
          <t>VIMMERBY</t>
        </is>
      </c>
      <c r="G876" t="n">
        <v>1.2</v>
      </c>
      <c r="H876" t="n">
        <v>0</v>
      </c>
      <c r="I876" t="n">
        <v>0</v>
      </c>
      <c r="J876" t="n">
        <v>0</v>
      </c>
      <c r="K876" t="n">
        <v>0</v>
      </c>
      <c r="L876" t="n">
        <v>0</v>
      </c>
      <c r="M876" t="n">
        <v>0</v>
      </c>
      <c r="N876" t="n">
        <v>0</v>
      </c>
      <c r="O876" t="n">
        <v>0</v>
      </c>
      <c r="P876" t="n">
        <v>0</v>
      </c>
      <c r="Q876" t="n">
        <v>0</v>
      </c>
      <c r="R876" s="2" t="inlineStr"/>
    </row>
    <row r="877" ht="15" customHeight="1">
      <c r="A877" t="inlineStr">
        <is>
          <t>A 598-2025</t>
        </is>
      </c>
      <c r="B877" s="1" t="n">
        <v>45660</v>
      </c>
      <c r="C877" s="1" t="n">
        <v>46073</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10674-2021</t>
        </is>
      </c>
      <c r="B878" s="1" t="n">
        <v>44258</v>
      </c>
      <c r="C878" s="1" t="n">
        <v>46073</v>
      </c>
      <c r="D878" t="inlineStr">
        <is>
          <t>KALMAR LÄN</t>
        </is>
      </c>
      <c r="E878" t="inlineStr">
        <is>
          <t>VIMMERBY</t>
        </is>
      </c>
      <c r="G878" t="n">
        <v>8.4</v>
      </c>
      <c r="H878" t="n">
        <v>0</v>
      </c>
      <c r="I878" t="n">
        <v>0</v>
      </c>
      <c r="J878" t="n">
        <v>0</v>
      </c>
      <c r="K878" t="n">
        <v>0</v>
      </c>
      <c r="L878" t="n">
        <v>0</v>
      </c>
      <c r="M878" t="n">
        <v>0</v>
      </c>
      <c r="N878" t="n">
        <v>0</v>
      </c>
      <c r="O878" t="n">
        <v>0</v>
      </c>
      <c r="P878" t="n">
        <v>0</v>
      </c>
      <c r="Q878" t="n">
        <v>0</v>
      </c>
      <c r="R878" s="2" t="inlineStr"/>
    </row>
    <row r="879" ht="15" customHeight="1">
      <c r="A879" t="inlineStr">
        <is>
          <t>A 10807-2024</t>
        </is>
      </c>
      <c r="B879" s="1" t="n">
        <v>45369.62780092593</v>
      </c>
      <c r="C879" s="1" t="n">
        <v>46073</v>
      </c>
      <c r="D879" t="inlineStr">
        <is>
          <t>KALMAR LÄN</t>
        </is>
      </c>
      <c r="E879" t="inlineStr">
        <is>
          <t>VIMMERBY</t>
        </is>
      </c>
      <c r="G879" t="n">
        <v>0.7</v>
      </c>
      <c r="H879" t="n">
        <v>0</v>
      </c>
      <c r="I879" t="n">
        <v>0</v>
      </c>
      <c r="J879" t="n">
        <v>0</v>
      </c>
      <c r="K879" t="n">
        <v>0</v>
      </c>
      <c r="L879" t="n">
        <v>0</v>
      </c>
      <c r="M879" t="n">
        <v>0</v>
      </c>
      <c r="N879" t="n">
        <v>0</v>
      </c>
      <c r="O879" t="n">
        <v>0</v>
      </c>
      <c r="P879" t="n">
        <v>0</v>
      </c>
      <c r="Q879" t="n">
        <v>0</v>
      </c>
      <c r="R879" s="2" t="inlineStr"/>
    </row>
    <row r="880" ht="15" customHeight="1">
      <c r="A880" t="inlineStr">
        <is>
          <t>A 40260-2024</t>
        </is>
      </c>
      <c r="B880" s="1" t="n">
        <v>45554.63225694445</v>
      </c>
      <c r="C880" s="1" t="n">
        <v>46073</v>
      </c>
      <c r="D880" t="inlineStr">
        <is>
          <t>KALMAR LÄN</t>
        </is>
      </c>
      <c r="E880" t="inlineStr">
        <is>
          <t>VIMMERBY</t>
        </is>
      </c>
      <c r="G880" t="n">
        <v>1.2</v>
      </c>
      <c r="H880" t="n">
        <v>0</v>
      </c>
      <c r="I880" t="n">
        <v>0</v>
      </c>
      <c r="J880" t="n">
        <v>0</v>
      </c>
      <c r="K880" t="n">
        <v>0</v>
      </c>
      <c r="L880" t="n">
        <v>0</v>
      </c>
      <c r="M880" t="n">
        <v>0</v>
      </c>
      <c r="N880" t="n">
        <v>0</v>
      </c>
      <c r="O880" t="n">
        <v>0</v>
      </c>
      <c r="P880" t="n">
        <v>0</v>
      </c>
      <c r="Q880" t="n">
        <v>0</v>
      </c>
      <c r="R880" s="2" t="inlineStr"/>
    </row>
    <row r="881" ht="15" customHeight="1">
      <c r="A881" t="inlineStr">
        <is>
          <t>A 10787-2025</t>
        </is>
      </c>
      <c r="B881" s="1" t="n">
        <v>45722.48915509259</v>
      </c>
      <c r="C881" s="1" t="n">
        <v>46073</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58577-2024</t>
        </is>
      </c>
      <c r="B882" s="1" t="n">
        <v>45635.4874537037</v>
      </c>
      <c r="C882" s="1" t="n">
        <v>46073</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38198-2024</t>
        </is>
      </c>
      <c r="B883" s="1" t="n">
        <v>45545.49508101852</v>
      </c>
      <c r="C883" s="1" t="n">
        <v>46073</v>
      </c>
      <c r="D883" t="inlineStr">
        <is>
          <t>KALMAR LÄN</t>
        </is>
      </c>
      <c r="E883" t="inlineStr">
        <is>
          <t>VIMMERBY</t>
        </is>
      </c>
      <c r="G883" t="n">
        <v>7.9</v>
      </c>
      <c r="H883" t="n">
        <v>0</v>
      </c>
      <c r="I883" t="n">
        <v>0</v>
      </c>
      <c r="J883" t="n">
        <v>0</v>
      </c>
      <c r="K883" t="n">
        <v>0</v>
      </c>
      <c r="L883" t="n">
        <v>0</v>
      </c>
      <c r="M883" t="n">
        <v>0</v>
      </c>
      <c r="N883" t="n">
        <v>0</v>
      </c>
      <c r="O883" t="n">
        <v>0</v>
      </c>
      <c r="P883" t="n">
        <v>0</v>
      </c>
      <c r="Q883" t="n">
        <v>0</v>
      </c>
      <c r="R883" s="2" t="inlineStr"/>
    </row>
    <row r="884" ht="15" customHeight="1">
      <c r="A884" t="inlineStr">
        <is>
          <t>A 43617-2024</t>
        </is>
      </c>
      <c r="B884" s="1" t="n">
        <v>45569.47494212963</v>
      </c>
      <c r="C884" s="1" t="n">
        <v>46073</v>
      </c>
      <c r="D884" t="inlineStr">
        <is>
          <t>KALMAR LÄN</t>
        </is>
      </c>
      <c r="E884" t="inlineStr">
        <is>
          <t>VIMMERBY</t>
        </is>
      </c>
      <c r="G884" t="n">
        <v>2.7</v>
      </c>
      <c r="H884" t="n">
        <v>0</v>
      </c>
      <c r="I884" t="n">
        <v>0</v>
      </c>
      <c r="J884" t="n">
        <v>0</v>
      </c>
      <c r="K884" t="n">
        <v>0</v>
      </c>
      <c r="L884" t="n">
        <v>0</v>
      </c>
      <c r="M884" t="n">
        <v>0</v>
      </c>
      <c r="N884" t="n">
        <v>0</v>
      </c>
      <c r="O884" t="n">
        <v>0</v>
      </c>
      <c r="P884" t="n">
        <v>0</v>
      </c>
      <c r="Q884" t="n">
        <v>0</v>
      </c>
      <c r="R884" s="2" t="inlineStr"/>
    </row>
    <row r="885" ht="15" customHeight="1">
      <c r="A885" t="inlineStr">
        <is>
          <t>A 22264-2023</t>
        </is>
      </c>
      <c r="B885" s="1" t="n">
        <v>45070.3665625</v>
      </c>
      <c r="C885" s="1" t="n">
        <v>46073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22266-2023</t>
        </is>
      </c>
      <c r="B886" s="1" t="n">
        <v>45070</v>
      </c>
      <c r="C886" s="1" t="n">
        <v>46073</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50091-2023</t>
        </is>
      </c>
      <c r="B887" s="1" t="n">
        <v>45215.60199074074</v>
      </c>
      <c r="C887" s="1" t="n">
        <v>46073</v>
      </c>
      <c r="D887" t="inlineStr">
        <is>
          <t>KALMAR LÄN</t>
        </is>
      </c>
      <c r="E887" t="inlineStr">
        <is>
          <t>VIMMERBY</t>
        </is>
      </c>
      <c r="G887" t="n">
        <v>1.7</v>
      </c>
      <c r="H887" t="n">
        <v>0</v>
      </c>
      <c r="I887" t="n">
        <v>0</v>
      </c>
      <c r="J887" t="n">
        <v>0</v>
      </c>
      <c r="K887" t="n">
        <v>0</v>
      </c>
      <c r="L887" t="n">
        <v>0</v>
      </c>
      <c r="M887" t="n">
        <v>0</v>
      </c>
      <c r="N887" t="n">
        <v>0</v>
      </c>
      <c r="O887" t="n">
        <v>0</v>
      </c>
      <c r="P887" t="n">
        <v>0</v>
      </c>
      <c r="Q887" t="n">
        <v>0</v>
      </c>
      <c r="R887" s="2" t="inlineStr"/>
    </row>
    <row r="888" ht="15" customHeight="1">
      <c r="A888" t="inlineStr">
        <is>
          <t>A 10303-2025</t>
        </is>
      </c>
      <c r="B888" s="1" t="n">
        <v>45720.44217592593</v>
      </c>
      <c r="C888" s="1" t="n">
        <v>46073</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11027-2023</t>
        </is>
      </c>
      <c r="B889" s="1" t="n">
        <v>44991.89657407408</v>
      </c>
      <c r="C889" s="1" t="n">
        <v>46073</v>
      </c>
      <c r="D889" t="inlineStr">
        <is>
          <t>KALMAR LÄN</t>
        </is>
      </c>
      <c r="E889" t="inlineStr">
        <is>
          <t>VIMMERBY</t>
        </is>
      </c>
      <c r="G889" t="n">
        <v>0.8</v>
      </c>
      <c r="H889" t="n">
        <v>0</v>
      </c>
      <c r="I889" t="n">
        <v>0</v>
      </c>
      <c r="J889" t="n">
        <v>0</v>
      </c>
      <c r="K889" t="n">
        <v>0</v>
      </c>
      <c r="L889" t="n">
        <v>0</v>
      </c>
      <c r="M889" t="n">
        <v>0</v>
      </c>
      <c r="N889" t="n">
        <v>0</v>
      </c>
      <c r="O889" t="n">
        <v>0</v>
      </c>
      <c r="P889" t="n">
        <v>0</v>
      </c>
      <c r="Q889" t="n">
        <v>0</v>
      </c>
      <c r="R889" s="2" t="inlineStr"/>
    </row>
    <row r="890" ht="15" customHeight="1">
      <c r="A890" t="inlineStr">
        <is>
          <t>A 11661-2023</t>
        </is>
      </c>
      <c r="B890" s="1" t="n">
        <v>44994.46908564815</v>
      </c>
      <c r="C890" s="1" t="n">
        <v>46073</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36155-2023</t>
        </is>
      </c>
      <c r="B891" s="1" t="n">
        <v>45149.60917824074</v>
      </c>
      <c r="C891" s="1" t="n">
        <v>46073</v>
      </c>
      <c r="D891" t="inlineStr">
        <is>
          <t>KALMAR LÄN</t>
        </is>
      </c>
      <c r="E891" t="inlineStr">
        <is>
          <t>VIMMERBY</t>
        </is>
      </c>
      <c r="G891" t="n">
        <v>5</v>
      </c>
      <c r="H891" t="n">
        <v>0</v>
      </c>
      <c r="I891" t="n">
        <v>0</v>
      </c>
      <c r="J891" t="n">
        <v>0</v>
      </c>
      <c r="K891" t="n">
        <v>0</v>
      </c>
      <c r="L891" t="n">
        <v>0</v>
      </c>
      <c r="M891" t="n">
        <v>0</v>
      </c>
      <c r="N891" t="n">
        <v>0</v>
      </c>
      <c r="O891" t="n">
        <v>0</v>
      </c>
      <c r="P891" t="n">
        <v>0</v>
      </c>
      <c r="Q891" t="n">
        <v>0</v>
      </c>
      <c r="R891" s="2" t="inlineStr"/>
    </row>
    <row r="892" ht="15" customHeight="1">
      <c r="A892" t="inlineStr">
        <is>
          <t>A 40147-2023</t>
        </is>
      </c>
      <c r="B892" s="1" t="n">
        <v>45169</v>
      </c>
      <c r="C892" s="1" t="n">
        <v>46073</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63950-2023</t>
        </is>
      </c>
      <c r="B893" s="1" t="n">
        <v>45278</v>
      </c>
      <c r="C893" s="1" t="n">
        <v>46073</v>
      </c>
      <c r="D893" t="inlineStr">
        <is>
          <t>KALMAR LÄN</t>
        </is>
      </c>
      <c r="E893" t="inlineStr">
        <is>
          <t>VIMMERBY</t>
        </is>
      </c>
      <c r="F893" t="inlineStr">
        <is>
          <t>Kyrkan</t>
        </is>
      </c>
      <c r="G893" t="n">
        <v>2.7</v>
      </c>
      <c r="H893" t="n">
        <v>0</v>
      </c>
      <c r="I893" t="n">
        <v>0</v>
      </c>
      <c r="J893" t="n">
        <v>0</v>
      </c>
      <c r="K893" t="n">
        <v>0</v>
      </c>
      <c r="L893" t="n">
        <v>0</v>
      </c>
      <c r="M893" t="n">
        <v>0</v>
      </c>
      <c r="N893" t="n">
        <v>0</v>
      </c>
      <c r="O893" t="n">
        <v>0</v>
      </c>
      <c r="P893" t="n">
        <v>0</v>
      </c>
      <c r="Q893" t="n">
        <v>0</v>
      </c>
      <c r="R893" s="2" t="inlineStr"/>
    </row>
    <row r="894" ht="15" customHeight="1">
      <c r="A894" t="inlineStr">
        <is>
          <t>A 24096-2024</t>
        </is>
      </c>
      <c r="B894" s="1" t="n">
        <v>45456.59289351852</v>
      </c>
      <c r="C894" s="1" t="n">
        <v>46073</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13015-2023</t>
        </is>
      </c>
      <c r="B895" s="1" t="n">
        <v>45002</v>
      </c>
      <c r="C895" s="1" t="n">
        <v>46073</v>
      </c>
      <c r="D895" t="inlineStr">
        <is>
          <t>KALMAR LÄN</t>
        </is>
      </c>
      <c r="E895" t="inlineStr">
        <is>
          <t>VIMMERBY</t>
        </is>
      </c>
      <c r="G895" t="n">
        <v>3.2</v>
      </c>
      <c r="H895" t="n">
        <v>0</v>
      </c>
      <c r="I895" t="n">
        <v>0</v>
      </c>
      <c r="J895" t="n">
        <v>0</v>
      </c>
      <c r="K895" t="n">
        <v>0</v>
      </c>
      <c r="L895" t="n">
        <v>0</v>
      </c>
      <c r="M895" t="n">
        <v>0</v>
      </c>
      <c r="N895" t="n">
        <v>0</v>
      </c>
      <c r="O895" t="n">
        <v>0</v>
      </c>
      <c r="P895" t="n">
        <v>0</v>
      </c>
      <c r="Q895" t="n">
        <v>0</v>
      </c>
      <c r="R895" s="2" t="inlineStr"/>
    </row>
    <row r="896" ht="15" customHeight="1">
      <c r="A896" t="inlineStr">
        <is>
          <t>A 41199-2023</t>
        </is>
      </c>
      <c r="B896" s="1" t="n">
        <v>45174.40454861111</v>
      </c>
      <c r="C896" s="1" t="n">
        <v>46073</v>
      </c>
      <c r="D896" t="inlineStr">
        <is>
          <t>KALMAR LÄN</t>
        </is>
      </c>
      <c r="E896" t="inlineStr">
        <is>
          <t>VIMMERBY</t>
        </is>
      </c>
      <c r="G896" t="n">
        <v>1.3</v>
      </c>
      <c r="H896" t="n">
        <v>0</v>
      </c>
      <c r="I896" t="n">
        <v>0</v>
      </c>
      <c r="J896" t="n">
        <v>0</v>
      </c>
      <c r="K896" t="n">
        <v>0</v>
      </c>
      <c r="L896" t="n">
        <v>0</v>
      </c>
      <c r="M896" t="n">
        <v>0</v>
      </c>
      <c r="N896" t="n">
        <v>0</v>
      </c>
      <c r="O896" t="n">
        <v>0</v>
      </c>
      <c r="P896" t="n">
        <v>0</v>
      </c>
      <c r="Q896" t="n">
        <v>0</v>
      </c>
      <c r="R896" s="2" t="inlineStr"/>
    </row>
    <row r="897" ht="15" customHeight="1">
      <c r="A897" t="inlineStr">
        <is>
          <t>A 36014-2024</t>
        </is>
      </c>
      <c r="B897" s="1" t="n">
        <v>45533.56108796296</v>
      </c>
      <c r="C897" s="1" t="n">
        <v>46073</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36030-2024</t>
        </is>
      </c>
      <c r="B898" s="1" t="n">
        <v>45533.58302083334</v>
      </c>
      <c r="C898" s="1" t="n">
        <v>46073</v>
      </c>
      <c r="D898" t="inlineStr">
        <is>
          <t>KALMAR LÄN</t>
        </is>
      </c>
      <c r="E898" t="inlineStr">
        <is>
          <t>VIMMERBY</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6321-2023</t>
        </is>
      </c>
      <c r="B899" s="1" t="n">
        <v>44965.4815162037</v>
      </c>
      <c r="C899" s="1" t="n">
        <v>46073</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52755-2022</t>
        </is>
      </c>
      <c r="B900" s="1" t="n">
        <v>44875.27736111111</v>
      </c>
      <c r="C900" s="1" t="n">
        <v>46073</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40823-2023</t>
        </is>
      </c>
      <c r="B901" s="1" t="n">
        <v>45171.77335648148</v>
      </c>
      <c r="C901" s="1" t="n">
        <v>46073</v>
      </c>
      <c r="D901" t="inlineStr">
        <is>
          <t>KALMAR LÄN</t>
        </is>
      </c>
      <c r="E901" t="inlineStr">
        <is>
          <t>VIMMERBY</t>
        </is>
      </c>
      <c r="G901" t="n">
        <v>2.7</v>
      </c>
      <c r="H901" t="n">
        <v>0</v>
      </c>
      <c r="I901" t="n">
        <v>0</v>
      </c>
      <c r="J901" t="n">
        <v>0</v>
      </c>
      <c r="K901" t="n">
        <v>0</v>
      </c>
      <c r="L901" t="n">
        <v>0</v>
      </c>
      <c r="M901" t="n">
        <v>0</v>
      </c>
      <c r="N901" t="n">
        <v>0</v>
      </c>
      <c r="O901" t="n">
        <v>0</v>
      </c>
      <c r="P901" t="n">
        <v>0</v>
      </c>
      <c r="Q901" t="n">
        <v>0</v>
      </c>
      <c r="R901" s="2" t="inlineStr"/>
    </row>
    <row r="902" ht="15" customHeight="1">
      <c r="A902" t="inlineStr">
        <is>
          <t>A 27761-2024</t>
        </is>
      </c>
      <c r="B902" s="1" t="n">
        <v>45475.49018518518</v>
      </c>
      <c r="C902" s="1" t="n">
        <v>46073</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21028-2023</t>
        </is>
      </c>
      <c r="B903" s="1" t="n">
        <v>45061</v>
      </c>
      <c r="C903" s="1" t="n">
        <v>46073</v>
      </c>
      <c r="D903" t="inlineStr">
        <is>
          <t>KALMAR LÄN</t>
        </is>
      </c>
      <c r="E903" t="inlineStr">
        <is>
          <t>VIMMERBY</t>
        </is>
      </c>
      <c r="F903" t="inlineStr">
        <is>
          <t>Övriga Aktiebolag</t>
        </is>
      </c>
      <c r="G903" t="n">
        <v>0.7</v>
      </c>
      <c r="H903" t="n">
        <v>0</v>
      </c>
      <c r="I903" t="n">
        <v>0</v>
      </c>
      <c r="J903" t="n">
        <v>0</v>
      </c>
      <c r="K903" t="n">
        <v>0</v>
      </c>
      <c r="L903" t="n">
        <v>0</v>
      </c>
      <c r="M903" t="n">
        <v>0</v>
      </c>
      <c r="N903" t="n">
        <v>0</v>
      </c>
      <c r="O903" t="n">
        <v>0</v>
      </c>
      <c r="P903" t="n">
        <v>0</v>
      </c>
      <c r="Q903" t="n">
        <v>0</v>
      </c>
      <c r="R903" s="2" t="inlineStr"/>
    </row>
    <row r="904" ht="15" customHeight="1">
      <c r="A904" t="inlineStr">
        <is>
          <t>A 64203-2021</t>
        </is>
      </c>
      <c r="B904" s="1" t="n">
        <v>44510.60921296296</v>
      </c>
      <c r="C904" s="1" t="n">
        <v>46073</v>
      </c>
      <c r="D904" t="inlineStr">
        <is>
          <t>KALMAR LÄN</t>
        </is>
      </c>
      <c r="E904" t="inlineStr">
        <is>
          <t>VIMMERBY</t>
        </is>
      </c>
      <c r="F904" t="inlineStr">
        <is>
          <t>Övriga Aktiebolag</t>
        </is>
      </c>
      <c r="G904" t="n">
        <v>5.4</v>
      </c>
      <c r="H904" t="n">
        <v>0</v>
      </c>
      <c r="I904" t="n">
        <v>0</v>
      </c>
      <c r="J904" t="n">
        <v>0</v>
      </c>
      <c r="K904" t="n">
        <v>0</v>
      </c>
      <c r="L904" t="n">
        <v>0</v>
      </c>
      <c r="M904" t="n">
        <v>0</v>
      </c>
      <c r="N904" t="n">
        <v>0</v>
      </c>
      <c r="O904" t="n">
        <v>0</v>
      </c>
      <c r="P904" t="n">
        <v>0</v>
      </c>
      <c r="Q904" t="n">
        <v>0</v>
      </c>
      <c r="R904" s="2" t="inlineStr"/>
    </row>
    <row r="905" ht="15" customHeight="1">
      <c r="A905" t="inlineStr">
        <is>
          <t>A 1016-2024</t>
        </is>
      </c>
      <c r="B905" s="1" t="n">
        <v>45301</v>
      </c>
      <c r="C905" s="1" t="n">
        <v>46073</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1024-2024</t>
        </is>
      </c>
      <c r="B906" s="1" t="n">
        <v>45301.68237268519</v>
      </c>
      <c r="C906" s="1" t="n">
        <v>46073</v>
      </c>
      <c r="D906" t="inlineStr">
        <is>
          <t>KALMAR LÄN</t>
        </is>
      </c>
      <c r="E906" t="inlineStr">
        <is>
          <t>VIMMERBY</t>
        </is>
      </c>
      <c r="G906" t="n">
        <v>13</v>
      </c>
      <c r="H906" t="n">
        <v>0</v>
      </c>
      <c r="I906" t="n">
        <v>0</v>
      </c>
      <c r="J906" t="n">
        <v>0</v>
      </c>
      <c r="K906" t="n">
        <v>0</v>
      </c>
      <c r="L906" t="n">
        <v>0</v>
      </c>
      <c r="M906" t="n">
        <v>0</v>
      </c>
      <c r="N906" t="n">
        <v>0</v>
      </c>
      <c r="O906" t="n">
        <v>0</v>
      </c>
      <c r="P906" t="n">
        <v>0</v>
      </c>
      <c r="Q906" t="n">
        <v>0</v>
      </c>
      <c r="R906" s="2" t="inlineStr"/>
    </row>
    <row r="907" ht="15" customHeight="1">
      <c r="A907" t="inlineStr">
        <is>
          <t>A 27758-2024</t>
        </is>
      </c>
      <c r="B907" s="1" t="n">
        <v>45475.48303240741</v>
      </c>
      <c r="C907" s="1" t="n">
        <v>46073</v>
      </c>
      <c r="D907" t="inlineStr">
        <is>
          <t>KALMAR LÄN</t>
        </is>
      </c>
      <c r="E907" t="inlineStr">
        <is>
          <t>VIMMERBY</t>
        </is>
      </c>
      <c r="G907" t="n">
        <v>2.6</v>
      </c>
      <c r="H907" t="n">
        <v>0</v>
      </c>
      <c r="I907" t="n">
        <v>0</v>
      </c>
      <c r="J907" t="n">
        <v>0</v>
      </c>
      <c r="K907" t="n">
        <v>0</v>
      </c>
      <c r="L907" t="n">
        <v>0</v>
      </c>
      <c r="M907" t="n">
        <v>0</v>
      </c>
      <c r="N907" t="n">
        <v>0</v>
      </c>
      <c r="O907" t="n">
        <v>0</v>
      </c>
      <c r="P907" t="n">
        <v>0</v>
      </c>
      <c r="Q907" t="n">
        <v>0</v>
      </c>
      <c r="R907" s="2" t="inlineStr"/>
    </row>
    <row r="908" ht="15" customHeight="1">
      <c r="A908" t="inlineStr">
        <is>
          <t>A 32865-2023</t>
        </is>
      </c>
      <c r="B908" s="1" t="n">
        <v>45124</v>
      </c>
      <c r="C908" s="1" t="n">
        <v>46073</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22194-2024</t>
        </is>
      </c>
      <c r="B909" s="1" t="n">
        <v>45446.36482638889</v>
      </c>
      <c r="C909" s="1" t="n">
        <v>46073</v>
      </c>
      <c r="D909" t="inlineStr">
        <is>
          <t>KALMAR LÄN</t>
        </is>
      </c>
      <c r="E909" t="inlineStr">
        <is>
          <t>VIMMERBY</t>
        </is>
      </c>
      <c r="F909" t="inlineStr">
        <is>
          <t>Sveaskog</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17926-2025</t>
        </is>
      </c>
      <c r="B910" s="1" t="n">
        <v>45759.38987268518</v>
      </c>
      <c r="C910" s="1" t="n">
        <v>46073</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35127-2024</t>
        </is>
      </c>
      <c r="B911" s="1" t="n">
        <v>45530.33202546297</v>
      </c>
      <c r="C911" s="1" t="n">
        <v>46073</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33383-2023</t>
        </is>
      </c>
      <c r="B912" s="1" t="n">
        <v>45128.58414351852</v>
      </c>
      <c r="C912" s="1" t="n">
        <v>46073</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c r="A913" t="inlineStr">
        <is>
          <t>A 4297-2022</t>
        </is>
      </c>
      <c r="B913" s="1" t="n">
        <v>44588</v>
      </c>
      <c r="C913" s="1" t="n">
        <v>46073</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2026-02-20T11:01:23Z</dcterms:created>
  <dcterms:modified xmlns:dcterms="http://purl.org/dc/terms/" xmlns:xsi="http://www.w3.org/2001/XMLSchema-instance" xsi:type="dcterms:W3CDTF">2026-02-20T11:01:24Z</dcterms:modified>
</cp:coreProperties>
</file>