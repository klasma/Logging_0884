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45937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45937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45937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45937</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45937</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45937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45937</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45937</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45937</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45937</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45937</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45937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45937</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22396-2025</t>
        </is>
      </c>
      <c r="B24" s="1" t="n">
        <v>45786.52827546297</v>
      </c>
      <c r="C24" s="1" t="n">
        <v>45937</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2518-2023</t>
        </is>
      </c>
      <c r="B25" s="1" t="n">
        <v>44943</v>
      </c>
      <c r="C25" s="1" t="n">
        <v>45937</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45937</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22825-2023</t>
        </is>
      </c>
      <c r="B27" s="1" t="n">
        <v>45072</v>
      </c>
      <c r="C27" s="1" t="n">
        <v>45937</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40684-2025</t>
        </is>
      </c>
      <c r="B28" s="1" t="n">
        <v>45896.86820601852</v>
      </c>
      <c r="C28" s="1" t="n">
        <v>45937</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19158-2023</t>
        </is>
      </c>
      <c r="B29" s="1" t="n">
        <v>45048</v>
      </c>
      <c r="C29" s="1" t="n">
        <v>45937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42802-2025</t>
        </is>
      </c>
      <c r="B30" s="1" t="n">
        <v>45908</v>
      </c>
      <c r="C30" s="1" t="n">
        <v>45937</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45937</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15122-2024</t>
        </is>
      </c>
      <c r="B32" s="1" t="n">
        <v>45399.71412037037</v>
      </c>
      <c r="C32" s="1" t="n">
        <v>45937</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45937</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37930-2021</t>
        </is>
      </c>
      <c r="B34" s="1" t="n">
        <v>44403</v>
      </c>
      <c r="C34" s="1" t="n">
        <v>45937</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28852-2023</t>
        </is>
      </c>
      <c r="B35" s="1" t="n">
        <v>45104</v>
      </c>
      <c r="C35" s="1" t="n">
        <v>45937</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45937</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1201-2025</t>
        </is>
      </c>
      <c r="B37" s="1" t="n">
        <v>45667</v>
      </c>
      <c r="C37" s="1" t="n">
        <v>45937</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38602-2025</t>
        </is>
      </c>
      <c r="B38" s="1" t="n">
        <v>45884.50331018519</v>
      </c>
      <c r="C38" s="1" t="n">
        <v>45937</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38602-2025 artfynd.xlsx", "A 38602-2025")</f>
        <v/>
      </c>
      <c r="T38">
        <f>HYPERLINK("https://klasma.github.io/Logging_0884/kartor/A 38602-2025 karta.png", "A 38602-2025")</f>
        <v/>
      </c>
      <c r="U38">
        <f>HYPERLINK("https://klasma.github.io/Logging_0884/knärot/A 38602-2025 karta knärot.png", "A 38602-2025")</f>
        <v/>
      </c>
      <c r="V38">
        <f>HYPERLINK("https://klasma.github.io/Logging_0884/klagomål/A 38602-2025 FSC-klagomål.docx", "A 38602-2025")</f>
        <v/>
      </c>
      <c r="W38">
        <f>HYPERLINK("https://klasma.github.io/Logging_0884/klagomålsmail/A 38602-2025 FSC-klagomål mail.docx", "A 38602-2025")</f>
        <v/>
      </c>
      <c r="X38">
        <f>HYPERLINK("https://klasma.github.io/Logging_0884/tillsyn/A 38602-2025 tillsynsbegäran.docx", "A 38602-2025")</f>
        <v/>
      </c>
      <c r="Y38">
        <f>HYPERLINK("https://klasma.github.io/Logging_0884/tillsynsmail/A 38602-2025 tillsynsbegäran mail.docx", "A 38602-2025")</f>
        <v/>
      </c>
    </row>
    <row r="39" ht="15" customHeight="1">
      <c r="A39" t="inlineStr">
        <is>
          <t>A 40083-2023</t>
        </is>
      </c>
      <c r="B39" s="1" t="n">
        <v>45168</v>
      </c>
      <c r="C39" s="1" t="n">
        <v>45937</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45937</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46824-2025</t>
        </is>
      </c>
      <c r="B41" s="1" t="n">
        <v>45926.90006944445</v>
      </c>
      <c r="C41" s="1" t="n">
        <v>45937</v>
      </c>
      <c r="D41" t="inlineStr">
        <is>
          <t>KALMAR LÄN</t>
        </is>
      </c>
      <c r="E41" t="inlineStr">
        <is>
          <t>VIMMERBY</t>
        </is>
      </c>
      <c r="G41" t="n">
        <v>2.8</v>
      </c>
      <c r="H41" t="n">
        <v>1</v>
      </c>
      <c r="I41" t="n">
        <v>0</v>
      </c>
      <c r="J41" t="n">
        <v>0</v>
      </c>
      <c r="K41" t="n">
        <v>1</v>
      </c>
      <c r="L41" t="n">
        <v>0</v>
      </c>
      <c r="M41" t="n">
        <v>0</v>
      </c>
      <c r="N41" t="n">
        <v>0</v>
      </c>
      <c r="O41" t="n">
        <v>1</v>
      </c>
      <c r="P41" t="n">
        <v>1</v>
      </c>
      <c r="Q41" t="n">
        <v>1</v>
      </c>
      <c r="R41" s="2" t="inlineStr">
        <is>
          <t>Knärot</t>
        </is>
      </c>
      <c r="S41">
        <f>HYPERLINK("https://klasma.github.io/Logging_0884/artfynd/A 46824-2025 artfynd.xlsx", "A 46824-2025")</f>
        <v/>
      </c>
      <c r="T41">
        <f>HYPERLINK("https://klasma.github.io/Logging_0884/kartor/A 46824-2025 karta.png", "A 46824-2025")</f>
        <v/>
      </c>
      <c r="U41">
        <f>HYPERLINK("https://klasma.github.io/Logging_0884/knärot/A 46824-2025 karta knärot.png", "A 46824-2025")</f>
        <v/>
      </c>
      <c r="V41">
        <f>HYPERLINK("https://klasma.github.io/Logging_0884/klagomål/A 46824-2025 FSC-klagomål.docx", "A 46824-2025")</f>
        <v/>
      </c>
      <c r="W41">
        <f>HYPERLINK("https://klasma.github.io/Logging_0884/klagomålsmail/A 46824-2025 FSC-klagomål mail.docx", "A 46824-2025")</f>
        <v/>
      </c>
      <c r="X41">
        <f>HYPERLINK("https://klasma.github.io/Logging_0884/tillsyn/A 46824-2025 tillsynsbegäran.docx", "A 46824-2025")</f>
        <v/>
      </c>
      <c r="Y41">
        <f>HYPERLINK("https://klasma.github.io/Logging_0884/tillsynsmail/A 46824-2025 tillsynsbegäran mail.docx", "A 46824-2025")</f>
        <v/>
      </c>
    </row>
    <row r="42" ht="15" customHeight="1">
      <c r="A42" t="inlineStr">
        <is>
          <t>A 6841-2021</t>
        </is>
      </c>
      <c r="B42" s="1" t="n">
        <v>44236</v>
      </c>
      <c r="C42" s="1" t="n">
        <v>45937</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29183-2025</t>
        </is>
      </c>
      <c r="B43" s="1" t="n">
        <v>45821</v>
      </c>
      <c r="C43" s="1" t="n">
        <v>45937</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61860-2024</t>
        </is>
      </c>
      <c r="B44" s="1" t="n">
        <v>45649</v>
      </c>
      <c r="C44" s="1" t="n">
        <v>45937</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9067-2025</t>
        </is>
      </c>
      <c r="B45" s="1" t="n">
        <v>45713</v>
      </c>
      <c r="C45" s="1" t="n">
        <v>45937</v>
      </c>
      <c r="D45" t="inlineStr">
        <is>
          <t>KALMAR LÄN</t>
        </is>
      </c>
      <c r="E45" t="inlineStr">
        <is>
          <t>VIMMERBY</t>
        </is>
      </c>
      <c r="G45" t="n">
        <v>3.9</v>
      </c>
      <c r="H45" t="n">
        <v>0</v>
      </c>
      <c r="I45" t="n">
        <v>1</v>
      </c>
      <c r="J45" t="n">
        <v>0</v>
      </c>
      <c r="K45" t="n">
        <v>0</v>
      </c>
      <c r="L45" t="n">
        <v>0</v>
      </c>
      <c r="M45" t="n">
        <v>0</v>
      </c>
      <c r="N45" t="n">
        <v>0</v>
      </c>
      <c r="O45" t="n">
        <v>0</v>
      </c>
      <c r="P45" t="n">
        <v>0</v>
      </c>
      <c r="Q45" t="n">
        <v>1</v>
      </c>
      <c r="R45" s="2" t="inlineStr">
        <is>
          <t>Ögonpyrola</t>
        </is>
      </c>
      <c r="S45">
        <f>HYPERLINK("https://klasma.github.io/Logging_0884/artfynd/A 9067-2025 artfynd.xlsx", "A 9067-2025")</f>
        <v/>
      </c>
      <c r="T45">
        <f>HYPERLINK("https://klasma.github.io/Logging_0884/kartor/A 9067-2025 karta.png", "A 9067-2025")</f>
        <v/>
      </c>
      <c r="V45">
        <f>HYPERLINK("https://klasma.github.io/Logging_0884/klagomål/A 9067-2025 FSC-klagomål.docx", "A 9067-2025")</f>
        <v/>
      </c>
      <c r="W45">
        <f>HYPERLINK("https://klasma.github.io/Logging_0884/klagomålsmail/A 9067-2025 FSC-klagomål mail.docx", "A 9067-2025")</f>
        <v/>
      </c>
      <c r="X45">
        <f>HYPERLINK("https://klasma.github.io/Logging_0884/tillsyn/A 9067-2025 tillsynsbegäran.docx", "A 9067-2025")</f>
        <v/>
      </c>
      <c r="Y45">
        <f>HYPERLINK("https://klasma.github.io/Logging_0884/tillsynsmail/A 9067-2025 tillsynsbegäran mail.docx", "A 9067-2025")</f>
        <v/>
      </c>
    </row>
    <row r="46" ht="15" customHeight="1">
      <c r="A46" t="inlineStr">
        <is>
          <t>A 23602-2023</t>
        </is>
      </c>
      <c r="B46" s="1" t="n">
        <v>45077</v>
      </c>
      <c r="C46" s="1" t="n">
        <v>45937</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52301-2023</t>
        </is>
      </c>
      <c r="B47" s="1" t="n">
        <v>45224</v>
      </c>
      <c r="C47" s="1" t="n">
        <v>45937</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45937</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45937</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45937</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45937</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45937</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45937</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45937</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45937</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45937</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45937</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45937</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45937</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45937</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45937</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45937</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45937</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45937</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45937</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45937</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45937</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45937</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45937</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45937</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45937</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45937</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45937</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45937</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45937</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45937</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45937</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45937</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45937</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45937</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45937</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45937</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45937</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45937</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45937</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45937</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45937</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45937</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45937</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45937</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45937</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45937</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45937</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45937</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45937</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45937</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45937</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45937</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45937</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45937</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45937</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45937</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45937</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45937</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45937</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45937</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45937</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45937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45937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45937</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45937</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45937</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45937</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45937</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45937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45937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51972-2021</t>
        </is>
      </c>
      <c r="B120" s="1" t="n">
        <v>44463.29439814815</v>
      </c>
      <c r="C120" s="1" t="n">
        <v>45937</v>
      </c>
      <c r="D120" t="inlineStr">
        <is>
          <t>KALMAR LÄN</t>
        </is>
      </c>
      <c r="E120" t="inlineStr">
        <is>
          <t>VIMMERBY</t>
        </is>
      </c>
      <c r="G120" t="n">
        <v>4.5</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45937</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45937</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45937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52073-2020</t>
        </is>
      </c>
      <c r="B124" s="1" t="n">
        <v>44117</v>
      </c>
      <c r="C124" s="1" t="n">
        <v>45937</v>
      </c>
      <c r="D124" t="inlineStr">
        <is>
          <t>KALMAR LÄN</t>
        </is>
      </c>
      <c r="E124" t="inlineStr">
        <is>
          <t>VIMMERBY</t>
        </is>
      </c>
      <c r="G124" t="n">
        <v>2.3</v>
      </c>
      <c r="H124" t="n">
        <v>0</v>
      </c>
      <c r="I124" t="n">
        <v>0</v>
      </c>
      <c r="J124" t="n">
        <v>0</v>
      </c>
      <c r="K124" t="n">
        <v>0</v>
      </c>
      <c r="L124" t="n">
        <v>0</v>
      </c>
      <c r="M124" t="n">
        <v>0</v>
      </c>
      <c r="N124" t="n">
        <v>0</v>
      </c>
      <c r="O124" t="n">
        <v>0</v>
      </c>
      <c r="P124" t="n">
        <v>0</v>
      </c>
      <c r="Q124" t="n">
        <v>0</v>
      </c>
      <c r="R124" s="2" t="inlineStr"/>
    </row>
    <row r="125" ht="15" customHeight="1">
      <c r="A125" t="inlineStr">
        <is>
          <t>A 25859-2022</t>
        </is>
      </c>
      <c r="B125" s="1" t="n">
        <v>44733</v>
      </c>
      <c r="C125" s="1" t="n">
        <v>45937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25868-2022</t>
        </is>
      </c>
      <c r="B126" s="1" t="n">
        <v>44733</v>
      </c>
      <c r="C126" s="1" t="n">
        <v>45937</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45937</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45937</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14521-2021</t>
        </is>
      </c>
      <c r="B129" s="1" t="n">
        <v>44279.64934027778</v>
      </c>
      <c r="C129" s="1" t="n">
        <v>45937</v>
      </c>
      <c r="D129" t="inlineStr">
        <is>
          <t>KALMAR LÄN</t>
        </is>
      </c>
      <c r="E129" t="inlineStr">
        <is>
          <t>VIMMERBY</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15533-2022</t>
        </is>
      </c>
      <c r="B130" s="1" t="n">
        <v>44662</v>
      </c>
      <c r="C130" s="1" t="n">
        <v>45937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165-2022</t>
        </is>
      </c>
      <c r="B131" s="1" t="n">
        <v>44564</v>
      </c>
      <c r="C131" s="1" t="n">
        <v>45937</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34040-2021</t>
        </is>
      </c>
      <c r="B132" s="1" t="n">
        <v>44379</v>
      </c>
      <c r="C132" s="1" t="n">
        <v>45937</v>
      </c>
      <c r="D132" t="inlineStr">
        <is>
          <t>KALMAR LÄN</t>
        </is>
      </c>
      <c r="E132" t="inlineStr">
        <is>
          <t>VIMMERBY</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15200-2021</t>
        </is>
      </c>
      <c r="B133" s="1" t="n">
        <v>44284.44574074074</v>
      </c>
      <c r="C133" s="1" t="n">
        <v>45937</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35198-2021</t>
        </is>
      </c>
      <c r="B134" s="1" t="n">
        <v>44377</v>
      </c>
      <c r="C134" s="1" t="n">
        <v>45937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45937</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34036-2021</t>
        </is>
      </c>
      <c r="B136" s="1" t="n">
        <v>44379</v>
      </c>
      <c r="C136" s="1" t="n">
        <v>45937</v>
      </c>
      <c r="D136" t="inlineStr">
        <is>
          <t>KALMAR LÄN</t>
        </is>
      </c>
      <c r="E136" t="inlineStr">
        <is>
          <t>VIMMERBY</t>
        </is>
      </c>
      <c r="F136" t="inlineStr">
        <is>
          <t>Sveaskog</t>
        </is>
      </c>
      <c r="G136" t="n">
        <v>7</v>
      </c>
      <c r="H136" t="n">
        <v>0</v>
      </c>
      <c r="I136" t="n">
        <v>0</v>
      </c>
      <c r="J136" t="n">
        <v>0</v>
      </c>
      <c r="K136" t="n">
        <v>0</v>
      </c>
      <c r="L136" t="n">
        <v>0</v>
      </c>
      <c r="M136" t="n">
        <v>0</v>
      </c>
      <c r="N136" t="n">
        <v>0</v>
      </c>
      <c r="O136" t="n">
        <v>0</v>
      </c>
      <c r="P136" t="n">
        <v>0</v>
      </c>
      <c r="Q136" t="n">
        <v>0</v>
      </c>
      <c r="R136" s="2" t="inlineStr"/>
    </row>
    <row r="137" ht="15" customHeight="1">
      <c r="A137" t="inlineStr">
        <is>
          <t>A 618-2021</t>
        </is>
      </c>
      <c r="B137" s="1" t="n">
        <v>44203</v>
      </c>
      <c r="C137" s="1" t="n">
        <v>45937</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45937</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63244-2021</t>
        </is>
      </c>
      <c r="B139" s="1" t="n">
        <v>44508</v>
      </c>
      <c r="C139" s="1" t="n">
        <v>45937</v>
      </c>
      <c r="D139" t="inlineStr">
        <is>
          <t>KALMAR LÄN</t>
        </is>
      </c>
      <c r="E139" t="inlineStr">
        <is>
          <t>VIMMERBY</t>
        </is>
      </c>
      <c r="F139" t="inlineStr">
        <is>
          <t>Övriga statliga verk och myndigheter</t>
        </is>
      </c>
      <c r="G139" t="n">
        <v>0.6</v>
      </c>
      <c r="H139" t="n">
        <v>0</v>
      </c>
      <c r="I139" t="n">
        <v>0</v>
      </c>
      <c r="J139" t="n">
        <v>0</v>
      </c>
      <c r="K139" t="n">
        <v>0</v>
      </c>
      <c r="L139" t="n">
        <v>0</v>
      </c>
      <c r="M139" t="n">
        <v>0</v>
      </c>
      <c r="N139" t="n">
        <v>0</v>
      </c>
      <c r="O139" t="n">
        <v>0</v>
      </c>
      <c r="P139" t="n">
        <v>0</v>
      </c>
      <c r="Q139" t="n">
        <v>0</v>
      </c>
      <c r="R139" s="2" t="inlineStr"/>
    </row>
    <row r="140" ht="15" customHeight="1">
      <c r="A140" t="inlineStr">
        <is>
          <t>A 32603-2021</t>
        </is>
      </c>
      <c r="B140" s="1" t="n">
        <v>44375.38789351852</v>
      </c>
      <c r="C140" s="1" t="n">
        <v>45937</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16602-2021</t>
        </is>
      </c>
      <c r="B141" s="1" t="n">
        <v>44294</v>
      </c>
      <c r="C141" s="1" t="n">
        <v>45937</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16607-2021</t>
        </is>
      </c>
      <c r="B142" s="1" t="n">
        <v>44294</v>
      </c>
      <c r="C142" s="1" t="n">
        <v>45937</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17029-2022</t>
        </is>
      </c>
      <c r="B143" s="1" t="n">
        <v>44676.85248842592</v>
      </c>
      <c r="C143" s="1" t="n">
        <v>45937</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12241-2021</t>
        </is>
      </c>
      <c r="B144" s="1" t="n">
        <v>44266.7240625</v>
      </c>
      <c r="C144" s="1" t="n">
        <v>45937</v>
      </c>
      <c r="D144" t="inlineStr">
        <is>
          <t>KALMAR LÄN</t>
        </is>
      </c>
      <c r="E144" t="inlineStr">
        <is>
          <t>VIMMERBY</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7167-2022</t>
        </is>
      </c>
      <c r="B145" s="1" t="n">
        <v>44604</v>
      </c>
      <c r="C145" s="1" t="n">
        <v>45937</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12662-2021</t>
        </is>
      </c>
      <c r="B146" s="1" t="n">
        <v>44270.49743055556</v>
      </c>
      <c r="C146" s="1" t="n">
        <v>45937</v>
      </c>
      <c r="D146" t="inlineStr">
        <is>
          <t>KALMAR LÄN</t>
        </is>
      </c>
      <c r="E146" t="inlineStr">
        <is>
          <t>VIMMERBY</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18356-2021</t>
        </is>
      </c>
      <c r="B147" s="1" t="n">
        <v>44305</v>
      </c>
      <c r="C147" s="1" t="n">
        <v>45937</v>
      </c>
      <c r="D147" t="inlineStr">
        <is>
          <t>KALMAR LÄN</t>
        </is>
      </c>
      <c r="E147" t="inlineStr">
        <is>
          <t>VIMMERBY</t>
        </is>
      </c>
      <c r="G147" t="n">
        <v>3.4</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45937</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45937</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23825-2022</t>
        </is>
      </c>
      <c r="B150" s="1" t="n">
        <v>44722.48768518519</v>
      </c>
      <c r="C150" s="1" t="n">
        <v>45937</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35001-2021</t>
        </is>
      </c>
      <c r="B151" s="1" t="n">
        <v>44383</v>
      </c>
      <c r="C151" s="1" t="n">
        <v>45937</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55674-2021</t>
        </is>
      </c>
      <c r="B152" s="1" t="n">
        <v>44476</v>
      </c>
      <c r="C152" s="1" t="n">
        <v>45937</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46964-2022</t>
        </is>
      </c>
      <c r="B153" s="1" t="n">
        <v>44851.95016203704</v>
      </c>
      <c r="C153" s="1" t="n">
        <v>45937</v>
      </c>
      <c r="D153" t="inlineStr">
        <is>
          <t>KALMAR LÄN</t>
        </is>
      </c>
      <c r="E153" t="inlineStr">
        <is>
          <t>VIMMERBY</t>
        </is>
      </c>
      <c r="G153" t="n">
        <v>0.2</v>
      </c>
      <c r="H153" t="n">
        <v>0</v>
      </c>
      <c r="I153" t="n">
        <v>0</v>
      </c>
      <c r="J153" t="n">
        <v>0</v>
      </c>
      <c r="K153" t="n">
        <v>0</v>
      </c>
      <c r="L153" t="n">
        <v>0</v>
      </c>
      <c r="M153" t="n">
        <v>0</v>
      </c>
      <c r="N153" t="n">
        <v>0</v>
      </c>
      <c r="O153" t="n">
        <v>0</v>
      </c>
      <c r="P153" t="n">
        <v>0</v>
      </c>
      <c r="Q153" t="n">
        <v>0</v>
      </c>
      <c r="R153" s="2" t="inlineStr"/>
    </row>
    <row r="154" ht="15" customHeight="1">
      <c r="A154" t="inlineStr">
        <is>
          <t>A 11814-2022</t>
        </is>
      </c>
      <c r="B154" s="1" t="n">
        <v>44634.69703703704</v>
      </c>
      <c r="C154" s="1" t="n">
        <v>45937</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40077-2021</t>
        </is>
      </c>
      <c r="B155" s="1" t="n">
        <v>44418</v>
      </c>
      <c r="C155" s="1" t="n">
        <v>45937</v>
      </c>
      <c r="D155" t="inlineStr">
        <is>
          <t>KALMAR LÄN</t>
        </is>
      </c>
      <c r="E155" t="inlineStr">
        <is>
          <t>VIMMERBY</t>
        </is>
      </c>
      <c r="G155" t="n">
        <v>2.9</v>
      </c>
      <c r="H155" t="n">
        <v>0</v>
      </c>
      <c r="I155" t="n">
        <v>0</v>
      </c>
      <c r="J155" t="n">
        <v>0</v>
      </c>
      <c r="K155" t="n">
        <v>0</v>
      </c>
      <c r="L155" t="n">
        <v>0</v>
      </c>
      <c r="M155" t="n">
        <v>0</v>
      </c>
      <c r="N155" t="n">
        <v>0</v>
      </c>
      <c r="O155" t="n">
        <v>0</v>
      </c>
      <c r="P155" t="n">
        <v>0</v>
      </c>
      <c r="Q155" t="n">
        <v>0</v>
      </c>
      <c r="R155" s="2" t="inlineStr"/>
    </row>
    <row r="156" ht="15" customHeight="1">
      <c r="A156" t="inlineStr">
        <is>
          <t>A 56385-2021</t>
        </is>
      </c>
      <c r="B156" s="1" t="n">
        <v>44480</v>
      </c>
      <c r="C156" s="1" t="n">
        <v>45937</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31053-2022</t>
        </is>
      </c>
      <c r="B157" s="1" t="n">
        <v>44769.45422453704</v>
      </c>
      <c r="C157" s="1" t="n">
        <v>45937</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24738-2021</t>
        </is>
      </c>
      <c r="B158" s="1" t="n">
        <v>44340.58002314815</v>
      </c>
      <c r="C158" s="1" t="n">
        <v>45937</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47769-2022</t>
        </is>
      </c>
      <c r="B159" s="1" t="n">
        <v>44854</v>
      </c>
      <c r="C159" s="1" t="n">
        <v>45937</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13180-2022</t>
        </is>
      </c>
      <c r="B160" s="1" t="n">
        <v>44644</v>
      </c>
      <c r="C160" s="1" t="n">
        <v>45937</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57948-2020</t>
        </is>
      </c>
      <c r="B161" s="1" t="n">
        <v>44142</v>
      </c>
      <c r="C161" s="1" t="n">
        <v>45937</v>
      </c>
      <c r="D161" t="inlineStr">
        <is>
          <t>KALMAR LÄN</t>
        </is>
      </c>
      <c r="E161" t="inlineStr">
        <is>
          <t>VIMMERBY</t>
        </is>
      </c>
      <c r="G161" t="n">
        <v>7.1</v>
      </c>
      <c r="H161" t="n">
        <v>0</v>
      </c>
      <c r="I161" t="n">
        <v>0</v>
      </c>
      <c r="J161" t="n">
        <v>0</v>
      </c>
      <c r="K161" t="n">
        <v>0</v>
      </c>
      <c r="L161" t="n">
        <v>0</v>
      </c>
      <c r="M161" t="n">
        <v>0</v>
      </c>
      <c r="N161" t="n">
        <v>0</v>
      </c>
      <c r="O161" t="n">
        <v>0</v>
      </c>
      <c r="P161" t="n">
        <v>0</v>
      </c>
      <c r="Q161" t="n">
        <v>0</v>
      </c>
      <c r="R161" s="2" t="inlineStr"/>
    </row>
    <row r="162" ht="15" customHeight="1">
      <c r="A162" t="inlineStr">
        <is>
          <t>A 8454-2022</t>
        </is>
      </c>
      <c r="B162" s="1" t="n">
        <v>44612.86762731482</v>
      </c>
      <c r="C162" s="1" t="n">
        <v>45937</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18276-2021</t>
        </is>
      </c>
      <c r="B163" s="1" t="n">
        <v>44305.40046296296</v>
      </c>
      <c r="C163" s="1" t="n">
        <v>45937</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47473-2021</t>
        </is>
      </c>
      <c r="B164" s="1" t="n">
        <v>44447</v>
      </c>
      <c r="C164" s="1" t="n">
        <v>45937</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65887-2021</t>
        </is>
      </c>
      <c r="B165" s="1" t="n">
        <v>44517</v>
      </c>
      <c r="C165" s="1" t="n">
        <v>45937</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41056-2022</t>
        </is>
      </c>
      <c r="B166" s="1" t="n">
        <v>44824</v>
      </c>
      <c r="C166" s="1" t="n">
        <v>45937</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31660-2021</t>
        </is>
      </c>
      <c r="B167" s="1" t="n">
        <v>44369</v>
      </c>
      <c r="C167" s="1" t="n">
        <v>45937</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27455-2022</t>
        </is>
      </c>
      <c r="B168" s="1" t="n">
        <v>44742</v>
      </c>
      <c r="C168" s="1" t="n">
        <v>45937</v>
      </c>
      <c r="D168" t="inlineStr">
        <is>
          <t>KALMAR LÄN</t>
        </is>
      </c>
      <c r="E168" t="inlineStr">
        <is>
          <t>VIMMERBY</t>
        </is>
      </c>
      <c r="G168" t="n">
        <v>1.6</v>
      </c>
      <c r="H168" t="n">
        <v>0</v>
      </c>
      <c r="I168" t="n">
        <v>0</v>
      </c>
      <c r="J168" t="n">
        <v>0</v>
      </c>
      <c r="K168" t="n">
        <v>0</v>
      </c>
      <c r="L168" t="n">
        <v>0</v>
      </c>
      <c r="M168" t="n">
        <v>0</v>
      </c>
      <c r="N168" t="n">
        <v>0</v>
      </c>
      <c r="O168" t="n">
        <v>0</v>
      </c>
      <c r="P168" t="n">
        <v>0</v>
      </c>
      <c r="Q168" t="n">
        <v>0</v>
      </c>
      <c r="R168" s="2" t="inlineStr"/>
    </row>
    <row r="169" ht="15" customHeight="1">
      <c r="A169" t="inlineStr">
        <is>
          <t>A 39959-2022</t>
        </is>
      </c>
      <c r="B169" s="1" t="n">
        <v>44819</v>
      </c>
      <c r="C169" s="1" t="n">
        <v>45937</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42850-2022</t>
        </is>
      </c>
      <c r="B170" s="1" t="n">
        <v>44832.67608796297</v>
      </c>
      <c r="C170" s="1" t="n">
        <v>45937</v>
      </c>
      <c r="D170" t="inlineStr">
        <is>
          <t>KALMAR LÄN</t>
        </is>
      </c>
      <c r="E170" t="inlineStr">
        <is>
          <t>VIMMERBY</t>
        </is>
      </c>
      <c r="G170" t="n">
        <v>5.9</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45937</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22197-2024</t>
        </is>
      </c>
      <c r="B172" s="1" t="n">
        <v>45446.36774305555</v>
      </c>
      <c r="C172" s="1" t="n">
        <v>45937</v>
      </c>
      <c r="D172" t="inlineStr">
        <is>
          <t>KALMAR LÄN</t>
        </is>
      </c>
      <c r="E172" t="inlineStr">
        <is>
          <t>VIMMERBY</t>
        </is>
      </c>
      <c r="F172" t="inlineStr">
        <is>
          <t>Sveaskog</t>
        </is>
      </c>
      <c r="G172" t="n">
        <v>3.2</v>
      </c>
      <c r="H172" t="n">
        <v>0</v>
      </c>
      <c r="I172" t="n">
        <v>0</v>
      </c>
      <c r="J172" t="n">
        <v>0</v>
      </c>
      <c r="K172" t="n">
        <v>0</v>
      </c>
      <c r="L172" t="n">
        <v>0</v>
      </c>
      <c r="M172" t="n">
        <v>0</v>
      </c>
      <c r="N172" t="n">
        <v>0</v>
      </c>
      <c r="O172" t="n">
        <v>0</v>
      </c>
      <c r="P172" t="n">
        <v>0</v>
      </c>
      <c r="Q172" t="n">
        <v>0</v>
      </c>
      <c r="R172" s="2" t="inlineStr"/>
    </row>
    <row r="173" ht="15" customHeight="1">
      <c r="A173" t="inlineStr">
        <is>
          <t>A 12661-2021</t>
        </is>
      </c>
      <c r="B173" s="1" t="n">
        <v>44270</v>
      </c>
      <c r="C173" s="1" t="n">
        <v>45937</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24999-2021</t>
        </is>
      </c>
      <c r="B174" s="1" t="n">
        <v>44341</v>
      </c>
      <c r="C174" s="1" t="n">
        <v>45937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10086-2022</t>
        </is>
      </c>
      <c r="B175" s="1" t="n">
        <v>44621</v>
      </c>
      <c r="C175" s="1" t="n">
        <v>45937</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7917-2022</t>
        </is>
      </c>
      <c r="B176" s="1" t="n">
        <v>44608</v>
      </c>
      <c r="C176" s="1" t="n">
        <v>45937</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35710-2023</t>
        </is>
      </c>
      <c r="B177" s="1" t="n">
        <v>45147.67096064815</v>
      </c>
      <c r="C177" s="1" t="n">
        <v>45937</v>
      </c>
      <c r="D177" t="inlineStr">
        <is>
          <t>KALMAR LÄN</t>
        </is>
      </c>
      <c r="E177" t="inlineStr">
        <is>
          <t>VIMMERBY</t>
        </is>
      </c>
      <c r="G177" t="n">
        <v>3.1</v>
      </c>
      <c r="H177" t="n">
        <v>0</v>
      </c>
      <c r="I177" t="n">
        <v>0</v>
      </c>
      <c r="J177" t="n">
        <v>0</v>
      </c>
      <c r="K177" t="n">
        <v>0</v>
      </c>
      <c r="L177" t="n">
        <v>0</v>
      </c>
      <c r="M177" t="n">
        <v>0</v>
      </c>
      <c r="N177" t="n">
        <v>0</v>
      </c>
      <c r="O177" t="n">
        <v>0</v>
      </c>
      <c r="P177" t="n">
        <v>0</v>
      </c>
      <c r="Q177" t="n">
        <v>0</v>
      </c>
      <c r="R177" s="2" t="inlineStr"/>
    </row>
    <row r="178" ht="15" customHeight="1">
      <c r="A178" t="inlineStr">
        <is>
          <t>A 35711-2023</t>
        </is>
      </c>
      <c r="B178" s="1" t="n">
        <v>45147.67172453704</v>
      </c>
      <c r="C178" s="1" t="n">
        <v>45937</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47208-2021</t>
        </is>
      </c>
      <c r="B179" s="1" t="n">
        <v>44447.34237268518</v>
      </c>
      <c r="C179" s="1" t="n">
        <v>45937</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65564-2020</t>
        </is>
      </c>
      <c r="B180" s="1" t="n">
        <v>44172</v>
      </c>
      <c r="C180" s="1" t="n">
        <v>45937</v>
      </c>
      <c r="D180" t="inlineStr">
        <is>
          <t>KALMAR LÄN</t>
        </is>
      </c>
      <c r="E180" t="inlineStr">
        <is>
          <t>VIMMERBY</t>
        </is>
      </c>
      <c r="G180" t="n">
        <v>4.1</v>
      </c>
      <c r="H180" t="n">
        <v>0</v>
      </c>
      <c r="I180" t="n">
        <v>0</v>
      </c>
      <c r="J180" t="n">
        <v>0</v>
      </c>
      <c r="K180" t="n">
        <v>0</v>
      </c>
      <c r="L180" t="n">
        <v>0</v>
      </c>
      <c r="M180" t="n">
        <v>0</v>
      </c>
      <c r="N180" t="n">
        <v>0</v>
      </c>
      <c r="O180" t="n">
        <v>0</v>
      </c>
      <c r="P180" t="n">
        <v>0</v>
      </c>
      <c r="Q180" t="n">
        <v>0</v>
      </c>
      <c r="R180" s="2" t="inlineStr"/>
    </row>
    <row r="181" ht="15" customHeight="1">
      <c r="A181" t="inlineStr">
        <is>
          <t>A 16705-2021</t>
        </is>
      </c>
      <c r="B181" s="1" t="n">
        <v>44294</v>
      </c>
      <c r="C181" s="1" t="n">
        <v>45937</v>
      </c>
      <c r="D181" t="inlineStr">
        <is>
          <t>KALMAR LÄN</t>
        </is>
      </c>
      <c r="E181" t="inlineStr">
        <is>
          <t>VIMMERBY</t>
        </is>
      </c>
      <c r="G181" t="n">
        <v>2.6</v>
      </c>
      <c r="H181" t="n">
        <v>0</v>
      </c>
      <c r="I181" t="n">
        <v>0</v>
      </c>
      <c r="J181" t="n">
        <v>0</v>
      </c>
      <c r="K181" t="n">
        <v>0</v>
      </c>
      <c r="L181" t="n">
        <v>0</v>
      </c>
      <c r="M181" t="n">
        <v>0</v>
      </c>
      <c r="N181" t="n">
        <v>0</v>
      </c>
      <c r="O181" t="n">
        <v>0</v>
      </c>
      <c r="P181" t="n">
        <v>0</v>
      </c>
      <c r="Q181" t="n">
        <v>0</v>
      </c>
      <c r="R181" s="2" t="inlineStr"/>
    </row>
    <row r="182" ht="15" customHeight="1">
      <c r="A182" t="inlineStr">
        <is>
          <t>A 51977-2020</t>
        </is>
      </c>
      <c r="B182" s="1" t="n">
        <v>44116</v>
      </c>
      <c r="C182" s="1" t="n">
        <v>45937</v>
      </c>
      <c r="D182" t="inlineStr">
        <is>
          <t>KALMAR LÄN</t>
        </is>
      </c>
      <c r="E182" t="inlineStr">
        <is>
          <t>VIMMERBY</t>
        </is>
      </c>
      <c r="G182" t="n">
        <v>1.5</v>
      </c>
      <c r="H182" t="n">
        <v>0</v>
      </c>
      <c r="I182" t="n">
        <v>0</v>
      </c>
      <c r="J182" t="n">
        <v>0</v>
      </c>
      <c r="K182" t="n">
        <v>0</v>
      </c>
      <c r="L182" t="n">
        <v>0</v>
      </c>
      <c r="M182" t="n">
        <v>0</v>
      </c>
      <c r="N182" t="n">
        <v>0</v>
      </c>
      <c r="O182" t="n">
        <v>0</v>
      </c>
      <c r="P182" t="n">
        <v>0</v>
      </c>
      <c r="Q182" t="n">
        <v>0</v>
      </c>
      <c r="R182" s="2" t="inlineStr"/>
    </row>
    <row r="183" ht="15" customHeight="1">
      <c r="A183" t="inlineStr">
        <is>
          <t>A 48377-2021</t>
        </is>
      </c>
      <c r="B183" s="1" t="n">
        <v>44451.8375</v>
      </c>
      <c r="C183" s="1" t="n">
        <v>45937</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53145-2022</t>
        </is>
      </c>
      <c r="B184" s="1" t="n">
        <v>44876.48346064815</v>
      </c>
      <c r="C184" s="1" t="n">
        <v>45937</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25738-2022</t>
        </is>
      </c>
      <c r="B185" s="1" t="n">
        <v>44733.43092592592</v>
      </c>
      <c r="C185" s="1" t="n">
        <v>45937</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40472-2022</t>
        </is>
      </c>
      <c r="B186" s="1" t="n">
        <v>44823</v>
      </c>
      <c r="C186" s="1" t="n">
        <v>45937</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34588-2024</t>
        </is>
      </c>
      <c r="B187" s="1" t="n">
        <v>45526.3865625</v>
      </c>
      <c r="C187" s="1" t="n">
        <v>45937</v>
      </c>
      <c r="D187" t="inlineStr">
        <is>
          <t>KALMAR LÄN</t>
        </is>
      </c>
      <c r="E187" t="inlineStr">
        <is>
          <t>VIMMERBY</t>
        </is>
      </c>
      <c r="F187" t="inlineStr">
        <is>
          <t>Övriga Aktiebolag</t>
        </is>
      </c>
      <c r="G187" t="n">
        <v>3.3</v>
      </c>
      <c r="H187" t="n">
        <v>0</v>
      </c>
      <c r="I187" t="n">
        <v>0</v>
      </c>
      <c r="J187" t="n">
        <v>0</v>
      </c>
      <c r="K187" t="n">
        <v>0</v>
      </c>
      <c r="L187" t="n">
        <v>0</v>
      </c>
      <c r="M187" t="n">
        <v>0</v>
      </c>
      <c r="N187" t="n">
        <v>0</v>
      </c>
      <c r="O187" t="n">
        <v>0</v>
      </c>
      <c r="P187" t="n">
        <v>0</v>
      </c>
      <c r="Q187" t="n">
        <v>0</v>
      </c>
      <c r="R187" s="2" t="inlineStr"/>
    </row>
    <row r="188" ht="15" customHeight="1">
      <c r="A188" t="inlineStr">
        <is>
          <t>A 56389-2021</t>
        </is>
      </c>
      <c r="B188" s="1" t="n">
        <v>44480</v>
      </c>
      <c r="C188" s="1" t="n">
        <v>45937</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56659-2023</t>
        </is>
      </c>
      <c r="B189" s="1" t="n">
        <v>45243.84869212963</v>
      </c>
      <c r="C189" s="1" t="n">
        <v>45937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35316-2021</t>
        </is>
      </c>
      <c r="B190" s="1" t="n">
        <v>44384</v>
      </c>
      <c r="C190" s="1" t="n">
        <v>45937</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33831-2022</t>
        </is>
      </c>
      <c r="B191" s="1" t="n">
        <v>44790.48503472222</v>
      </c>
      <c r="C191" s="1" t="n">
        <v>45937</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47708-2022</t>
        </is>
      </c>
      <c r="B192" s="1" t="n">
        <v>44854.59157407407</v>
      </c>
      <c r="C192" s="1" t="n">
        <v>45937</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8194-2022</t>
        </is>
      </c>
      <c r="B193" s="1" t="n">
        <v>44609</v>
      </c>
      <c r="C193" s="1" t="n">
        <v>45937</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15191-2021</t>
        </is>
      </c>
      <c r="B194" s="1" t="n">
        <v>44284.42348379629</v>
      </c>
      <c r="C194" s="1" t="n">
        <v>45937</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40971-2021</t>
        </is>
      </c>
      <c r="B195" s="1" t="n">
        <v>44421</v>
      </c>
      <c r="C195" s="1" t="n">
        <v>45937</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68744-2020</t>
        </is>
      </c>
      <c r="B196" s="1" t="n">
        <v>44186</v>
      </c>
      <c r="C196" s="1" t="n">
        <v>45937</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9918-2022</t>
        </is>
      </c>
      <c r="B197" s="1" t="n">
        <v>44620</v>
      </c>
      <c r="C197" s="1" t="n">
        <v>45937</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3331-2023</t>
        </is>
      </c>
      <c r="B198" s="1" t="n">
        <v>44949</v>
      </c>
      <c r="C198" s="1" t="n">
        <v>45937</v>
      </c>
      <c r="D198" t="inlineStr">
        <is>
          <t>KALMAR LÄN</t>
        </is>
      </c>
      <c r="E198" t="inlineStr">
        <is>
          <t>VIMMERBY</t>
        </is>
      </c>
      <c r="G198" t="n">
        <v>6.2</v>
      </c>
      <c r="H198" t="n">
        <v>0</v>
      </c>
      <c r="I198" t="n">
        <v>0</v>
      </c>
      <c r="J198" t="n">
        <v>0</v>
      </c>
      <c r="K198" t="n">
        <v>0</v>
      </c>
      <c r="L198" t="n">
        <v>0</v>
      </c>
      <c r="M198" t="n">
        <v>0</v>
      </c>
      <c r="N198" t="n">
        <v>0</v>
      </c>
      <c r="O198" t="n">
        <v>0</v>
      </c>
      <c r="P198" t="n">
        <v>0</v>
      </c>
      <c r="Q198" t="n">
        <v>0</v>
      </c>
      <c r="R198" s="2" t="inlineStr"/>
    </row>
    <row r="199" ht="15" customHeight="1">
      <c r="A199" t="inlineStr">
        <is>
          <t>A 37187-2024</t>
        </is>
      </c>
      <c r="B199" s="1" t="n">
        <v>45539.65212962963</v>
      </c>
      <c r="C199" s="1" t="n">
        <v>45937</v>
      </c>
      <c r="D199" t="inlineStr">
        <is>
          <t>KALMAR LÄN</t>
        </is>
      </c>
      <c r="E199" t="inlineStr">
        <is>
          <t>VIMMERBY</t>
        </is>
      </c>
      <c r="G199" t="n">
        <v>2.7</v>
      </c>
      <c r="H199" t="n">
        <v>0</v>
      </c>
      <c r="I199" t="n">
        <v>0</v>
      </c>
      <c r="J199" t="n">
        <v>0</v>
      </c>
      <c r="K199" t="n">
        <v>0</v>
      </c>
      <c r="L199" t="n">
        <v>0</v>
      </c>
      <c r="M199" t="n">
        <v>0</v>
      </c>
      <c r="N199" t="n">
        <v>0</v>
      </c>
      <c r="O199" t="n">
        <v>0</v>
      </c>
      <c r="P199" t="n">
        <v>0</v>
      </c>
      <c r="Q199" t="n">
        <v>0</v>
      </c>
      <c r="R199" s="2" t="inlineStr"/>
    </row>
    <row r="200" ht="15" customHeight="1">
      <c r="A200" t="inlineStr">
        <is>
          <t>A 13457-2021</t>
        </is>
      </c>
      <c r="B200" s="1" t="n">
        <v>44273</v>
      </c>
      <c r="C200" s="1" t="n">
        <v>45937</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55716-2023</t>
        </is>
      </c>
      <c r="B201" s="1" t="n">
        <v>45232</v>
      </c>
      <c r="C201" s="1" t="n">
        <v>45937</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14278-2021</t>
        </is>
      </c>
      <c r="B202" s="1" t="n">
        <v>44278.63479166666</v>
      </c>
      <c r="C202" s="1" t="n">
        <v>45937</v>
      </c>
      <c r="D202" t="inlineStr">
        <is>
          <t>KALMAR LÄN</t>
        </is>
      </c>
      <c r="E202" t="inlineStr">
        <is>
          <t>VIMMERBY</t>
        </is>
      </c>
      <c r="F202" t="inlineStr">
        <is>
          <t>Övriga statliga verk och myndigheter</t>
        </is>
      </c>
      <c r="G202" t="n">
        <v>0.8</v>
      </c>
      <c r="H202" t="n">
        <v>0</v>
      </c>
      <c r="I202" t="n">
        <v>0</v>
      </c>
      <c r="J202" t="n">
        <v>0</v>
      </c>
      <c r="K202" t="n">
        <v>0</v>
      </c>
      <c r="L202" t="n">
        <v>0</v>
      </c>
      <c r="M202" t="n">
        <v>0</v>
      </c>
      <c r="N202" t="n">
        <v>0</v>
      </c>
      <c r="O202" t="n">
        <v>0</v>
      </c>
      <c r="P202" t="n">
        <v>0</v>
      </c>
      <c r="Q202" t="n">
        <v>0</v>
      </c>
      <c r="R202" s="2" t="inlineStr"/>
    </row>
    <row r="203" ht="15" customHeight="1">
      <c r="A203" t="inlineStr">
        <is>
          <t>A 40828-2023</t>
        </is>
      </c>
      <c r="B203" s="1" t="n">
        <v>45171.96248842592</v>
      </c>
      <c r="C203" s="1" t="n">
        <v>45937</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34386-2024</t>
        </is>
      </c>
      <c r="B204" s="1" t="n">
        <v>45525.41762731481</v>
      </c>
      <c r="C204" s="1" t="n">
        <v>45937</v>
      </c>
      <c r="D204" t="inlineStr">
        <is>
          <t>KALMAR LÄN</t>
        </is>
      </c>
      <c r="E204" t="inlineStr">
        <is>
          <t>VIMMERBY</t>
        </is>
      </c>
      <c r="G204" t="n">
        <v>0.3</v>
      </c>
      <c r="H204" t="n">
        <v>0</v>
      </c>
      <c r="I204" t="n">
        <v>0</v>
      </c>
      <c r="J204" t="n">
        <v>0</v>
      </c>
      <c r="K204" t="n">
        <v>0</v>
      </c>
      <c r="L204" t="n">
        <v>0</v>
      </c>
      <c r="M204" t="n">
        <v>0</v>
      </c>
      <c r="N204" t="n">
        <v>0</v>
      </c>
      <c r="O204" t="n">
        <v>0</v>
      </c>
      <c r="P204" t="n">
        <v>0</v>
      </c>
      <c r="Q204" t="n">
        <v>0</v>
      </c>
      <c r="R204" s="2" t="inlineStr"/>
    </row>
    <row r="205" ht="15" customHeight="1">
      <c r="A205" t="inlineStr">
        <is>
          <t>A 42429-2024</t>
        </is>
      </c>
      <c r="B205" s="1" t="n">
        <v>45565.40657407408</v>
      </c>
      <c r="C205" s="1" t="n">
        <v>45937</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16734-2023</t>
        </is>
      </c>
      <c r="B206" s="1" t="n">
        <v>45030.71012731481</v>
      </c>
      <c r="C206" s="1" t="n">
        <v>45937</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11946-2025</t>
        </is>
      </c>
      <c r="B207" s="1" t="n">
        <v>45728.54832175926</v>
      </c>
      <c r="C207" s="1" t="n">
        <v>45937</v>
      </c>
      <c r="D207" t="inlineStr">
        <is>
          <t>KALMAR LÄN</t>
        </is>
      </c>
      <c r="E207" t="inlineStr">
        <is>
          <t>VIMMERBY</t>
        </is>
      </c>
      <c r="G207" t="n">
        <v>0.4</v>
      </c>
      <c r="H207" t="n">
        <v>0</v>
      </c>
      <c r="I207" t="n">
        <v>0</v>
      </c>
      <c r="J207" t="n">
        <v>0</v>
      </c>
      <c r="K207" t="n">
        <v>0</v>
      </c>
      <c r="L207" t="n">
        <v>0</v>
      </c>
      <c r="M207" t="n">
        <v>0</v>
      </c>
      <c r="N207" t="n">
        <v>0</v>
      </c>
      <c r="O207" t="n">
        <v>0</v>
      </c>
      <c r="P207" t="n">
        <v>0</v>
      </c>
      <c r="Q207" t="n">
        <v>0</v>
      </c>
      <c r="R207" s="2" t="inlineStr"/>
    </row>
    <row r="208" ht="15" customHeight="1">
      <c r="A208" t="inlineStr">
        <is>
          <t>A 12630-2023</t>
        </is>
      </c>
      <c r="B208" s="1" t="n">
        <v>45000.47998842593</v>
      </c>
      <c r="C208" s="1" t="n">
        <v>45937</v>
      </c>
      <c r="D208" t="inlineStr">
        <is>
          <t>KALMAR LÄN</t>
        </is>
      </c>
      <c r="E208" t="inlineStr">
        <is>
          <t>VIMMERBY</t>
        </is>
      </c>
      <c r="G208" t="n">
        <v>2.1</v>
      </c>
      <c r="H208" t="n">
        <v>0</v>
      </c>
      <c r="I208" t="n">
        <v>0</v>
      </c>
      <c r="J208" t="n">
        <v>0</v>
      </c>
      <c r="K208" t="n">
        <v>0</v>
      </c>
      <c r="L208" t="n">
        <v>0</v>
      </c>
      <c r="M208" t="n">
        <v>0</v>
      </c>
      <c r="N208" t="n">
        <v>0</v>
      </c>
      <c r="O208" t="n">
        <v>0</v>
      </c>
      <c r="P208" t="n">
        <v>0</v>
      </c>
      <c r="Q208" t="n">
        <v>0</v>
      </c>
      <c r="R208" s="2" t="inlineStr"/>
    </row>
    <row r="209" ht="15" customHeight="1">
      <c r="A209" t="inlineStr">
        <is>
          <t>A 39584-2024</t>
        </is>
      </c>
      <c r="B209" s="1" t="n">
        <v>45552.36759259259</v>
      </c>
      <c r="C209" s="1" t="n">
        <v>45937</v>
      </c>
      <c r="D209" t="inlineStr">
        <is>
          <t>KALMAR LÄN</t>
        </is>
      </c>
      <c r="E209" t="inlineStr">
        <is>
          <t>VIMMERBY</t>
        </is>
      </c>
      <c r="G209" t="n">
        <v>1.9</v>
      </c>
      <c r="H209" t="n">
        <v>0</v>
      </c>
      <c r="I209" t="n">
        <v>0</v>
      </c>
      <c r="J209" t="n">
        <v>0</v>
      </c>
      <c r="K209" t="n">
        <v>0</v>
      </c>
      <c r="L209" t="n">
        <v>0</v>
      </c>
      <c r="M209" t="n">
        <v>0</v>
      </c>
      <c r="N209" t="n">
        <v>0</v>
      </c>
      <c r="O209" t="n">
        <v>0</v>
      </c>
      <c r="P209" t="n">
        <v>0</v>
      </c>
      <c r="Q209" t="n">
        <v>0</v>
      </c>
      <c r="R209" s="2" t="inlineStr"/>
    </row>
    <row r="210" ht="15" customHeight="1">
      <c r="A210" t="inlineStr">
        <is>
          <t>A 59943-2023</t>
        </is>
      </c>
      <c r="B210" s="1" t="n">
        <v>45257.67958333333</v>
      </c>
      <c r="C210" s="1" t="n">
        <v>45937</v>
      </c>
      <c r="D210" t="inlineStr">
        <is>
          <t>KALMAR LÄN</t>
        </is>
      </c>
      <c r="E210" t="inlineStr">
        <is>
          <t>VIMMERBY</t>
        </is>
      </c>
      <c r="G210" t="n">
        <v>6.4</v>
      </c>
      <c r="H210" t="n">
        <v>0</v>
      </c>
      <c r="I210" t="n">
        <v>0</v>
      </c>
      <c r="J210" t="n">
        <v>0</v>
      </c>
      <c r="K210" t="n">
        <v>0</v>
      </c>
      <c r="L210" t="n">
        <v>0</v>
      </c>
      <c r="M210" t="n">
        <v>0</v>
      </c>
      <c r="N210" t="n">
        <v>0</v>
      </c>
      <c r="O210" t="n">
        <v>0</v>
      </c>
      <c r="P210" t="n">
        <v>0</v>
      </c>
      <c r="Q210" t="n">
        <v>0</v>
      </c>
      <c r="R210" s="2" t="inlineStr"/>
    </row>
    <row r="211" ht="15" customHeight="1">
      <c r="A211" t="inlineStr">
        <is>
          <t>A 27705-2023</t>
        </is>
      </c>
      <c r="B211" s="1" t="n">
        <v>45098.30535879629</v>
      </c>
      <c r="C211" s="1" t="n">
        <v>45937</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64143-2021</t>
        </is>
      </c>
      <c r="B212" s="1" t="n">
        <v>44510.52157407408</v>
      </c>
      <c r="C212" s="1" t="n">
        <v>45937</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9720-2023</t>
        </is>
      </c>
      <c r="B213" s="1" t="n">
        <v>44984</v>
      </c>
      <c r="C213" s="1" t="n">
        <v>45937</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5938-2022</t>
        </is>
      </c>
      <c r="B214" s="1" t="n">
        <v>44598</v>
      </c>
      <c r="C214" s="1" t="n">
        <v>45937</v>
      </c>
      <c r="D214" t="inlineStr">
        <is>
          <t>KALMAR LÄN</t>
        </is>
      </c>
      <c r="E214" t="inlineStr">
        <is>
          <t>VIMMERBY</t>
        </is>
      </c>
      <c r="G214" t="n">
        <v>2.4</v>
      </c>
      <c r="H214" t="n">
        <v>0</v>
      </c>
      <c r="I214" t="n">
        <v>0</v>
      </c>
      <c r="J214" t="n">
        <v>0</v>
      </c>
      <c r="K214" t="n">
        <v>0</v>
      </c>
      <c r="L214" t="n">
        <v>0</v>
      </c>
      <c r="M214" t="n">
        <v>0</v>
      </c>
      <c r="N214" t="n">
        <v>0</v>
      </c>
      <c r="O214" t="n">
        <v>0</v>
      </c>
      <c r="P214" t="n">
        <v>0</v>
      </c>
      <c r="Q214" t="n">
        <v>0</v>
      </c>
      <c r="R214" s="2" t="inlineStr"/>
    </row>
    <row r="215" ht="15" customHeight="1">
      <c r="A215" t="inlineStr">
        <is>
          <t>A 15493-2023</t>
        </is>
      </c>
      <c r="B215" s="1" t="n">
        <v>45018</v>
      </c>
      <c r="C215" s="1" t="n">
        <v>45937</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51881-2024</t>
        </is>
      </c>
      <c r="B216" s="1" t="n">
        <v>45607.56773148148</v>
      </c>
      <c r="C216" s="1" t="n">
        <v>45937</v>
      </c>
      <c r="D216" t="inlineStr">
        <is>
          <t>KALMAR LÄN</t>
        </is>
      </c>
      <c r="E216" t="inlineStr">
        <is>
          <t>VIMMERBY</t>
        </is>
      </c>
      <c r="G216" t="n">
        <v>3.4</v>
      </c>
      <c r="H216" t="n">
        <v>0</v>
      </c>
      <c r="I216" t="n">
        <v>0</v>
      </c>
      <c r="J216" t="n">
        <v>0</v>
      </c>
      <c r="K216" t="n">
        <v>0</v>
      </c>
      <c r="L216" t="n">
        <v>0</v>
      </c>
      <c r="M216" t="n">
        <v>0</v>
      </c>
      <c r="N216" t="n">
        <v>0</v>
      </c>
      <c r="O216" t="n">
        <v>0</v>
      </c>
      <c r="P216" t="n">
        <v>0</v>
      </c>
      <c r="Q216" t="n">
        <v>0</v>
      </c>
      <c r="R216" s="2" t="inlineStr"/>
    </row>
    <row r="217" ht="15" customHeight="1">
      <c r="A217" t="inlineStr">
        <is>
          <t>A 1687-2023</t>
        </is>
      </c>
      <c r="B217" s="1" t="n">
        <v>44938</v>
      </c>
      <c r="C217" s="1" t="n">
        <v>45937</v>
      </c>
      <c r="D217" t="inlineStr">
        <is>
          <t>KALMAR LÄN</t>
        </is>
      </c>
      <c r="E217" t="inlineStr">
        <is>
          <t>VIMMERBY</t>
        </is>
      </c>
      <c r="F217" t="inlineStr">
        <is>
          <t>Kommuner</t>
        </is>
      </c>
      <c r="G217" t="n">
        <v>2.5</v>
      </c>
      <c r="H217" t="n">
        <v>0</v>
      </c>
      <c r="I217" t="n">
        <v>0</v>
      </c>
      <c r="J217" t="n">
        <v>0</v>
      </c>
      <c r="K217" t="n">
        <v>0</v>
      </c>
      <c r="L217" t="n">
        <v>0</v>
      </c>
      <c r="M217" t="n">
        <v>0</v>
      </c>
      <c r="N217" t="n">
        <v>0</v>
      </c>
      <c r="O217" t="n">
        <v>0</v>
      </c>
      <c r="P217" t="n">
        <v>0</v>
      </c>
      <c r="Q217" t="n">
        <v>0</v>
      </c>
      <c r="R217" s="2" t="inlineStr"/>
    </row>
    <row r="218" ht="15" customHeight="1">
      <c r="A218" t="inlineStr">
        <is>
          <t>A 29440-2024</t>
        </is>
      </c>
      <c r="B218" s="1" t="n">
        <v>45483.82479166667</v>
      </c>
      <c r="C218" s="1" t="n">
        <v>45937</v>
      </c>
      <c r="D218" t="inlineStr">
        <is>
          <t>KALMAR LÄN</t>
        </is>
      </c>
      <c r="E218" t="inlineStr">
        <is>
          <t>VIMMERBY</t>
        </is>
      </c>
      <c r="G218" t="n">
        <v>4.5</v>
      </c>
      <c r="H218" t="n">
        <v>0</v>
      </c>
      <c r="I218" t="n">
        <v>0</v>
      </c>
      <c r="J218" t="n">
        <v>0</v>
      </c>
      <c r="K218" t="n">
        <v>0</v>
      </c>
      <c r="L218" t="n">
        <v>0</v>
      </c>
      <c r="M218" t="n">
        <v>0</v>
      </c>
      <c r="N218" t="n">
        <v>0</v>
      </c>
      <c r="O218" t="n">
        <v>0</v>
      </c>
      <c r="P218" t="n">
        <v>0</v>
      </c>
      <c r="Q218" t="n">
        <v>0</v>
      </c>
      <c r="R218" s="2" t="inlineStr"/>
    </row>
    <row r="219" ht="15" customHeight="1">
      <c r="A219" t="inlineStr">
        <is>
          <t>A 30921-2024</t>
        </is>
      </c>
      <c r="B219" s="1" t="n">
        <v>45498</v>
      </c>
      <c r="C219" s="1" t="n">
        <v>45937</v>
      </c>
      <c r="D219" t="inlineStr">
        <is>
          <t>KALMAR LÄN</t>
        </is>
      </c>
      <c r="E219" t="inlineStr">
        <is>
          <t>VIMMERBY</t>
        </is>
      </c>
      <c r="G219" t="n">
        <v>1.6</v>
      </c>
      <c r="H219" t="n">
        <v>0</v>
      </c>
      <c r="I219" t="n">
        <v>0</v>
      </c>
      <c r="J219" t="n">
        <v>0</v>
      </c>
      <c r="K219" t="n">
        <v>0</v>
      </c>
      <c r="L219" t="n">
        <v>0</v>
      </c>
      <c r="M219" t="n">
        <v>0</v>
      </c>
      <c r="N219" t="n">
        <v>0</v>
      </c>
      <c r="O219" t="n">
        <v>0</v>
      </c>
      <c r="P219" t="n">
        <v>0</v>
      </c>
      <c r="Q219" t="n">
        <v>0</v>
      </c>
      <c r="R219" s="2" t="inlineStr"/>
    </row>
    <row r="220" ht="15" customHeight="1">
      <c r="A220" t="inlineStr">
        <is>
          <t>A 1021-2024</t>
        </is>
      </c>
      <c r="B220" s="1" t="n">
        <v>45301.67736111111</v>
      </c>
      <c r="C220" s="1" t="n">
        <v>45937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53482-2022</t>
        </is>
      </c>
      <c r="B221" s="1" t="n">
        <v>44879</v>
      </c>
      <c r="C221" s="1" t="n">
        <v>45937</v>
      </c>
      <c r="D221" t="inlineStr">
        <is>
          <t>KALMAR LÄN</t>
        </is>
      </c>
      <c r="E221" t="inlineStr">
        <is>
          <t>VIMMERBY</t>
        </is>
      </c>
      <c r="G221" t="n">
        <v>10.1</v>
      </c>
      <c r="H221" t="n">
        <v>0</v>
      </c>
      <c r="I221" t="n">
        <v>0</v>
      </c>
      <c r="J221" t="n">
        <v>0</v>
      </c>
      <c r="K221" t="n">
        <v>0</v>
      </c>
      <c r="L221" t="n">
        <v>0</v>
      </c>
      <c r="M221" t="n">
        <v>0</v>
      </c>
      <c r="N221" t="n">
        <v>0</v>
      </c>
      <c r="O221" t="n">
        <v>0</v>
      </c>
      <c r="P221" t="n">
        <v>0</v>
      </c>
      <c r="Q221" t="n">
        <v>0</v>
      </c>
      <c r="R221" s="2" t="inlineStr"/>
    </row>
    <row r="222" ht="15" customHeight="1">
      <c r="A222" t="inlineStr">
        <is>
          <t>A 8453-2022</t>
        </is>
      </c>
      <c r="B222" s="1" t="n">
        <v>44612.86554398148</v>
      </c>
      <c r="C222" s="1" t="n">
        <v>45937</v>
      </c>
      <c r="D222" t="inlineStr">
        <is>
          <t>KALMAR LÄN</t>
        </is>
      </c>
      <c r="E222" t="inlineStr">
        <is>
          <t>VIMMERBY</t>
        </is>
      </c>
      <c r="G222" t="n">
        <v>1.7</v>
      </c>
      <c r="H222" t="n">
        <v>0</v>
      </c>
      <c r="I222" t="n">
        <v>0</v>
      </c>
      <c r="J222" t="n">
        <v>0</v>
      </c>
      <c r="K222" t="n">
        <v>0</v>
      </c>
      <c r="L222" t="n">
        <v>0</v>
      </c>
      <c r="M222" t="n">
        <v>0</v>
      </c>
      <c r="N222" t="n">
        <v>0</v>
      </c>
      <c r="O222" t="n">
        <v>0</v>
      </c>
      <c r="P222" t="n">
        <v>0</v>
      </c>
      <c r="Q222" t="n">
        <v>0</v>
      </c>
      <c r="R222" s="2" t="inlineStr"/>
    </row>
    <row r="223" ht="15" customHeight="1">
      <c r="A223" t="inlineStr">
        <is>
          <t>A 32569-2024</t>
        </is>
      </c>
      <c r="B223" s="1" t="n">
        <v>45513.55840277778</v>
      </c>
      <c r="C223" s="1" t="n">
        <v>45937</v>
      </c>
      <c r="D223" t="inlineStr">
        <is>
          <t>KALMAR LÄN</t>
        </is>
      </c>
      <c r="E223" t="inlineStr">
        <is>
          <t>VIMMERBY</t>
        </is>
      </c>
      <c r="G223" t="n">
        <v>3.7</v>
      </c>
      <c r="H223" t="n">
        <v>0</v>
      </c>
      <c r="I223" t="n">
        <v>0</v>
      </c>
      <c r="J223" t="n">
        <v>0</v>
      </c>
      <c r="K223" t="n">
        <v>0</v>
      </c>
      <c r="L223" t="n">
        <v>0</v>
      </c>
      <c r="M223" t="n">
        <v>0</v>
      </c>
      <c r="N223" t="n">
        <v>0</v>
      </c>
      <c r="O223" t="n">
        <v>0</v>
      </c>
      <c r="P223" t="n">
        <v>0</v>
      </c>
      <c r="Q223" t="n">
        <v>0</v>
      </c>
      <c r="R223" s="2" t="inlineStr"/>
    </row>
    <row r="224" ht="15" customHeight="1">
      <c r="A224" t="inlineStr">
        <is>
          <t>A 32575-2024</t>
        </is>
      </c>
      <c r="B224" s="1" t="n">
        <v>45513.56527777778</v>
      </c>
      <c r="C224" s="1" t="n">
        <v>45937</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30063-2023</t>
        </is>
      </c>
      <c r="B225" s="1" t="n">
        <v>45110.4184375</v>
      </c>
      <c r="C225" s="1" t="n">
        <v>45937</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52433-2021</t>
        </is>
      </c>
      <c r="B226" s="1" t="n">
        <v>44466.34726851852</v>
      </c>
      <c r="C226" s="1" t="n">
        <v>45937</v>
      </c>
      <c r="D226" t="inlineStr">
        <is>
          <t>KALMAR LÄN</t>
        </is>
      </c>
      <c r="E226" t="inlineStr">
        <is>
          <t>VIMMERBY</t>
        </is>
      </c>
      <c r="G226" t="n">
        <v>3.5</v>
      </c>
      <c r="H226" t="n">
        <v>0</v>
      </c>
      <c r="I226" t="n">
        <v>0</v>
      </c>
      <c r="J226" t="n">
        <v>0</v>
      </c>
      <c r="K226" t="n">
        <v>0</v>
      </c>
      <c r="L226" t="n">
        <v>0</v>
      </c>
      <c r="M226" t="n">
        <v>0</v>
      </c>
      <c r="N226" t="n">
        <v>0</v>
      </c>
      <c r="O226" t="n">
        <v>0</v>
      </c>
      <c r="P226" t="n">
        <v>0</v>
      </c>
      <c r="Q226" t="n">
        <v>0</v>
      </c>
      <c r="R226" s="2" t="inlineStr"/>
    </row>
    <row r="227" ht="15" customHeight="1">
      <c r="A227" t="inlineStr">
        <is>
          <t>A 31013-2023</t>
        </is>
      </c>
      <c r="B227" s="1" t="n">
        <v>45113.56574074074</v>
      </c>
      <c r="C227" s="1" t="n">
        <v>45937</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50621-2022</t>
        </is>
      </c>
      <c r="B228" s="1" t="n">
        <v>44866.81100694444</v>
      </c>
      <c r="C228" s="1" t="n">
        <v>45937</v>
      </c>
      <c r="D228" t="inlineStr">
        <is>
          <t>KALMAR LÄN</t>
        </is>
      </c>
      <c r="E228" t="inlineStr">
        <is>
          <t>VIMMERBY</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17482-2024</t>
        </is>
      </c>
      <c r="B229" s="1" t="n">
        <v>45415.47848379629</v>
      </c>
      <c r="C229" s="1" t="n">
        <v>45937</v>
      </c>
      <c r="D229" t="inlineStr">
        <is>
          <t>KALMAR LÄN</t>
        </is>
      </c>
      <c r="E229" t="inlineStr">
        <is>
          <t>VIMMERBY</t>
        </is>
      </c>
      <c r="G229" t="n">
        <v>1.7</v>
      </c>
      <c r="H229" t="n">
        <v>0</v>
      </c>
      <c r="I229" t="n">
        <v>0</v>
      </c>
      <c r="J229" t="n">
        <v>0</v>
      </c>
      <c r="K229" t="n">
        <v>0</v>
      </c>
      <c r="L229" t="n">
        <v>0</v>
      </c>
      <c r="M229" t="n">
        <v>0</v>
      </c>
      <c r="N229" t="n">
        <v>0</v>
      </c>
      <c r="O229" t="n">
        <v>0</v>
      </c>
      <c r="P229" t="n">
        <v>0</v>
      </c>
      <c r="Q229" t="n">
        <v>0</v>
      </c>
      <c r="R229" s="2" t="inlineStr"/>
    </row>
    <row r="230" ht="15" customHeight="1">
      <c r="A230" t="inlineStr">
        <is>
          <t>A 54065-2021</t>
        </is>
      </c>
      <c r="B230" s="1" t="n">
        <v>44470.44232638889</v>
      </c>
      <c r="C230" s="1" t="n">
        <v>45937</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15388-2025</t>
        </is>
      </c>
      <c r="B231" s="1" t="n">
        <v>45747.42633101852</v>
      </c>
      <c r="C231" s="1" t="n">
        <v>45937</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15391-2025</t>
        </is>
      </c>
      <c r="B232" s="1" t="n">
        <v>45747.42958333333</v>
      </c>
      <c r="C232" s="1" t="n">
        <v>45937</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11303-2025</t>
        </is>
      </c>
      <c r="B233" s="1" t="n">
        <v>45726.44471064815</v>
      </c>
      <c r="C233" s="1" t="n">
        <v>45937</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31824-2022</t>
        </is>
      </c>
      <c r="B234" s="1" t="n">
        <v>44776</v>
      </c>
      <c r="C234" s="1" t="n">
        <v>45937</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13817-2024</t>
        </is>
      </c>
      <c r="B235" s="1" t="n">
        <v>45391.41976851852</v>
      </c>
      <c r="C235" s="1" t="n">
        <v>45937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30406-2023</t>
        </is>
      </c>
      <c r="B236" s="1" t="n">
        <v>45111.48787037037</v>
      </c>
      <c r="C236" s="1" t="n">
        <v>45937</v>
      </c>
      <c r="D236" t="inlineStr">
        <is>
          <t>KALMAR LÄN</t>
        </is>
      </c>
      <c r="E236" t="inlineStr">
        <is>
          <t>VIMMERBY</t>
        </is>
      </c>
      <c r="G236" t="n">
        <v>2.4</v>
      </c>
      <c r="H236" t="n">
        <v>0</v>
      </c>
      <c r="I236" t="n">
        <v>0</v>
      </c>
      <c r="J236" t="n">
        <v>0</v>
      </c>
      <c r="K236" t="n">
        <v>0</v>
      </c>
      <c r="L236" t="n">
        <v>0</v>
      </c>
      <c r="M236" t="n">
        <v>0</v>
      </c>
      <c r="N236" t="n">
        <v>0</v>
      </c>
      <c r="O236" t="n">
        <v>0</v>
      </c>
      <c r="P236" t="n">
        <v>0</v>
      </c>
      <c r="Q236" t="n">
        <v>0</v>
      </c>
      <c r="R236" s="2" t="inlineStr"/>
    </row>
    <row r="237" ht="15" customHeight="1">
      <c r="A237" t="inlineStr">
        <is>
          <t>A 11733-2022</t>
        </is>
      </c>
      <c r="B237" s="1" t="n">
        <v>44634</v>
      </c>
      <c r="C237" s="1" t="n">
        <v>45937</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29180-2024</t>
        </is>
      </c>
      <c r="B238" s="1" t="n">
        <v>45482.54108796296</v>
      </c>
      <c r="C238" s="1" t="n">
        <v>45937</v>
      </c>
      <c r="D238" t="inlineStr">
        <is>
          <t>KALMAR LÄN</t>
        </is>
      </c>
      <c r="E238" t="inlineStr">
        <is>
          <t>VIMMERBY</t>
        </is>
      </c>
      <c r="G238" t="n">
        <v>3.8</v>
      </c>
      <c r="H238" t="n">
        <v>0</v>
      </c>
      <c r="I238" t="n">
        <v>0</v>
      </c>
      <c r="J238" t="n">
        <v>0</v>
      </c>
      <c r="K238" t="n">
        <v>0</v>
      </c>
      <c r="L238" t="n">
        <v>0</v>
      </c>
      <c r="M238" t="n">
        <v>0</v>
      </c>
      <c r="N238" t="n">
        <v>0</v>
      </c>
      <c r="O238" t="n">
        <v>0</v>
      </c>
      <c r="P238" t="n">
        <v>0</v>
      </c>
      <c r="Q238" t="n">
        <v>0</v>
      </c>
      <c r="R238" s="2" t="inlineStr"/>
    </row>
    <row r="239" ht="15" customHeight="1">
      <c r="A239" t="inlineStr">
        <is>
          <t>A 33352-2022</t>
        </is>
      </c>
      <c r="B239" s="1" t="n">
        <v>44788</v>
      </c>
      <c r="C239" s="1" t="n">
        <v>45937</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29020-2024</t>
        </is>
      </c>
      <c r="B240" s="1" t="n">
        <v>45481.58048611111</v>
      </c>
      <c r="C240" s="1" t="n">
        <v>45937</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46234-2024</t>
        </is>
      </c>
      <c r="B241" s="1" t="n">
        <v>45581.57958333333</v>
      </c>
      <c r="C241" s="1" t="n">
        <v>45937</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39053-2024</t>
        </is>
      </c>
      <c r="B242" s="1" t="n">
        <v>45548</v>
      </c>
      <c r="C242" s="1" t="n">
        <v>45937</v>
      </c>
      <c r="D242" t="inlineStr">
        <is>
          <t>KALMAR LÄN</t>
        </is>
      </c>
      <c r="E242" t="inlineStr">
        <is>
          <t>VIMMERBY</t>
        </is>
      </c>
      <c r="G242" t="n">
        <v>5</v>
      </c>
      <c r="H242" t="n">
        <v>0</v>
      </c>
      <c r="I242" t="n">
        <v>0</v>
      </c>
      <c r="J242" t="n">
        <v>0</v>
      </c>
      <c r="K242" t="n">
        <v>0</v>
      </c>
      <c r="L242" t="n">
        <v>0</v>
      </c>
      <c r="M242" t="n">
        <v>0</v>
      </c>
      <c r="N242" t="n">
        <v>0</v>
      </c>
      <c r="O242" t="n">
        <v>0</v>
      </c>
      <c r="P242" t="n">
        <v>0</v>
      </c>
      <c r="Q242" t="n">
        <v>0</v>
      </c>
      <c r="R242" s="2" t="inlineStr"/>
    </row>
    <row r="243" ht="15" customHeight="1">
      <c r="A243" t="inlineStr">
        <is>
          <t>A 15449-2023</t>
        </is>
      </c>
      <c r="B243" s="1" t="n">
        <v>45020</v>
      </c>
      <c r="C243" s="1" t="n">
        <v>45937</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7804-2022</t>
        </is>
      </c>
      <c r="B244" s="1" t="n">
        <v>44608.50458333334</v>
      </c>
      <c r="C244" s="1" t="n">
        <v>45937</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39042-2022</t>
        </is>
      </c>
      <c r="B245" s="1" t="n">
        <v>44817</v>
      </c>
      <c r="C245" s="1" t="n">
        <v>45937</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43594-2024</t>
        </is>
      </c>
      <c r="B246" s="1" t="n">
        <v>45569.44295138889</v>
      </c>
      <c r="C246" s="1" t="n">
        <v>45937</v>
      </c>
      <c r="D246" t="inlineStr">
        <is>
          <t>KALMAR LÄN</t>
        </is>
      </c>
      <c r="E246" t="inlineStr">
        <is>
          <t>VIMMERBY</t>
        </is>
      </c>
      <c r="G246" t="n">
        <v>3.9</v>
      </c>
      <c r="H246" t="n">
        <v>0</v>
      </c>
      <c r="I246" t="n">
        <v>0</v>
      </c>
      <c r="J246" t="n">
        <v>0</v>
      </c>
      <c r="K246" t="n">
        <v>0</v>
      </c>
      <c r="L246" t="n">
        <v>0</v>
      </c>
      <c r="M246" t="n">
        <v>0</v>
      </c>
      <c r="N246" t="n">
        <v>0</v>
      </c>
      <c r="O246" t="n">
        <v>0</v>
      </c>
      <c r="P246" t="n">
        <v>0</v>
      </c>
      <c r="Q246" t="n">
        <v>0</v>
      </c>
      <c r="R246" s="2" t="inlineStr"/>
    </row>
    <row r="247" ht="15" customHeight="1">
      <c r="A247" t="inlineStr">
        <is>
          <t>A 29783-2024</t>
        </is>
      </c>
      <c r="B247" s="1" t="n">
        <v>45485.45778935185</v>
      </c>
      <c r="C247" s="1" t="n">
        <v>45937</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17486-2024</t>
        </is>
      </c>
      <c r="B248" s="1" t="n">
        <v>45415.48979166667</v>
      </c>
      <c r="C248" s="1" t="n">
        <v>45937</v>
      </c>
      <c r="D248" t="inlineStr">
        <is>
          <t>KALMAR LÄN</t>
        </is>
      </c>
      <c r="E248" t="inlineStr">
        <is>
          <t>VIMMERBY</t>
        </is>
      </c>
      <c r="G248" t="n">
        <v>2.6</v>
      </c>
      <c r="H248" t="n">
        <v>0</v>
      </c>
      <c r="I248" t="n">
        <v>0</v>
      </c>
      <c r="J248" t="n">
        <v>0</v>
      </c>
      <c r="K248" t="n">
        <v>0</v>
      </c>
      <c r="L248" t="n">
        <v>0</v>
      </c>
      <c r="M248" t="n">
        <v>0</v>
      </c>
      <c r="N248" t="n">
        <v>0</v>
      </c>
      <c r="O248" t="n">
        <v>0</v>
      </c>
      <c r="P248" t="n">
        <v>0</v>
      </c>
      <c r="Q248" t="n">
        <v>0</v>
      </c>
      <c r="R248" s="2" t="inlineStr"/>
    </row>
    <row r="249" ht="15" customHeight="1">
      <c r="A249" t="inlineStr">
        <is>
          <t>A 54838-2024</t>
        </is>
      </c>
      <c r="B249" s="1" t="n">
        <v>45618.56787037037</v>
      </c>
      <c r="C249" s="1" t="n">
        <v>45937</v>
      </c>
      <c r="D249" t="inlineStr">
        <is>
          <t>KALMAR LÄN</t>
        </is>
      </c>
      <c r="E249" t="inlineStr">
        <is>
          <t>VIMMERBY</t>
        </is>
      </c>
      <c r="G249" t="n">
        <v>3.3</v>
      </c>
      <c r="H249" t="n">
        <v>0</v>
      </c>
      <c r="I249" t="n">
        <v>0</v>
      </c>
      <c r="J249" t="n">
        <v>0</v>
      </c>
      <c r="K249" t="n">
        <v>0</v>
      </c>
      <c r="L249" t="n">
        <v>0</v>
      </c>
      <c r="M249" t="n">
        <v>0</v>
      </c>
      <c r="N249" t="n">
        <v>0</v>
      </c>
      <c r="O249" t="n">
        <v>0</v>
      </c>
      <c r="P249" t="n">
        <v>0</v>
      </c>
      <c r="Q249" t="n">
        <v>0</v>
      </c>
      <c r="R249" s="2" t="inlineStr"/>
    </row>
    <row r="250" ht="15" customHeight="1">
      <c r="A250" t="inlineStr">
        <is>
          <t>A 14248-2023</t>
        </is>
      </c>
      <c r="B250" s="1" t="n">
        <v>45009</v>
      </c>
      <c r="C250" s="1" t="n">
        <v>45937</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25987-2024</t>
        </is>
      </c>
      <c r="B251" s="1" t="n">
        <v>45467.74417824074</v>
      </c>
      <c r="C251" s="1" t="n">
        <v>45937</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25109-2023</t>
        </is>
      </c>
      <c r="B252" s="1" t="n">
        <v>45086</v>
      </c>
      <c r="C252" s="1" t="n">
        <v>45937</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61878-2020</t>
        </is>
      </c>
      <c r="B253" s="1" t="n">
        <v>44159</v>
      </c>
      <c r="C253" s="1" t="n">
        <v>45937</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16288-2021</t>
        </is>
      </c>
      <c r="B254" s="1" t="n">
        <v>44292</v>
      </c>
      <c r="C254" s="1" t="n">
        <v>45937</v>
      </c>
      <c r="D254" t="inlineStr">
        <is>
          <t>KALMAR LÄN</t>
        </is>
      </c>
      <c r="E254" t="inlineStr">
        <is>
          <t>VIMMERBY</t>
        </is>
      </c>
      <c r="F254" t="inlineStr">
        <is>
          <t>Övriga Aktiebolag</t>
        </is>
      </c>
      <c r="G254" t="n">
        <v>27.6</v>
      </c>
      <c r="H254" t="n">
        <v>0</v>
      </c>
      <c r="I254" t="n">
        <v>0</v>
      </c>
      <c r="J254" t="n">
        <v>0</v>
      </c>
      <c r="K254" t="n">
        <v>0</v>
      </c>
      <c r="L254" t="n">
        <v>0</v>
      </c>
      <c r="M254" t="n">
        <v>0</v>
      </c>
      <c r="N254" t="n">
        <v>0</v>
      </c>
      <c r="O254" t="n">
        <v>0</v>
      </c>
      <c r="P254" t="n">
        <v>0</v>
      </c>
      <c r="Q254" t="n">
        <v>0</v>
      </c>
      <c r="R254" s="2" t="inlineStr"/>
    </row>
    <row r="255" ht="15" customHeight="1">
      <c r="A255" t="inlineStr">
        <is>
          <t>A 62023-2022</t>
        </is>
      </c>
      <c r="B255" s="1" t="n">
        <v>44918.50106481482</v>
      </c>
      <c r="C255" s="1" t="n">
        <v>45937</v>
      </c>
      <c r="D255" t="inlineStr">
        <is>
          <t>KALMAR LÄN</t>
        </is>
      </c>
      <c r="E255" t="inlineStr">
        <is>
          <t>VIMMERBY</t>
        </is>
      </c>
      <c r="G255" t="n">
        <v>0.3</v>
      </c>
      <c r="H255" t="n">
        <v>0</v>
      </c>
      <c r="I255" t="n">
        <v>0</v>
      </c>
      <c r="J255" t="n">
        <v>0</v>
      </c>
      <c r="K255" t="n">
        <v>0</v>
      </c>
      <c r="L255" t="n">
        <v>0</v>
      </c>
      <c r="M255" t="n">
        <v>0</v>
      </c>
      <c r="N255" t="n">
        <v>0</v>
      </c>
      <c r="O255" t="n">
        <v>0</v>
      </c>
      <c r="P255" t="n">
        <v>0</v>
      </c>
      <c r="Q255" t="n">
        <v>0</v>
      </c>
      <c r="R255" s="2" t="inlineStr"/>
    </row>
    <row r="256" ht="15" customHeight="1">
      <c r="A256" t="inlineStr">
        <is>
          <t>A 58104-2024</t>
        </is>
      </c>
      <c r="B256" s="1" t="n">
        <v>45632.37459490741</v>
      </c>
      <c r="C256" s="1" t="n">
        <v>45937</v>
      </c>
      <c r="D256" t="inlineStr">
        <is>
          <t>KALMAR LÄN</t>
        </is>
      </c>
      <c r="E256" t="inlineStr">
        <is>
          <t>VIMMERBY</t>
        </is>
      </c>
      <c r="G256" t="n">
        <v>5</v>
      </c>
      <c r="H256" t="n">
        <v>0</v>
      </c>
      <c r="I256" t="n">
        <v>0</v>
      </c>
      <c r="J256" t="n">
        <v>0</v>
      </c>
      <c r="K256" t="n">
        <v>0</v>
      </c>
      <c r="L256" t="n">
        <v>0</v>
      </c>
      <c r="M256" t="n">
        <v>0</v>
      </c>
      <c r="N256" t="n">
        <v>0</v>
      </c>
      <c r="O256" t="n">
        <v>0</v>
      </c>
      <c r="P256" t="n">
        <v>0</v>
      </c>
      <c r="Q256" t="n">
        <v>0</v>
      </c>
      <c r="R256" s="2" t="inlineStr"/>
    </row>
    <row r="257" ht="15" customHeight="1">
      <c r="A257" t="inlineStr">
        <is>
          <t>A 29441-2024</t>
        </is>
      </c>
      <c r="B257" s="1" t="n">
        <v>45483.82834490741</v>
      </c>
      <c r="C257" s="1" t="n">
        <v>45937</v>
      </c>
      <c r="D257" t="inlineStr">
        <is>
          <t>KALMAR LÄN</t>
        </is>
      </c>
      <c r="E257" t="inlineStr">
        <is>
          <t>VIMMERBY</t>
        </is>
      </c>
      <c r="G257" t="n">
        <v>1.3</v>
      </c>
      <c r="H257" t="n">
        <v>0</v>
      </c>
      <c r="I257" t="n">
        <v>0</v>
      </c>
      <c r="J257" t="n">
        <v>0</v>
      </c>
      <c r="K257" t="n">
        <v>0</v>
      </c>
      <c r="L257" t="n">
        <v>0</v>
      </c>
      <c r="M257" t="n">
        <v>0</v>
      </c>
      <c r="N257" t="n">
        <v>0</v>
      </c>
      <c r="O257" t="n">
        <v>0</v>
      </c>
      <c r="P257" t="n">
        <v>0</v>
      </c>
      <c r="Q257" t="n">
        <v>0</v>
      </c>
      <c r="R257" s="2" t="inlineStr"/>
    </row>
    <row r="258" ht="15" customHeight="1">
      <c r="A258" t="inlineStr">
        <is>
          <t>A 12215-2024</t>
        </is>
      </c>
      <c r="B258" s="1" t="n">
        <v>45378.32185185186</v>
      </c>
      <c r="C258" s="1" t="n">
        <v>45937</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30920-2024</t>
        </is>
      </c>
      <c r="B259" s="1" t="n">
        <v>45498.673125</v>
      </c>
      <c r="C259" s="1" t="n">
        <v>45937</v>
      </c>
      <c r="D259" t="inlineStr">
        <is>
          <t>KALMAR LÄN</t>
        </is>
      </c>
      <c r="E259" t="inlineStr">
        <is>
          <t>VIMMERBY</t>
        </is>
      </c>
      <c r="G259" t="n">
        <v>1.3</v>
      </c>
      <c r="H259" t="n">
        <v>0</v>
      </c>
      <c r="I259" t="n">
        <v>0</v>
      </c>
      <c r="J259" t="n">
        <v>0</v>
      </c>
      <c r="K259" t="n">
        <v>0</v>
      </c>
      <c r="L259" t="n">
        <v>0</v>
      </c>
      <c r="M259" t="n">
        <v>0</v>
      </c>
      <c r="N259" t="n">
        <v>0</v>
      </c>
      <c r="O259" t="n">
        <v>0</v>
      </c>
      <c r="P259" t="n">
        <v>0</v>
      </c>
      <c r="Q259" t="n">
        <v>0</v>
      </c>
      <c r="R259" s="2" t="inlineStr"/>
    </row>
    <row r="260" ht="15" customHeight="1">
      <c r="A260" t="inlineStr">
        <is>
          <t>A 30400-2023</t>
        </is>
      </c>
      <c r="B260" s="1" t="n">
        <v>45111.48225694444</v>
      </c>
      <c r="C260" s="1" t="n">
        <v>45937</v>
      </c>
      <c r="D260" t="inlineStr">
        <is>
          <t>KALMAR LÄN</t>
        </is>
      </c>
      <c r="E260" t="inlineStr">
        <is>
          <t>VIMMERBY</t>
        </is>
      </c>
      <c r="G260" t="n">
        <v>2.7</v>
      </c>
      <c r="H260" t="n">
        <v>0</v>
      </c>
      <c r="I260" t="n">
        <v>0</v>
      </c>
      <c r="J260" t="n">
        <v>0</v>
      </c>
      <c r="K260" t="n">
        <v>0</v>
      </c>
      <c r="L260" t="n">
        <v>0</v>
      </c>
      <c r="M260" t="n">
        <v>0</v>
      </c>
      <c r="N260" t="n">
        <v>0</v>
      </c>
      <c r="O260" t="n">
        <v>0</v>
      </c>
      <c r="P260" t="n">
        <v>0</v>
      </c>
      <c r="Q260" t="n">
        <v>0</v>
      </c>
      <c r="R260" s="2" t="inlineStr"/>
    </row>
    <row r="261" ht="15" customHeight="1">
      <c r="A261" t="inlineStr">
        <is>
          <t>A 30404-2023</t>
        </is>
      </c>
      <c r="B261" s="1" t="n">
        <v>45111.48636574074</v>
      </c>
      <c r="C261" s="1" t="n">
        <v>45937</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56536-2022</t>
        </is>
      </c>
      <c r="B262" s="1" t="n">
        <v>44893</v>
      </c>
      <c r="C262" s="1" t="n">
        <v>45937</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55123-2024</t>
        </is>
      </c>
      <c r="B263" s="1" t="n">
        <v>45621.46103009259</v>
      </c>
      <c r="C263" s="1" t="n">
        <v>45937</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31405-2023</t>
        </is>
      </c>
      <c r="B264" s="1" t="n">
        <v>45114.58148148148</v>
      </c>
      <c r="C264" s="1" t="n">
        <v>45937</v>
      </c>
      <c r="D264" t="inlineStr">
        <is>
          <t>KALMAR LÄN</t>
        </is>
      </c>
      <c r="E264" t="inlineStr">
        <is>
          <t>VIMMERBY</t>
        </is>
      </c>
      <c r="G264" t="n">
        <v>2.6</v>
      </c>
      <c r="H264" t="n">
        <v>0</v>
      </c>
      <c r="I264" t="n">
        <v>0</v>
      </c>
      <c r="J264" t="n">
        <v>0</v>
      </c>
      <c r="K264" t="n">
        <v>0</v>
      </c>
      <c r="L264" t="n">
        <v>0</v>
      </c>
      <c r="M264" t="n">
        <v>0</v>
      </c>
      <c r="N264" t="n">
        <v>0</v>
      </c>
      <c r="O264" t="n">
        <v>0</v>
      </c>
      <c r="P264" t="n">
        <v>0</v>
      </c>
      <c r="Q264" t="n">
        <v>0</v>
      </c>
      <c r="R264" s="2" t="inlineStr"/>
    </row>
    <row r="265" ht="15" customHeight="1">
      <c r="A265" t="inlineStr">
        <is>
          <t>A 63541-2023</t>
        </is>
      </c>
      <c r="B265" s="1" t="n">
        <v>45275.32266203704</v>
      </c>
      <c r="C265" s="1" t="n">
        <v>45937</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37323-2024</t>
        </is>
      </c>
      <c r="B266" s="1" t="n">
        <v>45540.50098379629</v>
      </c>
      <c r="C266" s="1" t="n">
        <v>45937</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25728-2023</t>
        </is>
      </c>
      <c r="B267" s="1" t="n">
        <v>45090.38012731481</v>
      </c>
      <c r="C267" s="1" t="n">
        <v>45937</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24707-2024</t>
        </is>
      </c>
      <c r="B268" s="1" t="n">
        <v>45460.62172453704</v>
      </c>
      <c r="C268" s="1" t="n">
        <v>45937</v>
      </c>
      <c r="D268" t="inlineStr">
        <is>
          <t>KALMAR LÄN</t>
        </is>
      </c>
      <c r="E268" t="inlineStr">
        <is>
          <t>VIMMERBY</t>
        </is>
      </c>
      <c r="G268" t="n">
        <v>1.7</v>
      </c>
      <c r="H268" t="n">
        <v>0</v>
      </c>
      <c r="I268" t="n">
        <v>0</v>
      </c>
      <c r="J268" t="n">
        <v>0</v>
      </c>
      <c r="K268" t="n">
        <v>0</v>
      </c>
      <c r="L268" t="n">
        <v>0</v>
      </c>
      <c r="M268" t="n">
        <v>0</v>
      </c>
      <c r="N268" t="n">
        <v>0</v>
      </c>
      <c r="O268" t="n">
        <v>0</v>
      </c>
      <c r="P268" t="n">
        <v>0</v>
      </c>
      <c r="Q268" t="n">
        <v>0</v>
      </c>
      <c r="R268" s="2" t="inlineStr"/>
    </row>
    <row r="269" ht="15" customHeight="1">
      <c r="A269" t="inlineStr">
        <is>
          <t>A 54917-2020</t>
        </is>
      </c>
      <c r="B269" s="1" t="n">
        <v>44127</v>
      </c>
      <c r="C269" s="1" t="n">
        <v>45937</v>
      </c>
      <c r="D269" t="inlineStr">
        <is>
          <t>KALMAR LÄN</t>
        </is>
      </c>
      <c r="E269" t="inlineStr">
        <is>
          <t>VIMMERBY</t>
        </is>
      </c>
      <c r="G269" t="n">
        <v>9.5</v>
      </c>
      <c r="H269" t="n">
        <v>0</v>
      </c>
      <c r="I269" t="n">
        <v>0</v>
      </c>
      <c r="J269" t="n">
        <v>0</v>
      </c>
      <c r="K269" t="n">
        <v>0</v>
      </c>
      <c r="L269" t="n">
        <v>0</v>
      </c>
      <c r="M269" t="n">
        <v>0</v>
      </c>
      <c r="N269" t="n">
        <v>0</v>
      </c>
      <c r="O269" t="n">
        <v>0</v>
      </c>
      <c r="P269" t="n">
        <v>0</v>
      </c>
      <c r="Q269" t="n">
        <v>0</v>
      </c>
      <c r="R269" s="2" t="inlineStr"/>
    </row>
    <row r="270" ht="15" customHeight="1">
      <c r="A270" t="inlineStr">
        <is>
          <t>A 36049-2024</t>
        </is>
      </c>
      <c r="B270" s="1" t="n">
        <v>45533.61996527778</v>
      </c>
      <c r="C270" s="1" t="n">
        <v>45937</v>
      </c>
      <c r="D270" t="inlineStr">
        <is>
          <t>KALMAR LÄN</t>
        </is>
      </c>
      <c r="E270" t="inlineStr">
        <is>
          <t>VIMMERBY</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25582-2024</t>
        </is>
      </c>
      <c r="B271" s="1" t="n">
        <v>45463</v>
      </c>
      <c r="C271" s="1" t="n">
        <v>45937</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11429-2022</t>
        </is>
      </c>
      <c r="B272" s="1" t="n">
        <v>44630</v>
      </c>
      <c r="C272" s="1" t="n">
        <v>45937</v>
      </c>
      <c r="D272" t="inlineStr">
        <is>
          <t>KALMAR LÄN</t>
        </is>
      </c>
      <c r="E272" t="inlineStr">
        <is>
          <t>VIMMERBY</t>
        </is>
      </c>
      <c r="G272" t="n">
        <v>2.6</v>
      </c>
      <c r="H272" t="n">
        <v>0</v>
      </c>
      <c r="I272" t="n">
        <v>0</v>
      </c>
      <c r="J272" t="n">
        <v>0</v>
      </c>
      <c r="K272" t="n">
        <v>0</v>
      </c>
      <c r="L272" t="n">
        <v>0</v>
      </c>
      <c r="M272" t="n">
        <v>0</v>
      </c>
      <c r="N272" t="n">
        <v>0</v>
      </c>
      <c r="O272" t="n">
        <v>0</v>
      </c>
      <c r="P272" t="n">
        <v>0</v>
      </c>
      <c r="Q272" t="n">
        <v>0</v>
      </c>
      <c r="R272" s="2" t="inlineStr"/>
    </row>
    <row r="273" ht="15" customHeight="1">
      <c r="A273" t="inlineStr">
        <is>
          <t>A 57578-2024</t>
        </is>
      </c>
      <c r="B273" s="1" t="n">
        <v>45630.47564814815</v>
      </c>
      <c r="C273" s="1" t="n">
        <v>45937</v>
      </c>
      <c r="D273" t="inlineStr">
        <is>
          <t>KALMAR LÄN</t>
        </is>
      </c>
      <c r="E273" t="inlineStr">
        <is>
          <t>VIMMERBY</t>
        </is>
      </c>
      <c r="G273" t="n">
        <v>2.6</v>
      </c>
      <c r="H273" t="n">
        <v>0</v>
      </c>
      <c r="I273" t="n">
        <v>0</v>
      </c>
      <c r="J273" t="n">
        <v>0</v>
      </c>
      <c r="K273" t="n">
        <v>0</v>
      </c>
      <c r="L273" t="n">
        <v>0</v>
      </c>
      <c r="M273" t="n">
        <v>0</v>
      </c>
      <c r="N273" t="n">
        <v>0</v>
      </c>
      <c r="O273" t="n">
        <v>0</v>
      </c>
      <c r="P273" t="n">
        <v>0</v>
      </c>
      <c r="Q273" t="n">
        <v>0</v>
      </c>
      <c r="R273" s="2" t="inlineStr"/>
    </row>
    <row r="274" ht="15" customHeight="1">
      <c r="A274" t="inlineStr">
        <is>
          <t>A 56582-2022</t>
        </is>
      </c>
      <c r="B274" s="1" t="n">
        <v>44893</v>
      </c>
      <c r="C274" s="1" t="n">
        <v>45937</v>
      </c>
      <c r="D274" t="inlineStr">
        <is>
          <t>KALMAR LÄN</t>
        </is>
      </c>
      <c r="E274" t="inlineStr">
        <is>
          <t>VIMMERBY</t>
        </is>
      </c>
      <c r="G274" t="n">
        <v>2.2</v>
      </c>
      <c r="H274" t="n">
        <v>0</v>
      </c>
      <c r="I274" t="n">
        <v>0</v>
      </c>
      <c r="J274" t="n">
        <v>0</v>
      </c>
      <c r="K274" t="n">
        <v>0</v>
      </c>
      <c r="L274" t="n">
        <v>0</v>
      </c>
      <c r="M274" t="n">
        <v>0</v>
      </c>
      <c r="N274" t="n">
        <v>0</v>
      </c>
      <c r="O274" t="n">
        <v>0</v>
      </c>
      <c r="P274" t="n">
        <v>0</v>
      </c>
      <c r="Q274" t="n">
        <v>0</v>
      </c>
      <c r="R274" s="2" t="inlineStr"/>
    </row>
    <row r="275" ht="15" customHeight="1">
      <c r="A275" t="inlineStr">
        <is>
          <t>A 6408-2025</t>
        </is>
      </c>
      <c r="B275" s="1" t="n">
        <v>45699.45671296296</v>
      </c>
      <c r="C275" s="1" t="n">
        <v>45937</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11609-2023</t>
        </is>
      </c>
      <c r="B276" s="1" t="n">
        <v>44994.40635416667</v>
      </c>
      <c r="C276" s="1" t="n">
        <v>45937</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44464-2024</t>
        </is>
      </c>
      <c r="B277" s="1" t="n">
        <v>45574.35809027778</v>
      </c>
      <c r="C277" s="1" t="n">
        <v>45937</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41066-2024</t>
        </is>
      </c>
      <c r="B278" s="1" t="n">
        <v>45559.38876157408</v>
      </c>
      <c r="C278" s="1" t="n">
        <v>45937</v>
      </c>
      <c r="D278" t="inlineStr">
        <is>
          <t>KALMAR LÄN</t>
        </is>
      </c>
      <c r="E278" t="inlineStr">
        <is>
          <t>VIMMERBY</t>
        </is>
      </c>
      <c r="G278" t="n">
        <v>2.4</v>
      </c>
      <c r="H278" t="n">
        <v>0</v>
      </c>
      <c r="I278" t="n">
        <v>0</v>
      </c>
      <c r="J278" t="n">
        <v>0</v>
      </c>
      <c r="K278" t="n">
        <v>0</v>
      </c>
      <c r="L278" t="n">
        <v>0</v>
      </c>
      <c r="M278" t="n">
        <v>0</v>
      </c>
      <c r="N278" t="n">
        <v>0</v>
      </c>
      <c r="O278" t="n">
        <v>0</v>
      </c>
      <c r="P278" t="n">
        <v>0</v>
      </c>
      <c r="Q278" t="n">
        <v>0</v>
      </c>
      <c r="R278" s="2" t="inlineStr"/>
    </row>
    <row r="279" ht="15" customHeight="1">
      <c r="A279" t="inlineStr">
        <is>
          <t>A 58159-2024</t>
        </is>
      </c>
      <c r="B279" s="1" t="n">
        <v>45632.44886574074</v>
      </c>
      <c r="C279" s="1" t="n">
        <v>45937</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14359-2025</t>
        </is>
      </c>
      <c r="B280" s="1" t="n">
        <v>45741.37270833334</v>
      </c>
      <c r="C280" s="1" t="n">
        <v>45937</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39578-2024</t>
        </is>
      </c>
      <c r="B281" s="1" t="n">
        <v>45552.36484953704</v>
      </c>
      <c r="C281" s="1" t="n">
        <v>45937</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52435-2021</t>
        </is>
      </c>
      <c r="B282" s="1" t="n">
        <v>44466.34962962963</v>
      </c>
      <c r="C282" s="1" t="n">
        <v>45937</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29093-2023</t>
        </is>
      </c>
      <c r="B283" s="1" t="n">
        <v>45105</v>
      </c>
      <c r="C283" s="1" t="n">
        <v>45937</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22399-2025</t>
        </is>
      </c>
      <c r="B284" s="1" t="n">
        <v>45786.52996527778</v>
      </c>
      <c r="C284" s="1" t="n">
        <v>45937</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14220-2021</t>
        </is>
      </c>
      <c r="B285" s="1" t="n">
        <v>44278.54855324074</v>
      </c>
      <c r="C285" s="1" t="n">
        <v>45937</v>
      </c>
      <c r="D285" t="inlineStr">
        <is>
          <t>KALMAR LÄN</t>
        </is>
      </c>
      <c r="E285" t="inlineStr">
        <is>
          <t>VIMMERBY</t>
        </is>
      </c>
      <c r="G285" t="n">
        <v>0.3</v>
      </c>
      <c r="H285" t="n">
        <v>0</v>
      </c>
      <c r="I285" t="n">
        <v>0</v>
      </c>
      <c r="J285" t="n">
        <v>0</v>
      </c>
      <c r="K285" t="n">
        <v>0</v>
      </c>
      <c r="L285" t="n">
        <v>0</v>
      </c>
      <c r="M285" t="n">
        <v>0</v>
      </c>
      <c r="N285" t="n">
        <v>0</v>
      </c>
      <c r="O285" t="n">
        <v>0</v>
      </c>
      <c r="P285" t="n">
        <v>0</v>
      </c>
      <c r="Q285" t="n">
        <v>0</v>
      </c>
      <c r="R285" s="2" t="inlineStr"/>
    </row>
    <row r="286" ht="15" customHeight="1">
      <c r="A286" t="inlineStr">
        <is>
          <t>A 3816-2022</t>
        </is>
      </c>
      <c r="B286" s="1" t="n">
        <v>44587</v>
      </c>
      <c r="C286" s="1" t="n">
        <v>45937</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62779-2023</t>
        </is>
      </c>
      <c r="B287" s="1" t="n">
        <v>45271.66576388889</v>
      </c>
      <c r="C287" s="1" t="n">
        <v>45937</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1081-2023</t>
        </is>
      </c>
      <c r="B288" s="1" t="n">
        <v>44935</v>
      </c>
      <c r="C288" s="1" t="n">
        <v>45937</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7047-2022</t>
        </is>
      </c>
      <c r="B289" s="1" t="n">
        <v>44603</v>
      </c>
      <c r="C289" s="1" t="n">
        <v>45937</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12499-2023</t>
        </is>
      </c>
      <c r="B290" s="1" t="n">
        <v>44999.86172453704</v>
      </c>
      <c r="C290" s="1" t="n">
        <v>45937</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12500-2023</t>
        </is>
      </c>
      <c r="B291" s="1" t="n">
        <v>44999.8625</v>
      </c>
      <c r="C291" s="1" t="n">
        <v>45937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46399-2024</t>
        </is>
      </c>
      <c r="B292" s="1" t="n">
        <v>45582.41200231481</v>
      </c>
      <c r="C292" s="1" t="n">
        <v>45937</v>
      </c>
      <c r="D292" t="inlineStr">
        <is>
          <t>KALMAR LÄN</t>
        </is>
      </c>
      <c r="E292" t="inlineStr">
        <is>
          <t>VIMMERBY</t>
        </is>
      </c>
      <c r="G292" t="n">
        <v>4.6</v>
      </c>
      <c r="H292" t="n">
        <v>0</v>
      </c>
      <c r="I292" t="n">
        <v>0</v>
      </c>
      <c r="J292" t="n">
        <v>0</v>
      </c>
      <c r="K292" t="n">
        <v>0</v>
      </c>
      <c r="L292" t="n">
        <v>0</v>
      </c>
      <c r="M292" t="n">
        <v>0</v>
      </c>
      <c r="N292" t="n">
        <v>0</v>
      </c>
      <c r="O292" t="n">
        <v>0</v>
      </c>
      <c r="P292" t="n">
        <v>0</v>
      </c>
      <c r="Q292" t="n">
        <v>0</v>
      </c>
      <c r="R292" s="2" t="inlineStr"/>
    </row>
    <row r="293" ht="15" customHeight="1">
      <c r="A293" t="inlineStr">
        <is>
          <t>A 22397-2025</t>
        </is>
      </c>
      <c r="B293" s="1" t="n">
        <v>45786.52878472222</v>
      </c>
      <c r="C293" s="1" t="n">
        <v>45937</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6066-2023</t>
        </is>
      </c>
      <c r="B294" s="1" t="n">
        <v>44964.50894675926</v>
      </c>
      <c r="C294" s="1" t="n">
        <v>45937</v>
      </c>
      <c r="D294" t="inlineStr">
        <is>
          <t>KALMAR LÄN</t>
        </is>
      </c>
      <c r="E294" t="inlineStr">
        <is>
          <t>VIMMERBY</t>
        </is>
      </c>
      <c r="G294" t="n">
        <v>2.8</v>
      </c>
      <c r="H294" t="n">
        <v>0</v>
      </c>
      <c r="I294" t="n">
        <v>0</v>
      </c>
      <c r="J294" t="n">
        <v>0</v>
      </c>
      <c r="K294" t="n">
        <v>0</v>
      </c>
      <c r="L294" t="n">
        <v>0</v>
      </c>
      <c r="M294" t="n">
        <v>0</v>
      </c>
      <c r="N294" t="n">
        <v>0</v>
      </c>
      <c r="O294" t="n">
        <v>0</v>
      </c>
      <c r="P294" t="n">
        <v>0</v>
      </c>
      <c r="Q294" t="n">
        <v>0</v>
      </c>
      <c r="R294" s="2" t="inlineStr"/>
    </row>
    <row r="295" ht="15" customHeight="1">
      <c r="A295" t="inlineStr">
        <is>
          <t>A 33103-2024</t>
        </is>
      </c>
      <c r="B295" s="1" t="n">
        <v>45517.8162037037</v>
      </c>
      <c r="C295" s="1" t="n">
        <v>45937</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33161-2024</t>
        </is>
      </c>
      <c r="B296" s="1" t="n">
        <v>45518.40657407408</v>
      </c>
      <c r="C296" s="1" t="n">
        <v>45937</v>
      </c>
      <c r="D296" t="inlineStr">
        <is>
          <t>KALMAR LÄN</t>
        </is>
      </c>
      <c r="E296" t="inlineStr">
        <is>
          <t>VIMMERBY</t>
        </is>
      </c>
      <c r="G296" t="n">
        <v>4.7</v>
      </c>
      <c r="H296" t="n">
        <v>0</v>
      </c>
      <c r="I296" t="n">
        <v>0</v>
      </c>
      <c r="J296" t="n">
        <v>0</v>
      </c>
      <c r="K296" t="n">
        <v>0</v>
      </c>
      <c r="L296" t="n">
        <v>0</v>
      </c>
      <c r="M296" t="n">
        <v>0</v>
      </c>
      <c r="N296" t="n">
        <v>0</v>
      </c>
      <c r="O296" t="n">
        <v>0</v>
      </c>
      <c r="P296" t="n">
        <v>0</v>
      </c>
      <c r="Q296" t="n">
        <v>0</v>
      </c>
      <c r="R296" s="2" t="inlineStr"/>
    </row>
    <row r="297" ht="15" customHeight="1">
      <c r="A297" t="inlineStr">
        <is>
          <t>A 12510-2022</t>
        </is>
      </c>
      <c r="B297" s="1" t="n">
        <v>44638.55256944444</v>
      </c>
      <c r="C297" s="1" t="n">
        <v>45937</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33359-2021</t>
        </is>
      </c>
      <c r="B298" s="1" t="n">
        <v>44377.49684027778</v>
      </c>
      <c r="C298" s="1" t="n">
        <v>45937</v>
      </c>
      <c r="D298" t="inlineStr">
        <is>
          <t>KALMAR LÄN</t>
        </is>
      </c>
      <c r="E298" t="inlineStr">
        <is>
          <t>VIMMERBY</t>
        </is>
      </c>
      <c r="F298" t="inlineStr">
        <is>
          <t>Kommuner</t>
        </is>
      </c>
      <c r="G298" t="n">
        <v>8</v>
      </c>
      <c r="H298" t="n">
        <v>0</v>
      </c>
      <c r="I298" t="n">
        <v>0</v>
      </c>
      <c r="J298" t="n">
        <v>0</v>
      </c>
      <c r="K298" t="n">
        <v>0</v>
      </c>
      <c r="L298" t="n">
        <v>0</v>
      </c>
      <c r="M298" t="n">
        <v>0</v>
      </c>
      <c r="N298" t="n">
        <v>0</v>
      </c>
      <c r="O298" t="n">
        <v>0</v>
      </c>
      <c r="P298" t="n">
        <v>0</v>
      </c>
      <c r="Q298" t="n">
        <v>0</v>
      </c>
      <c r="R298" s="2" t="inlineStr"/>
    </row>
    <row r="299" ht="15" customHeight="1">
      <c r="A299" t="inlineStr">
        <is>
          <t>A 43038-2022</t>
        </is>
      </c>
      <c r="B299" s="1" t="n">
        <v>44833.60123842592</v>
      </c>
      <c r="C299" s="1" t="n">
        <v>45937</v>
      </c>
      <c r="D299" t="inlineStr">
        <is>
          <t>KALMAR LÄN</t>
        </is>
      </c>
      <c r="E299" t="inlineStr">
        <is>
          <t>VIMMERBY</t>
        </is>
      </c>
      <c r="G299" t="n">
        <v>4.2</v>
      </c>
      <c r="H299" t="n">
        <v>0</v>
      </c>
      <c r="I299" t="n">
        <v>0</v>
      </c>
      <c r="J299" t="n">
        <v>0</v>
      </c>
      <c r="K299" t="n">
        <v>0</v>
      </c>
      <c r="L299" t="n">
        <v>0</v>
      </c>
      <c r="M299" t="n">
        <v>0</v>
      </c>
      <c r="N299" t="n">
        <v>0</v>
      </c>
      <c r="O299" t="n">
        <v>0</v>
      </c>
      <c r="P299" t="n">
        <v>0</v>
      </c>
      <c r="Q299" t="n">
        <v>0</v>
      </c>
      <c r="R299" s="2" t="inlineStr"/>
    </row>
    <row r="300" ht="15" customHeight="1">
      <c r="A300" t="inlineStr">
        <is>
          <t>A 50087-2023</t>
        </is>
      </c>
      <c r="B300" s="1" t="n">
        <v>45215.59743055556</v>
      </c>
      <c r="C300" s="1" t="n">
        <v>45937</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33681-2022</t>
        </is>
      </c>
      <c r="B301" s="1" t="n">
        <v>44789</v>
      </c>
      <c r="C301" s="1" t="n">
        <v>45937</v>
      </c>
      <c r="D301" t="inlineStr">
        <is>
          <t>KALMAR LÄN</t>
        </is>
      </c>
      <c r="E301" t="inlineStr">
        <is>
          <t>VIMMERBY</t>
        </is>
      </c>
      <c r="G301" t="n">
        <v>3.2</v>
      </c>
      <c r="H301" t="n">
        <v>0</v>
      </c>
      <c r="I301" t="n">
        <v>0</v>
      </c>
      <c r="J301" t="n">
        <v>0</v>
      </c>
      <c r="K301" t="n">
        <v>0</v>
      </c>
      <c r="L301" t="n">
        <v>0</v>
      </c>
      <c r="M301" t="n">
        <v>0</v>
      </c>
      <c r="N301" t="n">
        <v>0</v>
      </c>
      <c r="O301" t="n">
        <v>0</v>
      </c>
      <c r="P301" t="n">
        <v>0</v>
      </c>
      <c r="Q301" t="n">
        <v>0</v>
      </c>
      <c r="R301" s="2" t="inlineStr"/>
    </row>
    <row r="302" ht="15" customHeight="1">
      <c r="A302" t="inlineStr">
        <is>
          <t>A 16825-2024</t>
        </is>
      </c>
      <c r="B302" s="1" t="n">
        <v>45411.47335648148</v>
      </c>
      <c r="C302" s="1" t="n">
        <v>45937</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12033-2024</t>
        </is>
      </c>
      <c r="B303" s="1" t="n">
        <v>45377.40043981482</v>
      </c>
      <c r="C303" s="1" t="n">
        <v>45937</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11442-2025</t>
        </is>
      </c>
      <c r="B304" s="1" t="n">
        <v>45726.62721064815</v>
      </c>
      <c r="C304" s="1" t="n">
        <v>45937</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6307-2025</t>
        </is>
      </c>
      <c r="B305" s="1" t="n">
        <v>45698.69016203703</v>
      </c>
      <c r="C305" s="1" t="n">
        <v>45937</v>
      </c>
      <c r="D305" t="inlineStr">
        <is>
          <t>KALMAR LÄN</t>
        </is>
      </c>
      <c r="E305" t="inlineStr">
        <is>
          <t>VIMMERBY</t>
        </is>
      </c>
      <c r="G305" t="n">
        <v>3</v>
      </c>
      <c r="H305" t="n">
        <v>0</v>
      </c>
      <c r="I305" t="n">
        <v>0</v>
      </c>
      <c r="J305" t="n">
        <v>0</v>
      </c>
      <c r="K305" t="n">
        <v>0</v>
      </c>
      <c r="L305" t="n">
        <v>0</v>
      </c>
      <c r="M305" t="n">
        <v>0</v>
      </c>
      <c r="N305" t="n">
        <v>0</v>
      </c>
      <c r="O305" t="n">
        <v>0</v>
      </c>
      <c r="P305" t="n">
        <v>0</v>
      </c>
      <c r="Q305" t="n">
        <v>0</v>
      </c>
      <c r="R305" s="2" t="inlineStr"/>
    </row>
    <row r="306" ht="15" customHeight="1">
      <c r="A306" t="inlineStr">
        <is>
          <t>A 6214-2025</t>
        </is>
      </c>
      <c r="B306" s="1" t="n">
        <v>45698.51711805556</v>
      </c>
      <c r="C306" s="1" t="n">
        <v>45937</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49408-2023</t>
        </is>
      </c>
      <c r="B307" s="1" t="n">
        <v>45211.43555555555</v>
      </c>
      <c r="C307" s="1" t="n">
        <v>45937</v>
      </c>
      <c r="D307" t="inlineStr">
        <is>
          <t>KALMAR LÄN</t>
        </is>
      </c>
      <c r="E307" t="inlineStr">
        <is>
          <t>VIMMERBY</t>
        </is>
      </c>
      <c r="G307" t="n">
        <v>13.1</v>
      </c>
      <c r="H307" t="n">
        <v>0</v>
      </c>
      <c r="I307" t="n">
        <v>0</v>
      </c>
      <c r="J307" t="n">
        <v>0</v>
      </c>
      <c r="K307" t="n">
        <v>0</v>
      </c>
      <c r="L307" t="n">
        <v>0</v>
      </c>
      <c r="M307" t="n">
        <v>0</v>
      </c>
      <c r="N307" t="n">
        <v>0</v>
      </c>
      <c r="O307" t="n">
        <v>0</v>
      </c>
      <c r="P307" t="n">
        <v>0</v>
      </c>
      <c r="Q307" t="n">
        <v>0</v>
      </c>
      <c r="R307" s="2" t="inlineStr"/>
    </row>
    <row r="308" ht="15" customHeight="1">
      <c r="A308" t="inlineStr">
        <is>
          <t>A 1146-2025</t>
        </is>
      </c>
      <c r="B308" s="1" t="n">
        <v>45666</v>
      </c>
      <c r="C308" s="1" t="n">
        <v>45937</v>
      </c>
      <c r="D308" t="inlineStr">
        <is>
          <t>KALMAR LÄN</t>
        </is>
      </c>
      <c r="E308" t="inlineStr">
        <is>
          <t>VIMMERBY</t>
        </is>
      </c>
      <c r="G308" t="n">
        <v>4</v>
      </c>
      <c r="H308" t="n">
        <v>0</v>
      </c>
      <c r="I308" t="n">
        <v>0</v>
      </c>
      <c r="J308" t="n">
        <v>0</v>
      </c>
      <c r="K308" t="n">
        <v>0</v>
      </c>
      <c r="L308" t="n">
        <v>0</v>
      </c>
      <c r="M308" t="n">
        <v>0</v>
      </c>
      <c r="N308" t="n">
        <v>0</v>
      </c>
      <c r="O308" t="n">
        <v>0</v>
      </c>
      <c r="P308" t="n">
        <v>0</v>
      </c>
      <c r="Q308" t="n">
        <v>0</v>
      </c>
      <c r="R308" s="2" t="inlineStr"/>
    </row>
    <row r="309" ht="15" customHeight="1">
      <c r="A309" t="inlineStr">
        <is>
          <t>A 27443-2023</t>
        </is>
      </c>
      <c r="B309" s="1" t="n">
        <v>45097.40524305555</v>
      </c>
      <c r="C309" s="1" t="n">
        <v>45937</v>
      </c>
      <c r="D309" t="inlineStr">
        <is>
          <t>KALMAR LÄN</t>
        </is>
      </c>
      <c r="E309" t="inlineStr">
        <is>
          <t>VIMMERBY</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3425-2022</t>
        </is>
      </c>
      <c r="B310" s="1" t="n">
        <v>44585.51060185185</v>
      </c>
      <c r="C310" s="1" t="n">
        <v>45937</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28395-2023</t>
        </is>
      </c>
      <c r="B311" s="1" t="n">
        <v>45100.4062962963</v>
      </c>
      <c r="C311" s="1" t="n">
        <v>45937</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12890-2023</t>
        </is>
      </c>
      <c r="B312" s="1" t="n">
        <v>45001.59209490741</v>
      </c>
      <c r="C312" s="1" t="n">
        <v>45937</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3902-2022</t>
        </is>
      </c>
      <c r="B313" s="1" t="n">
        <v>44587.48847222222</v>
      </c>
      <c r="C313" s="1" t="n">
        <v>45937</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18501-2024</t>
        </is>
      </c>
      <c r="B314" s="1" t="n">
        <v>45425.57538194444</v>
      </c>
      <c r="C314" s="1" t="n">
        <v>45937</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89-2023</t>
        </is>
      </c>
      <c r="B315" s="1" t="n">
        <v>44918</v>
      </c>
      <c r="C315" s="1" t="n">
        <v>45937</v>
      </c>
      <c r="D315" t="inlineStr">
        <is>
          <t>KALMAR LÄN</t>
        </is>
      </c>
      <c r="E315" t="inlineStr">
        <is>
          <t>VIMMERBY</t>
        </is>
      </c>
      <c r="G315" t="n">
        <v>16.1</v>
      </c>
      <c r="H315" t="n">
        <v>0</v>
      </c>
      <c r="I315" t="n">
        <v>0</v>
      </c>
      <c r="J315" t="n">
        <v>0</v>
      </c>
      <c r="K315" t="n">
        <v>0</v>
      </c>
      <c r="L315" t="n">
        <v>0</v>
      </c>
      <c r="M315" t="n">
        <v>0</v>
      </c>
      <c r="N315" t="n">
        <v>0</v>
      </c>
      <c r="O315" t="n">
        <v>0</v>
      </c>
      <c r="P315" t="n">
        <v>0</v>
      </c>
      <c r="Q315" t="n">
        <v>0</v>
      </c>
      <c r="R315" s="2" t="inlineStr"/>
    </row>
    <row r="316" ht="15" customHeight="1">
      <c r="A316" t="inlineStr">
        <is>
          <t>A 5382-2023</t>
        </is>
      </c>
      <c r="B316" s="1" t="n">
        <v>44959.66407407408</v>
      </c>
      <c r="C316" s="1" t="n">
        <v>45937</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25799-2023</t>
        </is>
      </c>
      <c r="B317" s="1" t="n">
        <v>45090</v>
      </c>
      <c r="C317" s="1" t="n">
        <v>45937</v>
      </c>
      <c r="D317" t="inlineStr">
        <is>
          <t>KALMAR LÄN</t>
        </is>
      </c>
      <c r="E317" t="inlineStr">
        <is>
          <t>VIMMERBY</t>
        </is>
      </c>
      <c r="G317" t="n">
        <v>7.7</v>
      </c>
      <c r="H317" t="n">
        <v>0</v>
      </c>
      <c r="I317" t="n">
        <v>0</v>
      </c>
      <c r="J317" t="n">
        <v>0</v>
      </c>
      <c r="K317" t="n">
        <v>0</v>
      </c>
      <c r="L317" t="n">
        <v>0</v>
      </c>
      <c r="M317" t="n">
        <v>0</v>
      </c>
      <c r="N317" t="n">
        <v>0</v>
      </c>
      <c r="O317" t="n">
        <v>0</v>
      </c>
      <c r="P317" t="n">
        <v>0</v>
      </c>
      <c r="Q317" t="n">
        <v>0</v>
      </c>
      <c r="R317" s="2" t="inlineStr"/>
    </row>
    <row r="318" ht="15" customHeight="1">
      <c r="A318" t="inlineStr">
        <is>
          <t>A 6668-2023</t>
        </is>
      </c>
      <c r="B318" s="1" t="n">
        <v>44966</v>
      </c>
      <c r="C318" s="1" t="n">
        <v>45937</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172-2022</t>
        </is>
      </c>
      <c r="B319" s="1" t="n">
        <v>44564.62598379629</v>
      </c>
      <c r="C319" s="1" t="n">
        <v>45937</v>
      </c>
      <c r="D319" t="inlineStr">
        <is>
          <t>KALMAR LÄN</t>
        </is>
      </c>
      <c r="E319" t="inlineStr">
        <is>
          <t>VIMMERBY</t>
        </is>
      </c>
      <c r="G319" t="n">
        <v>2.1</v>
      </c>
      <c r="H319" t="n">
        <v>0</v>
      </c>
      <c r="I319" t="n">
        <v>0</v>
      </c>
      <c r="J319" t="n">
        <v>0</v>
      </c>
      <c r="K319" t="n">
        <v>0</v>
      </c>
      <c r="L319" t="n">
        <v>0</v>
      </c>
      <c r="M319" t="n">
        <v>0</v>
      </c>
      <c r="N319" t="n">
        <v>0</v>
      </c>
      <c r="O319" t="n">
        <v>0</v>
      </c>
      <c r="P319" t="n">
        <v>0</v>
      </c>
      <c r="Q319" t="n">
        <v>0</v>
      </c>
      <c r="R319" s="2" t="inlineStr"/>
    </row>
    <row r="320" ht="15" customHeight="1">
      <c r="A320" t="inlineStr">
        <is>
          <t>A 23394-2025</t>
        </is>
      </c>
      <c r="B320" s="1" t="n">
        <v>45791.89865740741</v>
      </c>
      <c r="C320" s="1" t="n">
        <v>45937</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16015-2025</t>
        </is>
      </c>
      <c r="B321" s="1" t="n">
        <v>45749.60487268519</v>
      </c>
      <c r="C321" s="1" t="n">
        <v>45937</v>
      </c>
      <c r="D321" t="inlineStr">
        <is>
          <t>KALMAR LÄN</t>
        </is>
      </c>
      <c r="E321" t="inlineStr">
        <is>
          <t>VIMMERBY</t>
        </is>
      </c>
      <c r="F321" t="inlineStr">
        <is>
          <t>Kyrkan</t>
        </is>
      </c>
      <c r="G321" t="n">
        <v>2.7</v>
      </c>
      <c r="H321" t="n">
        <v>0</v>
      </c>
      <c r="I321" t="n">
        <v>0</v>
      </c>
      <c r="J321" t="n">
        <v>0</v>
      </c>
      <c r="K321" t="n">
        <v>0</v>
      </c>
      <c r="L321" t="n">
        <v>0</v>
      </c>
      <c r="M321" t="n">
        <v>0</v>
      </c>
      <c r="N321" t="n">
        <v>0</v>
      </c>
      <c r="O321" t="n">
        <v>0</v>
      </c>
      <c r="P321" t="n">
        <v>0</v>
      </c>
      <c r="Q321" t="n">
        <v>0</v>
      </c>
      <c r="R321" s="2" t="inlineStr"/>
    </row>
    <row r="322" ht="15" customHeight="1">
      <c r="A322" t="inlineStr">
        <is>
          <t>A 57256-2023</t>
        </is>
      </c>
      <c r="B322" s="1" t="n">
        <v>45245.5735300926</v>
      </c>
      <c r="C322" s="1" t="n">
        <v>45937</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23088-2024</t>
        </is>
      </c>
      <c r="B323" s="1" t="n">
        <v>45450.51092592593</v>
      </c>
      <c r="C323" s="1" t="n">
        <v>45937</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30634-2024</t>
        </is>
      </c>
      <c r="B324" s="1" t="n">
        <v>45495</v>
      </c>
      <c r="C324" s="1" t="n">
        <v>45937</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6355-2022</t>
        </is>
      </c>
      <c r="B325" s="1" t="n">
        <v>44600</v>
      </c>
      <c r="C325" s="1" t="n">
        <v>45937</v>
      </c>
      <c r="D325" t="inlineStr">
        <is>
          <t>KALMAR LÄN</t>
        </is>
      </c>
      <c r="E325" t="inlineStr">
        <is>
          <t>VIMMERBY</t>
        </is>
      </c>
      <c r="G325" t="n">
        <v>4.9</v>
      </c>
      <c r="H325" t="n">
        <v>0</v>
      </c>
      <c r="I325" t="n">
        <v>0</v>
      </c>
      <c r="J325" t="n">
        <v>0</v>
      </c>
      <c r="K325" t="n">
        <v>0</v>
      </c>
      <c r="L325" t="n">
        <v>0</v>
      </c>
      <c r="M325" t="n">
        <v>0</v>
      </c>
      <c r="N325" t="n">
        <v>0</v>
      </c>
      <c r="O325" t="n">
        <v>0</v>
      </c>
      <c r="P325" t="n">
        <v>0</v>
      </c>
      <c r="Q325" t="n">
        <v>0</v>
      </c>
      <c r="R325" s="2" t="inlineStr"/>
    </row>
    <row r="326" ht="15" customHeight="1">
      <c r="A326" t="inlineStr">
        <is>
          <t>A 43962-2024</t>
        </is>
      </c>
      <c r="B326" s="1" t="n">
        <v>45572.48293981481</v>
      </c>
      <c r="C326" s="1" t="n">
        <v>45937</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16020-2023</t>
        </is>
      </c>
      <c r="B327" s="1" t="n">
        <v>45026.82216435186</v>
      </c>
      <c r="C327" s="1" t="n">
        <v>45937</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12810-2023</t>
        </is>
      </c>
      <c r="B328" s="1" t="n">
        <v>45001.43854166667</v>
      </c>
      <c r="C328" s="1" t="n">
        <v>45937</v>
      </c>
      <c r="D328" t="inlineStr">
        <is>
          <t>KALMAR LÄN</t>
        </is>
      </c>
      <c r="E328" t="inlineStr">
        <is>
          <t>VIMMERBY</t>
        </is>
      </c>
      <c r="G328" t="n">
        <v>1.5</v>
      </c>
      <c r="H328" t="n">
        <v>0</v>
      </c>
      <c r="I328" t="n">
        <v>0</v>
      </c>
      <c r="J328" t="n">
        <v>0</v>
      </c>
      <c r="K328" t="n">
        <v>0</v>
      </c>
      <c r="L328" t="n">
        <v>0</v>
      </c>
      <c r="M328" t="n">
        <v>0</v>
      </c>
      <c r="N328" t="n">
        <v>0</v>
      </c>
      <c r="O328" t="n">
        <v>0</v>
      </c>
      <c r="P328" t="n">
        <v>0</v>
      </c>
      <c r="Q328" t="n">
        <v>0</v>
      </c>
      <c r="R328" s="2" t="inlineStr"/>
    </row>
    <row r="329" ht="15" customHeight="1">
      <c r="A329" t="inlineStr">
        <is>
          <t>A 57189-2022</t>
        </is>
      </c>
      <c r="B329" s="1" t="n">
        <v>44895.62296296296</v>
      </c>
      <c r="C329" s="1" t="n">
        <v>45937</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60292-2022</t>
        </is>
      </c>
      <c r="B330" s="1" t="n">
        <v>44910.54231481482</v>
      </c>
      <c r="C330" s="1" t="n">
        <v>45937</v>
      </c>
      <c r="D330" t="inlineStr">
        <is>
          <t>KALMAR LÄN</t>
        </is>
      </c>
      <c r="E330" t="inlineStr">
        <is>
          <t>VIMMERBY</t>
        </is>
      </c>
      <c r="G330" t="n">
        <v>4.4</v>
      </c>
      <c r="H330" t="n">
        <v>0</v>
      </c>
      <c r="I330" t="n">
        <v>0</v>
      </c>
      <c r="J330" t="n">
        <v>0</v>
      </c>
      <c r="K330" t="n">
        <v>0</v>
      </c>
      <c r="L330" t="n">
        <v>0</v>
      </c>
      <c r="M330" t="n">
        <v>0</v>
      </c>
      <c r="N330" t="n">
        <v>0</v>
      </c>
      <c r="O330" t="n">
        <v>0</v>
      </c>
      <c r="P330" t="n">
        <v>0</v>
      </c>
      <c r="Q330" t="n">
        <v>0</v>
      </c>
      <c r="R330" s="2" t="inlineStr"/>
    </row>
    <row r="331" ht="15" customHeight="1">
      <c r="A331" t="inlineStr">
        <is>
          <t>A 43034-2024</t>
        </is>
      </c>
      <c r="B331" s="1" t="n">
        <v>45567.42011574074</v>
      </c>
      <c r="C331" s="1" t="n">
        <v>45937</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40256-2024</t>
        </is>
      </c>
      <c r="B332" s="1" t="n">
        <v>45554.62944444444</v>
      </c>
      <c r="C332" s="1" t="n">
        <v>45937</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1987-2024</t>
        </is>
      </c>
      <c r="B333" s="1" t="n">
        <v>45308.61152777778</v>
      </c>
      <c r="C333" s="1" t="n">
        <v>45937</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527-2024</t>
        </is>
      </c>
      <c r="B334" s="1" t="n">
        <v>45299.47513888889</v>
      </c>
      <c r="C334" s="1" t="n">
        <v>45937</v>
      </c>
      <c r="D334" t="inlineStr">
        <is>
          <t>KALMAR LÄN</t>
        </is>
      </c>
      <c r="E334" t="inlineStr">
        <is>
          <t>VIMMERBY</t>
        </is>
      </c>
      <c r="G334" t="n">
        <v>2.2</v>
      </c>
      <c r="H334" t="n">
        <v>0</v>
      </c>
      <c r="I334" t="n">
        <v>0</v>
      </c>
      <c r="J334" t="n">
        <v>0</v>
      </c>
      <c r="K334" t="n">
        <v>0</v>
      </c>
      <c r="L334" t="n">
        <v>0</v>
      </c>
      <c r="M334" t="n">
        <v>0</v>
      </c>
      <c r="N334" t="n">
        <v>0</v>
      </c>
      <c r="O334" t="n">
        <v>0</v>
      </c>
      <c r="P334" t="n">
        <v>0</v>
      </c>
      <c r="Q334" t="n">
        <v>0</v>
      </c>
      <c r="R334" s="2" t="inlineStr"/>
    </row>
    <row r="335" ht="15" customHeight="1">
      <c r="A335" t="inlineStr">
        <is>
          <t>A 37192-2024</t>
        </is>
      </c>
      <c r="B335" s="1" t="n">
        <v>45539.66027777778</v>
      </c>
      <c r="C335" s="1" t="n">
        <v>45937</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43068-2023</t>
        </is>
      </c>
      <c r="B336" s="1" t="n">
        <v>45182.78834490741</v>
      </c>
      <c r="C336" s="1" t="n">
        <v>45937</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43093-2024</t>
        </is>
      </c>
      <c r="B337" s="1" t="n">
        <v>45567</v>
      </c>
      <c r="C337" s="1" t="n">
        <v>45937</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23984-2025</t>
        </is>
      </c>
      <c r="B338" s="1" t="n">
        <v>45796</v>
      </c>
      <c r="C338" s="1" t="n">
        <v>45937</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35198-2023</t>
        </is>
      </c>
      <c r="B339" s="1" t="n">
        <v>45145</v>
      </c>
      <c r="C339" s="1" t="n">
        <v>45937</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12075-2024</t>
        </is>
      </c>
      <c r="B340" s="1" t="n">
        <v>45377</v>
      </c>
      <c r="C340" s="1" t="n">
        <v>45937</v>
      </c>
      <c r="D340" t="inlineStr">
        <is>
          <t>KALMAR LÄN</t>
        </is>
      </c>
      <c r="E340" t="inlineStr">
        <is>
          <t>VIMMERBY</t>
        </is>
      </c>
      <c r="G340" t="n">
        <v>3.7</v>
      </c>
      <c r="H340" t="n">
        <v>0</v>
      </c>
      <c r="I340" t="n">
        <v>0</v>
      </c>
      <c r="J340" t="n">
        <v>0</v>
      </c>
      <c r="K340" t="n">
        <v>0</v>
      </c>
      <c r="L340" t="n">
        <v>0</v>
      </c>
      <c r="M340" t="n">
        <v>0</v>
      </c>
      <c r="N340" t="n">
        <v>0</v>
      </c>
      <c r="O340" t="n">
        <v>0</v>
      </c>
      <c r="P340" t="n">
        <v>0</v>
      </c>
      <c r="Q340" t="n">
        <v>0</v>
      </c>
      <c r="R340" s="2" t="inlineStr"/>
    </row>
    <row r="341" ht="15" customHeight="1">
      <c r="A341" t="inlineStr">
        <is>
          <t>A 47063-2022</t>
        </is>
      </c>
      <c r="B341" s="1" t="n">
        <v>44852</v>
      </c>
      <c r="C341" s="1" t="n">
        <v>45937</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12819-2024</t>
        </is>
      </c>
      <c r="B342" s="1" t="n">
        <v>45384.66917824074</v>
      </c>
      <c r="C342" s="1" t="n">
        <v>45937</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1799-2025</t>
        </is>
      </c>
      <c r="B343" s="1" t="n">
        <v>45671.46746527778</v>
      </c>
      <c r="C343" s="1" t="n">
        <v>45937</v>
      </c>
      <c r="D343" t="inlineStr">
        <is>
          <t>KALMAR LÄN</t>
        </is>
      </c>
      <c r="E343" t="inlineStr">
        <is>
          <t>VIMMERBY</t>
        </is>
      </c>
      <c r="G343" t="n">
        <v>3.3</v>
      </c>
      <c r="H343" t="n">
        <v>0</v>
      </c>
      <c r="I343" t="n">
        <v>0</v>
      </c>
      <c r="J343" t="n">
        <v>0</v>
      </c>
      <c r="K343" t="n">
        <v>0</v>
      </c>
      <c r="L343" t="n">
        <v>0</v>
      </c>
      <c r="M343" t="n">
        <v>0</v>
      </c>
      <c r="N343" t="n">
        <v>0</v>
      </c>
      <c r="O343" t="n">
        <v>0</v>
      </c>
      <c r="P343" t="n">
        <v>0</v>
      </c>
      <c r="Q343" t="n">
        <v>0</v>
      </c>
      <c r="R343" s="2" t="inlineStr"/>
    </row>
    <row r="344" ht="15" customHeight="1">
      <c r="A344" t="inlineStr">
        <is>
          <t>A 58374-2024</t>
        </is>
      </c>
      <c r="B344" s="1" t="n">
        <v>45632.72635416667</v>
      </c>
      <c r="C344" s="1" t="n">
        <v>45937</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2462-2022</t>
        </is>
      </c>
      <c r="B345" s="1" t="n">
        <v>44579.62225694444</v>
      </c>
      <c r="C345" s="1" t="n">
        <v>45937</v>
      </c>
      <c r="D345" t="inlineStr">
        <is>
          <t>KALMAR LÄN</t>
        </is>
      </c>
      <c r="E345" t="inlineStr">
        <is>
          <t>VIMMERBY</t>
        </is>
      </c>
      <c r="G345" t="n">
        <v>1.1</v>
      </c>
      <c r="H345" t="n">
        <v>0</v>
      </c>
      <c r="I345" t="n">
        <v>0</v>
      </c>
      <c r="J345" t="n">
        <v>0</v>
      </c>
      <c r="K345" t="n">
        <v>0</v>
      </c>
      <c r="L345" t="n">
        <v>0</v>
      </c>
      <c r="M345" t="n">
        <v>0</v>
      </c>
      <c r="N345" t="n">
        <v>0</v>
      </c>
      <c r="O345" t="n">
        <v>0</v>
      </c>
      <c r="P345" t="n">
        <v>0</v>
      </c>
      <c r="Q345" t="n">
        <v>0</v>
      </c>
      <c r="R345" s="2" t="inlineStr"/>
    </row>
    <row r="346" ht="15" customHeight="1">
      <c r="A346" t="inlineStr">
        <is>
          <t>A 31382-2023</t>
        </is>
      </c>
      <c r="B346" s="1" t="n">
        <v>45114.55136574074</v>
      </c>
      <c r="C346" s="1" t="n">
        <v>45937</v>
      </c>
      <c r="D346" t="inlineStr">
        <is>
          <t>KALMAR LÄN</t>
        </is>
      </c>
      <c r="E346" t="inlineStr">
        <is>
          <t>VIMMERBY</t>
        </is>
      </c>
      <c r="G346" t="n">
        <v>3.7</v>
      </c>
      <c r="H346" t="n">
        <v>0</v>
      </c>
      <c r="I346" t="n">
        <v>0</v>
      </c>
      <c r="J346" t="n">
        <v>0</v>
      </c>
      <c r="K346" t="n">
        <v>0</v>
      </c>
      <c r="L346" t="n">
        <v>0</v>
      </c>
      <c r="M346" t="n">
        <v>0</v>
      </c>
      <c r="N346" t="n">
        <v>0</v>
      </c>
      <c r="O346" t="n">
        <v>0</v>
      </c>
      <c r="P346" t="n">
        <v>0</v>
      </c>
      <c r="Q346" t="n">
        <v>0</v>
      </c>
      <c r="R346" s="2" t="inlineStr"/>
    </row>
    <row r="347" ht="15" customHeight="1">
      <c r="A347" t="inlineStr">
        <is>
          <t>A 11073-2023</t>
        </is>
      </c>
      <c r="B347" s="1" t="n">
        <v>44992</v>
      </c>
      <c r="C347" s="1" t="n">
        <v>45937</v>
      </c>
      <c r="D347" t="inlineStr">
        <is>
          <t>KALMAR LÄN</t>
        </is>
      </c>
      <c r="E347" t="inlineStr">
        <is>
          <t>VIMMERBY</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55300-2021</t>
        </is>
      </c>
      <c r="B348" s="1" t="n">
        <v>44475</v>
      </c>
      <c r="C348" s="1" t="n">
        <v>45937</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47263-2023</t>
        </is>
      </c>
      <c r="B349" s="1" t="n">
        <v>45202.4209837963</v>
      </c>
      <c r="C349" s="1" t="n">
        <v>45937</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13015-2022</t>
        </is>
      </c>
      <c r="B350" s="1" t="n">
        <v>44643</v>
      </c>
      <c r="C350" s="1" t="n">
        <v>45937</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45257.70313657408</v>
      </c>
      <c r="C351" s="1" t="n">
        <v>45937</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4624-2024</t>
        </is>
      </c>
      <c r="B352" s="1" t="n">
        <v>45328.38755787037</v>
      </c>
      <c r="C352" s="1" t="n">
        <v>45937</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9129-2025</t>
        </is>
      </c>
      <c r="B353" s="1" t="n">
        <v>45713.92412037037</v>
      </c>
      <c r="C353" s="1" t="n">
        <v>45937</v>
      </c>
      <c r="D353" t="inlineStr">
        <is>
          <t>KALMAR LÄN</t>
        </is>
      </c>
      <c r="E353" t="inlineStr">
        <is>
          <t>VIMMERBY</t>
        </is>
      </c>
      <c r="G353" t="n">
        <v>2.8</v>
      </c>
      <c r="H353" t="n">
        <v>0</v>
      </c>
      <c r="I353" t="n">
        <v>0</v>
      </c>
      <c r="J353" t="n">
        <v>0</v>
      </c>
      <c r="K353" t="n">
        <v>0</v>
      </c>
      <c r="L353" t="n">
        <v>0</v>
      </c>
      <c r="M353" t="n">
        <v>0</v>
      </c>
      <c r="N353" t="n">
        <v>0</v>
      </c>
      <c r="O353" t="n">
        <v>0</v>
      </c>
      <c r="P353" t="n">
        <v>0</v>
      </c>
      <c r="Q353" t="n">
        <v>0</v>
      </c>
      <c r="R353" s="2" t="inlineStr"/>
    </row>
    <row r="354" ht="15" customHeight="1">
      <c r="A354" t="inlineStr">
        <is>
          <t>A 2536-2023</t>
        </is>
      </c>
      <c r="B354" s="1" t="n">
        <v>44943.62954861111</v>
      </c>
      <c r="C354" s="1" t="n">
        <v>45937</v>
      </c>
      <c r="D354" t="inlineStr">
        <is>
          <t>KALMAR LÄN</t>
        </is>
      </c>
      <c r="E354" t="inlineStr">
        <is>
          <t>VIMMERBY</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2801-2023</t>
        </is>
      </c>
      <c r="B355" s="1" t="n">
        <v>44944.73487268519</v>
      </c>
      <c r="C355" s="1" t="n">
        <v>45937</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36802-2021</t>
        </is>
      </c>
      <c r="B356" s="1" t="n">
        <v>44392</v>
      </c>
      <c r="C356" s="1" t="n">
        <v>45937</v>
      </c>
      <c r="D356" t="inlineStr">
        <is>
          <t>KALMAR LÄN</t>
        </is>
      </c>
      <c r="E356" t="inlineStr">
        <is>
          <t>VIMMERBY</t>
        </is>
      </c>
      <c r="F356" t="inlineStr">
        <is>
          <t>Sveaskog</t>
        </is>
      </c>
      <c r="G356" t="n">
        <v>4.6</v>
      </c>
      <c r="H356" t="n">
        <v>0</v>
      </c>
      <c r="I356" t="n">
        <v>0</v>
      </c>
      <c r="J356" t="n">
        <v>0</v>
      </c>
      <c r="K356" t="n">
        <v>0</v>
      </c>
      <c r="L356" t="n">
        <v>0</v>
      </c>
      <c r="M356" t="n">
        <v>0</v>
      </c>
      <c r="N356" t="n">
        <v>0</v>
      </c>
      <c r="O356" t="n">
        <v>0</v>
      </c>
      <c r="P356" t="n">
        <v>0</v>
      </c>
      <c r="Q356" t="n">
        <v>0</v>
      </c>
      <c r="R356" s="2" t="inlineStr"/>
    </row>
    <row r="357" ht="15" customHeight="1">
      <c r="A357" t="inlineStr">
        <is>
          <t>A 17968-2025</t>
        </is>
      </c>
      <c r="B357" s="1" t="n">
        <v>45761.35990740741</v>
      </c>
      <c r="C357" s="1" t="n">
        <v>45937</v>
      </c>
      <c r="D357" t="inlineStr">
        <is>
          <t>KALMAR LÄN</t>
        </is>
      </c>
      <c r="E357" t="inlineStr">
        <is>
          <t>VIMMERBY</t>
        </is>
      </c>
      <c r="G357" t="n">
        <v>3.3</v>
      </c>
      <c r="H357" t="n">
        <v>0</v>
      </c>
      <c r="I357" t="n">
        <v>0</v>
      </c>
      <c r="J357" t="n">
        <v>0</v>
      </c>
      <c r="K357" t="n">
        <v>0</v>
      </c>
      <c r="L357" t="n">
        <v>0</v>
      </c>
      <c r="M357" t="n">
        <v>0</v>
      </c>
      <c r="N357" t="n">
        <v>0</v>
      </c>
      <c r="O357" t="n">
        <v>0</v>
      </c>
      <c r="P357" t="n">
        <v>0</v>
      </c>
      <c r="Q357" t="n">
        <v>0</v>
      </c>
      <c r="R357" s="2" t="inlineStr"/>
    </row>
    <row r="358" ht="15" customHeight="1">
      <c r="A358" t="inlineStr">
        <is>
          <t>A 51278-2024</t>
        </is>
      </c>
      <c r="B358" s="1" t="n">
        <v>45603.74959490741</v>
      </c>
      <c r="C358" s="1" t="n">
        <v>45937</v>
      </c>
      <c r="D358" t="inlineStr">
        <is>
          <t>KALMAR LÄN</t>
        </is>
      </c>
      <c r="E358" t="inlineStr">
        <is>
          <t>VIMMERBY</t>
        </is>
      </c>
      <c r="G358" t="n">
        <v>3.4</v>
      </c>
      <c r="H358" t="n">
        <v>0</v>
      </c>
      <c r="I358" t="n">
        <v>0</v>
      </c>
      <c r="J358" t="n">
        <v>0</v>
      </c>
      <c r="K358" t="n">
        <v>0</v>
      </c>
      <c r="L358" t="n">
        <v>0</v>
      </c>
      <c r="M358" t="n">
        <v>0</v>
      </c>
      <c r="N358" t="n">
        <v>0</v>
      </c>
      <c r="O358" t="n">
        <v>0</v>
      </c>
      <c r="P358" t="n">
        <v>0</v>
      </c>
      <c r="Q358" t="n">
        <v>0</v>
      </c>
      <c r="R358" s="2" t="inlineStr"/>
    </row>
    <row r="359" ht="15" customHeight="1">
      <c r="A359" t="inlineStr">
        <is>
          <t>A 61820-2023</t>
        </is>
      </c>
      <c r="B359" s="1" t="n">
        <v>45266.32614583334</v>
      </c>
      <c r="C359" s="1" t="n">
        <v>45937</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3269-2024</t>
        </is>
      </c>
      <c r="B360" s="1" t="n">
        <v>45317.40372685185</v>
      </c>
      <c r="C360" s="1" t="n">
        <v>45937</v>
      </c>
      <c r="D360" t="inlineStr">
        <is>
          <t>KALMAR LÄN</t>
        </is>
      </c>
      <c r="E360" t="inlineStr">
        <is>
          <t>VIMMERBY</t>
        </is>
      </c>
      <c r="F360" t="inlineStr">
        <is>
          <t>Övriga Aktiebolag</t>
        </is>
      </c>
      <c r="G360" t="n">
        <v>1.7</v>
      </c>
      <c r="H360" t="n">
        <v>0</v>
      </c>
      <c r="I360" t="n">
        <v>0</v>
      </c>
      <c r="J360" t="n">
        <v>0</v>
      </c>
      <c r="K360" t="n">
        <v>0</v>
      </c>
      <c r="L360" t="n">
        <v>0</v>
      </c>
      <c r="M360" t="n">
        <v>0</v>
      </c>
      <c r="N360" t="n">
        <v>0</v>
      </c>
      <c r="O360" t="n">
        <v>0</v>
      </c>
      <c r="P360" t="n">
        <v>0</v>
      </c>
      <c r="Q360" t="n">
        <v>0</v>
      </c>
      <c r="R360" s="2" t="inlineStr"/>
    </row>
    <row r="361" ht="15" customHeight="1">
      <c r="A361" t="inlineStr">
        <is>
          <t>A 35082-2024</t>
        </is>
      </c>
      <c r="B361" s="1" t="n">
        <v>45527.68784722222</v>
      </c>
      <c r="C361" s="1" t="n">
        <v>45937</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2157-2024</t>
        </is>
      </c>
      <c r="B362" s="1" t="n">
        <v>45309.59487268519</v>
      </c>
      <c r="C362" s="1" t="n">
        <v>45937</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44582-2024</t>
        </is>
      </c>
      <c r="B363" s="1" t="n">
        <v>45574.49298611111</v>
      </c>
      <c r="C363" s="1" t="n">
        <v>45937</v>
      </c>
      <c r="D363" t="inlineStr">
        <is>
          <t>KALMAR LÄN</t>
        </is>
      </c>
      <c r="E363" t="inlineStr">
        <is>
          <t>VIMMERBY</t>
        </is>
      </c>
      <c r="G363" t="n">
        <v>1.1</v>
      </c>
      <c r="H363" t="n">
        <v>0</v>
      </c>
      <c r="I363" t="n">
        <v>0</v>
      </c>
      <c r="J363" t="n">
        <v>0</v>
      </c>
      <c r="K363" t="n">
        <v>0</v>
      </c>
      <c r="L363" t="n">
        <v>0</v>
      </c>
      <c r="M363" t="n">
        <v>0</v>
      </c>
      <c r="N363" t="n">
        <v>0</v>
      </c>
      <c r="O363" t="n">
        <v>0</v>
      </c>
      <c r="P363" t="n">
        <v>0</v>
      </c>
      <c r="Q363" t="n">
        <v>0</v>
      </c>
      <c r="R363" s="2" t="inlineStr"/>
    </row>
    <row r="364" ht="15" customHeight="1">
      <c r="A364" t="inlineStr">
        <is>
          <t>A 9456-2025</t>
        </is>
      </c>
      <c r="B364" s="1" t="n">
        <v>45715.44159722222</v>
      </c>
      <c r="C364" s="1" t="n">
        <v>45937</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14451-2024</t>
        </is>
      </c>
      <c r="B365" s="1" t="n">
        <v>45394.50028935185</v>
      </c>
      <c r="C365" s="1" t="n">
        <v>45937</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9416-2024</t>
        </is>
      </c>
      <c r="B366" s="1" t="n">
        <v>45359.44837962963</v>
      </c>
      <c r="C366" s="1" t="n">
        <v>45937</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58318-2021</t>
        </is>
      </c>
      <c r="B367" s="1" t="n">
        <v>44488.35878472222</v>
      </c>
      <c r="C367" s="1" t="n">
        <v>45937</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53083-2021</t>
        </is>
      </c>
      <c r="B368" s="1" t="n">
        <v>44467.83386574074</v>
      </c>
      <c r="C368" s="1" t="n">
        <v>45937</v>
      </c>
      <c r="D368" t="inlineStr">
        <is>
          <t>KALMAR LÄN</t>
        </is>
      </c>
      <c r="E368" t="inlineStr">
        <is>
          <t>VIMMERBY</t>
        </is>
      </c>
      <c r="G368" t="n">
        <v>6.8</v>
      </c>
      <c r="H368" t="n">
        <v>0</v>
      </c>
      <c r="I368" t="n">
        <v>0</v>
      </c>
      <c r="J368" t="n">
        <v>0</v>
      </c>
      <c r="K368" t="n">
        <v>0</v>
      </c>
      <c r="L368" t="n">
        <v>0</v>
      </c>
      <c r="M368" t="n">
        <v>0</v>
      </c>
      <c r="N368" t="n">
        <v>0</v>
      </c>
      <c r="O368" t="n">
        <v>0</v>
      </c>
      <c r="P368" t="n">
        <v>0</v>
      </c>
      <c r="Q368" t="n">
        <v>0</v>
      </c>
      <c r="R368" s="2" t="inlineStr"/>
    </row>
    <row r="369" ht="15" customHeight="1">
      <c r="A369" t="inlineStr">
        <is>
          <t>A 29173-2024</t>
        </is>
      </c>
      <c r="B369" s="1" t="n">
        <v>45482.52887731481</v>
      </c>
      <c r="C369" s="1" t="n">
        <v>45937</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11111-2024</t>
        </is>
      </c>
      <c r="B370" s="1" t="n">
        <v>45371.36359953704</v>
      </c>
      <c r="C370" s="1" t="n">
        <v>45937</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11141-2024</t>
        </is>
      </c>
      <c r="B371" s="1" t="n">
        <v>45371.45865740741</v>
      </c>
      <c r="C371" s="1" t="n">
        <v>45937</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46238-2024</t>
        </is>
      </c>
      <c r="B372" s="1" t="n">
        <v>45581.58418981481</v>
      </c>
      <c r="C372" s="1" t="n">
        <v>45937</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9418-2024</t>
        </is>
      </c>
      <c r="B373" s="1" t="n">
        <v>45359.45038194444</v>
      </c>
      <c r="C373" s="1" t="n">
        <v>45937</v>
      </c>
      <c r="D373" t="inlineStr">
        <is>
          <t>KALMAR LÄN</t>
        </is>
      </c>
      <c r="E373" t="inlineStr">
        <is>
          <t>VIMMERBY</t>
        </is>
      </c>
      <c r="G373" t="n">
        <v>1.9</v>
      </c>
      <c r="H373" t="n">
        <v>0</v>
      </c>
      <c r="I373" t="n">
        <v>0</v>
      </c>
      <c r="J373" t="n">
        <v>0</v>
      </c>
      <c r="K373" t="n">
        <v>0</v>
      </c>
      <c r="L373" t="n">
        <v>0</v>
      </c>
      <c r="M373" t="n">
        <v>0</v>
      </c>
      <c r="N373" t="n">
        <v>0</v>
      </c>
      <c r="O373" t="n">
        <v>0</v>
      </c>
      <c r="P373" t="n">
        <v>0</v>
      </c>
      <c r="Q373" t="n">
        <v>0</v>
      </c>
      <c r="R373" s="2" t="inlineStr"/>
    </row>
    <row r="374" ht="15" customHeight="1">
      <c r="A374" t="inlineStr">
        <is>
          <t>A 50993-2022</t>
        </is>
      </c>
      <c r="B374" s="1" t="n">
        <v>44867</v>
      </c>
      <c r="C374" s="1" t="n">
        <v>45937</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46225-2024</t>
        </is>
      </c>
      <c r="B375" s="1" t="n">
        <v>45581.57333333333</v>
      </c>
      <c r="C375" s="1" t="n">
        <v>45937</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36055-2024</t>
        </is>
      </c>
      <c r="B376" s="1" t="n">
        <v>45533.63056712963</v>
      </c>
      <c r="C376" s="1" t="n">
        <v>45937</v>
      </c>
      <c r="D376" t="inlineStr">
        <is>
          <t>KALMAR LÄN</t>
        </is>
      </c>
      <c r="E376" t="inlineStr">
        <is>
          <t>VIMMERBY</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11111-2023</t>
        </is>
      </c>
      <c r="B377" s="1" t="n">
        <v>44992.4255787037</v>
      </c>
      <c r="C377" s="1" t="n">
        <v>45937</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49313-2022</t>
        </is>
      </c>
      <c r="B378" s="1" t="n">
        <v>44861.52505787037</v>
      </c>
      <c r="C378" s="1" t="n">
        <v>45937</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35998-2024</t>
        </is>
      </c>
      <c r="B379" s="1" t="n">
        <v>45533.54429398148</v>
      </c>
      <c r="C379" s="1" t="n">
        <v>45937</v>
      </c>
      <c r="D379" t="inlineStr">
        <is>
          <t>KALMAR LÄN</t>
        </is>
      </c>
      <c r="E379" t="inlineStr">
        <is>
          <t>VIMMERBY</t>
        </is>
      </c>
      <c r="G379" t="n">
        <v>8.6</v>
      </c>
      <c r="H379" t="n">
        <v>0</v>
      </c>
      <c r="I379" t="n">
        <v>0</v>
      </c>
      <c r="J379" t="n">
        <v>0</v>
      </c>
      <c r="K379" t="n">
        <v>0</v>
      </c>
      <c r="L379" t="n">
        <v>0</v>
      </c>
      <c r="M379" t="n">
        <v>0</v>
      </c>
      <c r="N379" t="n">
        <v>0</v>
      </c>
      <c r="O379" t="n">
        <v>0</v>
      </c>
      <c r="P379" t="n">
        <v>0</v>
      </c>
      <c r="Q379" t="n">
        <v>0</v>
      </c>
      <c r="R379" s="2" t="inlineStr"/>
    </row>
    <row r="380" ht="15" customHeight="1">
      <c r="A380" t="inlineStr">
        <is>
          <t>A 36040-2024</t>
        </is>
      </c>
      <c r="B380" s="1" t="n">
        <v>45533.60232638889</v>
      </c>
      <c r="C380" s="1" t="n">
        <v>45937</v>
      </c>
      <c r="D380" t="inlineStr">
        <is>
          <t>KALMAR LÄN</t>
        </is>
      </c>
      <c r="E380" t="inlineStr">
        <is>
          <t>VIMMERBY</t>
        </is>
      </c>
      <c r="F380" t="inlineStr">
        <is>
          <t>Kommuner</t>
        </is>
      </c>
      <c r="G380" t="n">
        <v>3.6</v>
      </c>
      <c r="H380" t="n">
        <v>0</v>
      </c>
      <c r="I380" t="n">
        <v>0</v>
      </c>
      <c r="J380" t="n">
        <v>0</v>
      </c>
      <c r="K380" t="n">
        <v>0</v>
      </c>
      <c r="L380" t="n">
        <v>0</v>
      </c>
      <c r="M380" t="n">
        <v>0</v>
      </c>
      <c r="N380" t="n">
        <v>0</v>
      </c>
      <c r="O380" t="n">
        <v>0</v>
      </c>
      <c r="P380" t="n">
        <v>0</v>
      </c>
      <c r="Q380" t="n">
        <v>0</v>
      </c>
      <c r="R380" s="2" t="inlineStr"/>
    </row>
    <row r="381" ht="15" customHeight="1">
      <c r="A381" t="inlineStr">
        <is>
          <t>A 36043-2024</t>
        </is>
      </c>
      <c r="B381" s="1" t="n">
        <v>45533.60770833334</v>
      </c>
      <c r="C381" s="1" t="n">
        <v>45937</v>
      </c>
      <c r="D381" t="inlineStr">
        <is>
          <t>KALMAR LÄN</t>
        </is>
      </c>
      <c r="E381" t="inlineStr">
        <is>
          <t>VIMMERBY</t>
        </is>
      </c>
      <c r="F381" t="inlineStr">
        <is>
          <t>Kommuner</t>
        </is>
      </c>
      <c r="G381" t="n">
        <v>1.5</v>
      </c>
      <c r="H381" t="n">
        <v>0</v>
      </c>
      <c r="I381" t="n">
        <v>0</v>
      </c>
      <c r="J381" t="n">
        <v>0</v>
      </c>
      <c r="K381" t="n">
        <v>0</v>
      </c>
      <c r="L381" t="n">
        <v>0</v>
      </c>
      <c r="M381" t="n">
        <v>0</v>
      </c>
      <c r="N381" t="n">
        <v>0</v>
      </c>
      <c r="O381" t="n">
        <v>0</v>
      </c>
      <c r="P381" t="n">
        <v>0</v>
      </c>
      <c r="Q381" t="n">
        <v>0</v>
      </c>
      <c r="R381" s="2" t="inlineStr"/>
    </row>
    <row r="382" ht="15" customHeight="1">
      <c r="A382" t="inlineStr">
        <is>
          <t>A 22643-2023</t>
        </is>
      </c>
      <c r="B382" s="1" t="n">
        <v>45071</v>
      </c>
      <c r="C382" s="1" t="n">
        <v>45937</v>
      </c>
      <c r="D382" t="inlineStr">
        <is>
          <t>KALMAR LÄN</t>
        </is>
      </c>
      <c r="E382" t="inlineStr">
        <is>
          <t>VIMMERBY</t>
        </is>
      </c>
      <c r="G382" t="n">
        <v>3.9</v>
      </c>
      <c r="H382" t="n">
        <v>0</v>
      </c>
      <c r="I382" t="n">
        <v>0</v>
      </c>
      <c r="J382" t="n">
        <v>0</v>
      </c>
      <c r="K382" t="n">
        <v>0</v>
      </c>
      <c r="L382" t="n">
        <v>0</v>
      </c>
      <c r="M382" t="n">
        <v>0</v>
      </c>
      <c r="N382" t="n">
        <v>0</v>
      </c>
      <c r="O382" t="n">
        <v>0</v>
      </c>
      <c r="P382" t="n">
        <v>0</v>
      </c>
      <c r="Q382" t="n">
        <v>0</v>
      </c>
      <c r="R382" s="2" t="inlineStr"/>
    </row>
    <row r="383" ht="15" customHeight="1">
      <c r="A383" t="inlineStr">
        <is>
          <t>A 47859-2024</t>
        </is>
      </c>
      <c r="B383" s="1" t="n">
        <v>45588.67070601852</v>
      </c>
      <c r="C383" s="1" t="n">
        <v>45937</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58724-2024</t>
        </is>
      </c>
      <c r="B384" s="1" t="n">
        <v>45635.66409722222</v>
      </c>
      <c r="C384" s="1" t="n">
        <v>45937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32835-2022</t>
        </is>
      </c>
      <c r="B385" s="1" t="n">
        <v>44784.42528935185</v>
      </c>
      <c r="C385" s="1" t="n">
        <v>45937</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15494-2024</t>
        </is>
      </c>
      <c r="B386" s="1" t="n">
        <v>45401.53033564815</v>
      </c>
      <c r="C386" s="1" t="n">
        <v>45937</v>
      </c>
      <c r="D386" t="inlineStr">
        <is>
          <t>KALMAR LÄN</t>
        </is>
      </c>
      <c r="E386" t="inlineStr">
        <is>
          <t>VIMMERBY</t>
        </is>
      </c>
      <c r="G386" t="n">
        <v>3.2</v>
      </c>
      <c r="H386" t="n">
        <v>0</v>
      </c>
      <c r="I386" t="n">
        <v>0</v>
      </c>
      <c r="J386" t="n">
        <v>0</v>
      </c>
      <c r="K386" t="n">
        <v>0</v>
      </c>
      <c r="L386" t="n">
        <v>0</v>
      </c>
      <c r="M386" t="n">
        <v>0</v>
      </c>
      <c r="N386" t="n">
        <v>0</v>
      </c>
      <c r="O386" t="n">
        <v>0</v>
      </c>
      <c r="P386" t="n">
        <v>0</v>
      </c>
      <c r="Q386" t="n">
        <v>0</v>
      </c>
      <c r="R386" s="2" t="inlineStr"/>
    </row>
    <row r="387" ht="15" customHeight="1">
      <c r="A387" t="inlineStr">
        <is>
          <t>A 26039-2025</t>
        </is>
      </c>
      <c r="B387" s="1" t="n">
        <v>45804.6953587963</v>
      </c>
      <c r="C387" s="1" t="n">
        <v>45937</v>
      </c>
      <c r="D387" t="inlineStr">
        <is>
          <t>KALMAR LÄN</t>
        </is>
      </c>
      <c r="E387" t="inlineStr">
        <is>
          <t>VIMMERBY</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26046-2025</t>
        </is>
      </c>
      <c r="B388" s="1" t="n">
        <v>45804.708125</v>
      </c>
      <c r="C388" s="1" t="n">
        <v>45937</v>
      </c>
      <c r="D388" t="inlineStr">
        <is>
          <t>KALMAR LÄN</t>
        </is>
      </c>
      <c r="E388" t="inlineStr">
        <is>
          <t>VIMMERBY</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25792-2025</t>
        </is>
      </c>
      <c r="B389" s="1" t="n">
        <v>45804.39141203704</v>
      </c>
      <c r="C389" s="1" t="n">
        <v>45937</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41896-2023</t>
        </is>
      </c>
      <c r="B390" s="1" t="n">
        <v>45176.72427083334</v>
      </c>
      <c r="C390" s="1" t="n">
        <v>45937</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34597-2022</t>
        </is>
      </c>
      <c r="B391" s="1" t="n">
        <v>44795</v>
      </c>
      <c r="C391" s="1" t="n">
        <v>45937</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25830-2025</t>
        </is>
      </c>
      <c r="B392" s="1" t="n">
        <v>45804.44519675926</v>
      </c>
      <c r="C392" s="1" t="n">
        <v>45937</v>
      </c>
      <c r="D392" t="inlineStr">
        <is>
          <t>KALMAR LÄN</t>
        </is>
      </c>
      <c r="E392" t="inlineStr">
        <is>
          <t>VIMMERBY</t>
        </is>
      </c>
      <c r="G392" t="n">
        <v>4.9</v>
      </c>
      <c r="H392" t="n">
        <v>0</v>
      </c>
      <c r="I392" t="n">
        <v>0</v>
      </c>
      <c r="J392" t="n">
        <v>0</v>
      </c>
      <c r="K392" t="n">
        <v>0</v>
      </c>
      <c r="L392" t="n">
        <v>0</v>
      </c>
      <c r="M392" t="n">
        <v>0</v>
      </c>
      <c r="N392" t="n">
        <v>0</v>
      </c>
      <c r="O392" t="n">
        <v>0</v>
      </c>
      <c r="P392" t="n">
        <v>0</v>
      </c>
      <c r="Q392" t="n">
        <v>0</v>
      </c>
      <c r="R392" s="2" t="inlineStr"/>
    </row>
    <row r="393" ht="15" customHeight="1">
      <c r="A393" t="inlineStr">
        <is>
          <t>A 40079-2023</t>
        </is>
      </c>
      <c r="B393" s="1" t="n">
        <v>45168.89298611111</v>
      </c>
      <c r="C393" s="1" t="n">
        <v>45937</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26124-2025</t>
        </is>
      </c>
      <c r="B394" s="1" t="n">
        <v>45805.39247685186</v>
      </c>
      <c r="C394" s="1" t="n">
        <v>45937</v>
      </c>
      <c r="D394" t="inlineStr">
        <is>
          <t>KALMAR LÄN</t>
        </is>
      </c>
      <c r="E394" t="inlineStr">
        <is>
          <t>VIMMERBY</t>
        </is>
      </c>
      <c r="G394" t="n">
        <v>6.6</v>
      </c>
      <c r="H394" t="n">
        <v>0</v>
      </c>
      <c r="I394" t="n">
        <v>0</v>
      </c>
      <c r="J394" t="n">
        <v>0</v>
      </c>
      <c r="K394" t="n">
        <v>0</v>
      </c>
      <c r="L394" t="n">
        <v>0</v>
      </c>
      <c r="M394" t="n">
        <v>0</v>
      </c>
      <c r="N394" t="n">
        <v>0</v>
      </c>
      <c r="O394" t="n">
        <v>0</v>
      </c>
      <c r="P394" t="n">
        <v>0</v>
      </c>
      <c r="Q394" t="n">
        <v>0</v>
      </c>
      <c r="R394" s="2" t="inlineStr"/>
    </row>
    <row r="395" ht="15" customHeight="1">
      <c r="A395" t="inlineStr">
        <is>
          <t>A 19833-2023</t>
        </is>
      </c>
      <c r="B395" s="1" t="n">
        <v>45052</v>
      </c>
      <c r="C395" s="1" t="n">
        <v>45937</v>
      </c>
      <c r="D395" t="inlineStr">
        <is>
          <t>KALMAR LÄN</t>
        </is>
      </c>
      <c r="E395" t="inlineStr">
        <is>
          <t>VIMMERBY</t>
        </is>
      </c>
      <c r="G395" t="n">
        <v>6.7</v>
      </c>
      <c r="H395" t="n">
        <v>0</v>
      </c>
      <c r="I395" t="n">
        <v>0</v>
      </c>
      <c r="J395" t="n">
        <v>0</v>
      </c>
      <c r="K395" t="n">
        <v>0</v>
      </c>
      <c r="L395" t="n">
        <v>0</v>
      </c>
      <c r="M395" t="n">
        <v>0</v>
      </c>
      <c r="N395" t="n">
        <v>0</v>
      </c>
      <c r="O395" t="n">
        <v>0</v>
      </c>
      <c r="P395" t="n">
        <v>0</v>
      </c>
      <c r="Q395" t="n">
        <v>0</v>
      </c>
      <c r="R395" s="2" t="inlineStr"/>
    </row>
    <row r="396" ht="15" customHeight="1">
      <c r="A396" t="inlineStr">
        <is>
          <t>A 26254-2025</t>
        </is>
      </c>
      <c r="B396" s="1" t="n">
        <v>45805</v>
      </c>
      <c r="C396" s="1" t="n">
        <v>45937</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43606-2024</t>
        </is>
      </c>
      <c r="B397" s="1" t="n">
        <v>45569.45017361111</v>
      </c>
      <c r="C397" s="1" t="n">
        <v>45937</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12325-2023</t>
        </is>
      </c>
      <c r="B398" s="1" t="n">
        <v>44999.35858796296</v>
      </c>
      <c r="C398" s="1" t="n">
        <v>45937</v>
      </c>
      <c r="D398" t="inlineStr">
        <is>
          <t>KALMAR LÄN</t>
        </is>
      </c>
      <c r="E398" t="inlineStr">
        <is>
          <t>VIMMERBY</t>
        </is>
      </c>
      <c r="G398" t="n">
        <v>3.4</v>
      </c>
      <c r="H398" t="n">
        <v>0</v>
      </c>
      <c r="I398" t="n">
        <v>0</v>
      </c>
      <c r="J398" t="n">
        <v>0</v>
      </c>
      <c r="K398" t="n">
        <v>0</v>
      </c>
      <c r="L398" t="n">
        <v>0</v>
      </c>
      <c r="M398" t="n">
        <v>0</v>
      </c>
      <c r="N398" t="n">
        <v>0</v>
      </c>
      <c r="O398" t="n">
        <v>0</v>
      </c>
      <c r="P398" t="n">
        <v>0</v>
      </c>
      <c r="Q398" t="n">
        <v>0</v>
      </c>
      <c r="R398" s="2" t="inlineStr"/>
    </row>
    <row r="399" ht="15" customHeight="1">
      <c r="A399" t="inlineStr">
        <is>
          <t>A 26207-2025</t>
        </is>
      </c>
      <c r="B399" s="1" t="n">
        <v>45805.52983796296</v>
      </c>
      <c r="C399" s="1" t="n">
        <v>45937</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8945-2025</t>
        </is>
      </c>
      <c r="B400" s="1" t="n">
        <v>45713.45311342592</v>
      </c>
      <c r="C400" s="1" t="n">
        <v>45937</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46365-2025</t>
        </is>
      </c>
      <c r="B401" s="1" t="n">
        <v>45925.50075231482</v>
      </c>
      <c r="C401" s="1" t="n">
        <v>45937</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40665-2023</t>
        </is>
      </c>
      <c r="B402" s="1" t="n">
        <v>45170</v>
      </c>
      <c r="C402" s="1" t="n">
        <v>45937</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13307-2025</t>
        </is>
      </c>
      <c r="B403" s="1" t="n">
        <v>45735.58024305556</v>
      </c>
      <c r="C403" s="1" t="n">
        <v>45937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28034-2022</t>
        </is>
      </c>
      <c r="B404" s="1" t="n">
        <v>44746.38834490741</v>
      </c>
      <c r="C404" s="1" t="n">
        <v>45937</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17084-2025</t>
        </is>
      </c>
      <c r="B405" s="1" t="n">
        <v>45755.64450231481</v>
      </c>
      <c r="C405" s="1" t="n">
        <v>45937</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56022-2024</t>
        </is>
      </c>
      <c r="B406" s="1" t="n">
        <v>45623.95947916667</v>
      </c>
      <c r="C406" s="1" t="n">
        <v>45937</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11928-2022</t>
        </is>
      </c>
      <c r="B407" s="1" t="n">
        <v>44635</v>
      </c>
      <c r="C407" s="1" t="n">
        <v>45937</v>
      </c>
      <c r="D407" t="inlineStr">
        <is>
          <t>KALMAR LÄN</t>
        </is>
      </c>
      <c r="E407" t="inlineStr">
        <is>
          <t>VIMMERBY</t>
        </is>
      </c>
      <c r="G407" t="n">
        <v>2.8</v>
      </c>
      <c r="H407" t="n">
        <v>0</v>
      </c>
      <c r="I407" t="n">
        <v>0</v>
      </c>
      <c r="J407" t="n">
        <v>0</v>
      </c>
      <c r="K407" t="n">
        <v>0</v>
      </c>
      <c r="L407" t="n">
        <v>0</v>
      </c>
      <c r="M407" t="n">
        <v>0</v>
      </c>
      <c r="N407" t="n">
        <v>0</v>
      </c>
      <c r="O407" t="n">
        <v>0</v>
      </c>
      <c r="P407" t="n">
        <v>0</v>
      </c>
      <c r="Q407" t="n">
        <v>0</v>
      </c>
      <c r="R407" s="2" t="inlineStr"/>
    </row>
    <row r="408" ht="15" customHeight="1">
      <c r="A408" t="inlineStr">
        <is>
          <t>A 55605-2024</t>
        </is>
      </c>
      <c r="B408" s="1" t="n">
        <v>45622</v>
      </c>
      <c r="C408" s="1" t="n">
        <v>45937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42165-2024</t>
        </is>
      </c>
      <c r="B409" s="1" t="n">
        <v>45562.46342592593</v>
      </c>
      <c r="C409" s="1" t="n">
        <v>45937</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5527-2022</t>
        </is>
      </c>
      <c r="B410" s="1" t="n">
        <v>44595.583125</v>
      </c>
      <c r="C410" s="1" t="n">
        <v>45937</v>
      </c>
      <c r="D410" t="inlineStr">
        <is>
          <t>KALMAR LÄN</t>
        </is>
      </c>
      <c r="E410" t="inlineStr">
        <is>
          <t>VIMMERBY</t>
        </is>
      </c>
      <c r="G410" t="n">
        <v>3.6</v>
      </c>
      <c r="H410" t="n">
        <v>0</v>
      </c>
      <c r="I410" t="n">
        <v>0</v>
      </c>
      <c r="J410" t="n">
        <v>0</v>
      </c>
      <c r="K410" t="n">
        <v>0</v>
      </c>
      <c r="L410" t="n">
        <v>0</v>
      </c>
      <c r="M410" t="n">
        <v>0</v>
      </c>
      <c r="N410" t="n">
        <v>0</v>
      </c>
      <c r="O410" t="n">
        <v>0</v>
      </c>
      <c r="P410" t="n">
        <v>0</v>
      </c>
      <c r="Q410" t="n">
        <v>0</v>
      </c>
      <c r="R410" s="2" t="inlineStr"/>
    </row>
    <row r="411" ht="15" customHeight="1">
      <c r="A411" t="inlineStr">
        <is>
          <t>A 45856-2025</t>
        </is>
      </c>
      <c r="B411" s="1" t="n">
        <v>45923</v>
      </c>
      <c r="C411" s="1" t="n">
        <v>45937</v>
      </c>
      <c r="D411" t="inlineStr">
        <is>
          <t>KALMAR LÄN</t>
        </is>
      </c>
      <c r="E411" t="inlineStr">
        <is>
          <t>VIMMERBY</t>
        </is>
      </c>
      <c r="G411" t="n">
        <v>2.1</v>
      </c>
      <c r="H411" t="n">
        <v>0</v>
      </c>
      <c r="I411" t="n">
        <v>0</v>
      </c>
      <c r="J411" t="n">
        <v>0</v>
      </c>
      <c r="K411" t="n">
        <v>0</v>
      </c>
      <c r="L411" t="n">
        <v>0</v>
      </c>
      <c r="M411" t="n">
        <v>0</v>
      </c>
      <c r="N411" t="n">
        <v>0</v>
      </c>
      <c r="O411" t="n">
        <v>0</v>
      </c>
      <c r="P411" t="n">
        <v>0</v>
      </c>
      <c r="Q411" t="n">
        <v>0</v>
      </c>
      <c r="R411" s="2" t="inlineStr"/>
    </row>
    <row r="412" ht="15" customHeight="1">
      <c r="A412" t="inlineStr">
        <is>
          <t>A 20129-2024</t>
        </is>
      </c>
      <c r="B412" s="1" t="n">
        <v>45434.55831018519</v>
      </c>
      <c r="C412" s="1" t="n">
        <v>45937</v>
      </c>
      <c r="D412" t="inlineStr">
        <is>
          <t>KALMAR LÄN</t>
        </is>
      </c>
      <c r="E412" t="inlineStr">
        <is>
          <t>VIMMERBY</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20137-2024</t>
        </is>
      </c>
      <c r="B413" s="1" t="n">
        <v>45434.56398148148</v>
      </c>
      <c r="C413" s="1" t="n">
        <v>45937</v>
      </c>
      <c r="D413" t="inlineStr">
        <is>
          <t>KALMAR LÄN</t>
        </is>
      </c>
      <c r="E413" t="inlineStr">
        <is>
          <t>VIMMERBY</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23095-2023</t>
        </is>
      </c>
      <c r="B414" s="1" t="n">
        <v>45075.43059027778</v>
      </c>
      <c r="C414" s="1" t="n">
        <v>45937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32919-2022</t>
        </is>
      </c>
      <c r="B415" s="1" t="n">
        <v>44784.62724537037</v>
      </c>
      <c r="C415" s="1" t="n">
        <v>45937</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49461-2023</t>
        </is>
      </c>
      <c r="B416" s="1" t="n">
        <v>45211.52642361111</v>
      </c>
      <c r="C416" s="1" t="n">
        <v>45937</v>
      </c>
      <c r="D416" t="inlineStr">
        <is>
          <t>KALMAR LÄN</t>
        </is>
      </c>
      <c r="E416" t="inlineStr">
        <is>
          <t>VIMMERBY</t>
        </is>
      </c>
      <c r="G416" t="n">
        <v>1.5</v>
      </c>
      <c r="H416" t="n">
        <v>0</v>
      </c>
      <c r="I416" t="n">
        <v>0</v>
      </c>
      <c r="J416" t="n">
        <v>0</v>
      </c>
      <c r="K416" t="n">
        <v>0</v>
      </c>
      <c r="L416" t="n">
        <v>0</v>
      </c>
      <c r="M416" t="n">
        <v>0</v>
      </c>
      <c r="N416" t="n">
        <v>0</v>
      </c>
      <c r="O416" t="n">
        <v>0</v>
      </c>
      <c r="P416" t="n">
        <v>0</v>
      </c>
      <c r="Q416" t="n">
        <v>0</v>
      </c>
      <c r="R416" s="2" t="inlineStr"/>
    </row>
    <row r="417" ht="15" customHeight="1">
      <c r="A417" t="inlineStr">
        <is>
          <t>A 49474-2023</t>
        </is>
      </c>
      <c r="B417" s="1" t="n">
        <v>45211.541875</v>
      </c>
      <c r="C417" s="1" t="n">
        <v>45937</v>
      </c>
      <c r="D417" t="inlineStr">
        <is>
          <t>KALMAR LÄN</t>
        </is>
      </c>
      <c r="E417" t="inlineStr">
        <is>
          <t>VIMMERBY</t>
        </is>
      </c>
      <c r="G417" t="n">
        <v>3.6</v>
      </c>
      <c r="H417" t="n">
        <v>0</v>
      </c>
      <c r="I417" t="n">
        <v>0</v>
      </c>
      <c r="J417" t="n">
        <v>0</v>
      </c>
      <c r="K417" t="n">
        <v>0</v>
      </c>
      <c r="L417" t="n">
        <v>0</v>
      </c>
      <c r="M417" t="n">
        <v>0</v>
      </c>
      <c r="N417" t="n">
        <v>0</v>
      </c>
      <c r="O417" t="n">
        <v>0</v>
      </c>
      <c r="P417" t="n">
        <v>0</v>
      </c>
      <c r="Q417" t="n">
        <v>0</v>
      </c>
      <c r="R417" s="2" t="inlineStr"/>
    </row>
    <row r="418" ht="15" customHeight="1">
      <c r="A418" t="inlineStr">
        <is>
          <t>A 61861-2024</t>
        </is>
      </c>
      <c r="B418" s="1" t="n">
        <v>45650.37370370371</v>
      </c>
      <c r="C418" s="1" t="n">
        <v>45937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7068-2024</t>
        </is>
      </c>
      <c r="B419" s="1" t="n">
        <v>45343.68038194445</v>
      </c>
      <c r="C419" s="1" t="n">
        <v>45937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45846-2023</t>
        </is>
      </c>
      <c r="B420" s="1" t="n">
        <v>45195.58452546296</v>
      </c>
      <c r="C420" s="1" t="n">
        <v>45937</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8167-2024</t>
        </is>
      </c>
      <c r="B421" s="1" t="n">
        <v>45351.6062962963</v>
      </c>
      <c r="C421" s="1" t="n">
        <v>45937</v>
      </c>
      <c r="D421" t="inlineStr">
        <is>
          <t>KALMAR LÄN</t>
        </is>
      </c>
      <c r="E421" t="inlineStr">
        <is>
          <t>VIMMERBY</t>
        </is>
      </c>
      <c r="G421" t="n">
        <v>3.8</v>
      </c>
      <c r="H421" t="n">
        <v>0</v>
      </c>
      <c r="I421" t="n">
        <v>0</v>
      </c>
      <c r="J421" t="n">
        <v>0</v>
      </c>
      <c r="K421" t="n">
        <v>0</v>
      </c>
      <c r="L421" t="n">
        <v>0</v>
      </c>
      <c r="M421" t="n">
        <v>0</v>
      </c>
      <c r="N421" t="n">
        <v>0</v>
      </c>
      <c r="O421" t="n">
        <v>0</v>
      </c>
      <c r="P421" t="n">
        <v>0</v>
      </c>
      <c r="Q421" t="n">
        <v>0</v>
      </c>
      <c r="R421" s="2" t="inlineStr"/>
    </row>
    <row r="422" ht="15" customHeight="1">
      <c r="A422" t="inlineStr">
        <is>
          <t>A 46361-2025</t>
        </is>
      </c>
      <c r="B422" s="1" t="n">
        <v>45925.49670138889</v>
      </c>
      <c r="C422" s="1" t="n">
        <v>45937</v>
      </c>
      <c r="D422" t="inlineStr">
        <is>
          <t>KALMAR LÄN</t>
        </is>
      </c>
      <c r="E422" t="inlineStr">
        <is>
          <t>VIMMERBY</t>
        </is>
      </c>
      <c r="G422" t="n">
        <v>4.2</v>
      </c>
      <c r="H422" t="n">
        <v>0</v>
      </c>
      <c r="I422" t="n">
        <v>0</v>
      </c>
      <c r="J422" t="n">
        <v>0</v>
      </c>
      <c r="K422" t="n">
        <v>0</v>
      </c>
      <c r="L422" t="n">
        <v>0</v>
      </c>
      <c r="M422" t="n">
        <v>0</v>
      </c>
      <c r="N422" t="n">
        <v>0</v>
      </c>
      <c r="O422" t="n">
        <v>0</v>
      </c>
      <c r="P422" t="n">
        <v>0</v>
      </c>
      <c r="Q422" t="n">
        <v>0</v>
      </c>
      <c r="R422" s="2" t="inlineStr"/>
    </row>
    <row r="423" ht="15" customHeight="1">
      <c r="A423" t="inlineStr">
        <is>
          <t>A 12596-2021</t>
        </is>
      </c>
      <c r="B423" s="1" t="n">
        <v>44270.39765046296</v>
      </c>
      <c r="C423" s="1" t="n">
        <v>45937</v>
      </c>
      <c r="D423" t="inlineStr">
        <is>
          <t>KALMAR LÄN</t>
        </is>
      </c>
      <c r="E423" t="inlineStr">
        <is>
          <t>VIMMERBY</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27719-2025</t>
        </is>
      </c>
      <c r="B424" s="1" t="n">
        <v>45814.3865625</v>
      </c>
      <c r="C424" s="1" t="n">
        <v>45937</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27718-2025</t>
        </is>
      </c>
      <c r="B425" s="1" t="n">
        <v>45814.38221064815</v>
      </c>
      <c r="C425" s="1" t="n">
        <v>45937</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49382-2023</t>
        </is>
      </c>
      <c r="B426" s="1" t="n">
        <v>45208</v>
      </c>
      <c r="C426" s="1" t="n">
        <v>45937</v>
      </c>
      <c r="D426" t="inlineStr">
        <is>
          <t>KALMAR LÄN</t>
        </is>
      </c>
      <c r="E426" t="inlineStr">
        <is>
          <t>VIMMERBY</t>
        </is>
      </c>
      <c r="G426" t="n">
        <v>2.2</v>
      </c>
      <c r="H426" t="n">
        <v>0</v>
      </c>
      <c r="I426" t="n">
        <v>0</v>
      </c>
      <c r="J426" t="n">
        <v>0</v>
      </c>
      <c r="K426" t="n">
        <v>0</v>
      </c>
      <c r="L426" t="n">
        <v>0</v>
      </c>
      <c r="M426" t="n">
        <v>0</v>
      </c>
      <c r="N426" t="n">
        <v>0</v>
      </c>
      <c r="O426" t="n">
        <v>0</v>
      </c>
      <c r="P426" t="n">
        <v>0</v>
      </c>
      <c r="Q426" t="n">
        <v>0</v>
      </c>
      <c r="R426" s="2" t="inlineStr"/>
    </row>
    <row r="427" ht="15" customHeight="1">
      <c r="A427" t="inlineStr">
        <is>
          <t>A 12121-2025</t>
        </is>
      </c>
      <c r="B427" s="1" t="n">
        <v>45729.36868055556</v>
      </c>
      <c r="C427" s="1" t="n">
        <v>45937</v>
      </c>
      <c r="D427" t="inlineStr">
        <is>
          <t>KALMAR LÄN</t>
        </is>
      </c>
      <c r="E427" t="inlineStr">
        <is>
          <t>VIMMERBY</t>
        </is>
      </c>
      <c r="G427" t="n">
        <v>4.3</v>
      </c>
      <c r="H427" t="n">
        <v>0</v>
      </c>
      <c r="I427" t="n">
        <v>0</v>
      </c>
      <c r="J427" t="n">
        <v>0</v>
      </c>
      <c r="K427" t="n">
        <v>0</v>
      </c>
      <c r="L427" t="n">
        <v>0</v>
      </c>
      <c r="M427" t="n">
        <v>0</v>
      </c>
      <c r="N427" t="n">
        <v>0</v>
      </c>
      <c r="O427" t="n">
        <v>0</v>
      </c>
      <c r="P427" t="n">
        <v>0</v>
      </c>
      <c r="Q427" t="n">
        <v>0</v>
      </c>
      <c r="R427" s="2" t="inlineStr"/>
    </row>
    <row r="428" ht="15" customHeight="1">
      <c r="A428" t="inlineStr">
        <is>
          <t>A 32655-2023</t>
        </is>
      </c>
      <c r="B428" s="1" t="n">
        <v>45121.61318287037</v>
      </c>
      <c r="C428" s="1" t="n">
        <v>45937</v>
      </c>
      <c r="D428" t="inlineStr">
        <is>
          <t>KALMAR LÄN</t>
        </is>
      </c>
      <c r="E428" t="inlineStr">
        <is>
          <t>VIMMERBY</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35846-2023</t>
        </is>
      </c>
      <c r="B429" s="1" t="n">
        <v>45148</v>
      </c>
      <c r="C429" s="1" t="n">
        <v>45937</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35913-2023</t>
        </is>
      </c>
      <c r="B430" s="1" t="n">
        <v>45148</v>
      </c>
      <c r="C430" s="1" t="n">
        <v>45937</v>
      </c>
      <c r="D430" t="inlineStr">
        <is>
          <t>KALMAR LÄN</t>
        </is>
      </c>
      <c r="E430" t="inlineStr">
        <is>
          <t>VIMMERBY</t>
        </is>
      </c>
      <c r="G430" t="n">
        <v>6.9</v>
      </c>
      <c r="H430" t="n">
        <v>0</v>
      </c>
      <c r="I430" t="n">
        <v>0</v>
      </c>
      <c r="J430" t="n">
        <v>0</v>
      </c>
      <c r="K430" t="n">
        <v>0</v>
      </c>
      <c r="L430" t="n">
        <v>0</v>
      </c>
      <c r="M430" t="n">
        <v>0</v>
      </c>
      <c r="N430" t="n">
        <v>0</v>
      </c>
      <c r="O430" t="n">
        <v>0</v>
      </c>
      <c r="P430" t="n">
        <v>0</v>
      </c>
      <c r="Q430" t="n">
        <v>0</v>
      </c>
      <c r="R430" s="2" t="inlineStr"/>
    </row>
    <row r="431" ht="15" customHeight="1">
      <c r="A431" t="inlineStr">
        <is>
          <t>A 54409-2024</t>
        </is>
      </c>
      <c r="B431" s="1" t="n">
        <v>45617.47570601852</v>
      </c>
      <c r="C431" s="1" t="n">
        <v>45937</v>
      </c>
      <c r="D431" t="inlineStr">
        <is>
          <t>KALMAR LÄN</t>
        </is>
      </c>
      <c r="E431" t="inlineStr">
        <is>
          <t>VIMMERBY</t>
        </is>
      </c>
      <c r="G431" t="n">
        <v>4.3</v>
      </c>
      <c r="H431" t="n">
        <v>0</v>
      </c>
      <c r="I431" t="n">
        <v>0</v>
      </c>
      <c r="J431" t="n">
        <v>0</v>
      </c>
      <c r="K431" t="n">
        <v>0</v>
      </c>
      <c r="L431" t="n">
        <v>0</v>
      </c>
      <c r="M431" t="n">
        <v>0</v>
      </c>
      <c r="N431" t="n">
        <v>0</v>
      </c>
      <c r="O431" t="n">
        <v>0</v>
      </c>
      <c r="P431" t="n">
        <v>0</v>
      </c>
      <c r="Q431" t="n">
        <v>0</v>
      </c>
      <c r="R431" s="2" t="inlineStr"/>
    </row>
    <row r="432" ht="15" customHeight="1">
      <c r="A432" t="inlineStr">
        <is>
          <t>A 38757-2023</t>
        </is>
      </c>
      <c r="B432" s="1" t="n">
        <v>45163.41376157408</v>
      </c>
      <c r="C432" s="1" t="n">
        <v>45937</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20136-2024</t>
        </is>
      </c>
      <c r="B433" s="1" t="n">
        <v>45434.56291666667</v>
      </c>
      <c r="C433" s="1" t="n">
        <v>45937</v>
      </c>
      <c r="D433" t="inlineStr">
        <is>
          <t>KALMAR LÄN</t>
        </is>
      </c>
      <c r="E433" t="inlineStr">
        <is>
          <t>VIMMERBY</t>
        </is>
      </c>
      <c r="F433" t="inlineStr">
        <is>
          <t>Sveaskog</t>
        </is>
      </c>
      <c r="G433" t="n">
        <v>8.4</v>
      </c>
      <c r="H433" t="n">
        <v>0</v>
      </c>
      <c r="I433" t="n">
        <v>0</v>
      </c>
      <c r="J433" t="n">
        <v>0</v>
      </c>
      <c r="K433" t="n">
        <v>0</v>
      </c>
      <c r="L433" t="n">
        <v>0</v>
      </c>
      <c r="M433" t="n">
        <v>0</v>
      </c>
      <c r="N433" t="n">
        <v>0</v>
      </c>
      <c r="O433" t="n">
        <v>0</v>
      </c>
      <c r="P433" t="n">
        <v>0</v>
      </c>
      <c r="Q433" t="n">
        <v>0</v>
      </c>
      <c r="R433" s="2" t="inlineStr"/>
    </row>
    <row r="434" ht="15" customHeight="1">
      <c r="A434" t="inlineStr">
        <is>
          <t>A 28290-2025</t>
        </is>
      </c>
      <c r="B434" s="1" t="n">
        <v>45818.59261574074</v>
      </c>
      <c r="C434" s="1" t="n">
        <v>45937</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38604-2025</t>
        </is>
      </c>
      <c r="B435" s="1" t="n">
        <v>45884.50613425926</v>
      </c>
      <c r="C435" s="1" t="n">
        <v>45937</v>
      </c>
      <c r="D435" t="inlineStr">
        <is>
          <t>KALMAR LÄN</t>
        </is>
      </c>
      <c r="E435" t="inlineStr">
        <is>
          <t>VIMMERBY</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24283-2023</t>
        </is>
      </c>
      <c r="B436" s="1" t="n">
        <v>45079.87827546296</v>
      </c>
      <c r="C436" s="1" t="n">
        <v>45937</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28280-2025</t>
        </is>
      </c>
      <c r="B437" s="1" t="n">
        <v>45818.5862037037</v>
      </c>
      <c r="C437" s="1" t="n">
        <v>45937</v>
      </c>
      <c r="D437" t="inlineStr">
        <is>
          <t>KALMAR LÄN</t>
        </is>
      </c>
      <c r="E437" t="inlineStr">
        <is>
          <t>VIMMERBY</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28286-2025</t>
        </is>
      </c>
      <c r="B438" s="1" t="n">
        <v>45818.58993055556</v>
      </c>
      <c r="C438" s="1" t="n">
        <v>45937</v>
      </c>
      <c r="D438" t="inlineStr">
        <is>
          <t>KALMAR LÄN</t>
        </is>
      </c>
      <c r="E438" t="inlineStr">
        <is>
          <t>VIMMERBY</t>
        </is>
      </c>
      <c r="F438" t="inlineStr">
        <is>
          <t>Sveaskog</t>
        </is>
      </c>
      <c r="G438" t="n">
        <v>8</v>
      </c>
      <c r="H438" t="n">
        <v>0</v>
      </c>
      <c r="I438" t="n">
        <v>0</v>
      </c>
      <c r="J438" t="n">
        <v>0</v>
      </c>
      <c r="K438" t="n">
        <v>0</v>
      </c>
      <c r="L438" t="n">
        <v>0</v>
      </c>
      <c r="M438" t="n">
        <v>0</v>
      </c>
      <c r="N438" t="n">
        <v>0</v>
      </c>
      <c r="O438" t="n">
        <v>0</v>
      </c>
      <c r="P438" t="n">
        <v>0</v>
      </c>
      <c r="Q438" t="n">
        <v>0</v>
      </c>
      <c r="R438" s="2" t="inlineStr"/>
    </row>
    <row r="439" ht="15" customHeight="1">
      <c r="A439" t="inlineStr">
        <is>
          <t>A 59598-2023</t>
        </is>
      </c>
      <c r="B439" s="1" t="n">
        <v>45254.62489583333</v>
      </c>
      <c r="C439" s="1" t="n">
        <v>45937</v>
      </c>
      <c r="D439" t="inlineStr">
        <is>
          <t>KALMAR LÄN</t>
        </is>
      </c>
      <c r="E439" t="inlineStr">
        <is>
          <t>VIMMERBY</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30920-2023</t>
        </is>
      </c>
      <c r="B440" s="1" t="n">
        <v>45113.43921296296</v>
      </c>
      <c r="C440" s="1" t="n">
        <v>45937</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28282-2025</t>
        </is>
      </c>
      <c r="B441" s="1" t="n">
        <v>45818.58769675926</v>
      </c>
      <c r="C441" s="1" t="n">
        <v>45937</v>
      </c>
      <c r="D441" t="inlineStr">
        <is>
          <t>KALMAR LÄN</t>
        </is>
      </c>
      <c r="E441" t="inlineStr">
        <is>
          <t>VIMMERBY</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28294-2025</t>
        </is>
      </c>
      <c r="B442" s="1" t="n">
        <v>45818.595625</v>
      </c>
      <c r="C442" s="1" t="n">
        <v>45937</v>
      </c>
      <c r="D442" t="inlineStr">
        <is>
          <t>KALMAR LÄN</t>
        </is>
      </c>
      <c r="E442" t="inlineStr">
        <is>
          <t>VIMMERBY</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9475-2023</t>
        </is>
      </c>
      <c r="B443" s="1" t="n">
        <v>44981.58834490741</v>
      </c>
      <c r="C443" s="1" t="n">
        <v>45937</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43092-2024</t>
        </is>
      </c>
      <c r="B444" s="1" t="n">
        <v>45567</v>
      </c>
      <c r="C444" s="1" t="n">
        <v>45937</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40929-2022</t>
        </is>
      </c>
      <c r="B445" s="1" t="n">
        <v>44825.4336574074</v>
      </c>
      <c r="C445" s="1" t="n">
        <v>45937</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45854-2025</t>
        </is>
      </c>
      <c r="B446" s="1" t="n">
        <v>45923</v>
      </c>
      <c r="C446" s="1" t="n">
        <v>45937</v>
      </c>
      <c r="D446" t="inlineStr">
        <is>
          <t>KALMAR LÄN</t>
        </is>
      </c>
      <c r="E446" t="inlineStr">
        <is>
          <t>VIMMERBY</t>
        </is>
      </c>
      <c r="G446" t="n">
        <v>2.2</v>
      </c>
      <c r="H446" t="n">
        <v>0</v>
      </c>
      <c r="I446" t="n">
        <v>0</v>
      </c>
      <c r="J446" t="n">
        <v>0</v>
      </c>
      <c r="K446" t="n">
        <v>0</v>
      </c>
      <c r="L446" t="n">
        <v>0</v>
      </c>
      <c r="M446" t="n">
        <v>0</v>
      </c>
      <c r="N446" t="n">
        <v>0</v>
      </c>
      <c r="O446" t="n">
        <v>0</v>
      </c>
      <c r="P446" t="n">
        <v>0</v>
      </c>
      <c r="Q446" t="n">
        <v>0</v>
      </c>
      <c r="R446" s="2" t="inlineStr"/>
    </row>
    <row r="447" ht="15" customHeight="1">
      <c r="A447" t="inlineStr">
        <is>
          <t>A 45855-2025</t>
        </is>
      </c>
      <c r="B447" s="1" t="n">
        <v>45923</v>
      </c>
      <c r="C447" s="1" t="n">
        <v>45937</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28713-2025</t>
        </is>
      </c>
      <c r="B448" s="1" t="n">
        <v>45820.33930555556</v>
      </c>
      <c r="C448" s="1" t="n">
        <v>45937</v>
      </c>
      <c r="D448" t="inlineStr">
        <is>
          <t>KALMAR LÄN</t>
        </is>
      </c>
      <c r="E448" t="inlineStr">
        <is>
          <t>VIMMERBY</t>
        </is>
      </c>
      <c r="G448" t="n">
        <v>2.3</v>
      </c>
      <c r="H448" t="n">
        <v>0</v>
      </c>
      <c r="I448" t="n">
        <v>0</v>
      </c>
      <c r="J448" t="n">
        <v>0</v>
      </c>
      <c r="K448" t="n">
        <v>0</v>
      </c>
      <c r="L448" t="n">
        <v>0</v>
      </c>
      <c r="M448" t="n">
        <v>0</v>
      </c>
      <c r="N448" t="n">
        <v>0</v>
      </c>
      <c r="O448" t="n">
        <v>0</v>
      </c>
      <c r="P448" t="n">
        <v>0</v>
      </c>
      <c r="Q448" t="n">
        <v>0</v>
      </c>
      <c r="R448" s="2" t="inlineStr"/>
    </row>
    <row r="449" ht="15" customHeight="1">
      <c r="A449" t="inlineStr">
        <is>
          <t>A 11619-2023</t>
        </is>
      </c>
      <c r="B449" s="1" t="n">
        <v>44994.42113425926</v>
      </c>
      <c r="C449" s="1" t="n">
        <v>45937</v>
      </c>
      <c r="D449" t="inlineStr">
        <is>
          <t>KALMAR LÄN</t>
        </is>
      </c>
      <c r="E449" t="inlineStr">
        <is>
          <t>VIMMERBY</t>
        </is>
      </c>
      <c r="G449" t="n">
        <v>2.5</v>
      </c>
      <c r="H449" t="n">
        <v>0</v>
      </c>
      <c r="I449" t="n">
        <v>0</v>
      </c>
      <c r="J449" t="n">
        <v>0</v>
      </c>
      <c r="K449" t="n">
        <v>0</v>
      </c>
      <c r="L449" t="n">
        <v>0</v>
      </c>
      <c r="M449" t="n">
        <v>0</v>
      </c>
      <c r="N449" t="n">
        <v>0</v>
      </c>
      <c r="O449" t="n">
        <v>0</v>
      </c>
      <c r="P449" t="n">
        <v>0</v>
      </c>
      <c r="Q449" t="n">
        <v>0</v>
      </c>
      <c r="R449" s="2" t="inlineStr"/>
    </row>
    <row r="450" ht="15" customHeight="1">
      <c r="A450" t="inlineStr">
        <is>
          <t>A 33380-2023</t>
        </is>
      </c>
      <c r="B450" s="1" t="n">
        <v>45128</v>
      </c>
      <c r="C450" s="1" t="n">
        <v>45937</v>
      </c>
      <c r="D450" t="inlineStr">
        <is>
          <t>KALMAR LÄN</t>
        </is>
      </c>
      <c r="E450" t="inlineStr">
        <is>
          <t>VIMMERBY</t>
        </is>
      </c>
      <c r="G450" t="n">
        <v>5.2</v>
      </c>
      <c r="H450" t="n">
        <v>0</v>
      </c>
      <c r="I450" t="n">
        <v>0</v>
      </c>
      <c r="J450" t="n">
        <v>0</v>
      </c>
      <c r="K450" t="n">
        <v>0</v>
      </c>
      <c r="L450" t="n">
        <v>0</v>
      </c>
      <c r="M450" t="n">
        <v>0</v>
      </c>
      <c r="N450" t="n">
        <v>0</v>
      </c>
      <c r="O450" t="n">
        <v>0</v>
      </c>
      <c r="P450" t="n">
        <v>0</v>
      </c>
      <c r="Q450" t="n">
        <v>0</v>
      </c>
      <c r="R450" s="2" t="inlineStr"/>
    </row>
    <row r="451" ht="15" customHeight="1">
      <c r="A451" t="inlineStr">
        <is>
          <t>A 46144-2023</t>
        </is>
      </c>
      <c r="B451" s="1" t="n">
        <v>45196.57247685185</v>
      </c>
      <c r="C451" s="1" t="n">
        <v>45937</v>
      </c>
      <c r="D451" t="inlineStr">
        <is>
          <t>KALMAR LÄN</t>
        </is>
      </c>
      <c r="E451" t="inlineStr">
        <is>
          <t>VIMMERBY</t>
        </is>
      </c>
      <c r="G451" t="n">
        <v>6.5</v>
      </c>
      <c r="H451" t="n">
        <v>0</v>
      </c>
      <c r="I451" t="n">
        <v>0</v>
      </c>
      <c r="J451" t="n">
        <v>0</v>
      </c>
      <c r="K451" t="n">
        <v>0</v>
      </c>
      <c r="L451" t="n">
        <v>0</v>
      </c>
      <c r="M451" t="n">
        <v>0</v>
      </c>
      <c r="N451" t="n">
        <v>0</v>
      </c>
      <c r="O451" t="n">
        <v>0</v>
      </c>
      <c r="P451" t="n">
        <v>0</v>
      </c>
      <c r="Q451" t="n">
        <v>0</v>
      </c>
      <c r="R451" s="2" t="inlineStr"/>
    </row>
    <row r="452" ht="15" customHeight="1">
      <c r="A452" t="inlineStr">
        <is>
          <t>A 5074-2023</t>
        </is>
      </c>
      <c r="B452" s="1" t="n">
        <v>44958.61047453704</v>
      </c>
      <c r="C452" s="1" t="n">
        <v>45937</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6368-2023</t>
        </is>
      </c>
      <c r="B453" s="1" t="n">
        <v>44965</v>
      </c>
      <c r="C453" s="1" t="n">
        <v>45937</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28712-2025</t>
        </is>
      </c>
      <c r="B454" s="1" t="n">
        <v>45820.33708333333</v>
      </c>
      <c r="C454" s="1" t="n">
        <v>45937</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28714-2025</t>
        </is>
      </c>
      <c r="B455" s="1" t="n">
        <v>45820.34128472222</v>
      </c>
      <c r="C455" s="1" t="n">
        <v>45937</v>
      </c>
      <c r="D455" t="inlineStr">
        <is>
          <t>KALMAR LÄN</t>
        </is>
      </c>
      <c r="E455" t="inlineStr">
        <is>
          <t>VIMMERBY</t>
        </is>
      </c>
      <c r="G455" t="n">
        <v>1.8</v>
      </c>
      <c r="H455" t="n">
        <v>0</v>
      </c>
      <c r="I455" t="n">
        <v>0</v>
      </c>
      <c r="J455" t="n">
        <v>0</v>
      </c>
      <c r="K455" t="n">
        <v>0</v>
      </c>
      <c r="L455" t="n">
        <v>0</v>
      </c>
      <c r="M455" t="n">
        <v>0</v>
      </c>
      <c r="N455" t="n">
        <v>0</v>
      </c>
      <c r="O455" t="n">
        <v>0</v>
      </c>
      <c r="P455" t="n">
        <v>0</v>
      </c>
      <c r="Q455" t="n">
        <v>0</v>
      </c>
      <c r="R455" s="2" t="inlineStr"/>
    </row>
    <row r="456" ht="15" customHeight="1">
      <c r="A456" t="inlineStr">
        <is>
          <t>A 28620-2025</t>
        </is>
      </c>
      <c r="B456" s="1" t="n">
        <v>45819.61060185185</v>
      </c>
      <c r="C456" s="1" t="n">
        <v>45937</v>
      </c>
      <c r="D456" t="inlineStr">
        <is>
          <t>KALMAR LÄN</t>
        </is>
      </c>
      <c r="E456" t="inlineStr">
        <is>
          <t>VIMMERBY</t>
        </is>
      </c>
      <c r="G456" t="n">
        <v>5.6</v>
      </c>
      <c r="H456" t="n">
        <v>0</v>
      </c>
      <c r="I456" t="n">
        <v>0</v>
      </c>
      <c r="J456" t="n">
        <v>0</v>
      </c>
      <c r="K456" t="n">
        <v>0</v>
      </c>
      <c r="L456" t="n">
        <v>0</v>
      </c>
      <c r="M456" t="n">
        <v>0</v>
      </c>
      <c r="N456" t="n">
        <v>0</v>
      </c>
      <c r="O456" t="n">
        <v>0</v>
      </c>
      <c r="P456" t="n">
        <v>0</v>
      </c>
      <c r="Q456" t="n">
        <v>0</v>
      </c>
      <c r="R456" s="2" t="inlineStr"/>
    </row>
    <row r="457" ht="15" customHeight="1">
      <c r="A457" t="inlineStr">
        <is>
          <t>A 5701-2024</t>
        </is>
      </c>
      <c r="B457" s="1" t="n">
        <v>45334.78826388889</v>
      </c>
      <c r="C457" s="1" t="n">
        <v>45937</v>
      </c>
      <c r="D457" t="inlineStr">
        <is>
          <t>KALMAR LÄN</t>
        </is>
      </c>
      <c r="E457" t="inlineStr">
        <is>
          <t>VIMMERBY</t>
        </is>
      </c>
      <c r="G457" t="n">
        <v>2.3</v>
      </c>
      <c r="H457" t="n">
        <v>0</v>
      </c>
      <c r="I457" t="n">
        <v>0</v>
      </c>
      <c r="J457" t="n">
        <v>0</v>
      </c>
      <c r="K457" t="n">
        <v>0</v>
      </c>
      <c r="L457" t="n">
        <v>0</v>
      </c>
      <c r="M457" t="n">
        <v>0</v>
      </c>
      <c r="N457" t="n">
        <v>0</v>
      </c>
      <c r="O457" t="n">
        <v>0</v>
      </c>
      <c r="P457" t="n">
        <v>0</v>
      </c>
      <c r="Q457" t="n">
        <v>0</v>
      </c>
      <c r="R457" s="2" t="inlineStr"/>
    </row>
    <row r="458" ht="15" customHeight="1">
      <c r="A458" t="inlineStr">
        <is>
          <t>A 54787-2023</t>
        </is>
      </c>
      <c r="B458" s="1" t="n">
        <v>45236</v>
      </c>
      <c r="C458" s="1" t="n">
        <v>45937</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15715-2022</t>
        </is>
      </c>
      <c r="B459" s="1" t="n">
        <v>44663</v>
      </c>
      <c r="C459" s="1" t="n">
        <v>45937</v>
      </c>
      <c r="D459" t="inlineStr">
        <is>
          <t>KALMAR LÄN</t>
        </is>
      </c>
      <c r="E459" t="inlineStr">
        <is>
          <t>VIMMERBY</t>
        </is>
      </c>
      <c r="G459" t="n">
        <v>2.3</v>
      </c>
      <c r="H459" t="n">
        <v>0</v>
      </c>
      <c r="I459" t="n">
        <v>0</v>
      </c>
      <c r="J459" t="n">
        <v>0</v>
      </c>
      <c r="K459" t="n">
        <v>0</v>
      </c>
      <c r="L459" t="n">
        <v>0</v>
      </c>
      <c r="M459" t="n">
        <v>0</v>
      </c>
      <c r="N459" t="n">
        <v>0</v>
      </c>
      <c r="O459" t="n">
        <v>0</v>
      </c>
      <c r="P459" t="n">
        <v>0</v>
      </c>
      <c r="Q459" t="n">
        <v>0</v>
      </c>
      <c r="R459" s="2" t="inlineStr"/>
    </row>
    <row r="460" ht="15" customHeight="1">
      <c r="A460" t="inlineStr">
        <is>
          <t>A 47227-2025</t>
        </is>
      </c>
      <c r="B460" s="1" t="n">
        <v>45930.39769675926</v>
      </c>
      <c r="C460" s="1" t="n">
        <v>45937</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43774-2023</t>
        </is>
      </c>
      <c r="B461" s="1" t="n">
        <v>45187</v>
      </c>
      <c r="C461" s="1" t="n">
        <v>45937</v>
      </c>
      <c r="D461" t="inlineStr">
        <is>
          <t>KALMAR LÄN</t>
        </is>
      </c>
      <c r="E461" t="inlineStr">
        <is>
          <t>VIMMERBY</t>
        </is>
      </c>
      <c r="G461" t="n">
        <v>3.4</v>
      </c>
      <c r="H461" t="n">
        <v>0</v>
      </c>
      <c r="I461" t="n">
        <v>0</v>
      </c>
      <c r="J461" t="n">
        <v>0</v>
      </c>
      <c r="K461" t="n">
        <v>0</v>
      </c>
      <c r="L461" t="n">
        <v>0</v>
      </c>
      <c r="M461" t="n">
        <v>0</v>
      </c>
      <c r="N461" t="n">
        <v>0</v>
      </c>
      <c r="O461" t="n">
        <v>0</v>
      </c>
      <c r="P461" t="n">
        <v>0</v>
      </c>
      <c r="Q461" t="n">
        <v>0</v>
      </c>
      <c r="R461" s="2" t="inlineStr"/>
    </row>
    <row r="462" ht="15" customHeight="1">
      <c r="A462" t="inlineStr">
        <is>
          <t>A 43705-2023</t>
        </is>
      </c>
      <c r="B462" s="1" t="n">
        <v>45187.42854166667</v>
      </c>
      <c r="C462" s="1" t="n">
        <v>45937</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7932-2025</t>
        </is>
      </c>
      <c r="B463" s="1" t="n">
        <v>45707.3793287037</v>
      </c>
      <c r="C463" s="1" t="n">
        <v>45937</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13532-2025</t>
        </is>
      </c>
      <c r="B464" s="1" t="n">
        <v>45736.50743055555</v>
      </c>
      <c r="C464" s="1" t="n">
        <v>45937</v>
      </c>
      <c r="D464" t="inlineStr">
        <is>
          <t>KALMAR LÄN</t>
        </is>
      </c>
      <c r="E464" t="inlineStr">
        <is>
          <t>VIMMERBY</t>
        </is>
      </c>
      <c r="G464" t="n">
        <v>3.6</v>
      </c>
      <c r="H464" t="n">
        <v>0</v>
      </c>
      <c r="I464" t="n">
        <v>0</v>
      </c>
      <c r="J464" t="n">
        <v>0</v>
      </c>
      <c r="K464" t="n">
        <v>0</v>
      </c>
      <c r="L464" t="n">
        <v>0</v>
      </c>
      <c r="M464" t="n">
        <v>0</v>
      </c>
      <c r="N464" t="n">
        <v>0</v>
      </c>
      <c r="O464" t="n">
        <v>0</v>
      </c>
      <c r="P464" t="n">
        <v>0</v>
      </c>
      <c r="Q464" t="n">
        <v>0</v>
      </c>
      <c r="R464" s="2" t="inlineStr"/>
    </row>
    <row r="465" ht="15" customHeight="1">
      <c r="A465" t="inlineStr">
        <is>
          <t>A 42820-2025</t>
        </is>
      </c>
      <c r="B465" s="1" t="n">
        <v>45908</v>
      </c>
      <c r="C465" s="1" t="n">
        <v>45937</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65049-2020</t>
        </is>
      </c>
      <c r="B466" s="1" t="n">
        <v>44172</v>
      </c>
      <c r="C466" s="1" t="n">
        <v>45937</v>
      </c>
      <c r="D466" t="inlineStr">
        <is>
          <t>KALMAR LÄN</t>
        </is>
      </c>
      <c r="E466" t="inlineStr">
        <is>
          <t>VIMMERBY</t>
        </is>
      </c>
      <c r="G466" t="n">
        <v>2.3</v>
      </c>
      <c r="H466" t="n">
        <v>0</v>
      </c>
      <c r="I466" t="n">
        <v>0</v>
      </c>
      <c r="J466" t="n">
        <v>0</v>
      </c>
      <c r="K466" t="n">
        <v>0</v>
      </c>
      <c r="L466" t="n">
        <v>0</v>
      </c>
      <c r="M466" t="n">
        <v>0</v>
      </c>
      <c r="N466" t="n">
        <v>0</v>
      </c>
      <c r="O466" t="n">
        <v>0</v>
      </c>
      <c r="P466" t="n">
        <v>0</v>
      </c>
      <c r="Q466" t="n">
        <v>0</v>
      </c>
      <c r="R466" s="2" t="inlineStr"/>
    </row>
    <row r="467" ht="15" customHeight="1">
      <c r="A467" t="inlineStr">
        <is>
          <t>A 7797-2023</t>
        </is>
      </c>
      <c r="B467" s="1" t="n">
        <v>44973.43075231482</v>
      </c>
      <c r="C467" s="1" t="n">
        <v>45937</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29727-2025</t>
        </is>
      </c>
      <c r="B468" s="1" t="n">
        <v>45825.5796875</v>
      </c>
      <c r="C468" s="1" t="n">
        <v>45937</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24655-2021</t>
        </is>
      </c>
      <c r="B469" s="1" t="n">
        <v>44340</v>
      </c>
      <c r="C469" s="1" t="n">
        <v>45937</v>
      </c>
      <c r="D469" t="inlineStr">
        <is>
          <t>KALMAR LÄN</t>
        </is>
      </c>
      <c r="E469" t="inlineStr">
        <is>
          <t>VIMMERBY</t>
        </is>
      </c>
      <c r="G469" t="n">
        <v>14.9</v>
      </c>
      <c r="H469" t="n">
        <v>0</v>
      </c>
      <c r="I469" t="n">
        <v>0</v>
      </c>
      <c r="J469" t="n">
        <v>0</v>
      </c>
      <c r="K469" t="n">
        <v>0</v>
      </c>
      <c r="L469" t="n">
        <v>0</v>
      </c>
      <c r="M469" t="n">
        <v>0</v>
      </c>
      <c r="N469" t="n">
        <v>0</v>
      </c>
      <c r="O469" t="n">
        <v>0</v>
      </c>
      <c r="P469" t="n">
        <v>0</v>
      </c>
      <c r="Q469" t="n">
        <v>0</v>
      </c>
      <c r="R469" s="2" t="inlineStr"/>
    </row>
    <row r="470" ht="15" customHeight="1">
      <c r="A470" t="inlineStr">
        <is>
          <t>A 29737-2025</t>
        </is>
      </c>
      <c r="B470" s="1" t="n">
        <v>45825.58672453704</v>
      </c>
      <c r="C470" s="1" t="n">
        <v>45937</v>
      </c>
      <c r="D470" t="inlineStr">
        <is>
          <t>KALMAR LÄN</t>
        </is>
      </c>
      <c r="E470" t="inlineStr">
        <is>
          <t>VIMMERBY</t>
        </is>
      </c>
      <c r="G470" t="n">
        <v>1.2</v>
      </c>
      <c r="H470" t="n">
        <v>0</v>
      </c>
      <c r="I470" t="n">
        <v>0</v>
      </c>
      <c r="J470" t="n">
        <v>0</v>
      </c>
      <c r="K470" t="n">
        <v>0</v>
      </c>
      <c r="L470" t="n">
        <v>0</v>
      </c>
      <c r="M470" t="n">
        <v>0</v>
      </c>
      <c r="N470" t="n">
        <v>0</v>
      </c>
      <c r="O470" t="n">
        <v>0</v>
      </c>
      <c r="P470" t="n">
        <v>0</v>
      </c>
      <c r="Q470" t="n">
        <v>0</v>
      </c>
      <c r="R470" s="2" t="inlineStr"/>
    </row>
    <row r="471" ht="15" customHeight="1">
      <c r="A471" t="inlineStr">
        <is>
          <t>A 29726-2025</t>
        </is>
      </c>
      <c r="B471" s="1" t="n">
        <v>45825.57805555555</v>
      </c>
      <c r="C471" s="1" t="n">
        <v>45937</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29724-2025</t>
        </is>
      </c>
      <c r="B472" s="1" t="n">
        <v>45825.57680555555</v>
      </c>
      <c r="C472" s="1" t="n">
        <v>45937</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46887-2025</t>
        </is>
      </c>
      <c r="B473" s="1" t="n">
        <v>45929.3672337963</v>
      </c>
      <c r="C473" s="1" t="n">
        <v>45937</v>
      </c>
      <c r="D473" t="inlineStr">
        <is>
          <t>KALMAR LÄN</t>
        </is>
      </c>
      <c r="E473" t="inlineStr">
        <is>
          <t>VIMMERBY</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8410-2023</t>
        </is>
      </c>
      <c r="B474" s="1" t="n">
        <v>44977</v>
      </c>
      <c r="C474" s="1" t="n">
        <v>45937</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38964-2025</t>
        </is>
      </c>
      <c r="B475" s="1" t="n">
        <v>45887.68759259259</v>
      </c>
      <c r="C475" s="1" t="n">
        <v>45937</v>
      </c>
      <c r="D475" t="inlineStr">
        <is>
          <t>KALMAR LÄN</t>
        </is>
      </c>
      <c r="E475" t="inlineStr">
        <is>
          <t>VIMMERBY</t>
        </is>
      </c>
      <c r="G475" t="n">
        <v>7.5</v>
      </c>
      <c r="H475" t="n">
        <v>0</v>
      </c>
      <c r="I475" t="n">
        <v>0</v>
      </c>
      <c r="J475" t="n">
        <v>0</v>
      </c>
      <c r="K475" t="n">
        <v>0</v>
      </c>
      <c r="L475" t="n">
        <v>0</v>
      </c>
      <c r="M475" t="n">
        <v>0</v>
      </c>
      <c r="N475" t="n">
        <v>0</v>
      </c>
      <c r="O475" t="n">
        <v>0</v>
      </c>
      <c r="P475" t="n">
        <v>0</v>
      </c>
      <c r="Q475" t="n">
        <v>0</v>
      </c>
      <c r="R475" s="2" t="inlineStr"/>
    </row>
    <row r="476" ht="15" customHeight="1">
      <c r="A476" t="inlineStr">
        <is>
          <t>A 47955-2025</t>
        </is>
      </c>
      <c r="B476" s="1" t="n">
        <v>45932.58896990741</v>
      </c>
      <c r="C476" s="1" t="n">
        <v>45937</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6028-2023</t>
        </is>
      </c>
      <c r="B477" s="1" t="n">
        <v>44964.44356481481</v>
      </c>
      <c r="C477" s="1" t="n">
        <v>45937</v>
      </c>
      <c r="D477" t="inlineStr">
        <is>
          <t>KALMAR LÄN</t>
        </is>
      </c>
      <c r="E477" t="inlineStr">
        <is>
          <t>VIMMERBY</t>
        </is>
      </c>
      <c r="G477" t="n">
        <v>2.5</v>
      </c>
      <c r="H477" t="n">
        <v>0</v>
      </c>
      <c r="I477" t="n">
        <v>0</v>
      </c>
      <c r="J477" t="n">
        <v>0</v>
      </c>
      <c r="K477" t="n">
        <v>0</v>
      </c>
      <c r="L477" t="n">
        <v>0</v>
      </c>
      <c r="M477" t="n">
        <v>0</v>
      </c>
      <c r="N477" t="n">
        <v>0</v>
      </c>
      <c r="O477" t="n">
        <v>0</v>
      </c>
      <c r="P477" t="n">
        <v>0</v>
      </c>
      <c r="Q477" t="n">
        <v>0</v>
      </c>
      <c r="R477" s="2" t="inlineStr"/>
    </row>
    <row r="478" ht="15" customHeight="1">
      <c r="A478" t="inlineStr">
        <is>
          <t>A 1978-2024</t>
        </is>
      </c>
      <c r="B478" s="1" t="n">
        <v>45308.59001157407</v>
      </c>
      <c r="C478" s="1" t="n">
        <v>45937</v>
      </c>
      <c r="D478" t="inlineStr">
        <is>
          <t>KALMAR LÄN</t>
        </is>
      </c>
      <c r="E478" t="inlineStr">
        <is>
          <t>VIMMERBY</t>
        </is>
      </c>
      <c r="G478" t="n">
        <v>0.9</v>
      </c>
      <c r="H478" t="n">
        <v>0</v>
      </c>
      <c r="I478" t="n">
        <v>0</v>
      </c>
      <c r="J478" t="n">
        <v>0</v>
      </c>
      <c r="K478" t="n">
        <v>0</v>
      </c>
      <c r="L478" t="n">
        <v>0</v>
      </c>
      <c r="M478" t="n">
        <v>0</v>
      </c>
      <c r="N478" t="n">
        <v>0</v>
      </c>
      <c r="O478" t="n">
        <v>0</v>
      </c>
      <c r="P478" t="n">
        <v>0</v>
      </c>
      <c r="Q478" t="n">
        <v>0</v>
      </c>
      <c r="R478" s="2" t="inlineStr"/>
    </row>
    <row r="479" ht="15" customHeight="1">
      <c r="A479" t="inlineStr">
        <is>
          <t>A 6399-2025</t>
        </is>
      </c>
      <c r="B479" s="1" t="n">
        <v>45699.44291666667</v>
      </c>
      <c r="C479" s="1" t="n">
        <v>45937</v>
      </c>
      <c r="D479" t="inlineStr">
        <is>
          <t>KALMAR LÄN</t>
        </is>
      </c>
      <c r="E479" t="inlineStr">
        <is>
          <t>VIMMERBY</t>
        </is>
      </c>
      <c r="G479" t="n">
        <v>3.1</v>
      </c>
      <c r="H479" t="n">
        <v>0</v>
      </c>
      <c r="I479" t="n">
        <v>0</v>
      </c>
      <c r="J479" t="n">
        <v>0</v>
      </c>
      <c r="K479" t="n">
        <v>0</v>
      </c>
      <c r="L479" t="n">
        <v>0</v>
      </c>
      <c r="M479" t="n">
        <v>0</v>
      </c>
      <c r="N479" t="n">
        <v>0</v>
      </c>
      <c r="O479" t="n">
        <v>0</v>
      </c>
      <c r="P479" t="n">
        <v>0</v>
      </c>
      <c r="Q479" t="n">
        <v>0</v>
      </c>
      <c r="R479" s="2" t="inlineStr"/>
    </row>
    <row r="480" ht="15" customHeight="1">
      <c r="A480" t="inlineStr">
        <is>
          <t>A 47965-2025</t>
        </is>
      </c>
      <c r="B480" s="1" t="n">
        <v>45932.59597222223</v>
      </c>
      <c r="C480" s="1" t="n">
        <v>45937</v>
      </c>
      <c r="D480" t="inlineStr">
        <is>
          <t>KALMAR LÄN</t>
        </is>
      </c>
      <c r="E480" t="inlineStr">
        <is>
          <t>VIMMERBY</t>
        </is>
      </c>
      <c r="G480" t="n">
        <v>2.2</v>
      </c>
      <c r="H480" t="n">
        <v>0</v>
      </c>
      <c r="I480" t="n">
        <v>0</v>
      </c>
      <c r="J480" t="n">
        <v>0</v>
      </c>
      <c r="K480" t="n">
        <v>0</v>
      </c>
      <c r="L480" t="n">
        <v>0</v>
      </c>
      <c r="M480" t="n">
        <v>0</v>
      </c>
      <c r="N480" t="n">
        <v>0</v>
      </c>
      <c r="O480" t="n">
        <v>0</v>
      </c>
      <c r="P480" t="n">
        <v>0</v>
      </c>
      <c r="Q480" t="n">
        <v>0</v>
      </c>
      <c r="R480" s="2" t="inlineStr"/>
    </row>
    <row r="481" ht="15" customHeight="1">
      <c r="A481" t="inlineStr">
        <is>
          <t>A 41311-2023</t>
        </is>
      </c>
      <c r="B481" s="1" t="n">
        <v>45174</v>
      </c>
      <c r="C481" s="1" t="n">
        <v>45937</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52823-2024</t>
        </is>
      </c>
      <c r="B482" s="1" t="n">
        <v>45610.59094907407</v>
      </c>
      <c r="C482" s="1" t="n">
        <v>45937</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30293-2025</t>
        </is>
      </c>
      <c r="B483" s="1" t="n">
        <v>45827</v>
      </c>
      <c r="C483" s="1" t="n">
        <v>45937</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48600-2025</t>
        </is>
      </c>
      <c r="B484" s="1" t="n">
        <v>45935</v>
      </c>
      <c r="C484" s="1" t="n">
        <v>45937</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39801-2025</t>
        </is>
      </c>
      <c r="B485" s="1" t="n">
        <v>45891.50216435185</v>
      </c>
      <c r="C485" s="1" t="n">
        <v>45937</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56853-2022</t>
        </is>
      </c>
      <c r="B486" s="1" t="n">
        <v>44894.49538194444</v>
      </c>
      <c r="C486" s="1" t="n">
        <v>45937</v>
      </c>
      <c r="D486" t="inlineStr">
        <is>
          <t>KALMAR LÄN</t>
        </is>
      </c>
      <c r="E486" t="inlineStr">
        <is>
          <t>VIMMERBY</t>
        </is>
      </c>
      <c r="G486" t="n">
        <v>4.3</v>
      </c>
      <c r="H486" t="n">
        <v>0</v>
      </c>
      <c r="I486" t="n">
        <v>0</v>
      </c>
      <c r="J486" t="n">
        <v>0</v>
      </c>
      <c r="K486" t="n">
        <v>0</v>
      </c>
      <c r="L486" t="n">
        <v>0</v>
      </c>
      <c r="M486" t="n">
        <v>0</v>
      </c>
      <c r="N486" t="n">
        <v>0</v>
      </c>
      <c r="O486" t="n">
        <v>0</v>
      </c>
      <c r="P486" t="n">
        <v>0</v>
      </c>
      <c r="Q486" t="n">
        <v>0</v>
      </c>
      <c r="R486" s="2" t="inlineStr"/>
    </row>
    <row r="487" ht="15" customHeight="1">
      <c r="A487" t="inlineStr">
        <is>
          <t>A 30290-2025</t>
        </is>
      </c>
      <c r="B487" s="1" t="n">
        <v>45827</v>
      </c>
      <c r="C487" s="1" t="n">
        <v>45937</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11152-2023</t>
        </is>
      </c>
      <c r="B488" s="1" t="n">
        <v>44992</v>
      </c>
      <c r="C488" s="1" t="n">
        <v>45937</v>
      </c>
      <c r="D488" t="inlineStr">
        <is>
          <t>KALMAR LÄN</t>
        </is>
      </c>
      <c r="E488" t="inlineStr">
        <is>
          <t>VIMMERBY</t>
        </is>
      </c>
      <c r="G488" t="n">
        <v>10.6</v>
      </c>
      <c r="H488" t="n">
        <v>0</v>
      </c>
      <c r="I488" t="n">
        <v>0</v>
      </c>
      <c r="J488" t="n">
        <v>0</v>
      </c>
      <c r="K488" t="n">
        <v>0</v>
      </c>
      <c r="L488" t="n">
        <v>0</v>
      </c>
      <c r="M488" t="n">
        <v>0</v>
      </c>
      <c r="N488" t="n">
        <v>0</v>
      </c>
      <c r="O488" t="n">
        <v>0</v>
      </c>
      <c r="P488" t="n">
        <v>0</v>
      </c>
      <c r="Q488" t="n">
        <v>0</v>
      </c>
      <c r="R488" s="2" t="inlineStr"/>
    </row>
    <row r="489" ht="15" customHeight="1">
      <c r="A489" t="inlineStr">
        <is>
          <t>A 39807-2025</t>
        </is>
      </c>
      <c r="B489" s="1" t="n">
        <v>45891.50986111111</v>
      </c>
      <c r="C489" s="1" t="n">
        <v>45937</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10785-2025</t>
        </is>
      </c>
      <c r="B490" s="1" t="n">
        <v>45722.48634259259</v>
      </c>
      <c r="C490" s="1" t="n">
        <v>45937</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15550-2023</t>
        </is>
      </c>
      <c r="B491" s="1" t="n">
        <v>45020</v>
      </c>
      <c r="C491" s="1" t="n">
        <v>45937</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30850-2025</t>
        </is>
      </c>
      <c r="B492" s="1" t="n">
        <v>45831</v>
      </c>
      <c r="C492" s="1" t="n">
        <v>45937</v>
      </c>
      <c r="D492" t="inlineStr">
        <is>
          <t>KALMAR LÄN</t>
        </is>
      </c>
      <c r="E492" t="inlineStr">
        <is>
          <t>VIMMERBY</t>
        </is>
      </c>
      <c r="G492" t="n">
        <v>2.7</v>
      </c>
      <c r="H492" t="n">
        <v>0</v>
      </c>
      <c r="I492" t="n">
        <v>0</v>
      </c>
      <c r="J492" t="n">
        <v>0</v>
      </c>
      <c r="K492" t="n">
        <v>0</v>
      </c>
      <c r="L492" t="n">
        <v>0</v>
      </c>
      <c r="M492" t="n">
        <v>0</v>
      </c>
      <c r="N492" t="n">
        <v>0</v>
      </c>
      <c r="O492" t="n">
        <v>0</v>
      </c>
      <c r="P492" t="n">
        <v>0</v>
      </c>
      <c r="Q492" t="n">
        <v>0</v>
      </c>
      <c r="R492" s="2" t="inlineStr"/>
    </row>
    <row r="493" ht="15" customHeight="1">
      <c r="A493" t="inlineStr">
        <is>
          <t>A 31355-2023</t>
        </is>
      </c>
      <c r="B493" s="1" t="n">
        <v>45114.49505787037</v>
      </c>
      <c r="C493" s="1" t="n">
        <v>45937</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18330-2023</t>
        </is>
      </c>
      <c r="B494" s="1" t="n">
        <v>45041</v>
      </c>
      <c r="C494" s="1" t="n">
        <v>45937</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48408-2025</t>
        </is>
      </c>
      <c r="B495" s="1" t="n">
        <v>45934.40527777778</v>
      </c>
      <c r="C495" s="1" t="n">
        <v>45937</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18020-2025</t>
        </is>
      </c>
      <c r="B496" s="1" t="n">
        <v>45761.4437962963</v>
      </c>
      <c r="C496" s="1" t="n">
        <v>45937</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30882-2025</t>
        </is>
      </c>
      <c r="B497" s="1" t="n">
        <v>45832.34540509259</v>
      </c>
      <c r="C497" s="1" t="n">
        <v>45937</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30971-2025</t>
        </is>
      </c>
      <c r="B498" s="1" t="n">
        <v>45832.46146990741</v>
      </c>
      <c r="C498" s="1" t="n">
        <v>45937</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58100-2024</t>
        </is>
      </c>
      <c r="B499" s="1" t="n">
        <v>45632.36706018518</v>
      </c>
      <c r="C499" s="1" t="n">
        <v>45937</v>
      </c>
      <c r="D499" t="inlineStr">
        <is>
          <t>KALMAR LÄN</t>
        </is>
      </c>
      <c r="E499" t="inlineStr">
        <is>
          <t>VIMMERBY</t>
        </is>
      </c>
      <c r="G499" t="n">
        <v>0.9</v>
      </c>
      <c r="H499" t="n">
        <v>0</v>
      </c>
      <c r="I499" t="n">
        <v>0</v>
      </c>
      <c r="J499" t="n">
        <v>0</v>
      </c>
      <c r="K499" t="n">
        <v>0</v>
      </c>
      <c r="L499" t="n">
        <v>0</v>
      </c>
      <c r="M499" t="n">
        <v>0</v>
      </c>
      <c r="N499" t="n">
        <v>0</v>
      </c>
      <c r="O499" t="n">
        <v>0</v>
      </c>
      <c r="P499" t="n">
        <v>0</v>
      </c>
      <c r="Q499" t="n">
        <v>0</v>
      </c>
      <c r="R499" s="2" t="inlineStr"/>
    </row>
    <row r="500" ht="15" customHeight="1">
      <c r="A500" t="inlineStr">
        <is>
          <t>A 585-2024</t>
        </is>
      </c>
      <c r="B500" s="1" t="n">
        <v>45299.62576388889</v>
      </c>
      <c r="C500" s="1" t="n">
        <v>45937</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31552-2025</t>
        </is>
      </c>
      <c r="B501" s="1" t="n">
        <v>45833.64563657407</v>
      </c>
      <c r="C501" s="1" t="n">
        <v>45937</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31555-2025</t>
        </is>
      </c>
      <c r="B502" s="1" t="n">
        <v>45833.64814814815</v>
      </c>
      <c r="C502" s="1" t="n">
        <v>45937</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6802-2025</t>
        </is>
      </c>
      <c r="B503" s="1" t="n">
        <v>45700.68289351852</v>
      </c>
      <c r="C503" s="1" t="n">
        <v>45937</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27993-2022</t>
        </is>
      </c>
      <c r="B504" s="1" t="n">
        <v>44745.84396990741</v>
      </c>
      <c r="C504" s="1" t="n">
        <v>45937</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38969-2023</t>
        </is>
      </c>
      <c r="B505" s="1" t="n">
        <v>45163.63621527778</v>
      </c>
      <c r="C505" s="1" t="n">
        <v>45937</v>
      </c>
      <c r="D505" t="inlineStr">
        <is>
          <t>KALMAR LÄN</t>
        </is>
      </c>
      <c r="E505" t="inlineStr">
        <is>
          <t>VIMMERBY</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53752-2024</t>
        </is>
      </c>
      <c r="B506" s="1" t="n">
        <v>45615.48927083334</v>
      </c>
      <c r="C506" s="1" t="n">
        <v>45937</v>
      </c>
      <c r="D506" t="inlineStr">
        <is>
          <t>KALMAR LÄN</t>
        </is>
      </c>
      <c r="E506" t="inlineStr">
        <is>
          <t>VIMMERBY</t>
        </is>
      </c>
      <c r="G506" t="n">
        <v>2.4</v>
      </c>
      <c r="H506" t="n">
        <v>0</v>
      </c>
      <c r="I506" t="n">
        <v>0</v>
      </c>
      <c r="J506" t="n">
        <v>0</v>
      </c>
      <c r="K506" t="n">
        <v>0</v>
      </c>
      <c r="L506" t="n">
        <v>0</v>
      </c>
      <c r="M506" t="n">
        <v>0</v>
      </c>
      <c r="N506" t="n">
        <v>0</v>
      </c>
      <c r="O506" t="n">
        <v>0</v>
      </c>
      <c r="P506" t="n">
        <v>0</v>
      </c>
      <c r="Q506" t="n">
        <v>0</v>
      </c>
      <c r="R506" s="2" t="inlineStr"/>
    </row>
    <row r="507" ht="15" customHeight="1">
      <c r="A507" t="inlineStr">
        <is>
          <t>A 31870-2025</t>
        </is>
      </c>
      <c r="B507" s="1" t="n">
        <v>45834.64667824074</v>
      </c>
      <c r="C507" s="1" t="n">
        <v>45937</v>
      </c>
      <c r="D507" t="inlineStr">
        <is>
          <t>KALMAR LÄN</t>
        </is>
      </c>
      <c r="E507" t="inlineStr">
        <is>
          <t>VIMMERBY</t>
        </is>
      </c>
      <c r="F507" t="inlineStr">
        <is>
          <t>Sveaskog</t>
        </is>
      </c>
      <c r="G507" t="n">
        <v>3.5</v>
      </c>
      <c r="H507" t="n">
        <v>0</v>
      </c>
      <c r="I507" t="n">
        <v>0</v>
      </c>
      <c r="J507" t="n">
        <v>0</v>
      </c>
      <c r="K507" t="n">
        <v>0</v>
      </c>
      <c r="L507" t="n">
        <v>0</v>
      </c>
      <c r="M507" t="n">
        <v>0</v>
      </c>
      <c r="N507" t="n">
        <v>0</v>
      </c>
      <c r="O507" t="n">
        <v>0</v>
      </c>
      <c r="P507" t="n">
        <v>0</v>
      </c>
      <c r="Q507" t="n">
        <v>0</v>
      </c>
      <c r="R507" s="2" t="inlineStr"/>
    </row>
    <row r="508" ht="15" customHeight="1">
      <c r="A508" t="inlineStr">
        <is>
          <t>A 48409-2025</t>
        </is>
      </c>
      <c r="B508" s="1" t="n">
        <v>45934.41387731482</v>
      </c>
      <c r="C508" s="1" t="n">
        <v>45937</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56020-2024</t>
        </is>
      </c>
      <c r="B509" s="1" t="n">
        <v>45623.9525462963</v>
      </c>
      <c r="C509" s="1" t="n">
        <v>45937</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33842-2022</t>
        </is>
      </c>
      <c r="B510" s="1" t="n">
        <v>44790.49523148148</v>
      </c>
      <c r="C510" s="1" t="n">
        <v>45937</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60675-2023</t>
        </is>
      </c>
      <c r="B511" s="1" t="n">
        <v>45260.4716550926</v>
      </c>
      <c r="C511" s="1" t="n">
        <v>45937</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8559-2025</t>
        </is>
      </c>
      <c r="B512" s="1" t="n">
        <v>45709.62280092593</v>
      </c>
      <c r="C512" s="1" t="n">
        <v>45937</v>
      </c>
      <c r="D512" t="inlineStr">
        <is>
          <t>KALMAR LÄN</t>
        </is>
      </c>
      <c r="E512" t="inlineStr">
        <is>
          <t>VIMMERBY</t>
        </is>
      </c>
      <c r="G512" t="n">
        <v>8.9</v>
      </c>
      <c r="H512" t="n">
        <v>0</v>
      </c>
      <c r="I512" t="n">
        <v>0</v>
      </c>
      <c r="J512" t="n">
        <v>0</v>
      </c>
      <c r="K512" t="n">
        <v>0</v>
      </c>
      <c r="L512" t="n">
        <v>0</v>
      </c>
      <c r="M512" t="n">
        <v>0</v>
      </c>
      <c r="N512" t="n">
        <v>0</v>
      </c>
      <c r="O512" t="n">
        <v>0</v>
      </c>
      <c r="P512" t="n">
        <v>0</v>
      </c>
      <c r="Q512" t="n">
        <v>0</v>
      </c>
      <c r="R512" s="2" t="inlineStr"/>
    </row>
    <row r="513" ht="15" customHeight="1">
      <c r="A513" t="inlineStr">
        <is>
          <t>A 31872-2025</t>
        </is>
      </c>
      <c r="B513" s="1" t="n">
        <v>45834.65040509259</v>
      </c>
      <c r="C513" s="1" t="n">
        <v>45937</v>
      </c>
      <c r="D513" t="inlineStr">
        <is>
          <t>KALMAR LÄN</t>
        </is>
      </c>
      <c r="E513" t="inlineStr">
        <is>
          <t>VIMMERBY</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40095-2022</t>
        </is>
      </c>
      <c r="B514" s="1" t="n">
        <v>44820</v>
      </c>
      <c r="C514" s="1" t="n">
        <v>45937</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31876-2025</t>
        </is>
      </c>
      <c r="B515" s="1" t="n">
        <v>45834.65197916667</v>
      </c>
      <c r="C515" s="1" t="n">
        <v>45937</v>
      </c>
      <c r="D515" t="inlineStr">
        <is>
          <t>KALMAR LÄN</t>
        </is>
      </c>
      <c r="E515" t="inlineStr">
        <is>
          <t>VIMMERBY</t>
        </is>
      </c>
      <c r="F515" t="inlineStr">
        <is>
          <t>Sveaskog</t>
        </is>
      </c>
      <c r="G515" t="n">
        <v>3.3</v>
      </c>
      <c r="H515" t="n">
        <v>0</v>
      </c>
      <c r="I515" t="n">
        <v>0</v>
      </c>
      <c r="J515" t="n">
        <v>0</v>
      </c>
      <c r="K515" t="n">
        <v>0</v>
      </c>
      <c r="L515" t="n">
        <v>0</v>
      </c>
      <c r="M515" t="n">
        <v>0</v>
      </c>
      <c r="N515" t="n">
        <v>0</v>
      </c>
      <c r="O515" t="n">
        <v>0</v>
      </c>
      <c r="P515" t="n">
        <v>0</v>
      </c>
      <c r="Q515" t="n">
        <v>0</v>
      </c>
      <c r="R515" s="2" t="inlineStr"/>
    </row>
    <row r="516" ht="15" customHeight="1">
      <c r="A516" t="inlineStr">
        <is>
          <t>A 19537-2022</t>
        </is>
      </c>
      <c r="B516" s="1" t="n">
        <v>44693.62822916666</v>
      </c>
      <c r="C516" s="1" t="n">
        <v>45937</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31551-2025</t>
        </is>
      </c>
      <c r="B517" s="1" t="n">
        <v>45833.64237268519</v>
      </c>
      <c r="C517" s="1" t="n">
        <v>45937</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31987-2025</t>
        </is>
      </c>
      <c r="B518" s="1" t="n">
        <v>45835.36229166666</v>
      </c>
      <c r="C518" s="1" t="n">
        <v>45937</v>
      </c>
      <c r="D518" t="inlineStr">
        <is>
          <t>KALMAR LÄN</t>
        </is>
      </c>
      <c r="E518" t="inlineStr">
        <is>
          <t>VIMMERBY</t>
        </is>
      </c>
      <c r="F518" t="inlineStr">
        <is>
          <t>Kyrkan</t>
        </is>
      </c>
      <c r="G518" t="n">
        <v>1.2</v>
      </c>
      <c r="H518" t="n">
        <v>0</v>
      </c>
      <c r="I518" t="n">
        <v>0</v>
      </c>
      <c r="J518" t="n">
        <v>0</v>
      </c>
      <c r="K518" t="n">
        <v>0</v>
      </c>
      <c r="L518" t="n">
        <v>0</v>
      </c>
      <c r="M518" t="n">
        <v>0</v>
      </c>
      <c r="N518" t="n">
        <v>0</v>
      </c>
      <c r="O518" t="n">
        <v>0</v>
      </c>
      <c r="P518" t="n">
        <v>0</v>
      </c>
      <c r="Q518" t="n">
        <v>0</v>
      </c>
      <c r="R518" s="2" t="inlineStr"/>
    </row>
    <row r="519" ht="15" customHeight="1">
      <c r="A519" t="inlineStr">
        <is>
          <t>A 57311-2023</t>
        </is>
      </c>
      <c r="B519" s="1" t="n">
        <v>45245.63574074074</v>
      </c>
      <c r="C519" s="1" t="n">
        <v>45937</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32120-2025</t>
        </is>
      </c>
      <c r="B520" s="1" t="n">
        <v>45835.4924537037</v>
      </c>
      <c r="C520" s="1" t="n">
        <v>45937</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64428-2023</t>
        </is>
      </c>
      <c r="B521" s="1" t="n">
        <v>45280.66769675926</v>
      </c>
      <c r="C521" s="1" t="n">
        <v>45937</v>
      </c>
      <c r="D521" t="inlineStr">
        <is>
          <t>KALMAR LÄN</t>
        </is>
      </c>
      <c r="E521" t="inlineStr">
        <is>
          <t>VIMMERBY</t>
        </is>
      </c>
      <c r="G521" t="n">
        <v>1.2</v>
      </c>
      <c r="H521" t="n">
        <v>0</v>
      </c>
      <c r="I521" t="n">
        <v>0</v>
      </c>
      <c r="J521" t="n">
        <v>0</v>
      </c>
      <c r="K521" t="n">
        <v>0</v>
      </c>
      <c r="L521" t="n">
        <v>0</v>
      </c>
      <c r="M521" t="n">
        <v>0</v>
      </c>
      <c r="N521" t="n">
        <v>0</v>
      </c>
      <c r="O521" t="n">
        <v>0</v>
      </c>
      <c r="P521" t="n">
        <v>0</v>
      </c>
      <c r="Q521" t="n">
        <v>0</v>
      </c>
      <c r="R521" s="2" t="inlineStr"/>
    </row>
    <row r="522" ht="15" customHeight="1">
      <c r="A522" t="inlineStr">
        <is>
          <t>A 4527-2023</t>
        </is>
      </c>
      <c r="B522" s="1" t="n">
        <v>44956</v>
      </c>
      <c r="C522" s="1" t="n">
        <v>45937</v>
      </c>
      <c r="D522" t="inlineStr">
        <is>
          <t>KALMAR LÄN</t>
        </is>
      </c>
      <c r="E522" t="inlineStr">
        <is>
          <t>VIMMERBY</t>
        </is>
      </c>
      <c r="F522" t="inlineStr">
        <is>
          <t>Kommuner</t>
        </is>
      </c>
      <c r="G522" t="n">
        <v>8.5</v>
      </c>
      <c r="H522" t="n">
        <v>0</v>
      </c>
      <c r="I522" t="n">
        <v>0</v>
      </c>
      <c r="J522" t="n">
        <v>0</v>
      </c>
      <c r="K522" t="n">
        <v>0</v>
      </c>
      <c r="L522" t="n">
        <v>0</v>
      </c>
      <c r="M522" t="n">
        <v>0</v>
      </c>
      <c r="N522" t="n">
        <v>0</v>
      </c>
      <c r="O522" t="n">
        <v>0</v>
      </c>
      <c r="P522" t="n">
        <v>0</v>
      </c>
      <c r="Q522" t="n">
        <v>0</v>
      </c>
      <c r="R522" s="2" t="inlineStr"/>
    </row>
    <row r="523" ht="15" customHeight="1">
      <c r="A523" t="inlineStr">
        <is>
          <t>A 32116-2025</t>
        </is>
      </c>
      <c r="B523" s="1" t="n">
        <v>45835.48862268519</v>
      </c>
      <c r="C523" s="1" t="n">
        <v>45937</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3268-2024</t>
        </is>
      </c>
      <c r="B524" s="1" t="n">
        <v>45317</v>
      </c>
      <c r="C524" s="1" t="n">
        <v>45937</v>
      </c>
      <c r="D524" t="inlineStr">
        <is>
          <t>KALMAR LÄN</t>
        </is>
      </c>
      <c r="E524" t="inlineStr">
        <is>
          <t>VIMMERBY</t>
        </is>
      </c>
      <c r="F524" t="inlineStr">
        <is>
          <t>Övriga Aktiebolag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58728-2024</t>
        </is>
      </c>
      <c r="B525" s="1" t="n">
        <v>45635.66695601852</v>
      </c>
      <c r="C525" s="1" t="n">
        <v>45937</v>
      </c>
      <c r="D525" t="inlineStr">
        <is>
          <t>KALMAR LÄN</t>
        </is>
      </c>
      <c r="E525" t="inlineStr">
        <is>
          <t>VIMMERBY</t>
        </is>
      </c>
      <c r="G525" t="n">
        <v>0.4</v>
      </c>
      <c r="H525" t="n">
        <v>0</v>
      </c>
      <c r="I525" t="n">
        <v>0</v>
      </c>
      <c r="J525" t="n">
        <v>0</v>
      </c>
      <c r="K525" t="n">
        <v>0</v>
      </c>
      <c r="L525" t="n">
        <v>0</v>
      </c>
      <c r="M525" t="n">
        <v>0</v>
      </c>
      <c r="N525" t="n">
        <v>0</v>
      </c>
      <c r="O525" t="n">
        <v>0</v>
      </c>
      <c r="P525" t="n">
        <v>0</v>
      </c>
      <c r="Q525" t="n">
        <v>0</v>
      </c>
      <c r="R525" s="2" t="inlineStr"/>
    </row>
    <row r="526" ht="15" customHeight="1">
      <c r="A526" t="inlineStr">
        <is>
          <t>A 51408-2023</t>
        </is>
      </c>
      <c r="B526" s="1" t="n">
        <v>45219.69356481481</v>
      </c>
      <c r="C526" s="1" t="n">
        <v>45937</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43242-2024</t>
        </is>
      </c>
      <c r="B527" s="1" t="n">
        <v>45568.30189814815</v>
      </c>
      <c r="C527" s="1" t="n">
        <v>45937</v>
      </c>
      <c r="D527" t="inlineStr">
        <is>
          <t>KALMAR LÄN</t>
        </is>
      </c>
      <c r="E527" t="inlineStr">
        <is>
          <t>VIMMERBY</t>
        </is>
      </c>
      <c r="G527" t="n">
        <v>2.6</v>
      </c>
      <c r="H527" t="n">
        <v>0</v>
      </c>
      <c r="I527" t="n">
        <v>0</v>
      </c>
      <c r="J527" t="n">
        <v>0</v>
      </c>
      <c r="K527" t="n">
        <v>0</v>
      </c>
      <c r="L527" t="n">
        <v>0</v>
      </c>
      <c r="M527" t="n">
        <v>0</v>
      </c>
      <c r="N527" t="n">
        <v>0</v>
      </c>
      <c r="O527" t="n">
        <v>0</v>
      </c>
      <c r="P527" t="n">
        <v>0</v>
      </c>
      <c r="Q527" t="n">
        <v>0</v>
      </c>
      <c r="R527" s="2" t="inlineStr"/>
    </row>
    <row r="528" ht="15" customHeight="1">
      <c r="A528" t="inlineStr">
        <is>
          <t>A 16983-2023</t>
        </is>
      </c>
      <c r="B528" s="1" t="n">
        <v>45033.76043981482</v>
      </c>
      <c r="C528" s="1" t="n">
        <v>45937</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39736-2025</t>
        </is>
      </c>
      <c r="B529" s="1" t="n">
        <v>45891</v>
      </c>
      <c r="C529" s="1" t="n">
        <v>45937</v>
      </c>
      <c r="D529" t="inlineStr">
        <is>
          <t>KALMAR LÄN</t>
        </is>
      </c>
      <c r="E529" t="inlineStr">
        <is>
          <t>VIMMERBY</t>
        </is>
      </c>
      <c r="G529" t="n">
        <v>12.8</v>
      </c>
      <c r="H529" t="n">
        <v>0</v>
      </c>
      <c r="I529" t="n">
        <v>0</v>
      </c>
      <c r="J529" t="n">
        <v>0</v>
      </c>
      <c r="K529" t="n">
        <v>0</v>
      </c>
      <c r="L529" t="n">
        <v>0</v>
      </c>
      <c r="M529" t="n">
        <v>0</v>
      </c>
      <c r="N529" t="n">
        <v>0</v>
      </c>
      <c r="O529" t="n">
        <v>0</v>
      </c>
      <c r="P529" t="n">
        <v>0</v>
      </c>
      <c r="Q529" t="n">
        <v>0</v>
      </c>
      <c r="R529" s="2" t="inlineStr"/>
    </row>
    <row r="530" ht="15" customHeight="1">
      <c r="A530" t="inlineStr">
        <is>
          <t>A 32380-2025</t>
        </is>
      </c>
      <c r="B530" s="1" t="n">
        <v>45837.77701388889</v>
      </c>
      <c r="C530" s="1" t="n">
        <v>45937</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32109-2025</t>
        </is>
      </c>
      <c r="B531" s="1" t="n">
        <v>45835.48267361111</v>
      </c>
      <c r="C531" s="1" t="n">
        <v>45937</v>
      </c>
      <c r="D531" t="inlineStr">
        <is>
          <t>KALMAR LÄN</t>
        </is>
      </c>
      <c r="E531" t="inlineStr">
        <is>
          <t>VIMMERBY</t>
        </is>
      </c>
      <c r="G531" t="n">
        <v>2.5</v>
      </c>
      <c r="H531" t="n">
        <v>0</v>
      </c>
      <c r="I531" t="n">
        <v>0</v>
      </c>
      <c r="J531" t="n">
        <v>0</v>
      </c>
      <c r="K531" t="n">
        <v>0</v>
      </c>
      <c r="L531" t="n">
        <v>0</v>
      </c>
      <c r="M531" t="n">
        <v>0</v>
      </c>
      <c r="N531" t="n">
        <v>0</v>
      </c>
      <c r="O531" t="n">
        <v>0</v>
      </c>
      <c r="P531" t="n">
        <v>0</v>
      </c>
      <c r="Q531" t="n">
        <v>0</v>
      </c>
      <c r="R531" s="2" t="inlineStr"/>
    </row>
    <row r="532" ht="15" customHeight="1">
      <c r="A532" t="inlineStr">
        <is>
          <t>A 32113-2025</t>
        </is>
      </c>
      <c r="B532" s="1" t="n">
        <v>45835.48445601852</v>
      </c>
      <c r="C532" s="1" t="n">
        <v>45937</v>
      </c>
      <c r="D532" t="inlineStr">
        <is>
          <t>KALMAR LÄN</t>
        </is>
      </c>
      <c r="E532" t="inlineStr">
        <is>
          <t>VIMMERBY</t>
        </is>
      </c>
      <c r="G532" t="n">
        <v>3.5</v>
      </c>
      <c r="H532" t="n">
        <v>0</v>
      </c>
      <c r="I532" t="n">
        <v>0</v>
      </c>
      <c r="J532" t="n">
        <v>0</v>
      </c>
      <c r="K532" t="n">
        <v>0</v>
      </c>
      <c r="L532" t="n">
        <v>0</v>
      </c>
      <c r="M532" t="n">
        <v>0</v>
      </c>
      <c r="N532" t="n">
        <v>0</v>
      </c>
      <c r="O532" t="n">
        <v>0</v>
      </c>
      <c r="P532" t="n">
        <v>0</v>
      </c>
      <c r="Q532" t="n">
        <v>0</v>
      </c>
      <c r="R532" s="2" t="inlineStr"/>
    </row>
    <row r="533" ht="15" customHeight="1">
      <c r="A533" t="inlineStr">
        <is>
          <t>A 48723-2025</t>
        </is>
      </c>
      <c r="B533" s="1" t="n">
        <v>45936.65121527778</v>
      </c>
      <c r="C533" s="1" t="n">
        <v>45937</v>
      </c>
      <c r="D533" t="inlineStr">
        <is>
          <t>KALMAR LÄN</t>
        </is>
      </c>
      <c r="E533" t="inlineStr">
        <is>
          <t>VIMMERBY</t>
        </is>
      </c>
      <c r="G533" t="n">
        <v>3</v>
      </c>
      <c r="H533" t="n">
        <v>0</v>
      </c>
      <c r="I533" t="n">
        <v>0</v>
      </c>
      <c r="J533" t="n">
        <v>0</v>
      </c>
      <c r="K533" t="n">
        <v>0</v>
      </c>
      <c r="L533" t="n">
        <v>0</v>
      </c>
      <c r="M533" t="n">
        <v>0</v>
      </c>
      <c r="N533" t="n">
        <v>0</v>
      </c>
      <c r="O533" t="n">
        <v>0</v>
      </c>
      <c r="P533" t="n">
        <v>0</v>
      </c>
      <c r="Q533" t="n">
        <v>0</v>
      </c>
      <c r="R533" s="2" t="inlineStr"/>
    </row>
    <row r="534" ht="15" customHeight="1">
      <c r="A534" t="inlineStr">
        <is>
          <t>A 48712-2025</t>
        </is>
      </c>
      <c r="B534" s="1" t="n">
        <v>45936.63373842592</v>
      </c>
      <c r="C534" s="1" t="n">
        <v>45937</v>
      </c>
      <c r="D534" t="inlineStr">
        <is>
          <t>KALMAR LÄN</t>
        </is>
      </c>
      <c r="E534" t="inlineStr">
        <is>
          <t>VIMMERBY</t>
        </is>
      </c>
      <c r="G534" t="n">
        <v>3</v>
      </c>
      <c r="H534" t="n">
        <v>0</v>
      </c>
      <c r="I534" t="n">
        <v>0</v>
      </c>
      <c r="J534" t="n">
        <v>0</v>
      </c>
      <c r="K534" t="n">
        <v>0</v>
      </c>
      <c r="L534" t="n">
        <v>0</v>
      </c>
      <c r="M534" t="n">
        <v>0</v>
      </c>
      <c r="N534" t="n">
        <v>0</v>
      </c>
      <c r="O534" t="n">
        <v>0</v>
      </c>
      <c r="P534" t="n">
        <v>0</v>
      </c>
      <c r="Q534" t="n">
        <v>0</v>
      </c>
      <c r="R534" s="2" t="inlineStr"/>
    </row>
    <row r="535" ht="15" customHeight="1">
      <c r="A535" t="inlineStr">
        <is>
          <t>A 39803-2025</t>
        </is>
      </c>
      <c r="B535" s="1" t="n">
        <v>45891.50525462963</v>
      </c>
      <c r="C535" s="1" t="n">
        <v>45937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6405-2025</t>
        </is>
      </c>
      <c r="B536" s="1" t="n">
        <v>45699.45392361111</v>
      </c>
      <c r="C536" s="1" t="n">
        <v>45937</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36843-2023</t>
        </is>
      </c>
      <c r="B537" s="1" t="n">
        <v>45154.49831018518</v>
      </c>
      <c r="C537" s="1" t="n">
        <v>45937</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32077-2025</t>
        </is>
      </c>
      <c r="B538" s="1" t="n">
        <v>45835.45099537037</v>
      </c>
      <c r="C538" s="1" t="n">
        <v>45937</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12480-2024</t>
        </is>
      </c>
      <c r="B539" s="1" t="n">
        <v>45379</v>
      </c>
      <c r="C539" s="1" t="n">
        <v>45937</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52588-2023</t>
        </is>
      </c>
      <c r="B540" s="1" t="n">
        <v>45225.60192129629</v>
      </c>
      <c r="C540" s="1" t="n">
        <v>45937</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55236-2023</t>
        </is>
      </c>
      <c r="B541" s="1" t="n">
        <v>45237.63225694445</v>
      </c>
      <c r="C541" s="1" t="n">
        <v>45937</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55245-2023</t>
        </is>
      </c>
      <c r="B542" s="1" t="n">
        <v>45237.64408564815</v>
      </c>
      <c r="C542" s="1" t="n">
        <v>45937</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57486-2024</t>
        </is>
      </c>
      <c r="B543" s="1" t="n">
        <v>45630.35827546296</v>
      </c>
      <c r="C543" s="1" t="n">
        <v>45937</v>
      </c>
      <c r="D543" t="inlineStr">
        <is>
          <t>KALMAR LÄN</t>
        </is>
      </c>
      <c r="E543" t="inlineStr">
        <is>
          <t>VIMMERBY</t>
        </is>
      </c>
      <c r="G543" t="n">
        <v>0.4</v>
      </c>
      <c r="H543" t="n">
        <v>0</v>
      </c>
      <c r="I543" t="n">
        <v>0</v>
      </c>
      <c r="J543" t="n">
        <v>0</v>
      </c>
      <c r="K543" t="n">
        <v>0</v>
      </c>
      <c r="L543" t="n">
        <v>0</v>
      </c>
      <c r="M543" t="n">
        <v>0</v>
      </c>
      <c r="N543" t="n">
        <v>0</v>
      </c>
      <c r="O543" t="n">
        <v>0</v>
      </c>
      <c r="P543" t="n">
        <v>0</v>
      </c>
      <c r="Q543" t="n">
        <v>0</v>
      </c>
      <c r="R543" s="2" t="inlineStr"/>
    </row>
    <row r="544" ht="15" customHeight="1">
      <c r="A544" t="inlineStr">
        <is>
          <t>A 32064-2025</t>
        </is>
      </c>
      <c r="B544" s="1" t="n">
        <v>45835.44709490741</v>
      </c>
      <c r="C544" s="1" t="n">
        <v>45937</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39889-2025</t>
        </is>
      </c>
      <c r="B545" s="1" t="n">
        <v>45891</v>
      </c>
      <c r="C545" s="1" t="n">
        <v>45937</v>
      </c>
      <c r="D545" t="inlineStr">
        <is>
          <t>KALMAR LÄN</t>
        </is>
      </c>
      <c r="E545" t="inlineStr">
        <is>
          <t>VIMMERBY</t>
        </is>
      </c>
      <c r="G545" t="n">
        <v>4.5</v>
      </c>
      <c r="H545" t="n">
        <v>0</v>
      </c>
      <c r="I545" t="n">
        <v>0</v>
      </c>
      <c r="J545" t="n">
        <v>0</v>
      </c>
      <c r="K545" t="n">
        <v>0</v>
      </c>
      <c r="L545" t="n">
        <v>0</v>
      </c>
      <c r="M545" t="n">
        <v>0</v>
      </c>
      <c r="N545" t="n">
        <v>0</v>
      </c>
      <c r="O545" t="n">
        <v>0</v>
      </c>
      <c r="P545" t="n">
        <v>0</v>
      </c>
      <c r="Q545" t="n">
        <v>0</v>
      </c>
      <c r="R545" s="2" t="inlineStr"/>
    </row>
    <row r="546" ht="15" customHeight="1">
      <c r="A546" t="inlineStr">
        <is>
          <t>A 32065-2025</t>
        </is>
      </c>
      <c r="B546" s="1" t="n">
        <v>45835.44732638889</v>
      </c>
      <c r="C546" s="1" t="n">
        <v>45937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19111-2025</t>
        </is>
      </c>
      <c r="B547" s="1" t="n">
        <v>45768.65611111111</v>
      </c>
      <c r="C547" s="1" t="n">
        <v>45937</v>
      </c>
      <c r="D547" t="inlineStr">
        <is>
          <t>KALMAR LÄN</t>
        </is>
      </c>
      <c r="E547" t="inlineStr">
        <is>
          <t>VIMMERBY</t>
        </is>
      </c>
      <c r="G547" t="n">
        <v>6.2</v>
      </c>
      <c r="H547" t="n">
        <v>0</v>
      </c>
      <c r="I547" t="n">
        <v>0</v>
      </c>
      <c r="J547" t="n">
        <v>0</v>
      </c>
      <c r="K547" t="n">
        <v>0</v>
      </c>
      <c r="L547" t="n">
        <v>0</v>
      </c>
      <c r="M547" t="n">
        <v>0</v>
      </c>
      <c r="N547" t="n">
        <v>0</v>
      </c>
      <c r="O547" t="n">
        <v>0</v>
      </c>
      <c r="P547" t="n">
        <v>0</v>
      </c>
      <c r="Q547" t="n">
        <v>0</v>
      </c>
      <c r="R547" s="2" t="inlineStr"/>
    </row>
    <row r="548" ht="15" customHeight="1">
      <c r="A548" t="inlineStr">
        <is>
          <t>A 66295-2020</t>
        </is>
      </c>
      <c r="B548" s="1" t="n">
        <v>44176</v>
      </c>
      <c r="C548" s="1" t="n">
        <v>45937</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48299-2025</t>
        </is>
      </c>
      <c r="B549" s="1" t="n">
        <v>45933.60982638889</v>
      </c>
      <c r="C549" s="1" t="n">
        <v>45937</v>
      </c>
      <c r="D549" t="inlineStr">
        <is>
          <t>KALMAR LÄN</t>
        </is>
      </c>
      <c r="E549" t="inlineStr">
        <is>
          <t>VIMMERBY</t>
        </is>
      </c>
      <c r="G549" t="n">
        <v>1.8</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45937</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33186-2025</t>
        </is>
      </c>
      <c r="B551" s="1" t="n">
        <v>45840.59474537037</v>
      </c>
      <c r="C551" s="1" t="n">
        <v>45937</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44423-2023</t>
        </is>
      </c>
      <c r="B552" s="1" t="n">
        <v>45189</v>
      </c>
      <c r="C552" s="1" t="n">
        <v>45937</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20-2025</t>
        </is>
      </c>
      <c r="B553" s="1" t="n">
        <v>45658.80232638889</v>
      </c>
      <c r="C553" s="1" t="n">
        <v>45937</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23-2025</t>
        </is>
      </c>
      <c r="B554" s="1" t="n">
        <v>45658.80827546296</v>
      </c>
      <c r="C554" s="1" t="n">
        <v>45937</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30977-2025</t>
        </is>
      </c>
      <c r="B555" s="1" t="n">
        <v>45832.46649305556</v>
      </c>
      <c r="C555" s="1" t="n">
        <v>45937</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21496-2023</t>
        </is>
      </c>
      <c r="B556" s="1" t="n">
        <v>45063.49936342592</v>
      </c>
      <c r="C556" s="1" t="n">
        <v>45937</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33695-2025</t>
        </is>
      </c>
      <c r="B557" s="1" t="n">
        <v>45841.70569444444</v>
      </c>
      <c r="C557" s="1" t="n">
        <v>45937</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33698-2025</t>
        </is>
      </c>
      <c r="B558" s="1" t="n">
        <v>45841.70868055556</v>
      </c>
      <c r="C558" s="1" t="n">
        <v>45937</v>
      </c>
      <c r="D558" t="inlineStr">
        <is>
          <t>KALMAR LÄN</t>
        </is>
      </c>
      <c r="E558" t="inlineStr">
        <is>
          <t>VIMMERBY</t>
        </is>
      </c>
      <c r="G558" t="n">
        <v>3.7</v>
      </c>
      <c r="H558" t="n">
        <v>0</v>
      </c>
      <c r="I558" t="n">
        <v>0</v>
      </c>
      <c r="J558" t="n">
        <v>0</v>
      </c>
      <c r="K558" t="n">
        <v>0</v>
      </c>
      <c r="L558" t="n">
        <v>0</v>
      </c>
      <c r="M558" t="n">
        <v>0</v>
      </c>
      <c r="N558" t="n">
        <v>0</v>
      </c>
      <c r="O558" t="n">
        <v>0</v>
      </c>
      <c r="P558" t="n">
        <v>0</v>
      </c>
      <c r="Q558" t="n">
        <v>0</v>
      </c>
      <c r="R558" s="2" t="inlineStr"/>
    </row>
    <row r="559" ht="15" customHeight="1">
      <c r="A559" t="inlineStr">
        <is>
          <t>A 31056-2022</t>
        </is>
      </c>
      <c r="B559" s="1" t="n">
        <v>44769.45805555556</v>
      </c>
      <c r="C559" s="1" t="n">
        <v>45937</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33838-2022</t>
        </is>
      </c>
      <c r="B560" s="1" t="n">
        <v>44790.49040509259</v>
      </c>
      <c r="C560" s="1" t="n">
        <v>45937</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4058-2024</t>
        </is>
      </c>
      <c r="B561" s="1" t="n">
        <v>45323.53744212963</v>
      </c>
      <c r="C561" s="1" t="n">
        <v>45937</v>
      </c>
      <c r="D561" t="inlineStr">
        <is>
          <t>KALMAR LÄN</t>
        </is>
      </c>
      <c r="E561" t="inlineStr">
        <is>
          <t>VIMMERBY</t>
        </is>
      </c>
      <c r="G561" t="n">
        <v>6.5</v>
      </c>
      <c r="H561" t="n">
        <v>0</v>
      </c>
      <c r="I561" t="n">
        <v>0</v>
      </c>
      <c r="J561" t="n">
        <v>0</v>
      </c>
      <c r="K561" t="n">
        <v>0</v>
      </c>
      <c r="L561" t="n">
        <v>0</v>
      </c>
      <c r="M561" t="n">
        <v>0</v>
      </c>
      <c r="N561" t="n">
        <v>0</v>
      </c>
      <c r="O561" t="n">
        <v>0</v>
      </c>
      <c r="P561" t="n">
        <v>0</v>
      </c>
      <c r="Q561" t="n">
        <v>0</v>
      </c>
      <c r="R561" s="2" t="inlineStr"/>
    </row>
    <row r="562" ht="15" customHeight="1">
      <c r="A562" t="inlineStr">
        <is>
          <t>A 36008-2024</t>
        </is>
      </c>
      <c r="B562" s="1" t="n">
        <v>45533.55362268518</v>
      </c>
      <c r="C562" s="1" t="n">
        <v>45937</v>
      </c>
      <c r="D562" t="inlineStr">
        <is>
          <t>KALMAR LÄN</t>
        </is>
      </c>
      <c r="E562" t="inlineStr">
        <is>
          <t>VIMMERBY</t>
        </is>
      </c>
      <c r="G562" t="n">
        <v>3.7</v>
      </c>
      <c r="H562" t="n">
        <v>0</v>
      </c>
      <c r="I562" t="n">
        <v>0</v>
      </c>
      <c r="J562" t="n">
        <v>0</v>
      </c>
      <c r="K562" t="n">
        <v>0</v>
      </c>
      <c r="L562" t="n">
        <v>0</v>
      </c>
      <c r="M562" t="n">
        <v>0</v>
      </c>
      <c r="N562" t="n">
        <v>0</v>
      </c>
      <c r="O562" t="n">
        <v>0</v>
      </c>
      <c r="P562" t="n">
        <v>0</v>
      </c>
      <c r="Q562" t="n">
        <v>0</v>
      </c>
      <c r="R562" s="2" t="inlineStr"/>
    </row>
    <row r="563" ht="15" customHeight="1">
      <c r="A563" t="inlineStr">
        <is>
          <t>A 33696-2025</t>
        </is>
      </c>
      <c r="B563" s="1" t="n">
        <v>45841.7072337963</v>
      </c>
      <c r="C563" s="1" t="n">
        <v>45937</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72701-2021</t>
        </is>
      </c>
      <c r="B564" s="1" t="n">
        <v>44546</v>
      </c>
      <c r="C564" s="1" t="n">
        <v>45937</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18669-2025</t>
        </is>
      </c>
      <c r="B565" s="1" t="n">
        <v>45763.59436342592</v>
      </c>
      <c r="C565" s="1" t="n">
        <v>45937</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52294-2023</t>
        </is>
      </c>
      <c r="B566" s="1" t="n">
        <v>45224.60075231481</v>
      </c>
      <c r="C566" s="1" t="n">
        <v>45937</v>
      </c>
      <c r="D566" t="inlineStr">
        <is>
          <t>KALMAR LÄN</t>
        </is>
      </c>
      <c r="E566" t="inlineStr">
        <is>
          <t>VIMMERBY</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8540-2024</t>
        </is>
      </c>
      <c r="B567" s="1" t="n">
        <v>45355.54138888889</v>
      </c>
      <c r="C567" s="1" t="n">
        <v>45937</v>
      </c>
      <c r="D567" t="inlineStr">
        <is>
          <t>KALMAR LÄN</t>
        </is>
      </c>
      <c r="E567" t="inlineStr">
        <is>
          <t>VIMMERBY</t>
        </is>
      </c>
      <c r="G567" t="n">
        <v>1.9</v>
      </c>
      <c r="H567" t="n">
        <v>0</v>
      </c>
      <c r="I567" t="n">
        <v>0</v>
      </c>
      <c r="J567" t="n">
        <v>0</v>
      </c>
      <c r="K567" t="n">
        <v>0</v>
      </c>
      <c r="L567" t="n">
        <v>0</v>
      </c>
      <c r="M567" t="n">
        <v>0</v>
      </c>
      <c r="N567" t="n">
        <v>0</v>
      </c>
      <c r="O567" t="n">
        <v>0</v>
      </c>
      <c r="P567" t="n">
        <v>0</v>
      </c>
      <c r="Q567" t="n">
        <v>0</v>
      </c>
      <c r="R567" s="2" t="inlineStr"/>
    </row>
    <row r="568" ht="15" customHeight="1">
      <c r="A568" t="inlineStr">
        <is>
          <t>A 9623-2024</t>
        </is>
      </c>
      <c r="B568" s="1" t="n">
        <v>45361.87975694444</v>
      </c>
      <c r="C568" s="1" t="n">
        <v>45937</v>
      </c>
      <c r="D568" t="inlineStr">
        <is>
          <t>KALMAR LÄN</t>
        </is>
      </c>
      <c r="E568" t="inlineStr">
        <is>
          <t>VIMMERBY</t>
        </is>
      </c>
      <c r="G568" t="n">
        <v>1.6</v>
      </c>
      <c r="H568" t="n">
        <v>0</v>
      </c>
      <c r="I568" t="n">
        <v>0</v>
      </c>
      <c r="J568" t="n">
        <v>0</v>
      </c>
      <c r="K568" t="n">
        <v>0</v>
      </c>
      <c r="L568" t="n">
        <v>0</v>
      </c>
      <c r="M568" t="n">
        <v>0</v>
      </c>
      <c r="N568" t="n">
        <v>0</v>
      </c>
      <c r="O568" t="n">
        <v>0</v>
      </c>
      <c r="P568" t="n">
        <v>0</v>
      </c>
      <c r="Q568" t="n">
        <v>0</v>
      </c>
      <c r="R568" s="2" t="inlineStr"/>
    </row>
    <row r="569" ht="15" customHeight="1">
      <c r="A569" t="inlineStr">
        <is>
          <t>A 5146-2024</t>
        </is>
      </c>
      <c r="B569" s="1" t="n">
        <v>45330</v>
      </c>
      <c r="C569" s="1" t="n">
        <v>45937</v>
      </c>
      <c r="D569" t="inlineStr">
        <is>
          <t>KALMAR LÄN</t>
        </is>
      </c>
      <c r="E569" t="inlineStr">
        <is>
          <t>VIMMERBY</t>
        </is>
      </c>
      <c r="G569" t="n">
        <v>5.3</v>
      </c>
      <c r="H569" t="n">
        <v>0</v>
      </c>
      <c r="I569" t="n">
        <v>0</v>
      </c>
      <c r="J569" t="n">
        <v>0</v>
      </c>
      <c r="K569" t="n">
        <v>0</v>
      </c>
      <c r="L569" t="n">
        <v>0</v>
      </c>
      <c r="M569" t="n">
        <v>0</v>
      </c>
      <c r="N569" t="n">
        <v>0</v>
      </c>
      <c r="O569" t="n">
        <v>0</v>
      </c>
      <c r="P569" t="n">
        <v>0</v>
      </c>
      <c r="Q569" t="n">
        <v>0</v>
      </c>
      <c r="R569" s="2" t="inlineStr"/>
    </row>
    <row r="570" ht="15" customHeight="1">
      <c r="A570" t="inlineStr">
        <is>
          <t>A 5148-2024</t>
        </is>
      </c>
      <c r="B570" s="1" t="n">
        <v>45330</v>
      </c>
      <c r="C570" s="1" t="n">
        <v>45937</v>
      </c>
      <c r="D570" t="inlineStr">
        <is>
          <t>KALMAR LÄN</t>
        </is>
      </c>
      <c r="E570" t="inlineStr">
        <is>
          <t>VIMMERBY</t>
        </is>
      </c>
      <c r="G570" t="n">
        <v>5.6</v>
      </c>
      <c r="H570" t="n">
        <v>0</v>
      </c>
      <c r="I570" t="n">
        <v>0</v>
      </c>
      <c r="J570" t="n">
        <v>0</v>
      </c>
      <c r="K570" t="n">
        <v>0</v>
      </c>
      <c r="L570" t="n">
        <v>0</v>
      </c>
      <c r="M570" t="n">
        <v>0</v>
      </c>
      <c r="N570" t="n">
        <v>0</v>
      </c>
      <c r="O570" t="n">
        <v>0</v>
      </c>
      <c r="P570" t="n">
        <v>0</v>
      </c>
      <c r="Q570" t="n">
        <v>0</v>
      </c>
      <c r="R570" s="2" t="inlineStr"/>
    </row>
    <row r="571" ht="15" customHeight="1">
      <c r="A571" t="inlineStr">
        <is>
          <t>A 61355-2024</t>
        </is>
      </c>
      <c r="B571" s="1" t="n">
        <v>45646.38200231481</v>
      </c>
      <c r="C571" s="1" t="n">
        <v>45937</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44179-2022</t>
        </is>
      </c>
      <c r="B572" s="1" t="n">
        <v>44839.4528125</v>
      </c>
      <c r="C572" s="1" t="n">
        <v>45937</v>
      </c>
      <c r="D572" t="inlineStr">
        <is>
          <t>KALMAR LÄN</t>
        </is>
      </c>
      <c r="E572" t="inlineStr">
        <is>
          <t>VIMMERBY</t>
        </is>
      </c>
      <c r="G572" t="n">
        <v>2.8</v>
      </c>
      <c r="H572" t="n">
        <v>0</v>
      </c>
      <c r="I572" t="n">
        <v>0</v>
      </c>
      <c r="J572" t="n">
        <v>0</v>
      </c>
      <c r="K572" t="n">
        <v>0</v>
      </c>
      <c r="L572" t="n">
        <v>0</v>
      </c>
      <c r="M572" t="n">
        <v>0</v>
      </c>
      <c r="N572" t="n">
        <v>0</v>
      </c>
      <c r="O572" t="n">
        <v>0</v>
      </c>
      <c r="P572" t="n">
        <v>0</v>
      </c>
      <c r="Q572" t="n">
        <v>0</v>
      </c>
      <c r="R572" s="2" t="inlineStr"/>
    </row>
    <row r="573" ht="15" customHeight="1">
      <c r="A573" t="inlineStr">
        <is>
          <t>A 28702-2025</t>
        </is>
      </c>
      <c r="B573" s="1" t="n">
        <v>45820.03976851852</v>
      </c>
      <c r="C573" s="1" t="n">
        <v>45937</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50648-2023</t>
        </is>
      </c>
      <c r="B574" s="1" t="n">
        <v>45217.47834490741</v>
      </c>
      <c r="C574" s="1" t="n">
        <v>45937</v>
      </c>
      <c r="D574" t="inlineStr">
        <is>
          <t>KALMAR LÄN</t>
        </is>
      </c>
      <c r="E574" t="inlineStr">
        <is>
          <t>VIMMERBY</t>
        </is>
      </c>
      <c r="G574" t="n">
        <v>1.6</v>
      </c>
      <c r="H574" t="n">
        <v>0</v>
      </c>
      <c r="I574" t="n">
        <v>0</v>
      </c>
      <c r="J574" t="n">
        <v>0</v>
      </c>
      <c r="K574" t="n">
        <v>0</v>
      </c>
      <c r="L574" t="n">
        <v>0</v>
      </c>
      <c r="M574" t="n">
        <v>0</v>
      </c>
      <c r="N574" t="n">
        <v>0</v>
      </c>
      <c r="O574" t="n">
        <v>0</v>
      </c>
      <c r="P574" t="n">
        <v>0</v>
      </c>
      <c r="Q574" t="n">
        <v>0</v>
      </c>
      <c r="R574" s="2" t="inlineStr"/>
    </row>
    <row r="575" ht="15" customHeight="1">
      <c r="A575" t="inlineStr">
        <is>
          <t>A 33374-2021</t>
        </is>
      </c>
      <c r="B575" s="1" t="n">
        <v>44377</v>
      </c>
      <c r="C575" s="1" t="n">
        <v>45937</v>
      </c>
      <c r="D575" t="inlineStr">
        <is>
          <t>KALMAR LÄN</t>
        </is>
      </c>
      <c r="E575" t="inlineStr">
        <is>
          <t>VIMMERBY</t>
        </is>
      </c>
      <c r="G575" t="n">
        <v>3.3</v>
      </c>
      <c r="H575" t="n">
        <v>0</v>
      </c>
      <c r="I575" t="n">
        <v>0</v>
      </c>
      <c r="J575" t="n">
        <v>0</v>
      </c>
      <c r="K575" t="n">
        <v>0</v>
      </c>
      <c r="L575" t="n">
        <v>0</v>
      </c>
      <c r="M575" t="n">
        <v>0</v>
      </c>
      <c r="N575" t="n">
        <v>0</v>
      </c>
      <c r="O575" t="n">
        <v>0</v>
      </c>
      <c r="P575" t="n">
        <v>0</v>
      </c>
      <c r="Q575" t="n">
        <v>0</v>
      </c>
      <c r="R575" s="2" t="inlineStr"/>
    </row>
    <row r="576" ht="15" customHeight="1">
      <c r="A576" t="inlineStr">
        <is>
          <t>A 10759-2023</t>
        </is>
      </c>
      <c r="B576" s="1" t="n">
        <v>44988</v>
      </c>
      <c r="C576" s="1" t="n">
        <v>45937</v>
      </c>
      <c r="D576" t="inlineStr">
        <is>
          <t>KALMAR LÄN</t>
        </is>
      </c>
      <c r="E576" t="inlineStr">
        <is>
          <t>VIMMERBY</t>
        </is>
      </c>
      <c r="G576" t="n">
        <v>0.4</v>
      </c>
      <c r="H576" t="n">
        <v>0</v>
      </c>
      <c r="I576" t="n">
        <v>0</v>
      </c>
      <c r="J576" t="n">
        <v>0</v>
      </c>
      <c r="K576" t="n">
        <v>0</v>
      </c>
      <c r="L576" t="n">
        <v>0</v>
      </c>
      <c r="M576" t="n">
        <v>0</v>
      </c>
      <c r="N576" t="n">
        <v>0</v>
      </c>
      <c r="O576" t="n">
        <v>0</v>
      </c>
      <c r="P576" t="n">
        <v>0</v>
      </c>
      <c r="Q576" t="n">
        <v>0</v>
      </c>
      <c r="R576" s="2" t="inlineStr"/>
    </row>
    <row r="577" ht="15" customHeight="1">
      <c r="A577" t="inlineStr">
        <is>
          <t>A 18899-2025</t>
        </is>
      </c>
      <c r="B577" s="1" t="n">
        <v>45764.44931712963</v>
      </c>
      <c r="C577" s="1" t="n">
        <v>45937</v>
      </c>
      <c r="D577" t="inlineStr">
        <is>
          <t>KALMAR LÄN</t>
        </is>
      </c>
      <c r="E577" t="inlineStr">
        <is>
          <t>VIMMERBY</t>
        </is>
      </c>
      <c r="F577" t="inlineStr">
        <is>
          <t>Kommuner</t>
        </is>
      </c>
      <c r="G577" t="n">
        <v>4</v>
      </c>
      <c r="H577" t="n">
        <v>0</v>
      </c>
      <c r="I577" t="n">
        <v>0</v>
      </c>
      <c r="J577" t="n">
        <v>0</v>
      </c>
      <c r="K577" t="n">
        <v>0</v>
      </c>
      <c r="L577" t="n">
        <v>0</v>
      </c>
      <c r="M577" t="n">
        <v>0</v>
      </c>
      <c r="N577" t="n">
        <v>0</v>
      </c>
      <c r="O577" t="n">
        <v>0</v>
      </c>
      <c r="P577" t="n">
        <v>0</v>
      </c>
      <c r="Q577" t="n">
        <v>0</v>
      </c>
      <c r="R577" s="2" t="inlineStr"/>
    </row>
    <row r="578" ht="15" customHeight="1">
      <c r="A578" t="inlineStr">
        <is>
          <t>A 34060-2025</t>
        </is>
      </c>
      <c r="B578" s="1" t="n">
        <v>45845.42015046296</v>
      </c>
      <c r="C578" s="1" t="n">
        <v>45937</v>
      </c>
      <c r="D578" t="inlineStr">
        <is>
          <t>KALMAR LÄN</t>
        </is>
      </c>
      <c r="E578" t="inlineStr">
        <is>
          <t>VIMMERBY</t>
        </is>
      </c>
      <c r="G578" t="n">
        <v>5.7</v>
      </c>
      <c r="H578" t="n">
        <v>0</v>
      </c>
      <c r="I578" t="n">
        <v>0</v>
      </c>
      <c r="J578" t="n">
        <v>0</v>
      </c>
      <c r="K578" t="n">
        <v>0</v>
      </c>
      <c r="L578" t="n">
        <v>0</v>
      </c>
      <c r="M578" t="n">
        <v>0</v>
      </c>
      <c r="N578" t="n">
        <v>0</v>
      </c>
      <c r="O578" t="n">
        <v>0</v>
      </c>
      <c r="P578" t="n">
        <v>0</v>
      </c>
      <c r="Q578" t="n">
        <v>0</v>
      </c>
      <c r="R578" s="2" t="inlineStr"/>
    </row>
    <row r="579" ht="15" customHeight="1">
      <c r="A579" t="inlineStr">
        <is>
          <t>A 2121-2022</t>
        </is>
      </c>
      <c r="B579" s="1" t="n">
        <v>44578.32717592592</v>
      </c>
      <c r="C579" s="1" t="n">
        <v>45937</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34071-2025</t>
        </is>
      </c>
      <c r="B580" s="1" t="n">
        <v>45845.43803240741</v>
      </c>
      <c r="C580" s="1" t="n">
        <v>45937</v>
      </c>
      <c r="D580" t="inlineStr">
        <is>
          <t>KALMAR LÄN</t>
        </is>
      </c>
      <c r="E580" t="inlineStr">
        <is>
          <t>VIMMERBY</t>
        </is>
      </c>
      <c r="G580" t="n">
        <v>6.8</v>
      </c>
      <c r="H580" t="n">
        <v>0</v>
      </c>
      <c r="I580" t="n">
        <v>0</v>
      </c>
      <c r="J580" t="n">
        <v>0</v>
      </c>
      <c r="K580" t="n">
        <v>0</v>
      </c>
      <c r="L580" t="n">
        <v>0</v>
      </c>
      <c r="M580" t="n">
        <v>0</v>
      </c>
      <c r="N580" t="n">
        <v>0</v>
      </c>
      <c r="O580" t="n">
        <v>0</v>
      </c>
      <c r="P580" t="n">
        <v>0</v>
      </c>
      <c r="Q580" t="n">
        <v>0</v>
      </c>
      <c r="R580" s="2" t="inlineStr"/>
    </row>
    <row r="581" ht="15" customHeight="1">
      <c r="A581" t="inlineStr">
        <is>
          <t>A 57799-2022</t>
        </is>
      </c>
      <c r="B581" s="1" t="n">
        <v>44897</v>
      </c>
      <c r="C581" s="1" t="n">
        <v>45937</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34106-2025</t>
        </is>
      </c>
      <c r="B582" s="1" t="n">
        <v>45845.49414351852</v>
      </c>
      <c r="C582" s="1" t="n">
        <v>45937</v>
      </c>
      <c r="D582" t="inlineStr">
        <is>
          <t>KALMAR LÄN</t>
        </is>
      </c>
      <c r="E582" t="inlineStr">
        <is>
          <t>VIMMERBY</t>
        </is>
      </c>
      <c r="G582" t="n">
        <v>6</v>
      </c>
      <c r="H582" t="n">
        <v>0</v>
      </c>
      <c r="I582" t="n">
        <v>0</v>
      </c>
      <c r="J582" t="n">
        <v>0</v>
      </c>
      <c r="K582" t="n">
        <v>0</v>
      </c>
      <c r="L582" t="n">
        <v>0</v>
      </c>
      <c r="M582" t="n">
        <v>0</v>
      </c>
      <c r="N582" t="n">
        <v>0</v>
      </c>
      <c r="O582" t="n">
        <v>0</v>
      </c>
      <c r="P582" t="n">
        <v>0</v>
      </c>
      <c r="Q582" t="n">
        <v>0</v>
      </c>
      <c r="R582" s="2" t="inlineStr"/>
    </row>
    <row r="583" ht="15" customHeight="1">
      <c r="A583" t="inlineStr">
        <is>
          <t>A 15394-2025</t>
        </is>
      </c>
      <c r="B583" s="1" t="n">
        <v>45747.43196759259</v>
      </c>
      <c r="C583" s="1" t="n">
        <v>45937</v>
      </c>
      <c r="D583" t="inlineStr">
        <is>
          <t>KALMAR LÄN</t>
        </is>
      </c>
      <c r="E583" t="inlineStr">
        <is>
          <t>VIMMERBY</t>
        </is>
      </c>
      <c r="G583" t="n">
        <v>0.8</v>
      </c>
      <c r="H583" t="n">
        <v>0</v>
      </c>
      <c r="I583" t="n">
        <v>0</v>
      </c>
      <c r="J583" t="n">
        <v>0</v>
      </c>
      <c r="K583" t="n">
        <v>0</v>
      </c>
      <c r="L583" t="n">
        <v>0</v>
      </c>
      <c r="M583" t="n">
        <v>0</v>
      </c>
      <c r="N583" t="n">
        <v>0</v>
      </c>
      <c r="O583" t="n">
        <v>0</v>
      </c>
      <c r="P583" t="n">
        <v>0</v>
      </c>
      <c r="Q583" t="n">
        <v>0</v>
      </c>
      <c r="R583" s="2" t="inlineStr"/>
    </row>
    <row r="584" ht="15" customHeight="1">
      <c r="A584" t="inlineStr">
        <is>
          <t>A 12586-2021</t>
        </is>
      </c>
      <c r="B584" s="1" t="n">
        <v>44270.38002314815</v>
      </c>
      <c r="C584" s="1" t="n">
        <v>45937</v>
      </c>
      <c r="D584" t="inlineStr">
        <is>
          <t>KALMAR LÄN</t>
        </is>
      </c>
      <c r="E584" t="inlineStr">
        <is>
          <t>VIMMERBY</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26956-2025</t>
        </is>
      </c>
      <c r="B585" s="1" t="n">
        <v>45811.45460648148</v>
      </c>
      <c r="C585" s="1" t="n">
        <v>45937</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26318-2023</t>
        </is>
      </c>
      <c r="B586" s="1" t="n">
        <v>45091.67936342592</v>
      </c>
      <c r="C586" s="1" t="n">
        <v>45937</v>
      </c>
      <c r="D586" t="inlineStr">
        <is>
          <t>KALMAR LÄN</t>
        </is>
      </c>
      <c r="E586" t="inlineStr">
        <is>
          <t>VIMMERBY</t>
        </is>
      </c>
      <c r="G586" t="n">
        <v>3.8</v>
      </c>
      <c r="H586" t="n">
        <v>0</v>
      </c>
      <c r="I586" t="n">
        <v>0</v>
      </c>
      <c r="J586" t="n">
        <v>0</v>
      </c>
      <c r="K586" t="n">
        <v>0</v>
      </c>
      <c r="L586" t="n">
        <v>0</v>
      </c>
      <c r="M586" t="n">
        <v>0</v>
      </c>
      <c r="N586" t="n">
        <v>0</v>
      </c>
      <c r="O586" t="n">
        <v>0</v>
      </c>
      <c r="P586" t="n">
        <v>0</v>
      </c>
      <c r="Q586" t="n">
        <v>0</v>
      </c>
      <c r="R586" s="2" t="inlineStr"/>
    </row>
    <row r="587" ht="15" customHeight="1">
      <c r="A587" t="inlineStr">
        <is>
          <t>A 60437-2023</t>
        </is>
      </c>
      <c r="B587" s="1" t="n">
        <v>45259.51916666667</v>
      </c>
      <c r="C587" s="1" t="n">
        <v>45937</v>
      </c>
      <c r="D587" t="inlineStr">
        <is>
          <t>KALMAR LÄN</t>
        </is>
      </c>
      <c r="E587" t="inlineStr">
        <is>
          <t>VIMMERBY</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60438-2023</t>
        </is>
      </c>
      <c r="B588" s="1" t="n">
        <v>45259.52020833334</v>
      </c>
      <c r="C588" s="1" t="n">
        <v>45937</v>
      </c>
      <c r="D588" t="inlineStr">
        <is>
          <t>KALMAR LÄN</t>
        </is>
      </c>
      <c r="E588" t="inlineStr">
        <is>
          <t>VIMMERBY</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34628-2025</t>
        </is>
      </c>
      <c r="B589" s="1" t="n">
        <v>45847.91280092593</v>
      </c>
      <c r="C589" s="1" t="n">
        <v>45937</v>
      </c>
      <c r="D589" t="inlineStr">
        <is>
          <t>KALMAR LÄN</t>
        </is>
      </c>
      <c r="E589" t="inlineStr">
        <is>
          <t>VIMMERBY</t>
        </is>
      </c>
      <c r="G589" t="n">
        <v>4.2</v>
      </c>
      <c r="H589" t="n">
        <v>0</v>
      </c>
      <c r="I589" t="n">
        <v>0</v>
      </c>
      <c r="J589" t="n">
        <v>0</v>
      </c>
      <c r="K589" t="n">
        <v>0</v>
      </c>
      <c r="L589" t="n">
        <v>0</v>
      </c>
      <c r="M589" t="n">
        <v>0</v>
      </c>
      <c r="N589" t="n">
        <v>0</v>
      </c>
      <c r="O589" t="n">
        <v>0</v>
      </c>
      <c r="P589" t="n">
        <v>0</v>
      </c>
      <c r="Q589" t="n">
        <v>0</v>
      </c>
      <c r="R589" s="2" t="inlineStr"/>
    </row>
    <row r="590" ht="15" customHeight="1">
      <c r="A590" t="inlineStr">
        <is>
          <t>A 7758-2024</t>
        </is>
      </c>
      <c r="B590" s="1" t="n">
        <v>45349.54434027777</v>
      </c>
      <c r="C590" s="1" t="n">
        <v>45937</v>
      </c>
      <c r="D590" t="inlineStr">
        <is>
          <t>KALMAR LÄN</t>
        </is>
      </c>
      <c r="E590" t="inlineStr">
        <is>
          <t>VIMMERBY</t>
        </is>
      </c>
      <c r="G590" t="n">
        <v>3.5</v>
      </c>
      <c r="H590" t="n">
        <v>0</v>
      </c>
      <c r="I590" t="n">
        <v>0</v>
      </c>
      <c r="J590" t="n">
        <v>0</v>
      </c>
      <c r="K590" t="n">
        <v>0</v>
      </c>
      <c r="L590" t="n">
        <v>0</v>
      </c>
      <c r="M590" t="n">
        <v>0</v>
      </c>
      <c r="N590" t="n">
        <v>0</v>
      </c>
      <c r="O590" t="n">
        <v>0</v>
      </c>
      <c r="P590" t="n">
        <v>0</v>
      </c>
      <c r="Q590" t="n">
        <v>0</v>
      </c>
      <c r="R590" s="2" t="inlineStr"/>
    </row>
    <row r="591" ht="15" customHeight="1">
      <c r="A591" t="inlineStr">
        <is>
          <t>A 32614-2023</t>
        </is>
      </c>
      <c r="B591" s="1" t="n">
        <v>45121</v>
      </c>
      <c r="C591" s="1" t="n">
        <v>45937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61939-2021</t>
        </is>
      </c>
      <c r="B592" s="1" t="n">
        <v>44502</v>
      </c>
      <c r="C592" s="1" t="n">
        <v>45937</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7456-2024</t>
        </is>
      </c>
      <c r="B593" s="1" t="n">
        <v>45345.83557870371</v>
      </c>
      <c r="C593" s="1" t="n">
        <v>45937</v>
      </c>
      <c r="D593" t="inlineStr">
        <is>
          <t>KALMAR LÄN</t>
        </is>
      </c>
      <c r="E593" t="inlineStr">
        <is>
          <t>VIMMERBY</t>
        </is>
      </c>
      <c r="G593" t="n">
        <v>4.1</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45937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46979-2023</t>
        </is>
      </c>
      <c r="B595" s="1" t="n">
        <v>45201</v>
      </c>
      <c r="C595" s="1" t="n">
        <v>45937</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2596-2025</t>
        </is>
      </c>
      <c r="B596" s="1" t="n">
        <v>45674.71810185185</v>
      </c>
      <c r="C596" s="1" t="n">
        <v>45937</v>
      </c>
      <c r="D596" t="inlineStr">
        <is>
          <t>KALMAR LÄN</t>
        </is>
      </c>
      <c r="E596" t="inlineStr">
        <is>
          <t>VIMMERBY</t>
        </is>
      </c>
      <c r="G596" t="n">
        <v>9</v>
      </c>
      <c r="H596" t="n">
        <v>0</v>
      </c>
      <c r="I596" t="n">
        <v>0</v>
      </c>
      <c r="J596" t="n">
        <v>0</v>
      </c>
      <c r="K596" t="n">
        <v>0</v>
      </c>
      <c r="L596" t="n">
        <v>0</v>
      </c>
      <c r="M596" t="n">
        <v>0</v>
      </c>
      <c r="N596" t="n">
        <v>0</v>
      </c>
      <c r="O596" t="n">
        <v>0</v>
      </c>
      <c r="P596" t="n">
        <v>0</v>
      </c>
      <c r="Q596" t="n">
        <v>0</v>
      </c>
      <c r="R596" s="2" t="inlineStr"/>
    </row>
    <row r="597" ht="15" customHeight="1">
      <c r="A597" t="inlineStr">
        <is>
          <t>A 47855-2024</t>
        </is>
      </c>
      <c r="B597" s="1" t="n">
        <v>45588.66457175926</v>
      </c>
      <c r="C597" s="1" t="n">
        <v>45937</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63583-2023</t>
        </is>
      </c>
      <c r="B598" s="1" t="n">
        <v>45275.41833333333</v>
      </c>
      <c r="C598" s="1" t="n">
        <v>45937</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60228-2021</t>
        </is>
      </c>
      <c r="B599" s="1" t="n">
        <v>44495</v>
      </c>
      <c r="C599" s="1" t="n">
        <v>45937</v>
      </c>
      <c r="D599" t="inlineStr">
        <is>
          <t>KALMAR LÄN</t>
        </is>
      </c>
      <c r="E599" t="inlineStr">
        <is>
          <t>VIMMERBY</t>
        </is>
      </c>
      <c r="G599" t="n">
        <v>4.1</v>
      </c>
      <c r="H599" t="n">
        <v>0</v>
      </c>
      <c r="I599" t="n">
        <v>0</v>
      </c>
      <c r="J599" t="n">
        <v>0</v>
      </c>
      <c r="K599" t="n">
        <v>0</v>
      </c>
      <c r="L599" t="n">
        <v>0</v>
      </c>
      <c r="M599" t="n">
        <v>0</v>
      </c>
      <c r="N599" t="n">
        <v>0</v>
      </c>
      <c r="O599" t="n">
        <v>0</v>
      </c>
      <c r="P599" t="n">
        <v>0</v>
      </c>
      <c r="Q599" t="n">
        <v>0</v>
      </c>
      <c r="R599" s="2" t="inlineStr"/>
    </row>
    <row r="600" ht="15" customHeight="1">
      <c r="A600" t="inlineStr">
        <is>
          <t>A 46522-2022</t>
        </is>
      </c>
      <c r="B600" s="1" t="n">
        <v>44848.59133101852</v>
      </c>
      <c r="C600" s="1" t="n">
        <v>45937</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21109-2024</t>
        </is>
      </c>
      <c r="B601" s="1" t="n">
        <v>45440.28329861111</v>
      </c>
      <c r="C601" s="1" t="n">
        <v>45937</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35270-2025</t>
        </is>
      </c>
      <c r="B602" s="1" t="n">
        <v>45853.87112268519</v>
      </c>
      <c r="C602" s="1" t="n">
        <v>45937</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6218-2025</t>
        </is>
      </c>
      <c r="B603" s="1" t="n">
        <v>45698.53336805556</v>
      </c>
      <c r="C603" s="1" t="n">
        <v>45937</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40076-2021</t>
        </is>
      </c>
      <c r="B604" s="1" t="n">
        <v>44418</v>
      </c>
      <c r="C604" s="1" t="n">
        <v>45937</v>
      </c>
      <c r="D604" t="inlineStr">
        <is>
          <t>KALMAR LÄN</t>
        </is>
      </c>
      <c r="E604" t="inlineStr">
        <is>
          <t>VIMMERBY</t>
        </is>
      </c>
      <c r="G604" t="n">
        <v>2</v>
      </c>
      <c r="H604" t="n">
        <v>0</v>
      </c>
      <c r="I604" t="n">
        <v>0</v>
      </c>
      <c r="J604" t="n">
        <v>0</v>
      </c>
      <c r="K604" t="n">
        <v>0</v>
      </c>
      <c r="L604" t="n">
        <v>0</v>
      </c>
      <c r="M604" t="n">
        <v>0</v>
      </c>
      <c r="N604" t="n">
        <v>0</v>
      </c>
      <c r="O604" t="n">
        <v>0</v>
      </c>
      <c r="P604" t="n">
        <v>0</v>
      </c>
      <c r="Q604" t="n">
        <v>0</v>
      </c>
      <c r="R604" s="2" t="inlineStr"/>
    </row>
    <row r="605" ht="15" customHeight="1">
      <c r="A605" t="inlineStr">
        <is>
          <t>A 33815-2022</t>
        </is>
      </c>
      <c r="B605" s="1" t="n">
        <v>44790.45876157407</v>
      </c>
      <c r="C605" s="1" t="n">
        <v>45937</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35271-2025</t>
        </is>
      </c>
      <c r="B606" s="1" t="n">
        <v>45853.87599537037</v>
      </c>
      <c r="C606" s="1" t="n">
        <v>45937</v>
      </c>
      <c r="D606" t="inlineStr">
        <is>
          <t>KALMAR LÄN</t>
        </is>
      </c>
      <c r="E606" t="inlineStr">
        <is>
          <t>VIMMERBY</t>
        </is>
      </c>
      <c r="G606" t="n">
        <v>0.4</v>
      </c>
      <c r="H606" t="n">
        <v>0</v>
      </c>
      <c r="I606" t="n">
        <v>0</v>
      </c>
      <c r="J606" t="n">
        <v>0</v>
      </c>
      <c r="K606" t="n">
        <v>0</v>
      </c>
      <c r="L606" t="n">
        <v>0</v>
      </c>
      <c r="M606" t="n">
        <v>0</v>
      </c>
      <c r="N606" t="n">
        <v>0</v>
      </c>
      <c r="O606" t="n">
        <v>0</v>
      </c>
      <c r="P606" t="n">
        <v>0</v>
      </c>
      <c r="Q606" t="n">
        <v>0</v>
      </c>
      <c r="R606" s="2" t="inlineStr"/>
    </row>
    <row r="607" ht="15" customHeight="1">
      <c r="A607" t="inlineStr">
        <is>
          <t>A 35272-2025</t>
        </is>
      </c>
      <c r="B607" s="1" t="n">
        <v>45853.88070601852</v>
      </c>
      <c r="C607" s="1" t="n">
        <v>45937</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49461-2022</t>
        </is>
      </c>
      <c r="B608" s="1" t="n">
        <v>44861</v>
      </c>
      <c r="C608" s="1" t="n">
        <v>45937</v>
      </c>
      <c r="D608" t="inlineStr">
        <is>
          <t>KALMAR LÄN</t>
        </is>
      </c>
      <c r="E608" t="inlineStr">
        <is>
          <t>VIMMERBY</t>
        </is>
      </c>
      <c r="G608" t="n">
        <v>3.2</v>
      </c>
      <c r="H608" t="n">
        <v>0</v>
      </c>
      <c r="I608" t="n">
        <v>0</v>
      </c>
      <c r="J608" t="n">
        <v>0</v>
      </c>
      <c r="K608" t="n">
        <v>0</v>
      </c>
      <c r="L608" t="n">
        <v>0</v>
      </c>
      <c r="M608" t="n">
        <v>0</v>
      </c>
      <c r="N608" t="n">
        <v>0</v>
      </c>
      <c r="O608" t="n">
        <v>0</v>
      </c>
      <c r="P608" t="n">
        <v>0</v>
      </c>
      <c r="Q608" t="n">
        <v>0</v>
      </c>
      <c r="R608" s="2" t="inlineStr"/>
    </row>
    <row r="609" ht="15" customHeight="1">
      <c r="A609" t="inlineStr">
        <is>
          <t>A 16953-2025</t>
        </is>
      </c>
      <c r="B609" s="1" t="n">
        <v>45755.44333333334</v>
      </c>
      <c r="C609" s="1" t="n">
        <v>45937</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53542-2022</t>
        </is>
      </c>
      <c r="B610" s="1" t="n">
        <v>44879.62173611111</v>
      </c>
      <c r="C610" s="1" t="n">
        <v>45937</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35713-2023</t>
        </is>
      </c>
      <c r="B611" s="1" t="n">
        <v>45147</v>
      </c>
      <c r="C611" s="1" t="n">
        <v>45937</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10424-2023</t>
        </is>
      </c>
      <c r="B612" s="1" t="n">
        <v>44987.54104166666</v>
      </c>
      <c r="C612" s="1" t="n">
        <v>45937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40921-2025</t>
        </is>
      </c>
      <c r="B613" s="1" t="n">
        <v>45897.63520833333</v>
      </c>
      <c r="C613" s="1" t="n">
        <v>45937</v>
      </c>
      <c r="D613" t="inlineStr">
        <is>
          <t>KALMAR LÄN</t>
        </is>
      </c>
      <c r="E613" t="inlineStr">
        <is>
          <t>VIMMERBY</t>
        </is>
      </c>
      <c r="G613" t="n">
        <v>4.2</v>
      </c>
      <c r="H613" t="n">
        <v>0</v>
      </c>
      <c r="I613" t="n">
        <v>0</v>
      </c>
      <c r="J613" t="n">
        <v>0</v>
      </c>
      <c r="K613" t="n">
        <v>0</v>
      </c>
      <c r="L613" t="n">
        <v>0</v>
      </c>
      <c r="M613" t="n">
        <v>0</v>
      </c>
      <c r="N613" t="n">
        <v>0</v>
      </c>
      <c r="O613" t="n">
        <v>0</v>
      </c>
      <c r="P613" t="n">
        <v>0</v>
      </c>
      <c r="Q613" t="n">
        <v>0</v>
      </c>
      <c r="R613" s="2" t="inlineStr"/>
    </row>
    <row r="614" ht="15" customHeight="1">
      <c r="A614" t="inlineStr">
        <is>
          <t>A 40971-2025</t>
        </is>
      </c>
      <c r="B614" s="1" t="n">
        <v>45897.88836805556</v>
      </c>
      <c r="C614" s="1" t="n">
        <v>45937</v>
      </c>
      <c r="D614" t="inlineStr">
        <is>
          <t>KALMAR LÄN</t>
        </is>
      </c>
      <c r="E614" t="inlineStr">
        <is>
          <t>VIMMERBY</t>
        </is>
      </c>
      <c r="G614" t="n">
        <v>1.5</v>
      </c>
      <c r="H614" t="n">
        <v>0</v>
      </c>
      <c r="I614" t="n">
        <v>0</v>
      </c>
      <c r="J614" t="n">
        <v>0</v>
      </c>
      <c r="K614" t="n">
        <v>0</v>
      </c>
      <c r="L614" t="n">
        <v>0</v>
      </c>
      <c r="M614" t="n">
        <v>0</v>
      </c>
      <c r="N614" t="n">
        <v>0</v>
      </c>
      <c r="O614" t="n">
        <v>0</v>
      </c>
      <c r="P614" t="n">
        <v>0</v>
      </c>
      <c r="Q614" t="n">
        <v>0</v>
      </c>
      <c r="R614" s="2" t="inlineStr"/>
    </row>
    <row r="615" ht="15" customHeight="1">
      <c r="A615" t="inlineStr">
        <is>
          <t>A 40925-2025</t>
        </is>
      </c>
      <c r="B615" s="1" t="n">
        <v>45897.64208333333</v>
      </c>
      <c r="C615" s="1" t="n">
        <v>45937</v>
      </c>
      <c r="D615" t="inlineStr">
        <is>
          <t>KALMAR LÄN</t>
        </is>
      </c>
      <c r="E615" t="inlineStr">
        <is>
          <t>VIMMERBY</t>
        </is>
      </c>
      <c r="G615" t="n">
        <v>1.9</v>
      </c>
      <c r="H615" t="n">
        <v>0</v>
      </c>
      <c r="I615" t="n">
        <v>0</v>
      </c>
      <c r="J615" t="n">
        <v>0</v>
      </c>
      <c r="K615" t="n">
        <v>0</v>
      </c>
      <c r="L615" t="n">
        <v>0</v>
      </c>
      <c r="M615" t="n">
        <v>0</v>
      </c>
      <c r="N615" t="n">
        <v>0</v>
      </c>
      <c r="O615" t="n">
        <v>0</v>
      </c>
      <c r="P615" t="n">
        <v>0</v>
      </c>
      <c r="Q615" t="n">
        <v>0</v>
      </c>
      <c r="R615" s="2" t="inlineStr"/>
    </row>
    <row r="616" ht="15" customHeight="1">
      <c r="A616" t="inlineStr">
        <is>
          <t>A 12588-2025</t>
        </is>
      </c>
      <c r="B616" s="1" t="n">
        <v>45732.76936342593</v>
      </c>
      <c r="C616" s="1" t="n">
        <v>45937</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25979-2023</t>
        </is>
      </c>
      <c r="B617" s="1" t="n">
        <v>45090.89653935185</v>
      </c>
      <c r="C617" s="1" t="n">
        <v>45937</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25980-2023</t>
        </is>
      </c>
      <c r="B618" s="1" t="n">
        <v>45090.89880787037</v>
      </c>
      <c r="C618" s="1" t="n">
        <v>45937</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46921-2023</t>
        </is>
      </c>
      <c r="B619" s="1" t="n">
        <v>45201.39996527778</v>
      </c>
      <c r="C619" s="1" t="n">
        <v>45937</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10837-2023</t>
        </is>
      </c>
      <c r="B620" s="1" t="n">
        <v>44991.30547453704</v>
      </c>
      <c r="C620" s="1" t="n">
        <v>45937</v>
      </c>
      <c r="D620" t="inlineStr">
        <is>
          <t>KALMAR LÄN</t>
        </is>
      </c>
      <c r="E620" t="inlineStr">
        <is>
          <t>VIMMERBY</t>
        </is>
      </c>
      <c r="G620" t="n">
        <v>7.3</v>
      </c>
      <c r="H620" t="n">
        <v>0</v>
      </c>
      <c r="I620" t="n">
        <v>0</v>
      </c>
      <c r="J620" t="n">
        <v>0</v>
      </c>
      <c r="K620" t="n">
        <v>0</v>
      </c>
      <c r="L620" t="n">
        <v>0</v>
      </c>
      <c r="M620" t="n">
        <v>0</v>
      </c>
      <c r="N620" t="n">
        <v>0</v>
      </c>
      <c r="O620" t="n">
        <v>0</v>
      </c>
      <c r="P620" t="n">
        <v>0</v>
      </c>
      <c r="Q620" t="n">
        <v>0</v>
      </c>
      <c r="R620" s="2" t="inlineStr"/>
    </row>
    <row r="621" ht="15" customHeight="1">
      <c r="A621" t="inlineStr">
        <is>
          <t>A 10838-2023</t>
        </is>
      </c>
      <c r="B621" s="1" t="n">
        <v>44991</v>
      </c>
      <c r="C621" s="1" t="n">
        <v>45937</v>
      </c>
      <c r="D621" t="inlineStr">
        <is>
          <t>KALMAR LÄN</t>
        </is>
      </c>
      <c r="E621" t="inlineStr">
        <is>
          <t>VIMMERBY</t>
        </is>
      </c>
      <c r="G621" t="n">
        <v>5.1</v>
      </c>
      <c r="H621" t="n">
        <v>0</v>
      </c>
      <c r="I621" t="n">
        <v>0</v>
      </c>
      <c r="J621" t="n">
        <v>0</v>
      </c>
      <c r="K621" t="n">
        <v>0</v>
      </c>
      <c r="L621" t="n">
        <v>0</v>
      </c>
      <c r="M621" t="n">
        <v>0</v>
      </c>
      <c r="N621" t="n">
        <v>0</v>
      </c>
      <c r="O621" t="n">
        <v>0</v>
      </c>
      <c r="P621" t="n">
        <v>0</v>
      </c>
      <c r="Q621" t="n">
        <v>0</v>
      </c>
      <c r="R621" s="2" t="inlineStr"/>
    </row>
    <row r="622" ht="15" customHeight="1">
      <c r="A622" t="inlineStr">
        <is>
          <t>A 33340-2023</t>
        </is>
      </c>
      <c r="B622" s="1" t="n">
        <v>45128.37305555555</v>
      </c>
      <c r="C622" s="1" t="n">
        <v>45937</v>
      </c>
      <c r="D622" t="inlineStr">
        <is>
          <t>KALMAR LÄN</t>
        </is>
      </c>
      <c r="E622" t="inlineStr">
        <is>
          <t>VIMMERBY</t>
        </is>
      </c>
      <c r="G622" t="n">
        <v>1.5</v>
      </c>
      <c r="H622" t="n">
        <v>0</v>
      </c>
      <c r="I622" t="n">
        <v>0</v>
      </c>
      <c r="J622" t="n">
        <v>0</v>
      </c>
      <c r="K622" t="n">
        <v>0</v>
      </c>
      <c r="L622" t="n">
        <v>0</v>
      </c>
      <c r="M622" t="n">
        <v>0</v>
      </c>
      <c r="N622" t="n">
        <v>0</v>
      </c>
      <c r="O622" t="n">
        <v>0</v>
      </c>
      <c r="P622" t="n">
        <v>0</v>
      </c>
      <c r="Q622" t="n">
        <v>0</v>
      </c>
      <c r="R622" s="2" t="inlineStr"/>
    </row>
    <row r="623" ht="15" customHeight="1">
      <c r="A623" t="inlineStr">
        <is>
          <t>A 41224-2025</t>
        </is>
      </c>
      <c r="B623" s="1" t="n">
        <v>45898.58861111111</v>
      </c>
      <c r="C623" s="1" t="n">
        <v>45937</v>
      </c>
      <c r="D623" t="inlineStr">
        <is>
          <t>KALMAR LÄN</t>
        </is>
      </c>
      <c r="E623" t="inlineStr">
        <is>
          <t>VIMMERBY</t>
        </is>
      </c>
      <c r="G623" t="n">
        <v>4.4</v>
      </c>
      <c r="H623" t="n">
        <v>0</v>
      </c>
      <c r="I623" t="n">
        <v>0</v>
      </c>
      <c r="J623" t="n">
        <v>0</v>
      </c>
      <c r="K623" t="n">
        <v>0</v>
      </c>
      <c r="L623" t="n">
        <v>0</v>
      </c>
      <c r="M623" t="n">
        <v>0</v>
      </c>
      <c r="N623" t="n">
        <v>0</v>
      </c>
      <c r="O623" t="n">
        <v>0</v>
      </c>
      <c r="P623" t="n">
        <v>0</v>
      </c>
      <c r="Q623" t="n">
        <v>0</v>
      </c>
      <c r="R623" s="2" t="inlineStr"/>
    </row>
    <row r="624" ht="15" customHeight="1">
      <c r="A624" t="inlineStr">
        <is>
          <t>A 40973-2025</t>
        </is>
      </c>
      <c r="B624" s="1" t="n">
        <v>45897.89737268518</v>
      </c>
      <c r="C624" s="1" t="n">
        <v>45937</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40970-2025</t>
        </is>
      </c>
      <c r="B625" s="1" t="n">
        <v>45897.88706018519</v>
      </c>
      <c r="C625" s="1" t="n">
        <v>45937</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29017-2024</t>
        </is>
      </c>
      <c r="B626" s="1" t="n">
        <v>45481.56722222222</v>
      </c>
      <c r="C626" s="1" t="n">
        <v>45937</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58046-2022</t>
        </is>
      </c>
      <c r="B627" s="1" t="n">
        <v>44900.57393518519</v>
      </c>
      <c r="C627" s="1" t="n">
        <v>45937</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30912-2023</t>
        </is>
      </c>
      <c r="B628" s="1" t="n">
        <v>45113.41633101852</v>
      </c>
      <c r="C628" s="1" t="n">
        <v>45937</v>
      </c>
      <c r="D628" t="inlineStr">
        <is>
          <t>KALMAR LÄN</t>
        </is>
      </c>
      <c r="E628" t="inlineStr">
        <is>
          <t>VIMMERBY</t>
        </is>
      </c>
      <c r="G628" t="n">
        <v>5</v>
      </c>
      <c r="H628" t="n">
        <v>0</v>
      </c>
      <c r="I628" t="n">
        <v>0</v>
      </c>
      <c r="J628" t="n">
        <v>0</v>
      </c>
      <c r="K628" t="n">
        <v>0</v>
      </c>
      <c r="L628" t="n">
        <v>0</v>
      </c>
      <c r="M628" t="n">
        <v>0</v>
      </c>
      <c r="N628" t="n">
        <v>0</v>
      </c>
      <c r="O628" t="n">
        <v>0</v>
      </c>
      <c r="P628" t="n">
        <v>0</v>
      </c>
      <c r="Q628" t="n">
        <v>0</v>
      </c>
      <c r="R628" s="2" t="inlineStr"/>
    </row>
    <row r="629" ht="15" customHeight="1">
      <c r="A629" t="inlineStr">
        <is>
          <t>A 55436-2023</t>
        </is>
      </c>
      <c r="B629" s="1" t="n">
        <v>45238.4328587963</v>
      </c>
      <c r="C629" s="1" t="n">
        <v>45937</v>
      </c>
      <c r="D629" t="inlineStr">
        <is>
          <t>KALMAR LÄN</t>
        </is>
      </c>
      <c r="E629" t="inlineStr">
        <is>
          <t>VIMMERBY</t>
        </is>
      </c>
      <c r="G629" t="n">
        <v>5.6</v>
      </c>
      <c r="H629" t="n">
        <v>0</v>
      </c>
      <c r="I629" t="n">
        <v>0</v>
      </c>
      <c r="J629" t="n">
        <v>0</v>
      </c>
      <c r="K629" t="n">
        <v>0</v>
      </c>
      <c r="L629" t="n">
        <v>0</v>
      </c>
      <c r="M629" t="n">
        <v>0</v>
      </c>
      <c r="N629" t="n">
        <v>0</v>
      </c>
      <c r="O629" t="n">
        <v>0</v>
      </c>
      <c r="P629" t="n">
        <v>0</v>
      </c>
      <c r="Q629" t="n">
        <v>0</v>
      </c>
      <c r="R629" s="2" t="inlineStr"/>
    </row>
    <row r="630" ht="15" customHeight="1">
      <c r="A630" t="inlineStr">
        <is>
          <t>A 14548-2024</t>
        </is>
      </c>
      <c r="B630" s="1" t="n">
        <v>45394.66887731481</v>
      </c>
      <c r="C630" s="1" t="n">
        <v>45937</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41589-2025</t>
        </is>
      </c>
      <c r="B631" s="1" t="n">
        <v>45901.63219907408</v>
      </c>
      <c r="C631" s="1" t="n">
        <v>45937</v>
      </c>
      <c r="D631" t="inlineStr">
        <is>
          <t>KALMAR LÄN</t>
        </is>
      </c>
      <c r="E631" t="inlineStr">
        <is>
          <t>VIMMERBY</t>
        </is>
      </c>
      <c r="G631" t="n">
        <v>1.7</v>
      </c>
      <c r="H631" t="n">
        <v>0</v>
      </c>
      <c r="I631" t="n">
        <v>0</v>
      </c>
      <c r="J631" t="n">
        <v>0</v>
      </c>
      <c r="K631" t="n">
        <v>0</v>
      </c>
      <c r="L631" t="n">
        <v>0</v>
      </c>
      <c r="M631" t="n">
        <v>0</v>
      </c>
      <c r="N631" t="n">
        <v>0</v>
      </c>
      <c r="O631" t="n">
        <v>0</v>
      </c>
      <c r="P631" t="n">
        <v>0</v>
      </c>
      <c r="Q631" t="n">
        <v>0</v>
      </c>
      <c r="R631" s="2" t="inlineStr"/>
    </row>
    <row r="632" ht="15" customHeight="1">
      <c r="A632" t="inlineStr">
        <is>
          <t>A 41591-2025</t>
        </is>
      </c>
      <c r="B632" s="1" t="n">
        <v>45901.6327662037</v>
      </c>
      <c r="C632" s="1" t="n">
        <v>45937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21507-2023</t>
        </is>
      </c>
      <c r="B633" s="1" t="n">
        <v>45063.508125</v>
      </c>
      <c r="C633" s="1" t="n">
        <v>45937</v>
      </c>
      <c r="D633" t="inlineStr">
        <is>
          <t>KALMAR LÄN</t>
        </is>
      </c>
      <c r="E633" t="inlineStr">
        <is>
          <t>VIMMERBY</t>
        </is>
      </c>
      <c r="G633" t="n">
        <v>2.8</v>
      </c>
      <c r="H633" t="n">
        <v>0</v>
      </c>
      <c r="I633" t="n">
        <v>0</v>
      </c>
      <c r="J633" t="n">
        <v>0</v>
      </c>
      <c r="K633" t="n">
        <v>0</v>
      </c>
      <c r="L633" t="n">
        <v>0</v>
      </c>
      <c r="M633" t="n">
        <v>0</v>
      </c>
      <c r="N633" t="n">
        <v>0</v>
      </c>
      <c r="O633" t="n">
        <v>0</v>
      </c>
      <c r="P633" t="n">
        <v>0</v>
      </c>
      <c r="Q633" t="n">
        <v>0</v>
      </c>
      <c r="R633" s="2" t="inlineStr"/>
    </row>
    <row r="634" ht="15" customHeight="1">
      <c r="A634" t="inlineStr">
        <is>
          <t>A 51187-2023</t>
        </is>
      </c>
      <c r="B634" s="1" t="n">
        <v>45219.40528935185</v>
      </c>
      <c r="C634" s="1" t="n">
        <v>45937</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35597-2025</t>
        </is>
      </c>
      <c r="B635" s="1" t="n">
        <v>45858.66019675926</v>
      </c>
      <c r="C635" s="1" t="n">
        <v>45937</v>
      </c>
      <c r="D635" t="inlineStr">
        <is>
          <t>KALMAR LÄN</t>
        </is>
      </c>
      <c r="E635" t="inlineStr">
        <is>
          <t>VIMMERBY</t>
        </is>
      </c>
      <c r="G635" t="n">
        <v>6.4</v>
      </c>
      <c r="H635" t="n">
        <v>0</v>
      </c>
      <c r="I635" t="n">
        <v>0</v>
      </c>
      <c r="J635" t="n">
        <v>0</v>
      </c>
      <c r="K635" t="n">
        <v>0</v>
      </c>
      <c r="L635" t="n">
        <v>0</v>
      </c>
      <c r="M635" t="n">
        <v>0</v>
      </c>
      <c r="N635" t="n">
        <v>0</v>
      </c>
      <c r="O635" t="n">
        <v>0</v>
      </c>
      <c r="P635" t="n">
        <v>0</v>
      </c>
      <c r="Q635" t="n">
        <v>0</v>
      </c>
      <c r="R635" s="2" t="inlineStr"/>
    </row>
    <row r="636" ht="15" customHeight="1">
      <c r="A636" t="inlineStr">
        <is>
          <t>A 13290-2025</t>
        </is>
      </c>
      <c r="B636" s="1" t="n">
        <v>45735.56751157407</v>
      </c>
      <c r="C636" s="1" t="n">
        <v>45937</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45560-2021</t>
        </is>
      </c>
      <c r="B637" s="1" t="n">
        <v>44440</v>
      </c>
      <c r="C637" s="1" t="n">
        <v>45937</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35596-2025</t>
        </is>
      </c>
      <c r="B638" s="1" t="n">
        <v>45858.60641203704</v>
      </c>
      <c r="C638" s="1" t="n">
        <v>45937</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48120-2022</t>
        </is>
      </c>
      <c r="B639" s="1" t="n">
        <v>44857.65989583333</v>
      </c>
      <c r="C639" s="1" t="n">
        <v>45937</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41735-2025</t>
        </is>
      </c>
      <c r="B640" s="1" t="n">
        <v>45902.47164351852</v>
      </c>
      <c r="C640" s="1" t="n">
        <v>45937</v>
      </c>
      <c r="D640" t="inlineStr">
        <is>
          <t>KALMAR LÄN</t>
        </is>
      </c>
      <c r="E640" t="inlineStr">
        <is>
          <t>VIMMERBY</t>
        </is>
      </c>
      <c r="G640" t="n">
        <v>3</v>
      </c>
      <c r="H640" t="n">
        <v>0</v>
      </c>
      <c r="I640" t="n">
        <v>0</v>
      </c>
      <c r="J640" t="n">
        <v>0</v>
      </c>
      <c r="K640" t="n">
        <v>0</v>
      </c>
      <c r="L640" t="n">
        <v>0</v>
      </c>
      <c r="M640" t="n">
        <v>0</v>
      </c>
      <c r="N640" t="n">
        <v>0</v>
      </c>
      <c r="O640" t="n">
        <v>0</v>
      </c>
      <c r="P640" t="n">
        <v>0</v>
      </c>
      <c r="Q640" t="n">
        <v>0</v>
      </c>
      <c r="R640" s="2" t="inlineStr"/>
    </row>
    <row r="641" ht="15" customHeight="1">
      <c r="A641" t="inlineStr">
        <is>
          <t>A 16622-2025</t>
        </is>
      </c>
      <c r="B641" s="1" t="n">
        <v>45754.33641203704</v>
      </c>
      <c r="C641" s="1" t="n">
        <v>45937</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31340-2023</t>
        </is>
      </c>
      <c r="B642" s="1" t="n">
        <v>45114.47895833333</v>
      </c>
      <c r="C642" s="1" t="n">
        <v>45937</v>
      </c>
      <c r="D642" t="inlineStr">
        <is>
          <t>KALMAR LÄN</t>
        </is>
      </c>
      <c r="E642" t="inlineStr">
        <is>
          <t>VIMMERBY</t>
        </is>
      </c>
      <c r="G642" t="n">
        <v>1.8</v>
      </c>
      <c r="H642" t="n">
        <v>0</v>
      </c>
      <c r="I642" t="n">
        <v>0</v>
      </c>
      <c r="J642" t="n">
        <v>0</v>
      </c>
      <c r="K642" t="n">
        <v>0</v>
      </c>
      <c r="L642" t="n">
        <v>0</v>
      </c>
      <c r="M642" t="n">
        <v>0</v>
      </c>
      <c r="N642" t="n">
        <v>0</v>
      </c>
      <c r="O642" t="n">
        <v>0</v>
      </c>
      <c r="P642" t="n">
        <v>0</v>
      </c>
      <c r="Q642" t="n">
        <v>0</v>
      </c>
      <c r="R642" s="2" t="inlineStr"/>
    </row>
    <row r="643" ht="15" customHeight="1">
      <c r="A643" t="inlineStr">
        <is>
          <t>A 41896-2025</t>
        </is>
      </c>
      <c r="B643" s="1" t="n">
        <v>45903.38800925926</v>
      </c>
      <c r="C643" s="1" t="n">
        <v>45937</v>
      </c>
      <c r="D643" t="inlineStr">
        <is>
          <t>KALMAR LÄN</t>
        </is>
      </c>
      <c r="E643" t="inlineStr">
        <is>
          <t>VIMMERBY</t>
        </is>
      </c>
      <c r="G643" t="n">
        <v>2.9</v>
      </c>
      <c r="H643" t="n">
        <v>0</v>
      </c>
      <c r="I643" t="n">
        <v>0</v>
      </c>
      <c r="J643" t="n">
        <v>0</v>
      </c>
      <c r="K643" t="n">
        <v>0</v>
      </c>
      <c r="L643" t="n">
        <v>0</v>
      </c>
      <c r="M643" t="n">
        <v>0</v>
      </c>
      <c r="N643" t="n">
        <v>0</v>
      </c>
      <c r="O643" t="n">
        <v>0</v>
      </c>
      <c r="P643" t="n">
        <v>0</v>
      </c>
      <c r="Q643" t="n">
        <v>0</v>
      </c>
      <c r="R643" s="2" t="inlineStr"/>
    </row>
    <row r="644" ht="15" customHeight="1">
      <c r="A644" t="inlineStr">
        <is>
          <t>A 29168-2024</t>
        </is>
      </c>
      <c r="B644" s="1" t="n">
        <v>45482.49870370371</v>
      </c>
      <c r="C644" s="1" t="n">
        <v>45937</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29186-2024</t>
        </is>
      </c>
      <c r="B645" s="1" t="n">
        <v>45482.54844907407</v>
      </c>
      <c r="C645" s="1" t="n">
        <v>45937</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35895-2024</t>
        </is>
      </c>
      <c r="B646" s="1" t="n">
        <v>45533.38870370371</v>
      </c>
      <c r="C646" s="1" t="n">
        <v>45937</v>
      </c>
      <c r="D646" t="inlineStr">
        <is>
          <t>KALMAR LÄN</t>
        </is>
      </c>
      <c r="E646" t="inlineStr">
        <is>
          <t>VIMMERBY</t>
        </is>
      </c>
      <c r="G646" t="n">
        <v>1.4</v>
      </c>
      <c r="H646" t="n">
        <v>0</v>
      </c>
      <c r="I646" t="n">
        <v>0</v>
      </c>
      <c r="J646" t="n">
        <v>0</v>
      </c>
      <c r="K646" t="n">
        <v>0</v>
      </c>
      <c r="L646" t="n">
        <v>0</v>
      </c>
      <c r="M646" t="n">
        <v>0</v>
      </c>
      <c r="N646" t="n">
        <v>0</v>
      </c>
      <c r="O646" t="n">
        <v>0</v>
      </c>
      <c r="P646" t="n">
        <v>0</v>
      </c>
      <c r="Q646" t="n">
        <v>0</v>
      </c>
      <c r="R646" s="2" t="inlineStr"/>
    </row>
    <row r="647" ht="15" customHeight="1">
      <c r="A647" t="inlineStr">
        <is>
          <t>A 12590-2025</t>
        </is>
      </c>
      <c r="B647" s="1" t="n">
        <v>45732.79925925926</v>
      </c>
      <c r="C647" s="1" t="n">
        <v>45937</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30318-2023</t>
        </is>
      </c>
      <c r="B648" s="1" t="n">
        <v>45111.30824074074</v>
      </c>
      <c r="C648" s="1" t="n">
        <v>45937</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43186-2021</t>
        </is>
      </c>
      <c r="B649" s="1" t="n">
        <v>44431.84840277778</v>
      </c>
      <c r="C649" s="1" t="n">
        <v>45937</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60215-2022</t>
        </is>
      </c>
      <c r="B650" s="1" t="n">
        <v>44910.41346064815</v>
      </c>
      <c r="C650" s="1" t="n">
        <v>45937</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60230-2022</t>
        </is>
      </c>
      <c r="B651" s="1" t="n">
        <v>44910</v>
      </c>
      <c r="C651" s="1" t="n">
        <v>45937</v>
      </c>
      <c r="D651" t="inlineStr">
        <is>
          <t>KALMAR LÄN</t>
        </is>
      </c>
      <c r="E651" t="inlineStr">
        <is>
          <t>VIMMERBY</t>
        </is>
      </c>
      <c r="G651" t="n">
        <v>11.3</v>
      </c>
      <c r="H651" t="n">
        <v>0</v>
      </c>
      <c r="I651" t="n">
        <v>0</v>
      </c>
      <c r="J651" t="n">
        <v>0</v>
      </c>
      <c r="K651" t="n">
        <v>0</v>
      </c>
      <c r="L651" t="n">
        <v>0</v>
      </c>
      <c r="M651" t="n">
        <v>0</v>
      </c>
      <c r="N651" t="n">
        <v>0</v>
      </c>
      <c r="O651" t="n">
        <v>0</v>
      </c>
      <c r="P651" t="n">
        <v>0</v>
      </c>
      <c r="Q651" t="n">
        <v>0</v>
      </c>
      <c r="R651" s="2" t="inlineStr"/>
    </row>
    <row r="652" ht="15" customHeight="1">
      <c r="A652" t="inlineStr">
        <is>
          <t>A 5925-2022</t>
        </is>
      </c>
      <c r="B652" s="1" t="n">
        <v>44598.7384837963</v>
      </c>
      <c r="C652" s="1" t="n">
        <v>45937</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845-2023</t>
        </is>
      </c>
      <c r="B653" s="1" t="n">
        <v>44931</v>
      </c>
      <c r="C653" s="1" t="n">
        <v>45937</v>
      </c>
      <c r="D653" t="inlineStr">
        <is>
          <t>KALMAR LÄN</t>
        </is>
      </c>
      <c r="E653" t="inlineStr">
        <is>
          <t>VIMMERBY</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16119-2023</t>
        </is>
      </c>
      <c r="B654" s="1" t="n">
        <v>45027.59450231482</v>
      </c>
      <c r="C654" s="1" t="n">
        <v>45937</v>
      </c>
      <c r="D654" t="inlineStr">
        <is>
          <t>KALMAR LÄN</t>
        </is>
      </c>
      <c r="E654" t="inlineStr">
        <is>
          <t>VIMMERBY</t>
        </is>
      </c>
      <c r="F654" t="inlineStr">
        <is>
          <t>Kommuner</t>
        </is>
      </c>
      <c r="G654" t="n">
        <v>4.4</v>
      </c>
      <c r="H654" t="n">
        <v>0</v>
      </c>
      <c r="I654" t="n">
        <v>0</v>
      </c>
      <c r="J654" t="n">
        <v>0</v>
      </c>
      <c r="K654" t="n">
        <v>0</v>
      </c>
      <c r="L654" t="n">
        <v>0</v>
      </c>
      <c r="M654" t="n">
        <v>0</v>
      </c>
      <c r="N654" t="n">
        <v>0</v>
      </c>
      <c r="O654" t="n">
        <v>0</v>
      </c>
      <c r="P654" t="n">
        <v>0</v>
      </c>
      <c r="Q654" t="n">
        <v>0</v>
      </c>
      <c r="R654" s="2" t="inlineStr"/>
    </row>
    <row r="655" ht="15" customHeight="1">
      <c r="A655" t="inlineStr">
        <is>
          <t>A 3423-2022</t>
        </is>
      </c>
      <c r="B655" s="1" t="n">
        <v>44585.50431712963</v>
      </c>
      <c r="C655" s="1" t="n">
        <v>45937</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30588-2023</t>
        </is>
      </c>
      <c r="B656" s="1" t="n">
        <v>45112.33599537037</v>
      </c>
      <c r="C656" s="1" t="n">
        <v>45937</v>
      </c>
      <c r="D656" t="inlineStr">
        <is>
          <t>KALMAR LÄN</t>
        </is>
      </c>
      <c r="E656" t="inlineStr">
        <is>
          <t>VIMMERBY</t>
        </is>
      </c>
      <c r="G656" t="n">
        <v>2.7</v>
      </c>
      <c r="H656" t="n">
        <v>0</v>
      </c>
      <c r="I656" t="n">
        <v>0</v>
      </c>
      <c r="J656" t="n">
        <v>0</v>
      </c>
      <c r="K656" t="n">
        <v>0</v>
      </c>
      <c r="L656" t="n">
        <v>0</v>
      </c>
      <c r="M656" t="n">
        <v>0</v>
      </c>
      <c r="N656" t="n">
        <v>0</v>
      </c>
      <c r="O656" t="n">
        <v>0</v>
      </c>
      <c r="P656" t="n">
        <v>0</v>
      </c>
      <c r="Q656" t="n">
        <v>0</v>
      </c>
      <c r="R656" s="2" t="inlineStr"/>
    </row>
    <row r="657" ht="15" customHeight="1">
      <c r="A657" t="inlineStr">
        <is>
          <t>A 11074-2023</t>
        </is>
      </c>
      <c r="B657" s="1" t="n">
        <v>44992.34151620371</v>
      </c>
      <c r="C657" s="1" t="n">
        <v>45937</v>
      </c>
      <c r="D657" t="inlineStr">
        <is>
          <t>KALMAR LÄN</t>
        </is>
      </c>
      <c r="E657" t="inlineStr">
        <is>
          <t>VIMMERBY</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71631-2021</t>
        </is>
      </c>
      <c r="B658" s="1" t="n">
        <v>44542.90072916666</v>
      </c>
      <c r="C658" s="1" t="n">
        <v>45937</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42828-2025</t>
        </is>
      </c>
      <c r="B659" s="1" t="n">
        <v>45908.57716435185</v>
      </c>
      <c r="C659" s="1" t="n">
        <v>45937</v>
      </c>
      <c r="D659" t="inlineStr">
        <is>
          <t>KALMAR LÄN</t>
        </is>
      </c>
      <c r="E659" t="inlineStr">
        <is>
          <t>VIMMERBY</t>
        </is>
      </c>
      <c r="G659" t="n">
        <v>5.2</v>
      </c>
      <c r="H659" t="n">
        <v>0</v>
      </c>
      <c r="I659" t="n">
        <v>0</v>
      </c>
      <c r="J659" t="n">
        <v>0</v>
      </c>
      <c r="K659" t="n">
        <v>0</v>
      </c>
      <c r="L659" t="n">
        <v>0</v>
      </c>
      <c r="M659" t="n">
        <v>0</v>
      </c>
      <c r="N659" t="n">
        <v>0</v>
      </c>
      <c r="O659" t="n">
        <v>0</v>
      </c>
      <c r="P659" t="n">
        <v>0</v>
      </c>
      <c r="Q659" t="n">
        <v>0</v>
      </c>
      <c r="R659" s="2" t="inlineStr"/>
    </row>
    <row r="660" ht="15" customHeight="1">
      <c r="A660" t="inlineStr">
        <is>
          <t>A 19502-2025</t>
        </is>
      </c>
      <c r="B660" s="1" t="n">
        <v>45769</v>
      </c>
      <c r="C660" s="1" t="n">
        <v>45937</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50764-2020</t>
        </is>
      </c>
      <c r="B661" s="1" t="n">
        <v>44111</v>
      </c>
      <c r="C661" s="1" t="n">
        <v>45937</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45528-2021</t>
        </is>
      </c>
      <c r="B662" s="1" t="n">
        <v>44440.60415509259</v>
      </c>
      <c r="C662" s="1" t="n">
        <v>45937</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49039-2021</t>
        </is>
      </c>
      <c r="B663" s="1" t="n">
        <v>44453.56578703703</v>
      </c>
      <c r="C663" s="1" t="n">
        <v>45937</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42918-2021</t>
        </is>
      </c>
      <c r="B664" s="1" t="n">
        <v>44431</v>
      </c>
      <c r="C664" s="1" t="n">
        <v>45937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529-2022</t>
        </is>
      </c>
      <c r="B665" s="1" t="n">
        <v>44566</v>
      </c>
      <c r="C665" s="1" t="n">
        <v>45937</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45937</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36273-2025</t>
        </is>
      </c>
      <c r="B667" s="1" t="n">
        <v>45867.63094907408</v>
      </c>
      <c r="C667" s="1" t="n">
        <v>45937</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2510-2023</t>
        </is>
      </c>
      <c r="B668" s="1" t="n">
        <v>44943.57309027778</v>
      </c>
      <c r="C668" s="1" t="n">
        <v>45937</v>
      </c>
      <c r="D668" t="inlineStr">
        <is>
          <t>KALMAR LÄN</t>
        </is>
      </c>
      <c r="E668" t="inlineStr">
        <is>
          <t>VIMMERBY</t>
        </is>
      </c>
      <c r="G668" t="n">
        <v>8.6</v>
      </c>
      <c r="H668" t="n">
        <v>0</v>
      </c>
      <c r="I668" t="n">
        <v>0</v>
      </c>
      <c r="J668" t="n">
        <v>0</v>
      </c>
      <c r="K668" t="n">
        <v>0</v>
      </c>
      <c r="L668" t="n">
        <v>0</v>
      </c>
      <c r="M668" t="n">
        <v>0</v>
      </c>
      <c r="N668" t="n">
        <v>0</v>
      </c>
      <c r="O668" t="n">
        <v>0</v>
      </c>
      <c r="P668" t="n">
        <v>0</v>
      </c>
      <c r="Q668" t="n">
        <v>0</v>
      </c>
      <c r="R668" s="2" t="inlineStr"/>
    </row>
    <row r="669" ht="15" customHeight="1">
      <c r="A669" t="inlineStr">
        <is>
          <t>A 14855-2025</t>
        </is>
      </c>
      <c r="B669" s="1" t="n">
        <v>45743.41148148148</v>
      </c>
      <c r="C669" s="1" t="n">
        <v>45937</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36299-2025</t>
        </is>
      </c>
      <c r="B670" s="1" t="n">
        <v>45867.69346064814</v>
      </c>
      <c r="C670" s="1" t="n">
        <v>45937</v>
      </c>
      <c r="D670" t="inlineStr">
        <is>
          <t>KALMAR LÄN</t>
        </is>
      </c>
      <c r="E670" t="inlineStr">
        <is>
          <t>VIMMERBY</t>
        </is>
      </c>
      <c r="G670" t="n">
        <v>7.6</v>
      </c>
      <c r="H670" t="n">
        <v>0</v>
      </c>
      <c r="I670" t="n">
        <v>0</v>
      </c>
      <c r="J670" t="n">
        <v>0</v>
      </c>
      <c r="K670" t="n">
        <v>0</v>
      </c>
      <c r="L670" t="n">
        <v>0</v>
      </c>
      <c r="M670" t="n">
        <v>0</v>
      </c>
      <c r="N670" t="n">
        <v>0</v>
      </c>
      <c r="O670" t="n">
        <v>0</v>
      </c>
      <c r="P670" t="n">
        <v>0</v>
      </c>
      <c r="Q670" t="n">
        <v>0</v>
      </c>
      <c r="R670" s="2" t="inlineStr"/>
    </row>
    <row r="671" ht="15" customHeight="1">
      <c r="A671" t="inlineStr">
        <is>
          <t>A 60951-2023</t>
        </is>
      </c>
      <c r="B671" s="1" t="n">
        <v>45261.44914351852</v>
      </c>
      <c r="C671" s="1" t="n">
        <v>45937</v>
      </c>
      <c r="D671" t="inlineStr">
        <is>
          <t>KALMAR LÄN</t>
        </is>
      </c>
      <c r="E671" t="inlineStr">
        <is>
          <t>VIMMERBY</t>
        </is>
      </c>
      <c r="G671" t="n">
        <v>4.3</v>
      </c>
      <c r="H671" t="n">
        <v>0</v>
      </c>
      <c r="I671" t="n">
        <v>0</v>
      </c>
      <c r="J671" t="n">
        <v>0</v>
      </c>
      <c r="K671" t="n">
        <v>0</v>
      </c>
      <c r="L671" t="n">
        <v>0</v>
      </c>
      <c r="M671" t="n">
        <v>0</v>
      </c>
      <c r="N671" t="n">
        <v>0</v>
      </c>
      <c r="O671" t="n">
        <v>0</v>
      </c>
      <c r="P671" t="n">
        <v>0</v>
      </c>
      <c r="Q671" t="n">
        <v>0</v>
      </c>
      <c r="R671" s="2" t="inlineStr"/>
    </row>
    <row r="672" ht="15" customHeight="1">
      <c r="A672" t="inlineStr">
        <is>
          <t>A 19162-2023</t>
        </is>
      </c>
      <c r="B672" s="1" t="n">
        <v>45048.59699074074</v>
      </c>
      <c r="C672" s="1" t="n">
        <v>45937</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36221-2025</t>
        </is>
      </c>
      <c r="B673" s="1" t="n">
        <v>45867.50792824074</v>
      </c>
      <c r="C673" s="1" t="n">
        <v>45937</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36226-2025</t>
        </is>
      </c>
      <c r="B674" s="1" t="n">
        <v>45867.51630787037</v>
      </c>
      <c r="C674" s="1" t="n">
        <v>45937</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48373-2021</t>
        </is>
      </c>
      <c r="B675" s="1" t="n">
        <v>44451</v>
      </c>
      <c r="C675" s="1" t="n">
        <v>45937</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31209-2024</t>
        </is>
      </c>
      <c r="B676" s="1" t="n">
        <v>45503.5658912037</v>
      </c>
      <c r="C676" s="1" t="n">
        <v>45937</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7485-2024</t>
        </is>
      </c>
      <c r="B677" s="1" t="n">
        <v>45346.67184027778</v>
      </c>
      <c r="C677" s="1" t="n">
        <v>45937</v>
      </c>
      <c r="D677" t="inlineStr">
        <is>
          <t>KALMAR LÄN</t>
        </is>
      </c>
      <c r="E677" t="inlineStr">
        <is>
          <t>VIMMERBY</t>
        </is>
      </c>
      <c r="G677" t="n">
        <v>1.9</v>
      </c>
      <c r="H677" t="n">
        <v>0</v>
      </c>
      <c r="I677" t="n">
        <v>0</v>
      </c>
      <c r="J677" t="n">
        <v>0</v>
      </c>
      <c r="K677" t="n">
        <v>0</v>
      </c>
      <c r="L677" t="n">
        <v>0</v>
      </c>
      <c r="M677" t="n">
        <v>0</v>
      </c>
      <c r="N677" t="n">
        <v>0</v>
      </c>
      <c r="O677" t="n">
        <v>0</v>
      </c>
      <c r="P677" t="n">
        <v>0</v>
      </c>
      <c r="Q677" t="n">
        <v>0</v>
      </c>
      <c r="R677" s="2" t="inlineStr"/>
    </row>
    <row r="678" ht="15" customHeight="1">
      <c r="A678" t="inlineStr">
        <is>
          <t>A 36297-2025</t>
        </is>
      </c>
      <c r="B678" s="1" t="n">
        <v>45867.68625</v>
      </c>
      <c r="C678" s="1" t="n">
        <v>45937</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36246-2025</t>
        </is>
      </c>
      <c r="B679" s="1" t="n">
        <v>45867.56320601852</v>
      </c>
      <c r="C679" s="1" t="n">
        <v>45937</v>
      </c>
      <c r="D679" t="inlineStr">
        <is>
          <t>KALMAR LÄN</t>
        </is>
      </c>
      <c r="E679" t="inlineStr">
        <is>
          <t>VIMMERBY</t>
        </is>
      </c>
      <c r="G679" t="n">
        <v>1</v>
      </c>
      <c r="H679" t="n">
        <v>0</v>
      </c>
      <c r="I679" t="n">
        <v>0</v>
      </c>
      <c r="J679" t="n">
        <v>0</v>
      </c>
      <c r="K679" t="n">
        <v>0</v>
      </c>
      <c r="L679" t="n">
        <v>0</v>
      </c>
      <c r="M679" t="n">
        <v>0</v>
      </c>
      <c r="N679" t="n">
        <v>0</v>
      </c>
      <c r="O679" t="n">
        <v>0</v>
      </c>
      <c r="P679" t="n">
        <v>0</v>
      </c>
      <c r="Q679" t="n">
        <v>0</v>
      </c>
      <c r="R679" s="2" t="inlineStr"/>
    </row>
    <row r="680" ht="15" customHeight="1">
      <c r="A680" t="inlineStr">
        <is>
          <t>A 36282-2025</t>
        </is>
      </c>
      <c r="B680" s="1" t="n">
        <v>45867.64663194444</v>
      </c>
      <c r="C680" s="1" t="n">
        <v>45937</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5864-2022</t>
        </is>
      </c>
      <c r="B681" s="1" t="n">
        <v>44596</v>
      </c>
      <c r="C681" s="1" t="n">
        <v>45937</v>
      </c>
      <c r="D681" t="inlineStr">
        <is>
          <t>KALMAR LÄN</t>
        </is>
      </c>
      <c r="E681" t="inlineStr">
        <is>
          <t>VIMMERBY</t>
        </is>
      </c>
      <c r="G681" t="n">
        <v>0.7</v>
      </c>
      <c r="H681" t="n">
        <v>0</v>
      </c>
      <c r="I681" t="n">
        <v>0</v>
      </c>
      <c r="J681" t="n">
        <v>0</v>
      </c>
      <c r="K681" t="n">
        <v>0</v>
      </c>
      <c r="L681" t="n">
        <v>0</v>
      </c>
      <c r="M681" t="n">
        <v>0</v>
      </c>
      <c r="N681" t="n">
        <v>0</v>
      </c>
      <c r="O681" t="n">
        <v>0</v>
      </c>
      <c r="P681" t="n">
        <v>0</v>
      </c>
      <c r="Q681" t="n">
        <v>0</v>
      </c>
      <c r="R681" s="2" t="inlineStr"/>
    </row>
    <row r="682" ht="15" customHeight="1">
      <c r="A682" t="inlineStr">
        <is>
          <t>A 42794-2025</t>
        </is>
      </c>
      <c r="B682" s="1" t="n">
        <v>45908</v>
      </c>
      <c r="C682" s="1" t="n">
        <v>45937</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36538-2025</t>
        </is>
      </c>
      <c r="B683" s="1" t="n">
        <v>45869.62276620371</v>
      </c>
      <c r="C683" s="1" t="n">
        <v>45937</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6574-2023</t>
        </is>
      </c>
      <c r="B684" s="1" t="n">
        <v>44966</v>
      </c>
      <c r="C684" s="1" t="n">
        <v>45937</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3938-2023</t>
        </is>
      </c>
      <c r="B685" s="1" t="n">
        <v>44952.35775462963</v>
      </c>
      <c r="C685" s="1" t="n">
        <v>45937</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20054-2023</t>
        </is>
      </c>
      <c r="B686" s="1" t="n">
        <v>45054.6750462963</v>
      </c>
      <c r="C686" s="1" t="n">
        <v>45937</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43465-2025</t>
        </is>
      </c>
      <c r="B687" s="1" t="n">
        <v>45911.47138888889</v>
      </c>
      <c r="C687" s="1" t="n">
        <v>45937</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36598-2025</t>
        </is>
      </c>
      <c r="B688" s="1" t="n">
        <v>45870.51708333333</v>
      </c>
      <c r="C688" s="1" t="n">
        <v>45937</v>
      </c>
      <c r="D688" t="inlineStr">
        <is>
          <t>KALMAR LÄN</t>
        </is>
      </c>
      <c r="E688" t="inlineStr">
        <is>
          <t>VIMMERBY</t>
        </is>
      </c>
      <c r="G688" t="n">
        <v>3.7</v>
      </c>
      <c r="H688" t="n">
        <v>0</v>
      </c>
      <c r="I688" t="n">
        <v>0</v>
      </c>
      <c r="J688" t="n">
        <v>0</v>
      </c>
      <c r="K688" t="n">
        <v>0</v>
      </c>
      <c r="L688" t="n">
        <v>0</v>
      </c>
      <c r="M688" t="n">
        <v>0</v>
      </c>
      <c r="N688" t="n">
        <v>0</v>
      </c>
      <c r="O688" t="n">
        <v>0</v>
      </c>
      <c r="P688" t="n">
        <v>0</v>
      </c>
      <c r="Q688" t="n">
        <v>0</v>
      </c>
      <c r="R688" s="2" t="inlineStr"/>
    </row>
    <row r="689" ht="15" customHeight="1">
      <c r="A689" t="inlineStr">
        <is>
          <t>A 36602-2025</t>
        </is>
      </c>
      <c r="B689" s="1" t="n">
        <v>45870.52111111111</v>
      </c>
      <c r="C689" s="1" t="n">
        <v>45937</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58750-2022</t>
        </is>
      </c>
      <c r="B690" s="1" t="n">
        <v>44903.33363425926</v>
      </c>
      <c r="C690" s="1" t="n">
        <v>45937</v>
      </c>
      <c r="D690" t="inlineStr">
        <is>
          <t>KALMAR LÄN</t>
        </is>
      </c>
      <c r="E690" t="inlineStr">
        <is>
          <t>VIMMERBY</t>
        </is>
      </c>
      <c r="G690" t="n">
        <v>3.3</v>
      </c>
      <c r="H690" t="n">
        <v>0</v>
      </c>
      <c r="I690" t="n">
        <v>0</v>
      </c>
      <c r="J690" t="n">
        <v>0</v>
      </c>
      <c r="K690" t="n">
        <v>0</v>
      </c>
      <c r="L690" t="n">
        <v>0</v>
      </c>
      <c r="M690" t="n">
        <v>0</v>
      </c>
      <c r="N690" t="n">
        <v>0</v>
      </c>
      <c r="O690" t="n">
        <v>0</v>
      </c>
      <c r="P690" t="n">
        <v>0</v>
      </c>
      <c r="Q690" t="n">
        <v>0</v>
      </c>
      <c r="R690" s="2" t="inlineStr"/>
    </row>
    <row r="691" ht="15" customHeight="1">
      <c r="A691" t="inlineStr">
        <is>
          <t>A 26937-2023</t>
        </is>
      </c>
      <c r="B691" s="1" t="n">
        <v>45093.62777777778</v>
      </c>
      <c r="C691" s="1" t="n">
        <v>45937</v>
      </c>
      <c r="D691" t="inlineStr">
        <is>
          <t>KALMAR LÄN</t>
        </is>
      </c>
      <c r="E691" t="inlineStr">
        <is>
          <t>VIMMERBY</t>
        </is>
      </c>
      <c r="F691" t="inlineStr">
        <is>
          <t>Sveaskog</t>
        </is>
      </c>
      <c r="G691" t="n">
        <v>14.5</v>
      </c>
      <c r="H691" t="n">
        <v>0</v>
      </c>
      <c r="I691" t="n">
        <v>0</v>
      </c>
      <c r="J691" t="n">
        <v>0</v>
      </c>
      <c r="K691" t="n">
        <v>0</v>
      </c>
      <c r="L691" t="n">
        <v>0</v>
      </c>
      <c r="M691" t="n">
        <v>0</v>
      </c>
      <c r="N691" t="n">
        <v>0</v>
      </c>
      <c r="O691" t="n">
        <v>0</v>
      </c>
      <c r="P691" t="n">
        <v>0</v>
      </c>
      <c r="Q691" t="n">
        <v>0</v>
      </c>
      <c r="R691" s="2" t="inlineStr"/>
    </row>
    <row r="692" ht="15" customHeight="1">
      <c r="A692" t="inlineStr">
        <is>
          <t>A 43617-2025</t>
        </is>
      </c>
      <c r="B692" s="1" t="n">
        <v>45911.67798611111</v>
      </c>
      <c r="C692" s="1" t="n">
        <v>45937</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34090-2025</t>
        </is>
      </c>
      <c r="B693" s="1" t="n">
        <v>45845</v>
      </c>
      <c r="C693" s="1" t="n">
        <v>45937</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50085-2023</t>
        </is>
      </c>
      <c r="B694" s="1" t="n">
        <v>45215.5959375</v>
      </c>
      <c r="C694" s="1" t="n">
        <v>45937</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36600-2025</t>
        </is>
      </c>
      <c r="B695" s="1" t="n">
        <v>45870.51958333333</v>
      </c>
      <c r="C695" s="1" t="n">
        <v>45937</v>
      </c>
      <c r="D695" t="inlineStr">
        <is>
          <t>KALMAR LÄN</t>
        </is>
      </c>
      <c r="E695" t="inlineStr">
        <is>
          <t>VIMMERBY</t>
        </is>
      </c>
      <c r="G695" t="n">
        <v>2</v>
      </c>
      <c r="H695" t="n">
        <v>0</v>
      </c>
      <c r="I695" t="n">
        <v>0</v>
      </c>
      <c r="J695" t="n">
        <v>0</v>
      </c>
      <c r="K695" t="n">
        <v>0</v>
      </c>
      <c r="L695" t="n">
        <v>0</v>
      </c>
      <c r="M695" t="n">
        <v>0</v>
      </c>
      <c r="N695" t="n">
        <v>0</v>
      </c>
      <c r="O695" t="n">
        <v>0</v>
      </c>
      <c r="P695" t="n">
        <v>0</v>
      </c>
      <c r="Q695" t="n">
        <v>0</v>
      </c>
      <c r="R695" s="2" t="inlineStr"/>
    </row>
    <row r="696" ht="15" customHeight="1">
      <c r="A696" t="inlineStr">
        <is>
          <t>A 36601-2025</t>
        </is>
      </c>
      <c r="B696" s="1" t="n">
        <v>45870.52005787037</v>
      </c>
      <c r="C696" s="1" t="n">
        <v>45937</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36603-2025</t>
        </is>
      </c>
      <c r="B697" s="1" t="n">
        <v>45870.52142361111</v>
      </c>
      <c r="C697" s="1" t="n">
        <v>45937</v>
      </c>
      <c r="D697" t="inlineStr">
        <is>
          <t>KALMAR LÄN</t>
        </is>
      </c>
      <c r="E697" t="inlineStr">
        <is>
          <t>VIMMERBY</t>
        </is>
      </c>
      <c r="G697" t="n">
        <v>1.6</v>
      </c>
      <c r="H697" t="n">
        <v>0</v>
      </c>
      <c r="I697" t="n">
        <v>0</v>
      </c>
      <c r="J697" t="n">
        <v>0</v>
      </c>
      <c r="K697" t="n">
        <v>0</v>
      </c>
      <c r="L697" t="n">
        <v>0</v>
      </c>
      <c r="M697" t="n">
        <v>0</v>
      </c>
      <c r="N697" t="n">
        <v>0</v>
      </c>
      <c r="O697" t="n">
        <v>0</v>
      </c>
      <c r="P697" t="n">
        <v>0</v>
      </c>
      <c r="Q697" t="n">
        <v>0</v>
      </c>
      <c r="R697" s="2" t="inlineStr"/>
    </row>
    <row r="698" ht="15" customHeight="1">
      <c r="A698" t="inlineStr">
        <is>
          <t>A 11219-2023</t>
        </is>
      </c>
      <c r="B698" s="1" t="n">
        <v>44992.62498842592</v>
      </c>
      <c r="C698" s="1" t="n">
        <v>45937</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2260-2022</t>
        </is>
      </c>
      <c r="B699" s="1" t="n">
        <v>44578.62943287037</v>
      </c>
      <c r="C699" s="1" t="n">
        <v>45937</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50860-2022</t>
        </is>
      </c>
      <c r="B700" s="1" t="n">
        <v>44867</v>
      </c>
      <c r="C700" s="1" t="n">
        <v>45937</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53483-2022</t>
        </is>
      </c>
      <c r="B701" s="1" t="n">
        <v>44879.55940972222</v>
      </c>
      <c r="C701" s="1" t="n">
        <v>45937</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58962-2022</t>
        </is>
      </c>
      <c r="B702" s="1" t="n">
        <v>44903</v>
      </c>
      <c r="C702" s="1" t="n">
        <v>45937</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58967-2022</t>
        </is>
      </c>
      <c r="B703" s="1" t="n">
        <v>44896</v>
      </c>
      <c r="C703" s="1" t="n">
        <v>45937</v>
      </c>
      <c r="D703" t="inlineStr">
        <is>
          <t>KALMAR LÄN</t>
        </is>
      </c>
      <c r="E703" t="inlineStr">
        <is>
          <t>VIMMERBY</t>
        </is>
      </c>
      <c r="G703" t="n">
        <v>5</v>
      </c>
      <c r="H703" t="n">
        <v>0</v>
      </c>
      <c r="I703" t="n">
        <v>0</v>
      </c>
      <c r="J703" t="n">
        <v>0</v>
      </c>
      <c r="K703" t="n">
        <v>0</v>
      </c>
      <c r="L703" t="n">
        <v>0</v>
      </c>
      <c r="M703" t="n">
        <v>0</v>
      </c>
      <c r="N703" t="n">
        <v>0</v>
      </c>
      <c r="O703" t="n">
        <v>0</v>
      </c>
      <c r="P703" t="n">
        <v>0</v>
      </c>
      <c r="Q703" t="n">
        <v>0</v>
      </c>
      <c r="R703" s="2" t="inlineStr"/>
    </row>
    <row r="704" ht="15" customHeight="1">
      <c r="A704" t="inlineStr">
        <is>
          <t>A 57682-2022</t>
        </is>
      </c>
      <c r="B704" s="1" t="n">
        <v>44890</v>
      </c>
      <c r="C704" s="1" t="n">
        <v>45937</v>
      </c>
      <c r="D704" t="inlineStr">
        <is>
          <t>KALMAR LÄN</t>
        </is>
      </c>
      <c r="E704" t="inlineStr">
        <is>
          <t>VIMMERBY</t>
        </is>
      </c>
      <c r="G704" t="n">
        <v>1.5</v>
      </c>
      <c r="H704" t="n">
        <v>0</v>
      </c>
      <c r="I704" t="n">
        <v>0</v>
      </c>
      <c r="J704" t="n">
        <v>0</v>
      </c>
      <c r="K704" t="n">
        <v>0</v>
      </c>
      <c r="L704" t="n">
        <v>0</v>
      </c>
      <c r="M704" t="n">
        <v>0</v>
      </c>
      <c r="N704" t="n">
        <v>0</v>
      </c>
      <c r="O704" t="n">
        <v>0</v>
      </c>
      <c r="P704" t="n">
        <v>0</v>
      </c>
      <c r="Q704" t="n">
        <v>0</v>
      </c>
      <c r="R704" s="2" t="inlineStr"/>
    </row>
    <row r="705" ht="15" customHeight="1">
      <c r="A705" t="inlineStr">
        <is>
          <t>A 44329-2025</t>
        </is>
      </c>
      <c r="B705" s="1" t="n">
        <v>45916.41019675926</v>
      </c>
      <c r="C705" s="1" t="n">
        <v>45937</v>
      </c>
      <c r="D705" t="inlineStr">
        <is>
          <t>KALMAR LÄN</t>
        </is>
      </c>
      <c r="E705" t="inlineStr">
        <is>
          <t>VIMMERBY</t>
        </is>
      </c>
      <c r="G705" t="n">
        <v>4.3</v>
      </c>
      <c r="H705" t="n">
        <v>0</v>
      </c>
      <c r="I705" t="n">
        <v>0</v>
      </c>
      <c r="J705" t="n">
        <v>0</v>
      </c>
      <c r="K705" t="n">
        <v>0</v>
      </c>
      <c r="L705" t="n">
        <v>0</v>
      </c>
      <c r="M705" t="n">
        <v>0</v>
      </c>
      <c r="N705" t="n">
        <v>0</v>
      </c>
      <c r="O705" t="n">
        <v>0</v>
      </c>
      <c r="P705" t="n">
        <v>0</v>
      </c>
      <c r="Q705" t="n">
        <v>0</v>
      </c>
      <c r="R705" s="2" t="inlineStr"/>
    </row>
    <row r="706" ht="15" customHeight="1">
      <c r="A706" t="inlineStr">
        <is>
          <t>A 6850-2023</t>
        </is>
      </c>
      <c r="B706" s="1" t="n">
        <v>44967.44255787037</v>
      </c>
      <c r="C706" s="1" t="n">
        <v>45937</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6358-2022</t>
        </is>
      </c>
      <c r="B707" s="1" t="n">
        <v>44600</v>
      </c>
      <c r="C707" s="1" t="n">
        <v>45937</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4076-2022</t>
        </is>
      </c>
      <c r="B708" s="1" t="n">
        <v>44588.37998842593</v>
      </c>
      <c r="C708" s="1" t="n">
        <v>45937</v>
      </c>
      <c r="D708" t="inlineStr">
        <is>
          <t>KALMAR LÄN</t>
        </is>
      </c>
      <c r="E708" t="inlineStr">
        <is>
          <t>VIMMERBY</t>
        </is>
      </c>
      <c r="G708" t="n">
        <v>3</v>
      </c>
      <c r="H708" t="n">
        <v>0</v>
      </c>
      <c r="I708" t="n">
        <v>0</v>
      </c>
      <c r="J708" t="n">
        <v>0</v>
      </c>
      <c r="K708" t="n">
        <v>0</v>
      </c>
      <c r="L708" t="n">
        <v>0</v>
      </c>
      <c r="M708" t="n">
        <v>0</v>
      </c>
      <c r="N708" t="n">
        <v>0</v>
      </c>
      <c r="O708" t="n">
        <v>0</v>
      </c>
      <c r="P708" t="n">
        <v>0</v>
      </c>
      <c r="Q708" t="n">
        <v>0</v>
      </c>
      <c r="R708" s="2" t="inlineStr"/>
    </row>
    <row r="709" ht="15" customHeight="1">
      <c r="A709" t="inlineStr">
        <is>
          <t>A 4122-2022</t>
        </is>
      </c>
      <c r="B709" s="1" t="n">
        <v>44588</v>
      </c>
      <c r="C709" s="1" t="n">
        <v>45937</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44517-2025</t>
        </is>
      </c>
      <c r="B710" s="1" t="n">
        <v>45916.7103587963</v>
      </c>
      <c r="C710" s="1" t="n">
        <v>45937</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65961-2020</t>
        </is>
      </c>
      <c r="B711" s="1" t="n">
        <v>44175.39748842592</v>
      </c>
      <c r="C711" s="1" t="n">
        <v>45937</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43853-2023</t>
        </is>
      </c>
      <c r="B712" s="1" t="n">
        <v>45187.60813657408</v>
      </c>
      <c r="C712" s="1" t="n">
        <v>45937</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7075-2021</t>
        </is>
      </c>
      <c r="B713" s="1" t="n">
        <v>44237</v>
      </c>
      <c r="C713" s="1" t="n">
        <v>45937</v>
      </c>
      <c r="D713" t="inlineStr">
        <is>
          <t>KALMAR LÄN</t>
        </is>
      </c>
      <c r="E713" t="inlineStr">
        <is>
          <t>VIMMERBY</t>
        </is>
      </c>
      <c r="G713" t="n">
        <v>3.6</v>
      </c>
      <c r="H713" t="n">
        <v>0</v>
      </c>
      <c r="I713" t="n">
        <v>0</v>
      </c>
      <c r="J713" t="n">
        <v>0</v>
      </c>
      <c r="K713" t="n">
        <v>0</v>
      </c>
      <c r="L713" t="n">
        <v>0</v>
      </c>
      <c r="M713" t="n">
        <v>0</v>
      </c>
      <c r="N713" t="n">
        <v>0</v>
      </c>
      <c r="O713" t="n">
        <v>0</v>
      </c>
      <c r="P713" t="n">
        <v>0</v>
      </c>
      <c r="Q713" t="n">
        <v>0</v>
      </c>
      <c r="R713" s="2" t="inlineStr"/>
    </row>
    <row r="714" ht="15" customHeight="1">
      <c r="A714" t="inlineStr">
        <is>
          <t>A 36934-2025</t>
        </is>
      </c>
      <c r="B714" s="1" t="n">
        <v>45874.57109953704</v>
      </c>
      <c r="C714" s="1" t="n">
        <v>45937</v>
      </c>
      <c r="D714" t="inlineStr">
        <is>
          <t>KALMAR LÄN</t>
        </is>
      </c>
      <c r="E714" t="inlineStr">
        <is>
          <t>VIMMERBY</t>
        </is>
      </c>
      <c r="G714" t="n">
        <v>4.2</v>
      </c>
      <c r="H714" t="n">
        <v>0</v>
      </c>
      <c r="I714" t="n">
        <v>0</v>
      </c>
      <c r="J714" t="n">
        <v>0</v>
      </c>
      <c r="K714" t="n">
        <v>0</v>
      </c>
      <c r="L714" t="n">
        <v>0</v>
      </c>
      <c r="M714" t="n">
        <v>0</v>
      </c>
      <c r="N714" t="n">
        <v>0</v>
      </c>
      <c r="O714" t="n">
        <v>0</v>
      </c>
      <c r="P714" t="n">
        <v>0</v>
      </c>
      <c r="Q714" t="n">
        <v>0</v>
      </c>
      <c r="R714" s="2" t="inlineStr"/>
    </row>
    <row r="715" ht="15" customHeight="1">
      <c r="A715" t="inlineStr">
        <is>
          <t>A 44091-2025</t>
        </is>
      </c>
      <c r="B715" s="1" t="n">
        <v>45915.55950231481</v>
      </c>
      <c r="C715" s="1" t="n">
        <v>45937</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48673-2021</t>
        </is>
      </c>
      <c r="B716" s="1" t="n">
        <v>44452</v>
      </c>
      <c r="C716" s="1" t="n">
        <v>45937</v>
      </c>
      <c r="D716" t="inlineStr">
        <is>
          <t>KALMAR LÄN</t>
        </is>
      </c>
      <c r="E716" t="inlineStr">
        <is>
          <t>VIMMERBY</t>
        </is>
      </c>
      <c r="G716" t="n">
        <v>1.3</v>
      </c>
      <c r="H716" t="n">
        <v>0</v>
      </c>
      <c r="I716" t="n">
        <v>0</v>
      </c>
      <c r="J716" t="n">
        <v>0</v>
      </c>
      <c r="K716" t="n">
        <v>0</v>
      </c>
      <c r="L716" t="n">
        <v>0</v>
      </c>
      <c r="M716" t="n">
        <v>0</v>
      </c>
      <c r="N716" t="n">
        <v>0</v>
      </c>
      <c r="O716" t="n">
        <v>0</v>
      </c>
      <c r="P716" t="n">
        <v>0</v>
      </c>
      <c r="Q716" t="n">
        <v>0</v>
      </c>
      <c r="R716" s="2" t="inlineStr"/>
    </row>
    <row r="717" ht="15" customHeight="1">
      <c r="A717" t="inlineStr">
        <is>
          <t>A 44095-2025</t>
        </is>
      </c>
      <c r="B717" s="1" t="n">
        <v>45915.56430555556</v>
      </c>
      <c r="C717" s="1" t="n">
        <v>45937</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9624-2024</t>
        </is>
      </c>
      <c r="B718" s="1" t="n">
        <v>45361.90282407407</v>
      </c>
      <c r="C718" s="1" t="n">
        <v>45937</v>
      </c>
      <c r="D718" t="inlineStr">
        <is>
          <t>KALMAR LÄN</t>
        </is>
      </c>
      <c r="E718" t="inlineStr">
        <is>
          <t>VIMMERBY</t>
        </is>
      </c>
      <c r="G718" t="n">
        <v>3.8</v>
      </c>
      <c r="H718" t="n">
        <v>0</v>
      </c>
      <c r="I718" t="n">
        <v>0</v>
      </c>
      <c r="J718" t="n">
        <v>0</v>
      </c>
      <c r="K718" t="n">
        <v>0</v>
      </c>
      <c r="L718" t="n">
        <v>0</v>
      </c>
      <c r="M718" t="n">
        <v>0</v>
      </c>
      <c r="N718" t="n">
        <v>0</v>
      </c>
      <c r="O718" t="n">
        <v>0</v>
      </c>
      <c r="P718" t="n">
        <v>0</v>
      </c>
      <c r="Q718" t="n">
        <v>0</v>
      </c>
      <c r="R718" s="2" t="inlineStr"/>
    </row>
    <row r="719" ht="15" customHeight="1">
      <c r="A719" t="inlineStr">
        <is>
          <t>A 52327-2023</t>
        </is>
      </c>
      <c r="B719" s="1" t="n">
        <v>45224.6515162037</v>
      </c>
      <c r="C719" s="1" t="n">
        <v>45937</v>
      </c>
      <c r="D719" t="inlineStr">
        <is>
          <t>KALMAR LÄN</t>
        </is>
      </c>
      <c r="E719" t="inlineStr">
        <is>
          <t>VIMMERBY</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14137-2023</t>
        </is>
      </c>
      <c r="B720" s="1" t="n">
        <v>45009.4671875</v>
      </c>
      <c r="C720" s="1" t="n">
        <v>45937</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7630-2025</t>
        </is>
      </c>
      <c r="B721" s="1" t="n">
        <v>45705.74418981482</v>
      </c>
      <c r="C721" s="1" t="n">
        <v>45937</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29616-2022</t>
        </is>
      </c>
      <c r="B722" s="1" t="n">
        <v>44754</v>
      </c>
      <c r="C722" s="1" t="n">
        <v>45937</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29348-2023</t>
        </is>
      </c>
      <c r="B723" s="1" t="n">
        <v>45106.25025462963</v>
      </c>
      <c r="C723" s="1" t="n">
        <v>45937</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37088-2025</t>
        </is>
      </c>
      <c r="B724" s="1" t="n">
        <v>45875.45716435185</v>
      </c>
      <c r="C724" s="1" t="n">
        <v>45937</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37102-2025</t>
        </is>
      </c>
      <c r="B725" s="1" t="n">
        <v>45875.47454861111</v>
      </c>
      <c r="C725" s="1" t="n">
        <v>45937</v>
      </c>
      <c r="D725" t="inlineStr">
        <is>
          <t>KALMAR LÄN</t>
        </is>
      </c>
      <c r="E725" t="inlineStr">
        <is>
          <t>VIMMERBY</t>
        </is>
      </c>
      <c r="G725" t="n">
        <v>1.3</v>
      </c>
      <c r="H725" t="n">
        <v>0</v>
      </c>
      <c r="I725" t="n">
        <v>0</v>
      </c>
      <c r="J725" t="n">
        <v>0</v>
      </c>
      <c r="K725" t="n">
        <v>0</v>
      </c>
      <c r="L725" t="n">
        <v>0</v>
      </c>
      <c r="M725" t="n">
        <v>0</v>
      </c>
      <c r="N725" t="n">
        <v>0</v>
      </c>
      <c r="O725" t="n">
        <v>0</v>
      </c>
      <c r="P725" t="n">
        <v>0</v>
      </c>
      <c r="Q725" t="n">
        <v>0</v>
      </c>
      <c r="R725" s="2" t="inlineStr"/>
    </row>
    <row r="726" ht="15" customHeight="1">
      <c r="A726" t="inlineStr">
        <is>
          <t>A 28403-2023</t>
        </is>
      </c>
      <c r="B726" s="1" t="n">
        <v>45100.85270833333</v>
      </c>
      <c r="C726" s="1" t="n">
        <v>45937</v>
      </c>
      <c r="D726" t="inlineStr">
        <is>
          <t>KALMAR LÄN</t>
        </is>
      </c>
      <c r="E726" t="inlineStr">
        <is>
          <t>VIMMERBY</t>
        </is>
      </c>
      <c r="G726" t="n">
        <v>1.8</v>
      </c>
      <c r="H726" t="n">
        <v>0</v>
      </c>
      <c r="I726" t="n">
        <v>0</v>
      </c>
      <c r="J726" t="n">
        <v>0</v>
      </c>
      <c r="K726" t="n">
        <v>0</v>
      </c>
      <c r="L726" t="n">
        <v>0</v>
      </c>
      <c r="M726" t="n">
        <v>0</v>
      </c>
      <c r="N726" t="n">
        <v>0</v>
      </c>
      <c r="O726" t="n">
        <v>0</v>
      </c>
      <c r="P726" t="n">
        <v>0</v>
      </c>
      <c r="Q726" t="n">
        <v>0</v>
      </c>
      <c r="R726" s="2" t="inlineStr"/>
    </row>
    <row r="727" ht="15" customHeight="1">
      <c r="A727" t="inlineStr">
        <is>
          <t>A 38780-2021</t>
        </is>
      </c>
      <c r="B727" s="1" t="n">
        <v>44410</v>
      </c>
      <c r="C727" s="1" t="n">
        <v>45937</v>
      </c>
      <c r="D727" t="inlineStr">
        <is>
          <t>KALMAR LÄN</t>
        </is>
      </c>
      <c r="E727" t="inlineStr">
        <is>
          <t>VIMMERBY</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30503-2023</t>
        </is>
      </c>
      <c r="B728" s="1" t="n">
        <v>45111</v>
      </c>
      <c r="C728" s="1" t="n">
        <v>45937</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17511-2024</t>
        </is>
      </c>
      <c r="B729" s="1" t="n">
        <v>45415.57682870371</v>
      </c>
      <c r="C729" s="1" t="n">
        <v>45937</v>
      </c>
      <c r="D729" t="inlineStr">
        <is>
          <t>KALMAR LÄN</t>
        </is>
      </c>
      <c r="E729" t="inlineStr">
        <is>
          <t>VIMMERBY</t>
        </is>
      </c>
      <c r="G729" t="n">
        <v>5.3</v>
      </c>
      <c r="H729" t="n">
        <v>0</v>
      </c>
      <c r="I729" t="n">
        <v>0</v>
      </c>
      <c r="J729" t="n">
        <v>0</v>
      </c>
      <c r="K729" t="n">
        <v>0</v>
      </c>
      <c r="L729" t="n">
        <v>0</v>
      </c>
      <c r="M729" t="n">
        <v>0</v>
      </c>
      <c r="N729" t="n">
        <v>0</v>
      </c>
      <c r="O729" t="n">
        <v>0</v>
      </c>
      <c r="P729" t="n">
        <v>0</v>
      </c>
      <c r="Q729" t="n">
        <v>0</v>
      </c>
      <c r="R729" s="2" t="inlineStr"/>
    </row>
    <row r="730" ht="15" customHeight="1">
      <c r="A730" t="inlineStr">
        <is>
          <t>A 66022-2021</t>
        </is>
      </c>
      <c r="B730" s="1" t="n">
        <v>44517</v>
      </c>
      <c r="C730" s="1" t="n">
        <v>45937</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45937</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29973-2023</t>
        </is>
      </c>
      <c r="B732" s="1" t="n">
        <v>45108.703125</v>
      </c>
      <c r="C732" s="1" t="n">
        <v>45937</v>
      </c>
      <c r="D732" t="inlineStr">
        <is>
          <t>KALMAR LÄN</t>
        </is>
      </c>
      <c r="E732" t="inlineStr">
        <is>
          <t>VIMMERBY</t>
        </is>
      </c>
      <c r="G732" t="n">
        <v>4</v>
      </c>
      <c r="H732" t="n">
        <v>0</v>
      </c>
      <c r="I732" t="n">
        <v>0</v>
      </c>
      <c r="J732" t="n">
        <v>0</v>
      </c>
      <c r="K732" t="n">
        <v>0</v>
      </c>
      <c r="L732" t="n">
        <v>0</v>
      </c>
      <c r="M732" t="n">
        <v>0</v>
      </c>
      <c r="N732" t="n">
        <v>0</v>
      </c>
      <c r="O732" t="n">
        <v>0</v>
      </c>
      <c r="P732" t="n">
        <v>0</v>
      </c>
      <c r="Q732" t="n">
        <v>0</v>
      </c>
      <c r="R732" s="2" t="inlineStr"/>
    </row>
    <row r="733" ht="15" customHeight="1">
      <c r="A733" t="inlineStr">
        <is>
          <t>A 59300-2024</t>
        </is>
      </c>
      <c r="B733" s="1" t="n">
        <v>45637.66542824074</v>
      </c>
      <c r="C733" s="1" t="n">
        <v>45937</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30070-2023</t>
        </is>
      </c>
      <c r="B734" s="1" t="n">
        <v>45110.4275</v>
      </c>
      <c r="C734" s="1" t="n">
        <v>45937</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37079-2025</t>
        </is>
      </c>
      <c r="B735" s="1" t="n">
        <v>45875.42716435185</v>
      </c>
      <c r="C735" s="1" t="n">
        <v>45937</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44742-2025</t>
        </is>
      </c>
      <c r="B736" s="1" t="n">
        <v>45917.67054398148</v>
      </c>
      <c r="C736" s="1" t="n">
        <v>45937</v>
      </c>
      <c r="D736" t="inlineStr">
        <is>
          <t>KALMAR LÄN</t>
        </is>
      </c>
      <c r="E736" t="inlineStr">
        <is>
          <t>VIMMERBY</t>
        </is>
      </c>
      <c r="G736" t="n">
        <v>4.7</v>
      </c>
      <c r="H736" t="n">
        <v>0</v>
      </c>
      <c r="I736" t="n">
        <v>0</v>
      </c>
      <c r="J736" t="n">
        <v>0</v>
      </c>
      <c r="K736" t="n">
        <v>0</v>
      </c>
      <c r="L736" t="n">
        <v>0</v>
      </c>
      <c r="M736" t="n">
        <v>0</v>
      </c>
      <c r="N736" t="n">
        <v>0</v>
      </c>
      <c r="O736" t="n">
        <v>0</v>
      </c>
      <c r="P736" t="n">
        <v>0</v>
      </c>
      <c r="Q736" t="n">
        <v>0</v>
      </c>
      <c r="R736" s="2" t="inlineStr"/>
    </row>
    <row r="737" ht="15" customHeight="1">
      <c r="A737" t="inlineStr">
        <is>
          <t>A 45114-2025</t>
        </is>
      </c>
      <c r="B737" s="1" t="n">
        <v>45919.42387731482</v>
      </c>
      <c r="C737" s="1" t="n">
        <v>45937</v>
      </c>
      <c r="D737" t="inlineStr">
        <is>
          <t>KALMAR LÄN</t>
        </is>
      </c>
      <c r="E737" t="inlineStr">
        <is>
          <t>VIMMERBY</t>
        </is>
      </c>
      <c r="G737" t="n">
        <v>2.7</v>
      </c>
      <c r="H737" t="n">
        <v>0</v>
      </c>
      <c r="I737" t="n">
        <v>0</v>
      </c>
      <c r="J737" t="n">
        <v>0</v>
      </c>
      <c r="K737" t="n">
        <v>0</v>
      </c>
      <c r="L737" t="n">
        <v>0</v>
      </c>
      <c r="M737" t="n">
        <v>0</v>
      </c>
      <c r="N737" t="n">
        <v>0</v>
      </c>
      <c r="O737" t="n">
        <v>0</v>
      </c>
      <c r="P737" t="n">
        <v>0</v>
      </c>
      <c r="Q737" t="n">
        <v>0</v>
      </c>
      <c r="R737" s="2" t="inlineStr"/>
    </row>
    <row r="738" ht="15" customHeight="1">
      <c r="A738" t="inlineStr">
        <is>
          <t>A 45320-2025</t>
        </is>
      </c>
      <c r="B738" s="1" t="n">
        <v>45921.96395833333</v>
      </c>
      <c r="C738" s="1" t="n">
        <v>45937</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46078-2023</t>
        </is>
      </c>
      <c r="B739" s="1" t="n">
        <v>45196</v>
      </c>
      <c r="C739" s="1" t="n">
        <v>45937</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19445-2021</t>
        </is>
      </c>
      <c r="B740" s="1" t="n">
        <v>44310</v>
      </c>
      <c r="C740" s="1" t="n">
        <v>45937</v>
      </c>
      <c r="D740" t="inlineStr">
        <is>
          <t>KALMAR LÄN</t>
        </is>
      </c>
      <c r="E740" t="inlineStr">
        <is>
          <t>VIMMERBY</t>
        </is>
      </c>
      <c r="G740" t="n">
        <v>6.8</v>
      </c>
      <c r="H740" t="n">
        <v>0</v>
      </c>
      <c r="I740" t="n">
        <v>0</v>
      </c>
      <c r="J740" t="n">
        <v>0</v>
      </c>
      <c r="K740" t="n">
        <v>0</v>
      </c>
      <c r="L740" t="n">
        <v>0</v>
      </c>
      <c r="M740" t="n">
        <v>0</v>
      </c>
      <c r="N740" t="n">
        <v>0</v>
      </c>
      <c r="O740" t="n">
        <v>0</v>
      </c>
      <c r="P740" t="n">
        <v>0</v>
      </c>
      <c r="Q740" t="n">
        <v>0</v>
      </c>
      <c r="R740" s="2" t="inlineStr"/>
    </row>
    <row r="741" ht="15" customHeight="1">
      <c r="A741" t="inlineStr">
        <is>
          <t>A 37668-2025</t>
        </is>
      </c>
      <c r="B741" s="1" t="n">
        <v>45880.51550925926</v>
      </c>
      <c r="C741" s="1" t="n">
        <v>45937</v>
      </c>
      <c r="D741" t="inlineStr">
        <is>
          <t>KALMAR LÄN</t>
        </is>
      </c>
      <c r="E741" t="inlineStr">
        <is>
          <t>VIMMERBY</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7643-2022</t>
        </is>
      </c>
      <c r="B742" s="1" t="n">
        <v>44607</v>
      </c>
      <c r="C742" s="1" t="n">
        <v>45937</v>
      </c>
      <c r="D742" t="inlineStr">
        <is>
          <t>KALMAR LÄN</t>
        </is>
      </c>
      <c r="E742" t="inlineStr">
        <is>
          <t>VIMMERBY</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3494-2023</t>
        </is>
      </c>
      <c r="B743" s="1" t="n">
        <v>44949</v>
      </c>
      <c r="C743" s="1" t="n">
        <v>45937</v>
      </c>
      <c r="D743" t="inlineStr">
        <is>
          <t>KALMAR LÄN</t>
        </is>
      </c>
      <c r="E743" t="inlineStr">
        <is>
          <t>VIMMERBY</t>
        </is>
      </c>
      <c r="F743" t="inlineStr">
        <is>
          <t>Kyrkan</t>
        </is>
      </c>
      <c r="G743" t="n">
        <v>0.8</v>
      </c>
      <c r="H743" t="n">
        <v>0</v>
      </c>
      <c r="I743" t="n">
        <v>0</v>
      </c>
      <c r="J743" t="n">
        <v>0</v>
      </c>
      <c r="K743" t="n">
        <v>0</v>
      </c>
      <c r="L743" t="n">
        <v>0</v>
      </c>
      <c r="M743" t="n">
        <v>0</v>
      </c>
      <c r="N743" t="n">
        <v>0</v>
      </c>
      <c r="O743" t="n">
        <v>0</v>
      </c>
      <c r="P743" t="n">
        <v>0</v>
      </c>
      <c r="Q743" t="n">
        <v>0</v>
      </c>
      <c r="R743" s="2" t="inlineStr"/>
    </row>
    <row r="744" ht="15" customHeight="1">
      <c r="A744" t="inlineStr">
        <is>
          <t>A 32633-2023</t>
        </is>
      </c>
      <c r="B744" s="1" t="n">
        <v>45121.58699074074</v>
      </c>
      <c r="C744" s="1" t="n">
        <v>45937</v>
      </c>
      <c r="D744" t="inlineStr">
        <is>
          <t>KALMAR LÄN</t>
        </is>
      </c>
      <c r="E744" t="inlineStr">
        <is>
          <t>VIMMERBY</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37578-2025</t>
        </is>
      </c>
      <c r="B745" s="1" t="n">
        <v>45880.38380787037</v>
      </c>
      <c r="C745" s="1" t="n">
        <v>45937</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43601-2024</t>
        </is>
      </c>
      <c r="B746" s="1" t="n">
        <v>45569.44684027778</v>
      </c>
      <c r="C746" s="1" t="n">
        <v>45937</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18329-2023</t>
        </is>
      </c>
      <c r="B747" s="1" t="n">
        <v>45041.63380787037</v>
      </c>
      <c r="C747" s="1" t="n">
        <v>45937</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5720-2023</t>
        </is>
      </c>
      <c r="B748" s="1" t="n">
        <v>44961</v>
      </c>
      <c r="C748" s="1" t="n">
        <v>45937</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61538-2022</t>
        </is>
      </c>
      <c r="B749" s="1" t="n">
        <v>44916.55414351852</v>
      </c>
      <c r="C749" s="1" t="n">
        <v>45937</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13813-2024</t>
        </is>
      </c>
      <c r="B750" s="1" t="n">
        <v>45391.41310185185</v>
      </c>
      <c r="C750" s="1" t="n">
        <v>45937</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25234-2023</t>
        </is>
      </c>
      <c r="B751" s="1" t="n">
        <v>45086.63194444445</v>
      </c>
      <c r="C751" s="1" t="n">
        <v>45937</v>
      </c>
      <c r="D751" t="inlineStr">
        <is>
          <t>KALMAR LÄN</t>
        </is>
      </c>
      <c r="E751" t="inlineStr">
        <is>
          <t>VIMMERBY</t>
        </is>
      </c>
      <c r="G751" t="n">
        <v>2.1</v>
      </c>
      <c r="H751" t="n">
        <v>0</v>
      </c>
      <c r="I751" t="n">
        <v>0</v>
      </c>
      <c r="J751" t="n">
        <v>0</v>
      </c>
      <c r="K751" t="n">
        <v>0</v>
      </c>
      <c r="L751" t="n">
        <v>0</v>
      </c>
      <c r="M751" t="n">
        <v>0</v>
      </c>
      <c r="N751" t="n">
        <v>0</v>
      </c>
      <c r="O751" t="n">
        <v>0</v>
      </c>
      <c r="P751" t="n">
        <v>0</v>
      </c>
      <c r="Q751" t="n">
        <v>0</v>
      </c>
      <c r="R751" s="2" t="inlineStr"/>
    </row>
    <row r="752" ht="15" customHeight="1">
      <c r="A752" t="inlineStr">
        <is>
          <t>A 25236-2023</t>
        </is>
      </c>
      <c r="B752" s="1" t="n">
        <v>45086.63334490741</v>
      </c>
      <c r="C752" s="1" t="n">
        <v>45937</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694-2024</t>
        </is>
      </c>
      <c r="B753" s="1" t="n">
        <v>45300.3794212963</v>
      </c>
      <c r="C753" s="1" t="n">
        <v>45937</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45319-2025</t>
        </is>
      </c>
      <c r="B754" s="1" t="n">
        <v>45921.95611111111</v>
      </c>
      <c r="C754" s="1" t="n">
        <v>45937</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57114-2023</t>
        </is>
      </c>
      <c r="B755" s="1" t="n">
        <v>45245.36174768519</v>
      </c>
      <c r="C755" s="1" t="n">
        <v>45937</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25244-2023</t>
        </is>
      </c>
      <c r="B756" s="1" t="n">
        <v>45086</v>
      </c>
      <c r="C756" s="1" t="n">
        <v>45937</v>
      </c>
      <c r="D756" t="inlineStr">
        <is>
          <t>KALMAR LÄN</t>
        </is>
      </c>
      <c r="E756" t="inlineStr">
        <is>
          <t>VIMMERBY</t>
        </is>
      </c>
      <c r="G756" t="n">
        <v>4.7</v>
      </c>
      <c r="H756" t="n">
        <v>0</v>
      </c>
      <c r="I756" t="n">
        <v>0</v>
      </c>
      <c r="J756" t="n">
        <v>0</v>
      </c>
      <c r="K756" t="n">
        <v>0</v>
      </c>
      <c r="L756" t="n">
        <v>0</v>
      </c>
      <c r="M756" t="n">
        <v>0</v>
      </c>
      <c r="N756" t="n">
        <v>0</v>
      </c>
      <c r="O756" t="n">
        <v>0</v>
      </c>
      <c r="P756" t="n">
        <v>0</v>
      </c>
      <c r="Q756" t="n">
        <v>0</v>
      </c>
      <c r="R756" s="2" t="inlineStr"/>
    </row>
    <row r="757" ht="15" customHeight="1">
      <c r="A757" t="inlineStr">
        <is>
          <t>A 12327-2023</t>
        </is>
      </c>
      <c r="B757" s="1" t="n">
        <v>44999.36081018519</v>
      </c>
      <c r="C757" s="1" t="n">
        <v>45937</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23341-2022</t>
        </is>
      </c>
      <c r="B758" s="1" t="n">
        <v>44720.53898148148</v>
      </c>
      <c r="C758" s="1" t="n">
        <v>45937</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8086-2021</t>
        </is>
      </c>
      <c r="B759" s="1" t="n">
        <v>44243</v>
      </c>
      <c r="C759" s="1" t="n">
        <v>45937</v>
      </c>
      <c r="D759" t="inlineStr">
        <is>
          <t>KALMAR LÄN</t>
        </is>
      </c>
      <c r="E759" t="inlineStr">
        <is>
          <t>VIMMERBY</t>
        </is>
      </c>
      <c r="G759" t="n">
        <v>4.1</v>
      </c>
      <c r="H759" t="n">
        <v>0</v>
      </c>
      <c r="I759" t="n">
        <v>0</v>
      </c>
      <c r="J759" t="n">
        <v>0</v>
      </c>
      <c r="K759" t="n">
        <v>0</v>
      </c>
      <c r="L759" t="n">
        <v>0</v>
      </c>
      <c r="M759" t="n">
        <v>0</v>
      </c>
      <c r="N759" t="n">
        <v>0</v>
      </c>
      <c r="O759" t="n">
        <v>0</v>
      </c>
      <c r="P759" t="n">
        <v>0</v>
      </c>
      <c r="Q759" t="n">
        <v>0</v>
      </c>
      <c r="R759" s="2" t="inlineStr"/>
    </row>
    <row r="760" ht="15" customHeight="1">
      <c r="A760" t="inlineStr">
        <is>
          <t>A 71793-2021</t>
        </is>
      </c>
      <c r="B760" s="1" t="n">
        <v>44539</v>
      </c>
      <c r="C760" s="1" t="n">
        <v>45937</v>
      </c>
      <c r="D760" t="inlineStr">
        <is>
          <t>KALMAR LÄN</t>
        </is>
      </c>
      <c r="E760" t="inlineStr">
        <is>
          <t>VIMMERBY</t>
        </is>
      </c>
      <c r="G760" t="n">
        <v>2.7</v>
      </c>
      <c r="H760" t="n">
        <v>0</v>
      </c>
      <c r="I760" t="n">
        <v>0</v>
      </c>
      <c r="J760" t="n">
        <v>0</v>
      </c>
      <c r="K760" t="n">
        <v>0</v>
      </c>
      <c r="L760" t="n">
        <v>0</v>
      </c>
      <c r="M760" t="n">
        <v>0</v>
      </c>
      <c r="N760" t="n">
        <v>0</v>
      </c>
      <c r="O760" t="n">
        <v>0</v>
      </c>
      <c r="P760" t="n">
        <v>0</v>
      </c>
      <c r="Q760" t="n">
        <v>0</v>
      </c>
      <c r="R760" s="2" t="inlineStr"/>
    </row>
    <row r="761" ht="15" customHeight="1">
      <c r="A761" t="inlineStr">
        <is>
          <t>A 30633-2024</t>
        </is>
      </c>
      <c r="B761" s="1" t="n">
        <v>45495</v>
      </c>
      <c r="C761" s="1" t="n">
        <v>45937</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33424-2023</t>
        </is>
      </c>
      <c r="B762" s="1" t="n">
        <v>45128.9325</v>
      </c>
      <c r="C762" s="1" t="n">
        <v>45937</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33425-2023</t>
        </is>
      </c>
      <c r="B763" s="1" t="n">
        <v>45128.93540509259</v>
      </c>
      <c r="C763" s="1" t="n">
        <v>45937</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3609-2024</t>
        </is>
      </c>
      <c r="B764" s="1" t="n">
        <v>45320.89128472222</v>
      </c>
      <c r="C764" s="1" t="n">
        <v>45937</v>
      </c>
      <c r="D764" t="inlineStr">
        <is>
          <t>KALMAR LÄN</t>
        </is>
      </c>
      <c r="E764" t="inlineStr">
        <is>
          <t>VIMMERBY</t>
        </is>
      </c>
      <c r="G764" t="n">
        <v>1.7</v>
      </c>
      <c r="H764" t="n">
        <v>0</v>
      </c>
      <c r="I764" t="n">
        <v>0</v>
      </c>
      <c r="J764" t="n">
        <v>0</v>
      </c>
      <c r="K764" t="n">
        <v>0</v>
      </c>
      <c r="L764" t="n">
        <v>0</v>
      </c>
      <c r="M764" t="n">
        <v>0</v>
      </c>
      <c r="N764" t="n">
        <v>0</v>
      </c>
      <c r="O764" t="n">
        <v>0</v>
      </c>
      <c r="P764" t="n">
        <v>0</v>
      </c>
      <c r="Q764" t="n">
        <v>0</v>
      </c>
      <c r="R764" s="2" t="inlineStr"/>
    </row>
    <row r="765" ht="15" customHeight="1">
      <c r="A765" t="inlineStr">
        <is>
          <t>A 73938-2021</t>
        </is>
      </c>
      <c r="B765" s="1" t="n">
        <v>44553</v>
      </c>
      <c r="C765" s="1" t="n">
        <v>45937</v>
      </c>
      <c r="D765" t="inlineStr">
        <is>
          <t>KALMAR LÄN</t>
        </is>
      </c>
      <c r="E765" t="inlineStr">
        <is>
          <t>VIMMERBY</t>
        </is>
      </c>
      <c r="G765" t="n">
        <v>3.2</v>
      </c>
      <c r="H765" t="n">
        <v>0</v>
      </c>
      <c r="I765" t="n">
        <v>0</v>
      </c>
      <c r="J765" t="n">
        <v>0</v>
      </c>
      <c r="K765" t="n">
        <v>0</v>
      </c>
      <c r="L765" t="n">
        <v>0</v>
      </c>
      <c r="M765" t="n">
        <v>0</v>
      </c>
      <c r="N765" t="n">
        <v>0</v>
      </c>
      <c r="O765" t="n">
        <v>0</v>
      </c>
      <c r="P765" t="n">
        <v>0</v>
      </c>
      <c r="Q765" t="n">
        <v>0</v>
      </c>
      <c r="R765" s="2" t="inlineStr"/>
    </row>
    <row r="766" ht="15" customHeight="1">
      <c r="A766" t="inlineStr">
        <is>
          <t>A 6069-2023</t>
        </is>
      </c>
      <c r="B766" s="1" t="n">
        <v>44964.5115162037</v>
      </c>
      <c r="C766" s="1" t="n">
        <v>45937</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46118-2025</t>
        </is>
      </c>
      <c r="B767" s="1" t="n">
        <v>45924.57697916667</v>
      </c>
      <c r="C767" s="1" t="n">
        <v>45937</v>
      </c>
      <c r="D767" t="inlineStr">
        <is>
          <t>KALMAR LÄN</t>
        </is>
      </c>
      <c r="E767" t="inlineStr">
        <is>
          <t>VIMMERBY</t>
        </is>
      </c>
      <c r="G767" t="n">
        <v>2.9</v>
      </c>
      <c r="H767" t="n">
        <v>0</v>
      </c>
      <c r="I767" t="n">
        <v>0</v>
      </c>
      <c r="J767" t="n">
        <v>0</v>
      </c>
      <c r="K767" t="n">
        <v>0</v>
      </c>
      <c r="L767" t="n">
        <v>0</v>
      </c>
      <c r="M767" t="n">
        <v>0</v>
      </c>
      <c r="N767" t="n">
        <v>0</v>
      </c>
      <c r="O767" t="n">
        <v>0</v>
      </c>
      <c r="P767" t="n">
        <v>0</v>
      </c>
      <c r="Q767" t="n">
        <v>0</v>
      </c>
      <c r="R767" s="2" t="inlineStr"/>
    </row>
    <row r="768" ht="15" customHeight="1">
      <c r="A768" t="inlineStr">
        <is>
          <t>A 50995-2022</t>
        </is>
      </c>
      <c r="B768" s="1" t="n">
        <v>44867</v>
      </c>
      <c r="C768" s="1" t="n">
        <v>45937</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27122-2023</t>
        </is>
      </c>
      <c r="B769" s="1" t="n">
        <v>45096.45247685185</v>
      </c>
      <c r="C769" s="1" t="n">
        <v>45937</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30402-2023</t>
        </is>
      </c>
      <c r="B770" s="1" t="n">
        <v>45111.48395833333</v>
      </c>
      <c r="C770" s="1" t="n">
        <v>45937</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8650-2022</t>
        </is>
      </c>
      <c r="B771" s="1" t="n">
        <v>44613</v>
      </c>
      <c r="C771" s="1" t="n">
        <v>45937</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47842-2024</t>
        </is>
      </c>
      <c r="B772" s="1" t="n">
        <v>45588.65545138889</v>
      </c>
      <c r="C772" s="1" t="n">
        <v>45937</v>
      </c>
      <c r="D772" t="inlineStr">
        <is>
          <t>KALMAR LÄN</t>
        </is>
      </c>
      <c r="E772" t="inlineStr">
        <is>
          <t>VIMMERBY</t>
        </is>
      </c>
      <c r="G772" t="n">
        <v>2.4</v>
      </c>
      <c r="H772" t="n">
        <v>0</v>
      </c>
      <c r="I772" t="n">
        <v>0</v>
      </c>
      <c r="J772" t="n">
        <v>0</v>
      </c>
      <c r="K772" t="n">
        <v>0</v>
      </c>
      <c r="L772" t="n">
        <v>0</v>
      </c>
      <c r="M772" t="n">
        <v>0</v>
      </c>
      <c r="N772" t="n">
        <v>0</v>
      </c>
      <c r="O772" t="n">
        <v>0</v>
      </c>
      <c r="P772" t="n">
        <v>0</v>
      </c>
      <c r="Q772" t="n">
        <v>0</v>
      </c>
      <c r="R772" s="2" t="inlineStr"/>
    </row>
    <row r="773" ht="15" customHeight="1">
      <c r="A773" t="inlineStr">
        <is>
          <t>A 37866-2025</t>
        </is>
      </c>
      <c r="B773" s="1" t="n">
        <v>45881</v>
      </c>
      <c r="C773" s="1" t="n">
        <v>45937</v>
      </c>
      <c r="D773" t="inlineStr">
        <is>
          <t>KALMAR LÄN</t>
        </is>
      </c>
      <c r="E773" t="inlineStr">
        <is>
          <t>VIMMERBY</t>
        </is>
      </c>
      <c r="G773" t="n">
        <v>3.4</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44967.45122685185</v>
      </c>
      <c r="C774" s="1" t="n">
        <v>45937</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11147-2023</t>
        </is>
      </c>
      <c r="B775" s="1" t="n">
        <v>44992</v>
      </c>
      <c r="C775" s="1" t="n">
        <v>45937</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46224-2024</t>
        </is>
      </c>
      <c r="B776" s="1" t="n">
        <v>45581.57016203704</v>
      </c>
      <c r="C776" s="1" t="n">
        <v>45937</v>
      </c>
      <c r="D776" t="inlineStr">
        <is>
          <t>KALMAR LÄN</t>
        </is>
      </c>
      <c r="E776" t="inlineStr">
        <is>
          <t>VIMMERBY</t>
        </is>
      </c>
      <c r="G776" t="n">
        <v>3.1</v>
      </c>
      <c r="H776" t="n">
        <v>0</v>
      </c>
      <c r="I776" t="n">
        <v>0</v>
      </c>
      <c r="J776" t="n">
        <v>0</v>
      </c>
      <c r="K776" t="n">
        <v>0</v>
      </c>
      <c r="L776" t="n">
        <v>0</v>
      </c>
      <c r="M776" t="n">
        <v>0</v>
      </c>
      <c r="N776" t="n">
        <v>0</v>
      </c>
      <c r="O776" t="n">
        <v>0</v>
      </c>
      <c r="P776" t="n">
        <v>0</v>
      </c>
      <c r="Q776" t="n">
        <v>0</v>
      </c>
      <c r="R776" s="2" t="inlineStr"/>
    </row>
    <row r="777" ht="15" customHeight="1">
      <c r="A777" t="inlineStr">
        <is>
          <t>A 37939-2025</t>
        </is>
      </c>
      <c r="B777" s="1" t="n">
        <v>45881.59877314815</v>
      </c>
      <c r="C777" s="1" t="n">
        <v>45937</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29013-2024</t>
        </is>
      </c>
      <c r="B778" s="1" t="n">
        <v>45481.55984953704</v>
      </c>
      <c r="C778" s="1" t="n">
        <v>45937</v>
      </c>
      <c r="D778" t="inlineStr">
        <is>
          <t>KALMAR LÄN</t>
        </is>
      </c>
      <c r="E778" t="inlineStr">
        <is>
          <t>VIMMERBY</t>
        </is>
      </c>
      <c r="G778" t="n">
        <v>3.4</v>
      </c>
      <c r="H778" t="n">
        <v>0</v>
      </c>
      <c r="I778" t="n">
        <v>0</v>
      </c>
      <c r="J778" t="n">
        <v>0</v>
      </c>
      <c r="K778" t="n">
        <v>0</v>
      </c>
      <c r="L778" t="n">
        <v>0</v>
      </c>
      <c r="M778" t="n">
        <v>0</v>
      </c>
      <c r="N778" t="n">
        <v>0</v>
      </c>
      <c r="O778" t="n">
        <v>0</v>
      </c>
      <c r="P778" t="n">
        <v>0</v>
      </c>
      <c r="Q778" t="n">
        <v>0</v>
      </c>
      <c r="R778" s="2" t="inlineStr"/>
    </row>
    <row r="779" ht="15" customHeight="1">
      <c r="A779" t="inlineStr">
        <is>
          <t>A 16676-2023</t>
        </is>
      </c>
      <c r="B779" s="1" t="n">
        <v>45028</v>
      </c>
      <c r="C779" s="1" t="n">
        <v>45937</v>
      </c>
      <c r="D779" t="inlineStr">
        <is>
          <t>KALMAR LÄN</t>
        </is>
      </c>
      <c r="E779" t="inlineStr">
        <is>
          <t>VIMMERBY</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37028-2024</t>
        </is>
      </c>
      <c r="B780" s="1" t="n">
        <v>45539.38744212963</v>
      </c>
      <c r="C780" s="1" t="n">
        <v>45937</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23263-2024</t>
        </is>
      </c>
      <c r="B781" s="1" t="n">
        <v>45453.36854166666</v>
      </c>
      <c r="C781" s="1" t="n">
        <v>45937</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49488-2023</t>
        </is>
      </c>
      <c r="B782" s="1" t="n">
        <v>45211.55472222222</v>
      </c>
      <c r="C782" s="1" t="n">
        <v>45937</v>
      </c>
      <c r="D782" t="inlineStr">
        <is>
          <t>KALMAR LÄN</t>
        </is>
      </c>
      <c r="E782" t="inlineStr">
        <is>
          <t>VIMMERBY</t>
        </is>
      </c>
      <c r="F782" t="inlineStr">
        <is>
          <t>Sveaskog</t>
        </is>
      </c>
      <c r="G782" t="n">
        <v>6.2</v>
      </c>
      <c r="H782" t="n">
        <v>0</v>
      </c>
      <c r="I782" t="n">
        <v>0</v>
      </c>
      <c r="J782" t="n">
        <v>0</v>
      </c>
      <c r="K782" t="n">
        <v>0</v>
      </c>
      <c r="L782" t="n">
        <v>0</v>
      </c>
      <c r="M782" t="n">
        <v>0</v>
      </c>
      <c r="N782" t="n">
        <v>0</v>
      </c>
      <c r="O782" t="n">
        <v>0</v>
      </c>
      <c r="P782" t="n">
        <v>0</v>
      </c>
      <c r="Q782" t="n">
        <v>0</v>
      </c>
      <c r="R782" s="2" t="inlineStr"/>
    </row>
    <row r="783" ht="15" customHeight="1">
      <c r="A783" t="inlineStr">
        <is>
          <t>A 59768-2024</t>
        </is>
      </c>
      <c r="B783" s="1" t="n">
        <v>45639.56185185185</v>
      </c>
      <c r="C783" s="1" t="n">
        <v>45937</v>
      </c>
      <c r="D783" t="inlineStr">
        <is>
          <t>KALMAR LÄN</t>
        </is>
      </c>
      <c r="E783" t="inlineStr">
        <is>
          <t>VIMMERBY</t>
        </is>
      </c>
      <c r="G783" t="n">
        <v>5.9</v>
      </c>
      <c r="H783" t="n">
        <v>0</v>
      </c>
      <c r="I783" t="n">
        <v>0</v>
      </c>
      <c r="J783" t="n">
        <v>0</v>
      </c>
      <c r="K783" t="n">
        <v>0</v>
      </c>
      <c r="L783" t="n">
        <v>0</v>
      </c>
      <c r="M783" t="n">
        <v>0</v>
      </c>
      <c r="N783" t="n">
        <v>0</v>
      </c>
      <c r="O783" t="n">
        <v>0</v>
      </c>
      <c r="P783" t="n">
        <v>0</v>
      </c>
      <c r="Q783" t="n">
        <v>0</v>
      </c>
      <c r="R783" s="2" t="inlineStr"/>
    </row>
    <row r="784" ht="15" customHeight="1">
      <c r="A784" t="inlineStr">
        <is>
          <t>A 72067-2021</t>
        </is>
      </c>
      <c r="B784" s="1" t="n">
        <v>44540</v>
      </c>
      <c r="C784" s="1" t="n">
        <v>45937</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41158-2023</t>
        </is>
      </c>
      <c r="B785" s="1" t="n">
        <v>45174.31395833333</v>
      </c>
      <c r="C785" s="1" t="n">
        <v>45937</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22198-2024</t>
        </is>
      </c>
      <c r="B786" s="1" t="n">
        <v>45446.36865740741</v>
      </c>
      <c r="C786" s="1" t="n">
        <v>45937</v>
      </c>
      <c r="D786" t="inlineStr">
        <is>
          <t>KALMAR LÄN</t>
        </is>
      </c>
      <c r="E786" t="inlineStr">
        <is>
          <t>VIMMERBY</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44981.64725694444</v>
      </c>
      <c r="C787" s="1" t="n">
        <v>45937</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34205-2023</t>
        </is>
      </c>
      <c r="B788" s="1" t="n">
        <v>45138</v>
      </c>
      <c r="C788" s="1" t="n">
        <v>45937</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57091-2022</t>
        </is>
      </c>
      <c r="B789" s="1" t="n">
        <v>44895.46524305556</v>
      </c>
      <c r="C789" s="1" t="n">
        <v>45937</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2604-2025</t>
        </is>
      </c>
      <c r="B790" s="1" t="n">
        <v>45674.74094907408</v>
      </c>
      <c r="C790" s="1" t="n">
        <v>45937</v>
      </c>
      <c r="D790" t="inlineStr">
        <is>
          <t>KALMAR LÄN</t>
        </is>
      </c>
      <c r="E790" t="inlineStr">
        <is>
          <t>VIMMERBY</t>
        </is>
      </c>
      <c r="G790" t="n">
        <v>7.6</v>
      </c>
      <c r="H790" t="n">
        <v>0</v>
      </c>
      <c r="I790" t="n">
        <v>0</v>
      </c>
      <c r="J790" t="n">
        <v>0</v>
      </c>
      <c r="K790" t="n">
        <v>0</v>
      </c>
      <c r="L790" t="n">
        <v>0</v>
      </c>
      <c r="M790" t="n">
        <v>0</v>
      </c>
      <c r="N790" t="n">
        <v>0</v>
      </c>
      <c r="O790" t="n">
        <v>0</v>
      </c>
      <c r="P790" t="n">
        <v>0</v>
      </c>
      <c r="Q790" t="n">
        <v>0</v>
      </c>
      <c r="R790" s="2" t="inlineStr"/>
    </row>
    <row r="791" ht="15" customHeight="1">
      <c r="A791" t="inlineStr">
        <is>
          <t>A 6807-2025</t>
        </is>
      </c>
      <c r="B791" s="1" t="n">
        <v>45700.68672453704</v>
      </c>
      <c r="C791" s="1" t="n">
        <v>45937</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38851-2023</t>
        </is>
      </c>
      <c r="B792" s="1" t="n">
        <v>45163</v>
      </c>
      <c r="C792" s="1" t="n">
        <v>45937</v>
      </c>
      <c r="D792" t="inlineStr">
        <is>
          <t>KALMAR LÄN</t>
        </is>
      </c>
      <c r="E792" t="inlineStr">
        <is>
          <t>VIMMERBY</t>
        </is>
      </c>
      <c r="G792" t="n">
        <v>4.3</v>
      </c>
      <c r="H792" t="n">
        <v>0</v>
      </c>
      <c r="I792" t="n">
        <v>0</v>
      </c>
      <c r="J792" t="n">
        <v>0</v>
      </c>
      <c r="K792" t="n">
        <v>0</v>
      </c>
      <c r="L792" t="n">
        <v>0</v>
      </c>
      <c r="M792" t="n">
        <v>0</v>
      </c>
      <c r="N792" t="n">
        <v>0</v>
      </c>
      <c r="O792" t="n">
        <v>0</v>
      </c>
      <c r="P792" t="n">
        <v>0</v>
      </c>
      <c r="Q792" t="n">
        <v>0</v>
      </c>
      <c r="R792" s="2" t="inlineStr"/>
    </row>
    <row r="793" ht="15" customHeight="1">
      <c r="A793" t="inlineStr">
        <is>
          <t>A 23252-2024</t>
        </is>
      </c>
      <c r="B793" s="1" t="n">
        <v>45453.36067129629</v>
      </c>
      <c r="C793" s="1" t="n">
        <v>45937</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5792-2023</t>
        </is>
      </c>
      <c r="B794" s="1" t="n">
        <v>44963.44769675926</v>
      </c>
      <c r="C794" s="1" t="n">
        <v>45937</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2797-2023</t>
        </is>
      </c>
      <c r="B795" s="1" t="n">
        <v>44944.71386574074</v>
      </c>
      <c r="C795" s="1" t="n">
        <v>45937</v>
      </c>
      <c r="D795" t="inlineStr">
        <is>
          <t>KALMAR LÄN</t>
        </is>
      </c>
      <c r="E795" t="inlineStr">
        <is>
          <t>VIMMERBY</t>
        </is>
      </c>
      <c r="G795" t="n">
        <v>3.4</v>
      </c>
      <c r="H795" t="n">
        <v>0</v>
      </c>
      <c r="I795" t="n">
        <v>0</v>
      </c>
      <c r="J795" t="n">
        <v>0</v>
      </c>
      <c r="K795" t="n">
        <v>0</v>
      </c>
      <c r="L795" t="n">
        <v>0</v>
      </c>
      <c r="M795" t="n">
        <v>0</v>
      </c>
      <c r="N795" t="n">
        <v>0</v>
      </c>
      <c r="O795" t="n">
        <v>0</v>
      </c>
      <c r="P795" t="n">
        <v>0</v>
      </c>
      <c r="Q795" t="n">
        <v>0</v>
      </c>
      <c r="R795" s="2" t="inlineStr"/>
    </row>
    <row r="796" ht="15" customHeight="1">
      <c r="A796" t="inlineStr">
        <is>
          <t>A 2799-2023</t>
        </is>
      </c>
      <c r="B796" s="1" t="n">
        <v>44944.72100694444</v>
      </c>
      <c r="C796" s="1" t="n">
        <v>45937</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6220-2025</t>
        </is>
      </c>
      <c r="B797" s="1" t="n">
        <v>45698.53725694444</v>
      </c>
      <c r="C797" s="1" t="n">
        <v>45937</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58278-2023</t>
        </is>
      </c>
      <c r="B798" s="1" t="n">
        <v>45250.5278587963</v>
      </c>
      <c r="C798" s="1" t="n">
        <v>45937</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36259-2022</t>
        </is>
      </c>
      <c r="B799" s="1" t="n">
        <v>44803.59118055556</v>
      </c>
      <c r="C799" s="1" t="n">
        <v>45937</v>
      </c>
      <c r="D799" t="inlineStr">
        <is>
          <t>KALMAR LÄN</t>
        </is>
      </c>
      <c r="E799" t="inlineStr">
        <is>
          <t>VIMMERBY</t>
        </is>
      </c>
      <c r="G799" t="n">
        <v>3.9</v>
      </c>
      <c r="H799" t="n">
        <v>0</v>
      </c>
      <c r="I799" t="n">
        <v>0</v>
      </c>
      <c r="J799" t="n">
        <v>0</v>
      </c>
      <c r="K799" t="n">
        <v>0</v>
      </c>
      <c r="L799" t="n">
        <v>0</v>
      </c>
      <c r="M799" t="n">
        <v>0</v>
      </c>
      <c r="N799" t="n">
        <v>0</v>
      </c>
      <c r="O799" t="n">
        <v>0</v>
      </c>
      <c r="P799" t="n">
        <v>0</v>
      </c>
      <c r="Q799" t="n">
        <v>0</v>
      </c>
      <c r="R799" s="2" t="inlineStr"/>
    </row>
    <row r="800" ht="15" customHeight="1">
      <c r="A800" t="inlineStr">
        <is>
          <t>A 36526-2023</t>
        </is>
      </c>
      <c r="B800" s="1" t="n">
        <v>45153.32778935185</v>
      </c>
      <c r="C800" s="1" t="n">
        <v>45937</v>
      </c>
      <c r="D800" t="inlineStr">
        <is>
          <t>KALMAR LÄN</t>
        </is>
      </c>
      <c r="E800" t="inlineStr">
        <is>
          <t>VIMMERBY</t>
        </is>
      </c>
      <c r="G800" t="n">
        <v>2.7</v>
      </c>
      <c r="H800" t="n">
        <v>0</v>
      </c>
      <c r="I800" t="n">
        <v>0</v>
      </c>
      <c r="J800" t="n">
        <v>0</v>
      </c>
      <c r="K800" t="n">
        <v>0</v>
      </c>
      <c r="L800" t="n">
        <v>0</v>
      </c>
      <c r="M800" t="n">
        <v>0</v>
      </c>
      <c r="N800" t="n">
        <v>0</v>
      </c>
      <c r="O800" t="n">
        <v>0</v>
      </c>
      <c r="P800" t="n">
        <v>0</v>
      </c>
      <c r="Q800" t="n">
        <v>0</v>
      </c>
      <c r="R800" s="2" t="inlineStr"/>
    </row>
    <row r="801" ht="15" customHeight="1">
      <c r="A801" t="inlineStr">
        <is>
          <t>A 17988-2025</t>
        </is>
      </c>
      <c r="B801" s="1" t="n">
        <v>45761.39600694444</v>
      </c>
      <c r="C801" s="1" t="n">
        <v>45937</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29350-2023</t>
        </is>
      </c>
      <c r="B802" s="1" t="n">
        <v>45106</v>
      </c>
      <c r="C802" s="1" t="n">
        <v>45937</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29351-2023</t>
        </is>
      </c>
      <c r="B803" s="1" t="n">
        <v>45106.2610300926</v>
      </c>
      <c r="C803" s="1" t="n">
        <v>45937</v>
      </c>
      <c r="D803" t="inlineStr">
        <is>
          <t>KALMAR LÄN</t>
        </is>
      </c>
      <c r="E803" t="inlineStr">
        <is>
          <t>VIMMERBY</t>
        </is>
      </c>
      <c r="G803" t="n">
        <v>0.4</v>
      </c>
      <c r="H803" t="n">
        <v>0</v>
      </c>
      <c r="I803" t="n">
        <v>0</v>
      </c>
      <c r="J803" t="n">
        <v>0</v>
      </c>
      <c r="K803" t="n">
        <v>0</v>
      </c>
      <c r="L803" t="n">
        <v>0</v>
      </c>
      <c r="M803" t="n">
        <v>0</v>
      </c>
      <c r="N803" t="n">
        <v>0</v>
      </c>
      <c r="O803" t="n">
        <v>0</v>
      </c>
      <c r="P803" t="n">
        <v>0</v>
      </c>
      <c r="Q803" t="n">
        <v>0</v>
      </c>
      <c r="R803" s="2" t="inlineStr"/>
    </row>
    <row r="804" ht="15" customHeight="1">
      <c r="A804" t="inlineStr">
        <is>
          <t>A 6474-2025</t>
        </is>
      </c>
      <c r="B804" s="1" t="n">
        <v>45699.60055555555</v>
      </c>
      <c r="C804" s="1" t="n">
        <v>45937</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17-2025</t>
        </is>
      </c>
      <c r="B805" s="1" t="n">
        <v>45658.78774305555</v>
      </c>
      <c r="C805" s="1" t="n">
        <v>45937</v>
      </c>
      <c r="D805" t="inlineStr">
        <is>
          <t>KALMAR LÄN</t>
        </is>
      </c>
      <c r="E805" t="inlineStr">
        <is>
          <t>VIMMERBY</t>
        </is>
      </c>
      <c r="G805" t="n">
        <v>4.4</v>
      </c>
      <c r="H805" t="n">
        <v>0</v>
      </c>
      <c r="I805" t="n">
        <v>0</v>
      </c>
      <c r="J805" t="n">
        <v>0</v>
      </c>
      <c r="K805" t="n">
        <v>0</v>
      </c>
      <c r="L805" t="n">
        <v>0</v>
      </c>
      <c r="M805" t="n">
        <v>0</v>
      </c>
      <c r="N805" t="n">
        <v>0</v>
      </c>
      <c r="O805" t="n">
        <v>0</v>
      </c>
      <c r="P805" t="n">
        <v>0</v>
      </c>
      <c r="Q805" t="n">
        <v>0</v>
      </c>
      <c r="R805" s="2" t="inlineStr"/>
    </row>
    <row r="806" ht="15" customHeight="1">
      <c r="A806" t="inlineStr">
        <is>
          <t>A 57555-2024</t>
        </is>
      </c>
      <c r="B806" s="1" t="n">
        <v>45630.45069444444</v>
      </c>
      <c r="C806" s="1" t="n">
        <v>45937</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18411-2021</t>
        </is>
      </c>
      <c r="B807" s="1" t="n">
        <v>44302</v>
      </c>
      <c r="C807" s="1" t="n">
        <v>45937</v>
      </c>
      <c r="D807" t="inlineStr">
        <is>
          <t>KALMAR LÄN</t>
        </is>
      </c>
      <c r="E807" t="inlineStr">
        <is>
          <t>VIMMERBY</t>
        </is>
      </c>
      <c r="G807" t="n">
        <v>0.7</v>
      </c>
      <c r="H807" t="n">
        <v>0</v>
      </c>
      <c r="I807" t="n">
        <v>0</v>
      </c>
      <c r="J807" t="n">
        <v>0</v>
      </c>
      <c r="K807" t="n">
        <v>0</v>
      </c>
      <c r="L807" t="n">
        <v>0</v>
      </c>
      <c r="M807" t="n">
        <v>0</v>
      </c>
      <c r="N807" t="n">
        <v>0</v>
      </c>
      <c r="O807" t="n">
        <v>0</v>
      </c>
      <c r="P807" t="n">
        <v>0</v>
      </c>
      <c r="Q807" t="n">
        <v>0</v>
      </c>
      <c r="R807" s="2" t="inlineStr"/>
    </row>
    <row r="808" ht="15" customHeight="1">
      <c r="A808" t="inlineStr">
        <is>
          <t>A 52279-2023</t>
        </is>
      </c>
      <c r="B808" s="1" t="n">
        <v>45224</v>
      </c>
      <c r="C808" s="1" t="n">
        <v>45937</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52324-2023</t>
        </is>
      </c>
      <c r="B809" s="1" t="n">
        <v>45224.64659722222</v>
      </c>
      <c r="C809" s="1" t="n">
        <v>45937</v>
      </c>
      <c r="D809" t="inlineStr">
        <is>
          <t>KALMAR LÄN</t>
        </is>
      </c>
      <c r="E809" t="inlineStr">
        <is>
          <t>VIMMERBY</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32639-2023</t>
        </is>
      </c>
      <c r="B810" s="1" t="n">
        <v>45121.5965162037</v>
      </c>
      <c r="C810" s="1" t="n">
        <v>45937</v>
      </c>
      <c r="D810" t="inlineStr">
        <is>
          <t>KALMAR LÄN</t>
        </is>
      </c>
      <c r="E810" t="inlineStr">
        <is>
          <t>VIMMERBY</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32642-2023</t>
        </is>
      </c>
      <c r="B811" s="1" t="n">
        <v>45121.59954861111</v>
      </c>
      <c r="C811" s="1" t="n">
        <v>45937</v>
      </c>
      <c r="D811" t="inlineStr">
        <is>
          <t>KALMAR LÄN</t>
        </is>
      </c>
      <c r="E811" t="inlineStr">
        <is>
          <t>VIMMERBY</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32651-2023</t>
        </is>
      </c>
      <c r="B812" s="1" t="n">
        <v>45121.6096875</v>
      </c>
      <c r="C812" s="1" t="n">
        <v>45937</v>
      </c>
      <c r="D812" t="inlineStr">
        <is>
          <t>KALMAR LÄN</t>
        </is>
      </c>
      <c r="E812" t="inlineStr">
        <is>
          <t>VIMMERBY</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40730-2024</t>
        </is>
      </c>
      <c r="B813" s="1" t="n">
        <v>45558.44914351852</v>
      </c>
      <c r="C813" s="1" t="n">
        <v>45937</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9643-2023</t>
        </is>
      </c>
      <c r="B814" s="1" t="n">
        <v>44984</v>
      </c>
      <c r="C814" s="1" t="n">
        <v>45937</v>
      </c>
      <c r="D814" t="inlineStr">
        <is>
          <t>KALMAR LÄN</t>
        </is>
      </c>
      <c r="E814" t="inlineStr">
        <is>
          <t>VIMMERBY</t>
        </is>
      </c>
      <c r="G814" t="n">
        <v>2</v>
      </c>
      <c r="H814" t="n">
        <v>0</v>
      </c>
      <c r="I814" t="n">
        <v>0</v>
      </c>
      <c r="J814" t="n">
        <v>0</v>
      </c>
      <c r="K814" t="n">
        <v>0</v>
      </c>
      <c r="L814" t="n">
        <v>0</v>
      </c>
      <c r="M814" t="n">
        <v>0</v>
      </c>
      <c r="N814" t="n">
        <v>0</v>
      </c>
      <c r="O814" t="n">
        <v>0</v>
      </c>
      <c r="P814" t="n">
        <v>0</v>
      </c>
      <c r="Q814" t="n">
        <v>0</v>
      </c>
      <c r="R814" s="2" t="inlineStr"/>
    </row>
    <row r="815" ht="15" customHeight="1">
      <c r="A815" t="inlineStr">
        <is>
          <t>A 56213-2024</t>
        </is>
      </c>
      <c r="B815" s="1" t="n">
        <v>45624.60141203704</v>
      </c>
      <c r="C815" s="1" t="n">
        <v>45937</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20126-2024</t>
        </is>
      </c>
      <c r="B816" s="1" t="n">
        <v>45434.55471064815</v>
      </c>
      <c r="C816" s="1" t="n">
        <v>45937</v>
      </c>
      <c r="D816" t="inlineStr">
        <is>
          <t>KALMAR LÄN</t>
        </is>
      </c>
      <c r="E816" t="inlineStr">
        <is>
          <t>VIMMERBY</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19865-2021</t>
        </is>
      </c>
      <c r="B817" s="1" t="n">
        <v>44312</v>
      </c>
      <c r="C817" s="1" t="n">
        <v>45937</v>
      </c>
      <c r="D817" t="inlineStr">
        <is>
          <t>KALMAR LÄN</t>
        </is>
      </c>
      <c r="E817" t="inlineStr">
        <is>
          <t>VIMMERBY</t>
        </is>
      </c>
      <c r="G817" t="n">
        <v>8.6</v>
      </c>
      <c r="H817" t="n">
        <v>0</v>
      </c>
      <c r="I817" t="n">
        <v>0</v>
      </c>
      <c r="J817" t="n">
        <v>0</v>
      </c>
      <c r="K817" t="n">
        <v>0</v>
      </c>
      <c r="L817" t="n">
        <v>0</v>
      </c>
      <c r="M817" t="n">
        <v>0</v>
      </c>
      <c r="N817" t="n">
        <v>0</v>
      </c>
      <c r="O817" t="n">
        <v>0</v>
      </c>
      <c r="P817" t="n">
        <v>0</v>
      </c>
      <c r="Q817" t="n">
        <v>0</v>
      </c>
      <c r="R817" s="2" t="inlineStr"/>
    </row>
    <row r="818" ht="15" customHeight="1">
      <c r="A818" t="inlineStr">
        <is>
          <t>A 9694-2023</t>
        </is>
      </c>
      <c r="B818" s="1" t="n">
        <v>44984.45895833334</v>
      </c>
      <c r="C818" s="1" t="n">
        <v>45937</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9710-2023</t>
        </is>
      </c>
      <c r="B819" s="1" t="n">
        <v>44984</v>
      </c>
      <c r="C819" s="1" t="n">
        <v>45937</v>
      </c>
      <c r="D819" t="inlineStr">
        <is>
          <t>KALMAR LÄN</t>
        </is>
      </c>
      <c r="E819" t="inlineStr">
        <is>
          <t>VIMMERBY</t>
        </is>
      </c>
      <c r="G819" t="n">
        <v>3.7</v>
      </c>
      <c r="H819" t="n">
        <v>0</v>
      </c>
      <c r="I819" t="n">
        <v>0</v>
      </c>
      <c r="J819" t="n">
        <v>0</v>
      </c>
      <c r="K819" t="n">
        <v>0</v>
      </c>
      <c r="L819" t="n">
        <v>0</v>
      </c>
      <c r="M819" t="n">
        <v>0</v>
      </c>
      <c r="N819" t="n">
        <v>0</v>
      </c>
      <c r="O819" t="n">
        <v>0</v>
      </c>
      <c r="P819" t="n">
        <v>0</v>
      </c>
      <c r="Q819" t="n">
        <v>0</v>
      </c>
      <c r="R819" s="2" t="inlineStr"/>
    </row>
    <row r="820" ht="15" customHeight="1">
      <c r="A820" t="inlineStr">
        <is>
          <t>A 6216-2025</t>
        </is>
      </c>
      <c r="B820" s="1" t="n">
        <v>45698.52806712963</v>
      </c>
      <c r="C820" s="1" t="n">
        <v>45937</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7944-2024</t>
        </is>
      </c>
      <c r="B821" s="1" t="n">
        <v>45350.53306712963</v>
      </c>
      <c r="C821" s="1" t="n">
        <v>45937</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598-2025</t>
        </is>
      </c>
      <c r="B822" s="1" t="n">
        <v>45660</v>
      </c>
      <c r="C822" s="1" t="n">
        <v>45937</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10674-2021</t>
        </is>
      </c>
      <c r="B823" s="1" t="n">
        <v>44258</v>
      </c>
      <c r="C823" s="1" t="n">
        <v>45937</v>
      </c>
      <c r="D823" t="inlineStr">
        <is>
          <t>KALMAR LÄN</t>
        </is>
      </c>
      <c r="E823" t="inlineStr">
        <is>
          <t>VIMMERBY</t>
        </is>
      </c>
      <c r="G823" t="n">
        <v>8.4</v>
      </c>
      <c r="H823" t="n">
        <v>0</v>
      </c>
      <c r="I823" t="n">
        <v>0</v>
      </c>
      <c r="J823" t="n">
        <v>0</v>
      </c>
      <c r="K823" t="n">
        <v>0</v>
      </c>
      <c r="L823" t="n">
        <v>0</v>
      </c>
      <c r="M823" t="n">
        <v>0</v>
      </c>
      <c r="N823" t="n">
        <v>0</v>
      </c>
      <c r="O823" t="n">
        <v>0</v>
      </c>
      <c r="P823" t="n">
        <v>0</v>
      </c>
      <c r="Q823" t="n">
        <v>0</v>
      </c>
      <c r="R823" s="2" t="inlineStr"/>
    </row>
    <row r="824" ht="15" customHeight="1">
      <c r="A824" t="inlineStr">
        <is>
          <t>A 10807-2024</t>
        </is>
      </c>
      <c r="B824" s="1" t="n">
        <v>45369.62780092593</v>
      </c>
      <c r="C824" s="1" t="n">
        <v>45937</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40260-2024</t>
        </is>
      </c>
      <c r="B825" s="1" t="n">
        <v>45554.63225694445</v>
      </c>
      <c r="C825" s="1" t="n">
        <v>45937</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10787-2025</t>
        </is>
      </c>
      <c r="B826" s="1" t="n">
        <v>45722.48915509259</v>
      </c>
      <c r="C826" s="1" t="n">
        <v>45937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58577-2024</t>
        </is>
      </c>
      <c r="B827" s="1" t="n">
        <v>45635.4874537037</v>
      </c>
      <c r="C827" s="1" t="n">
        <v>45937</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38198-2024</t>
        </is>
      </c>
      <c r="B828" s="1" t="n">
        <v>45545.49508101852</v>
      </c>
      <c r="C828" s="1" t="n">
        <v>45937</v>
      </c>
      <c r="D828" t="inlineStr">
        <is>
          <t>KALMAR LÄN</t>
        </is>
      </c>
      <c r="E828" t="inlineStr">
        <is>
          <t>VIMMERBY</t>
        </is>
      </c>
      <c r="G828" t="n">
        <v>7.9</v>
      </c>
      <c r="H828" t="n">
        <v>0</v>
      </c>
      <c r="I828" t="n">
        <v>0</v>
      </c>
      <c r="J828" t="n">
        <v>0</v>
      </c>
      <c r="K828" t="n">
        <v>0</v>
      </c>
      <c r="L828" t="n">
        <v>0</v>
      </c>
      <c r="M828" t="n">
        <v>0</v>
      </c>
      <c r="N828" t="n">
        <v>0</v>
      </c>
      <c r="O828" t="n">
        <v>0</v>
      </c>
      <c r="P828" t="n">
        <v>0</v>
      </c>
      <c r="Q828" t="n">
        <v>0</v>
      </c>
      <c r="R828" s="2" t="inlineStr"/>
    </row>
    <row r="829" ht="15" customHeight="1">
      <c r="A829" t="inlineStr">
        <is>
          <t>A 43617-2024</t>
        </is>
      </c>
      <c r="B829" s="1" t="n">
        <v>45569.47494212963</v>
      </c>
      <c r="C829" s="1" t="n">
        <v>45937</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22264-2023</t>
        </is>
      </c>
      <c r="B830" s="1" t="n">
        <v>45070.3665625</v>
      </c>
      <c r="C830" s="1" t="n">
        <v>45937</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22266-2023</t>
        </is>
      </c>
      <c r="B831" s="1" t="n">
        <v>45070</v>
      </c>
      <c r="C831" s="1" t="n">
        <v>45937</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50091-2023</t>
        </is>
      </c>
      <c r="B832" s="1" t="n">
        <v>45215.60199074074</v>
      </c>
      <c r="C832" s="1" t="n">
        <v>45937</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10303-2025</t>
        </is>
      </c>
      <c r="B833" s="1" t="n">
        <v>45720.44217592593</v>
      </c>
      <c r="C833" s="1" t="n">
        <v>45937</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11027-2023</t>
        </is>
      </c>
      <c r="B834" s="1" t="n">
        <v>44991.89657407408</v>
      </c>
      <c r="C834" s="1" t="n">
        <v>45937</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11661-2023</t>
        </is>
      </c>
      <c r="B835" s="1" t="n">
        <v>44994.46908564815</v>
      </c>
      <c r="C835" s="1" t="n">
        <v>45937</v>
      </c>
      <c r="D835" t="inlineStr">
        <is>
          <t>KALMAR LÄN</t>
        </is>
      </c>
      <c r="E835" t="inlineStr">
        <is>
          <t>VIMMERBY</t>
        </is>
      </c>
      <c r="G835" t="n">
        <v>2.7</v>
      </c>
      <c r="H835" t="n">
        <v>0</v>
      </c>
      <c r="I835" t="n">
        <v>0</v>
      </c>
      <c r="J835" t="n">
        <v>0</v>
      </c>
      <c r="K835" t="n">
        <v>0</v>
      </c>
      <c r="L835" t="n">
        <v>0</v>
      </c>
      <c r="M835" t="n">
        <v>0</v>
      </c>
      <c r="N835" t="n">
        <v>0</v>
      </c>
      <c r="O835" t="n">
        <v>0</v>
      </c>
      <c r="P835" t="n">
        <v>0</v>
      </c>
      <c r="Q835" t="n">
        <v>0</v>
      </c>
      <c r="R835" s="2" t="inlineStr"/>
    </row>
    <row r="836" ht="15" customHeight="1">
      <c r="A836" t="inlineStr">
        <is>
          <t>A 36155-2023</t>
        </is>
      </c>
      <c r="B836" s="1" t="n">
        <v>45149.60917824074</v>
      </c>
      <c r="C836" s="1" t="n">
        <v>45937</v>
      </c>
      <c r="D836" t="inlineStr">
        <is>
          <t>KALMAR LÄN</t>
        </is>
      </c>
      <c r="E836" t="inlineStr">
        <is>
          <t>VIMMERBY</t>
        </is>
      </c>
      <c r="G836" t="n">
        <v>5</v>
      </c>
      <c r="H836" t="n">
        <v>0</v>
      </c>
      <c r="I836" t="n">
        <v>0</v>
      </c>
      <c r="J836" t="n">
        <v>0</v>
      </c>
      <c r="K836" t="n">
        <v>0</v>
      </c>
      <c r="L836" t="n">
        <v>0</v>
      </c>
      <c r="M836" t="n">
        <v>0</v>
      </c>
      <c r="N836" t="n">
        <v>0</v>
      </c>
      <c r="O836" t="n">
        <v>0</v>
      </c>
      <c r="P836" t="n">
        <v>0</v>
      </c>
      <c r="Q836" t="n">
        <v>0</v>
      </c>
      <c r="R836" s="2" t="inlineStr"/>
    </row>
    <row r="837" ht="15" customHeight="1">
      <c r="A837" t="inlineStr">
        <is>
          <t>A 40147-2023</t>
        </is>
      </c>
      <c r="B837" s="1" t="n">
        <v>45169</v>
      </c>
      <c r="C837" s="1" t="n">
        <v>45937</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63950-2023</t>
        </is>
      </c>
      <c r="B838" s="1" t="n">
        <v>45278</v>
      </c>
      <c r="C838" s="1" t="n">
        <v>45937</v>
      </c>
      <c r="D838" t="inlineStr">
        <is>
          <t>KALMAR LÄN</t>
        </is>
      </c>
      <c r="E838" t="inlineStr">
        <is>
          <t>VIMMERBY</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24096-2024</t>
        </is>
      </c>
      <c r="B839" s="1" t="n">
        <v>45456.59289351852</v>
      </c>
      <c r="C839" s="1" t="n">
        <v>45937</v>
      </c>
      <c r="D839" t="inlineStr">
        <is>
          <t>KALMAR LÄN</t>
        </is>
      </c>
      <c r="E839" t="inlineStr">
        <is>
          <t>VIMMERBY</t>
        </is>
      </c>
      <c r="G839" t="n">
        <v>2.3</v>
      </c>
      <c r="H839" t="n">
        <v>0</v>
      </c>
      <c r="I839" t="n">
        <v>0</v>
      </c>
      <c r="J839" t="n">
        <v>0</v>
      </c>
      <c r="K839" t="n">
        <v>0</v>
      </c>
      <c r="L839" t="n">
        <v>0</v>
      </c>
      <c r="M839" t="n">
        <v>0</v>
      </c>
      <c r="N839" t="n">
        <v>0</v>
      </c>
      <c r="O839" t="n">
        <v>0</v>
      </c>
      <c r="P839" t="n">
        <v>0</v>
      </c>
      <c r="Q839" t="n">
        <v>0</v>
      </c>
      <c r="R839" s="2" t="inlineStr"/>
    </row>
    <row r="840" ht="15" customHeight="1">
      <c r="A840" t="inlineStr">
        <is>
          <t>A 13015-2023</t>
        </is>
      </c>
      <c r="B840" s="1" t="n">
        <v>45002</v>
      </c>
      <c r="C840" s="1" t="n">
        <v>45937</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41199-2023</t>
        </is>
      </c>
      <c r="B841" s="1" t="n">
        <v>45174.40454861111</v>
      </c>
      <c r="C841" s="1" t="n">
        <v>45937</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36014-2024</t>
        </is>
      </c>
      <c r="B842" s="1" t="n">
        <v>45533.56108796296</v>
      </c>
      <c r="C842" s="1" t="n">
        <v>45937</v>
      </c>
      <c r="D842" t="inlineStr">
        <is>
          <t>KALMAR LÄN</t>
        </is>
      </c>
      <c r="E842" t="inlineStr">
        <is>
          <t>VIMMERBY</t>
        </is>
      </c>
      <c r="G842" t="n">
        <v>2.3</v>
      </c>
      <c r="H842" t="n">
        <v>0</v>
      </c>
      <c r="I842" t="n">
        <v>0</v>
      </c>
      <c r="J842" t="n">
        <v>0</v>
      </c>
      <c r="K842" t="n">
        <v>0</v>
      </c>
      <c r="L842" t="n">
        <v>0</v>
      </c>
      <c r="M842" t="n">
        <v>0</v>
      </c>
      <c r="N842" t="n">
        <v>0</v>
      </c>
      <c r="O842" t="n">
        <v>0</v>
      </c>
      <c r="P842" t="n">
        <v>0</v>
      </c>
      <c r="Q842" t="n">
        <v>0</v>
      </c>
      <c r="R842" s="2" t="inlineStr"/>
    </row>
    <row r="843" ht="15" customHeight="1">
      <c r="A843" t="inlineStr">
        <is>
          <t>A 36030-2024</t>
        </is>
      </c>
      <c r="B843" s="1" t="n">
        <v>45533.58302083334</v>
      </c>
      <c r="C843" s="1" t="n">
        <v>45937</v>
      </c>
      <c r="D843" t="inlineStr">
        <is>
          <t>KALMAR LÄN</t>
        </is>
      </c>
      <c r="E843" t="inlineStr">
        <is>
          <t>VIMMERBY</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7627-2025</t>
        </is>
      </c>
      <c r="B844" s="1" t="n">
        <v>45705.73300925926</v>
      </c>
      <c r="C844" s="1" t="n">
        <v>45937</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45937</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52755-2022</t>
        </is>
      </c>
      <c r="B846" s="1" t="n">
        <v>44875.27736111111</v>
      </c>
      <c r="C846" s="1" t="n">
        <v>45937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40823-2023</t>
        </is>
      </c>
      <c r="B847" s="1" t="n">
        <v>45171.77335648148</v>
      </c>
      <c r="C847" s="1" t="n">
        <v>45937</v>
      </c>
      <c r="D847" t="inlineStr">
        <is>
          <t>KALMAR LÄN</t>
        </is>
      </c>
      <c r="E847" t="inlineStr">
        <is>
          <t>VIMMERBY</t>
        </is>
      </c>
      <c r="G847" t="n">
        <v>2.7</v>
      </c>
      <c r="H847" t="n">
        <v>0</v>
      </c>
      <c r="I847" t="n">
        <v>0</v>
      </c>
      <c r="J847" t="n">
        <v>0</v>
      </c>
      <c r="K847" t="n">
        <v>0</v>
      </c>
      <c r="L847" t="n">
        <v>0</v>
      </c>
      <c r="M847" t="n">
        <v>0</v>
      </c>
      <c r="N847" t="n">
        <v>0</v>
      </c>
      <c r="O847" t="n">
        <v>0</v>
      </c>
      <c r="P847" t="n">
        <v>0</v>
      </c>
      <c r="Q847" t="n">
        <v>0</v>
      </c>
      <c r="R847" s="2" t="inlineStr"/>
    </row>
    <row r="848" ht="15" customHeight="1">
      <c r="A848" t="inlineStr">
        <is>
          <t>A 27761-2024</t>
        </is>
      </c>
      <c r="B848" s="1" t="n">
        <v>45475.49018518518</v>
      </c>
      <c r="C848" s="1" t="n">
        <v>45937</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21028-2023</t>
        </is>
      </c>
      <c r="B849" s="1" t="n">
        <v>45061</v>
      </c>
      <c r="C849" s="1" t="n">
        <v>45937</v>
      </c>
      <c r="D849" t="inlineStr">
        <is>
          <t>KALMAR LÄN</t>
        </is>
      </c>
      <c r="E849" t="inlineStr">
        <is>
          <t>VIMMERBY</t>
        </is>
      </c>
      <c r="F849" t="inlineStr">
        <is>
          <t>Övriga Aktiebolag</t>
        </is>
      </c>
      <c r="G849" t="n">
        <v>0.7</v>
      </c>
      <c r="H849" t="n">
        <v>0</v>
      </c>
      <c r="I849" t="n">
        <v>0</v>
      </c>
      <c r="J849" t="n">
        <v>0</v>
      </c>
      <c r="K849" t="n">
        <v>0</v>
      </c>
      <c r="L849" t="n">
        <v>0</v>
      </c>
      <c r="M849" t="n">
        <v>0</v>
      </c>
      <c r="N849" t="n">
        <v>0</v>
      </c>
      <c r="O849" t="n">
        <v>0</v>
      </c>
      <c r="P849" t="n">
        <v>0</v>
      </c>
      <c r="Q849" t="n">
        <v>0</v>
      </c>
      <c r="R849" s="2" t="inlineStr"/>
    </row>
    <row r="850" ht="15" customHeight="1">
      <c r="A850" t="inlineStr">
        <is>
          <t>A 64203-2021</t>
        </is>
      </c>
      <c r="B850" s="1" t="n">
        <v>44510.60921296296</v>
      </c>
      <c r="C850" s="1" t="n">
        <v>45937</v>
      </c>
      <c r="D850" t="inlineStr">
        <is>
          <t>KALMAR LÄN</t>
        </is>
      </c>
      <c r="E850" t="inlineStr">
        <is>
          <t>VIMMERBY</t>
        </is>
      </c>
      <c r="F850" t="inlineStr">
        <is>
          <t>Övriga Aktiebolag</t>
        </is>
      </c>
      <c r="G850" t="n">
        <v>5.4</v>
      </c>
      <c r="H850" t="n">
        <v>0</v>
      </c>
      <c r="I850" t="n">
        <v>0</v>
      </c>
      <c r="J850" t="n">
        <v>0</v>
      </c>
      <c r="K850" t="n">
        <v>0</v>
      </c>
      <c r="L850" t="n">
        <v>0</v>
      </c>
      <c r="M850" t="n">
        <v>0</v>
      </c>
      <c r="N850" t="n">
        <v>0</v>
      </c>
      <c r="O850" t="n">
        <v>0</v>
      </c>
      <c r="P850" t="n">
        <v>0</v>
      </c>
      <c r="Q850" t="n">
        <v>0</v>
      </c>
      <c r="R850" s="2" t="inlineStr"/>
    </row>
    <row r="851" ht="15" customHeight="1">
      <c r="A851" t="inlineStr">
        <is>
          <t>A 1016-2024</t>
        </is>
      </c>
      <c r="B851" s="1" t="n">
        <v>45301</v>
      </c>
      <c r="C851" s="1" t="n">
        <v>45937</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1024-2024</t>
        </is>
      </c>
      <c r="B852" s="1" t="n">
        <v>45301.68237268519</v>
      </c>
      <c r="C852" s="1" t="n">
        <v>45937</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27758-2024</t>
        </is>
      </c>
      <c r="B853" s="1" t="n">
        <v>45475.48303240741</v>
      </c>
      <c r="C853" s="1" t="n">
        <v>45937</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32865-2023</t>
        </is>
      </c>
      <c r="B854" s="1" t="n">
        <v>45124</v>
      </c>
      <c r="C854" s="1" t="n">
        <v>45937</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22194-2024</t>
        </is>
      </c>
      <c r="B855" s="1" t="n">
        <v>45446.36482638889</v>
      </c>
      <c r="C855" s="1" t="n">
        <v>45937</v>
      </c>
      <c r="D855" t="inlineStr">
        <is>
          <t>KALMAR LÄN</t>
        </is>
      </c>
      <c r="E855" t="inlineStr">
        <is>
          <t>VIMMERBY</t>
        </is>
      </c>
      <c r="F855" t="inlineStr">
        <is>
          <t>Sveaskog</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17926-2025</t>
        </is>
      </c>
      <c r="B856" s="1" t="n">
        <v>45759.38987268518</v>
      </c>
      <c r="C856" s="1" t="n">
        <v>45937</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35127-2024</t>
        </is>
      </c>
      <c r="B857" s="1" t="n">
        <v>45530.33202546297</v>
      </c>
      <c r="C857" s="1" t="n">
        <v>45937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33383-2023</t>
        </is>
      </c>
      <c r="B858" s="1" t="n">
        <v>45128.58414351852</v>
      </c>
      <c r="C858" s="1" t="n">
        <v>45937</v>
      </c>
      <c r="D858" t="inlineStr">
        <is>
          <t>KALMAR LÄN</t>
        </is>
      </c>
      <c r="E858" t="inlineStr">
        <is>
          <t>VIMMERBY</t>
        </is>
      </c>
      <c r="G858" t="n">
        <v>2.3</v>
      </c>
      <c r="H858" t="n">
        <v>0</v>
      </c>
      <c r="I858" t="n">
        <v>0</v>
      </c>
      <c r="J858" t="n">
        <v>0</v>
      </c>
      <c r="K858" t="n">
        <v>0</v>
      </c>
      <c r="L858" t="n">
        <v>0</v>
      </c>
      <c r="M858" t="n">
        <v>0</v>
      </c>
      <c r="N858" t="n">
        <v>0</v>
      </c>
      <c r="O858" t="n">
        <v>0</v>
      </c>
      <c r="P858" t="n">
        <v>0</v>
      </c>
      <c r="Q858" t="n">
        <v>0</v>
      </c>
      <c r="R858" s="2" t="inlineStr"/>
    </row>
    <row r="859">
      <c r="A859" t="inlineStr">
        <is>
          <t>A 4297-2022</t>
        </is>
      </c>
      <c r="B859" s="1" t="n">
        <v>44588</v>
      </c>
      <c r="C859" s="1" t="n">
        <v>45937</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2025-10-07T12:34:10Z</dcterms:created>
  <dcterms:modified xmlns:dcterms="http://purl.org/dc/terms/" xmlns:xsi="http://www.w3.org/2001/XMLSchema-instance" xsi:type="dcterms:W3CDTF">2025-10-07T12:34:10Z</dcterms:modified>
</cp:coreProperties>
</file>