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45923</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45923</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45923</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45923</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45923</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45923</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45923</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45923</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14584-2025</t>
        </is>
      </c>
      <c r="B16" s="1" t="n">
        <v>45742</v>
      </c>
      <c r="C16" s="1" t="n">
        <v>45923</v>
      </c>
      <c r="D16" t="inlineStr">
        <is>
          <t>KALMAR LÄN</t>
        </is>
      </c>
      <c r="E16" t="inlineStr">
        <is>
          <t>VIMMERBY</t>
        </is>
      </c>
      <c r="G16" t="n">
        <v>7</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56985-2024</t>
        </is>
      </c>
      <c r="B17" s="1" t="n">
        <v>45628</v>
      </c>
      <c r="C17" s="1" t="n">
        <v>45923</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37667-2025</t>
        </is>
      </c>
      <c r="B18" s="1" t="n">
        <v>45880.51413194444</v>
      </c>
      <c r="C18" s="1" t="n">
        <v>45923</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45923</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45923</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45923</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45923</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45923</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45923</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40684-2025</t>
        </is>
      </c>
      <c r="B25" s="1" t="n">
        <v>45896.86820601852</v>
      </c>
      <c r="C25" s="1" t="n">
        <v>45923</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22825-2023</t>
        </is>
      </c>
      <c r="B26" s="1" t="n">
        <v>45072</v>
      </c>
      <c r="C26" s="1" t="n">
        <v>45923</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42802-2025</t>
        </is>
      </c>
      <c r="B27" s="1" t="n">
        <v>45908</v>
      </c>
      <c r="C27" s="1" t="n">
        <v>45923</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19158-2023</t>
        </is>
      </c>
      <c r="B28" s="1" t="n">
        <v>45048</v>
      </c>
      <c r="C28" s="1" t="n">
        <v>45923</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14024-2023</t>
        </is>
      </c>
      <c r="B29" s="1" t="n">
        <v>45008.60878472222</v>
      </c>
      <c r="C29" s="1" t="n">
        <v>45923</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22396-2025</t>
        </is>
      </c>
      <c r="B30" s="1" t="n">
        <v>45786.52827546297</v>
      </c>
      <c r="C30" s="1" t="n">
        <v>45923</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45923</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45923</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37930-2021</t>
        </is>
      </c>
      <c r="B33" s="1" t="n">
        <v>44403</v>
      </c>
      <c r="C33" s="1" t="n">
        <v>45923</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40083-2023</t>
        </is>
      </c>
      <c r="B34" s="1" t="n">
        <v>45168</v>
      </c>
      <c r="C34" s="1" t="n">
        <v>45923</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45923</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23602-2023</t>
        </is>
      </c>
      <c r="B36" s="1" t="n">
        <v>45077</v>
      </c>
      <c r="C36" s="1" t="n">
        <v>45923</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52301-2023</t>
        </is>
      </c>
      <c r="B37" s="1" t="n">
        <v>45224</v>
      </c>
      <c r="C37" s="1" t="n">
        <v>45923</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33436-2021</t>
        </is>
      </c>
      <c r="B38" s="1" t="n">
        <v>44377.61104166666</v>
      </c>
      <c r="C38" s="1" t="n">
        <v>45923</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15122-2024</t>
        </is>
      </c>
      <c r="B39" s="1" t="n">
        <v>45399.71412037037</v>
      </c>
      <c r="C39" s="1" t="n">
        <v>45923</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45923</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28852-2023</t>
        </is>
      </c>
      <c r="B41" s="1" t="n">
        <v>45104</v>
      </c>
      <c r="C41" s="1" t="n">
        <v>45923</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44515-2024</t>
        </is>
      </c>
      <c r="B42" s="1" t="n">
        <v>45574.42767361111</v>
      </c>
      <c r="C42" s="1" t="n">
        <v>45923</v>
      </c>
      <c r="D42" t="inlineStr">
        <is>
          <t>KALMAR LÄN</t>
        </is>
      </c>
      <c r="E42" t="inlineStr">
        <is>
          <t>VIMMERBY</t>
        </is>
      </c>
      <c r="G42" t="n">
        <v>1.4</v>
      </c>
      <c r="H42" t="n">
        <v>1</v>
      </c>
      <c r="I42" t="n">
        <v>0</v>
      </c>
      <c r="J42" t="n">
        <v>0</v>
      </c>
      <c r="K42" t="n">
        <v>1</v>
      </c>
      <c r="L42" t="n">
        <v>0</v>
      </c>
      <c r="M42" t="n">
        <v>0</v>
      </c>
      <c r="N42" t="n">
        <v>0</v>
      </c>
      <c r="O42" t="n">
        <v>1</v>
      </c>
      <c r="P42" t="n">
        <v>1</v>
      </c>
      <c r="Q42" t="n">
        <v>1</v>
      </c>
      <c r="R42" s="2" t="inlineStr">
        <is>
          <t>Knärot</t>
        </is>
      </c>
      <c r="S42">
        <f>HYPERLINK("https://klasma.github.io/Logging_0884/artfynd/A 44515-2024 artfynd.xlsx", "A 44515-2024")</f>
        <v/>
      </c>
      <c r="T42">
        <f>HYPERLINK("https://klasma.github.io/Logging_0884/kartor/A 44515-2024 karta.png", "A 44515-2024")</f>
        <v/>
      </c>
      <c r="U42">
        <f>HYPERLINK("https://klasma.github.io/Logging_0884/knärot/A 44515-2024 karta knärot.png", "A 44515-2024")</f>
        <v/>
      </c>
      <c r="V42">
        <f>HYPERLINK("https://klasma.github.io/Logging_0884/klagomål/A 44515-2024 FSC-klagomål.docx", "A 44515-2024")</f>
        <v/>
      </c>
      <c r="W42">
        <f>HYPERLINK("https://klasma.github.io/Logging_0884/klagomålsmail/A 44515-2024 FSC-klagomål mail.docx", "A 44515-2024")</f>
        <v/>
      </c>
      <c r="X42">
        <f>HYPERLINK("https://klasma.github.io/Logging_0884/tillsyn/A 44515-2024 tillsynsbegäran.docx", "A 44515-2024")</f>
        <v/>
      </c>
      <c r="Y42">
        <f>HYPERLINK("https://klasma.github.io/Logging_0884/tillsynsmail/A 44515-2024 tillsynsbegäran mail.docx", "A 44515-2024")</f>
        <v/>
      </c>
    </row>
    <row r="43" ht="15" customHeight="1">
      <c r="A43" t="inlineStr">
        <is>
          <t>A 1201-2025</t>
        </is>
      </c>
      <c r="B43" s="1" t="n">
        <v>45667</v>
      </c>
      <c r="C43" s="1" t="n">
        <v>45923</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61860-2024</t>
        </is>
      </c>
      <c r="B44" s="1" t="n">
        <v>45649</v>
      </c>
      <c r="C44" s="1" t="n">
        <v>45923</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45923</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6841-2021</t>
        </is>
      </c>
      <c r="B46" s="1" t="n">
        <v>44236</v>
      </c>
      <c r="C46" s="1" t="n">
        <v>45923</v>
      </c>
      <c r="D46" t="inlineStr">
        <is>
          <t>KALMAR LÄN</t>
        </is>
      </c>
      <c r="E46" t="inlineStr">
        <is>
          <t>VIMMERBY</t>
        </is>
      </c>
      <c r="G46" t="n">
        <v>25</v>
      </c>
      <c r="H46" t="n">
        <v>0</v>
      </c>
      <c r="I46" t="n">
        <v>0</v>
      </c>
      <c r="J46" t="n">
        <v>1</v>
      </c>
      <c r="K46" t="n">
        <v>0</v>
      </c>
      <c r="L46" t="n">
        <v>0</v>
      </c>
      <c r="M46" t="n">
        <v>0</v>
      </c>
      <c r="N46" t="n">
        <v>0</v>
      </c>
      <c r="O46" t="n">
        <v>1</v>
      </c>
      <c r="P46" t="n">
        <v>0</v>
      </c>
      <c r="Q46" t="n">
        <v>1</v>
      </c>
      <c r="R46" s="2" t="inlineStr">
        <is>
          <t>Bredbrämad bastardsvärmare</t>
        </is>
      </c>
      <c r="S46">
        <f>HYPERLINK("https://klasma.github.io/Logging_0884/artfynd/A 6841-2021 artfynd.xlsx", "A 6841-2021")</f>
        <v/>
      </c>
      <c r="T46">
        <f>HYPERLINK("https://klasma.github.io/Logging_0884/kartor/A 6841-2021 karta.png", "A 6841-2021")</f>
        <v/>
      </c>
      <c r="V46">
        <f>HYPERLINK("https://klasma.github.io/Logging_0884/klagomål/A 6841-2021 FSC-klagomål.docx", "A 6841-2021")</f>
        <v/>
      </c>
      <c r="W46">
        <f>HYPERLINK("https://klasma.github.io/Logging_0884/klagomålsmail/A 6841-2021 FSC-klagomål mail.docx", "A 6841-2021")</f>
        <v/>
      </c>
      <c r="X46">
        <f>HYPERLINK("https://klasma.github.io/Logging_0884/tillsyn/A 6841-2021 tillsynsbegäran.docx", "A 6841-2021")</f>
        <v/>
      </c>
      <c r="Y46">
        <f>HYPERLINK("https://klasma.github.io/Logging_0884/tillsynsmail/A 6841-2021 tillsynsbegäran mail.docx", "A 6841-2021")</f>
        <v/>
      </c>
    </row>
    <row r="47" ht="15" customHeight="1">
      <c r="A47" t="inlineStr">
        <is>
          <t>A 38602-2025</t>
        </is>
      </c>
      <c r="B47" s="1" t="n">
        <v>45884.50331018519</v>
      </c>
      <c r="C47" s="1" t="n">
        <v>45923</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38602-2025 artfynd.xlsx", "A 38602-2025")</f>
        <v/>
      </c>
      <c r="T47">
        <f>HYPERLINK("https://klasma.github.io/Logging_0884/kartor/A 38602-2025 karta.png", "A 38602-2025")</f>
        <v/>
      </c>
      <c r="U47">
        <f>HYPERLINK("https://klasma.github.io/Logging_0884/knärot/A 38602-2025 karta knärot.png", "A 38602-2025")</f>
        <v/>
      </c>
      <c r="V47">
        <f>HYPERLINK("https://klasma.github.io/Logging_0884/klagomål/A 38602-2025 FSC-klagomål.docx", "A 38602-2025")</f>
        <v/>
      </c>
      <c r="W47">
        <f>HYPERLINK("https://klasma.github.io/Logging_0884/klagomålsmail/A 38602-2025 FSC-klagomål mail.docx", "A 38602-2025")</f>
        <v/>
      </c>
      <c r="X47">
        <f>HYPERLINK("https://klasma.github.io/Logging_0884/tillsyn/A 38602-2025 tillsynsbegäran.docx", "A 38602-2025")</f>
        <v/>
      </c>
      <c r="Y47">
        <f>HYPERLINK("https://klasma.github.io/Logging_0884/tillsynsmail/A 38602-2025 tillsynsbegäran mail.docx", "A 38602-2025")</f>
        <v/>
      </c>
    </row>
    <row r="48" ht="15" customHeight="1">
      <c r="A48" t="inlineStr">
        <is>
          <t>A 49059-2020</t>
        </is>
      </c>
      <c r="B48" s="1" t="n">
        <v>44102</v>
      </c>
      <c r="C48" s="1" t="n">
        <v>45923</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45923</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45923</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45923</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45923</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45923</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45923</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45923</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45923</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45923</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45923</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45923</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45923</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45923</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45923</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45923</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45923</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45923</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45923</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45923</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45923</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45923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45923</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45923</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45923</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45923</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45923</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45923</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45923</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45923</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45923</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45923</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45923</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45923</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45923</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45923</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45923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45923</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45923</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45923</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45923</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45923</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45923</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45923</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45923</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45923</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45923</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45923</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45923</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45923</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45923</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45923</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45923</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45923</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45923</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45923</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45923</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45923</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45923</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45923</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45923</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45923</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45923</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45923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45923</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45923</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45923</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45923</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60810-2020</t>
        </is>
      </c>
      <c r="B117" s="1" t="n">
        <v>44154</v>
      </c>
      <c r="C117" s="1" t="n">
        <v>45923</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45923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45923</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45923</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45923</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45923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45923</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45923</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45923</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45923</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45923</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52073-2020</t>
        </is>
      </c>
      <c r="B128" s="1" t="n">
        <v>44117</v>
      </c>
      <c r="C128" s="1" t="n">
        <v>45923</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45923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45923</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45923</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45923</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11814-2022</t>
        </is>
      </c>
      <c r="B133" s="1" t="n">
        <v>44634.69703703704</v>
      </c>
      <c r="C133" s="1" t="n">
        <v>45923</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56385-2021</t>
        </is>
      </c>
      <c r="B134" s="1" t="n">
        <v>44480</v>
      </c>
      <c r="C134" s="1" t="n">
        <v>45923</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31053-2022</t>
        </is>
      </c>
      <c r="B135" s="1" t="n">
        <v>44769.45422453704</v>
      </c>
      <c r="C135" s="1" t="n">
        <v>45923</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24738-2021</t>
        </is>
      </c>
      <c r="B136" s="1" t="n">
        <v>44340.58002314815</v>
      </c>
      <c r="C136" s="1" t="n">
        <v>45923</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8454-2022</t>
        </is>
      </c>
      <c r="B137" s="1" t="n">
        <v>44612.86762731482</v>
      </c>
      <c r="C137" s="1" t="n">
        <v>45923</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65887-2021</t>
        </is>
      </c>
      <c r="B138" s="1" t="n">
        <v>44517</v>
      </c>
      <c r="C138" s="1" t="n">
        <v>45923</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10086-2022</t>
        </is>
      </c>
      <c r="B139" s="1" t="n">
        <v>44621</v>
      </c>
      <c r="C139" s="1" t="n">
        <v>45923</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3330-2021</t>
        </is>
      </c>
      <c r="B140" s="1" t="n">
        <v>44217.79856481482</v>
      </c>
      <c r="C140" s="1" t="n">
        <v>45923</v>
      </c>
      <c r="D140" t="inlineStr">
        <is>
          <t>KALMAR LÄN</t>
        </is>
      </c>
      <c r="E140" t="inlineStr">
        <is>
          <t>VIMMERBY</t>
        </is>
      </c>
      <c r="G140" t="n">
        <v>11.1</v>
      </c>
      <c r="H140" t="n">
        <v>0</v>
      </c>
      <c r="I140" t="n">
        <v>0</v>
      </c>
      <c r="J140" t="n">
        <v>0</v>
      </c>
      <c r="K140" t="n">
        <v>0</v>
      </c>
      <c r="L140" t="n">
        <v>0</v>
      </c>
      <c r="M140" t="n">
        <v>0</v>
      </c>
      <c r="N140" t="n">
        <v>0</v>
      </c>
      <c r="O140" t="n">
        <v>0</v>
      </c>
      <c r="P140" t="n">
        <v>0</v>
      </c>
      <c r="Q140" t="n">
        <v>0</v>
      </c>
      <c r="R140" s="2" t="inlineStr"/>
    </row>
    <row r="141" ht="15" customHeight="1">
      <c r="A141" t="inlineStr">
        <is>
          <t>A 39959-2022</t>
        </is>
      </c>
      <c r="B141" s="1" t="n">
        <v>44819</v>
      </c>
      <c r="C141" s="1" t="n">
        <v>45923</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65564-2020</t>
        </is>
      </c>
      <c r="B142" s="1" t="n">
        <v>44172</v>
      </c>
      <c r="C142" s="1" t="n">
        <v>45923</v>
      </c>
      <c r="D142" t="inlineStr">
        <is>
          <t>KALMAR LÄN</t>
        </is>
      </c>
      <c r="E142" t="inlineStr">
        <is>
          <t>VIMMERBY</t>
        </is>
      </c>
      <c r="G142" t="n">
        <v>4.1</v>
      </c>
      <c r="H142" t="n">
        <v>0</v>
      </c>
      <c r="I142" t="n">
        <v>0</v>
      </c>
      <c r="J142" t="n">
        <v>0</v>
      </c>
      <c r="K142" t="n">
        <v>0</v>
      </c>
      <c r="L142" t="n">
        <v>0</v>
      </c>
      <c r="M142" t="n">
        <v>0</v>
      </c>
      <c r="N142" t="n">
        <v>0</v>
      </c>
      <c r="O142" t="n">
        <v>0</v>
      </c>
      <c r="P142" t="n">
        <v>0</v>
      </c>
      <c r="Q142" t="n">
        <v>0</v>
      </c>
      <c r="R142" s="2" t="inlineStr"/>
    </row>
    <row r="143" ht="15" customHeight="1">
      <c r="A143" t="inlineStr">
        <is>
          <t>A 48377-2021</t>
        </is>
      </c>
      <c r="B143" s="1" t="n">
        <v>44451.8375</v>
      </c>
      <c r="C143" s="1" t="n">
        <v>45923</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40472-2022</t>
        </is>
      </c>
      <c r="B144" s="1" t="n">
        <v>44823</v>
      </c>
      <c r="C144" s="1" t="n">
        <v>45923</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53145-2022</t>
        </is>
      </c>
      <c r="B145" s="1" t="n">
        <v>44876.48346064815</v>
      </c>
      <c r="C145" s="1" t="n">
        <v>45923</v>
      </c>
      <c r="D145" t="inlineStr">
        <is>
          <t>KALMAR LÄN</t>
        </is>
      </c>
      <c r="E145" t="inlineStr">
        <is>
          <t>VIMMERBY</t>
        </is>
      </c>
      <c r="G145" t="n">
        <v>0.4</v>
      </c>
      <c r="H145" t="n">
        <v>0</v>
      </c>
      <c r="I145" t="n">
        <v>0</v>
      </c>
      <c r="J145" t="n">
        <v>0</v>
      </c>
      <c r="K145" t="n">
        <v>0</v>
      </c>
      <c r="L145" t="n">
        <v>0</v>
      </c>
      <c r="M145" t="n">
        <v>0</v>
      </c>
      <c r="N145" t="n">
        <v>0</v>
      </c>
      <c r="O145" t="n">
        <v>0</v>
      </c>
      <c r="P145" t="n">
        <v>0</v>
      </c>
      <c r="Q145" t="n">
        <v>0</v>
      </c>
      <c r="R145" s="2" t="inlineStr"/>
    </row>
    <row r="146" ht="15" customHeight="1">
      <c r="A146" t="inlineStr">
        <is>
          <t>A 25738-2022</t>
        </is>
      </c>
      <c r="B146" s="1" t="n">
        <v>44733.43092592592</v>
      </c>
      <c r="C146" s="1" t="n">
        <v>45923</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35316-2021</t>
        </is>
      </c>
      <c r="B147" s="1" t="n">
        <v>44384</v>
      </c>
      <c r="C147" s="1" t="n">
        <v>45923</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33831-2022</t>
        </is>
      </c>
      <c r="B148" s="1" t="n">
        <v>44790.48503472222</v>
      </c>
      <c r="C148" s="1" t="n">
        <v>45923</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47708-2022</t>
        </is>
      </c>
      <c r="B149" s="1" t="n">
        <v>44854.59157407407</v>
      </c>
      <c r="C149" s="1" t="n">
        <v>45923</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12661-2021</t>
        </is>
      </c>
      <c r="B150" s="1" t="n">
        <v>44270</v>
      </c>
      <c r="C150" s="1" t="n">
        <v>45923</v>
      </c>
      <c r="D150" t="inlineStr">
        <is>
          <t>KALMAR LÄN</t>
        </is>
      </c>
      <c r="E150" t="inlineStr">
        <is>
          <t>VIMMERBY</t>
        </is>
      </c>
      <c r="G150" t="n">
        <v>1.8</v>
      </c>
      <c r="H150" t="n">
        <v>0</v>
      </c>
      <c r="I150" t="n">
        <v>0</v>
      </c>
      <c r="J150" t="n">
        <v>0</v>
      </c>
      <c r="K150" t="n">
        <v>0</v>
      </c>
      <c r="L150" t="n">
        <v>0</v>
      </c>
      <c r="M150" t="n">
        <v>0</v>
      </c>
      <c r="N150" t="n">
        <v>0</v>
      </c>
      <c r="O150" t="n">
        <v>0</v>
      </c>
      <c r="P150" t="n">
        <v>0</v>
      </c>
      <c r="Q150" t="n">
        <v>0</v>
      </c>
      <c r="R150" s="2" t="inlineStr"/>
    </row>
    <row r="151" ht="15" customHeight="1">
      <c r="A151" t="inlineStr">
        <is>
          <t>A 24999-2021</t>
        </is>
      </c>
      <c r="B151" s="1" t="n">
        <v>44341</v>
      </c>
      <c r="C151" s="1" t="n">
        <v>45923</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7917-2022</t>
        </is>
      </c>
      <c r="B152" s="1" t="n">
        <v>44608</v>
      </c>
      <c r="C152" s="1" t="n">
        <v>45923</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47208-2021</t>
        </is>
      </c>
      <c r="B153" s="1" t="n">
        <v>44447.34237268518</v>
      </c>
      <c r="C153" s="1" t="n">
        <v>45923</v>
      </c>
      <c r="D153" t="inlineStr">
        <is>
          <t>KALMAR LÄN</t>
        </is>
      </c>
      <c r="E153" t="inlineStr">
        <is>
          <t>VIMMERBY</t>
        </is>
      </c>
      <c r="G153" t="n">
        <v>1.4</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45923</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8194-2022</t>
        </is>
      </c>
      <c r="B155" s="1" t="n">
        <v>44609</v>
      </c>
      <c r="C155" s="1" t="n">
        <v>45923</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16705-2021</t>
        </is>
      </c>
      <c r="B156" s="1" t="n">
        <v>44294</v>
      </c>
      <c r="C156" s="1" t="n">
        <v>45923</v>
      </c>
      <c r="D156" t="inlineStr">
        <is>
          <t>KALMAR LÄN</t>
        </is>
      </c>
      <c r="E156" t="inlineStr">
        <is>
          <t>VIMMERBY</t>
        </is>
      </c>
      <c r="G156" t="n">
        <v>2.6</v>
      </c>
      <c r="H156" t="n">
        <v>0</v>
      </c>
      <c r="I156" t="n">
        <v>0</v>
      </c>
      <c r="J156" t="n">
        <v>0</v>
      </c>
      <c r="K156" t="n">
        <v>0</v>
      </c>
      <c r="L156" t="n">
        <v>0</v>
      </c>
      <c r="M156" t="n">
        <v>0</v>
      </c>
      <c r="N156" t="n">
        <v>0</v>
      </c>
      <c r="O156" t="n">
        <v>0</v>
      </c>
      <c r="P156" t="n">
        <v>0</v>
      </c>
      <c r="Q156" t="n">
        <v>0</v>
      </c>
      <c r="R156" s="2" t="inlineStr"/>
    </row>
    <row r="157" ht="15" customHeight="1">
      <c r="A157" t="inlineStr">
        <is>
          <t>A 15191-2021</t>
        </is>
      </c>
      <c r="B157" s="1" t="n">
        <v>44284.42348379629</v>
      </c>
      <c r="C157" s="1" t="n">
        <v>45923</v>
      </c>
      <c r="D157" t="inlineStr">
        <is>
          <t>KALMAR LÄN</t>
        </is>
      </c>
      <c r="E157" t="inlineStr">
        <is>
          <t>VIMMERBY</t>
        </is>
      </c>
      <c r="G157" t="n">
        <v>1.3</v>
      </c>
      <c r="H157" t="n">
        <v>0</v>
      </c>
      <c r="I157" t="n">
        <v>0</v>
      </c>
      <c r="J157" t="n">
        <v>0</v>
      </c>
      <c r="K157" t="n">
        <v>0</v>
      </c>
      <c r="L157" t="n">
        <v>0</v>
      </c>
      <c r="M157" t="n">
        <v>0</v>
      </c>
      <c r="N157" t="n">
        <v>0</v>
      </c>
      <c r="O157" t="n">
        <v>0</v>
      </c>
      <c r="P157" t="n">
        <v>0</v>
      </c>
      <c r="Q157" t="n">
        <v>0</v>
      </c>
      <c r="R157" s="2" t="inlineStr"/>
    </row>
    <row r="158" ht="15" customHeight="1">
      <c r="A158" t="inlineStr">
        <is>
          <t>A 51977-2020</t>
        </is>
      </c>
      <c r="B158" s="1" t="n">
        <v>44116</v>
      </c>
      <c r="C158" s="1" t="n">
        <v>45923</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40971-2021</t>
        </is>
      </c>
      <c r="B159" s="1" t="n">
        <v>44421</v>
      </c>
      <c r="C159" s="1" t="n">
        <v>45923</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68744-2020</t>
        </is>
      </c>
      <c r="B160" s="1" t="n">
        <v>44186</v>
      </c>
      <c r="C160" s="1" t="n">
        <v>45923</v>
      </c>
      <c r="D160" t="inlineStr">
        <is>
          <t>KALMAR LÄN</t>
        </is>
      </c>
      <c r="E160" t="inlineStr">
        <is>
          <t>VIMMERBY</t>
        </is>
      </c>
      <c r="G160" t="n">
        <v>2.5</v>
      </c>
      <c r="H160" t="n">
        <v>0</v>
      </c>
      <c r="I160" t="n">
        <v>0</v>
      </c>
      <c r="J160" t="n">
        <v>0</v>
      </c>
      <c r="K160" t="n">
        <v>0</v>
      </c>
      <c r="L160" t="n">
        <v>0</v>
      </c>
      <c r="M160" t="n">
        <v>0</v>
      </c>
      <c r="N160" t="n">
        <v>0</v>
      </c>
      <c r="O160" t="n">
        <v>0</v>
      </c>
      <c r="P160" t="n">
        <v>0</v>
      </c>
      <c r="Q160" t="n">
        <v>0</v>
      </c>
      <c r="R160" s="2" t="inlineStr"/>
    </row>
    <row r="161" ht="15" customHeight="1">
      <c r="A161" t="inlineStr">
        <is>
          <t>A 13457-2021</t>
        </is>
      </c>
      <c r="B161" s="1" t="n">
        <v>44273</v>
      </c>
      <c r="C161" s="1" t="n">
        <v>45923</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14278-2021</t>
        </is>
      </c>
      <c r="B162" s="1" t="n">
        <v>44278.63479166666</v>
      </c>
      <c r="C162" s="1" t="n">
        <v>45923</v>
      </c>
      <c r="D162" t="inlineStr">
        <is>
          <t>KALMAR LÄN</t>
        </is>
      </c>
      <c r="E162" t="inlineStr">
        <is>
          <t>VIMMERBY</t>
        </is>
      </c>
      <c r="F162" t="inlineStr">
        <is>
          <t>Övriga statliga verk och myndigheter</t>
        </is>
      </c>
      <c r="G162" t="n">
        <v>0.8</v>
      </c>
      <c r="H162" t="n">
        <v>0</v>
      </c>
      <c r="I162" t="n">
        <v>0</v>
      </c>
      <c r="J162" t="n">
        <v>0</v>
      </c>
      <c r="K162" t="n">
        <v>0</v>
      </c>
      <c r="L162" t="n">
        <v>0</v>
      </c>
      <c r="M162" t="n">
        <v>0</v>
      </c>
      <c r="N162" t="n">
        <v>0</v>
      </c>
      <c r="O162" t="n">
        <v>0</v>
      </c>
      <c r="P162" t="n">
        <v>0</v>
      </c>
      <c r="Q162" t="n">
        <v>0</v>
      </c>
      <c r="R162" s="2" t="inlineStr"/>
    </row>
    <row r="163" ht="15" customHeight="1">
      <c r="A163" t="inlineStr">
        <is>
          <t>A 56389-2021</t>
        </is>
      </c>
      <c r="B163" s="1" t="n">
        <v>44480</v>
      </c>
      <c r="C163" s="1" t="n">
        <v>45923</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618-2021</t>
        </is>
      </c>
      <c r="B164" s="1" t="n">
        <v>44203</v>
      </c>
      <c r="C164" s="1" t="n">
        <v>45923</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8453-2022</t>
        </is>
      </c>
      <c r="B165" s="1" t="n">
        <v>44612.86554398148</v>
      </c>
      <c r="C165" s="1" t="n">
        <v>45923</v>
      </c>
      <c r="D165" t="inlineStr">
        <is>
          <t>KALMAR LÄN</t>
        </is>
      </c>
      <c r="E165" t="inlineStr">
        <is>
          <t>VIMMERBY</t>
        </is>
      </c>
      <c r="G165" t="n">
        <v>1.7</v>
      </c>
      <c r="H165" t="n">
        <v>0</v>
      </c>
      <c r="I165" t="n">
        <v>0</v>
      </c>
      <c r="J165" t="n">
        <v>0</v>
      </c>
      <c r="K165" t="n">
        <v>0</v>
      </c>
      <c r="L165" t="n">
        <v>0</v>
      </c>
      <c r="M165" t="n">
        <v>0</v>
      </c>
      <c r="N165" t="n">
        <v>0</v>
      </c>
      <c r="O165" t="n">
        <v>0</v>
      </c>
      <c r="P165" t="n">
        <v>0</v>
      </c>
      <c r="Q165" t="n">
        <v>0</v>
      </c>
      <c r="R165" s="2" t="inlineStr"/>
    </row>
    <row r="166" ht="15" customHeight="1">
      <c r="A166" t="inlineStr">
        <is>
          <t>A 52433-2021</t>
        </is>
      </c>
      <c r="B166" s="1" t="n">
        <v>44466.34726851852</v>
      </c>
      <c r="C166" s="1" t="n">
        <v>45923</v>
      </c>
      <c r="D166" t="inlineStr">
        <is>
          <t>KALMAR LÄN</t>
        </is>
      </c>
      <c r="E166" t="inlineStr">
        <is>
          <t>VIMMERBY</t>
        </is>
      </c>
      <c r="G166" t="n">
        <v>3.5</v>
      </c>
      <c r="H166" t="n">
        <v>0</v>
      </c>
      <c r="I166" t="n">
        <v>0</v>
      </c>
      <c r="J166" t="n">
        <v>0</v>
      </c>
      <c r="K166" t="n">
        <v>0</v>
      </c>
      <c r="L166" t="n">
        <v>0</v>
      </c>
      <c r="M166" t="n">
        <v>0</v>
      </c>
      <c r="N166" t="n">
        <v>0</v>
      </c>
      <c r="O166" t="n">
        <v>0</v>
      </c>
      <c r="P166" t="n">
        <v>0</v>
      </c>
      <c r="Q166" t="n">
        <v>0</v>
      </c>
      <c r="R166" s="2" t="inlineStr"/>
    </row>
    <row r="167" ht="15" customHeight="1">
      <c r="A167" t="inlineStr">
        <is>
          <t>A 12241-2021</t>
        </is>
      </c>
      <c r="B167" s="1" t="n">
        <v>44266.7240625</v>
      </c>
      <c r="C167" s="1" t="n">
        <v>45923</v>
      </c>
      <c r="D167" t="inlineStr">
        <is>
          <t>KALMAR LÄN</t>
        </is>
      </c>
      <c r="E167" t="inlineStr">
        <is>
          <t>VIMMERBY</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12662-2021</t>
        </is>
      </c>
      <c r="B168" s="1" t="n">
        <v>44270.49743055556</v>
      </c>
      <c r="C168" s="1" t="n">
        <v>45923</v>
      </c>
      <c r="D168" t="inlineStr">
        <is>
          <t>KALMAR LÄN</t>
        </is>
      </c>
      <c r="E168" t="inlineStr">
        <is>
          <t>VIMMERBY</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50621-2022</t>
        </is>
      </c>
      <c r="B169" s="1" t="n">
        <v>44866.81100694444</v>
      </c>
      <c r="C169" s="1" t="n">
        <v>45923</v>
      </c>
      <c r="D169" t="inlineStr">
        <is>
          <t>KALMAR LÄN</t>
        </is>
      </c>
      <c r="E169" t="inlineStr">
        <is>
          <t>VIMMERBY</t>
        </is>
      </c>
      <c r="F169" t="inlineStr">
        <is>
          <t>Övriga Aktiebolag</t>
        </is>
      </c>
      <c r="G169" t="n">
        <v>5.1</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45923</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31824-2022</t>
        </is>
      </c>
      <c r="B171" s="1" t="n">
        <v>44776</v>
      </c>
      <c r="C171" s="1" t="n">
        <v>45923</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11733-2022</t>
        </is>
      </c>
      <c r="B172" s="1" t="n">
        <v>44634</v>
      </c>
      <c r="C172" s="1" t="n">
        <v>45923</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23825-2022</t>
        </is>
      </c>
      <c r="B173" s="1" t="n">
        <v>44722.48768518519</v>
      </c>
      <c r="C173" s="1" t="n">
        <v>45923</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67952-2021</t>
        </is>
      </c>
      <c r="B174" s="1" t="n">
        <v>44525.63913194444</v>
      </c>
      <c r="C174" s="1" t="n">
        <v>45923</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14521-2021</t>
        </is>
      </c>
      <c r="B175" s="1" t="n">
        <v>44279.64934027778</v>
      </c>
      <c r="C175" s="1" t="n">
        <v>45923</v>
      </c>
      <c r="D175" t="inlineStr">
        <is>
          <t>KALMAR LÄN</t>
        </is>
      </c>
      <c r="E175" t="inlineStr">
        <is>
          <t>VIMMERBY</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15533-2022</t>
        </is>
      </c>
      <c r="B176" s="1" t="n">
        <v>44662</v>
      </c>
      <c r="C176" s="1" t="n">
        <v>45923</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7804-2022</t>
        </is>
      </c>
      <c r="B177" s="1" t="n">
        <v>44608.50458333334</v>
      </c>
      <c r="C177" s="1" t="n">
        <v>45923</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39042-2022</t>
        </is>
      </c>
      <c r="B178" s="1" t="n">
        <v>44817</v>
      </c>
      <c r="C178" s="1" t="n">
        <v>45923</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32603-2021</t>
        </is>
      </c>
      <c r="B179" s="1" t="n">
        <v>44375.38789351852</v>
      </c>
      <c r="C179" s="1" t="n">
        <v>45923</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165-2022</t>
        </is>
      </c>
      <c r="B180" s="1" t="n">
        <v>44564</v>
      </c>
      <c r="C180" s="1" t="n">
        <v>45923</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36117-2021</t>
        </is>
      </c>
      <c r="B181" s="1" t="n">
        <v>44386</v>
      </c>
      <c r="C181" s="1" t="n">
        <v>45923</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42521-2021</t>
        </is>
      </c>
      <c r="B182" s="1" t="n">
        <v>44427</v>
      </c>
      <c r="C182" s="1" t="n">
        <v>45923</v>
      </c>
      <c r="D182" t="inlineStr">
        <is>
          <t>KALMAR LÄN</t>
        </is>
      </c>
      <c r="E182" t="inlineStr">
        <is>
          <t>VIMMERBY</t>
        </is>
      </c>
      <c r="G182" t="n">
        <v>5.4</v>
      </c>
      <c r="H182" t="n">
        <v>0</v>
      </c>
      <c r="I182" t="n">
        <v>0</v>
      </c>
      <c r="J182" t="n">
        <v>0</v>
      </c>
      <c r="K182" t="n">
        <v>0</v>
      </c>
      <c r="L182" t="n">
        <v>0</v>
      </c>
      <c r="M182" t="n">
        <v>0</v>
      </c>
      <c r="N182" t="n">
        <v>0</v>
      </c>
      <c r="O182" t="n">
        <v>0</v>
      </c>
      <c r="P182" t="n">
        <v>0</v>
      </c>
      <c r="Q182" t="n">
        <v>0</v>
      </c>
      <c r="R182" s="2" t="inlineStr"/>
    </row>
    <row r="183" ht="15" customHeight="1">
      <c r="A183" t="inlineStr">
        <is>
          <t>A 16288-2021</t>
        </is>
      </c>
      <c r="B183" s="1" t="n">
        <v>44292</v>
      </c>
      <c r="C183" s="1" t="n">
        <v>45923</v>
      </c>
      <c r="D183" t="inlineStr">
        <is>
          <t>KALMAR LÄN</t>
        </is>
      </c>
      <c r="E183" t="inlineStr">
        <is>
          <t>VIMMERBY</t>
        </is>
      </c>
      <c r="F183" t="inlineStr">
        <is>
          <t>Övriga Aktiebolag</t>
        </is>
      </c>
      <c r="G183" t="n">
        <v>27.6</v>
      </c>
      <c r="H183" t="n">
        <v>0</v>
      </c>
      <c r="I183" t="n">
        <v>0</v>
      </c>
      <c r="J183" t="n">
        <v>0</v>
      </c>
      <c r="K183" t="n">
        <v>0</v>
      </c>
      <c r="L183" t="n">
        <v>0</v>
      </c>
      <c r="M183" t="n">
        <v>0</v>
      </c>
      <c r="N183" t="n">
        <v>0</v>
      </c>
      <c r="O183" t="n">
        <v>0</v>
      </c>
      <c r="P183" t="n">
        <v>0</v>
      </c>
      <c r="Q183" t="n">
        <v>0</v>
      </c>
      <c r="R183" s="2" t="inlineStr"/>
    </row>
    <row r="184" ht="15" customHeight="1">
      <c r="A184" t="inlineStr">
        <is>
          <t>A 29441-2024</t>
        </is>
      </c>
      <c r="B184" s="1" t="n">
        <v>45483.82834490741</v>
      </c>
      <c r="C184" s="1" t="n">
        <v>45923</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25728-2023</t>
        </is>
      </c>
      <c r="B185" s="1" t="n">
        <v>45090.38012731481</v>
      </c>
      <c r="C185" s="1" t="n">
        <v>45923</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34040-2021</t>
        </is>
      </c>
      <c r="B186" s="1" t="n">
        <v>44379</v>
      </c>
      <c r="C186" s="1" t="n">
        <v>45923</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15200-2021</t>
        </is>
      </c>
      <c r="B187" s="1" t="n">
        <v>44284.44574074074</v>
      </c>
      <c r="C187" s="1" t="n">
        <v>45923</v>
      </c>
      <c r="D187" t="inlineStr">
        <is>
          <t>KALMAR LÄN</t>
        </is>
      </c>
      <c r="E187" t="inlineStr">
        <is>
          <t>VIMMERBY</t>
        </is>
      </c>
      <c r="G187" t="n">
        <v>1.2</v>
      </c>
      <c r="H187" t="n">
        <v>0</v>
      </c>
      <c r="I187" t="n">
        <v>0</v>
      </c>
      <c r="J187" t="n">
        <v>0</v>
      </c>
      <c r="K187" t="n">
        <v>0</v>
      </c>
      <c r="L187" t="n">
        <v>0</v>
      </c>
      <c r="M187" t="n">
        <v>0</v>
      </c>
      <c r="N187" t="n">
        <v>0</v>
      </c>
      <c r="O187" t="n">
        <v>0</v>
      </c>
      <c r="P187" t="n">
        <v>0</v>
      </c>
      <c r="Q187" t="n">
        <v>0</v>
      </c>
      <c r="R187" s="2" t="inlineStr"/>
    </row>
    <row r="188" ht="15" customHeight="1">
      <c r="A188" t="inlineStr">
        <is>
          <t>A 57948-2020</t>
        </is>
      </c>
      <c r="B188" s="1" t="n">
        <v>44142</v>
      </c>
      <c r="C188" s="1" t="n">
        <v>45923</v>
      </c>
      <c r="D188" t="inlineStr">
        <is>
          <t>KALMAR LÄN</t>
        </is>
      </c>
      <c r="E188" t="inlineStr">
        <is>
          <t>VIMMERBY</t>
        </is>
      </c>
      <c r="G188" t="n">
        <v>7.1</v>
      </c>
      <c r="H188" t="n">
        <v>0</v>
      </c>
      <c r="I188" t="n">
        <v>0</v>
      </c>
      <c r="J188" t="n">
        <v>0</v>
      </c>
      <c r="K188" t="n">
        <v>0</v>
      </c>
      <c r="L188" t="n">
        <v>0</v>
      </c>
      <c r="M188" t="n">
        <v>0</v>
      </c>
      <c r="N188" t="n">
        <v>0</v>
      </c>
      <c r="O188" t="n">
        <v>0</v>
      </c>
      <c r="P188" t="n">
        <v>0</v>
      </c>
      <c r="Q188" t="n">
        <v>0</v>
      </c>
      <c r="R188" s="2" t="inlineStr"/>
    </row>
    <row r="189" ht="15" customHeight="1">
      <c r="A189" t="inlineStr">
        <is>
          <t>A 12107-2022</t>
        </is>
      </c>
      <c r="B189" s="1" t="n">
        <v>44636</v>
      </c>
      <c r="C189" s="1" t="n">
        <v>45923</v>
      </c>
      <c r="D189" t="inlineStr">
        <is>
          <t>KALMAR LÄN</t>
        </is>
      </c>
      <c r="E189" t="inlineStr">
        <is>
          <t>VIMMERBY</t>
        </is>
      </c>
      <c r="G189" t="n">
        <v>1.8</v>
      </c>
      <c r="H189" t="n">
        <v>0</v>
      </c>
      <c r="I189" t="n">
        <v>0</v>
      </c>
      <c r="J189" t="n">
        <v>0</v>
      </c>
      <c r="K189" t="n">
        <v>0</v>
      </c>
      <c r="L189" t="n">
        <v>0</v>
      </c>
      <c r="M189" t="n">
        <v>0</v>
      </c>
      <c r="N189" t="n">
        <v>0</v>
      </c>
      <c r="O189" t="n">
        <v>0</v>
      </c>
      <c r="P189" t="n">
        <v>0</v>
      </c>
      <c r="Q189" t="n">
        <v>0</v>
      </c>
      <c r="R189" s="2" t="inlineStr"/>
    </row>
    <row r="190" ht="15" customHeight="1">
      <c r="A190" t="inlineStr">
        <is>
          <t>A 46964-2022</t>
        </is>
      </c>
      <c r="B190" s="1" t="n">
        <v>44851.95016203704</v>
      </c>
      <c r="C190" s="1" t="n">
        <v>45923</v>
      </c>
      <c r="D190" t="inlineStr">
        <is>
          <t>KALMAR LÄN</t>
        </is>
      </c>
      <c r="E190" t="inlineStr">
        <is>
          <t>VIMMERBY</t>
        </is>
      </c>
      <c r="G190" t="n">
        <v>0.2</v>
      </c>
      <c r="H190" t="n">
        <v>0</v>
      </c>
      <c r="I190" t="n">
        <v>0</v>
      </c>
      <c r="J190" t="n">
        <v>0</v>
      </c>
      <c r="K190" t="n">
        <v>0</v>
      </c>
      <c r="L190" t="n">
        <v>0</v>
      </c>
      <c r="M190" t="n">
        <v>0</v>
      </c>
      <c r="N190" t="n">
        <v>0</v>
      </c>
      <c r="O190" t="n">
        <v>0</v>
      </c>
      <c r="P190" t="n">
        <v>0</v>
      </c>
      <c r="Q190" t="n">
        <v>0</v>
      </c>
      <c r="R190" s="2" t="inlineStr"/>
    </row>
    <row r="191" ht="15" customHeight="1">
      <c r="A191" t="inlineStr">
        <is>
          <t>A 18276-2021</t>
        </is>
      </c>
      <c r="B191" s="1" t="n">
        <v>44305.40046296296</v>
      </c>
      <c r="C191" s="1" t="n">
        <v>45923</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47473-2021</t>
        </is>
      </c>
      <c r="B192" s="1" t="n">
        <v>44447</v>
      </c>
      <c r="C192" s="1" t="n">
        <v>45923</v>
      </c>
      <c r="D192" t="inlineStr">
        <is>
          <t>KALMAR LÄN</t>
        </is>
      </c>
      <c r="E192" t="inlineStr">
        <is>
          <t>VIMMERBY</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39225-2022</t>
        </is>
      </c>
      <c r="B193" s="1" t="n">
        <v>44817.57988425926</v>
      </c>
      <c r="C193" s="1" t="n">
        <v>45923</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16602-2021</t>
        </is>
      </c>
      <c r="B194" s="1" t="n">
        <v>44294</v>
      </c>
      <c r="C194" s="1" t="n">
        <v>45923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16607-2021</t>
        </is>
      </c>
      <c r="B195" s="1" t="n">
        <v>44294</v>
      </c>
      <c r="C195" s="1" t="n">
        <v>45923</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13180-2022</t>
        </is>
      </c>
      <c r="B196" s="1" t="n">
        <v>44644</v>
      </c>
      <c r="C196" s="1" t="n">
        <v>45923</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17029-2022</t>
        </is>
      </c>
      <c r="B197" s="1" t="n">
        <v>44676.85248842592</v>
      </c>
      <c r="C197" s="1" t="n">
        <v>45923</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7167-2022</t>
        </is>
      </c>
      <c r="B198" s="1" t="n">
        <v>44604</v>
      </c>
      <c r="C198" s="1" t="n">
        <v>45923</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41056-2022</t>
        </is>
      </c>
      <c r="B199" s="1" t="n">
        <v>44824</v>
      </c>
      <c r="C199" s="1" t="n">
        <v>45923</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31660-2021</t>
        </is>
      </c>
      <c r="B200" s="1" t="n">
        <v>44369</v>
      </c>
      <c r="C200" s="1" t="n">
        <v>45923</v>
      </c>
      <c r="D200" t="inlineStr">
        <is>
          <t>KALMAR LÄN</t>
        </is>
      </c>
      <c r="E200" t="inlineStr">
        <is>
          <t>VIMMERBY</t>
        </is>
      </c>
      <c r="G200" t="n">
        <v>4.2</v>
      </c>
      <c r="H200" t="n">
        <v>0</v>
      </c>
      <c r="I200" t="n">
        <v>0</v>
      </c>
      <c r="J200" t="n">
        <v>0</v>
      </c>
      <c r="K200" t="n">
        <v>0</v>
      </c>
      <c r="L200" t="n">
        <v>0</v>
      </c>
      <c r="M200" t="n">
        <v>0</v>
      </c>
      <c r="N200" t="n">
        <v>0</v>
      </c>
      <c r="O200" t="n">
        <v>0</v>
      </c>
      <c r="P200" t="n">
        <v>0</v>
      </c>
      <c r="Q200" t="n">
        <v>0</v>
      </c>
      <c r="R200" s="2" t="inlineStr"/>
    </row>
    <row r="201" ht="15" customHeight="1">
      <c r="A201" t="inlineStr">
        <is>
          <t>A 27455-2022</t>
        </is>
      </c>
      <c r="B201" s="1" t="n">
        <v>44742</v>
      </c>
      <c r="C201" s="1" t="n">
        <v>45923</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18356-2021</t>
        </is>
      </c>
      <c r="B202" s="1" t="n">
        <v>44305</v>
      </c>
      <c r="C202" s="1" t="n">
        <v>45923</v>
      </c>
      <c r="D202" t="inlineStr">
        <is>
          <t>KALMAR LÄN</t>
        </is>
      </c>
      <c r="E202" t="inlineStr">
        <is>
          <t>VIMMERBY</t>
        </is>
      </c>
      <c r="G202" t="n">
        <v>3.4</v>
      </c>
      <c r="H202" t="n">
        <v>0</v>
      </c>
      <c r="I202" t="n">
        <v>0</v>
      </c>
      <c r="J202" t="n">
        <v>0</v>
      </c>
      <c r="K202" t="n">
        <v>0</v>
      </c>
      <c r="L202" t="n">
        <v>0</v>
      </c>
      <c r="M202" t="n">
        <v>0</v>
      </c>
      <c r="N202" t="n">
        <v>0</v>
      </c>
      <c r="O202" t="n">
        <v>0</v>
      </c>
      <c r="P202" t="n">
        <v>0</v>
      </c>
      <c r="Q202" t="n">
        <v>0</v>
      </c>
      <c r="R202" s="2" t="inlineStr"/>
    </row>
    <row r="203" ht="15" customHeight="1">
      <c r="A203" t="inlineStr">
        <is>
          <t>A 52435-2021</t>
        </is>
      </c>
      <c r="B203" s="1" t="n">
        <v>44466.34962962963</v>
      </c>
      <c r="C203" s="1" t="n">
        <v>45923</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29093-2023</t>
        </is>
      </c>
      <c r="B204" s="1" t="n">
        <v>45105</v>
      </c>
      <c r="C204" s="1" t="n">
        <v>45923</v>
      </c>
      <c r="D204" t="inlineStr">
        <is>
          <t>KALMAR LÄN</t>
        </is>
      </c>
      <c r="E204" t="inlineStr">
        <is>
          <t>VIMMERBY</t>
        </is>
      </c>
      <c r="G204" t="n">
        <v>2.9</v>
      </c>
      <c r="H204" t="n">
        <v>0</v>
      </c>
      <c r="I204" t="n">
        <v>0</v>
      </c>
      <c r="J204" t="n">
        <v>0</v>
      </c>
      <c r="K204" t="n">
        <v>0</v>
      </c>
      <c r="L204" t="n">
        <v>0</v>
      </c>
      <c r="M204" t="n">
        <v>0</v>
      </c>
      <c r="N204" t="n">
        <v>0</v>
      </c>
      <c r="O204" t="n">
        <v>0</v>
      </c>
      <c r="P204" t="n">
        <v>0</v>
      </c>
      <c r="Q204" t="n">
        <v>0</v>
      </c>
      <c r="R204" s="2" t="inlineStr"/>
    </row>
    <row r="205" ht="15" customHeight="1">
      <c r="A205" t="inlineStr">
        <is>
          <t>A 14220-2021</t>
        </is>
      </c>
      <c r="B205" s="1" t="n">
        <v>44278.54855324074</v>
      </c>
      <c r="C205" s="1" t="n">
        <v>45923</v>
      </c>
      <c r="D205" t="inlineStr">
        <is>
          <t>KALMAR LÄN</t>
        </is>
      </c>
      <c r="E205" t="inlineStr">
        <is>
          <t>VIMMERBY</t>
        </is>
      </c>
      <c r="G205" t="n">
        <v>0.3</v>
      </c>
      <c r="H205" t="n">
        <v>0</v>
      </c>
      <c r="I205" t="n">
        <v>0</v>
      </c>
      <c r="J205" t="n">
        <v>0</v>
      </c>
      <c r="K205" t="n">
        <v>0</v>
      </c>
      <c r="L205" t="n">
        <v>0</v>
      </c>
      <c r="M205" t="n">
        <v>0</v>
      </c>
      <c r="N205" t="n">
        <v>0</v>
      </c>
      <c r="O205" t="n">
        <v>0</v>
      </c>
      <c r="P205" t="n">
        <v>0</v>
      </c>
      <c r="Q205" t="n">
        <v>0</v>
      </c>
      <c r="R205" s="2" t="inlineStr"/>
    </row>
    <row r="206" ht="15" customHeight="1">
      <c r="A206" t="inlineStr">
        <is>
          <t>A 33359-2021</t>
        </is>
      </c>
      <c r="B206" s="1" t="n">
        <v>44377.49684027778</v>
      </c>
      <c r="C206" s="1" t="n">
        <v>45923</v>
      </c>
      <c r="D206" t="inlineStr">
        <is>
          <t>KALMAR LÄN</t>
        </is>
      </c>
      <c r="E206" t="inlineStr">
        <is>
          <t>VIMMERBY</t>
        </is>
      </c>
      <c r="F206" t="inlineStr">
        <is>
          <t>Kommuner</t>
        </is>
      </c>
      <c r="G206" t="n">
        <v>8</v>
      </c>
      <c r="H206" t="n">
        <v>0</v>
      </c>
      <c r="I206" t="n">
        <v>0</v>
      </c>
      <c r="J206" t="n">
        <v>0</v>
      </c>
      <c r="K206" t="n">
        <v>0</v>
      </c>
      <c r="L206" t="n">
        <v>0</v>
      </c>
      <c r="M206" t="n">
        <v>0</v>
      </c>
      <c r="N206" t="n">
        <v>0</v>
      </c>
      <c r="O206" t="n">
        <v>0</v>
      </c>
      <c r="P206" t="n">
        <v>0</v>
      </c>
      <c r="Q206" t="n">
        <v>0</v>
      </c>
      <c r="R206" s="2" t="inlineStr"/>
    </row>
    <row r="207" ht="15" customHeight="1">
      <c r="A207" t="inlineStr">
        <is>
          <t>A 43038-2022</t>
        </is>
      </c>
      <c r="B207" s="1" t="n">
        <v>44833.60123842592</v>
      </c>
      <c r="C207" s="1" t="n">
        <v>45923</v>
      </c>
      <c r="D207" t="inlineStr">
        <is>
          <t>KALMAR LÄN</t>
        </is>
      </c>
      <c r="E207" t="inlineStr">
        <is>
          <t>VIMMERBY</t>
        </is>
      </c>
      <c r="G207" t="n">
        <v>4.2</v>
      </c>
      <c r="H207" t="n">
        <v>0</v>
      </c>
      <c r="I207" t="n">
        <v>0</v>
      </c>
      <c r="J207" t="n">
        <v>0</v>
      </c>
      <c r="K207" t="n">
        <v>0</v>
      </c>
      <c r="L207" t="n">
        <v>0</v>
      </c>
      <c r="M207" t="n">
        <v>0</v>
      </c>
      <c r="N207" t="n">
        <v>0</v>
      </c>
      <c r="O207" t="n">
        <v>0</v>
      </c>
      <c r="P207" t="n">
        <v>0</v>
      </c>
      <c r="Q207" t="n">
        <v>0</v>
      </c>
      <c r="R207" s="2" t="inlineStr"/>
    </row>
    <row r="208" ht="15" customHeight="1">
      <c r="A208" t="inlineStr">
        <is>
          <t>A 50087-2023</t>
        </is>
      </c>
      <c r="B208" s="1" t="n">
        <v>45215.59743055556</v>
      </c>
      <c r="C208" s="1" t="n">
        <v>45923</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33681-2022</t>
        </is>
      </c>
      <c r="B209" s="1" t="n">
        <v>44789</v>
      </c>
      <c r="C209" s="1" t="n">
        <v>45923</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42850-2022</t>
        </is>
      </c>
      <c r="B210" s="1" t="n">
        <v>44832.67608796297</v>
      </c>
      <c r="C210" s="1" t="n">
        <v>45923</v>
      </c>
      <c r="D210" t="inlineStr">
        <is>
          <t>KALMAR LÄN</t>
        </is>
      </c>
      <c r="E210" t="inlineStr">
        <is>
          <t>VIMMERBY</t>
        </is>
      </c>
      <c r="G210" t="n">
        <v>5.9</v>
      </c>
      <c r="H210" t="n">
        <v>0</v>
      </c>
      <c r="I210" t="n">
        <v>0</v>
      </c>
      <c r="J210" t="n">
        <v>0</v>
      </c>
      <c r="K210" t="n">
        <v>0</v>
      </c>
      <c r="L210" t="n">
        <v>0</v>
      </c>
      <c r="M210" t="n">
        <v>0</v>
      </c>
      <c r="N210" t="n">
        <v>0</v>
      </c>
      <c r="O210" t="n">
        <v>0</v>
      </c>
      <c r="P210" t="n">
        <v>0</v>
      </c>
      <c r="Q210" t="n">
        <v>0</v>
      </c>
      <c r="R210" s="2" t="inlineStr"/>
    </row>
    <row r="211" ht="15" customHeight="1">
      <c r="A211" t="inlineStr">
        <is>
          <t>A 35001-2021</t>
        </is>
      </c>
      <c r="B211" s="1" t="n">
        <v>44383</v>
      </c>
      <c r="C211" s="1" t="n">
        <v>45923</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58374-2024</t>
        </is>
      </c>
      <c r="B212" s="1" t="n">
        <v>45632.72635416667</v>
      </c>
      <c r="C212" s="1" t="n">
        <v>45923</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55674-2021</t>
        </is>
      </c>
      <c r="B213" s="1" t="n">
        <v>44476</v>
      </c>
      <c r="C213" s="1" t="n">
        <v>45923</v>
      </c>
      <c r="D213" t="inlineStr">
        <is>
          <t>KALMAR LÄN</t>
        </is>
      </c>
      <c r="E213" t="inlineStr">
        <is>
          <t>VIMMERBY</t>
        </is>
      </c>
      <c r="G213" t="n">
        <v>2.1</v>
      </c>
      <c r="H213" t="n">
        <v>0</v>
      </c>
      <c r="I213" t="n">
        <v>0</v>
      </c>
      <c r="J213" t="n">
        <v>0</v>
      </c>
      <c r="K213" t="n">
        <v>0</v>
      </c>
      <c r="L213" t="n">
        <v>0</v>
      </c>
      <c r="M213" t="n">
        <v>0</v>
      </c>
      <c r="N213" t="n">
        <v>0</v>
      </c>
      <c r="O213" t="n">
        <v>0</v>
      </c>
      <c r="P213" t="n">
        <v>0</v>
      </c>
      <c r="Q213" t="n">
        <v>0</v>
      </c>
      <c r="R213" s="2" t="inlineStr"/>
    </row>
    <row r="214" ht="15" customHeight="1">
      <c r="A214" t="inlineStr">
        <is>
          <t>A 16825-2024</t>
        </is>
      </c>
      <c r="B214" s="1" t="n">
        <v>45411.47335648148</v>
      </c>
      <c r="C214" s="1" t="n">
        <v>45923</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40077-2021</t>
        </is>
      </c>
      <c r="B215" s="1" t="n">
        <v>44418</v>
      </c>
      <c r="C215" s="1" t="n">
        <v>45923</v>
      </c>
      <c r="D215" t="inlineStr">
        <is>
          <t>KALMAR LÄN</t>
        </is>
      </c>
      <c r="E215" t="inlineStr">
        <is>
          <t>VIMMERBY</t>
        </is>
      </c>
      <c r="G215" t="n">
        <v>2.9</v>
      </c>
      <c r="H215" t="n">
        <v>0</v>
      </c>
      <c r="I215" t="n">
        <v>0</v>
      </c>
      <c r="J215" t="n">
        <v>0</v>
      </c>
      <c r="K215" t="n">
        <v>0</v>
      </c>
      <c r="L215" t="n">
        <v>0</v>
      </c>
      <c r="M215" t="n">
        <v>0</v>
      </c>
      <c r="N215" t="n">
        <v>0</v>
      </c>
      <c r="O215" t="n">
        <v>0</v>
      </c>
      <c r="P215" t="n">
        <v>0</v>
      </c>
      <c r="Q215" t="n">
        <v>0</v>
      </c>
      <c r="R215" s="2" t="inlineStr"/>
    </row>
    <row r="216" ht="15" customHeight="1">
      <c r="A216" t="inlineStr">
        <is>
          <t>A 55300-2021</t>
        </is>
      </c>
      <c r="B216" s="1" t="n">
        <v>44475</v>
      </c>
      <c r="C216" s="1" t="n">
        <v>45923</v>
      </c>
      <c r="D216" t="inlineStr">
        <is>
          <t>KALMAR LÄN</t>
        </is>
      </c>
      <c r="E216" t="inlineStr">
        <is>
          <t>VIMMERBY</t>
        </is>
      </c>
      <c r="G216" t="n">
        <v>3.4</v>
      </c>
      <c r="H216" t="n">
        <v>0</v>
      </c>
      <c r="I216" t="n">
        <v>0</v>
      </c>
      <c r="J216" t="n">
        <v>0</v>
      </c>
      <c r="K216" t="n">
        <v>0</v>
      </c>
      <c r="L216" t="n">
        <v>0</v>
      </c>
      <c r="M216" t="n">
        <v>0</v>
      </c>
      <c r="N216" t="n">
        <v>0</v>
      </c>
      <c r="O216" t="n">
        <v>0</v>
      </c>
      <c r="P216" t="n">
        <v>0</v>
      </c>
      <c r="Q216" t="n">
        <v>0</v>
      </c>
      <c r="R216" s="2" t="inlineStr"/>
    </row>
    <row r="217" ht="15" customHeight="1">
      <c r="A217" t="inlineStr">
        <is>
          <t>A 12033-2024</t>
        </is>
      </c>
      <c r="B217" s="1" t="n">
        <v>45377.40043981482</v>
      </c>
      <c r="C217" s="1" t="n">
        <v>45923</v>
      </c>
      <c r="D217" t="inlineStr">
        <is>
          <t>KALMAR LÄN</t>
        </is>
      </c>
      <c r="E217" t="inlineStr">
        <is>
          <t>VIMMERBY</t>
        </is>
      </c>
      <c r="G217" t="n">
        <v>1.6</v>
      </c>
      <c r="H217" t="n">
        <v>0</v>
      </c>
      <c r="I217" t="n">
        <v>0</v>
      </c>
      <c r="J217" t="n">
        <v>0</v>
      </c>
      <c r="K217" t="n">
        <v>0</v>
      </c>
      <c r="L217" t="n">
        <v>0</v>
      </c>
      <c r="M217" t="n">
        <v>0</v>
      </c>
      <c r="N217" t="n">
        <v>0</v>
      </c>
      <c r="O217" t="n">
        <v>0</v>
      </c>
      <c r="P217" t="n">
        <v>0</v>
      </c>
      <c r="Q217" t="n">
        <v>0</v>
      </c>
      <c r="R217" s="2" t="inlineStr"/>
    </row>
    <row r="218" ht="15" customHeight="1">
      <c r="A218" t="inlineStr">
        <is>
          <t>A 46522-2022</t>
        </is>
      </c>
      <c r="B218" s="1" t="n">
        <v>44848.59133101852</v>
      </c>
      <c r="C218" s="1" t="n">
        <v>45923</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21109-2024</t>
        </is>
      </c>
      <c r="B219" s="1" t="n">
        <v>45440.28329861111</v>
      </c>
      <c r="C219" s="1" t="n">
        <v>45923</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6214-2025</t>
        </is>
      </c>
      <c r="B220" s="1" t="n">
        <v>45698.51711805556</v>
      </c>
      <c r="C220" s="1" t="n">
        <v>45923</v>
      </c>
      <c r="D220" t="inlineStr">
        <is>
          <t>KALMAR LÄN</t>
        </is>
      </c>
      <c r="E220" t="inlineStr">
        <is>
          <t>VIMMERBY</t>
        </is>
      </c>
      <c r="G220" t="n">
        <v>1.2</v>
      </c>
      <c r="H220" t="n">
        <v>0</v>
      </c>
      <c r="I220" t="n">
        <v>0</v>
      </c>
      <c r="J220" t="n">
        <v>0</v>
      </c>
      <c r="K220" t="n">
        <v>0</v>
      </c>
      <c r="L220" t="n">
        <v>0</v>
      </c>
      <c r="M220" t="n">
        <v>0</v>
      </c>
      <c r="N220" t="n">
        <v>0</v>
      </c>
      <c r="O220" t="n">
        <v>0</v>
      </c>
      <c r="P220" t="n">
        <v>0</v>
      </c>
      <c r="Q220" t="n">
        <v>0</v>
      </c>
      <c r="R220" s="2" t="inlineStr"/>
    </row>
    <row r="221" ht="15" customHeight="1">
      <c r="A221" t="inlineStr">
        <is>
          <t>A 47263-2023</t>
        </is>
      </c>
      <c r="B221" s="1" t="n">
        <v>45202.4209837963</v>
      </c>
      <c r="C221" s="1" t="n">
        <v>45923</v>
      </c>
      <c r="D221" t="inlineStr">
        <is>
          <t>KALMAR LÄN</t>
        </is>
      </c>
      <c r="E221" t="inlineStr">
        <is>
          <t>VIMMERBY</t>
        </is>
      </c>
      <c r="G221" t="n">
        <v>1.8</v>
      </c>
      <c r="H221" t="n">
        <v>0</v>
      </c>
      <c r="I221" t="n">
        <v>0</v>
      </c>
      <c r="J221" t="n">
        <v>0</v>
      </c>
      <c r="K221" t="n">
        <v>0</v>
      </c>
      <c r="L221" t="n">
        <v>0</v>
      </c>
      <c r="M221" t="n">
        <v>0</v>
      </c>
      <c r="N221" t="n">
        <v>0</v>
      </c>
      <c r="O221" t="n">
        <v>0</v>
      </c>
      <c r="P221" t="n">
        <v>0</v>
      </c>
      <c r="Q221" t="n">
        <v>0</v>
      </c>
      <c r="R221" s="2" t="inlineStr"/>
    </row>
    <row r="222" ht="15" customHeight="1">
      <c r="A222" t="inlineStr">
        <is>
          <t>A 47769-2022</t>
        </is>
      </c>
      <c r="B222" s="1" t="n">
        <v>44854</v>
      </c>
      <c r="C222" s="1" t="n">
        <v>45923</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49408-2023</t>
        </is>
      </c>
      <c r="B223" s="1" t="n">
        <v>45211.43555555555</v>
      </c>
      <c r="C223" s="1" t="n">
        <v>45923</v>
      </c>
      <c r="D223" t="inlineStr">
        <is>
          <t>KALMAR LÄN</t>
        </is>
      </c>
      <c r="E223" t="inlineStr">
        <is>
          <t>VIMMERBY</t>
        </is>
      </c>
      <c r="G223" t="n">
        <v>13.1</v>
      </c>
      <c r="H223" t="n">
        <v>0</v>
      </c>
      <c r="I223" t="n">
        <v>0</v>
      </c>
      <c r="J223" t="n">
        <v>0</v>
      </c>
      <c r="K223" t="n">
        <v>0</v>
      </c>
      <c r="L223" t="n">
        <v>0</v>
      </c>
      <c r="M223" t="n">
        <v>0</v>
      </c>
      <c r="N223" t="n">
        <v>0</v>
      </c>
      <c r="O223" t="n">
        <v>0</v>
      </c>
      <c r="P223" t="n">
        <v>0</v>
      </c>
      <c r="Q223" t="n">
        <v>0</v>
      </c>
      <c r="R223" s="2" t="inlineStr"/>
    </row>
    <row r="224" ht="15" customHeight="1">
      <c r="A224" t="inlineStr">
        <is>
          <t>A 33815-2022</t>
        </is>
      </c>
      <c r="B224" s="1" t="n">
        <v>44790.45876157407</v>
      </c>
      <c r="C224" s="1" t="n">
        <v>45923</v>
      </c>
      <c r="D224" t="inlineStr">
        <is>
          <t>KALMAR LÄN</t>
        </is>
      </c>
      <c r="E224" t="inlineStr">
        <is>
          <t>VIMMERBY</t>
        </is>
      </c>
      <c r="G224" t="n">
        <v>0.9</v>
      </c>
      <c r="H224" t="n">
        <v>0</v>
      </c>
      <c r="I224" t="n">
        <v>0</v>
      </c>
      <c r="J224" t="n">
        <v>0</v>
      </c>
      <c r="K224" t="n">
        <v>0</v>
      </c>
      <c r="L224" t="n">
        <v>0</v>
      </c>
      <c r="M224" t="n">
        <v>0</v>
      </c>
      <c r="N224" t="n">
        <v>0</v>
      </c>
      <c r="O224" t="n">
        <v>0</v>
      </c>
      <c r="P224" t="n">
        <v>0</v>
      </c>
      <c r="Q224" t="n">
        <v>0</v>
      </c>
      <c r="R224" s="2" t="inlineStr"/>
    </row>
    <row r="225" ht="15" customHeight="1">
      <c r="A225" t="inlineStr">
        <is>
          <t>A 27443-2023</t>
        </is>
      </c>
      <c r="B225" s="1" t="n">
        <v>45097.40524305555</v>
      </c>
      <c r="C225" s="1" t="n">
        <v>45923</v>
      </c>
      <c r="D225" t="inlineStr">
        <is>
          <t>KALMAR LÄN</t>
        </is>
      </c>
      <c r="E225" t="inlineStr">
        <is>
          <t>VIMMERBY</t>
        </is>
      </c>
      <c r="F225" t="inlineStr">
        <is>
          <t>Övriga Aktiebolag</t>
        </is>
      </c>
      <c r="G225" t="n">
        <v>2.3</v>
      </c>
      <c r="H225" t="n">
        <v>0</v>
      </c>
      <c r="I225" t="n">
        <v>0</v>
      </c>
      <c r="J225" t="n">
        <v>0</v>
      </c>
      <c r="K225" t="n">
        <v>0</v>
      </c>
      <c r="L225" t="n">
        <v>0</v>
      </c>
      <c r="M225" t="n">
        <v>0</v>
      </c>
      <c r="N225" t="n">
        <v>0</v>
      </c>
      <c r="O225" t="n">
        <v>0</v>
      </c>
      <c r="P225" t="n">
        <v>0</v>
      </c>
      <c r="Q225" t="n">
        <v>0</v>
      </c>
      <c r="R225" s="2" t="inlineStr"/>
    </row>
    <row r="226" ht="15" customHeight="1">
      <c r="A226" t="inlineStr">
        <is>
          <t>A 28395-2023</t>
        </is>
      </c>
      <c r="B226" s="1" t="n">
        <v>45100.4062962963</v>
      </c>
      <c r="C226" s="1" t="n">
        <v>45923</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18501-2024</t>
        </is>
      </c>
      <c r="B227" s="1" t="n">
        <v>45425.57538194444</v>
      </c>
      <c r="C227" s="1" t="n">
        <v>45923</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2536-2023</t>
        </is>
      </c>
      <c r="B228" s="1" t="n">
        <v>44943.62954861111</v>
      </c>
      <c r="C228" s="1" t="n">
        <v>45923</v>
      </c>
      <c r="D228" t="inlineStr">
        <is>
          <t>KALMAR LÄN</t>
        </is>
      </c>
      <c r="E228" t="inlineStr">
        <is>
          <t>VIMMERBY</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2801-2023</t>
        </is>
      </c>
      <c r="B229" s="1" t="n">
        <v>44944.73487268519</v>
      </c>
      <c r="C229" s="1" t="n">
        <v>45923</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49461-2022</t>
        </is>
      </c>
      <c r="B230" s="1" t="n">
        <v>44861</v>
      </c>
      <c r="C230" s="1" t="n">
        <v>45923</v>
      </c>
      <c r="D230" t="inlineStr">
        <is>
          <t>KALMAR LÄN</t>
        </is>
      </c>
      <c r="E230" t="inlineStr">
        <is>
          <t>VIMMERBY</t>
        </is>
      </c>
      <c r="G230" t="n">
        <v>3.2</v>
      </c>
      <c r="H230" t="n">
        <v>0</v>
      </c>
      <c r="I230" t="n">
        <v>0</v>
      </c>
      <c r="J230" t="n">
        <v>0</v>
      </c>
      <c r="K230" t="n">
        <v>0</v>
      </c>
      <c r="L230" t="n">
        <v>0</v>
      </c>
      <c r="M230" t="n">
        <v>0</v>
      </c>
      <c r="N230" t="n">
        <v>0</v>
      </c>
      <c r="O230" t="n">
        <v>0</v>
      </c>
      <c r="P230" t="n">
        <v>0</v>
      </c>
      <c r="Q230" t="n">
        <v>0</v>
      </c>
      <c r="R230" s="2" t="inlineStr"/>
    </row>
    <row r="231" ht="15" customHeight="1">
      <c r="A231" t="inlineStr">
        <is>
          <t>A 53542-2022</t>
        </is>
      </c>
      <c r="B231" s="1" t="n">
        <v>44879.62173611111</v>
      </c>
      <c r="C231" s="1" t="n">
        <v>45923</v>
      </c>
      <c r="D231" t="inlineStr">
        <is>
          <t>KALMAR LÄN</t>
        </is>
      </c>
      <c r="E231" t="inlineStr">
        <is>
          <t>VIMMERBY</t>
        </is>
      </c>
      <c r="G231" t="n">
        <v>2.6</v>
      </c>
      <c r="H231" t="n">
        <v>0</v>
      </c>
      <c r="I231" t="n">
        <v>0</v>
      </c>
      <c r="J231" t="n">
        <v>0</v>
      </c>
      <c r="K231" t="n">
        <v>0</v>
      </c>
      <c r="L231" t="n">
        <v>0</v>
      </c>
      <c r="M231" t="n">
        <v>0</v>
      </c>
      <c r="N231" t="n">
        <v>0</v>
      </c>
      <c r="O231" t="n">
        <v>0</v>
      </c>
      <c r="P231" t="n">
        <v>0</v>
      </c>
      <c r="Q231" t="n">
        <v>0</v>
      </c>
      <c r="R231" s="2" t="inlineStr"/>
    </row>
    <row r="232" ht="15" customHeight="1">
      <c r="A232" t="inlineStr">
        <is>
          <t>A 17968-2025</t>
        </is>
      </c>
      <c r="B232" s="1" t="n">
        <v>45761.35990740741</v>
      </c>
      <c r="C232" s="1" t="n">
        <v>45923</v>
      </c>
      <c r="D232" t="inlineStr">
        <is>
          <t>KALMAR LÄN</t>
        </is>
      </c>
      <c r="E232" t="inlineStr">
        <is>
          <t>VIMMERBY</t>
        </is>
      </c>
      <c r="G232" t="n">
        <v>3.3</v>
      </c>
      <c r="H232" t="n">
        <v>0</v>
      </c>
      <c r="I232" t="n">
        <v>0</v>
      </c>
      <c r="J232" t="n">
        <v>0</v>
      </c>
      <c r="K232" t="n">
        <v>0</v>
      </c>
      <c r="L232" t="n">
        <v>0</v>
      </c>
      <c r="M232" t="n">
        <v>0</v>
      </c>
      <c r="N232" t="n">
        <v>0</v>
      </c>
      <c r="O232" t="n">
        <v>0</v>
      </c>
      <c r="P232" t="n">
        <v>0</v>
      </c>
      <c r="Q232" t="n">
        <v>0</v>
      </c>
      <c r="R232" s="2" t="inlineStr"/>
    </row>
    <row r="233" ht="15" customHeight="1">
      <c r="A233" t="inlineStr">
        <is>
          <t>A 35713-2023</t>
        </is>
      </c>
      <c r="B233" s="1" t="n">
        <v>45147</v>
      </c>
      <c r="C233" s="1" t="n">
        <v>45923</v>
      </c>
      <c r="D233" t="inlineStr">
        <is>
          <t>KALMAR LÄN</t>
        </is>
      </c>
      <c r="E233" t="inlineStr">
        <is>
          <t>VIMMERBY</t>
        </is>
      </c>
      <c r="G233" t="n">
        <v>1.6</v>
      </c>
      <c r="H233" t="n">
        <v>0</v>
      </c>
      <c r="I233" t="n">
        <v>0</v>
      </c>
      <c r="J233" t="n">
        <v>0</v>
      </c>
      <c r="K233" t="n">
        <v>0</v>
      </c>
      <c r="L233" t="n">
        <v>0</v>
      </c>
      <c r="M233" t="n">
        <v>0</v>
      </c>
      <c r="N233" t="n">
        <v>0</v>
      </c>
      <c r="O233" t="n">
        <v>0</v>
      </c>
      <c r="P233" t="n">
        <v>0</v>
      </c>
      <c r="Q233" t="n">
        <v>0</v>
      </c>
      <c r="R233" s="2" t="inlineStr"/>
    </row>
    <row r="234" ht="15" customHeight="1">
      <c r="A234" t="inlineStr">
        <is>
          <t>A 25799-2023</t>
        </is>
      </c>
      <c r="B234" s="1" t="n">
        <v>45090</v>
      </c>
      <c r="C234" s="1" t="n">
        <v>45923</v>
      </c>
      <c r="D234" t="inlineStr">
        <is>
          <t>KALMAR LÄN</t>
        </is>
      </c>
      <c r="E234" t="inlineStr">
        <is>
          <t>VIMMERBY</t>
        </is>
      </c>
      <c r="G234" t="n">
        <v>7.7</v>
      </c>
      <c r="H234" t="n">
        <v>0</v>
      </c>
      <c r="I234" t="n">
        <v>0</v>
      </c>
      <c r="J234" t="n">
        <v>0</v>
      </c>
      <c r="K234" t="n">
        <v>0</v>
      </c>
      <c r="L234" t="n">
        <v>0</v>
      </c>
      <c r="M234" t="n">
        <v>0</v>
      </c>
      <c r="N234" t="n">
        <v>0</v>
      </c>
      <c r="O234" t="n">
        <v>0</v>
      </c>
      <c r="P234" t="n">
        <v>0</v>
      </c>
      <c r="Q234" t="n">
        <v>0</v>
      </c>
      <c r="R234" s="2" t="inlineStr"/>
    </row>
    <row r="235" ht="15" customHeight="1">
      <c r="A235" t="inlineStr">
        <is>
          <t>A 16015-2025</t>
        </is>
      </c>
      <c r="B235" s="1" t="n">
        <v>45749.60487268519</v>
      </c>
      <c r="C235" s="1" t="n">
        <v>45923</v>
      </c>
      <c r="D235" t="inlineStr">
        <is>
          <t>KALMAR LÄN</t>
        </is>
      </c>
      <c r="E235" t="inlineStr">
        <is>
          <t>VIMMERBY</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39736-2025</t>
        </is>
      </c>
      <c r="B236" s="1" t="n">
        <v>45891</v>
      </c>
      <c r="C236" s="1" t="n">
        <v>45923</v>
      </c>
      <c r="D236" t="inlineStr">
        <is>
          <t>KALMAR LÄN</t>
        </is>
      </c>
      <c r="E236" t="inlineStr">
        <is>
          <t>VIMMERBY</t>
        </is>
      </c>
      <c r="G236" t="n">
        <v>12.8</v>
      </c>
      <c r="H236" t="n">
        <v>0</v>
      </c>
      <c r="I236" t="n">
        <v>0</v>
      </c>
      <c r="J236" t="n">
        <v>0</v>
      </c>
      <c r="K236" t="n">
        <v>0</v>
      </c>
      <c r="L236" t="n">
        <v>0</v>
      </c>
      <c r="M236" t="n">
        <v>0</v>
      </c>
      <c r="N236" t="n">
        <v>0</v>
      </c>
      <c r="O236" t="n">
        <v>0</v>
      </c>
      <c r="P236" t="n">
        <v>0</v>
      </c>
      <c r="Q236" t="n">
        <v>0</v>
      </c>
      <c r="R236" s="2" t="inlineStr"/>
    </row>
    <row r="237" ht="15" customHeight="1">
      <c r="A237" t="inlineStr">
        <is>
          <t>A 57256-2023</t>
        </is>
      </c>
      <c r="B237" s="1" t="n">
        <v>45245.5735300926</v>
      </c>
      <c r="C237" s="1" t="n">
        <v>45923</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10424-2023</t>
        </is>
      </c>
      <c r="B238" s="1" t="n">
        <v>44987.54104166666</v>
      </c>
      <c r="C238" s="1" t="n">
        <v>45923</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23088-2024</t>
        </is>
      </c>
      <c r="B239" s="1" t="n">
        <v>45450.51092592593</v>
      </c>
      <c r="C239" s="1" t="n">
        <v>45923</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39803-2025</t>
        </is>
      </c>
      <c r="B240" s="1" t="n">
        <v>45891.50525462963</v>
      </c>
      <c r="C240" s="1" t="n">
        <v>45923</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39807-2025</t>
        </is>
      </c>
      <c r="B241" s="1" t="n">
        <v>45891.50986111111</v>
      </c>
      <c r="C241" s="1" t="n">
        <v>45923</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14451-2024</t>
        </is>
      </c>
      <c r="B242" s="1" t="n">
        <v>45394.50028935185</v>
      </c>
      <c r="C242" s="1" t="n">
        <v>45923</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46238-2024</t>
        </is>
      </c>
      <c r="B243" s="1" t="n">
        <v>45581.58418981481</v>
      </c>
      <c r="C243" s="1" t="n">
        <v>45923</v>
      </c>
      <c r="D243" t="inlineStr">
        <is>
          <t>KALMAR LÄN</t>
        </is>
      </c>
      <c r="E243" t="inlineStr">
        <is>
          <t>VIMMERBY</t>
        </is>
      </c>
      <c r="G243" t="n">
        <v>2.1</v>
      </c>
      <c r="H243" t="n">
        <v>0</v>
      </c>
      <c r="I243" t="n">
        <v>0</v>
      </c>
      <c r="J243" t="n">
        <v>0</v>
      </c>
      <c r="K243" t="n">
        <v>0</v>
      </c>
      <c r="L243" t="n">
        <v>0</v>
      </c>
      <c r="M243" t="n">
        <v>0</v>
      </c>
      <c r="N243" t="n">
        <v>0</v>
      </c>
      <c r="O243" t="n">
        <v>0</v>
      </c>
      <c r="P243" t="n">
        <v>0</v>
      </c>
      <c r="Q243" t="n">
        <v>0</v>
      </c>
      <c r="R243" s="2" t="inlineStr"/>
    </row>
    <row r="244" ht="15" customHeight="1">
      <c r="A244" t="inlineStr">
        <is>
          <t>A 50993-2022</t>
        </is>
      </c>
      <c r="B244" s="1" t="n">
        <v>44867</v>
      </c>
      <c r="C244" s="1" t="n">
        <v>45923</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46225-2024</t>
        </is>
      </c>
      <c r="B245" s="1" t="n">
        <v>45581.57333333333</v>
      </c>
      <c r="C245" s="1" t="n">
        <v>45923</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57189-2022</t>
        </is>
      </c>
      <c r="B246" s="1" t="n">
        <v>44895.62296296296</v>
      </c>
      <c r="C246" s="1" t="n">
        <v>45923</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36055-2024</t>
        </is>
      </c>
      <c r="B247" s="1" t="n">
        <v>45533.63056712963</v>
      </c>
      <c r="C247" s="1" t="n">
        <v>45923</v>
      </c>
      <c r="D247" t="inlineStr">
        <is>
          <t>KALMAR LÄN</t>
        </is>
      </c>
      <c r="E247" t="inlineStr">
        <is>
          <t>VIMMERBY</t>
        </is>
      </c>
      <c r="F247" t="inlineStr">
        <is>
          <t>Kommuner</t>
        </is>
      </c>
      <c r="G247" t="n">
        <v>1.9</v>
      </c>
      <c r="H247" t="n">
        <v>0</v>
      </c>
      <c r="I247" t="n">
        <v>0</v>
      </c>
      <c r="J247" t="n">
        <v>0</v>
      </c>
      <c r="K247" t="n">
        <v>0</v>
      </c>
      <c r="L247" t="n">
        <v>0</v>
      </c>
      <c r="M247" t="n">
        <v>0</v>
      </c>
      <c r="N247" t="n">
        <v>0</v>
      </c>
      <c r="O247" t="n">
        <v>0</v>
      </c>
      <c r="P247" t="n">
        <v>0</v>
      </c>
      <c r="Q247" t="n">
        <v>0</v>
      </c>
      <c r="R247" s="2" t="inlineStr"/>
    </row>
    <row r="248" ht="15" customHeight="1">
      <c r="A248" t="inlineStr">
        <is>
          <t>A 39801-2025</t>
        </is>
      </c>
      <c r="B248" s="1" t="n">
        <v>45891.50216435185</v>
      </c>
      <c r="C248" s="1" t="n">
        <v>45923</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47859-2024</t>
        </is>
      </c>
      <c r="B249" s="1" t="n">
        <v>45588.67070601852</v>
      </c>
      <c r="C249" s="1" t="n">
        <v>45923</v>
      </c>
      <c r="D249" t="inlineStr">
        <is>
          <t>KALMAR LÄN</t>
        </is>
      </c>
      <c r="E249" t="inlineStr">
        <is>
          <t>VIMMERBY</t>
        </is>
      </c>
      <c r="G249" t="n">
        <v>1.7</v>
      </c>
      <c r="H249" t="n">
        <v>0</v>
      </c>
      <c r="I249" t="n">
        <v>0</v>
      </c>
      <c r="J249" t="n">
        <v>0</v>
      </c>
      <c r="K249" t="n">
        <v>0</v>
      </c>
      <c r="L249" t="n">
        <v>0</v>
      </c>
      <c r="M249" t="n">
        <v>0</v>
      </c>
      <c r="N249" t="n">
        <v>0</v>
      </c>
      <c r="O249" t="n">
        <v>0</v>
      </c>
      <c r="P249" t="n">
        <v>0</v>
      </c>
      <c r="Q249" t="n">
        <v>0</v>
      </c>
      <c r="R249" s="2" t="inlineStr"/>
    </row>
    <row r="250" ht="15" customHeight="1">
      <c r="A250" t="inlineStr">
        <is>
          <t>A 1987-2024</t>
        </is>
      </c>
      <c r="B250" s="1" t="n">
        <v>45308.61152777778</v>
      </c>
      <c r="C250" s="1" t="n">
        <v>45923</v>
      </c>
      <c r="D250" t="inlineStr">
        <is>
          <t>KALMAR LÄN</t>
        </is>
      </c>
      <c r="E250" t="inlineStr">
        <is>
          <t>VIMMERBY</t>
        </is>
      </c>
      <c r="G250" t="n">
        <v>3</v>
      </c>
      <c r="H250" t="n">
        <v>0</v>
      </c>
      <c r="I250" t="n">
        <v>0</v>
      </c>
      <c r="J250" t="n">
        <v>0</v>
      </c>
      <c r="K250" t="n">
        <v>0</v>
      </c>
      <c r="L250" t="n">
        <v>0</v>
      </c>
      <c r="M250" t="n">
        <v>0</v>
      </c>
      <c r="N250" t="n">
        <v>0</v>
      </c>
      <c r="O250" t="n">
        <v>0</v>
      </c>
      <c r="P250" t="n">
        <v>0</v>
      </c>
      <c r="Q250" t="n">
        <v>0</v>
      </c>
      <c r="R250" s="2" t="inlineStr"/>
    </row>
    <row r="251" ht="15" customHeight="1">
      <c r="A251" t="inlineStr">
        <is>
          <t>A 527-2024</t>
        </is>
      </c>
      <c r="B251" s="1" t="n">
        <v>45299.47513888889</v>
      </c>
      <c r="C251" s="1" t="n">
        <v>45923</v>
      </c>
      <c r="D251" t="inlineStr">
        <is>
          <t>KALMAR LÄN</t>
        </is>
      </c>
      <c r="E251" t="inlineStr">
        <is>
          <t>VIMMERBY</t>
        </is>
      </c>
      <c r="G251" t="n">
        <v>2.2</v>
      </c>
      <c r="H251" t="n">
        <v>0</v>
      </c>
      <c r="I251" t="n">
        <v>0</v>
      </c>
      <c r="J251" t="n">
        <v>0</v>
      </c>
      <c r="K251" t="n">
        <v>0</v>
      </c>
      <c r="L251" t="n">
        <v>0</v>
      </c>
      <c r="M251" t="n">
        <v>0</v>
      </c>
      <c r="N251" t="n">
        <v>0</v>
      </c>
      <c r="O251" t="n">
        <v>0</v>
      </c>
      <c r="P251" t="n">
        <v>0</v>
      </c>
      <c r="Q251" t="n">
        <v>0</v>
      </c>
      <c r="R251" s="2" t="inlineStr"/>
    </row>
    <row r="252" ht="15" customHeight="1">
      <c r="A252" t="inlineStr">
        <is>
          <t>A 32835-2022</t>
        </is>
      </c>
      <c r="B252" s="1" t="n">
        <v>44784.42528935185</v>
      </c>
      <c r="C252" s="1" t="n">
        <v>45923</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33340-2023</t>
        </is>
      </c>
      <c r="B253" s="1" t="n">
        <v>45128.37305555555</v>
      </c>
      <c r="C253" s="1" t="n">
        <v>45923</v>
      </c>
      <c r="D253" t="inlineStr">
        <is>
          <t>KALMAR LÄN</t>
        </is>
      </c>
      <c r="E253" t="inlineStr">
        <is>
          <t>VIMMERBY</t>
        </is>
      </c>
      <c r="G253" t="n">
        <v>1.5</v>
      </c>
      <c r="H253" t="n">
        <v>0</v>
      </c>
      <c r="I253" t="n">
        <v>0</v>
      </c>
      <c r="J253" t="n">
        <v>0</v>
      </c>
      <c r="K253" t="n">
        <v>0</v>
      </c>
      <c r="L253" t="n">
        <v>0</v>
      </c>
      <c r="M253" t="n">
        <v>0</v>
      </c>
      <c r="N253" t="n">
        <v>0</v>
      </c>
      <c r="O253" t="n">
        <v>0</v>
      </c>
      <c r="P253" t="n">
        <v>0</v>
      </c>
      <c r="Q253" t="n">
        <v>0</v>
      </c>
      <c r="R253" s="2" t="inlineStr"/>
    </row>
    <row r="254" ht="15" customHeight="1">
      <c r="A254" t="inlineStr">
        <is>
          <t>A 37192-2024</t>
        </is>
      </c>
      <c r="B254" s="1" t="n">
        <v>45539.66027777778</v>
      </c>
      <c r="C254" s="1" t="n">
        <v>45923</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29017-2024</t>
        </is>
      </c>
      <c r="B255" s="1" t="n">
        <v>45481.56722222222</v>
      </c>
      <c r="C255" s="1" t="n">
        <v>45923</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58046-2022</t>
        </is>
      </c>
      <c r="B256" s="1" t="n">
        <v>44900.57393518519</v>
      </c>
      <c r="C256" s="1" t="n">
        <v>45923</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41896-2023</t>
        </is>
      </c>
      <c r="B257" s="1" t="n">
        <v>45176.72427083334</v>
      </c>
      <c r="C257" s="1" t="n">
        <v>45923</v>
      </c>
      <c r="D257" t="inlineStr">
        <is>
          <t>KALMAR LÄN</t>
        </is>
      </c>
      <c r="E257" t="inlineStr">
        <is>
          <t>VIMMERBY</t>
        </is>
      </c>
      <c r="G257" t="n">
        <v>1.3</v>
      </c>
      <c r="H257" t="n">
        <v>0</v>
      </c>
      <c r="I257" t="n">
        <v>0</v>
      </c>
      <c r="J257" t="n">
        <v>0</v>
      </c>
      <c r="K257" t="n">
        <v>0</v>
      </c>
      <c r="L257" t="n">
        <v>0</v>
      </c>
      <c r="M257" t="n">
        <v>0</v>
      </c>
      <c r="N257" t="n">
        <v>0</v>
      </c>
      <c r="O257" t="n">
        <v>0</v>
      </c>
      <c r="P257" t="n">
        <v>0</v>
      </c>
      <c r="Q257" t="n">
        <v>0</v>
      </c>
      <c r="R257" s="2" t="inlineStr"/>
    </row>
    <row r="258" ht="15" customHeight="1">
      <c r="A258" t="inlineStr">
        <is>
          <t>A 14548-2024</t>
        </is>
      </c>
      <c r="B258" s="1" t="n">
        <v>45394.66887731481</v>
      </c>
      <c r="C258" s="1" t="n">
        <v>45923</v>
      </c>
      <c r="D258" t="inlineStr">
        <is>
          <t>KALMAR LÄN</t>
        </is>
      </c>
      <c r="E258" t="inlineStr">
        <is>
          <t>VIMMERBY</t>
        </is>
      </c>
      <c r="G258" t="n">
        <v>0.9</v>
      </c>
      <c r="H258" t="n">
        <v>0</v>
      </c>
      <c r="I258" t="n">
        <v>0</v>
      </c>
      <c r="J258" t="n">
        <v>0</v>
      </c>
      <c r="K258" t="n">
        <v>0</v>
      </c>
      <c r="L258" t="n">
        <v>0</v>
      </c>
      <c r="M258" t="n">
        <v>0</v>
      </c>
      <c r="N258" t="n">
        <v>0</v>
      </c>
      <c r="O258" t="n">
        <v>0</v>
      </c>
      <c r="P258" t="n">
        <v>0</v>
      </c>
      <c r="Q258" t="n">
        <v>0</v>
      </c>
      <c r="R258" s="2" t="inlineStr"/>
    </row>
    <row r="259" ht="15" customHeight="1">
      <c r="A259" t="inlineStr">
        <is>
          <t>A 35270-2025</t>
        </is>
      </c>
      <c r="B259" s="1" t="n">
        <v>45853.87112268519</v>
      </c>
      <c r="C259" s="1" t="n">
        <v>45923</v>
      </c>
      <c r="D259" t="inlineStr">
        <is>
          <t>KALMAR LÄN</t>
        </is>
      </c>
      <c r="E259" t="inlineStr">
        <is>
          <t>VIMMERBY</t>
        </is>
      </c>
      <c r="G259" t="n">
        <v>2.4</v>
      </c>
      <c r="H259" t="n">
        <v>0</v>
      </c>
      <c r="I259" t="n">
        <v>0</v>
      </c>
      <c r="J259" t="n">
        <v>0</v>
      </c>
      <c r="K259" t="n">
        <v>0</v>
      </c>
      <c r="L259" t="n">
        <v>0</v>
      </c>
      <c r="M259" t="n">
        <v>0</v>
      </c>
      <c r="N259" t="n">
        <v>0</v>
      </c>
      <c r="O259" t="n">
        <v>0</v>
      </c>
      <c r="P259" t="n">
        <v>0</v>
      </c>
      <c r="Q259" t="n">
        <v>0</v>
      </c>
      <c r="R259" s="2" t="inlineStr"/>
    </row>
    <row r="260" ht="15" customHeight="1">
      <c r="A260" t="inlineStr">
        <is>
          <t>A 43606-2024</t>
        </is>
      </c>
      <c r="B260" s="1" t="n">
        <v>45569.45017361111</v>
      </c>
      <c r="C260" s="1" t="n">
        <v>45923</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12325-2023</t>
        </is>
      </c>
      <c r="B261" s="1" t="n">
        <v>44999.35858796296</v>
      </c>
      <c r="C261" s="1" t="n">
        <v>45923</v>
      </c>
      <c r="D261" t="inlineStr">
        <is>
          <t>KALMAR LÄN</t>
        </is>
      </c>
      <c r="E261" t="inlineStr">
        <is>
          <t>VIMMERBY</t>
        </is>
      </c>
      <c r="G261" t="n">
        <v>3.4</v>
      </c>
      <c r="H261" t="n">
        <v>0</v>
      </c>
      <c r="I261" t="n">
        <v>0</v>
      </c>
      <c r="J261" t="n">
        <v>0</v>
      </c>
      <c r="K261" t="n">
        <v>0</v>
      </c>
      <c r="L261" t="n">
        <v>0</v>
      </c>
      <c r="M261" t="n">
        <v>0</v>
      </c>
      <c r="N261" t="n">
        <v>0</v>
      </c>
      <c r="O261" t="n">
        <v>0</v>
      </c>
      <c r="P261" t="n">
        <v>0</v>
      </c>
      <c r="Q261" t="n">
        <v>0</v>
      </c>
      <c r="R261" s="2" t="inlineStr"/>
    </row>
    <row r="262" ht="15" customHeight="1">
      <c r="A262" t="inlineStr">
        <is>
          <t>A 35271-2025</t>
        </is>
      </c>
      <c r="B262" s="1" t="n">
        <v>45853.87599537037</v>
      </c>
      <c r="C262" s="1" t="n">
        <v>45923</v>
      </c>
      <c r="D262" t="inlineStr">
        <is>
          <t>KALMAR LÄN</t>
        </is>
      </c>
      <c r="E262" t="inlineStr">
        <is>
          <t>VIMMERBY</t>
        </is>
      </c>
      <c r="G262" t="n">
        <v>0.4</v>
      </c>
      <c r="H262" t="n">
        <v>0</v>
      </c>
      <c r="I262" t="n">
        <v>0</v>
      </c>
      <c r="J262" t="n">
        <v>0</v>
      </c>
      <c r="K262" t="n">
        <v>0</v>
      </c>
      <c r="L262" t="n">
        <v>0</v>
      </c>
      <c r="M262" t="n">
        <v>0</v>
      </c>
      <c r="N262" t="n">
        <v>0</v>
      </c>
      <c r="O262" t="n">
        <v>0</v>
      </c>
      <c r="P262" t="n">
        <v>0</v>
      </c>
      <c r="Q262" t="n">
        <v>0</v>
      </c>
      <c r="R262" s="2" t="inlineStr"/>
    </row>
    <row r="263" ht="15" customHeight="1">
      <c r="A263" t="inlineStr">
        <is>
          <t>A 35272-2025</t>
        </is>
      </c>
      <c r="B263" s="1" t="n">
        <v>45853.88070601852</v>
      </c>
      <c r="C263" s="1" t="n">
        <v>45923</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8945-2025</t>
        </is>
      </c>
      <c r="B264" s="1" t="n">
        <v>45713.45311342592</v>
      </c>
      <c r="C264" s="1" t="n">
        <v>45923</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47063-2022</t>
        </is>
      </c>
      <c r="B265" s="1" t="n">
        <v>44852</v>
      </c>
      <c r="C265" s="1" t="n">
        <v>45923</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12819-2024</t>
        </is>
      </c>
      <c r="B266" s="1" t="n">
        <v>45384.66917824074</v>
      </c>
      <c r="C266" s="1" t="n">
        <v>45923</v>
      </c>
      <c r="D266" t="inlineStr">
        <is>
          <t>KALMAR LÄN</t>
        </is>
      </c>
      <c r="E266" t="inlineStr">
        <is>
          <t>VIMMERBY</t>
        </is>
      </c>
      <c r="G266" t="n">
        <v>5.1</v>
      </c>
      <c r="H266" t="n">
        <v>0</v>
      </c>
      <c r="I266" t="n">
        <v>0</v>
      </c>
      <c r="J266" t="n">
        <v>0</v>
      </c>
      <c r="K266" t="n">
        <v>0</v>
      </c>
      <c r="L266" t="n">
        <v>0</v>
      </c>
      <c r="M266" t="n">
        <v>0</v>
      </c>
      <c r="N266" t="n">
        <v>0</v>
      </c>
      <c r="O266" t="n">
        <v>0</v>
      </c>
      <c r="P266" t="n">
        <v>0</v>
      </c>
      <c r="Q266" t="n">
        <v>0</v>
      </c>
      <c r="R266" s="2" t="inlineStr"/>
    </row>
    <row r="267" ht="15" customHeight="1">
      <c r="A267" t="inlineStr">
        <is>
          <t>A 48120-2022</t>
        </is>
      </c>
      <c r="B267" s="1" t="n">
        <v>44857.65989583333</v>
      </c>
      <c r="C267" s="1" t="n">
        <v>45923</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16953-2025</t>
        </is>
      </c>
      <c r="B268" s="1" t="n">
        <v>45755.44333333334</v>
      </c>
      <c r="C268" s="1" t="n">
        <v>45923</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40665-2023</t>
        </is>
      </c>
      <c r="B269" s="1" t="n">
        <v>45170</v>
      </c>
      <c r="C269" s="1" t="n">
        <v>45923</v>
      </c>
      <c r="D269" t="inlineStr">
        <is>
          <t>KALMAR LÄN</t>
        </is>
      </c>
      <c r="E269" t="inlineStr">
        <is>
          <t>VIMMERBY</t>
        </is>
      </c>
      <c r="G269" t="n">
        <v>2.6</v>
      </c>
      <c r="H269" t="n">
        <v>0</v>
      </c>
      <c r="I269" t="n">
        <v>0</v>
      </c>
      <c r="J269" t="n">
        <v>0</v>
      </c>
      <c r="K269" t="n">
        <v>0</v>
      </c>
      <c r="L269" t="n">
        <v>0</v>
      </c>
      <c r="M269" t="n">
        <v>0</v>
      </c>
      <c r="N269" t="n">
        <v>0</v>
      </c>
      <c r="O269" t="n">
        <v>0</v>
      </c>
      <c r="P269" t="n">
        <v>0</v>
      </c>
      <c r="Q269" t="n">
        <v>0</v>
      </c>
      <c r="R269" s="2" t="inlineStr"/>
    </row>
    <row r="270" ht="15" customHeight="1">
      <c r="A270" t="inlineStr">
        <is>
          <t>A 13307-2025</t>
        </is>
      </c>
      <c r="B270" s="1" t="n">
        <v>45735.58024305556</v>
      </c>
      <c r="C270" s="1" t="n">
        <v>45923</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3423-2022</t>
        </is>
      </c>
      <c r="B271" s="1" t="n">
        <v>44585.50431712963</v>
      </c>
      <c r="C271" s="1" t="n">
        <v>45923</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39889-2025</t>
        </is>
      </c>
      <c r="B272" s="1" t="n">
        <v>45891</v>
      </c>
      <c r="C272" s="1" t="n">
        <v>45923</v>
      </c>
      <c r="D272" t="inlineStr">
        <is>
          <t>KALMAR LÄN</t>
        </is>
      </c>
      <c r="E272" t="inlineStr">
        <is>
          <t>VIMMERBY</t>
        </is>
      </c>
      <c r="G272" t="n">
        <v>4.5</v>
      </c>
      <c r="H272" t="n">
        <v>0</v>
      </c>
      <c r="I272" t="n">
        <v>0</v>
      </c>
      <c r="J272" t="n">
        <v>0</v>
      </c>
      <c r="K272" t="n">
        <v>0</v>
      </c>
      <c r="L272" t="n">
        <v>0</v>
      </c>
      <c r="M272" t="n">
        <v>0</v>
      </c>
      <c r="N272" t="n">
        <v>0</v>
      </c>
      <c r="O272" t="n">
        <v>0</v>
      </c>
      <c r="P272" t="n">
        <v>0</v>
      </c>
      <c r="Q272" t="n">
        <v>0</v>
      </c>
      <c r="R272" s="2" t="inlineStr"/>
    </row>
    <row r="273" ht="15" customHeight="1">
      <c r="A273" t="inlineStr">
        <is>
          <t>A 28034-2022</t>
        </is>
      </c>
      <c r="B273" s="1" t="n">
        <v>44746.38834490741</v>
      </c>
      <c r="C273" s="1" t="n">
        <v>45923</v>
      </c>
      <c r="D273" t="inlineStr">
        <is>
          <t>KALMAR LÄN</t>
        </is>
      </c>
      <c r="E273" t="inlineStr">
        <is>
          <t>VIMMERBY</t>
        </is>
      </c>
      <c r="G273" t="n">
        <v>2</v>
      </c>
      <c r="H273" t="n">
        <v>0</v>
      </c>
      <c r="I273" t="n">
        <v>0</v>
      </c>
      <c r="J273" t="n">
        <v>0</v>
      </c>
      <c r="K273" t="n">
        <v>0</v>
      </c>
      <c r="L273" t="n">
        <v>0</v>
      </c>
      <c r="M273" t="n">
        <v>0</v>
      </c>
      <c r="N273" t="n">
        <v>0</v>
      </c>
      <c r="O273" t="n">
        <v>0</v>
      </c>
      <c r="P273" t="n">
        <v>0</v>
      </c>
      <c r="Q273" t="n">
        <v>0</v>
      </c>
      <c r="R273" s="2" t="inlineStr"/>
    </row>
    <row r="274" ht="15" customHeight="1">
      <c r="A274" t="inlineStr">
        <is>
          <t>A 11074-2023</t>
        </is>
      </c>
      <c r="B274" s="1" t="n">
        <v>44992.34151620371</v>
      </c>
      <c r="C274" s="1" t="n">
        <v>45923</v>
      </c>
      <c r="D274" t="inlineStr">
        <is>
          <t>KALMAR LÄN</t>
        </is>
      </c>
      <c r="E274" t="inlineStr">
        <is>
          <t>VIMMERBY</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71631-2021</t>
        </is>
      </c>
      <c r="B275" s="1" t="n">
        <v>44542.90072916666</v>
      </c>
      <c r="C275" s="1" t="n">
        <v>45923</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55605-2024</t>
        </is>
      </c>
      <c r="B276" s="1" t="n">
        <v>45622</v>
      </c>
      <c r="C276" s="1" t="n">
        <v>45923</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49039-2021</t>
        </is>
      </c>
      <c r="B277" s="1" t="n">
        <v>44453.56578703703</v>
      </c>
      <c r="C277" s="1" t="n">
        <v>45923</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42165-2024</t>
        </is>
      </c>
      <c r="B278" s="1" t="n">
        <v>45562.46342592593</v>
      </c>
      <c r="C278" s="1" t="n">
        <v>45923</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20129-2024</t>
        </is>
      </c>
      <c r="B279" s="1" t="n">
        <v>45434.55831018519</v>
      </c>
      <c r="C279" s="1" t="n">
        <v>45923</v>
      </c>
      <c r="D279" t="inlineStr">
        <is>
          <t>KALMAR LÄN</t>
        </is>
      </c>
      <c r="E279" t="inlineStr">
        <is>
          <t>VIMMERBY</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20137-2024</t>
        </is>
      </c>
      <c r="B280" s="1" t="n">
        <v>45434.56398148148</v>
      </c>
      <c r="C280" s="1" t="n">
        <v>45923</v>
      </c>
      <c r="D280" t="inlineStr">
        <is>
          <t>KALMAR LÄN</t>
        </is>
      </c>
      <c r="E280" t="inlineStr">
        <is>
          <t>VIMMERBY</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42918-2021</t>
        </is>
      </c>
      <c r="B281" s="1" t="n">
        <v>44431</v>
      </c>
      <c r="C281" s="1" t="n">
        <v>45923</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40921-2025</t>
        </is>
      </c>
      <c r="B282" s="1" t="n">
        <v>45897.63520833333</v>
      </c>
      <c r="C282" s="1" t="n">
        <v>45923</v>
      </c>
      <c r="D282" t="inlineStr">
        <is>
          <t>KALMAR LÄN</t>
        </is>
      </c>
      <c r="E282" t="inlineStr">
        <is>
          <t>VIMMERBY</t>
        </is>
      </c>
      <c r="G282" t="n">
        <v>4.2</v>
      </c>
      <c r="H282" t="n">
        <v>0</v>
      </c>
      <c r="I282" t="n">
        <v>0</v>
      </c>
      <c r="J282" t="n">
        <v>0</v>
      </c>
      <c r="K282" t="n">
        <v>0</v>
      </c>
      <c r="L282" t="n">
        <v>0</v>
      </c>
      <c r="M282" t="n">
        <v>0</v>
      </c>
      <c r="N282" t="n">
        <v>0</v>
      </c>
      <c r="O282" t="n">
        <v>0</v>
      </c>
      <c r="P282" t="n">
        <v>0</v>
      </c>
      <c r="Q282" t="n">
        <v>0</v>
      </c>
      <c r="R282" s="2" t="inlineStr"/>
    </row>
    <row r="283" ht="15" customHeight="1">
      <c r="A283" t="inlineStr">
        <is>
          <t>A 23095-2023</t>
        </is>
      </c>
      <c r="B283" s="1" t="n">
        <v>45075.43059027778</v>
      </c>
      <c r="C283" s="1" t="n">
        <v>45923</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32919-2022</t>
        </is>
      </c>
      <c r="B284" s="1" t="n">
        <v>44784.62724537037</v>
      </c>
      <c r="C284" s="1" t="n">
        <v>45923</v>
      </c>
      <c r="D284" t="inlineStr">
        <is>
          <t>KALMAR LÄN</t>
        </is>
      </c>
      <c r="E284" t="inlineStr">
        <is>
          <t>VIMMERBY</t>
        </is>
      </c>
      <c r="G284" t="n">
        <v>1.7</v>
      </c>
      <c r="H284" t="n">
        <v>0</v>
      </c>
      <c r="I284" t="n">
        <v>0</v>
      </c>
      <c r="J284" t="n">
        <v>0</v>
      </c>
      <c r="K284" t="n">
        <v>0</v>
      </c>
      <c r="L284" t="n">
        <v>0</v>
      </c>
      <c r="M284" t="n">
        <v>0</v>
      </c>
      <c r="N284" t="n">
        <v>0</v>
      </c>
      <c r="O284" t="n">
        <v>0</v>
      </c>
      <c r="P284" t="n">
        <v>0</v>
      </c>
      <c r="Q284" t="n">
        <v>0</v>
      </c>
      <c r="R284" s="2" t="inlineStr"/>
    </row>
    <row r="285" ht="15" customHeight="1">
      <c r="A285" t="inlineStr">
        <is>
          <t>A 40971-2025</t>
        </is>
      </c>
      <c r="B285" s="1" t="n">
        <v>45897.88836805556</v>
      </c>
      <c r="C285" s="1" t="n">
        <v>45923</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529-2022</t>
        </is>
      </c>
      <c r="B286" s="1" t="n">
        <v>44566</v>
      </c>
      <c r="C286" s="1" t="n">
        <v>45923</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31382-2023</t>
        </is>
      </c>
      <c r="B287" s="1" t="n">
        <v>45114.55136574074</v>
      </c>
      <c r="C287" s="1" t="n">
        <v>45923</v>
      </c>
      <c r="D287" t="inlineStr">
        <is>
          <t>KALMAR LÄN</t>
        </is>
      </c>
      <c r="E287" t="inlineStr">
        <is>
          <t>VIMMERBY</t>
        </is>
      </c>
      <c r="G287" t="n">
        <v>3.7</v>
      </c>
      <c r="H287" t="n">
        <v>0</v>
      </c>
      <c r="I287" t="n">
        <v>0</v>
      </c>
      <c r="J287" t="n">
        <v>0</v>
      </c>
      <c r="K287" t="n">
        <v>0</v>
      </c>
      <c r="L287" t="n">
        <v>0</v>
      </c>
      <c r="M287" t="n">
        <v>0</v>
      </c>
      <c r="N287" t="n">
        <v>0</v>
      </c>
      <c r="O287" t="n">
        <v>0</v>
      </c>
      <c r="P287" t="n">
        <v>0</v>
      </c>
      <c r="Q287" t="n">
        <v>0</v>
      </c>
      <c r="R287" s="2" t="inlineStr"/>
    </row>
    <row r="288" ht="15" customHeight="1">
      <c r="A288" t="inlineStr">
        <is>
          <t>A 11073-2023</t>
        </is>
      </c>
      <c r="B288" s="1" t="n">
        <v>44992</v>
      </c>
      <c r="C288" s="1" t="n">
        <v>45923</v>
      </c>
      <c r="D288" t="inlineStr">
        <is>
          <t>KALMAR LÄN</t>
        </is>
      </c>
      <c r="E288" t="inlineStr">
        <is>
          <t>VIMMERBY</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40925-2025</t>
        </is>
      </c>
      <c r="B289" s="1" t="n">
        <v>45897.64208333333</v>
      </c>
      <c r="C289" s="1" t="n">
        <v>45923</v>
      </c>
      <c r="D289" t="inlineStr">
        <is>
          <t>KALMAR LÄN</t>
        </is>
      </c>
      <c r="E289" t="inlineStr">
        <is>
          <t>VIMMERBY</t>
        </is>
      </c>
      <c r="G289" t="n">
        <v>1.9</v>
      </c>
      <c r="H289" t="n">
        <v>0</v>
      </c>
      <c r="I289" t="n">
        <v>0</v>
      </c>
      <c r="J289" t="n">
        <v>0</v>
      </c>
      <c r="K289" t="n">
        <v>0</v>
      </c>
      <c r="L289" t="n">
        <v>0</v>
      </c>
      <c r="M289" t="n">
        <v>0</v>
      </c>
      <c r="N289" t="n">
        <v>0</v>
      </c>
      <c r="O289" t="n">
        <v>0</v>
      </c>
      <c r="P289" t="n">
        <v>0</v>
      </c>
      <c r="Q289" t="n">
        <v>0</v>
      </c>
      <c r="R289" s="2" t="inlineStr"/>
    </row>
    <row r="290" ht="15" customHeight="1">
      <c r="A290" t="inlineStr">
        <is>
          <t>A 14855-2025</t>
        </is>
      </c>
      <c r="B290" s="1" t="n">
        <v>45743.41148148148</v>
      </c>
      <c r="C290" s="1" t="n">
        <v>45923</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59955-2023</t>
        </is>
      </c>
      <c r="B291" s="1" t="n">
        <v>45257.70313657408</v>
      </c>
      <c r="C291" s="1" t="n">
        <v>45923</v>
      </c>
      <c r="D291" t="inlineStr">
        <is>
          <t>KALMAR LÄN</t>
        </is>
      </c>
      <c r="E291" t="inlineStr">
        <is>
          <t>VIMMERBY</t>
        </is>
      </c>
      <c r="G291" t="n">
        <v>13.8</v>
      </c>
      <c r="H291" t="n">
        <v>0</v>
      </c>
      <c r="I291" t="n">
        <v>0</v>
      </c>
      <c r="J291" t="n">
        <v>0</v>
      </c>
      <c r="K291" t="n">
        <v>0</v>
      </c>
      <c r="L291" t="n">
        <v>0</v>
      </c>
      <c r="M291" t="n">
        <v>0</v>
      </c>
      <c r="N291" t="n">
        <v>0</v>
      </c>
      <c r="O291" t="n">
        <v>0</v>
      </c>
      <c r="P291" t="n">
        <v>0</v>
      </c>
      <c r="Q291" t="n">
        <v>0</v>
      </c>
      <c r="R291" s="2" t="inlineStr"/>
    </row>
    <row r="292" ht="15" customHeight="1">
      <c r="A292" t="inlineStr">
        <is>
          <t>A 60951-2023</t>
        </is>
      </c>
      <c r="B292" s="1" t="n">
        <v>45261.44914351852</v>
      </c>
      <c r="C292" s="1" t="n">
        <v>45923</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7068-2024</t>
        </is>
      </c>
      <c r="B293" s="1" t="n">
        <v>45343.68038194445</v>
      </c>
      <c r="C293" s="1" t="n">
        <v>45923</v>
      </c>
      <c r="D293" t="inlineStr">
        <is>
          <t>KALMAR LÄN</t>
        </is>
      </c>
      <c r="E293" t="inlineStr">
        <is>
          <t>VIMMERBY</t>
        </is>
      </c>
      <c r="G293" t="n">
        <v>2.5</v>
      </c>
      <c r="H293" t="n">
        <v>0</v>
      </c>
      <c r="I293" t="n">
        <v>0</v>
      </c>
      <c r="J293" t="n">
        <v>0</v>
      </c>
      <c r="K293" t="n">
        <v>0</v>
      </c>
      <c r="L293" t="n">
        <v>0</v>
      </c>
      <c r="M293" t="n">
        <v>0</v>
      </c>
      <c r="N293" t="n">
        <v>0</v>
      </c>
      <c r="O293" t="n">
        <v>0</v>
      </c>
      <c r="P293" t="n">
        <v>0</v>
      </c>
      <c r="Q293" t="n">
        <v>0</v>
      </c>
      <c r="R293" s="2" t="inlineStr"/>
    </row>
    <row r="294" ht="15" customHeight="1">
      <c r="A294" t="inlineStr">
        <is>
          <t>A 19162-2023</t>
        </is>
      </c>
      <c r="B294" s="1" t="n">
        <v>45048.59699074074</v>
      </c>
      <c r="C294" s="1" t="n">
        <v>45923</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36802-2021</t>
        </is>
      </c>
      <c r="B295" s="1" t="n">
        <v>44392</v>
      </c>
      <c r="C295" s="1" t="n">
        <v>45923</v>
      </c>
      <c r="D295" t="inlineStr">
        <is>
          <t>KALMAR LÄN</t>
        </is>
      </c>
      <c r="E295" t="inlineStr">
        <is>
          <t>VIMMERBY</t>
        </is>
      </c>
      <c r="F295" t="inlineStr">
        <is>
          <t>Sveaskog</t>
        </is>
      </c>
      <c r="G295" t="n">
        <v>4.6</v>
      </c>
      <c r="H295" t="n">
        <v>0</v>
      </c>
      <c r="I295" t="n">
        <v>0</v>
      </c>
      <c r="J295" t="n">
        <v>0</v>
      </c>
      <c r="K295" t="n">
        <v>0</v>
      </c>
      <c r="L295" t="n">
        <v>0</v>
      </c>
      <c r="M295" t="n">
        <v>0</v>
      </c>
      <c r="N295" t="n">
        <v>0</v>
      </c>
      <c r="O295" t="n">
        <v>0</v>
      </c>
      <c r="P295" t="n">
        <v>0</v>
      </c>
      <c r="Q295" t="n">
        <v>0</v>
      </c>
      <c r="R295" s="2" t="inlineStr"/>
    </row>
    <row r="296" ht="15" customHeight="1">
      <c r="A296" t="inlineStr">
        <is>
          <t>A 12596-2021</t>
        </is>
      </c>
      <c r="B296" s="1" t="n">
        <v>44270.39765046296</v>
      </c>
      <c r="C296" s="1" t="n">
        <v>45923</v>
      </c>
      <c r="D296" t="inlineStr">
        <is>
          <t>KALMAR LÄN</t>
        </is>
      </c>
      <c r="E296" t="inlineStr">
        <is>
          <t>VIMMERBY</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31209-2024</t>
        </is>
      </c>
      <c r="B297" s="1" t="n">
        <v>45503.5658912037</v>
      </c>
      <c r="C297" s="1" t="n">
        <v>45923</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41224-2025</t>
        </is>
      </c>
      <c r="B298" s="1" t="n">
        <v>45898.58861111111</v>
      </c>
      <c r="C298" s="1" t="n">
        <v>45923</v>
      </c>
      <c r="D298" t="inlineStr">
        <is>
          <t>KALMAR LÄN</t>
        </is>
      </c>
      <c r="E298" t="inlineStr">
        <is>
          <t>VIMMERBY</t>
        </is>
      </c>
      <c r="G298" t="n">
        <v>4.4</v>
      </c>
      <c r="H298" t="n">
        <v>0</v>
      </c>
      <c r="I298" t="n">
        <v>0</v>
      </c>
      <c r="J298" t="n">
        <v>0</v>
      </c>
      <c r="K298" t="n">
        <v>0</v>
      </c>
      <c r="L298" t="n">
        <v>0</v>
      </c>
      <c r="M298" t="n">
        <v>0</v>
      </c>
      <c r="N298" t="n">
        <v>0</v>
      </c>
      <c r="O298" t="n">
        <v>0</v>
      </c>
      <c r="P298" t="n">
        <v>0</v>
      </c>
      <c r="Q298" t="n">
        <v>0</v>
      </c>
      <c r="R298" s="2" t="inlineStr"/>
    </row>
    <row r="299" ht="15" customHeight="1">
      <c r="A299" t="inlineStr">
        <is>
          <t>A 40973-2025</t>
        </is>
      </c>
      <c r="B299" s="1" t="n">
        <v>45897.89737268518</v>
      </c>
      <c r="C299" s="1" t="n">
        <v>45923</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32655-2023</t>
        </is>
      </c>
      <c r="B300" s="1" t="n">
        <v>45121.61318287037</v>
      </c>
      <c r="C300" s="1" t="n">
        <v>45923</v>
      </c>
      <c r="D300" t="inlineStr">
        <is>
          <t>KALMAR LÄN</t>
        </is>
      </c>
      <c r="E300" t="inlineStr">
        <is>
          <t>VIMMERBY</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40970-2025</t>
        </is>
      </c>
      <c r="B301" s="1" t="n">
        <v>45897.88706018519</v>
      </c>
      <c r="C301" s="1" t="n">
        <v>45923</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61820-2023</t>
        </is>
      </c>
      <c r="B302" s="1" t="n">
        <v>45266.32614583334</v>
      </c>
      <c r="C302" s="1" t="n">
        <v>45923</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3269-2024</t>
        </is>
      </c>
      <c r="B303" s="1" t="n">
        <v>45317.40372685185</v>
      </c>
      <c r="C303" s="1" t="n">
        <v>45923</v>
      </c>
      <c r="D303" t="inlineStr">
        <is>
          <t>KALMAR LÄN</t>
        </is>
      </c>
      <c r="E303" t="inlineStr">
        <is>
          <t>VIMMERBY</t>
        </is>
      </c>
      <c r="F303" t="inlineStr">
        <is>
          <t>Övriga Aktiebolag</t>
        </is>
      </c>
      <c r="G303" t="n">
        <v>1.7</v>
      </c>
      <c r="H303" t="n">
        <v>0</v>
      </c>
      <c r="I303" t="n">
        <v>0</v>
      </c>
      <c r="J303" t="n">
        <v>0</v>
      </c>
      <c r="K303" t="n">
        <v>0</v>
      </c>
      <c r="L303" t="n">
        <v>0</v>
      </c>
      <c r="M303" t="n">
        <v>0</v>
      </c>
      <c r="N303" t="n">
        <v>0</v>
      </c>
      <c r="O303" t="n">
        <v>0</v>
      </c>
      <c r="P303" t="n">
        <v>0</v>
      </c>
      <c r="Q303" t="n">
        <v>0</v>
      </c>
      <c r="R303" s="2" t="inlineStr"/>
    </row>
    <row r="304" ht="15" customHeight="1">
      <c r="A304" t="inlineStr">
        <is>
          <t>A 2157-2024</t>
        </is>
      </c>
      <c r="B304" s="1" t="n">
        <v>45309.59487268519</v>
      </c>
      <c r="C304" s="1" t="n">
        <v>45923</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9416-2024</t>
        </is>
      </c>
      <c r="B305" s="1" t="n">
        <v>45359.44837962963</v>
      </c>
      <c r="C305" s="1" t="n">
        <v>45923</v>
      </c>
      <c r="D305" t="inlineStr">
        <is>
          <t>KALMAR LÄN</t>
        </is>
      </c>
      <c r="E305" t="inlineStr">
        <is>
          <t>VIMMERBY</t>
        </is>
      </c>
      <c r="G305" t="n">
        <v>3.2</v>
      </c>
      <c r="H305" t="n">
        <v>0</v>
      </c>
      <c r="I305" t="n">
        <v>0</v>
      </c>
      <c r="J305" t="n">
        <v>0</v>
      </c>
      <c r="K305" t="n">
        <v>0</v>
      </c>
      <c r="L305" t="n">
        <v>0</v>
      </c>
      <c r="M305" t="n">
        <v>0</v>
      </c>
      <c r="N305" t="n">
        <v>0</v>
      </c>
      <c r="O305" t="n">
        <v>0</v>
      </c>
      <c r="P305" t="n">
        <v>0</v>
      </c>
      <c r="Q305" t="n">
        <v>0</v>
      </c>
      <c r="R305" s="2" t="inlineStr"/>
    </row>
    <row r="306" ht="15" customHeight="1">
      <c r="A306" t="inlineStr">
        <is>
          <t>A 58318-2021</t>
        </is>
      </c>
      <c r="B306" s="1" t="n">
        <v>44488.35878472222</v>
      </c>
      <c r="C306" s="1" t="n">
        <v>45923</v>
      </c>
      <c r="D306" t="inlineStr">
        <is>
          <t>KALMAR LÄN</t>
        </is>
      </c>
      <c r="E306" t="inlineStr">
        <is>
          <t>VIMMERBY</t>
        </is>
      </c>
      <c r="G306" t="n">
        <v>4</v>
      </c>
      <c r="H306" t="n">
        <v>0</v>
      </c>
      <c r="I306" t="n">
        <v>0</v>
      </c>
      <c r="J306" t="n">
        <v>0</v>
      </c>
      <c r="K306" t="n">
        <v>0</v>
      </c>
      <c r="L306" t="n">
        <v>0</v>
      </c>
      <c r="M306" t="n">
        <v>0</v>
      </c>
      <c r="N306" t="n">
        <v>0</v>
      </c>
      <c r="O306" t="n">
        <v>0</v>
      </c>
      <c r="P306" t="n">
        <v>0</v>
      </c>
      <c r="Q306" t="n">
        <v>0</v>
      </c>
      <c r="R306" s="2" t="inlineStr"/>
    </row>
    <row r="307" ht="15" customHeight="1">
      <c r="A307" t="inlineStr">
        <is>
          <t>A 5864-2022</t>
        </is>
      </c>
      <c r="B307" s="1" t="n">
        <v>44596</v>
      </c>
      <c r="C307" s="1" t="n">
        <v>45923</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53083-2021</t>
        </is>
      </c>
      <c r="B308" s="1" t="n">
        <v>44467.83386574074</v>
      </c>
      <c r="C308" s="1" t="n">
        <v>45923</v>
      </c>
      <c r="D308" t="inlineStr">
        <is>
          <t>KALMAR LÄN</t>
        </is>
      </c>
      <c r="E308" t="inlineStr">
        <is>
          <t>VIMMERBY</t>
        </is>
      </c>
      <c r="G308" t="n">
        <v>6.8</v>
      </c>
      <c r="H308" t="n">
        <v>0</v>
      </c>
      <c r="I308" t="n">
        <v>0</v>
      </c>
      <c r="J308" t="n">
        <v>0</v>
      </c>
      <c r="K308" t="n">
        <v>0</v>
      </c>
      <c r="L308" t="n">
        <v>0</v>
      </c>
      <c r="M308" t="n">
        <v>0</v>
      </c>
      <c r="N308" t="n">
        <v>0</v>
      </c>
      <c r="O308" t="n">
        <v>0</v>
      </c>
      <c r="P308" t="n">
        <v>0</v>
      </c>
      <c r="Q308" t="n">
        <v>0</v>
      </c>
      <c r="R308" s="2" t="inlineStr"/>
    </row>
    <row r="309" ht="15" customHeight="1">
      <c r="A309" t="inlineStr">
        <is>
          <t>A 29173-2024</t>
        </is>
      </c>
      <c r="B309" s="1" t="n">
        <v>45482.52887731481</v>
      </c>
      <c r="C309" s="1" t="n">
        <v>45923</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11111-2024</t>
        </is>
      </c>
      <c r="B310" s="1" t="n">
        <v>45371.36359953704</v>
      </c>
      <c r="C310" s="1" t="n">
        <v>45923</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11141-2024</t>
        </is>
      </c>
      <c r="B311" s="1" t="n">
        <v>45371.45865740741</v>
      </c>
      <c r="C311" s="1" t="n">
        <v>45923</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54409-2024</t>
        </is>
      </c>
      <c r="B312" s="1" t="n">
        <v>45617.47570601852</v>
      </c>
      <c r="C312" s="1" t="n">
        <v>45923</v>
      </c>
      <c r="D312" t="inlineStr">
        <is>
          <t>KALMAR LÄN</t>
        </is>
      </c>
      <c r="E312" t="inlineStr">
        <is>
          <t>VIMMERBY</t>
        </is>
      </c>
      <c r="G312" t="n">
        <v>4.3</v>
      </c>
      <c r="H312" t="n">
        <v>0</v>
      </c>
      <c r="I312" t="n">
        <v>0</v>
      </c>
      <c r="J312" t="n">
        <v>0</v>
      </c>
      <c r="K312" t="n">
        <v>0</v>
      </c>
      <c r="L312" t="n">
        <v>0</v>
      </c>
      <c r="M312" t="n">
        <v>0</v>
      </c>
      <c r="N312" t="n">
        <v>0</v>
      </c>
      <c r="O312" t="n">
        <v>0</v>
      </c>
      <c r="P312" t="n">
        <v>0</v>
      </c>
      <c r="Q312" t="n">
        <v>0</v>
      </c>
      <c r="R312" s="2" t="inlineStr"/>
    </row>
    <row r="313" ht="15" customHeight="1">
      <c r="A313" t="inlineStr">
        <is>
          <t>A 9418-2024</t>
        </is>
      </c>
      <c r="B313" s="1" t="n">
        <v>45359.45038194444</v>
      </c>
      <c r="C313" s="1" t="n">
        <v>45923</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41589-2025</t>
        </is>
      </c>
      <c r="B314" s="1" t="n">
        <v>45901.63219907408</v>
      </c>
      <c r="C314" s="1" t="n">
        <v>45923</v>
      </c>
      <c r="D314" t="inlineStr">
        <is>
          <t>KALMAR LÄN</t>
        </is>
      </c>
      <c r="E314" t="inlineStr">
        <is>
          <t>VIMMERBY</t>
        </is>
      </c>
      <c r="G314" t="n">
        <v>1.7</v>
      </c>
      <c r="H314" t="n">
        <v>0</v>
      </c>
      <c r="I314" t="n">
        <v>0</v>
      </c>
      <c r="J314" t="n">
        <v>0</v>
      </c>
      <c r="K314" t="n">
        <v>0</v>
      </c>
      <c r="L314" t="n">
        <v>0</v>
      </c>
      <c r="M314" t="n">
        <v>0</v>
      </c>
      <c r="N314" t="n">
        <v>0</v>
      </c>
      <c r="O314" t="n">
        <v>0</v>
      </c>
      <c r="P314" t="n">
        <v>0</v>
      </c>
      <c r="Q314" t="n">
        <v>0</v>
      </c>
      <c r="R314" s="2" t="inlineStr"/>
    </row>
    <row r="315" ht="15" customHeight="1">
      <c r="A315" t="inlineStr">
        <is>
          <t>A 41591-2025</t>
        </is>
      </c>
      <c r="B315" s="1" t="n">
        <v>45901.6327662037</v>
      </c>
      <c r="C315" s="1" t="n">
        <v>45923</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35597-2025</t>
        </is>
      </c>
      <c r="B316" s="1" t="n">
        <v>45858.66019675926</v>
      </c>
      <c r="C316" s="1" t="n">
        <v>45923</v>
      </c>
      <c r="D316" t="inlineStr">
        <is>
          <t>KALMAR LÄN</t>
        </is>
      </c>
      <c r="E316" t="inlineStr">
        <is>
          <t>VIMMERBY</t>
        </is>
      </c>
      <c r="G316" t="n">
        <v>6.4</v>
      </c>
      <c r="H316" t="n">
        <v>0</v>
      </c>
      <c r="I316" t="n">
        <v>0</v>
      </c>
      <c r="J316" t="n">
        <v>0</v>
      </c>
      <c r="K316" t="n">
        <v>0</v>
      </c>
      <c r="L316" t="n">
        <v>0</v>
      </c>
      <c r="M316" t="n">
        <v>0</v>
      </c>
      <c r="N316" t="n">
        <v>0</v>
      </c>
      <c r="O316" t="n">
        <v>0</v>
      </c>
      <c r="P316" t="n">
        <v>0</v>
      </c>
      <c r="Q316" t="n">
        <v>0</v>
      </c>
      <c r="R316" s="2" t="inlineStr"/>
    </row>
    <row r="317" ht="15" customHeight="1">
      <c r="A317" t="inlineStr">
        <is>
          <t>A 49313-2022</t>
        </is>
      </c>
      <c r="B317" s="1" t="n">
        <v>44861.52505787037</v>
      </c>
      <c r="C317" s="1" t="n">
        <v>45923</v>
      </c>
      <c r="D317" t="inlineStr">
        <is>
          <t>KALMAR LÄN</t>
        </is>
      </c>
      <c r="E317" t="inlineStr">
        <is>
          <t>VIMMERBY</t>
        </is>
      </c>
      <c r="G317" t="n">
        <v>1.9</v>
      </c>
      <c r="H317" t="n">
        <v>0</v>
      </c>
      <c r="I317" t="n">
        <v>0</v>
      </c>
      <c r="J317" t="n">
        <v>0</v>
      </c>
      <c r="K317" t="n">
        <v>0</v>
      </c>
      <c r="L317" t="n">
        <v>0</v>
      </c>
      <c r="M317" t="n">
        <v>0</v>
      </c>
      <c r="N317" t="n">
        <v>0</v>
      </c>
      <c r="O317" t="n">
        <v>0</v>
      </c>
      <c r="P317" t="n">
        <v>0</v>
      </c>
      <c r="Q317" t="n">
        <v>0</v>
      </c>
      <c r="R317" s="2" t="inlineStr"/>
    </row>
    <row r="318" ht="15" customHeight="1">
      <c r="A318" t="inlineStr">
        <is>
          <t>A 35998-2024</t>
        </is>
      </c>
      <c r="B318" s="1" t="n">
        <v>45533.54429398148</v>
      </c>
      <c r="C318" s="1" t="n">
        <v>45923</v>
      </c>
      <c r="D318" t="inlineStr">
        <is>
          <t>KALMAR LÄN</t>
        </is>
      </c>
      <c r="E318" t="inlineStr">
        <is>
          <t>VIMMERBY</t>
        </is>
      </c>
      <c r="G318" t="n">
        <v>8.6</v>
      </c>
      <c r="H318" t="n">
        <v>0</v>
      </c>
      <c r="I318" t="n">
        <v>0</v>
      </c>
      <c r="J318" t="n">
        <v>0</v>
      </c>
      <c r="K318" t="n">
        <v>0</v>
      </c>
      <c r="L318" t="n">
        <v>0</v>
      </c>
      <c r="M318" t="n">
        <v>0</v>
      </c>
      <c r="N318" t="n">
        <v>0</v>
      </c>
      <c r="O318" t="n">
        <v>0</v>
      </c>
      <c r="P318" t="n">
        <v>0</v>
      </c>
      <c r="Q318" t="n">
        <v>0</v>
      </c>
      <c r="R318" s="2" t="inlineStr"/>
    </row>
    <row r="319" ht="15" customHeight="1">
      <c r="A319" t="inlineStr">
        <is>
          <t>A 36040-2024</t>
        </is>
      </c>
      <c r="B319" s="1" t="n">
        <v>45533.60232638889</v>
      </c>
      <c r="C319" s="1" t="n">
        <v>45923</v>
      </c>
      <c r="D319" t="inlineStr">
        <is>
          <t>KALMAR LÄN</t>
        </is>
      </c>
      <c r="E319" t="inlineStr">
        <is>
          <t>VIMMERBY</t>
        </is>
      </c>
      <c r="F319" t="inlineStr">
        <is>
          <t>Kommuner</t>
        </is>
      </c>
      <c r="G319" t="n">
        <v>3.6</v>
      </c>
      <c r="H319" t="n">
        <v>0</v>
      </c>
      <c r="I319" t="n">
        <v>0</v>
      </c>
      <c r="J319" t="n">
        <v>0</v>
      </c>
      <c r="K319" t="n">
        <v>0</v>
      </c>
      <c r="L319" t="n">
        <v>0</v>
      </c>
      <c r="M319" t="n">
        <v>0</v>
      </c>
      <c r="N319" t="n">
        <v>0</v>
      </c>
      <c r="O319" t="n">
        <v>0</v>
      </c>
      <c r="P319" t="n">
        <v>0</v>
      </c>
      <c r="Q319" t="n">
        <v>0</v>
      </c>
      <c r="R319" s="2" t="inlineStr"/>
    </row>
    <row r="320" ht="15" customHeight="1">
      <c r="A320" t="inlineStr">
        <is>
          <t>A 36043-2024</t>
        </is>
      </c>
      <c r="B320" s="1" t="n">
        <v>45533.60770833334</v>
      </c>
      <c r="C320" s="1" t="n">
        <v>45923</v>
      </c>
      <c r="D320" t="inlineStr">
        <is>
          <t>KALMAR LÄN</t>
        </is>
      </c>
      <c r="E320" t="inlineStr">
        <is>
          <t>VIMMERBY</t>
        </is>
      </c>
      <c r="F320" t="inlineStr">
        <is>
          <t>Kommuner</t>
        </is>
      </c>
      <c r="G320" t="n">
        <v>1.5</v>
      </c>
      <c r="H320" t="n">
        <v>0</v>
      </c>
      <c r="I320" t="n">
        <v>0</v>
      </c>
      <c r="J320" t="n">
        <v>0</v>
      </c>
      <c r="K320" t="n">
        <v>0</v>
      </c>
      <c r="L320" t="n">
        <v>0</v>
      </c>
      <c r="M320" t="n">
        <v>0</v>
      </c>
      <c r="N320" t="n">
        <v>0</v>
      </c>
      <c r="O320" t="n">
        <v>0</v>
      </c>
      <c r="P320" t="n">
        <v>0</v>
      </c>
      <c r="Q320" t="n">
        <v>0</v>
      </c>
      <c r="R320" s="2" t="inlineStr"/>
    </row>
    <row r="321" ht="15" customHeight="1">
      <c r="A321" t="inlineStr">
        <is>
          <t>A 9475-2023</t>
        </is>
      </c>
      <c r="B321" s="1" t="n">
        <v>44981.58834490741</v>
      </c>
      <c r="C321" s="1" t="n">
        <v>45923</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35596-2025</t>
        </is>
      </c>
      <c r="B322" s="1" t="n">
        <v>45858.60641203704</v>
      </c>
      <c r="C322" s="1" t="n">
        <v>45923</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41735-2025</t>
        </is>
      </c>
      <c r="B323" s="1" t="n">
        <v>45902.47164351852</v>
      </c>
      <c r="C323" s="1" t="n">
        <v>45923</v>
      </c>
      <c r="D323" t="inlineStr">
        <is>
          <t>KALMAR LÄN</t>
        </is>
      </c>
      <c r="E323" t="inlineStr">
        <is>
          <t>VIMMERBY</t>
        </is>
      </c>
      <c r="G323" t="n">
        <v>3</v>
      </c>
      <c r="H323" t="n">
        <v>0</v>
      </c>
      <c r="I323" t="n">
        <v>0</v>
      </c>
      <c r="J323" t="n">
        <v>0</v>
      </c>
      <c r="K323" t="n">
        <v>0</v>
      </c>
      <c r="L323" t="n">
        <v>0</v>
      </c>
      <c r="M323" t="n">
        <v>0</v>
      </c>
      <c r="N323" t="n">
        <v>0</v>
      </c>
      <c r="O323" t="n">
        <v>0</v>
      </c>
      <c r="P323" t="n">
        <v>0</v>
      </c>
      <c r="Q323" t="n">
        <v>0</v>
      </c>
      <c r="R323" s="2" t="inlineStr"/>
    </row>
    <row r="324" ht="15" customHeight="1">
      <c r="A324" t="inlineStr">
        <is>
          <t>A 22197-2024</t>
        </is>
      </c>
      <c r="B324" s="1" t="n">
        <v>45446.36774305555</v>
      </c>
      <c r="C324" s="1" t="n">
        <v>45923</v>
      </c>
      <c r="D324" t="inlineStr">
        <is>
          <t>KALMAR LÄN</t>
        </is>
      </c>
      <c r="E324" t="inlineStr">
        <is>
          <t>VIMMERBY</t>
        </is>
      </c>
      <c r="F324" t="inlineStr">
        <is>
          <t>Sveaskog</t>
        </is>
      </c>
      <c r="G324" t="n">
        <v>3.2</v>
      </c>
      <c r="H324" t="n">
        <v>0</v>
      </c>
      <c r="I324" t="n">
        <v>0</v>
      </c>
      <c r="J324" t="n">
        <v>0</v>
      </c>
      <c r="K324" t="n">
        <v>0</v>
      </c>
      <c r="L324" t="n">
        <v>0</v>
      </c>
      <c r="M324" t="n">
        <v>0</v>
      </c>
      <c r="N324" t="n">
        <v>0</v>
      </c>
      <c r="O324" t="n">
        <v>0</v>
      </c>
      <c r="P324" t="n">
        <v>0</v>
      </c>
      <c r="Q324" t="n">
        <v>0</v>
      </c>
      <c r="R324" s="2" t="inlineStr"/>
    </row>
    <row r="325" ht="15" customHeight="1">
      <c r="A325" t="inlineStr">
        <is>
          <t>A 43092-2024</t>
        </is>
      </c>
      <c r="B325" s="1" t="n">
        <v>45567</v>
      </c>
      <c r="C325" s="1" t="n">
        <v>45923</v>
      </c>
      <c r="D325" t="inlineStr">
        <is>
          <t>KALMAR LÄN</t>
        </is>
      </c>
      <c r="E325" t="inlineStr">
        <is>
          <t>VIMMERBY</t>
        </is>
      </c>
      <c r="G325" t="n">
        <v>2.7</v>
      </c>
      <c r="H325" t="n">
        <v>0</v>
      </c>
      <c r="I325" t="n">
        <v>0</v>
      </c>
      <c r="J325" t="n">
        <v>0</v>
      </c>
      <c r="K325" t="n">
        <v>0</v>
      </c>
      <c r="L325" t="n">
        <v>0</v>
      </c>
      <c r="M325" t="n">
        <v>0</v>
      </c>
      <c r="N325" t="n">
        <v>0</v>
      </c>
      <c r="O325" t="n">
        <v>0</v>
      </c>
      <c r="P325" t="n">
        <v>0</v>
      </c>
      <c r="Q325" t="n">
        <v>0</v>
      </c>
      <c r="R325" s="2" t="inlineStr"/>
    </row>
    <row r="326" ht="15" customHeight="1">
      <c r="A326" t="inlineStr">
        <is>
          <t>A 3938-2023</t>
        </is>
      </c>
      <c r="B326" s="1" t="n">
        <v>44952.35775462963</v>
      </c>
      <c r="C326" s="1" t="n">
        <v>45923</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35710-2023</t>
        </is>
      </c>
      <c r="B327" s="1" t="n">
        <v>45147.67096064815</v>
      </c>
      <c r="C327" s="1" t="n">
        <v>45923</v>
      </c>
      <c r="D327" t="inlineStr">
        <is>
          <t>KALMAR LÄN</t>
        </is>
      </c>
      <c r="E327" t="inlineStr">
        <is>
          <t>VIMMERBY</t>
        </is>
      </c>
      <c r="G327" t="n">
        <v>3.1</v>
      </c>
      <c r="H327" t="n">
        <v>0</v>
      </c>
      <c r="I327" t="n">
        <v>0</v>
      </c>
      <c r="J327" t="n">
        <v>0</v>
      </c>
      <c r="K327" t="n">
        <v>0</v>
      </c>
      <c r="L327" t="n">
        <v>0</v>
      </c>
      <c r="M327" t="n">
        <v>0</v>
      </c>
      <c r="N327" t="n">
        <v>0</v>
      </c>
      <c r="O327" t="n">
        <v>0</v>
      </c>
      <c r="P327" t="n">
        <v>0</v>
      </c>
      <c r="Q327" t="n">
        <v>0</v>
      </c>
      <c r="R327" s="2" t="inlineStr"/>
    </row>
    <row r="328" ht="15" customHeight="1">
      <c r="A328" t="inlineStr">
        <is>
          <t>A 35711-2023</t>
        </is>
      </c>
      <c r="B328" s="1" t="n">
        <v>45147.67172453704</v>
      </c>
      <c r="C328" s="1" t="n">
        <v>45923</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26937-2023</t>
        </is>
      </c>
      <c r="B329" s="1" t="n">
        <v>45093.62777777778</v>
      </c>
      <c r="C329" s="1" t="n">
        <v>45923</v>
      </c>
      <c r="D329" t="inlineStr">
        <is>
          <t>KALMAR LÄN</t>
        </is>
      </c>
      <c r="E329" t="inlineStr">
        <is>
          <t>VIMMERBY</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11619-2023</t>
        </is>
      </c>
      <c r="B330" s="1" t="n">
        <v>44994.42113425926</v>
      </c>
      <c r="C330" s="1" t="n">
        <v>45923</v>
      </c>
      <c r="D330" t="inlineStr">
        <is>
          <t>KALMAR LÄN</t>
        </is>
      </c>
      <c r="E330" t="inlineStr">
        <is>
          <t>VIMMERBY</t>
        </is>
      </c>
      <c r="G330" t="n">
        <v>2.5</v>
      </c>
      <c r="H330" t="n">
        <v>0</v>
      </c>
      <c r="I330" t="n">
        <v>0</v>
      </c>
      <c r="J330" t="n">
        <v>0</v>
      </c>
      <c r="K330" t="n">
        <v>0</v>
      </c>
      <c r="L330" t="n">
        <v>0</v>
      </c>
      <c r="M330" t="n">
        <v>0</v>
      </c>
      <c r="N330" t="n">
        <v>0</v>
      </c>
      <c r="O330" t="n">
        <v>0</v>
      </c>
      <c r="P330" t="n">
        <v>0</v>
      </c>
      <c r="Q330" t="n">
        <v>0</v>
      </c>
      <c r="R330" s="2" t="inlineStr"/>
    </row>
    <row r="331" ht="15" customHeight="1">
      <c r="A331" t="inlineStr">
        <is>
          <t>A 50085-2023</t>
        </is>
      </c>
      <c r="B331" s="1" t="n">
        <v>45215.5959375</v>
      </c>
      <c r="C331" s="1" t="n">
        <v>45923</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5074-2023</t>
        </is>
      </c>
      <c r="B332" s="1" t="n">
        <v>44958.61047453704</v>
      </c>
      <c r="C332" s="1" t="n">
        <v>45923</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6368-2023</t>
        </is>
      </c>
      <c r="B333" s="1" t="n">
        <v>44965</v>
      </c>
      <c r="C333" s="1" t="n">
        <v>45923</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41896-2025</t>
        </is>
      </c>
      <c r="B334" s="1" t="n">
        <v>45903.38800925926</v>
      </c>
      <c r="C334" s="1" t="n">
        <v>45923</v>
      </c>
      <c r="D334" t="inlineStr">
        <is>
          <t>KALMAR LÄN</t>
        </is>
      </c>
      <c r="E334" t="inlineStr">
        <is>
          <t>VIMMERBY</t>
        </is>
      </c>
      <c r="G334" t="n">
        <v>2.9</v>
      </c>
      <c r="H334" t="n">
        <v>0</v>
      </c>
      <c r="I334" t="n">
        <v>0</v>
      </c>
      <c r="J334" t="n">
        <v>0</v>
      </c>
      <c r="K334" t="n">
        <v>0</v>
      </c>
      <c r="L334" t="n">
        <v>0</v>
      </c>
      <c r="M334" t="n">
        <v>0</v>
      </c>
      <c r="N334" t="n">
        <v>0</v>
      </c>
      <c r="O334" t="n">
        <v>0</v>
      </c>
      <c r="P334" t="n">
        <v>0</v>
      </c>
      <c r="Q334" t="n">
        <v>0</v>
      </c>
      <c r="R334" s="2" t="inlineStr"/>
    </row>
    <row r="335" ht="15" customHeight="1">
      <c r="A335" t="inlineStr">
        <is>
          <t>A 5701-2024</t>
        </is>
      </c>
      <c r="B335" s="1" t="n">
        <v>45334.78826388889</v>
      </c>
      <c r="C335" s="1" t="n">
        <v>45923</v>
      </c>
      <c r="D335" t="inlineStr">
        <is>
          <t>KALMAR LÄN</t>
        </is>
      </c>
      <c r="E335" t="inlineStr">
        <is>
          <t>VIMMERBY</t>
        </is>
      </c>
      <c r="G335" t="n">
        <v>2.3</v>
      </c>
      <c r="H335" t="n">
        <v>0</v>
      </c>
      <c r="I335" t="n">
        <v>0</v>
      </c>
      <c r="J335" t="n">
        <v>0</v>
      </c>
      <c r="K335" t="n">
        <v>0</v>
      </c>
      <c r="L335" t="n">
        <v>0</v>
      </c>
      <c r="M335" t="n">
        <v>0</v>
      </c>
      <c r="N335" t="n">
        <v>0</v>
      </c>
      <c r="O335" t="n">
        <v>0</v>
      </c>
      <c r="P335" t="n">
        <v>0</v>
      </c>
      <c r="Q335" t="n">
        <v>0</v>
      </c>
      <c r="R335" s="2" t="inlineStr"/>
    </row>
    <row r="336" ht="15" customHeight="1">
      <c r="A336" t="inlineStr">
        <is>
          <t>A 11219-2023</t>
        </is>
      </c>
      <c r="B336" s="1" t="n">
        <v>44992.62498842592</v>
      </c>
      <c r="C336" s="1" t="n">
        <v>45923</v>
      </c>
      <c r="D336" t="inlineStr">
        <is>
          <t>KALMAR LÄN</t>
        </is>
      </c>
      <c r="E336" t="inlineStr">
        <is>
          <t>VIMMERBY</t>
        </is>
      </c>
      <c r="G336" t="n">
        <v>2.5</v>
      </c>
      <c r="H336" t="n">
        <v>0</v>
      </c>
      <c r="I336" t="n">
        <v>0</v>
      </c>
      <c r="J336" t="n">
        <v>0</v>
      </c>
      <c r="K336" t="n">
        <v>0</v>
      </c>
      <c r="L336" t="n">
        <v>0</v>
      </c>
      <c r="M336" t="n">
        <v>0</v>
      </c>
      <c r="N336" t="n">
        <v>0</v>
      </c>
      <c r="O336" t="n">
        <v>0</v>
      </c>
      <c r="P336" t="n">
        <v>0</v>
      </c>
      <c r="Q336" t="n">
        <v>0</v>
      </c>
      <c r="R336" s="2" t="inlineStr"/>
    </row>
    <row r="337" ht="15" customHeight="1">
      <c r="A337" t="inlineStr">
        <is>
          <t>A 42828-2025</t>
        </is>
      </c>
      <c r="B337" s="1" t="n">
        <v>45908.57716435185</v>
      </c>
      <c r="C337" s="1" t="n">
        <v>45923</v>
      </c>
      <c r="D337" t="inlineStr">
        <is>
          <t>KALMAR LÄN</t>
        </is>
      </c>
      <c r="E337" t="inlineStr">
        <is>
          <t>VIMMERBY</t>
        </is>
      </c>
      <c r="G337" t="n">
        <v>5.2</v>
      </c>
      <c r="H337" t="n">
        <v>0</v>
      </c>
      <c r="I337" t="n">
        <v>0</v>
      </c>
      <c r="J337" t="n">
        <v>0</v>
      </c>
      <c r="K337" t="n">
        <v>0</v>
      </c>
      <c r="L337" t="n">
        <v>0</v>
      </c>
      <c r="M337" t="n">
        <v>0</v>
      </c>
      <c r="N337" t="n">
        <v>0</v>
      </c>
      <c r="O337" t="n">
        <v>0</v>
      </c>
      <c r="P337" t="n">
        <v>0</v>
      </c>
      <c r="Q337" t="n">
        <v>0</v>
      </c>
      <c r="R337" s="2" t="inlineStr"/>
    </row>
    <row r="338" ht="15" customHeight="1">
      <c r="A338" t="inlineStr">
        <is>
          <t>A 19502-2025</t>
        </is>
      </c>
      <c r="B338" s="1" t="n">
        <v>45769</v>
      </c>
      <c r="C338" s="1" t="n">
        <v>45923</v>
      </c>
      <c r="D338" t="inlineStr">
        <is>
          <t>KALMAR LÄN</t>
        </is>
      </c>
      <c r="E338" t="inlineStr">
        <is>
          <t>VIMMERBY</t>
        </is>
      </c>
      <c r="G338" t="n">
        <v>1.9</v>
      </c>
      <c r="H338" t="n">
        <v>0</v>
      </c>
      <c r="I338" t="n">
        <v>0</v>
      </c>
      <c r="J338" t="n">
        <v>0</v>
      </c>
      <c r="K338" t="n">
        <v>0</v>
      </c>
      <c r="L338" t="n">
        <v>0</v>
      </c>
      <c r="M338" t="n">
        <v>0</v>
      </c>
      <c r="N338" t="n">
        <v>0</v>
      </c>
      <c r="O338" t="n">
        <v>0</v>
      </c>
      <c r="P338" t="n">
        <v>0</v>
      </c>
      <c r="Q338" t="n">
        <v>0</v>
      </c>
      <c r="R338" s="2" t="inlineStr"/>
    </row>
    <row r="339" ht="15" customHeight="1">
      <c r="A339" t="inlineStr">
        <is>
          <t>A 36273-2025</t>
        </is>
      </c>
      <c r="B339" s="1" t="n">
        <v>45867.63094907408</v>
      </c>
      <c r="C339" s="1" t="n">
        <v>45923</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34588-2024</t>
        </is>
      </c>
      <c r="B340" s="1" t="n">
        <v>45526.3865625</v>
      </c>
      <c r="C340" s="1" t="n">
        <v>45923</v>
      </c>
      <c r="D340" t="inlineStr">
        <is>
          <t>KALMAR LÄN</t>
        </is>
      </c>
      <c r="E340" t="inlineStr">
        <is>
          <t>VIMMERBY</t>
        </is>
      </c>
      <c r="F340" t="inlineStr">
        <is>
          <t>Övriga Aktiebolag</t>
        </is>
      </c>
      <c r="G340" t="n">
        <v>3.3</v>
      </c>
      <c r="H340" t="n">
        <v>0</v>
      </c>
      <c r="I340" t="n">
        <v>0</v>
      </c>
      <c r="J340" t="n">
        <v>0</v>
      </c>
      <c r="K340" t="n">
        <v>0</v>
      </c>
      <c r="L340" t="n">
        <v>0</v>
      </c>
      <c r="M340" t="n">
        <v>0</v>
      </c>
      <c r="N340" t="n">
        <v>0</v>
      </c>
      <c r="O340" t="n">
        <v>0</v>
      </c>
      <c r="P340" t="n">
        <v>0</v>
      </c>
      <c r="Q340" t="n">
        <v>0</v>
      </c>
      <c r="R340" s="2" t="inlineStr"/>
    </row>
    <row r="341" ht="15" customHeight="1">
      <c r="A341" t="inlineStr">
        <is>
          <t>A 36299-2025</t>
        </is>
      </c>
      <c r="B341" s="1" t="n">
        <v>45867.69346064814</v>
      </c>
      <c r="C341" s="1" t="n">
        <v>45923</v>
      </c>
      <c r="D341" t="inlineStr">
        <is>
          <t>KALMAR LÄN</t>
        </is>
      </c>
      <c r="E341" t="inlineStr">
        <is>
          <t>VIMMERBY</t>
        </is>
      </c>
      <c r="G341" t="n">
        <v>7.6</v>
      </c>
      <c r="H341" t="n">
        <v>0</v>
      </c>
      <c r="I341" t="n">
        <v>0</v>
      </c>
      <c r="J341" t="n">
        <v>0</v>
      </c>
      <c r="K341" t="n">
        <v>0</v>
      </c>
      <c r="L341" t="n">
        <v>0</v>
      </c>
      <c r="M341" t="n">
        <v>0</v>
      </c>
      <c r="N341" t="n">
        <v>0</v>
      </c>
      <c r="O341" t="n">
        <v>0</v>
      </c>
      <c r="P341" t="n">
        <v>0</v>
      </c>
      <c r="Q341" t="n">
        <v>0</v>
      </c>
      <c r="R341" s="2" t="inlineStr"/>
    </row>
    <row r="342" ht="15" customHeight="1">
      <c r="A342" t="inlineStr">
        <is>
          <t>A 36221-2025</t>
        </is>
      </c>
      <c r="B342" s="1" t="n">
        <v>45867.50792824074</v>
      </c>
      <c r="C342" s="1" t="n">
        <v>45923</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36226-2025</t>
        </is>
      </c>
      <c r="B343" s="1" t="n">
        <v>45867.51630787037</v>
      </c>
      <c r="C343" s="1" t="n">
        <v>45923</v>
      </c>
      <c r="D343" t="inlineStr">
        <is>
          <t>KALMAR LÄN</t>
        </is>
      </c>
      <c r="E343" t="inlineStr">
        <is>
          <t>VIMMERBY</t>
        </is>
      </c>
      <c r="G343" t="n">
        <v>3.1</v>
      </c>
      <c r="H343" t="n">
        <v>0</v>
      </c>
      <c r="I343" t="n">
        <v>0</v>
      </c>
      <c r="J343" t="n">
        <v>0</v>
      </c>
      <c r="K343" t="n">
        <v>0</v>
      </c>
      <c r="L343" t="n">
        <v>0</v>
      </c>
      <c r="M343" t="n">
        <v>0</v>
      </c>
      <c r="N343" t="n">
        <v>0</v>
      </c>
      <c r="O343" t="n">
        <v>0</v>
      </c>
      <c r="P343" t="n">
        <v>0</v>
      </c>
      <c r="Q343" t="n">
        <v>0</v>
      </c>
      <c r="R343" s="2" t="inlineStr"/>
    </row>
    <row r="344" ht="15" customHeight="1">
      <c r="A344" t="inlineStr">
        <is>
          <t>A 36297-2025</t>
        </is>
      </c>
      <c r="B344" s="1" t="n">
        <v>45867.68625</v>
      </c>
      <c r="C344" s="1" t="n">
        <v>45923</v>
      </c>
      <c r="D344" t="inlineStr">
        <is>
          <t>KALMAR LÄN</t>
        </is>
      </c>
      <c r="E344" t="inlineStr">
        <is>
          <t>VIMMERBY</t>
        </is>
      </c>
      <c r="G344" t="n">
        <v>4.9</v>
      </c>
      <c r="H344" t="n">
        <v>0</v>
      </c>
      <c r="I344" t="n">
        <v>0</v>
      </c>
      <c r="J344" t="n">
        <v>0</v>
      </c>
      <c r="K344" t="n">
        <v>0</v>
      </c>
      <c r="L344" t="n">
        <v>0</v>
      </c>
      <c r="M344" t="n">
        <v>0</v>
      </c>
      <c r="N344" t="n">
        <v>0</v>
      </c>
      <c r="O344" t="n">
        <v>0</v>
      </c>
      <c r="P344" t="n">
        <v>0</v>
      </c>
      <c r="Q344" t="n">
        <v>0</v>
      </c>
      <c r="R344" s="2" t="inlineStr"/>
    </row>
    <row r="345" ht="15" customHeight="1">
      <c r="A345" t="inlineStr">
        <is>
          <t>A 7797-2023</t>
        </is>
      </c>
      <c r="B345" s="1" t="n">
        <v>44973.43075231482</v>
      </c>
      <c r="C345" s="1" t="n">
        <v>45923</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36246-2025</t>
        </is>
      </c>
      <c r="B346" s="1" t="n">
        <v>45867.56320601852</v>
      </c>
      <c r="C346" s="1" t="n">
        <v>45923</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36282-2025</t>
        </is>
      </c>
      <c r="B347" s="1" t="n">
        <v>45867.64663194444</v>
      </c>
      <c r="C347" s="1" t="n">
        <v>45923</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42794-2025</t>
        </is>
      </c>
      <c r="B348" s="1" t="n">
        <v>45908</v>
      </c>
      <c r="C348" s="1" t="n">
        <v>45923</v>
      </c>
      <c r="D348" t="inlineStr">
        <is>
          <t>KALMAR LÄN</t>
        </is>
      </c>
      <c r="E348" t="inlineStr">
        <is>
          <t>VIMMERBY</t>
        </is>
      </c>
      <c r="G348" t="n">
        <v>0.9</v>
      </c>
      <c r="H348" t="n">
        <v>0</v>
      </c>
      <c r="I348" t="n">
        <v>0</v>
      </c>
      <c r="J348" t="n">
        <v>0</v>
      </c>
      <c r="K348" t="n">
        <v>0</v>
      </c>
      <c r="L348" t="n">
        <v>0</v>
      </c>
      <c r="M348" t="n">
        <v>0</v>
      </c>
      <c r="N348" t="n">
        <v>0</v>
      </c>
      <c r="O348" t="n">
        <v>0</v>
      </c>
      <c r="P348" t="n">
        <v>0</v>
      </c>
      <c r="Q348" t="n">
        <v>0</v>
      </c>
      <c r="R348" s="2" t="inlineStr"/>
    </row>
    <row r="349" ht="15" customHeight="1">
      <c r="A349" t="inlineStr">
        <is>
          <t>A 36538-2025</t>
        </is>
      </c>
      <c r="B349" s="1" t="n">
        <v>45869.62276620371</v>
      </c>
      <c r="C349" s="1" t="n">
        <v>45923</v>
      </c>
      <c r="D349" t="inlineStr">
        <is>
          <t>KALMAR LÄN</t>
        </is>
      </c>
      <c r="E349" t="inlineStr">
        <is>
          <t>VIMMERBY</t>
        </is>
      </c>
      <c r="G349" t="n">
        <v>2.6</v>
      </c>
      <c r="H349" t="n">
        <v>0</v>
      </c>
      <c r="I349" t="n">
        <v>0</v>
      </c>
      <c r="J349" t="n">
        <v>0</v>
      </c>
      <c r="K349" t="n">
        <v>0</v>
      </c>
      <c r="L349" t="n">
        <v>0</v>
      </c>
      <c r="M349" t="n">
        <v>0</v>
      </c>
      <c r="N349" t="n">
        <v>0</v>
      </c>
      <c r="O349" t="n">
        <v>0</v>
      </c>
      <c r="P349" t="n">
        <v>0</v>
      </c>
      <c r="Q349" t="n">
        <v>0</v>
      </c>
      <c r="R349" s="2" t="inlineStr"/>
    </row>
    <row r="350" ht="15" customHeight="1">
      <c r="A350" t="inlineStr">
        <is>
          <t>A 56659-2023</t>
        </is>
      </c>
      <c r="B350" s="1" t="n">
        <v>45243.84869212963</v>
      </c>
      <c r="C350" s="1" t="n">
        <v>45923</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24655-2021</t>
        </is>
      </c>
      <c r="B351" s="1" t="n">
        <v>44340</v>
      </c>
      <c r="C351" s="1" t="n">
        <v>45923</v>
      </c>
      <c r="D351" t="inlineStr">
        <is>
          <t>KALMAR LÄN</t>
        </is>
      </c>
      <c r="E351" t="inlineStr">
        <is>
          <t>VIMMERBY</t>
        </is>
      </c>
      <c r="G351" t="n">
        <v>14.9</v>
      </c>
      <c r="H351" t="n">
        <v>0</v>
      </c>
      <c r="I351" t="n">
        <v>0</v>
      </c>
      <c r="J351" t="n">
        <v>0</v>
      </c>
      <c r="K351" t="n">
        <v>0</v>
      </c>
      <c r="L351" t="n">
        <v>0</v>
      </c>
      <c r="M351" t="n">
        <v>0</v>
      </c>
      <c r="N351" t="n">
        <v>0</v>
      </c>
      <c r="O351" t="n">
        <v>0</v>
      </c>
      <c r="P351" t="n">
        <v>0</v>
      </c>
      <c r="Q351" t="n">
        <v>0</v>
      </c>
      <c r="R351" s="2" t="inlineStr"/>
    </row>
    <row r="352" ht="15" customHeight="1">
      <c r="A352" t="inlineStr">
        <is>
          <t>A 42820-2025</t>
        </is>
      </c>
      <c r="B352" s="1" t="n">
        <v>45908</v>
      </c>
      <c r="C352" s="1" t="n">
        <v>45923</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43465-2025</t>
        </is>
      </c>
      <c r="B353" s="1" t="n">
        <v>45911.47138888889</v>
      </c>
      <c r="C353" s="1" t="n">
        <v>45923</v>
      </c>
      <c r="D353" t="inlineStr">
        <is>
          <t>KALMAR LÄN</t>
        </is>
      </c>
      <c r="E353" t="inlineStr">
        <is>
          <t>VIMMERBY</t>
        </is>
      </c>
      <c r="G353" t="n">
        <v>0.7</v>
      </c>
      <c r="H353" t="n">
        <v>0</v>
      </c>
      <c r="I353" t="n">
        <v>0</v>
      </c>
      <c r="J353" t="n">
        <v>0</v>
      </c>
      <c r="K353" t="n">
        <v>0</v>
      </c>
      <c r="L353" t="n">
        <v>0</v>
      </c>
      <c r="M353" t="n">
        <v>0</v>
      </c>
      <c r="N353" t="n">
        <v>0</v>
      </c>
      <c r="O353" t="n">
        <v>0</v>
      </c>
      <c r="P353" t="n">
        <v>0</v>
      </c>
      <c r="Q353" t="n">
        <v>0</v>
      </c>
      <c r="R353" s="2" t="inlineStr"/>
    </row>
    <row r="354" ht="15" customHeight="1">
      <c r="A354" t="inlineStr">
        <is>
          <t>A 6850-2023</t>
        </is>
      </c>
      <c r="B354" s="1" t="n">
        <v>44967.44255787037</v>
      </c>
      <c r="C354" s="1" t="n">
        <v>45923</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8410-2023</t>
        </is>
      </c>
      <c r="B355" s="1" t="n">
        <v>44977</v>
      </c>
      <c r="C355" s="1" t="n">
        <v>45923</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36598-2025</t>
        </is>
      </c>
      <c r="B356" s="1" t="n">
        <v>45870.51708333333</v>
      </c>
      <c r="C356" s="1" t="n">
        <v>45923</v>
      </c>
      <c r="D356" t="inlineStr">
        <is>
          <t>KALMAR LÄN</t>
        </is>
      </c>
      <c r="E356" t="inlineStr">
        <is>
          <t>VIMMERBY</t>
        </is>
      </c>
      <c r="G356" t="n">
        <v>3.7</v>
      </c>
      <c r="H356" t="n">
        <v>0</v>
      </c>
      <c r="I356" t="n">
        <v>0</v>
      </c>
      <c r="J356" t="n">
        <v>0</v>
      </c>
      <c r="K356" t="n">
        <v>0</v>
      </c>
      <c r="L356" t="n">
        <v>0</v>
      </c>
      <c r="M356" t="n">
        <v>0</v>
      </c>
      <c r="N356" t="n">
        <v>0</v>
      </c>
      <c r="O356" t="n">
        <v>0</v>
      </c>
      <c r="P356" t="n">
        <v>0</v>
      </c>
      <c r="Q356" t="n">
        <v>0</v>
      </c>
      <c r="R356" s="2" t="inlineStr"/>
    </row>
    <row r="357" ht="15" customHeight="1">
      <c r="A357" t="inlineStr">
        <is>
          <t>A 36602-2025</t>
        </is>
      </c>
      <c r="B357" s="1" t="n">
        <v>45870.52111111111</v>
      </c>
      <c r="C357" s="1" t="n">
        <v>45923</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6358-2022</t>
        </is>
      </c>
      <c r="B358" s="1" t="n">
        <v>44600</v>
      </c>
      <c r="C358" s="1" t="n">
        <v>45923</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6028-2023</t>
        </is>
      </c>
      <c r="B359" s="1" t="n">
        <v>44964.44356481481</v>
      </c>
      <c r="C359" s="1" t="n">
        <v>45923</v>
      </c>
      <c r="D359" t="inlineStr">
        <is>
          <t>KALMAR LÄN</t>
        </is>
      </c>
      <c r="E359" t="inlineStr">
        <is>
          <t>VIMMERBY</t>
        </is>
      </c>
      <c r="G359" t="n">
        <v>2.5</v>
      </c>
      <c r="H359" t="n">
        <v>0</v>
      </c>
      <c r="I359" t="n">
        <v>0</v>
      </c>
      <c r="J359" t="n">
        <v>0</v>
      </c>
      <c r="K359" t="n">
        <v>0</v>
      </c>
      <c r="L359" t="n">
        <v>0</v>
      </c>
      <c r="M359" t="n">
        <v>0</v>
      </c>
      <c r="N359" t="n">
        <v>0</v>
      </c>
      <c r="O359" t="n">
        <v>0</v>
      </c>
      <c r="P359" t="n">
        <v>0</v>
      </c>
      <c r="Q359" t="n">
        <v>0</v>
      </c>
      <c r="R359" s="2" t="inlineStr"/>
    </row>
    <row r="360" ht="15" customHeight="1">
      <c r="A360" t="inlineStr">
        <is>
          <t>A 43617-2025</t>
        </is>
      </c>
      <c r="B360" s="1" t="n">
        <v>45911.67798611111</v>
      </c>
      <c r="C360" s="1" t="n">
        <v>45923</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3331-2023</t>
        </is>
      </c>
      <c r="B361" s="1" t="n">
        <v>44949</v>
      </c>
      <c r="C361" s="1" t="n">
        <v>45923</v>
      </c>
      <c r="D361" t="inlineStr">
        <is>
          <t>KALMAR LÄN</t>
        </is>
      </c>
      <c r="E361" t="inlineStr">
        <is>
          <t>VIMMERBY</t>
        </is>
      </c>
      <c r="G361" t="n">
        <v>6.2</v>
      </c>
      <c r="H361" t="n">
        <v>0</v>
      </c>
      <c r="I361" t="n">
        <v>0</v>
      </c>
      <c r="J361" t="n">
        <v>0</v>
      </c>
      <c r="K361" t="n">
        <v>0</v>
      </c>
      <c r="L361" t="n">
        <v>0</v>
      </c>
      <c r="M361" t="n">
        <v>0</v>
      </c>
      <c r="N361" t="n">
        <v>0</v>
      </c>
      <c r="O361" t="n">
        <v>0</v>
      </c>
      <c r="P361" t="n">
        <v>0</v>
      </c>
      <c r="Q361" t="n">
        <v>0</v>
      </c>
      <c r="R361" s="2" t="inlineStr"/>
    </row>
    <row r="362" ht="15" customHeight="1">
      <c r="A362" t="inlineStr">
        <is>
          <t>A 34090-2025</t>
        </is>
      </c>
      <c r="B362" s="1" t="n">
        <v>45845</v>
      </c>
      <c r="C362" s="1" t="n">
        <v>45923</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52823-2024</t>
        </is>
      </c>
      <c r="B363" s="1" t="n">
        <v>45610.59094907407</v>
      </c>
      <c r="C363" s="1" t="n">
        <v>45923</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43853-2023</t>
        </is>
      </c>
      <c r="B364" s="1" t="n">
        <v>45187.60813657408</v>
      </c>
      <c r="C364" s="1" t="n">
        <v>45923</v>
      </c>
      <c r="D364" t="inlineStr">
        <is>
          <t>KALMAR LÄN</t>
        </is>
      </c>
      <c r="E364" t="inlineStr">
        <is>
          <t>VIMMERBY</t>
        </is>
      </c>
      <c r="G364" t="n">
        <v>1.4</v>
      </c>
      <c r="H364" t="n">
        <v>0</v>
      </c>
      <c r="I364" t="n">
        <v>0</v>
      </c>
      <c r="J364" t="n">
        <v>0</v>
      </c>
      <c r="K364" t="n">
        <v>0</v>
      </c>
      <c r="L364" t="n">
        <v>0</v>
      </c>
      <c r="M364" t="n">
        <v>0</v>
      </c>
      <c r="N364" t="n">
        <v>0</v>
      </c>
      <c r="O364" t="n">
        <v>0</v>
      </c>
      <c r="P364" t="n">
        <v>0</v>
      </c>
      <c r="Q364" t="n">
        <v>0</v>
      </c>
      <c r="R364" s="2" t="inlineStr"/>
    </row>
    <row r="365" ht="15" customHeight="1">
      <c r="A365" t="inlineStr">
        <is>
          <t>A 36600-2025</t>
        </is>
      </c>
      <c r="B365" s="1" t="n">
        <v>45870.51958333333</v>
      </c>
      <c r="C365" s="1" t="n">
        <v>45923</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36601-2025</t>
        </is>
      </c>
      <c r="B366" s="1" t="n">
        <v>45870.52005787037</v>
      </c>
      <c r="C366" s="1" t="n">
        <v>45923</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36603-2025</t>
        </is>
      </c>
      <c r="B367" s="1" t="n">
        <v>45870.52142361111</v>
      </c>
      <c r="C367" s="1" t="n">
        <v>45923</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7075-2021</t>
        </is>
      </c>
      <c r="B368" s="1" t="n">
        <v>44237</v>
      </c>
      <c r="C368" s="1" t="n">
        <v>45923</v>
      </c>
      <c r="D368" t="inlineStr">
        <is>
          <t>KALMAR LÄN</t>
        </is>
      </c>
      <c r="E368" t="inlineStr">
        <is>
          <t>VIMMERBY</t>
        </is>
      </c>
      <c r="G368" t="n">
        <v>3.6</v>
      </c>
      <c r="H368" t="n">
        <v>0</v>
      </c>
      <c r="I368" t="n">
        <v>0</v>
      </c>
      <c r="J368" t="n">
        <v>0</v>
      </c>
      <c r="K368" t="n">
        <v>0</v>
      </c>
      <c r="L368" t="n">
        <v>0</v>
      </c>
      <c r="M368" t="n">
        <v>0</v>
      </c>
      <c r="N368" t="n">
        <v>0</v>
      </c>
      <c r="O368" t="n">
        <v>0</v>
      </c>
      <c r="P368" t="n">
        <v>0</v>
      </c>
      <c r="Q368" t="n">
        <v>0</v>
      </c>
      <c r="R368" s="2" t="inlineStr"/>
    </row>
    <row r="369" ht="15" customHeight="1">
      <c r="A369" t="inlineStr">
        <is>
          <t>A 56853-2022</t>
        </is>
      </c>
      <c r="B369" s="1" t="n">
        <v>44894.49538194444</v>
      </c>
      <c r="C369" s="1" t="n">
        <v>45923</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11152-2023</t>
        </is>
      </c>
      <c r="B370" s="1" t="n">
        <v>44992</v>
      </c>
      <c r="C370" s="1" t="n">
        <v>45923</v>
      </c>
      <c r="D370" t="inlineStr">
        <is>
          <t>KALMAR LÄN</t>
        </is>
      </c>
      <c r="E370" t="inlineStr">
        <is>
          <t>VIMMERBY</t>
        </is>
      </c>
      <c r="G370" t="n">
        <v>10.6</v>
      </c>
      <c r="H370" t="n">
        <v>0</v>
      </c>
      <c r="I370" t="n">
        <v>0</v>
      </c>
      <c r="J370" t="n">
        <v>0</v>
      </c>
      <c r="K370" t="n">
        <v>0</v>
      </c>
      <c r="L370" t="n">
        <v>0</v>
      </c>
      <c r="M370" t="n">
        <v>0</v>
      </c>
      <c r="N370" t="n">
        <v>0</v>
      </c>
      <c r="O370" t="n">
        <v>0</v>
      </c>
      <c r="P370" t="n">
        <v>0</v>
      </c>
      <c r="Q370" t="n">
        <v>0</v>
      </c>
      <c r="R370" s="2" t="inlineStr"/>
    </row>
    <row r="371" ht="15" customHeight="1">
      <c r="A371" t="inlineStr">
        <is>
          <t>A 48673-2021</t>
        </is>
      </c>
      <c r="B371" s="1" t="n">
        <v>44452</v>
      </c>
      <c r="C371" s="1" t="n">
        <v>45923</v>
      </c>
      <c r="D371" t="inlineStr">
        <is>
          <t>KALMAR LÄN</t>
        </is>
      </c>
      <c r="E371" t="inlineStr">
        <is>
          <t>VIMMERBY</t>
        </is>
      </c>
      <c r="G371" t="n">
        <v>1.3</v>
      </c>
      <c r="H371" t="n">
        <v>0</v>
      </c>
      <c r="I371" t="n">
        <v>0</v>
      </c>
      <c r="J371" t="n">
        <v>0</v>
      </c>
      <c r="K371" t="n">
        <v>0</v>
      </c>
      <c r="L371" t="n">
        <v>0</v>
      </c>
      <c r="M371" t="n">
        <v>0</v>
      </c>
      <c r="N371" t="n">
        <v>0</v>
      </c>
      <c r="O371" t="n">
        <v>0</v>
      </c>
      <c r="P371" t="n">
        <v>0</v>
      </c>
      <c r="Q371" t="n">
        <v>0</v>
      </c>
      <c r="R371" s="2" t="inlineStr"/>
    </row>
    <row r="372" ht="15" customHeight="1">
      <c r="A372" t="inlineStr">
        <is>
          <t>A 15550-2023</t>
        </is>
      </c>
      <c r="B372" s="1" t="n">
        <v>45020</v>
      </c>
      <c r="C372" s="1" t="n">
        <v>45923</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14137-2023</t>
        </is>
      </c>
      <c r="B373" s="1" t="n">
        <v>45009.4671875</v>
      </c>
      <c r="C373" s="1" t="n">
        <v>45923</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40828-2023</t>
        </is>
      </c>
      <c r="B374" s="1" t="n">
        <v>45171.96248842592</v>
      </c>
      <c r="C374" s="1" t="n">
        <v>45923</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7630-2025</t>
        </is>
      </c>
      <c r="B375" s="1" t="n">
        <v>45705.74418981482</v>
      </c>
      <c r="C375" s="1" t="n">
        <v>45923</v>
      </c>
      <c r="D375" t="inlineStr">
        <is>
          <t>KALMAR LÄN</t>
        </is>
      </c>
      <c r="E375" t="inlineStr">
        <is>
          <t>VIMMERBY</t>
        </is>
      </c>
      <c r="G375" t="n">
        <v>2.5</v>
      </c>
      <c r="H375" t="n">
        <v>0</v>
      </c>
      <c r="I375" t="n">
        <v>0</v>
      </c>
      <c r="J375" t="n">
        <v>0</v>
      </c>
      <c r="K375" t="n">
        <v>0</v>
      </c>
      <c r="L375" t="n">
        <v>0</v>
      </c>
      <c r="M375" t="n">
        <v>0</v>
      </c>
      <c r="N375" t="n">
        <v>0</v>
      </c>
      <c r="O375" t="n">
        <v>0</v>
      </c>
      <c r="P375" t="n">
        <v>0</v>
      </c>
      <c r="Q375" t="n">
        <v>0</v>
      </c>
      <c r="R375" s="2" t="inlineStr"/>
    </row>
    <row r="376" ht="15" customHeight="1">
      <c r="A376" t="inlineStr">
        <is>
          <t>A 16734-2023</t>
        </is>
      </c>
      <c r="B376" s="1" t="n">
        <v>45030.71012731481</v>
      </c>
      <c r="C376" s="1" t="n">
        <v>45923</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31355-2023</t>
        </is>
      </c>
      <c r="B377" s="1" t="n">
        <v>45114.49505787037</v>
      </c>
      <c r="C377" s="1" t="n">
        <v>45923</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18330-2023</t>
        </is>
      </c>
      <c r="B378" s="1" t="n">
        <v>45041</v>
      </c>
      <c r="C378" s="1" t="n">
        <v>45923</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38780-2021</t>
        </is>
      </c>
      <c r="B379" s="1" t="n">
        <v>44410</v>
      </c>
      <c r="C379" s="1" t="n">
        <v>45923</v>
      </c>
      <c r="D379" t="inlineStr">
        <is>
          <t>KALMAR LÄN</t>
        </is>
      </c>
      <c r="E379" t="inlineStr">
        <is>
          <t>VIMMERBY</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30503-2023</t>
        </is>
      </c>
      <c r="B380" s="1" t="n">
        <v>45111</v>
      </c>
      <c r="C380" s="1" t="n">
        <v>45923</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64143-2021</t>
        </is>
      </c>
      <c r="B381" s="1" t="n">
        <v>44510.52157407408</v>
      </c>
      <c r="C381" s="1" t="n">
        <v>45923</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9720-2023</t>
        </is>
      </c>
      <c r="B382" s="1" t="n">
        <v>44984</v>
      </c>
      <c r="C382" s="1" t="n">
        <v>45923</v>
      </c>
      <c r="D382" t="inlineStr">
        <is>
          <t>KALMAR LÄN</t>
        </is>
      </c>
      <c r="E382" t="inlineStr">
        <is>
          <t>VIMMERBY</t>
        </is>
      </c>
      <c r="G382" t="n">
        <v>4.4</v>
      </c>
      <c r="H382" t="n">
        <v>0</v>
      </c>
      <c r="I382" t="n">
        <v>0</v>
      </c>
      <c r="J382" t="n">
        <v>0</v>
      </c>
      <c r="K382" t="n">
        <v>0</v>
      </c>
      <c r="L382" t="n">
        <v>0</v>
      </c>
      <c r="M382" t="n">
        <v>0</v>
      </c>
      <c r="N382" t="n">
        <v>0</v>
      </c>
      <c r="O382" t="n">
        <v>0</v>
      </c>
      <c r="P382" t="n">
        <v>0</v>
      </c>
      <c r="Q382" t="n">
        <v>0</v>
      </c>
      <c r="R382" s="2" t="inlineStr"/>
    </row>
    <row r="383" ht="15" customHeight="1">
      <c r="A383" t="inlineStr">
        <is>
          <t>A 5938-2022</t>
        </is>
      </c>
      <c r="B383" s="1" t="n">
        <v>44598</v>
      </c>
      <c r="C383" s="1" t="n">
        <v>45923</v>
      </c>
      <c r="D383" t="inlineStr">
        <is>
          <t>KALMAR LÄN</t>
        </is>
      </c>
      <c r="E383" t="inlineStr">
        <is>
          <t>VIMMERBY</t>
        </is>
      </c>
      <c r="G383" t="n">
        <v>2.4</v>
      </c>
      <c r="H383" t="n">
        <v>0</v>
      </c>
      <c r="I383" t="n">
        <v>0</v>
      </c>
      <c r="J383" t="n">
        <v>0</v>
      </c>
      <c r="K383" t="n">
        <v>0</v>
      </c>
      <c r="L383" t="n">
        <v>0</v>
      </c>
      <c r="M383" t="n">
        <v>0</v>
      </c>
      <c r="N383" t="n">
        <v>0</v>
      </c>
      <c r="O383" t="n">
        <v>0</v>
      </c>
      <c r="P383" t="n">
        <v>0</v>
      </c>
      <c r="Q383" t="n">
        <v>0</v>
      </c>
      <c r="R383" s="2" t="inlineStr"/>
    </row>
    <row r="384" ht="15" customHeight="1">
      <c r="A384" t="inlineStr">
        <is>
          <t>A 1687-2023</t>
        </is>
      </c>
      <c r="B384" s="1" t="n">
        <v>44938</v>
      </c>
      <c r="C384" s="1" t="n">
        <v>45923</v>
      </c>
      <c r="D384" t="inlineStr">
        <is>
          <t>KALMAR LÄN</t>
        </is>
      </c>
      <c r="E384" t="inlineStr">
        <is>
          <t>VIMMERBY</t>
        </is>
      </c>
      <c r="F384" t="inlineStr">
        <is>
          <t>Kommuner</t>
        </is>
      </c>
      <c r="G384" t="n">
        <v>2.5</v>
      </c>
      <c r="H384" t="n">
        <v>0</v>
      </c>
      <c r="I384" t="n">
        <v>0</v>
      </c>
      <c r="J384" t="n">
        <v>0</v>
      </c>
      <c r="K384" t="n">
        <v>0</v>
      </c>
      <c r="L384" t="n">
        <v>0</v>
      </c>
      <c r="M384" t="n">
        <v>0</v>
      </c>
      <c r="N384" t="n">
        <v>0</v>
      </c>
      <c r="O384" t="n">
        <v>0</v>
      </c>
      <c r="P384" t="n">
        <v>0</v>
      </c>
      <c r="Q384" t="n">
        <v>0</v>
      </c>
      <c r="R384" s="2" t="inlineStr"/>
    </row>
    <row r="385" ht="15" customHeight="1">
      <c r="A385" t="inlineStr">
        <is>
          <t>A 29440-2024</t>
        </is>
      </c>
      <c r="B385" s="1" t="n">
        <v>45483.82479166667</v>
      </c>
      <c r="C385" s="1" t="n">
        <v>45923</v>
      </c>
      <c r="D385" t="inlineStr">
        <is>
          <t>KALMAR LÄN</t>
        </is>
      </c>
      <c r="E385" t="inlineStr">
        <is>
          <t>VIMMERBY</t>
        </is>
      </c>
      <c r="G385" t="n">
        <v>4.5</v>
      </c>
      <c r="H385" t="n">
        <v>0</v>
      </c>
      <c r="I385" t="n">
        <v>0</v>
      </c>
      <c r="J385" t="n">
        <v>0</v>
      </c>
      <c r="K385" t="n">
        <v>0</v>
      </c>
      <c r="L385" t="n">
        <v>0</v>
      </c>
      <c r="M385" t="n">
        <v>0</v>
      </c>
      <c r="N385" t="n">
        <v>0</v>
      </c>
      <c r="O385" t="n">
        <v>0</v>
      </c>
      <c r="P385" t="n">
        <v>0</v>
      </c>
      <c r="Q385" t="n">
        <v>0</v>
      </c>
      <c r="R385" s="2" t="inlineStr"/>
    </row>
    <row r="386" ht="15" customHeight="1">
      <c r="A386" t="inlineStr">
        <is>
          <t>A 30921-2024</t>
        </is>
      </c>
      <c r="B386" s="1" t="n">
        <v>45498</v>
      </c>
      <c r="C386" s="1" t="n">
        <v>45923</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53482-2022</t>
        </is>
      </c>
      <c r="B387" s="1" t="n">
        <v>44879</v>
      </c>
      <c r="C387" s="1" t="n">
        <v>45923</v>
      </c>
      <c r="D387" t="inlineStr">
        <is>
          <t>KALMAR LÄN</t>
        </is>
      </c>
      <c r="E387" t="inlineStr">
        <is>
          <t>VIMMERBY</t>
        </is>
      </c>
      <c r="G387" t="n">
        <v>10.1</v>
      </c>
      <c r="H387" t="n">
        <v>0</v>
      </c>
      <c r="I387" t="n">
        <v>0</v>
      </c>
      <c r="J387" t="n">
        <v>0</v>
      </c>
      <c r="K387" t="n">
        <v>0</v>
      </c>
      <c r="L387" t="n">
        <v>0</v>
      </c>
      <c r="M387" t="n">
        <v>0</v>
      </c>
      <c r="N387" t="n">
        <v>0</v>
      </c>
      <c r="O387" t="n">
        <v>0</v>
      </c>
      <c r="P387" t="n">
        <v>0</v>
      </c>
      <c r="Q387" t="n">
        <v>0</v>
      </c>
      <c r="R387" s="2" t="inlineStr"/>
    </row>
    <row r="388" ht="15" customHeight="1">
      <c r="A388" t="inlineStr">
        <is>
          <t>A 58100-2024</t>
        </is>
      </c>
      <c r="B388" s="1" t="n">
        <v>45632.36706018518</v>
      </c>
      <c r="C388" s="1" t="n">
        <v>45923</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27993-2022</t>
        </is>
      </c>
      <c r="B389" s="1" t="n">
        <v>44745.84396990741</v>
      </c>
      <c r="C389" s="1" t="n">
        <v>45923</v>
      </c>
      <c r="D389" t="inlineStr">
        <is>
          <t>KALMAR LÄN</t>
        </is>
      </c>
      <c r="E389" t="inlineStr">
        <is>
          <t>VIMMERBY</t>
        </is>
      </c>
      <c r="G389" t="n">
        <v>2.8</v>
      </c>
      <c r="H389" t="n">
        <v>0</v>
      </c>
      <c r="I389" t="n">
        <v>0</v>
      </c>
      <c r="J389" t="n">
        <v>0</v>
      </c>
      <c r="K389" t="n">
        <v>0</v>
      </c>
      <c r="L389" t="n">
        <v>0</v>
      </c>
      <c r="M389" t="n">
        <v>0</v>
      </c>
      <c r="N389" t="n">
        <v>0</v>
      </c>
      <c r="O389" t="n">
        <v>0</v>
      </c>
      <c r="P389" t="n">
        <v>0</v>
      </c>
      <c r="Q389" t="n">
        <v>0</v>
      </c>
      <c r="R389" s="2" t="inlineStr"/>
    </row>
    <row r="390" ht="15" customHeight="1">
      <c r="A390" t="inlineStr">
        <is>
          <t>A 38969-2023</t>
        </is>
      </c>
      <c r="B390" s="1" t="n">
        <v>45163.63621527778</v>
      </c>
      <c r="C390" s="1" t="n">
        <v>45923</v>
      </c>
      <c r="D390" t="inlineStr">
        <is>
          <t>KALMAR LÄN</t>
        </is>
      </c>
      <c r="E390" t="inlineStr">
        <is>
          <t>VIMMERBY</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44329-2025</t>
        </is>
      </c>
      <c r="B391" s="1" t="n">
        <v>45916.41019675926</v>
      </c>
      <c r="C391" s="1" t="n">
        <v>45923</v>
      </c>
      <c r="D391" t="inlineStr">
        <is>
          <t>KALMAR LÄN</t>
        </is>
      </c>
      <c r="E391" t="inlineStr">
        <is>
          <t>VIMMERBY</t>
        </is>
      </c>
      <c r="G391" t="n">
        <v>4.3</v>
      </c>
      <c r="H391" t="n">
        <v>0</v>
      </c>
      <c r="I391" t="n">
        <v>0</v>
      </c>
      <c r="J391" t="n">
        <v>0</v>
      </c>
      <c r="K391" t="n">
        <v>0</v>
      </c>
      <c r="L391" t="n">
        <v>0</v>
      </c>
      <c r="M391" t="n">
        <v>0</v>
      </c>
      <c r="N391" t="n">
        <v>0</v>
      </c>
      <c r="O391" t="n">
        <v>0</v>
      </c>
      <c r="P391" t="n">
        <v>0</v>
      </c>
      <c r="Q391" t="n">
        <v>0</v>
      </c>
      <c r="R391" s="2" t="inlineStr"/>
    </row>
    <row r="392" ht="15" customHeight="1">
      <c r="A392" t="inlineStr">
        <is>
          <t>A 60110-2022</t>
        </is>
      </c>
      <c r="B392" s="1" t="n">
        <v>44909</v>
      </c>
      <c r="C392" s="1" t="n">
        <v>45923</v>
      </c>
      <c r="D392" t="inlineStr">
        <is>
          <t>KALMAR LÄN</t>
        </is>
      </c>
      <c r="E392" t="inlineStr">
        <is>
          <t>VIMMERBY</t>
        </is>
      </c>
      <c r="G392" t="n">
        <v>1.7</v>
      </c>
      <c r="H392" t="n">
        <v>0</v>
      </c>
      <c r="I392" t="n">
        <v>0</v>
      </c>
      <c r="J392" t="n">
        <v>0</v>
      </c>
      <c r="K392" t="n">
        <v>0</v>
      </c>
      <c r="L392" t="n">
        <v>0</v>
      </c>
      <c r="M392" t="n">
        <v>0</v>
      </c>
      <c r="N392" t="n">
        <v>0</v>
      </c>
      <c r="O392" t="n">
        <v>0</v>
      </c>
      <c r="P392" t="n">
        <v>0</v>
      </c>
      <c r="Q392" t="n">
        <v>0</v>
      </c>
      <c r="R392" s="2" t="inlineStr"/>
    </row>
    <row r="393" ht="15" customHeight="1">
      <c r="A393" t="inlineStr">
        <is>
          <t>A 29180-2024</t>
        </is>
      </c>
      <c r="B393" s="1" t="n">
        <v>45482.54108796296</v>
      </c>
      <c r="C393" s="1" t="n">
        <v>45923</v>
      </c>
      <c r="D393" t="inlineStr">
        <is>
          <t>KALMAR LÄN</t>
        </is>
      </c>
      <c r="E393" t="inlineStr">
        <is>
          <t>VIMMERBY</t>
        </is>
      </c>
      <c r="G393" t="n">
        <v>3.8</v>
      </c>
      <c r="H393" t="n">
        <v>0</v>
      </c>
      <c r="I393" t="n">
        <v>0</v>
      </c>
      <c r="J393" t="n">
        <v>0</v>
      </c>
      <c r="K393" t="n">
        <v>0</v>
      </c>
      <c r="L393" t="n">
        <v>0</v>
      </c>
      <c r="M393" t="n">
        <v>0</v>
      </c>
      <c r="N393" t="n">
        <v>0</v>
      </c>
      <c r="O393" t="n">
        <v>0</v>
      </c>
      <c r="P393" t="n">
        <v>0</v>
      </c>
      <c r="Q393" t="n">
        <v>0</v>
      </c>
      <c r="R393" s="2" t="inlineStr"/>
    </row>
    <row r="394" ht="15" customHeight="1">
      <c r="A394" t="inlineStr">
        <is>
          <t>A 53752-2024</t>
        </is>
      </c>
      <c r="B394" s="1" t="n">
        <v>45615.48927083334</v>
      </c>
      <c r="C394" s="1" t="n">
        <v>45923</v>
      </c>
      <c r="D394" t="inlineStr">
        <is>
          <t>KALMAR LÄN</t>
        </is>
      </c>
      <c r="E394" t="inlineStr">
        <is>
          <t>VIMMERBY</t>
        </is>
      </c>
      <c r="G394" t="n">
        <v>2.4</v>
      </c>
      <c r="H394" t="n">
        <v>0</v>
      </c>
      <c r="I394" t="n">
        <v>0</v>
      </c>
      <c r="J394" t="n">
        <v>0</v>
      </c>
      <c r="K394" t="n">
        <v>0</v>
      </c>
      <c r="L394" t="n">
        <v>0</v>
      </c>
      <c r="M394" t="n">
        <v>0</v>
      </c>
      <c r="N394" t="n">
        <v>0</v>
      </c>
      <c r="O394" t="n">
        <v>0</v>
      </c>
      <c r="P394" t="n">
        <v>0</v>
      </c>
      <c r="Q394" t="n">
        <v>0</v>
      </c>
      <c r="R394" s="2" t="inlineStr"/>
    </row>
    <row r="395" ht="15" customHeight="1">
      <c r="A395" t="inlineStr">
        <is>
          <t>A 59300-2024</t>
        </is>
      </c>
      <c r="B395" s="1" t="n">
        <v>45637.66542824074</v>
      </c>
      <c r="C395" s="1" t="n">
        <v>45923</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44517-2025</t>
        </is>
      </c>
      <c r="B396" s="1" t="n">
        <v>45916.7103587963</v>
      </c>
      <c r="C396" s="1" t="n">
        <v>45923</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19445-2021</t>
        </is>
      </c>
      <c r="B397" s="1" t="n">
        <v>44310</v>
      </c>
      <c r="C397" s="1" t="n">
        <v>45923</v>
      </c>
      <c r="D397" t="inlineStr">
        <is>
          <t>KALMAR LÄN</t>
        </is>
      </c>
      <c r="E397" t="inlineStr">
        <is>
          <t>VIMMERBY</t>
        </is>
      </c>
      <c r="G397" t="n">
        <v>6.8</v>
      </c>
      <c r="H397" t="n">
        <v>0</v>
      </c>
      <c r="I397" t="n">
        <v>0</v>
      </c>
      <c r="J397" t="n">
        <v>0</v>
      </c>
      <c r="K397" t="n">
        <v>0</v>
      </c>
      <c r="L397" t="n">
        <v>0</v>
      </c>
      <c r="M397" t="n">
        <v>0</v>
      </c>
      <c r="N397" t="n">
        <v>0</v>
      </c>
      <c r="O397" t="n">
        <v>0</v>
      </c>
      <c r="P397" t="n">
        <v>0</v>
      </c>
      <c r="Q397" t="n">
        <v>0</v>
      </c>
      <c r="R397" s="2" t="inlineStr"/>
    </row>
    <row r="398" ht="15" customHeight="1">
      <c r="A398" t="inlineStr">
        <is>
          <t>A 29783-2024</t>
        </is>
      </c>
      <c r="B398" s="1" t="n">
        <v>45485.45778935185</v>
      </c>
      <c r="C398" s="1" t="n">
        <v>45923</v>
      </c>
      <c r="D398" t="inlineStr">
        <is>
          <t>KALMAR LÄN</t>
        </is>
      </c>
      <c r="E398" t="inlineStr">
        <is>
          <t>VIMMERBY</t>
        </is>
      </c>
      <c r="G398" t="n">
        <v>3.1</v>
      </c>
      <c r="H398" t="n">
        <v>0</v>
      </c>
      <c r="I398" t="n">
        <v>0</v>
      </c>
      <c r="J398" t="n">
        <v>0</v>
      </c>
      <c r="K398" t="n">
        <v>0</v>
      </c>
      <c r="L398" t="n">
        <v>0</v>
      </c>
      <c r="M398" t="n">
        <v>0</v>
      </c>
      <c r="N398" t="n">
        <v>0</v>
      </c>
      <c r="O398" t="n">
        <v>0</v>
      </c>
      <c r="P398" t="n">
        <v>0</v>
      </c>
      <c r="Q398" t="n">
        <v>0</v>
      </c>
      <c r="R398" s="2" t="inlineStr"/>
    </row>
    <row r="399" ht="15" customHeight="1">
      <c r="A399" t="inlineStr">
        <is>
          <t>A 54838-2024</t>
        </is>
      </c>
      <c r="B399" s="1" t="n">
        <v>45618.56787037037</v>
      </c>
      <c r="C399" s="1" t="n">
        <v>45923</v>
      </c>
      <c r="D399" t="inlineStr">
        <is>
          <t>KALMAR LÄN</t>
        </is>
      </c>
      <c r="E399" t="inlineStr">
        <is>
          <t>VIMMERBY</t>
        </is>
      </c>
      <c r="G399" t="n">
        <v>3.3</v>
      </c>
      <c r="H399" t="n">
        <v>0</v>
      </c>
      <c r="I399" t="n">
        <v>0</v>
      </c>
      <c r="J399" t="n">
        <v>0</v>
      </c>
      <c r="K399" t="n">
        <v>0</v>
      </c>
      <c r="L399" t="n">
        <v>0</v>
      </c>
      <c r="M399" t="n">
        <v>0</v>
      </c>
      <c r="N399" t="n">
        <v>0</v>
      </c>
      <c r="O399" t="n">
        <v>0</v>
      </c>
      <c r="P399" t="n">
        <v>0</v>
      </c>
      <c r="Q399" t="n">
        <v>0</v>
      </c>
      <c r="R399" s="2" t="inlineStr"/>
    </row>
    <row r="400" ht="15" customHeight="1">
      <c r="A400" t="inlineStr">
        <is>
          <t>A 36934-2025</t>
        </is>
      </c>
      <c r="B400" s="1" t="n">
        <v>45874.57109953704</v>
      </c>
      <c r="C400" s="1" t="n">
        <v>45923</v>
      </c>
      <c r="D400" t="inlineStr">
        <is>
          <t>KALMAR LÄN</t>
        </is>
      </c>
      <c r="E400" t="inlineStr">
        <is>
          <t>VIMMERBY</t>
        </is>
      </c>
      <c r="G400" t="n">
        <v>4.2</v>
      </c>
      <c r="H400" t="n">
        <v>0</v>
      </c>
      <c r="I400" t="n">
        <v>0</v>
      </c>
      <c r="J400" t="n">
        <v>0</v>
      </c>
      <c r="K400" t="n">
        <v>0</v>
      </c>
      <c r="L400" t="n">
        <v>0</v>
      </c>
      <c r="M400" t="n">
        <v>0</v>
      </c>
      <c r="N400" t="n">
        <v>0</v>
      </c>
      <c r="O400" t="n">
        <v>0</v>
      </c>
      <c r="P400" t="n">
        <v>0</v>
      </c>
      <c r="Q400" t="n">
        <v>0</v>
      </c>
      <c r="R400" s="2" t="inlineStr"/>
    </row>
    <row r="401" ht="15" customHeight="1">
      <c r="A401" t="inlineStr">
        <is>
          <t>A 25987-2024</t>
        </is>
      </c>
      <c r="B401" s="1" t="n">
        <v>45467.74417824074</v>
      </c>
      <c r="C401" s="1" t="n">
        <v>45923</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25109-2023</t>
        </is>
      </c>
      <c r="B402" s="1" t="n">
        <v>45086</v>
      </c>
      <c r="C402" s="1" t="n">
        <v>45923</v>
      </c>
      <c r="D402" t="inlineStr">
        <is>
          <t>KALMAR LÄN</t>
        </is>
      </c>
      <c r="E402" t="inlineStr">
        <is>
          <t>VIMMERBY</t>
        </is>
      </c>
      <c r="G402" t="n">
        <v>1.5</v>
      </c>
      <c r="H402" t="n">
        <v>0</v>
      </c>
      <c r="I402" t="n">
        <v>0</v>
      </c>
      <c r="J402" t="n">
        <v>0</v>
      </c>
      <c r="K402" t="n">
        <v>0</v>
      </c>
      <c r="L402" t="n">
        <v>0</v>
      </c>
      <c r="M402" t="n">
        <v>0</v>
      </c>
      <c r="N402" t="n">
        <v>0</v>
      </c>
      <c r="O402" t="n">
        <v>0</v>
      </c>
      <c r="P402" t="n">
        <v>0</v>
      </c>
      <c r="Q402" t="n">
        <v>0</v>
      </c>
      <c r="R402" s="2" t="inlineStr"/>
    </row>
    <row r="403" ht="15" customHeight="1">
      <c r="A403" t="inlineStr">
        <is>
          <t>A 61878-2020</t>
        </is>
      </c>
      <c r="B403" s="1" t="n">
        <v>44159</v>
      </c>
      <c r="C403" s="1" t="n">
        <v>45923</v>
      </c>
      <c r="D403" t="inlineStr">
        <is>
          <t>KALMAR LÄN</t>
        </is>
      </c>
      <c r="E403" t="inlineStr">
        <is>
          <t>VIMMERBY</t>
        </is>
      </c>
      <c r="G403" t="n">
        <v>0.5</v>
      </c>
      <c r="H403" t="n">
        <v>0</v>
      </c>
      <c r="I403" t="n">
        <v>0</v>
      </c>
      <c r="J403" t="n">
        <v>0</v>
      </c>
      <c r="K403" t="n">
        <v>0</v>
      </c>
      <c r="L403" t="n">
        <v>0</v>
      </c>
      <c r="M403" t="n">
        <v>0</v>
      </c>
      <c r="N403" t="n">
        <v>0</v>
      </c>
      <c r="O403" t="n">
        <v>0</v>
      </c>
      <c r="P403" t="n">
        <v>0</v>
      </c>
      <c r="Q403" t="n">
        <v>0</v>
      </c>
      <c r="R403" s="2" t="inlineStr"/>
    </row>
    <row r="404" ht="15" customHeight="1">
      <c r="A404" t="inlineStr">
        <is>
          <t>A 44091-2025</t>
        </is>
      </c>
      <c r="B404" s="1" t="n">
        <v>45915.55950231481</v>
      </c>
      <c r="C404" s="1" t="n">
        <v>45923</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18329-2023</t>
        </is>
      </c>
      <c r="B405" s="1" t="n">
        <v>45041.63380787037</v>
      </c>
      <c r="C405" s="1" t="n">
        <v>45923</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5720-2023</t>
        </is>
      </c>
      <c r="B406" s="1" t="n">
        <v>44961</v>
      </c>
      <c r="C406" s="1" t="n">
        <v>45923</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44095-2025</t>
        </is>
      </c>
      <c r="B407" s="1" t="n">
        <v>45915.56430555556</v>
      </c>
      <c r="C407" s="1" t="n">
        <v>45923</v>
      </c>
      <c r="D407" t="inlineStr">
        <is>
          <t>KALMAR LÄN</t>
        </is>
      </c>
      <c r="E407" t="inlineStr">
        <is>
          <t>VIMMERBY</t>
        </is>
      </c>
      <c r="G407" t="n">
        <v>2.4</v>
      </c>
      <c r="H407" t="n">
        <v>0</v>
      </c>
      <c r="I407" t="n">
        <v>0</v>
      </c>
      <c r="J407" t="n">
        <v>0</v>
      </c>
      <c r="K407" t="n">
        <v>0</v>
      </c>
      <c r="L407" t="n">
        <v>0</v>
      </c>
      <c r="M407" t="n">
        <v>0</v>
      </c>
      <c r="N407" t="n">
        <v>0</v>
      </c>
      <c r="O407" t="n">
        <v>0</v>
      </c>
      <c r="P407" t="n">
        <v>0</v>
      </c>
      <c r="Q407" t="n">
        <v>0</v>
      </c>
      <c r="R407" s="2" t="inlineStr"/>
    </row>
    <row r="408" ht="15" customHeight="1">
      <c r="A408" t="inlineStr">
        <is>
          <t>A 58728-2024</t>
        </is>
      </c>
      <c r="B408" s="1" t="n">
        <v>45635.66695601852</v>
      </c>
      <c r="C408" s="1" t="n">
        <v>45923</v>
      </c>
      <c r="D408" t="inlineStr">
        <is>
          <t>KALMAR LÄN</t>
        </is>
      </c>
      <c r="E408" t="inlineStr">
        <is>
          <t>VIMMERBY</t>
        </is>
      </c>
      <c r="G408" t="n">
        <v>0.4</v>
      </c>
      <c r="H408" t="n">
        <v>0</v>
      </c>
      <c r="I408" t="n">
        <v>0</v>
      </c>
      <c r="J408" t="n">
        <v>0</v>
      </c>
      <c r="K408" t="n">
        <v>0</v>
      </c>
      <c r="L408" t="n">
        <v>0</v>
      </c>
      <c r="M408" t="n">
        <v>0</v>
      </c>
      <c r="N408" t="n">
        <v>0</v>
      </c>
      <c r="O408" t="n">
        <v>0</v>
      </c>
      <c r="P408" t="n">
        <v>0</v>
      </c>
      <c r="Q408" t="n">
        <v>0</v>
      </c>
      <c r="R408" s="2" t="inlineStr"/>
    </row>
    <row r="409" ht="15" customHeight="1">
      <c r="A409" t="inlineStr">
        <is>
          <t>A 43242-2024</t>
        </is>
      </c>
      <c r="B409" s="1" t="n">
        <v>45568.30189814815</v>
      </c>
      <c r="C409" s="1" t="n">
        <v>45923</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16983-2023</t>
        </is>
      </c>
      <c r="B410" s="1" t="n">
        <v>45033.76043981482</v>
      </c>
      <c r="C410" s="1" t="n">
        <v>45923</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61538-2022</t>
        </is>
      </c>
      <c r="B411" s="1" t="n">
        <v>44916.55414351852</v>
      </c>
      <c r="C411" s="1" t="n">
        <v>45923</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62023-2022</t>
        </is>
      </c>
      <c r="B412" s="1" t="n">
        <v>44918.50106481482</v>
      </c>
      <c r="C412" s="1" t="n">
        <v>45923</v>
      </c>
      <c r="D412" t="inlineStr">
        <is>
          <t>KALMAR LÄN</t>
        </is>
      </c>
      <c r="E412" t="inlineStr">
        <is>
          <t>VIMMERBY</t>
        </is>
      </c>
      <c r="G412" t="n">
        <v>0.3</v>
      </c>
      <c r="H412" t="n">
        <v>0</v>
      </c>
      <c r="I412" t="n">
        <v>0</v>
      </c>
      <c r="J412" t="n">
        <v>0</v>
      </c>
      <c r="K412" t="n">
        <v>0</v>
      </c>
      <c r="L412" t="n">
        <v>0</v>
      </c>
      <c r="M412" t="n">
        <v>0</v>
      </c>
      <c r="N412" t="n">
        <v>0</v>
      </c>
      <c r="O412" t="n">
        <v>0</v>
      </c>
      <c r="P412" t="n">
        <v>0</v>
      </c>
      <c r="Q412" t="n">
        <v>0</v>
      </c>
      <c r="R412" s="2" t="inlineStr"/>
    </row>
    <row r="413" ht="15" customHeight="1">
      <c r="A413" t="inlineStr">
        <is>
          <t>A 6405-2025</t>
        </is>
      </c>
      <c r="B413" s="1" t="n">
        <v>45699.45392361111</v>
      </c>
      <c r="C413" s="1" t="n">
        <v>45923</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36843-2023</t>
        </is>
      </c>
      <c r="B414" s="1" t="n">
        <v>45154.49831018518</v>
      </c>
      <c r="C414" s="1" t="n">
        <v>45923</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58104-2024</t>
        </is>
      </c>
      <c r="B415" s="1" t="n">
        <v>45632.37459490741</v>
      </c>
      <c r="C415" s="1" t="n">
        <v>45923</v>
      </c>
      <c r="D415" t="inlineStr">
        <is>
          <t>KALMAR LÄN</t>
        </is>
      </c>
      <c r="E415" t="inlineStr">
        <is>
          <t>VIMMERBY</t>
        </is>
      </c>
      <c r="G415" t="n">
        <v>5</v>
      </c>
      <c r="H415" t="n">
        <v>0</v>
      </c>
      <c r="I415" t="n">
        <v>0</v>
      </c>
      <c r="J415" t="n">
        <v>0</v>
      </c>
      <c r="K415" t="n">
        <v>0</v>
      </c>
      <c r="L415" t="n">
        <v>0</v>
      </c>
      <c r="M415" t="n">
        <v>0</v>
      </c>
      <c r="N415" t="n">
        <v>0</v>
      </c>
      <c r="O415" t="n">
        <v>0</v>
      </c>
      <c r="P415" t="n">
        <v>0</v>
      </c>
      <c r="Q415" t="n">
        <v>0</v>
      </c>
      <c r="R415" s="2" t="inlineStr"/>
    </row>
    <row r="416" ht="15" customHeight="1">
      <c r="A416" t="inlineStr">
        <is>
          <t>A 694-2024</t>
        </is>
      </c>
      <c r="B416" s="1" t="n">
        <v>45300.3794212963</v>
      </c>
      <c r="C416" s="1" t="n">
        <v>45923</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12215-2024</t>
        </is>
      </c>
      <c r="B417" s="1" t="n">
        <v>45378.32185185186</v>
      </c>
      <c r="C417" s="1" t="n">
        <v>45923</v>
      </c>
      <c r="D417" t="inlineStr">
        <is>
          <t>KALMAR LÄN</t>
        </is>
      </c>
      <c r="E417" t="inlineStr">
        <is>
          <t>VIMMERBY</t>
        </is>
      </c>
      <c r="G417" t="n">
        <v>1.6</v>
      </c>
      <c r="H417" t="n">
        <v>0</v>
      </c>
      <c r="I417" t="n">
        <v>0</v>
      </c>
      <c r="J417" t="n">
        <v>0</v>
      </c>
      <c r="K417" t="n">
        <v>0</v>
      </c>
      <c r="L417" t="n">
        <v>0</v>
      </c>
      <c r="M417" t="n">
        <v>0</v>
      </c>
      <c r="N417" t="n">
        <v>0</v>
      </c>
      <c r="O417" t="n">
        <v>0</v>
      </c>
      <c r="P417" t="n">
        <v>0</v>
      </c>
      <c r="Q417" t="n">
        <v>0</v>
      </c>
      <c r="R417" s="2" t="inlineStr"/>
    </row>
    <row r="418" ht="15" customHeight="1">
      <c r="A418" t="inlineStr">
        <is>
          <t>A 30920-2024</t>
        </is>
      </c>
      <c r="B418" s="1" t="n">
        <v>45498.673125</v>
      </c>
      <c r="C418" s="1" t="n">
        <v>45923</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57114-2023</t>
        </is>
      </c>
      <c r="B419" s="1" t="n">
        <v>45245.36174768519</v>
      </c>
      <c r="C419" s="1" t="n">
        <v>45923</v>
      </c>
      <c r="D419" t="inlineStr">
        <is>
          <t>KALMAR LÄN</t>
        </is>
      </c>
      <c r="E419" t="inlineStr">
        <is>
          <t>VIMMERBY</t>
        </is>
      </c>
      <c r="G419" t="n">
        <v>1.5</v>
      </c>
      <c r="H419" t="n">
        <v>0</v>
      </c>
      <c r="I419" t="n">
        <v>0</v>
      </c>
      <c r="J419" t="n">
        <v>0</v>
      </c>
      <c r="K419" t="n">
        <v>0</v>
      </c>
      <c r="L419" t="n">
        <v>0</v>
      </c>
      <c r="M419" t="n">
        <v>0</v>
      </c>
      <c r="N419" t="n">
        <v>0</v>
      </c>
      <c r="O419" t="n">
        <v>0</v>
      </c>
      <c r="P419" t="n">
        <v>0</v>
      </c>
      <c r="Q419" t="n">
        <v>0</v>
      </c>
      <c r="R419" s="2" t="inlineStr"/>
    </row>
    <row r="420" ht="15" customHeight="1">
      <c r="A420" t="inlineStr">
        <is>
          <t>A 56536-2022</t>
        </is>
      </c>
      <c r="B420" s="1" t="n">
        <v>44893</v>
      </c>
      <c r="C420" s="1" t="n">
        <v>45923</v>
      </c>
      <c r="D420" t="inlineStr">
        <is>
          <t>KALMAR LÄN</t>
        </is>
      </c>
      <c r="E420" t="inlineStr">
        <is>
          <t>VIMMERBY</t>
        </is>
      </c>
      <c r="G420" t="n">
        <v>3.2</v>
      </c>
      <c r="H420" t="n">
        <v>0</v>
      </c>
      <c r="I420" t="n">
        <v>0</v>
      </c>
      <c r="J420" t="n">
        <v>0</v>
      </c>
      <c r="K420" t="n">
        <v>0</v>
      </c>
      <c r="L420" t="n">
        <v>0</v>
      </c>
      <c r="M420" t="n">
        <v>0</v>
      </c>
      <c r="N420" t="n">
        <v>0</v>
      </c>
      <c r="O420" t="n">
        <v>0</v>
      </c>
      <c r="P420" t="n">
        <v>0</v>
      </c>
      <c r="Q420" t="n">
        <v>0</v>
      </c>
      <c r="R420" s="2" t="inlineStr"/>
    </row>
    <row r="421" ht="15" customHeight="1">
      <c r="A421" t="inlineStr">
        <is>
          <t>A 57486-2024</t>
        </is>
      </c>
      <c r="B421" s="1" t="n">
        <v>45630.35827546296</v>
      </c>
      <c r="C421" s="1" t="n">
        <v>45923</v>
      </c>
      <c r="D421" t="inlineStr">
        <is>
          <t>KALMAR LÄN</t>
        </is>
      </c>
      <c r="E421" t="inlineStr">
        <is>
          <t>VIMMERBY</t>
        </is>
      </c>
      <c r="G421" t="n">
        <v>0.4</v>
      </c>
      <c r="H421" t="n">
        <v>0</v>
      </c>
      <c r="I421" t="n">
        <v>0</v>
      </c>
      <c r="J421" t="n">
        <v>0</v>
      </c>
      <c r="K421" t="n">
        <v>0</v>
      </c>
      <c r="L421" t="n">
        <v>0</v>
      </c>
      <c r="M421" t="n">
        <v>0</v>
      </c>
      <c r="N421" t="n">
        <v>0</v>
      </c>
      <c r="O421" t="n">
        <v>0</v>
      </c>
      <c r="P421" t="n">
        <v>0</v>
      </c>
      <c r="Q421" t="n">
        <v>0</v>
      </c>
      <c r="R421" s="2" t="inlineStr"/>
    </row>
    <row r="422" ht="15" customHeight="1">
      <c r="A422" t="inlineStr">
        <is>
          <t>A 63541-2023</t>
        </is>
      </c>
      <c r="B422" s="1" t="n">
        <v>45275.32266203704</v>
      </c>
      <c r="C422" s="1" t="n">
        <v>45923</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37323-2024</t>
        </is>
      </c>
      <c r="B423" s="1" t="n">
        <v>45540.50098379629</v>
      </c>
      <c r="C423" s="1" t="n">
        <v>45923</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37088-2025</t>
        </is>
      </c>
      <c r="B424" s="1" t="n">
        <v>45875.45716435185</v>
      </c>
      <c r="C424" s="1" t="n">
        <v>45923</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37102-2025</t>
        </is>
      </c>
      <c r="B425" s="1" t="n">
        <v>45875.47454861111</v>
      </c>
      <c r="C425" s="1" t="n">
        <v>45923</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66295-2020</t>
        </is>
      </c>
      <c r="B426" s="1" t="n">
        <v>44176</v>
      </c>
      <c r="C426" s="1" t="n">
        <v>45923</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12327-2023</t>
        </is>
      </c>
      <c r="B427" s="1" t="n">
        <v>44999.36081018519</v>
      </c>
      <c r="C427" s="1" t="n">
        <v>45923</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44423-2023</t>
        </is>
      </c>
      <c r="B428" s="1" t="n">
        <v>45189</v>
      </c>
      <c r="C428" s="1" t="n">
        <v>45923</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20-2025</t>
        </is>
      </c>
      <c r="B429" s="1" t="n">
        <v>45658.80232638889</v>
      </c>
      <c r="C429" s="1" t="n">
        <v>45923</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23-2025</t>
        </is>
      </c>
      <c r="B430" s="1" t="n">
        <v>45658.80827546296</v>
      </c>
      <c r="C430" s="1" t="n">
        <v>45923</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54917-2020</t>
        </is>
      </c>
      <c r="B431" s="1" t="n">
        <v>44127</v>
      </c>
      <c r="C431" s="1" t="n">
        <v>45923</v>
      </c>
      <c r="D431" t="inlineStr">
        <is>
          <t>KALMAR LÄN</t>
        </is>
      </c>
      <c r="E431" t="inlineStr">
        <is>
          <t>VIMMERBY</t>
        </is>
      </c>
      <c r="G431" t="n">
        <v>9.5</v>
      </c>
      <c r="H431" t="n">
        <v>0</v>
      </c>
      <c r="I431" t="n">
        <v>0</v>
      </c>
      <c r="J431" t="n">
        <v>0</v>
      </c>
      <c r="K431" t="n">
        <v>0</v>
      </c>
      <c r="L431" t="n">
        <v>0</v>
      </c>
      <c r="M431" t="n">
        <v>0</v>
      </c>
      <c r="N431" t="n">
        <v>0</v>
      </c>
      <c r="O431" t="n">
        <v>0</v>
      </c>
      <c r="P431" t="n">
        <v>0</v>
      </c>
      <c r="Q431" t="n">
        <v>0</v>
      </c>
      <c r="R431" s="2" t="inlineStr"/>
    </row>
    <row r="432" ht="15" customHeight="1">
      <c r="A432" t="inlineStr">
        <is>
          <t>A 21496-2023</t>
        </is>
      </c>
      <c r="B432" s="1" t="n">
        <v>45063.49936342592</v>
      </c>
      <c r="C432" s="1" t="n">
        <v>45923</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30633-2024</t>
        </is>
      </c>
      <c r="B433" s="1" t="n">
        <v>45495</v>
      </c>
      <c r="C433" s="1" t="n">
        <v>45923</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33424-2023</t>
        </is>
      </c>
      <c r="B434" s="1" t="n">
        <v>45128.9325</v>
      </c>
      <c r="C434" s="1" t="n">
        <v>45923</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33425-2023</t>
        </is>
      </c>
      <c r="B435" s="1" t="n">
        <v>45128.93540509259</v>
      </c>
      <c r="C435" s="1" t="n">
        <v>45923</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31056-2022</t>
        </is>
      </c>
      <c r="B436" s="1" t="n">
        <v>44769.45805555556</v>
      </c>
      <c r="C436" s="1" t="n">
        <v>45923</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3609-2024</t>
        </is>
      </c>
      <c r="B437" s="1" t="n">
        <v>45320.89128472222</v>
      </c>
      <c r="C437" s="1" t="n">
        <v>45923</v>
      </c>
      <c r="D437" t="inlineStr">
        <is>
          <t>KALMAR LÄN</t>
        </is>
      </c>
      <c r="E437" t="inlineStr">
        <is>
          <t>VIMMERBY</t>
        </is>
      </c>
      <c r="G437" t="n">
        <v>1.7</v>
      </c>
      <c r="H437" t="n">
        <v>0</v>
      </c>
      <c r="I437" t="n">
        <v>0</v>
      </c>
      <c r="J437" t="n">
        <v>0</v>
      </c>
      <c r="K437" t="n">
        <v>0</v>
      </c>
      <c r="L437" t="n">
        <v>0</v>
      </c>
      <c r="M437" t="n">
        <v>0</v>
      </c>
      <c r="N437" t="n">
        <v>0</v>
      </c>
      <c r="O437" t="n">
        <v>0</v>
      </c>
      <c r="P437" t="n">
        <v>0</v>
      </c>
      <c r="Q437" t="n">
        <v>0</v>
      </c>
      <c r="R437" s="2" t="inlineStr"/>
    </row>
    <row r="438" ht="15" customHeight="1">
      <c r="A438" t="inlineStr">
        <is>
          <t>A 11429-2022</t>
        </is>
      </c>
      <c r="B438" s="1" t="n">
        <v>44630</v>
      </c>
      <c r="C438" s="1" t="n">
        <v>45923</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56582-2022</t>
        </is>
      </c>
      <c r="B439" s="1" t="n">
        <v>44893</v>
      </c>
      <c r="C439" s="1" t="n">
        <v>45923</v>
      </c>
      <c r="D439" t="inlineStr">
        <is>
          <t>KALMAR LÄN</t>
        </is>
      </c>
      <c r="E439" t="inlineStr">
        <is>
          <t>VIMMERBY</t>
        </is>
      </c>
      <c r="G439" t="n">
        <v>2.2</v>
      </c>
      <c r="H439" t="n">
        <v>0</v>
      </c>
      <c r="I439" t="n">
        <v>0</v>
      </c>
      <c r="J439" t="n">
        <v>0</v>
      </c>
      <c r="K439" t="n">
        <v>0</v>
      </c>
      <c r="L439" t="n">
        <v>0</v>
      </c>
      <c r="M439" t="n">
        <v>0</v>
      </c>
      <c r="N439" t="n">
        <v>0</v>
      </c>
      <c r="O439" t="n">
        <v>0</v>
      </c>
      <c r="P439" t="n">
        <v>0</v>
      </c>
      <c r="Q439" t="n">
        <v>0</v>
      </c>
      <c r="R439" s="2" t="inlineStr"/>
    </row>
    <row r="440" ht="15" customHeight="1">
      <c r="A440" t="inlineStr">
        <is>
          <t>A 37079-2025</t>
        </is>
      </c>
      <c r="B440" s="1" t="n">
        <v>45875.42716435185</v>
      </c>
      <c r="C440" s="1" t="n">
        <v>45923</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6408-2025</t>
        </is>
      </c>
      <c r="B441" s="1" t="n">
        <v>45699.45671296296</v>
      </c>
      <c r="C441" s="1" t="n">
        <v>45923</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72701-2021</t>
        </is>
      </c>
      <c r="B442" s="1" t="n">
        <v>44546</v>
      </c>
      <c r="C442" s="1" t="n">
        <v>45923</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52294-2023</t>
        </is>
      </c>
      <c r="B443" s="1" t="n">
        <v>45224.60075231481</v>
      </c>
      <c r="C443" s="1" t="n">
        <v>45923</v>
      </c>
      <c r="D443" t="inlineStr">
        <is>
          <t>KALMAR LÄN</t>
        </is>
      </c>
      <c r="E443" t="inlineStr">
        <is>
          <t>VIMMERBY</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11609-2023</t>
        </is>
      </c>
      <c r="B444" s="1" t="n">
        <v>44994.40635416667</v>
      </c>
      <c r="C444" s="1" t="n">
        <v>45923</v>
      </c>
      <c r="D444" t="inlineStr">
        <is>
          <t>KALMAR LÄN</t>
        </is>
      </c>
      <c r="E444" t="inlineStr">
        <is>
          <t>VIMMERBY</t>
        </is>
      </c>
      <c r="G444" t="n">
        <v>4.9</v>
      </c>
      <c r="H444" t="n">
        <v>0</v>
      </c>
      <c r="I444" t="n">
        <v>0</v>
      </c>
      <c r="J444" t="n">
        <v>0</v>
      </c>
      <c r="K444" t="n">
        <v>0</v>
      </c>
      <c r="L444" t="n">
        <v>0</v>
      </c>
      <c r="M444" t="n">
        <v>0</v>
      </c>
      <c r="N444" t="n">
        <v>0</v>
      </c>
      <c r="O444" t="n">
        <v>0</v>
      </c>
      <c r="P444" t="n">
        <v>0</v>
      </c>
      <c r="Q444" t="n">
        <v>0</v>
      </c>
      <c r="R444" s="2" t="inlineStr"/>
    </row>
    <row r="445" ht="15" customHeight="1">
      <c r="A445" t="inlineStr">
        <is>
          <t>A 61355-2024</t>
        </is>
      </c>
      <c r="B445" s="1" t="n">
        <v>45646.38200231481</v>
      </c>
      <c r="C445" s="1" t="n">
        <v>45923</v>
      </c>
      <c r="D445" t="inlineStr">
        <is>
          <t>KALMAR LÄN</t>
        </is>
      </c>
      <c r="E445" t="inlineStr">
        <is>
          <t>VIMMERBY</t>
        </is>
      </c>
      <c r="G445" t="n">
        <v>2.7</v>
      </c>
      <c r="H445" t="n">
        <v>0</v>
      </c>
      <c r="I445" t="n">
        <v>0</v>
      </c>
      <c r="J445" t="n">
        <v>0</v>
      </c>
      <c r="K445" t="n">
        <v>0</v>
      </c>
      <c r="L445" t="n">
        <v>0</v>
      </c>
      <c r="M445" t="n">
        <v>0</v>
      </c>
      <c r="N445" t="n">
        <v>0</v>
      </c>
      <c r="O445" t="n">
        <v>0</v>
      </c>
      <c r="P445" t="n">
        <v>0</v>
      </c>
      <c r="Q445" t="n">
        <v>0</v>
      </c>
      <c r="R445" s="2" t="inlineStr"/>
    </row>
    <row r="446" ht="15" customHeight="1">
      <c r="A446" t="inlineStr">
        <is>
          <t>A 44742-2025</t>
        </is>
      </c>
      <c r="B446" s="1" t="n">
        <v>45917.67054398148</v>
      </c>
      <c r="C446" s="1" t="n">
        <v>45923</v>
      </c>
      <c r="D446" t="inlineStr">
        <is>
          <t>KALMAR LÄN</t>
        </is>
      </c>
      <c r="E446" t="inlineStr">
        <is>
          <t>VIMMERBY</t>
        </is>
      </c>
      <c r="G446" t="n">
        <v>4.7</v>
      </c>
      <c r="H446" t="n">
        <v>0</v>
      </c>
      <c r="I446" t="n">
        <v>0</v>
      </c>
      <c r="J446" t="n">
        <v>0</v>
      </c>
      <c r="K446" t="n">
        <v>0</v>
      </c>
      <c r="L446" t="n">
        <v>0</v>
      </c>
      <c r="M446" t="n">
        <v>0</v>
      </c>
      <c r="N446" t="n">
        <v>0</v>
      </c>
      <c r="O446" t="n">
        <v>0</v>
      </c>
      <c r="P446" t="n">
        <v>0</v>
      </c>
      <c r="Q446" t="n">
        <v>0</v>
      </c>
      <c r="R446" s="2" t="inlineStr"/>
    </row>
    <row r="447" ht="15" customHeight="1">
      <c r="A447" t="inlineStr">
        <is>
          <t>A 44464-2024</t>
        </is>
      </c>
      <c r="B447" s="1" t="n">
        <v>45574.35809027778</v>
      </c>
      <c r="C447" s="1" t="n">
        <v>45923</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41066-2024</t>
        </is>
      </c>
      <c r="B448" s="1" t="n">
        <v>45559.38876157408</v>
      </c>
      <c r="C448" s="1" t="n">
        <v>45923</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45114-2025</t>
        </is>
      </c>
      <c r="B449" s="1" t="n">
        <v>45919.42387731482</v>
      </c>
      <c r="C449" s="1" t="n">
        <v>45923</v>
      </c>
      <c r="D449" t="inlineStr">
        <is>
          <t>KALMAR LÄN</t>
        </is>
      </c>
      <c r="E449" t="inlineStr">
        <is>
          <t>VIMMERBY</t>
        </is>
      </c>
      <c r="G449" t="n">
        <v>2.7</v>
      </c>
      <c r="H449" t="n">
        <v>0</v>
      </c>
      <c r="I449" t="n">
        <v>0</v>
      </c>
      <c r="J449" t="n">
        <v>0</v>
      </c>
      <c r="K449" t="n">
        <v>0</v>
      </c>
      <c r="L449" t="n">
        <v>0</v>
      </c>
      <c r="M449" t="n">
        <v>0</v>
      </c>
      <c r="N449" t="n">
        <v>0</v>
      </c>
      <c r="O449" t="n">
        <v>0</v>
      </c>
      <c r="P449" t="n">
        <v>0</v>
      </c>
      <c r="Q449" t="n">
        <v>0</v>
      </c>
      <c r="R449" s="2" t="inlineStr"/>
    </row>
    <row r="450" ht="15" customHeight="1">
      <c r="A450" t="inlineStr">
        <is>
          <t>A 45320-2025</t>
        </is>
      </c>
      <c r="B450" s="1" t="n">
        <v>45921.96395833333</v>
      </c>
      <c r="C450" s="1" t="n">
        <v>45923</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8650-2022</t>
        </is>
      </c>
      <c r="B451" s="1" t="n">
        <v>44613</v>
      </c>
      <c r="C451" s="1" t="n">
        <v>45923</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37668-2025</t>
        </is>
      </c>
      <c r="B452" s="1" t="n">
        <v>45880.51550925926</v>
      </c>
      <c r="C452" s="1" t="n">
        <v>45923</v>
      </c>
      <c r="D452" t="inlineStr">
        <is>
          <t>KALMAR LÄN</t>
        </is>
      </c>
      <c r="E452" t="inlineStr">
        <is>
          <t>VIMMERBY</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33374-2021</t>
        </is>
      </c>
      <c r="B453" s="1" t="n">
        <v>44377</v>
      </c>
      <c r="C453" s="1" t="n">
        <v>45923</v>
      </c>
      <c r="D453" t="inlineStr">
        <is>
          <t>KALMAR LÄN</t>
        </is>
      </c>
      <c r="E453" t="inlineStr">
        <is>
          <t>VIMMERBY</t>
        </is>
      </c>
      <c r="G453" t="n">
        <v>3.3</v>
      </c>
      <c r="H453" t="n">
        <v>0</v>
      </c>
      <c r="I453" t="n">
        <v>0</v>
      </c>
      <c r="J453" t="n">
        <v>0</v>
      </c>
      <c r="K453" t="n">
        <v>0</v>
      </c>
      <c r="L453" t="n">
        <v>0</v>
      </c>
      <c r="M453" t="n">
        <v>0</v>
      </c>
      <c r="N453" t="n">
        <v>0</v>
      </c>
      <c r="O453" t="n">
        <v>0</v>
      </c>
      <c r="P453" t="n">
        <v>0</v>
      </c>
      <c r="Q453" t="n">
        <v>0</v>
      </c>
      <c r="R453" s="2" t="inlineStr"/>
    </row>
    <row r="454" ht="15" customHeight="1">
      <c r="A454" t="inlineStr">
        <is>
          <t>A 3816-2022</t>
        </is>
      </c>
      <c r="B454" s="1" t="n">
        <v>44587</v>
      </c>
      <c r="C454" s="1" t="n">
        <v>45923</v>
      </c>
      <c r="D454" t="inlineStr">
        <is>
          <t>KALMAR LÄN</t>
        </is>
      </c>
      <c r="E454" t="inlineStr">
        <is>
          <t>VIMMERBY</t>
        </is>
      </c>
      <c r="G454" t="n">
        <v>1.2</v>
      </c>
      <c r="H454" t="n">
        <v>0</v>
      </c>
      <c r="I454" t="n">
        <v>0</v>
      </c>
      <c r="J454" t="n">
        <v>0</v>
      </c>
      <c r="K454" t="n">
        <v>0</v>
      </c>
      <c r="L454" t="n">
        <v>0</v>
      </c>
      <c r="M454" t="n">
        <v>0</v>
      </c>
      <c r="N454" t="n">
        <v>0</v>
      </c>
      <c r="O454" t="n">
        <v>0</v>
      </c>
      <c r="P454" t="n">
        <v>0</v>
      </c>
      <c r="Q454" t="n">
        <v>0</v>
      </c>
      <c r="R454" s="2" t="inlineStr"/>
    </row>
    <row r="455" ht="15" customHeight="1">
      <c r="A455" t="inlineStr">
        <is>
          <t>A 1081-2023</t>
        </is>
      </c>
      <c r="B455" s="1" t="n">
        <v>44935</v>
      </c>
      <c r="C455" s="1" t="n">
        <v>45923</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10759-2023</t>
        </is>
      </c>
      <c r="B456" s="1" t="n">
        <v>44988</v>
      </c>
      <c r="C456" s="1" t="n">
        <v>45923</v>
      </c>
      <c r="D456" t="inlineStr">
        <is>
          <t>KALMAR LÄN</t>
        </is>
      </c>
      <c r="E456" t="inlineStr">
        <is>
          <t>VIMMERBY</t>
        </is>
      </c>
      <c r="G456" t="n">
        <v>0.4</v>
      </c>
      <c r="H456" t="n">
        <v>0</v>
      </c>
      <c r="I456" t="n">
        <v>0</v>
      </c>
      <c r="J456" t="n">
        <v>0</v>
      </c>
      <c r="K456" t="n">
        <v>0</v>
      </c>
      <c r="L456" t="n">
        <v>0</v>
      </c>
      <c r="M456" t="n">
        <v>0</v>
      </c>
      <c r="N456" t="n">
        <v>0</v>
      </c>
      <c r="O456" t="n">
        <v>0</v>
      </c>
      <c r="P456" t="n">
        <v>0</v>
      </c>
      <c r="Q456" t="n">
        <v>0</v>
      </c>
      <c r="R456" s="2" t="inlineStr"/>
    </row>
    <row r="457" ht="15" customHeight="1">
      <c r="A457" t="inlineStr">
        <is>
          <t>A 18899-2025</t>
        </is>
      </c>
      <c r="B457" s="1" t="n">
        <v>45764.44931712963</v>
      </c>
      <c r="C457" s="1" t="n">
        <v>45923</v>
      </c>
      <c r="D457" t="inlineStr">
        <is>
          <t>KALMAR LÄN</t>
        </is>
      </c>
      <c r="E457" t="inlineStr">
        <is>
          <t>VIMMERBY</t>
        </is>
      </c>
      <c r="F457" t="inlineStr">
        <is>
          <t>Kommuner</t>
        </is>
      </c>
      <c r="G457" t="n">
        <v>4</v>
      </c>
      <c r="H457" t="n">
        <v>0</v>
      </c>
      <c r="I457" t="n">
        <v>0</v>
      </c>
      <c r="J457" t="n">
        <v>0</v>
      </c>
      <c r="K457" t="n">
        <v>0</v>
      </c>
      <c r="L457" t="n">
        <v>0</v>
      </c>
      <c r="M457" t="n">
        <v>0</v>
      </c>
      <c r="N457" t="n">
        <v>0</v>
      </c>
      <c r="O457" t="n">
        <v>0</v>
      </c>
      <c r="P457" t="n">
        <v>0</v>
      </c>
      <c r="Q457" t="n">
        <v>0</v>
      </c>
      <c r="R457" s="2" t="inlineStr"/>
    </row>
    <row r="458" ht="15" customHeight="1">
      <c r="A458" t="inlineStr">
        <is>
          <t>A 11147-2023</t>
        </is>
      </c>
      <c r="B458" s="1" t="n">
        <v>44992</v>
      </c>
      <c r="C458" s="1" t="n">
        <v>45923</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37578-2025</t>
        </is>
      </c>
      <c r="B459" s="1" t="n">
        <v>45880.38380787037</v>
      </c>
      <c r="C459" s="1" t="n">
        <v>45923</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7047-2022</t>
        </is>
      </c>
      <c r="B460" s="1" t="n">
        <v>44603</v>
      </c>
      <c r="C460" s="1" t="n">
        <v>45923</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12499-2023</t>
        </is>
      </c>
      <c r="B461" s="1" t="n">
        <v>44999.86172453704</v>
      </c>
      <c r="C461" s="1" t="n">
        <v>45923</v>
      </c>
      <c r="D461" t="inlineStr">
        <is>
          <t>KALMAR LÄN</t>
        </is>
      </c>
      <c r="E461" t="inlineStr">
        <is>
          <t>VIMMERBY</t>
        </is>
      </c>
      <c r="G461" t="n">
        <v>0.8</v>
      </c>
      <c r="H461" t="n">
        <v>0</v>
      </c>
      <c r="I461" t="n">
        <v>0</v>
      </c>
      <c r="J461" t="n">
        <v>0</v>
      </c>
      <c r="K461" t="n">
        <v>0</v>
      </c>
      <c r="L461" t="n">
        <v>0</v>
      </c>
      <c r="M461" t="n">
        <v>0</v>
      </c>
      <c r="N461" t="n">
        <v>0</v>
      </c>
      <c r="O461" t="n">
        <v>0</v>
      </c>
      <c r="P461" t="n">
        <v>0</v>
      </c>
      <c r="Q461" t="n">
        <v>0</v>
      </c>
      <c r="R461" s="2" t="inlineStr"/>
    </row>
    <row r="462" ht="15" customHeight="1">
      <c r="A462" t="inlineStr">
        <is>
          <t>A 12500-2023</t>
        </is>
      </c>
      <c r="B462" s="1" t="n">
        <v>44999.8625</v>
      </c>
      <c r="C462" s="1" t="n">
        <v>45923</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6066-2023</t>
        </is>
      </c>
      <c r="B463" s="1" t="n">
        <v>44964.50894675926</v>
      </c>
      <c r="C463" s="1" t="n">
        <v>45923</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12586-2021</t>
        </is>
      </c>
      <c r="B464" s="1" t="n">
        <v>44270.38002314815</v>
      </c>
      <c r="C464" s="1" t="n">
        <v>45923</v>
      </c>
      <c r="D464" t="inlineStr">
        <is>
          <t>KALMAR LÄN</t>
        </is>
      </c>
      <c r="E464" t="inlineStr">
        <is>
          <t>VIMMERBY</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33103-2024</t>
        </is>
      </c>
      <c r="B465" s="1" t="n">
        <v>45517.8162037037</v>
      </c>
      <c r="C465" s="1" t="n">
        <v>45923</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33161-2024</t>
        </is>
      </c>
      <c r="B466" s="1" t="n">
        <v>45518.40657407408</v>
      </c>
      <c r="C466" s="1" t="n">
        <v>45923</v>
      </c>
      <c r="D466" t="inlineStr">
        <is>
          <t>KALMAR LÄN</t>
        </is>
      </c>
      <c r="E466" t="inlineStr">
        <is>
          <t>VIMMERBY</t>
        </is>
      </c>
      <c r="G466" t="n">
        <v>4.7</v>
      </c>
      <c r="H466" t="n">
        <v>0</v>
      </c>
      <c r="I466" t="n">
        <v>0</v>
      </c>
      <c r="J466" t="n">
        <v>0</v>
      </c>
      <c r="K466" t="n">
        <v>0</v>
      </c>
      <c r="L466" t="n">
        <v>0</v>
      </c>
      <c r="M466" t="n">
        <v>0</v>
      </c>
      <c r="N466" t="n">
        <v>0</v>
      </c>
      <c r="O466" t="n">
        <v>0</v>
      </c>
      <c r="P466" t="n">
        <v>0</v>
      </c>
      <c r="Q466" t="n">
        <v>0</v>
      </c>
      <c r="R466" s="2" t="inlineStr"/>
    </row>
    <row r="467" ht="15" customHeight="1">
      <c r="A467" t="inlineStr">
        <is>
          <t>A 12510-2022</t>
        </is>
      </c>
      <c r="B467" s="1" t="n">
        <v>44638.55256944444</v>
      </c>
      <c r="C467" s="1" t="n">
        <v>45923</v>
      </c>
      <c r="D467" t="inlineStr">
        <is>
          <t>KALMAR LÄN</t>
        </is>
      </c>
      <c r="E467" t="inlineStr">
        <is>
          <t>VIMMERBY</t>
        </is>
      </c>
      <c r="G467" t="n">
        <v>2.4</v>
      </c>
      <c r="H467" t="n">
        <v>0</v>
      </c>
      <c r="I467" t="n">
        <v>0</v>
      </c>
      <c r="J467" t="n">
        <v>0</v>
      </c>
      <c r="K467" t="n">
        <v>0</v>
      </c>
      <c r="L467" t="n">
        <v>0</v>
      </c>
      <c r="M467" t="n">
        <v>0</v>
      </c>
      <c r="N467" t="n">
        <v>0</v>
      </c>
      <c r="O467" t="n">
        <v>0</v>
      </c>
      <c r="P467" t="n">
        <v>0</v>
      </c>
      <c r="Q467" t="n">
        <v>0</v>
      </c>
      <c r="R467" s="2" t="inlineStr"/>
    </row>
    <row r="468" ht="15" customHeight="1">
      <c r="A468" t="inlineStr">
        <is>
          <t>A 32614-2023</t>
        </is>
      </c>
      <c r="B468" s="1" t="n">
        <v>45121</v>
      </c>
      <c r="C468" s="1" t="n">
        <v>45923</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61939-2021</t>
        </is>
      </c>
      <c r="B469" s="1" t="n">
        <v>44502</v>
      </c>
      <c r="C469" s="1" t="n">
        <v>45923</v>
      </c>
      <c r="D469" t="inlineStr">
        <is>
          <t>KALMAR LÄN</t>
        </is>
      </c>
      <c r="E469" t="inlineStr">
        <is>
          <t>VIMMERBY</t>
        </is>
      </c>
      <c r="G469" t="n">
        <v>2.7</v>
      </c>
      <c r="H469" t="n">
        <v>0</v>
      </c>
      <c r="I469" t="n">
        <v>0</v>
      </c>
      <c r="J469" t="n">
        <v>0</v>
      </c>
      <c r="K469" t="n">
        <v>0</v>
      </c>
      <c r="L469" t="n">
        <v>0</v>
      </c>
      <c r="M469" t="n">
        <v>0</v>
      </c>
      <c r="N469" t="n">
        <v>0</v>
      </c>
      <c r="O469" t="n">
        <v>0</v>
      </c>
      <c r="P469" t="n">
        <v>0</v>
      </c>
      <c r="Q469" t="n">
        <v>0</v>
      </c>
      <c r="R469" s="2" t="inlineStr"/>
    </row>
    <row r="470" ht="15" customHeight="1">
      <c r="A470" t="inlineStr">
        <is>
          <t>A 1146-2025</t>
        </is>
      </c>
      <c r="B470" s="1" t="n">
        <v>45666</v>
      </c>
      <c r="C470" s="1" t="n">
        <v>45923</v>
      </c>
      <c r="D470" t="inlineStr">
        <is>
          <t>KALMAR LÄN</t>
        </is>
      </c>
      <c r="E470" t="inlineStr">
        <is>
          <t>VIMMERBY</t>
        </is>
      </c>
      <c r="G470" t="n">
        <v>4</v>
      </c>
      <c r="H470" t="n">
        <v>0</v>
      </c>
      <c r="I470" t="n">
        <v>0</v>
      </c>
      <c r="J470" t="n">
        <v>0</v>
      </c>
      <c r="K470" t="n">
        <v>0</v>
      </c>
      <c r="L470" t="n">
        <v>0</v>
      </c>
      <c r="M470" t="n">
        <v>0</v>
      </c>
      <c r="N470" t="n">
        <v>0</v>
      </c>
      <c r="O470" t="n">
        <v>0</v>
      </c>
      <c r="P470" t="n">
        <v>0</v>
      </c>
      <c r="Q470" t="n">
        <v>0</v>
      </c>
      <c r="R470" s="2" t="inlineStr"/>
    </row>
    <row r="471" ht="15" customHeight="1">
      <c r="A471" t="inlineStr">
        <is>
          <t>A 45319-2025</t>
        </is>
      </c>
      <c r="B471" s="1" t="n">
        <v>45921.95611111111</v>
      </c>
      <c r="C471" s="1" t="n">
        <v>45923</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12890-2023</t>
        </is>
      </c>
      <c r="B472" s="1" t="n">
        <v>45001.59209490741</v>
      </c>
      <c r="C472" s="1" t="n">
        <v>45923</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3902-2022</t>
        </is>
      </c>
      <c r="B473" s="1" t="n">
        <v>44587.48847222222</v>
      </c>
      <c r="C473" s="1" t="n">
        <v>45923</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16676-2023</t>
        </is>
      </c>
      <c r="B474" s="1" t="n">
        <v>45028</v>
      </c>
      <c r="C474" s="1" t="n">
        <v>45923</v>
      </c>
      <c r="D474" t="inlineStr">
        <is>
          <t>KALMAR LÄN</t>
        </is>
      </c>
      <c r="E474" t="inlineStr">
        <is>
          <t>VIMMERBY</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23263-2024</t>
        </is>
      </c>
      <c r="B475" s="1" t="n">
        <v>45453.36854166666</v>
      </c>
      <c r="C475" s="1" t="n">
        <v>45923</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89-2023</t>
        </is>
      </c>
      <c r="B476" s="1" t="n">
        <v>44918</v>
      </c>
      <c r="C476" s="1" t="n">
        <v>45923</v>
      </c>
      <c r="D476" t="inlineStr">
        <is>
          <t>KALMAR LÄN</t>
        </is>
      </c>
      <c r="E476" t="inlineStr">
        <is>
          <t>VIMMERBY</t>
        </is>
      </c>
      <c r="G476" t="n">
        <v>16.1</v>
      </c>
      <c r="H476" t="n">
        <v>0</v>
      </c>
      <c r="I476" t="n">
        <v>0</v>
      </c>
      <c r="J476" t="n">
        <v>0</v>
      </c>
      <c r="K476" t="n">
        <v>0</v>
      </c>
      <c r="L476" t="n">
        <v>0</v>
      </c>
      <c r="M476" t="n">
        <v>0</v>
      </c>
      <c r="N476" t="n">
        <v>0</v>
      </c>
      <c r="O476" t="n">
        <v>0</v>
      </c>
      <c r="P476" t="n">
        <v>0</v>
      </c>
      <c r="Q476" t="n">
        <v>0</v>
      </c>
      <c r="R476" s="2" t="inlineStr"/>
    </row>
    <row r="477" ht="15" customHeight="1">
      <c r="A477" t="inlineStr">
        <is>
          <t>A 5382-2023</t>
        </is>
      </c>
      <c r="B477" s="1" t="n">
        <v>44959.66407407408</v>
      </c>
      <c r="C477" s="1" t="n">
        <v>45923</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49488-2023</t>
        </is>
      </c>
      <c r="B478" s="1" t="n">
        <v>45211.55472222222</v>
      </c>
      <c r="C478" s="1" t="n">
        <v>45923</v>
      </c>
      <c r="D478" t="inlineStr">
        <is>
          <t>KALMAR LÄN</t>
        </is>
      </c>
      <c r="E478" t="inlineStr">
        <is>
          <t>VIMMERBY</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6668-2023</t>
        </is>
      </c>
      <c r="B479" s="1" t="n">
        <v>44966</v>
      </c>
      <c r="C479" s="1" t="n">
        <v>45923</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172-2022</t>
        </is>
      </c>
      <c r="B480" s="1" t="n">
        <v>44564.62598379629</v>
      </c>
      <c r="C480" s="1" t="n">
        <v>45923</v>
      </c>
      <c r="D480" t="inlineStr">
        <is>
          <t>KALMAR LÄN</t>
        </is>
      </c>
      <c r="E480" t="inlineStr">
        <is>
          <t>VIMMERBY</t>
        </is>
      </c>
      <c r="G480" t="n">
        <v>2.1</v>
      </c>
      <c r="H480" t="n">
        <v>0</v>
      </c>
      <c r="I480" t="n">
        <v>0</v>
      </c>
      <c r="J480" t="n">
        <v>0</v>
      </c>
      <c r="K480" t="n">
        <v>0</v>
      </c>
      <c r="L480" t="n">
        <v>0</v>
      </c>
      <c r="M480" t="n">
        <v>0</v>
      </c>
      <c r="N480" t="n">
        <v>0</v>
      </c>
      <c r="O480" t="n">
        <v>0</v>
      </c>
      <c r="P480" t="n">
        <v>0</v>
      </c>
      <c r="Q480" t="n">
        <v>0</v>
      </c>
      <c r="R480" s="2" t="inlineStr"/>
    </row>
    <row r="481" ht="15" customHeight="1">
      <c r="A481" t="inlineStr">
        <is>
          <t>A 6218-2025</t>
        </is>
      </c>
      <c r="B481" s="1" t="n">
        <v>45698.53336805556</v>
      </c>
      <c r="C481" s="1" t="n">
        <v>45923</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40076-2021</t>
        </is>
      </c>
      <c r="B482" s="1" t="n">
        <v>44418</v>
      </c>
      <c r="C482" s="1" t="n">
        <v>45923</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30634-2024</t>
        </is>
      </c>
      <c r="B483" s="1" t="n">
        <v>45495</v>
      </c>
      <c r="C483" s="1" t="n">
        <v>45923</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6355-2022</t>
        </is>
      </c>
      <c r="B484" s="1" t="n">
        <v>44600</v>
      </c>
      <c r="C484" s="1" t="n">
        <v>45923</v>
      </c>
      <c r="D484" t="inlineStr">
        <is>
          <t>KALMAR LÄN</t>
        </is>
      </c>
      <c r="E484" t="inlineStr">
        <is>
          <t>VIMMERBY</t>
        </is>
      </c>
      <c r="G484" t="n">
        <v>4.9</v>
      </c>
      <c r="H484" t="n">
        <v>0</v>
      </c>
      <c r="I484" t="n">
        <v>0</v>
      </c>
      <c r="J484" t="n">
        <v>0</v>
      </c>
      <c r="K484" t="n">
        <v>0</v>
      </c>
      <c r="L484" t="n">
        <v>0</v>
      </c>
      <c r="M484" t="n">
        <v>0</v>
      </c>
      <c r="N484" t="n">
        <v>0</v>
      </c>
      <c r="O484" t="n">
        <v>0</v>
      </c>
      <c r="P484" t="n">
        <v>0</v>
      </c>
      <c r="Q484" t="n">
        <v>0</v>
      </c>
      <c r="R484" s="2" t="inlineStr"/>
    </row>
    <row r="485" ht="15" customHeight="1">
      <c r="A485" t="inlineStr">
        <is>
          <t>A 59768-2024</t>
        </is>
      </c>
      <c r="B485" s="1" t="n">
        <v>45639.56185185185</v>
      </c>
      <c r="C485" s="1" t="n">
        <v>45923</v>
      </c>
      <c r="D485" t="inlineStr">
        <is>
          <t>KALMAR LÄN</t>
        </is>
      </c>
      <c r="E485" t="inlineStr">
        <is>
          <t>VIMMERBY</t>
        </is>
      </c>
      <c r="G485" t="n">
        <v>5.9</v>
      </c>
      <c r="H485" t="n">
        <v>0</v>
      </c>
      <c r="I485" t="n">
        <v>0</v>
      </c>
      <c r="J485" t="n">
        <v>0</v>
      </c>
      <c r="K485" t="n">
        <v>0</v>
      </c>
      <c r="L485" t="n">
        <v>0</v>
      </c>
      <c r="M485" t="n">
        <v>0</v>
      </c>
      <c r="N485" t="n">
        <v>0</v>
      </c>
      <c r="O485" t="n">
        <v>0</v>
      </c>
      <c r="P485" t="n">
        <v>0</v>
      </c>
      <c r="Q485" t="n">
        <v>0</v>
      </c>
      <c r="R485" s="2" t="inlineStr"/>
    </row>
    <row r="486" ht="15" customHeight="1">
      <c r="A486" t="inlineStr">
        <is>
          <t>A 16020-2023</t>
        </is>
      </c>
      <c r="B486" s="1" t="n">
        <v>45026.82216435186</v>
      </c>
      <c r="C486" s="1" t="n">
        <v>45923</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72067-2021</t>
        </is>
      </c>
      <c r="B487" s="1" t="n">
        <v>44540</v>
      </c>
      <c r="C487" s="1" t="n">
        <v>45923</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60292-2022</t>
        </is>
      </c>
      <c r="B488" s="1" t="n">
        <v>44910.54231481482</v>
      </c>
      <c r="C488" s="1" t="n">
        <v>45923</v>
      </c>
      <c r="D488" t="inlineStr">
        <is>
          <t>KALMAR LÄN</t>
        </is>
      </c>
      <c r="E488" t="inlineStr">
        <is>
          <t>VIMMERBY</t>
        </is>
      </c>
      <c r="G488" t="n">
        <v>4.4</v>
      </c>
      <c r="H488" t="n">
        <v>0</v>
      </c>
      <c r="I488" t="n">
        <v>0</v>
      </c>
      <c r="J488" t="n">
        <v>0</v>
      </c>
      <c r="K488" t="n">
        <v>0</v>
      </c>
      <c r="L488" t="n">
        <v>0</v>
      </c>
      <c r="M488" t="n">
        <v>0</v>
      </c>
      <c r="N488" t="n">
        <v>0</v>
      </c>
      <c r="O488" t="n">
        <v>0</v>
      </c>
      <c r="P488" t="n">
        <v>0</v>
      </c>
      <c r="Q488" t="n">
        <v>0</v>
      </c>
      <c r="R488" s="2" t="inlineStr"/>
    </row>
    <row r="489" ht="15" customHeight="1">
      <c r="A489" t="inlineStr">
        <is>
          <t>A 41158-2023</t>
        </is>
      </c>
      <c r="B489" s="1" t="n">
        <v>45174.31395833333</v>
      </c>
      <c r="C489" s="1" t="n">
        <v>45923</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43034-2024</t>
        </is>
      </c>
      <c r="B490" s="1" t="n">
        <v>45567.42011574074</v>
      </c>
      <c r="C490" s="1" t="n">
        <v>45923</v>
      </c>
      <c r="D490" t="inlineStr">
        <is>
          <t>KALMAR LÄN</t>
        </is>
      </c>
      <c r="E490" t="inlineStr">
        <is>
          <t>VIMMERBY</t>
        </is>
      </c>
      <c r="G490" t="n">
        <v>1.8</v>
      </c>
      <c r="H490" t="n">
        <v>0</v>
      </c>
      <c r="I490" t="n">
        <v>0</v>
      </c>
      <c r="J490" t="n">
        <v>0</v>
      </c>
      <c r="K490" t="n">
        <v>0</v>
      </c>
      <c r="L490" t="n">
        <v>0</v>
      </c>
      <c r="M490" t="n">
        <v>0</v>
      </c>
      <c r="N490" t="n">
        <v>0</v>
      </c>
      <c r="O490" t="n">
        <v>0</v>
      </c>
      <c r="P490" t="n">
        <v>0</v>
      </c>
      <c r="Q490" t="n">
        <v>0</v>
      </c>
      <c r="R490" s="2" t="inlineStr"/>
    </row>
    <row r="491" ht="15" customHeight="1">
      <c r="A491" t="inlineStr">
        <is>
          <t>A 40256-2024</t>
        </is>
      </c>
      <c r="B491" s="1" t="n">
        <v>45554.62944444444</v>
      </c>
      <c r="C491" s="1" t="n">
        <v>45923</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22198-2024</t>
        </is>
      </c>
      <c r="B492" s="1" t="n">
        <v>45446.36865740741</v>
      </c>
      <c r="C492" s="1" t="n">
        <v>45923</v>
      </c>
      <c r="D492" t="inlineStr">
        <is>
          <t>KALMAR LÄN</t>
        </is>
      </c>
      <c r="E492" t="inlineStr">
        <is>
          <t>VIMMERBY</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9511-2023</t>
        </is>
      </c>
      <c r="B493" s="1" t="n">
        <v>44981.64725694444</v>
      </c>
      <c r="C493" s="1" t="n">
        <v>45923</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15976-2025</t>
        </is>
      </c>
      <c r="B494" s="1" t="n">
        <v>45749.56196759259</v>
      </c>
      <c r="C494" s="1" t="n">
        <v>45923</v>
      </c>
      <c r="D494" t="inlineStr">
        <is>
          <t>KALMAR LÄN</t>
        </is>
      </c>
      <c r="E494" t="inlineStr">
        <is>
          <t>VIMMERBY</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12588-2025</t>
        </is>
      </c>
      <c r="B495" s="1" t="n">
        <v>45732.76936342593</v>
      </c>
      <c r="C495" s="1" t="n">
        <v>45923</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25979-2023</t>
        </is>
      </c>
      <c r="B496" s="1" t="n">
        <v>45090.89653935185</v>
      </c>
      <c r="C496" s="1" t="n">
        <v>45923</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25980-2023</t>
        </is>
      </c>
      <c r="B497" s="1" t="n">
        <v>45090.89880787037</v>
      </c>
      <c r="C497" s="1" t="n">
        <v>45923</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43093-2024</t>
        </is>
      </c>
      <c r="B498" s="1" t="n">
        <v>45567</v>
      </c>
      <c r="C498" s="1" t="n">
        <v>45923</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46921-2023</t>
        </is>
      </c>
      <c r="B499" s="1" t="n">
        <v>45201.39996527778</v>
      </c>
      <c r="C499" s="1" t="n">
        <v>45923</v>
      </c>
      <c r="D499" t="inlineStr">
        <is>
          <t>KALMAR LÄN</t>
        </is>
      </c>
      <c r="E499" t="inlineStr">
        <is>
          <t>VIMMERBY</t>
        </is>
      </c>
      <c r="G499" t="n">
        <v>2.6</v>
      </c>
      <c r="H499" t="n">
        <v>0</v>
      </c>
      <c r="I499" t="n">
        <v>0</v>
      </c>
      <c r="J499" t="n">
        <v>0</v>
      </c>
      <c r="K499" t="n">
        <v>0</v>
      </c>
      <c r="L499" t="n">
        <v>0</v>
      </c>
      <c r="M499" t="n">
        <v>0</v>
      </c>
      <c r="N499" t="n">
        <v>0</v>
      </c>
      <c r="O499" t="n">
        <v>0</v>
      </c>
      <c r="P499" t="n">
        <v>0</v>
      </c>
      <c r="Q499" t="n">
        <v>0</v>
      </c>
      <c r="R499" s="2" t="inlineStr"/>
    </row>
    <row r="500" ht="15" customHeight="1">
      <c r="A500" t="inlineStr">
        <is>
          <t>A 10837-2023</t>
        </is>
      </c>
      <c r="B500" s="1" t="n">
        <v>44991.30547453704</v>
      </c>
      <c r="C500" s="1" t="n">
        <v>45923</v>
      </c>
      <c r="D500" t="inlineStr">
        <is>
          <t>KALMAR LÄN</t>
        </is>
      </c>
      <c r="E500" t="inlineStr">
        <is>
          <t>VIMMERBY</t>
        </is>
      </c>
      <c r="G500" t="n">
        <v>7.3</v>
      </c>
      <c r="H500" t="n">
        <v>0</v>
      </c>
      <c r="I500" t="n">
        <v>0</v>
      </c>
      <c r="J500" t="n">
        <v>0</v>
      </c>
      <c r="K500" t="n">
        <v>0</v>
      </c>
      <c r="L500" t="n">
        <v>0</v>
      </c>
      <c r="M500" t="n">
        <v>0</v>
      </c>
      <c r="N500" t="n">
        <v>0</v>
      </c>
      <c r="O500" t="n">
        <v>0</v>
      </c>
      <c r="P500" t="n">
        <v>0</v>
      </c>
      <c r="Q500" t="n">
        <v>0</v>
      </c>
      <c r="R500" s="2" t="inlineStr"/>
    </row>
    <row r="501" ht="15" customHeight="1">
      <c r="A501" t="inlineStr">
        <is>
          <t>A 10838-2023</t>
        </is>
      </c>
      <c r="B501" s="1" t="n">
        <v>44991</v>
      </c>
      <c r="C501" s="1" t="n">
        <v>45923</v>
      </c>
      <c r="D501" t="inlineStr">
        <is>
          <t>KALMAR LÄN</t>
        </is>
      </c>
      <c r="E501" t="inlineStr">
        <is>
          <t>VIMMERBY</t>
        </is>
      </c>
      <c r="G501" t="n">
        <v>5.1</v>
      </c>
      <c r="H501" t="n">
        <v>0</v>
      </c>
      <c r="I501" t="n">
        <v>0</v>
      </c>
      <c r="J501" t="n">
        <v>0</v>
      </c>
      <c r="K501" t="n">
        <v>0</v>
      </c>
      <c r="L501" t="n">
        <v>0</v>
      </c>
      <c r="M501" t="n">
        <v>0</v>
      </c>
      <c r="N501" t="n">
        <v>0</v>
      </c>
      <c r="O501" t="n">
        <v>0</v>
      </c>
      <c r="P501" t="n">
        <v>0</v>
      </c>
      <c r="Q501" t="n">
        <v>0</v>
      </c>
      <c r="R501" s="2" t="inlineStr"/>
    </row>
    <row r="502" ht="15" customHeight="1">
      <c r="A502" t="inlineStr">
        <is>
          <t>A 34205-2023</t>
        </is>
      </c>
      <c r="B502" s="1" t="n">
        <v>45138</v>
      </c>
      <c r="C502" s="1" t="n">
        <v>45923</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30912-2023</t>
        </is>
      </c>
      <c r="B503" s="1" t="n">
        <v>45113.41633101852</v>
      </c>
      <c r="C503" s="1" t="n">
        <v>45923</v>
      </c>
      <c r="D503" t="inlineStr">
        <is>
          <t>KALMAR LÄN</t>
        </is>
      </c>
      <c r="E503" t="inlineStr">
        <is>
          <t>VIMMERBY</t>
        </is>
      </c>
      <c r="G503" t="n">
        <v>5</v>
      </c>
      <c r="H503" t="n">
        <v>0</v>
      </c>
      <c r="I503" t="n">
        <v>0</v>
      </c>
      <c r="J503" t="n">
        <v>0</v>
      </c>
      <c r="K503" t="n">
        <v>0</v>
      </c>
      <c r="L503" t="n">
        <v>0</v>
      </c>
      <c r="M503" t="n">
        <v>0</v>
      </c>
      <c r="N503" t="n">
        <v>0</v>
      </c>
      <c r="O503" t="n">
        <v>0</v>
      </c>
      <c r="P503" t="n">
        <v>0</v>
      </c>
      <c r="Q503" t="n">
        <v>0</v>
      </c>
      <c r="R503" s="2" t="inlineStr"/>
    </row>
    <row r="504" ht="15" customHeight="1">
      <c r="A504" t="inlineStr">
        <is>
          <t>A 35198-2023</t>
        </is>
      </c>
      <c r="B504" s="1" t="n">
        <v>45145</v>
      </c>
      <c r="C504" s="1" t="n">
        <v>45923</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55436-2023</t>
        </is>
      </c>
      <c r="B505" s="1" t="n">
        <v>45238.4328587963</v>
      </c>
      <c r="C505" s="1" t="n">
        <v>45923</v>
      </c>
      <c r="D505" t="inlineStr">
        <is>
          <t>KALMAR LÄN</t>
        </is>
      </c>
      <c r="E505" t="inlineStr">
        <is>
          <t>VIMMERBY</t>
        </is>
      </c>
      <c r="G505" t="n">
        <v>5.6</v>
      </c>
      <c r="H505" t="n">
        <v>0</v>
      </c>
      <c r="I505" t="n">
        <v>0</v>
      </c>
      <c r="J505" t="n">
        <v>0</v>
      </c>
      <c r="K505" t="n">
        <v>0</v>
      </c>
      <c r="L505" t="n">
        <v>0</v>
      </c>
      <c r="M505" t="n">
        <v>0</v>
      </c>
      <c r="N505" t="n">
        <v>0</v>
      </c>
      <c r="O505" t="n">
        <v>0</v>
      </c>
      <c r="P505" t="n">
        <v>0</v>
      </c>
      <c r="Q505" t="n">
        <v>0</v>
      </c>
      <c r="R505" s="2" t="inlineStr"/>
    </row>
    <row r="506" ht="15" customHeight="1">
      <c r="A506" t="inlineStr">
        <is>
          <t>A 57091-2022</t>
        </is>
      </c>
      <c r="B506" s="1" t="n">
        <v>44895.46524305556</v>
      </c>
      <c r="C506" s="1" t="n">
        <v>45923</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21507-2023</t>
        </is>
      </c>
      <c r="B507" s="1" t="n">
        <v>45063.508125</v>
      </c>
      <c r="C507" s="1" t="n">
        <v>45923</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51187-2023</t>
        </is>
      </c>
      <c r="B508" s="1" t="n">
        <v>45219.40528935185</v>
      </c>
      <c r="C508" s="1" t="n">
        <v>45923</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2604-2025</t>
        </is>
      </c>
      <c r="B509" s="1" t="n">
        <v>45674.74094907408</v>
      </c>
      <c r="C509" s="1" t="n">
        <v>45923</v>
      </c>
      <c r="D509" t="inlineStr">
        <is>
          <t>KALMAR LÄN</t>
        </is>
      </c>
      <c r="E509" t="inlineStr">
        <is>
          <t>VIMMERBY</t>
        </is>
      </c>
      <c r="G509" t="n">
        <v>7.6</v>
      </c>
      <c r="H509" t="n">
        <v>0</v>
      </c>
      <c r="I509" t="n">
        <v>0</v>
      </c>
      <c r="J509" t="n">
        <v>0</v>
      </c>
      <c r="K509" t="n">
        <v>0</v>
      </c>
      <c r="L509" t="n">
        <v>0</v>
      </c>
      <c r="M509" t="n">
        <v>0</v>
      </c>
      <c r="N509" t="n">
        <v>0</v>
      </c>
      <c r="O509" t="n">
        <v>0</v>
      </c>
      <c r="P509" t="n">
        <v>0</v>
      </c>
      <c r="Q509" t="n">
        <v>0</v>
      </c>
      <c r="R509" s="2" t="inlineStr"/>
    </row>
    <row r="510" ht="15" customHeight="1">
      <c r="A510" t="inlineStr">
        <is>
          <t>A 6807-2025</t>
        </is>
      </c>
      <c r="B510" s="1" t="n">
        <v>45700.68672453704</v>
      </c>
      <c r="C510" s="1" t="n">
        <v>45923</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38851-2023</t>
        </is>
      </c>
      <c r="B511" s="1" t="n">
        <v>45163</v>
      </c>
      <c r="C511" s="1" t="n">
        <v>45923</v>
      </c>
      <c r="D511" t="inlineStr">
        <is>
          <t>KALMAR LÄN</t>
        </is>
      </c>
      <c r="E511" t="inlineStr">
        <is>
          <t>VIMMERBY</t>
        </is>
      </c>
      <c r="G511" t="n">
        <v>4.3</v>
      </c>
      <c r="H511" t="n">
        <v>0</v>
      </c>
      <c r="I511" t="n">
        <v>0</v>
      </c>
      <c r="J511" t="n">
        <v>0</v>
      </c>
      <c r="K511" t="n">
        <v>0</v>
      </c>
      <c r="L511" t="n">
        <v>0</v>
      </c>
      <c r="M511" t="n">
        <v>0</v>
      </c>
      <c r="N511" t="n">
        <v>0</v>
      </c>
      <c r="O511" t="n">
        <v>0</v>
      </c>
      <c r="P511" t="n">
        <v>0</v>
      </c>
      <c r="Q511" t="n">
        <v>0</v>
      </c>
      <c r="R511" s="2" t="inlineStr"/>
    </row>
    <row r="512" ht="15" customHeight="1">
      <c r="A512" t="inlineStr">
        <is>
          <t>A 13290-2025</t>
        </is>
      </c>
      <c r="B512" s="1" t="n">
        <v>45735.56751157407</v>
      </c>
      <c r="C512" s="1" t="n">
        <v>45923</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45923</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23252-2024</t>
        </is>
      </c>
      <c r="B514" s="1" t="n">
        <v>45453.36067129629</v>
      </c>
      <c r="C514" s="1" t="n">
        <v>45923</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5792-2023</t>
        </is>
      </c>
      <c r="B515" s="1" t="n">
        <v>44963.44769675926</v>
      </c>
      <c r="C515" s="1" t="n">
        <v>45923</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2797-2023</t>
        </is>
      </c>
      <c r="B516" s="1" t="n">
        <v>44944.71386574074</v>
      </c>
      <c r="C516" s="1" t="n">
        <v>45923</v>
      </c>
      <c r="D516" t="inlineStr">
        <is>
          <t>KALMAR LÄN</t>
        </is>
      </c>
      <c r="E516" t="inlineStr">
        <is>
          <t>VIMMERBY</t>
        </is>
      </c>
      <c r="G516" t="n">
        <v>3.4</v>
      </c>
      <c r="H516" t="n">
        <v>0</v>
      </c>
      <c r="I516" t="n">
        <v>0</v>
      </c>
      <c r="J516" t="n">
        <v>0</v>
      </c>
      <c r="K516" t="n">
        <v>0</v>
      </c>
      <c r="L516" t="n">
        <v>0</v>
      </c>
      <c r="M516" t="n">
        <v>0</v>
      </c>
      <c r="N516" t="n">
        <v>0</v>
      </c>
      <c r="O516" t="n">
        <v>0</v>
      </c>
      <c r="P516" t="n">
        <v>0</v>
      </c>
      <c r="Q516" t="n">
        <v>0</v>
      </c>
      <c r="R516" s="2" t="inlineStr"/>
    </row>
    <row r="517" ht="15" customHeight="1">
      <c r="A517" t="inlineStr">
        <is>
          <t>A 2799-2023</t>
        </is>
      </c>
      <c r="B517" s="1" t="n">
        <v>44944.72100694444</v>
      </c>
      <c r="C517" s="1" t="n">
        <v>45923</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6220-2025</t>
        </is>
      </c>
      <c r="B518" s="1" t="n">
        <v>45698.53725694444</v>
      </c>
      <c r="C518" s="1" t="n">
        <v>45923</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16622-2025</t>
        </is>
      </c>
      <c r="B519" s="1" t="n">
        <v>45754.33641203704</v>
      </c>
      <c r="C519" s="1" t="n">
        <v>45923</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58278-2023</t>
        </is>
      </c>
      <c r="B520" s="1" t="n">
        <v>45250.5278587963</v>
      </c>
      <c r="C520" s="1" t="n">
        <v>45923</v>
      </c>
      <c r="D520" t="inlineStr">
        <is>
          <t>KALMAR LÄN</t>
        </is>
      </c>
      <c r="E520" t="inlineStr">
        <is>
          <t>VIMMERBY</t>
        </is>
      </c>
      <c r="G520" t="n">
        <v>1.8</v>
      </c>
      <c r="H520" t="n">
        <v>0</v>
      </c>
      <c r="I520" t="n">
        <v>0</v>
      </c>
      <c r="J520" t="n">
        <v>0</v>
      </c>
      <c r="K520" t="n">
        <v>0</v>
      </c>
      <c r="L520" t="n">
        <v>0</v>
      </c>
      <c r="M520" t="n">
        <v>0</v>
      </c>
      <c r="N520" t="n">
        <v>0</v>
      </c>
      <c r="O520" t="n">
        <v>0</v>
      </c>
      <c r="P520" t="n">
        <v>0</v>
      </c>
      <c r="Q520" t="n">
        <v>0</v>
      </c>
      <c r="R520" s="2" t="inlineStr"/>
    </row>
    <row r="521" ht="15" customHeight="1">
      <c r="A521" t="inlineStr">
        <is>
          <t>A 36259-2022</t>
        </is>
      </c>
      <c r="B521" s="1" t="n">
        <v>44803.59118055556</v>
      </c>
      <c r="C521" s="1" t="n">
        <v>45923</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36526-2023</t>
        </is>
      </c>
      <c r="B522" s="1" t="n">
        <v>45153.32778935185</v>
      </c>
      <c r="C522" s="1" t="n">
        <v>45923</v>
      </c>
      <c r="D522" t="inlineStr">
        <is>
          <t>KALMAR LÄN</t>
        </is>
      </c>
      <c r="E522" t="inlineStr">
        <is>
          <t>VIMMERBY</t>
        </is>
      </c>
      <c r="G522" t="n">
        <v>2.7</v>
      </c>
      <c r="H522" t="n">
        <v>0</v>
      </c>
      <c r="I522" t="n">
        <v>0</v>
      </c>
      <c r="J522" t="n">
        <v>0</v>
      </c>
      <c r="K522" t="n">
        <v>0</v>
      </c>
      <c r="L522" t="n">
        <v>0</v>
      </c>
      <c r="M522" t="n">
        <v>0</v>
      </c>
      <c r="N522" t="n">
        <v>0</v>
      </c>
      <c r="O522" t="n">
        <v>0</v>
      </c>
      <c r="P522" t="n">
        <v>0</v>
      </c>
      <c r="Q522" t="n">
        <v>0</v>
      </c>
      <c r="R522" s="2" t="inlineStr"/>
    </row>
    <row r="523" ht="15" customHeight="1">
      <c r="A523" t="inlineStr">
        <is>
          <t>A 17988-2025</t>
        </is>
      </c>
      <c r="B523" s="1" t="n">
        <v>45761.39600694444</v>
      </c>
      <c r="C523" s="1" t="n">
        <v>45923</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31340-2023</t>
        </is>
      </c>
      <c r="B524" s="1" t="n">
        <v>45114.47895833333</v>
      </c>
      <c r="C524" s="1" t="n">
        <v>45923</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29168-2024</t>
        </is>
      </c>
      <c r="B525" s="1" t="n">
        <v>45482.49870370371</v>
      </c>
      <c r="C525" s="1" t="n">
        <v>45923</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29186-2024</t>
        </is>
      </c>
      <c r="B526" s="1" t="n">
        <v>45482.54844907407</v>
      </c>
      <c r="C526" s="1" t="n">
        <v>45923</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35895-2024</t>
        </is>
      </c>
      <c r="B527" s="1" t="n">
        <v>45533.38870370371</v>
      </c>
      <c r="C527" s="1" t="n">
        <v>45923</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12590-2025</t>
        </is>
      </c>
      <c r="B528" s="1" t="n">
        <v>45732.79925925926</v>
      </c>
      <c r="C528" s="1" t="n">
        <v>45923</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30318-2023</t>
        </is>
      </c>
      <c r="B529" s="1" t="n">
        <v>45111.30824074074</v>
      </c>
      <c r="C529" s="1" t="n">
        <v>45923</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29350-2023</t>
        </is>
      </c>
      <c r="B530" s="1" t="n">
        <v>45106</v>
      </c>
      <c r="C530" s="1" t="n">
        <v>45923</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29351-2023</t>
        </is>
      </c>
      <c r="B531" s="1" t="n">
        <v>45106.2610300926</v>
      </c>
      <c r="C531" s="1" t="n">
        <v>45923</v>
      </c>
      <c r="D531" t="inlineStr">
        <is>
          <t>KALMAR LÄN</t>
        </is>
      </c>
      <c r="E531" t="inlineStr">
        <is>
          <t>VIMMERBY</t>
        </is>
      </c>
      <c r="G531" t="n">
        <v>0.4</v>
      </c>
      <c r="H531" t="n">
        <v>0</v>
      </c>
      <c r="I531" t="n">
        <v>0</v>
      </c>
      <c r="J531" t="n">
        <v>0</v>
      </c>
      <c r="K531" t="n">
        <v>0</v>
      </c>
      <c r="L531" t="n">
        <v>0</v>
      </c>
      <c r="M531" t="n">
        <v>0</v>
      </c>
      <c r="N531" t="n">
        <v>0</v>
      </c>
      <c r="O531" t="n">
        <v>0</v>
      </c>
      <c r="P531" t="n">
        <v>0</v>
      </c>
      <c r="Q531" t="n">
        <v>0</v>
      </c>
      <c r="R531" s="2" t="inlineStr"/>
    </row>
    <row r="532" ht="15" customHeight="1">
      <c r="A532" t="inlineStr">
        <is>
          <t>A 43186-2021</t>
        </is>
      </c>
      <c r="B532" s="1" t="n">
        <v>44431.84840277778</v>
      </c>
      <c r="C532" s="1" t="n">
        <v>45923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6474-2025</t>
        </is>
      </c>
      <c r="B533" s="1" t="n">
        <v>45699.60055555555</v>
      </c>
      <c r="C533" s="1" t="n">
        <v>45923</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60215-2022</t>
        </is>
      </c>
      <c r="B534" s="1" t="n">
        <v>44910.41346064815</v>
      </c>
      <c r="C534" s="1" t="n">
        <v>45923</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60230-2022</t>
        </is>
      </c>
      <c r="B535" s="1" t="n">
        <v>44910</v>
      </c>
      <c r="C535" s="1" t="n">
        <v>45923</v>
      </c>
      <c r="D535" t="inlineStr">
        <is>
          <t>KALMAR LÄN</t>
        </is>
      </c>
      <c r="E535" t="inlineStr">
        <is>
          <t>VIMMERBY</t>
        </is>
      </c>
      <c r="G535" t="n">
        <v>11.3</v>
      </c>
      <c r="H535" t="n">
        <v>0</v>
      </c>
      <c r="I535" t="n">
        <v>0</v>
      </c>
      <c r="J535" t="n">
        <v>0</v>
      </c>
      <c r="K535" t="n">
        <v>0</v>
      </c>
      <c r="L535" t="n">
        <v>0</v>
      </c>
      <c r="M535" t="n">
        <v>0</v>
      </c>
      <c r="N535" t="n">
        <v>0</v>
      </c>
      <c r="O535" t="n">
        <v>0</v>
      </c>
      <c r="P535" t="n">
        <v>0</v>
      </c>
      <c r="Q535" t="n">
        <v>0</v>
      </c>
      <c r="R535" s="2" t="inlineStr"/>
    </row>
    <row r="536" ht="15" customHeight="1">
      <c r="A536" t="inlineStr">
        <is>
          <t>A 5925-2022</t>
        </is>
      </c>
      <c r="B536" s="1" t="n">
        <v>44598.7384837963</v>
      </c>
      <c r="C536" s="1" t="n">
        <v>45923</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845-2023</t>
        </is>
      </c>
      <c r="B537" s="1" t="n">
        <v>44931</v>
      </c>
      <c r="C537" s="1" t="n">
        <v>45923</v>
      </c>
      <c r="D537" t="inlineStr">
        <is>
          <t>KALMAR LÄN</t>
        </is>
      </c>
      <c r="E537" t="inlineStr">
        <is>
          <t>VIMMERBY</t>
        </is>
      </c>
      <c r="F537" t="inlineStr">
        <is>
          <t>Övriga Aktiebolag</t>
        </is>
      </c>
      <c r="G537" t="n">
        <v>19</v>
      </c>
      <c r="H537" t="n">
        <v>0</v>
      </c>
      <c r="I537" t="n">
        <v>0</v>
      </c>
      <c r="J537" t="n">
        <v>0</v>
      </c>
      <c r="K537" t="n">
        <v>0</v>
      </c>
      <c r="L537" t="n">
        <v>0</v>
      </c>
      <c r="M537" t="n">
        <v>0</v>
      </c>
      <c r="N537" t="n">
        <v>0</v>
      </c>
      <c r="O537" t="n">
        <v>0</v>
      </c>
      <c r="P537" t="n">
        <v>0</v>
      </c>
      <c r="Q537" t="n">
        <v>0</v>
      </c>
      <c r="R537" s="2" t="inlineStr"/>
    </row>
    <row r="538" ht="15" customHeight="1">
      <c r="A538" t="inlineStr">
        <is>
          <t>A 16119-2023</t>
        </is>
      </c>
      <c r="B538" s="1" t="n">
        <v>45027.59450231482</v>
      </c>
      <c r="C538" s="1" t="n">
        <v>45923</v>
      </c>
      <c r="D538" t="inlineStr">
        <is>
          <t>KALMAR LÄN</t>
        </is>
      </c>
      <c r="E538" t="inlineStr">
        <is>
          <t>VIMMERBY</t>
        </is>
      </c>
      <c r="F538" t="inlineStr">
        <is>
          <t>Kommuner</t>
        </is>
      </c>
      <c r="G538" t="n">
        <v>4.4</v>
      </c>
      <c r="H538" t="n">
        <v>0</v>
      </c>
      <c r="I538" t="n">
        <v>0</v>
      </c>
      <c r="J538" t="n">
        <v>0</v>
      </c>
      <c r="K538" t="n">
        <v>0</v>
      </c>
      <c r="L538" t="n">
        <v>0</v>
      </c>
      <c r="M538" t="n">
        <v>0</v>
      </c>
      <c r="N538" t="n">
        <v>0</v>
      </c>
      <c r="O538" t="n">
        <v>0</v>
      </c>
      <c r="P538" t="n">
        <v>0</v>
      </c>
      <c r="Q538" t="n">
        <v>0</v>
      </c>
      <c r="R538" s="2" t="inlineStr"/>
    </row>
    <row r="539" ht="15" customHeight="1">
      <c r="A539" t="inlineStr">
        <is>
          <t>A 30588-2023</t>
        </is>
      </c>
      <c r="B539" s="1" t="n">
        <v>45112.33599537037</v>
      </c>
      <c r="C539" s="1" t="n">
        <v>45923</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17-2025</t>
        </is>
      </c>
      <c r="B540" s="1" t="n">
        <v>45658.78774305555</v>
      </c>
      <c r="C540" s="1" t="n">
        <v>45923</v>
      </c>
      <c r="D540" t="inlineStr">
        <is>
          <t>KALMAR LÄN</t>
        </is>
      </c>
      <c r="E540" t="inlineStr">
        <is>
          <t>VIMMERBY</t>
        </is>
      </c>
      <c r="G540" t="n">
        <v>4.4</v>
      </c>
      <c r="H540" t="n">
        <v>0</v>
      </c>
      <c r="I540" t="n">
        <v>0</v>
      </c>
      <c r="J540" t="n">
        <v>0</v>
      </c>
      <c r="K540" t="n">
        <v>0</v>
      </c>
      <c r="L540" t="n">
        <v>0</v>
      </c>
      <c r="M540" t="n">
        <v>0</v>
      </c>
      <c r="N540" t="n">
        <v>0</v>
      </c>
      <c r="O540" t="n">
        <v>0</v>
      </c>
      <c r="P540" t="n">
        <v>0</v>
      </c>
      <c r="Q540" t="n">
        <v>0</v>
      </c>
      <c r="R540" s="2" t="inlineStr"/>
    </row>
    <row r="541" ht="15" customHeight="1">
      <c r="A541" t="inlineStr">
        <is>
          <t>A 57555-2024</t>
        </is>
      </c>
      <c r="B541" s="1" t="n">
        <v>45630.45069444444</v>
      </c>
      <c r="C541" s="1" t="n">
        <v>45923</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50764-2020</t>
        </is>
      </c>
      <c r="B542" s="1" t="n">
        <v>44111</v>
      </c>
      <c r="C542" s="1" t="n">
        <v>45923</v>
      </c>
      <c r="D542" t="inlineStr">
        <is>
          <t>KALMAR LÄN</t>
        </is>
      </c>
      <c r="E542" t="inlineStr">
        <is>
          <t>VIMMERBY</t>
        </is>
      </c>
      <c r="G542" t="n">
        <v>2.3</v>
      </c>
      <c r="H542" t="n">
        <v>0</v>
      </c>
      <c r="I542" t="n">
        <v>0</v>
      </c>
      <c r="J542" t="n">
        <v>0</v>
      </c>
      <c r="K542" t="n">
        <v>0</v>
      </c>
      <c r="L542" t="n">
        <v>0</v>
      </c>
      <c r="M542" t="n">
        <v>0</v>
      </c>
      <c r="N542" t="n">
        <v>0</v>
      </c>
      <c r="O542" t="n">
        <v>0</v>
      </c>
      <c r="P542" t="n">
        <v>0</v>
      </c>
      <c r="Q542" t="n">
        <v>0</v>
      </c>
      <c r="R542" s="2" t="inlineStr"/>
    </row>
    <row r="543" ht="15" customHeight="1">
      <c r="A543" t="inlineStr">
        <is>
          <t>A 45528-2021</t>
        </is>
      </c>
      <c r="B543" s="1" t="n">
        <v>44440.60415509259</v>
      </c>
      <c r="C543" s="1" t="n">
        <v>45923</v>
      </c>
      <c r="D543" t="inlineStr">
        <is>
          <t>KALMAR LÄN</t>
        </is>
      </c>
      <c r="E543" t="inlineStr">
        <is>
          <t>VIMMERBY</t>
        </is>
      </c>
      <c r="G543" t="n">
        <v>2.2</v>
      </c>
      <c r="H543" t="n">
        <v>0</v>
      </c>
      <c r="I543" t="n">
        <v>0</v>
      </c>
      <c r="J543" t="n">
        <v>0</v>
      </c>
      <c r="K543" t="n">
        <v>0</v>
      </c>
      <c r="L543" t="n">
        <v>0</v>
      </c>
      <c r="M543" t="n">
        <v>0</v>
      </c>
      <c r="N543" t="n">
        <v>0</v>
      </c>
      <c r="O543" t="n">
        <v>0</v>
      </c>
      <c r="P543" t="n">
        <v>0</v>
      </c>
      <c r="Q543" t="n">
        <v>0</v>
      </c>
      <c r="R543" s="2" t="inlineStr"/>
    </row>
    <row r="544" ht="15" customHeight="1">
      <c r="A544" t="inlineStr">
        <is>
          <t>A 18411-2021</t>
        </is>
      </c>
      <c r="B544" s="1" t="n">
        <v>44302</v>
      </c>
      <c r="C544" s="1" t="n">
        <v>45923</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52279-2023</t>
        </is>
      </c>
      <c r="B545" s="1" t="n">
        <v>45224</v>
      </c>
      <c r="C545" s="1" t="n">
        <v>45923</v>
      </c>
      <c r="D545" t="inlineStr">
        <is>
          <t>KALMAR LÄN</t>
        </is>
      </c>
      <c r="E545" t="inlineStr">
        <is>
          <t>VIMMERBY</t>
        </is>
      </c>
      <c r="G545" t="n">
        <v>1.8</v>
      </c>
      <c r="H545" t="n">
        <v>0</v>
      </c>
      <c r="I545" t="n">
        <v>0</v>
      </c>
      <c r="J545" t="n">
        <v>0</v>
      </c>
      <c r="K545" t="n">
        <v>0</v>
      </c>
      <c r="L545" t="n">
        <v>0</v>
      </c>
      <c r="M545" t="n">
        <v>0</v>
      </c>
      <c r="N545" t="n">
        <v>0</v>
      </c>
      <c r="O545" t="n">
        <v>0</v>
      </c>
      <c r="P545" t="n">
        <v>0</v>
      </c>
      <c r="Q545" t="n">
        <v>0</v>
      </c>
      <c r="R545" s="2" t="inlineStr"/>
    </row>
    <row r="546" ht="15" customHeight="1">
      <c r="A546" t="inlineStr">
        <is>
          <t>A 52324-2023</t>
        </is>
      </c>
      <c r="B546" s="1" t="n">
        <v>45224.64659722222</v>
      </c>
      <c r="C546" s="1" t="n">
        <v>45923</v>
      </c>
      <c r="D546" t="inlineStr">
        <is>
          <t>KALMAR LÄN</t>
        </is>
      </c>
      <c r="E546" t="inlineStr">
        <is>
          <t>VIMMERBY</t>
        </is>
      </c>
      <c r="F546" t="inlineStr">
        <is>
          <t>Sveaskog</t>
        </is>
      </c>
      <c r="G546" t="n">
        <v>2.9</v>
      </c>
      <c r="H546" t="n">
        <v>0</v>
      </c>
      <c r="I546" t="n">
        <v>0</v>
      </c>
      <c r="J546" t="n">
        <v>0</v>
      </c>
      <c r="K546" t="n">
        <v>0</v>
      </c>
      <c r="L546" t="n">
        <v>0</v>
      </c>
      <c r="M546" t="n">
        <v>0</v>
      </c>
      <c r="N546" t="n">
        <v>0</v>
      </c>
      <c r="O546" t="n">
        <v>0</v>
      </c>
      <c r="P546" t="n">
        <v>0</v>
      </c>
      <c r="Q546" t="n">
        <v>0</v>
      </c>
      <c r="R546" s="2" t="inlineStr"/>
    </row>
    <row r="547" ht="15" customHeight="1">
      <c r="A547" t="inlineStr">
        <is>
          <t>A 16516-2023</t>
        </is>
      </c>
      <c r="B547" s="1" t="n">
        <v>45029</v>
      </c>
      <c r="C547" s="1" t="n">
        <v>45923</v>
      </c>
      <c r="D547" t="inlineStr">
        <is>
          <t>KALMAR LÄN</t>
        </is>
      </c>
      <c r="E547" t="inlineStr">
        <is>
          <t>VIMMERBY</t>
        </is>
      </c>
      <c r="G547" t="n">
        <v>4.3</v>
      </c>
      <c r="H547" t="n">
        <v>0</v>
      </c>
      <c r="I547" t="n">
        <v>0</v>
      </c>
      <c r="J547" t="n">
        <v>0</v>
      </c>
      <c r="K547" t="n">
        <v>0</v>
      </c>
      <c r="L547" t="n">
        <v>0</v>
      </c>
      <c r="M547" t="n">
        <v>0</v>
      </c>
      <c r="N547" t="n">
        <v>0</v>
      </c>
      <c r="O547" t="n">
        <v>0</v>
      </c>
      <c r="P547" t="n">
        <v>0</v>
      </c>
      <c r="Q547" t="n">
        <v>0</v>
      </c>
      <c r="R547" s="2" t="inlineStr"/>
    </row>
    <row r="548" ht="15" customHeight="1">
      <c r="A548" t="inlineStr">
        <is>
          <t>A 2510-2023</t>
        </is>
      </c>
      <c r="B548" s="1" t="n">
        <v>44943.57309027778</v>
      </c>
      <c r="C548" s="1" t="n">
        <v>45923</v>
      </c>
      <c r="D548" t="inlineStr">
        <is>
          <t>KALMAR LÄN</t>
        </is>
      </c>
      <c r="E548" t="inlineStr">
        <is>
          <t>VIMMERBY</t>
        </is>
      </c>
      <c r="G548" t="n">
        <v>8.6</v>
      </c>
      <c r="H548" t="n">
        <v>0</v>
      </c>
      <c r="I548" t="n">
        <v>0</v>
      </c>
      <c r="J548" t="n">
        <v>0</v>
      </c>
      <c r="K548" t="n">
        <v>0</v>
      </c>
      <c r="L548" t="n">
        <v>0</v>
      </c>
      <c r="M548" t="n">
        <v>0</v>
      </c>
      <c r="N548" t="n">
        <v>0</v>
      </c>
      <c r="O548" t="n">
        <v>0</v>
      </c>
      <c r="P548" t="n">
        <v>0</v>
      </c>
      <c r="Q548" t="n">
        <v>0</v>
      </c>
      <c r="R548" s="2" t="inlineStr"/>
    </row>
    <row r="549" ht="15" customHeight="1">
      <c r="A549" t="inlineStr">
        <is>
          <t>A 32639-2023</t>
        </is>
      </c>
      <c r="B549" s="1" t="n">
        <v>45121.5965162037</v>
      </c>
      <c r="C549" s="1" t="n">
        <v>45923</v>
      </c>
      <c r="D549" t="inlineStr">
        <is>
          <t>KALMAR LÄN</t>
        </is>
      </c>
      <c r="E549" t="inlineStr">
        <is>
          <t>VIMMERBY</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32642-2023</t>
        </is>
      </c>
      <c r="B550" s="1" t="n">
        <v>45121.59954861111</v>
      </c>
      <c r="C550" s="1" t="n">
        <v>45923</v>
      </c>
      <c r="D550" t="inlineStr">
        <is>
          <t>KALMAR LÄN</t>
        </is>
      </c>
      <c r="E550" t="inlineStr">
        <is>
          <t>VIMMERBY</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32651-2023</t>
        </is>
      </c>
      <c r="B551" s="1" t="n">
        <v>45121.6096875</v>
      </c>
      <c r="C551" s="1" t="n">
        <v>45923</v>
      </c>
      <c r="D551" t="inlineStr">
        <is>
          <t>KALMAR LÄN</t>
        </is>
      </c>
      <c r="E551" t="inlineStr">
        <is>
          <t>VIMMERBY</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48373-2021</t>
        </is>
      </c>
      <c r="B552" s="1" t="n">
        <v>44451</v>
      </c>
      <c r="C552" s="1" t="n">
        <v>45923</v>
      </c>
      <c r="D552" t="inlineStr">
        <is>
          <t>KALMAR LÄN</t>
        </is>
      </c>
      <c r="E552" t="inlineStr">
        <is>
          <t>VIMMERBY</t>
        </is>
      </c>
      <c r="G552" t="n">
        <v>2.2</v>
      </c>
      <c r="H552" t="n">
        <v>0</v>
      </c>
      <c r="I552" t="n">
        <v>0</v>
      </c>
      <c r="J552" t="n">
        <v>0</v>
      </c>
      <c r="K552" t="n">
        <v>0</v>
      </c>
      <c r="L552" t="n">
        <v>0</v>
      </c>
      <c r="M552" t="n">
        <v>0</v>
      </c>
      <c r="N552" t="n">
        <v>0</v>
      </c>
      <c r="O552" t="n">
        <v>0</v>
      </c>
      <c r="P552" t="n">
        <v>0</v>
      </c>
      <c r="Q552" t="n">
        <v>0</v>
      </c>
      <c r="R552" s="2" t="inlineStr"/>
    </row>
    <row r="553" ht="15" customHeight="1">
      <c r="A553" t="inlineStr">
        <is>
          <t>A 7485-2024</t>
        </is>
      </c>
      <c r="B553" s="1" t="n">
        <v>45346.67184027778</v>
      </c>
      <c r="C553" s="1" t="n">
        <v>45923</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6574-2023</t>
        </is>
      </c>
      <c r="B554" s="1" t="n">
        <v>44966</v>
      </c>
      <c r="C554" s="1" t="n">
        <v>45923</v>
      </c>
      <c r="D554" t="inlineStr">
        <is>
          <t>KALMAR LÄN</t>
        </is>
      </c>
      <c r="E554" t="inlineStr">
        <is>
          <t>VIMMERBY</t>
        </is>
      </c>
      <c r="G554" t="n">
        <v>2.5</v>
      </c>
      <c r="H554" t="n">
        <v>0</v>
      </c>
      <c r="I554" t="n">
        <v>0</v>
      </c>
      <c r="J554" t="n">
        <v>0</v>
      </c>
      <c r="K554" t="n">
        <v>0</v>
      </c>
      <c r="L554" t="n">
        <v>0</v>
      </c>
      <c r="M554" t="n">
        <v>0</v>
      </c>
      <c r="N554" t="n">
        <v>0</v>
      </c>
      <c r="O554" t="n">
        <v>0</v>
      </c>
      <c r="P554" t="n">
        <v>0</v>
      </c>
      <c r="Q554" t="n">
        <v>0</v>
      </c>
      <c r="R554" s="2" t="inlineStr"/>
    </row>
    <row r="555" ht="15" customHeight="1">
      <c r="A555" t="inlineStr">
        <is>
          <t>A 20054-2023</t>
        </is>
      </c>
      <c r="B555" s="1" t="n">
        <v>45054.6750462963</v>
      </c>
      <c r="C555" s="1" t="n">
        <v>45923</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58750-2022</t>
        </is>
      </c>
      <c r="B556" s="1" t="n">
        <v>44903.33363425926</v>
      </c>
      <c r="C556" s="1" t="n">
        <v>45923</v>
      </c>
      <c r="D556" t="inlineStr">
        <is>
          <t>KALMAR LÄN</t>
        </is>
      </c>
      <c r="E556" t="inlineStr">
        <is>
          <t>VIMMERBY</t>
        </is>
      </c>
      <c r="G556" t="n">
        <v>3.3</v>
      </c>
      <c r="H556" t="n">
        <v>0</v>
      </c>
      <c r="I556" t="n">
        <v>0</v>
      </c>
      <c r="J556" t="n">
        <v>0</v>
      </c>
      <c r="K556" t="n">
        <v>0</v>
      </c>
      <c r="L556" t="n">
        <v>0</v>
      </c>
      <c r="M556" t="n">
        <v>0</v>
      </c>
      <c r="N556" t="n">
        <v>0</v>
      </c>
      <c r="O556" t="n">
        <v>0</v>
      </c>
      <c r="P556" t="n">
        <v>0</v>
      </c>
      <c r="Q556" t="n">
        <v>0</v>
      </c>
      <c r="R556" s="2" t="inlineStr"/>
    </row>
    <row r="557" ht="15" customHeight="1">
      <c r="A557" t="inlineStr">
        <is>
          <t>A 2260-2022</t>
        </is>
      </c>
      <c r="B557" s="1" t="n">
        <v>44578.62943287037</v>
      </c>
      <c r="C557" s="1" t="n">
        <v>45923</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40730-2024</t>
        </is>
      </c>
      <c r="B558" s="1" t="n">
        <v>45558.44914351852</v>
      </c>
      <c r="C558" s="1" t="n">
        <v>45923</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9643-2023</t>
        </is>
      </c>
      <c r="B559" s="1" t="n">
        <v>44984</v>
      </c>
      <c r="C559" s="1" t="n">
        <v>45923</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50860-2022</t>
        </is>
      </c>
      <c r="B560" s="1" t="n">
        <v>44867</v>
      </c>
      <c r="C560" s="1" t="n">
        <v>45923</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53483-2022</t>
        </is>
      </c>
      <c r="B561" s="1" t="n">
        <v>44879.55940972222</v>
      </c>
      <c r="C561" s="1" t="n">
        <v>45923</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56213-2024</t>
        </is>
      </c>
      <c r="B562" s="1" t="n">
        <v>45624.60141203704</v>
      </c>
      <c r="C562" s="1" t="n">
        <v>45923</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20126-2024</t>
        </is>
      </c>
      <c r="B563" s="1" t="n">
        <v>45434.55471064815</v>
      </c>
      <c r="C563" s="1" t="n">
        <v>45923</v>
      </c>
      <c r="D563" t="inlineStr">
        <is>
          <t>KALMAR LÄN</t>
        </is>
      </c>
      <c r="E563" t="inlineStr">
        <is>
          <t>VIMMERBY</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19865-2021</t>
        </is>
      </c>
      <c r="B564" s="1" t="n">
        <v>44312</v>
      </c>
      <c r="C564" s="1" t="n">
        <v>45923</v>
      </c>
      <c r="D564" t="inlineStr">
        <is>
          <t>KALMAR LÄN</t>
        </is>
      </c>
      <c r="E564" t="inlineStr">
        <is>
          <t>VIMMERBY</t>
        </is>
      </c>
      <c r="G564" t="n">
        <v>8.6</v>
      </c>
      <c r="H564" t="n">
        <v>0</v>
      </c>
      <c r="I564" t="n">
        <v>0</v>
      </c>
      <c r="J564" t="n">
        <v>0</v>
      </c>
      <c r="K564" t="n">
        <v>0</v>
      </c>
      <c r="L564" t="n">
        <v>0</v>
      </c>
      <c r="M564" t="n">
        <v>0</v>
      </c>
      <c r="N564" t="n">
        <v>0</v>
      </c>
      <c r="O564" t="n">
        <v>0</v>
      </c>
      <c r="P564" t="n">
        <v>0</v>
      </c>
      <c r="Q564" t="n">
        <v>0</v>
      </c>
      <c r="R564" s="2" t="inlineStr"/>
    </row>
    <row r="565" ht="15" customHeight="1">
      <c r="A565" t="inlineStr">
        <is>
          <t>A 58962-2022</t>
        </is>
      </c>
      <c r="B565" s="1" t="n">
        <v>44903</v>
      </c>
      <c r="C565" s="1" t="n">
        <v>45923</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9694-2023</t>
        </is>
      </c>
      <c r="B566" s="1" t="n">
        <v>44984.45895833334</v>
      </c>
      <c r="C566" s="1" t="n">
        <v>45923</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9710-2023</t>
        </is>
      </c>
      <c r="B567" s="1" t="n">
        <v>44984</v>
      </c>
      <c r="C567" s="1" t="n">
        <v>45923</v>
      </c>
      <c r="D567" t="inlineStr">
        <is>
          <t>KALMAR LÄN</t>
        </is>
      </c>
      <c r="E567" t="inlineStr">
        <is>
          <t>VIMMERBY</t>
        </is>
      </c>
      <c r="G567" t="n">
        <v>3.7</v>
      </c>
      <c r="H567" t="n">
        <v>0</v>
      </c>
      <c r="I567" t="n">
        <v>0</v>
      </c>
      <c r="J567" t="n">
        <v>0</v>
      </c>
      <c r="K567" t="n">
        <v>0</v>
      </c>
      <c r="L567" t="n">
        <v>0</v>
      </c>
      <c r="M567" t="n">
        <v>0</v>
      </c>
      <c r="N567" t="n">
        <v>0</v>
      </c>
      <c r="O567" t="n">
        <v>0</v>
      </c>
      <c r="P567" t="n">
        <v>0</v>
      </c>
      <c r="Q567" t="n">
        <v>0</v>
      </c>
      <c r="R567" s="2" t="inlineStr"/>
    </row>
    <row r="568" ht="15" customHeight="1">
      <c r="A568" t="inlineStr">
        <is>
          <t>A 6216-2025</t>
        </is>
      </c>
      <c r="B568" s="1" t="n">
        <v>45698.52806712963</v>
      </c>
      <c r="C568" s="1" t="n">
        <v>45923</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58967-2022</t>
        </is>
      </c>
      <c r="B569" s="1" t="n">
        <v>44896</v>
      </c>
      <c r="C569" s="1" t="n">
        <v>45923</v>
      </c>
      <c r="D569" t="inlineStr">
        <is>
          <t>KALMAR LÄN</t>
        </is>
      </c>
      <c r="E569" t="inlineStr">
        <is>
          <t>VIMMERBY</t>
        </is>
      </c>
      <c r="G569" t="n">
        <v>5</v>
      </c>
      <c r="H569" t="n">
        <v>0</v>
      </c>
      <c r="I569" t="n">
        <v>0</v>
      </c>
      <c r="J569" t="n">
        <v>0</v>
      </c>
      <c r="K569" t="n">
        <v>0</v>
      </c>
      <c r="L569" t="n">
        <v>0</v>
      </c>
      <c r="M569" t="n">
        <v>0</v>
      </c>
      <c r="N569" t="n">
        <v>0</v>
      </c>
      <c r="O569" t="n">
        <v>0</v>
      </c>
      <c r="P569" t="n">
        <v>0</v>
      </c>
      <c r="Q569" t="n">
        <v>0</v>
      </c>
      <c r="R569" s="2" t="inlineStr"/>
    </row>
    <row r="570" ht="15" customHeight="1">
      <c r="A570" t="inlineStr">
        <is>
          <t>A 57682-2022</t>
        </is>
      </c>
      <c r="B570" s="1" t="n">
        <v>44890</v>
      </c>
      <c r="C570" s="1" t="n">
        <v>45923</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4076-2022</t>
        </is>
      </c>
      <c r="B571" s="1" t="n">
        <v>44588.37998842593</v>
      </c>
      <c r="C571" s="1" t="n">
        <v>45923</v>
      </c>
      <c r="D571" t="inlineStr">
        <is>
          <t>KALMAR LÄN</t>
        </is>
      </c>
      <c r="E571" t="inlineStr">
        <is>
          <t>VIMMERBY</t>
        </is>
      </c>
      <c r="G571" t="n">
        <v>3</v>
      </c>
      <c r="H571" t="n">
        <v>0</v>
      </c>
      <c r="I571" t="n">
        <v>0</v>
      </c>
      <c r="J571" t="n">
        <v>0</v>
      </c>
      <c r="K571" t="n">
        <v>0</v>
      </c>
      <c r="L571" t="n">
        <v>0</v>
      </c>
      <c r="M571" t="n">
        <v>0</v>
      </c>
      <c r="N571" t="n">
        <v>0</v>
      </c>
      <c r="O571" t="n">
        <v>0</v>
      </c>
      <c r="P571" t="n">
        <v>0</v>
      </c>
      <c r="Q571" t="n">
        <v>0</v>
      </c>
      <c r="R571" s="2" t="inlineStr"/>
    </row>
    <row r="572" ht="15" customHeight="1">
      <c r="A572" t="inlineStr">
        <is>
          <t>A 4122-2022</t>
        </is>
      </c>
      <c r="B572" s="1" t="n">
        <v>44588</v>
      </c>
      <c r="C572" s="1" t="n">
        <v>45923</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65961-2020</t>
        </is>
      </c>
      <c r="B573" s="1" t="n">
        <v>44175.39748842592</v>
      </c>
      <c r="C573" s="1" t="n">
        <v>45923</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7944-2024</t>
        </is>
      </c>
      <c r="B574" s="1" t="n">
        <v>45350.53306712963</v>
      </c>
      <c r="C574" s="1" t="n">
        <v>45923</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598-2025</t>
        </is>
      </c>
      <c r="B575" s="1" t="n">
        <v>45660</v>
      </c>
      <c r="C575" s="1" t="n">
        <v>45923</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9624-2024</t>
        </is>
      </c>
      <c r="B576" s="1" t="n">
        <v>45361.90282407407</v>
      </c>
      <c r="C576" s="1" t="n">
        <v>45923</v>
      </c>
      <c r="D576" t="inlineStr">
        <is>
          <t>KALMAR LÄN</t>
        </is>
      </c>
      <c r="E576" t="inlineStr">
        <is>
          <t>VIMMERBY</t>
        </is>
      </c>
      <c r="G576" t="n">
        <v>3.8</v>
      </c>
      <c r="H576" t="n">
        <v>0</v>
      </c>
      <c r="I576" t="n">
        <v>0</v>
      </c>
      <c r="J576" t="n">
        <v>0</v>
      </c>
      <c r="K576" t="n">
        <v>0</v>
      </c>
      <c r="L576" t="n">
        <v>0</v>
      </c>
      <c r="M576" t="n">
        <v>0</v>
      </c>
      <c r="N576" t="n">
        <v>0</v>
      </c>
      <c r="O576" t="n">
        <v>0</v>
      </c>
      <c r="P576" t="n">
        <v>0</v>
      </c>
      <c r="Q576" t="n">
        <v>0</v>
      </c>
      <c r="R576" s="2" t="inlineStr"/>
    </row>
    <row r="577" ht="15" customHeight="1">
      <c r="A577" t="inlineStr">
        <is>
          <t>A 52327-2023</t>
        </is>
      </c>
      <c r="B577" s="1" t="n">
        <v>45224.6515162037</v>
      </c>
      <c r="C577" s="1" t="n">
        <v>45923</v>
      </c>
      <c r="D577" t="inlineStr">
        <is>
          <t>KALMAR LÄN</t>
        </is>
      </c>
      <c r="E577" t="inlineStr">
        <is>
          <t>VIMMERBY</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10674-2021</t>
        </is>
      </c>
      <c r="B578" s="1" t="n">
        <v>44258</v>
      </c>
      <c r="C578" s="1" t="n">
        <v>45923</v>
      </c>
      <c r="D578" t="inlineStr">
        <is>
          <t>KALMAR LÄN</t>
        </is>
      </c>
      <c r="E578" t="inlineStr">
        <is>
          <t>VIMMERBY</t>
        </is>
      </c>
      <c r="G578" t="n">
        <v>8.4</v>
      </c>
      <c r="H578" t="n">
        <v>0</v>
      </c>
      <c r="I578" t="n">
        <v>0</v>
      </c>
      <c r="J578" t="n">
        <v>0</v>
      </c>
      <c r="K578" t="n">
        <v>0</v>
      </c>
      <c r="L578" t="n">
        <v>0</v>
      </c>
      <c r="M578" t="n">
        <v>0</v>
      </c>
      <c r="N578" t="n">
        <v>0</v>
      </c>
      <c r="O578" t="n">
        <v>0</v>
      </c>
      <c r="P578" t="n">
        <v>0</v>
      </c>
      <c r="Q578" t="n">
        <v>0</v>
      </c>
      <c r="R578" s="2" t="inlineStr"/>
    </row>
    <row r="579" ht="15" customHeight="1">
      <c r="A579" t="inlineStr">
        <is>
          <t>A 10807-2024</t>
        </is>
      </c>
      <c r="B579" s="1" t="n">
        <v>45369.62780092593</v>
      </c>
      <c r="C579" s="1" t="n">
        <v>45923</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29616-2022</t>
        </is>
      </c>
      <c r="B580" s="1" t="n">
        <v>44754</v>
      </c>
      <c r="C580" s="1" t="n">
        <v>45923</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40260-2024</t>
        </is>
      </c>
      <c r="B581" s="1" t="n">
        <v>45554.63225694445</v>
      </c>
      <c r="C581" s="1" t="n">
        <v>45923</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29348-2023</t>
        </is>
      </c>
      <c r="B582" s="1" t="n">
        <v>45106.25025462963</v>
      </c>
      <c r="C582" s="1" t="n">
        <v>45923</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10787-2025</t>
        </is>
      </c>
      <c r="B583" s="1" t="n">
        <v>45722.48915509259</v>
      </c>
      <c r="C583" s="1" t="n">
        <v>45923</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58577-2024</t>
        </is>
      </c>
      <c r="B584" s="1" t="n">
        <v>45635.4874537037</v>
      </c>
      <c r="C584" s="1" t="n">
        <v>45923</v>
      </c>
      <c r="D584" t="inlineStr">
        <is>
          <t>KALMAR LÄN</t>
        </is>
      </c>
      <c r="E584" t="inlineStr">
        <is>
          <t>VIMMERBY</t>
        </is>
      </c>
      <c r="G584" t="n">
        <v>1.1</v>
      </c>
      <c r="H584" t="n">
        <v>0</v>
      </c>
      <c r="I584" t="n">
        <v>0</v>
      </c>
      <c r="J584" t="n">
        <v>0</v>
      </c>
      <c r="K584" t="n">
        <v>0</v>
      </c>
      <c r="L584" t="n">
        <v>0</v>
      </c>
      <c r="M584" t="n">
        <v>0</v>
      </c>
      <c r="N584" t="n">
        <v>0</v>
      </c>
      <c r="O584" t="n">
        <v>0</v>
      </c>
      <c r="P584" t="n">
        <v>0</v>
      </c>
      <c r="Q584" t="n">
        <v>0</v>
      </c>
      <c r="R584" s="2" t="inlineStr"/>
    </row>
    <row r="585" ht="15" customHeight="1">
      <c r="A585" t="inlineStr">
        <is>
          <t>A 28403-2023</t>
        </is>
      </c>
      <c r="B585" s="1" t="n">
        <v>45100.85270833333</v>
      </c>
      <c r="C585" s="1" t="n">
        <v>45923</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38198-2024</t>
        </is>
      </c>
      <c r="B586" s="1" t="n">
        <v>45545.49508101852</v>
      </c>
      <c r="C586" s="1" t="n">
        <v>45923</v>
      </c>
      <c r="D586" t="inlineStr">
        <is>
          <t>KALMAR LÄN</t>
        </is>
      </c>
      <c r="E586" t="inlineStr">
        <is>
          <t>VIMMERBY</t>
        </is>
      </c>
      <c r="G586" t="n">
        <v>7.9</v>
      </c>
      <c r="H586" t="n">
        <v>0</v>
      </c>
      <c r="I586" t="n">
        <v>0</v>
      </c>
      <c r="J586" t="n">
        <v>0</v>
      </c>
      <c r="K586" t="n">
        <v>0</v>
      </c>
      <c r="L586" t="n">
        <v>0</v>
      </c>
      <c r="M586" t="n">
        <v>0</v>
      </c>
      <c r="N586" t="n">
        <v>0</v>
      </c>
      <c r="O586" t="n">
        <v>0</v>
      </c>
      <c r="P586" t="n">
        <v>0</v>
      </c>
      <c r="Q586" t="n">
        <v>0</v>
      </c>
      <c r="R586" s="2" t="inlineStr"/>
    </row>
    <row r="587" ht="15" customHeight="1">
      <c r="A587" t="inlineStr">
        <is>
          <t>A 43617-2024</t>
        </is>
      </c>
      <c r="B587" s="1" t="n">
        <v>45569.47494212963</v>
      </c>
      <c r="C587" s="1" t="n">
        <v>45923</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17511-2024</t>
        </is>
      </c>
      <c r="B588" s="1" t="n">
        <v>45415.57682870371</v>
      </c>
      <c r="C588" s="1" t="n">
        <v>45923</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66022-2021</t>
        </is>
      </c>
      <c r="B589" s="1" t="n">
        <v>44517</v>
      </c>
      <c r="C589" s="1" t="n">
        <v>45923</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29973-2023</t>
        </is>
      </c>
      <c r="B590" s="1" t="n">
        <v>45108.703125</v>
      </c>
      <c r="C590" s="1" t="n">
        <v>45923</v>
      </c>
      <c r="D590" t="inlineStr">
        <is>
          <t>KALMAR LÄN</t>
        </is>
      </c>
      <c r="E590" t="inlineStr">
        <is>
          <t>VIMMERBY</t>
        </is>
      </c>
      <c r="G590" t="n">
        <v>4</v>
      </c>
      <c r="H590" t="n">
        <v>0</v>
      </c>
      <c r="I590" t="n">
        <v>0</v>
      </c>
      <c r="J590" t="n">
        <v>0</v>
      </c>
      <c r="K590" t="n">
        <v>0</v>
      </c>
      <c r="L590" t="n">
        <v>0</v>
      </c>
      <c r="M590" t="n">
        <v>0</v>
      </c>
      <c r="N590" t="n">
        <v>0</v>
      </c>
      <c r="O590" t="n">
        <v>0</v>
      </c>
      <c r="P590" t="n">
        <v>0</v>
      </c>
      <c r="Q590" t="n">
        <v>0</v>
      </c>
      <c r="R590" s="2" t="inlineStr"/>
    </row>
    <row r="591" ht="15" customHeight="1">
      <c r="A591" t="inlineStr">
        <is>
          <t>A 22264-2023</t>
        </is>
      </c>
      <c r="B591" s="1" t="n">
        <v>45070.3665625</v>
      </c>
      <c r="C591" s="1" t="n">
        <v>45923</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22266-2023</t>
        </is>
      </c>
      <c r="B592" s="1" t="n">
        <v>45070</v>
      </c>
      <c r="C592" s="1" t="n">
        <v>45923</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30070-2023</t>
        </is>
      </c>
      <c r="B593" s="1" t="n">
        <v>45110.4275</v>
      </c>
      <c r="C593" s="1" t="n">
        <v>45923</v>
      </c>
      <c r="D593" t="inlineStr">
        <is>
          <t>KALMAR LÄN</t>
        </is>
      </c>
      <c r="E593" t="inlineStr">
        <is>
          <t>VIMMERBY</t>
        </is>
      </c>
      <c r="G593" t="n">
        <v>1.6</v>
      </c>
      <c r="H593" t="n">
        <v>0</v>
      </c>
      <c r="I593" t="n">
        <v>0</v>
      </c>
      <c r="J593" t="n">
        <v>0</v>
      </c>
      <c r="K593" t="n">
        <v>0</v>
      </c>
      <c r="L593" t="n">
        <v>0</v>
      </c>
      <c r="M593" t="n">
        <v>0</v>
      </c>
      <c r="N593" t="n">
        <v>0</v>
      </c>
      <c r="O593" t="n">
        <v>0</v>
      </c>
      <c r="P593" t="n">
        <v>0</v>
      </c>
      <c r="Q593" t="n">
        <v>0</v>
      </c>
      <c r="R593" s="2" t="inlineStr"/>
    </row>
    <row r="594" ht="15" customHeight="1">
      <c r="A594" t="inlineStr">
        <is>
          <t>A 50091-2023</t>
        </is>
      </c>
      <c r="B594" s="1" t="n">
        <v>45215.60199074074</v>
      </c>
      <c r="C594" s="1" t="n">
        <v>45923</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10303-2025</t>
        </is>
      </c>
      <c r="B595" s="1" t="n">
        <v>45720.44217592593</v>
      </c>
      <c r="C595" s="1" t="n">
        <v>45923</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11027-2023</t>
        </is>
      </c>
      <c r="B596" s="1" t="n">
        <v>44991.89657407408</v>
      </c>
      <c r="C596" s="1" t="n">
        <v>45923</v>
      </c>
      <c r="D596" t="inlineStr">
        <is>
          <t>KALMAR LÄN</t>
        </is>
      </c>
      <c r="E596" t="inlineStr">
        <is>
          <t>VIMMERBY</t>
        </is>
      </c>
      <c r="G596" t="n">
        <v>0.8</v>
      </c>
      <c r="H596" t="n">
        <v>0</v>
      </c>
      <c r="I596" t="n">
        <v>0</v>
      </c>
      <c r="J596" t="n">
        <v>0</v>
      </c>
      <c r="K596" t="n">
        <v>0</v>
      </c>
      <c r="L596" t="n">
        <v>0</v>
      </c>
      <c r="M596" t="n">
        <v>0</v>
      </c>
      <c r="N596" t="n">
        <v>0</v>
      </c>
      <c r="O596" t="n">
        <v>0</v>
      </c>
      <c r="P596" t="n">
        <v>0</v>
      </c>
      <c r="Q596" t="n">
        <v>0</v>
      </c>
      <c r="R596" s="2" t="inlineStr"/>
    </row>
    <row r="597" ht="15" customHeight="1">
      <c r="A597" t="inlineStr">
        <is>
          <t>A 46078-2023</t>
        </is>
      </c>
      <c r="B597" s="1" t="n">
        <v>45196</v>
      </c>
      <c r="C597" s="1" t="n">
        <v>45923</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45923</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3494-2023</t>
        </is>
      </c>
      <c r="B599" s="1" t="n">
        <v>44949</v>
      </c>
      <c r="C599" s="1" t="n">
        <v>45923</v>
      </c>
      <c r="D599" t="inlineStr">
        <is>
          <t>KALMAR LÄN</t>
        </is>
      </c>
      <c r="E599" t="inlineStr">
        <is>
          <t>VIMMERBY</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11661-2023</t>
        </is>
      </c>
      <c r="B600" s="1" t="n">
        <v>44994.46908564815</v>
      </c>
      <c r="C600" s="1" t="n">
        <v>45923</v>
      </c>
      <c r="D600" t="inlineStr">
        <is>
          <t>KALMAR LÄN</t>
        </is>
      </c>
      <c r="E600" t="inlineStr">
        <is>
          <t>VIMMERBY</t>
        </is>
      </c>
      <c r="G600" t="n">
        <v>2.7</v>
      </c>
      <c r="H600" t="n">
        <v>0</v>
      </c>
      <c r="I600" t="n">
        <v>0</v>
      </c>
      <c r="J600" t="n">
        <v>0</v>
      </c>
      <c r="K600" t="n">
        <v>0</v>
      </c>
      <c r="L600" t="n">
        <v>0</v>
      </c>
      <c r="M600" t="n">
        <v>0</v>
      </c>
      <c r="N600" t="n">
        <v>0</v>
      </c>
      <c r="O600" t="n">
        <v>0</v>
      </c>
      <c r="P600" t="n">
        <v>0</v>
      </c>
      <c r="Q600" t="n">
        <v>0</v>
      </c>
      <c r="R600" s="2" t="inlineStr"/>
    </row>
    <row r="601" ht="15" customHeight="1">
      <c r="A601" t="inlineStr">
        <is>
          <t>A 36155-2023</t>
        </is>
      </c>
      <c r="B601" s="1" t="n">
        <v>45149.60917824074</v>
      </c>
      <c r="C601" s="1" t="n">
        <v>45923</v>
      </c>
      <c r="D601" t="inlineStr">
        <is>
          <t>KALMAR LÄN</t>
        </is>
      </c>
      <c r="E601" t="inlineStr">
        <is>
          <t>VIMMERBY</t>
        </is>
      </c>
      <c r="G601" t="n">
        <v>5</v>
      </c>
      <c r="H601" t="n">
        <v>0</v>
      </c>
      <c r="I601" t="n">
        <v>0</v>
      </c>
      <c r="J601" t="n">
        <v>0</v>
      </c>
      <c r="K601" t="n">
        <v>0</v>
      </c>
      <c r="L601" t="n">
        <v>0</v>
      </c>
      <c r="M601" t="n">
        <v>0</v>
      </c>
      <c r="N601" t="n">
        <v>0</v>
      </c>
      <c r="O601" t="n">
        <v>0</v>
      </c>
      <c r="P601" t="n">
        <v>0</v>
      </c>
      <c r="Q601" t="n">
        <v>0</v>
      </c>
      <c r="R601" s="2" t="inlineStr"/>
    </row>
    <row r="602" ht="15" customHeight="1">
      <c r="A602" t="inlineStr">
        <is>
          <t>A 32633-2023</t>
        </is>
      </c>
      <c r="B602" s="1" t="n">
        <v>45121.58699074074</v>
      </c>
      <c r="C602" s="1" t="n">
        <v>45923</v>
      </c>
      <c r="D602" t="inlineStr">
        <is>
          <t>KALMAR LÄN</t>
        </is>
      </c>
      <c r="E602" t="inlineStr">
        <is>
          <t>VIMMERBY</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40147-2023</t>
        </is>
      </c>
      <c r="B603" s="1" t="n">
        <v>45169</v>
      </c>
      <c r="C603" s="1" t="n">
        <v>45923</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43601-2024</t>
        </is>
      </c>
      <c r="B604" s="1" t="n">
        <v>45569.44684027778</v>
      </c>
      <c r="C604" s="1" t="n">
        <v>45923</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63950-2023</t>
        </is>
      </c>
      <c r="B605" s="1" t="n">
        <v>45278</v>
      </c>
      <c r="C605" s="1" t="n">
        <v>45923</v>
      </c>
      <c r="D605" t="inlineStr">
        <is>
          <t>KALMAR LÄN</t>
        </is>
      </c>
      <c r="E605" t="inlineStr">
        <is>
          <t>VIMMERBY</t>
        </is>
      </c>
      <c r="F605" t="inlineStr">
        <is>
          <t>Kyrkan</t>
        </is>
      </c>
      <c r="G605" t="n">
        <v>2.7</v>
      </c>
      <c r="H605" t="n">
        <v>0</v>
      </c>
      <c r="I605" t="n">
        <v>0</v>
      </c>
      <c r="J605" t="n">
        <v>0</v>
      </c>
      <c r="K605" t="n">
        <v>0</v>
      </c>
      <c r="L605" t="n">
        <v>0</v>
      </c>
      <c r="M605" t="n">
        <v>0</v>
      </c>
      <c r="N605" t="n">
        <v>0</v>
      </c>
      <c r="O605" t="n">
        <v>0</v>
      </c>
      <c r="P605" t="n">
        <v>0</v>
      </c>
      <c r="Q605" t="n">
        <v>0</v>
      </c>
      <c r="R605" s="2" t="inlineStr"/>
    </row>
    <row r="606" ht="15" customHeight="1">
      <c r="A606" t="inlineStr">
        <is>
          <t>A 24096-2024</t>
        </is>
      </c>
      <c r="B606" s="1" t="n">
        <v>45456.59289351852</v>
      </c>
      <c r="C606" s="1" t="n">
        <v>45923</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13813-2024</t>
        </is>
      </c>
      <c r="B607" s="1" t="n">
        <v>45391.41310185185</v>
      </c>
      <c r="C607" s="1" t="n">
        <v>45923</v>
      </c>
      <c r="D607" t="inlineStr">
        <is>
          <t>KALMAR LÄN</t>
        </is>
      </c>
      <c r="E607" t="inlineStr">
        <is>
          <t>VIMMERBY</t>
        </is>
      </c>
      <c r="G607" t="n">
        <v>0.4</v>
      </c>
      <c r="H607" t="n">
        <v>0</v>
      </c>
      <c r="I607" t="n">
        <v>0</v>
      </c>
      <c r="J607" t="n">
        <v>0</v>
      </c>
      <c r="K607" t="n">
        <v>0</v>
      </c>
      <c r="L607" t="n">
        <v>0</v>
      </c>
      <c r="M607" t="n">
        <v>0</v>
      </c>
      <c r="N607" t="n">
        <v>0</v>
      </c>
      <c r="O607" t="n">
        <v>0</v>
      </c>
      <c r="P607" t="n">
        <v>0</v>
      </c>
      <c r="Q607" t="n">
        <v>0</v>
      </c>
      <c r="R607" s="2" t="inlineStr"/>
    </row>
    <row r="608" ht="15" customHeight="1">
      <c r="A608" t="inlineStr">
        <is>
          <t>A 25234-2023</t>
        </is>
      </c>
      <c r="B608" s="1" t="n">
        <v>45086.63194444445</v>
      </c>
      <c r="C608" s="1" t="n">
        <v>45923</v>
      </c>
      <c r="D608" t="inlineStr">
        <is>
          <t>KALMAR LÄN</t>
        </is>
      </c>
      <c r="E608" t="inlineStr">
        <is>
          <t>VIMMERBY</t>
        </is>
      </c>
      <c r="G608" t="n">
        <v>2.1</v>
      </c>
      <c r="H608" t="n">
        <v>0</v>
      </c>
      <c r="I608" t="n">
        <v>0</v>
      </c>
      <c r="J608" t="n">
        <v>0</v>
      </c>
      <c r="K608" t="n">
        <v>0</v>
      </c>
      <c r="L608" t="n">
        <v>0</v>
      </c>
      <c r="M608" t="n">
        <v>0</v>
      </c>
      <c r="N608" t="n">
        <v>0</v>
      </c>
      <c r="O608" t="n">
        <v>0</v>
      </c>
      <c r="P608" t="n">
        <v>0</v>
      </c>
      <c r="Q608" t="n">
        <v>0</v>
      </c>
      <c r="R608" s="2" t="inlineStr"/>
    </row>
    <row r="609" ht="15" customHeight="1">
      <c r="A609" t="inlineStr">
        <is>
          <t>A 25236-2023</t>
        </is>
      </c>
      <c r="B609" s="1" t="n">
        <v>45086.63334490741</v>
      </c>
      <c r="C609" s="1" t="n">
        <v>45923</v>
      </c>
      <c r="D609" t="inlineStr">
        <is>
          <t>KALMAR LÄN</t>
        </is>
      </c>
      <c r="E609" t="inlineStr">
        <is>
          <t>VIMMERBY</t>
        </is>
      </c>
      <c r="G609" t="n">
        <v>0.9</v>
      </c>
      <c r="H609" t="n">
        <v>0</v>
      </c>
      <c r="I609" t="n">
        <v>0</v>
      </c>
      <c r="J609" t="n">
        <v>0</v>
      </c>
      <c r="K609" t="n">
        <v>0</v>
      </c>
      <c r="L609" t="n">
        <v>0</v>
      </c>
      <c r="M609" t="n">
        <v>0</v>
      </c>
      <c r="N609" t="n">
        <v>0</v>
      </c>
      <c r="O609" t="n">
        <v>0</v>
      </c>
      <c r="P609" t="n">
        <v>0</v>
      </c>
      <c r="Q609" t="n">
        <v>0</v>
      </c>
      <c r="R609" s="2" t="inlineStr"/>
    </row>
    <row r="610" ht="15" customHeight="1">
      <c r="A610" t="inlineStr">
        <is>
          <t>A 13015-2023</t>
        </is>
      </c>
      <c r="B610" s="1" t="n">
        <v>45002</v>
      </c>
      <c r="C610" s="1" t="n">
        <v>45923</v>
      </c>
      <c r="D610" t="inlineStr">
        <is>
          <t>KALMAR LÄN</t>
        </is>
      </c>
      <c r="E610" t="inlineStr">
        <is>
          <t>VIMMERBY</t>
        </is>
      </c>
      <c r="G610" t="n">
        <v>3.2</v>
      </c>
      <c r="H610" t="n">
        <v>0</v>
      </c>
      <c r="I610" t="n">
        <v>0</v>
      </c>
      <c r="J610" t="n">
        <v>0</v>
      </c>
      <c r="K610" t="n">
        <v>0</v>
      </c>
      <c r="L610" t="n">
        <v>0</v>
      </c>
      <c r="M610" t="n">
        <v>0</v>
      </c>
      <c r="N610" t="n">
        <v>0</v>
      </c>
      <c r="O610" t="n">
        <v>0</v>
      </c>
      <c r="P610" t="n">
        <v>0</v>
      </c>
      <c r="Q610" t="n">
        <v>0</v>
      </c>
      <c r="R610" s="2" t="inlineStr"/>
    </row>
    <row r="611" ht="15" customHeight="1">
      <c r="A611" t="inlineStr">
        <is>
          <t>A 25244-2023</t>
        </is>
      </c>
      <c r="B611" s="1" t="n">
        <v>45086</v>
      </c>
      <c r="C611" s="1" t="n">
        <v>45923</v>
      </c>
      <c r="D611" t="inlineStr">
        <is>
          <t>KALMAR LÄN</t>
        </is>
      </c>
      <c r="E611" t="inlineStr">
        <is>
          <t>VIMMERBY</t>
        </is>
      </c>
      <c r="G611" t="n">
        <v>4.7</v>
      </c>
      <c r="H611" t="n">
        <v>0</v>
      </c>
      <c r="I611" t="n">
        <v>0</v>
      </c>
      <c r="J611" t="n">
        <v>0</v>
      </c>
      <c r="K611" t="n">
        <v>0</v>
      </c>
      <c r="L611" t="n">
        <v>0</v>
      </c>
      <c r="M611" t="n">
        <v>0</v>
      </c>
      <c r="N611" t="n">
        <v>0</v>
      </c>
      <c r="O611" t="n">
        <v>0</v>
      </c>
      <c r="P611" t="n">
        <v>0</v>
      </c>
      <c r="Q611" t="n">
        <v>0</v>
      </c>
      <c r="R611" s="2" t="inlineStr"/>
    </row>
    <row r="612" ht="15" customHeight="1">
      <c r="A612" t="inlineStr">
        <is>
          <t>A 41199-2023</t>
        </is>
      </c>
      <c r="B612" s="1" t="n">
        <v>45174.40454861111</v>
      </c>
      <c r="C612" s="1" t="n">
        <v>45923</v>
      </c>
      <c r="D612" t="inlineStr">
        <is>
          <t>KALMAR LÄN</t>
        </is>
      </c>
      <c r="E612" t="inlineStr">
        <is>
          <t>VIMMERBY</t>
        </is>
      </c>
      <c r="G612" t="n">
        <v>1.3</v>
      </c>
      <c r="H612" t="n">
        <v>0</v>
      </c>
      <c r="I612" t="n">
        <v>0</v>
      </c>
      <c r="J612" t="n">
        <v>0</v>
      </c>
      <c r="K612" t="n">
        <v>0</v>
      </c>
      <c r="L612" t="n">
        <v>0</v>
      </c>
      <c r="M612" t="n">
        <v>0</v>
      </c>
      <c r="N612" t="n">
        <v>0</v>
      </c>
      <c r="O612" t="n">
        <v>0</v>
      </c>
      <c r="P612" t="n">
        <v>0</v>
      </c>
      <c r="Q612" t="n">
        <v>0</v>
      </c>
      <c r="R612" s="2" t="inlineStr"/>
    </row>
    <row r="613" ht="15" customHeight="1">
      <c r="A613" t="inlineStr">
        <is>
          <t>A 36014-2024</t>
        </is>
      </c>
      <c r="B613" s="1" t="n">
        <v>45533.56108796296</v>
      </c>
      <c r="C613" s="1" t="n">
        <v>45923</v>
      </c>
      <c r="D613" t="inlineStr">
        <is>
          <t>KALMAR LÄN</t>
        </is>
      </c>
      <c r="E613" t="inlineStr">
        <is>
          <t>VIMMERBY</t>
        </is>
      </c>
      <c r="G613" t="n">
        <v>2.3</v>
      </c>
      <c r="H613" t="n">
        <v>0</v>
      </c>
      <c r="I613" t="n">
        <v>0</v>
      </c>
      <c r="J613" t="n">
        <v>0</v>
      </c>
      <c r="K613" t="n">
        <v>0</v>
      </c>
      <c r="L613" t="n">
        <v>0</v>
      </c>
      <c r="M613" t="n">
        <v>0</v>
      </c>
      <c r="N613" t="n">
        <v>0</v>
      </c>
      <c r="O613" t="n">
        <v>0</v>
      </c>
      <c r="P613" t="n">
        <v>0</v>
      </c>
      <c r="Q613" t="n">
        <v>0</v>
      </c>
      <c r="R613" s="2" t="inlineStr"/>
    </row>
    <row r="614" ht="15" customHeight="1">
      <c r="A614" t="inlineStr">
        <is>
          <t>A 36030-2024</t>
        </is>
      </c>
      <c r="B614" s="1" t="n">
        <v>45533.58302083334</v>
      </c>
      <c r="C614" s="1" t="n">
        <v>45923</v>
      </c>
      <c r="D614" t="inlineStr">
        <is>
          <t>KALMAR LÄN</t>
        </is>
      </c>
      <c r="E614" t="inlineStr">
        <is>
          <t>VIMMERBY</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23341-2022</t>
        </is>
      </c>
      <c r="B615" s="1" t="n">
        <v>44720.53898148148</v>
      </c>
      <c r="C615" s="1" t="n">
        <v>45923</v>
      </c>
      <c r="D615" t="inlineStr">
        <is>
          <t>KALMAR LÄN</t>
        </is>
      </c>
      <c r="E615" t="inlineStr">
        <is>
          <t>VIMMERBY</t>
        </is>
      </c>
      <c r="G615" t="n">
        <v>0.8</v>
      </c>
      <c r="H615" t="n">
        <v>0</v>
      </c>
      <c r="I615" t="n">
        <v>0</v>
      </c>
      <c r="J615" t="n">
        <v>0</v>
      </c>
      <c r="K615" t="n">
        <v>0</v>
      </c>
      <c r="L615" t="n">
        <v>0</v>
      </c>
      <c r="M615" t="n">
        <v>0</v>
      </c>
      <c r="N615" t="n">
        <v>0</v>
      </c>
      <c r="O615" t="n">
        <v>0</v>
      </c>
      <c r="P615" t="n">
        <v>0</v>
      </c>
      <c r="Q615" t="n">
        <v>0</v>
      </c>
      <c r="R615" s="2" t="inlineStr"/>
    </row>
    <row r="616" ht="15" customHeight="1">
      <c r="A616" t="inlineStr">
        <is>
          <t>A 8086-2021</t>
        </is>
      </c>
      <c r="B616" s="1" t="n">
        <v>44243</v>
      </c>
      <c r="C616" s="1" t="n">
        <v>45923</v>
      </c>
      <c r="D616" t="inlineStr">
        <is>
          <t>KALMAR LÄN</t>
        </is>
      </c>
      <c r="E616" t="inlineStr">
        <is>
          <t>VIMMERBY</t>
        </is>
      </c>
      <c r="G616" t="n">
        <v>4.1</v>
      </c>
      <c r="H616" t="n">
        <v>0</v>
      </c>
      <c r="I616" t="n">
        <v>0</v>
      </c>
      <c r="J616" t="n">
        <v>0</v>
      </c>
      <c r="K616" t="n">
        <v>0</v>
      </c>
      <c r="L616" t="n">
        <v>0</v>
      </c>
      <c r="M616" t="n">
        <v>0</v>
      </c>
      <c r="N616" t="n">
        <v>0</v>
      </c>
      <c r="O616" t="n">
        <v>0</v>
      </c>
      <c r="P616" t="n">
        <v>0</v>
      </c>
      <c r="Q616" t="n">
        <v>0</v>
      </c>
      <c r="R616" s="2" t="inlineStr"/>
    </row>
    <row r="617" ht="15" customHeight="1">
      <c r="A617" t="inlineStr">
        <is>
          <t>A 7627-2025</t>
        </is>
      </c>
      <c r="B617" s="1" t="n">
        <v>45705.73300925926</v>
      </c>
      <c r="C617" s="1" t="n">
        <v>45923</v>
      </c>
      <c r="D617" t="inlineStr">
        <is>
          <t>KALMAR LÄN</t>
        </is>
      </c>
      <c r="E617" t="inlineStr">
        <is>
          <t>VIMMERBY</t>
        </is>
      </c>
      <c r="G617" t="n">
        <v>2.1</v>
      </c>
      <c r="H617" t="n">
        <v>0</v>
      </c>
      <c r="I617" t="n">
        <v>0</v>
      </c>
      <c r="J617" t="n">
        <v>0</v>
      </c>
      <c r="K617" t="n">
        <v>0</v>
      </c>
      <c r="L617" t="n">
        <v>0</v>
      </c>
      <c r="M617" t="n">
        <v>0</v>
      </c>
      <c r="N617" t="n">
        <v>0</v>
      </c>
      <c r="O617" t="n">
        <v>0</v>
      </c>
      <c r="P617" t="n">
        <v>0</v>
      </c>
      <c r="Q617" t="n">
        <v>0</v>
      </c>
      <c r="R617" s="2" t="inlineStr"/>
    </row>
    <row r="618" ht="15" customHeight="1">
      <c r="A618" t="inlineStr">
        <is>
          <t>A 6321-2023</t>
        </is>
      </c>
      <c r="B618" s="1" t="n">
        <v>44965.4815162037</v>
      </c>
      <c r="C618" s="1" t="n">
        <v>45923</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71793-2021</t>
        </is>
      </c>
      <c r="B619" s="1" t="n">
        <v>44539</v>
      </c>
      <c r="C619" s="1" t="n">
        <v>45923</v>
      </c>
      <c r="D619" t="inlineStr">
        <is>
          <t>KALMAR LÄN</t>
        </is>
      </c>
      <c r="E619" t="inlineStr">
        <is>
          <t>VIMMERBY</t>
        </is>
      </c>
      <c r="G619" t="n">
        <v>2.7</v>
      </c>
      <c r="H619" t="n">
        <v>0</v>
      </c>
      <c r="I619" t="n">
        <v>0</v>
      </c>
      <c r="J619" t="n">
        <v>0</v>
      </c>
      <c r="K619" t="n">
        <v>0</v>
      </c>
      <c r="L619" t="n">
        <v>0</v>
      </c>
      <c r="M619" t="n">
        <v>0</v>
      </c>
      <c r="N619" t="n">
        <v>0</v>
      </c>
      <c r="O619" t="n">
        <v>0</v>
      </c>
      <c r="P619" t="n">
        <v>0</v>
      </c>
      <c r="Q619" t="n">
        <v>0</v>
      </c>
      <c r="R619" s="2" t="inlineStr"/>
    </row>
    <row r="620" ht="15" customHeight="1">
      <c r="A620" t="inlineStr">
        <is>
          <t>A 73938-2021</t>
        </is>
      </c>
      <c r="B620" s="1" t="n">
        <v>44553</v>
      </c>
      <c r="C620" s="1" t="n">
        <v>45923</v>
      </c>
      <c r="D620" t="inlineStr">
        <is>
          <t>KALMAR LÄN</t>
        </is>
      </c>
      <c r="E620" t="inlineStr">
        <is>
          <t>VIMMERBY</t>
        </is>
      </c>
      <c r="G620" t="n">
        <v>3.2</v>
      </c>
      <c r="H620" t="n">
        <v>0</v>
      </c>
      <c r="I620" t="n">
        <v>0</v>
      </c>
      <c r="J620" t="n">
        <v>0</v>
      </c>
      <c r="K620" t="n">
        <v>0</v>
      </c>
      <c r="L620" t="n">
        <v>0</v>
      </c>
      <c r="M620" t="n">
        <v>0</v>
      </c>
      <c r="N620" t="n">
        <v>0</v>
      </c>
      <c r="O620" t="n">
        <v>0</v>
      </c>
      <c r="P620" t="n">
        <v>0</v>
      </c>
      <c r="Q620" t="n">
        <v>0</v>
      </c>
      <c r="R620" s="2" t="inlineStr"/>
    </row>
    <row r="621" ht="15" customHeight="1">
      <c r="A621" t="inlineStr">
        <is>
          <t>A 52755-2022</t>
        </is>
      </c>
      <c r="B621" s="1" t="n">
        <v>44875.27736111111</v>
      </c>
      <c r="C621" s="1" t="n">
        <v>45923</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6069-2023</t>
        </is>
      </c>
      <c r="B622" s="1" t="n">
        <v>44964.5115162037</v>
      </c>
      <c r="C622" s="1" t="n">
        <v>45923</v>
      </c>
      <c r="D622" t="inlineStr">
        <is>
          <t>KALMAR LÄN</t>
        </is>
      </c>
      <c r="E622" t="inlineStr">
        <is>
          <t>VIMMERBY</t>
        </is>
      </c>
      <c r="G622" t="n">
        <v>1.1</v>
      </c>
      <c r="H622" t="n">
        <v>0</v>
      </c>
      <c r="I622" t="n">
        <v>0</v>
      </c>
      <c r="J622" t="n">
        <v>0</v>
      </c>
      <c r="K622" t="n">
        <v>0</v>
      </c>
      <c r="L622" t="n">
        <v>0</v>
      </c>
      <c r="M622" t="n">
        <v>0</v>
      </c>
      <c r="N622" t="n">
        <v>0</v>
      </c>
      <c r="O622" t="n">
        <v>0</v>
      </c>
      <c r="P622" t="n">
        <v>0</v>
      </c>
      <c r="Q622" t="n">
        <v>0</v>
      </c>
      <c r="R622" s="2" t="inlineStr"/>
    </row>
    <row r="623" ht="15" customHeight="1">
      <c r="A623" t="inlineStr">
        <is>
          <t>A 40823-2023</t>
        </is>
      </c>
      <c r="B623" s="1" t="n">
        <v>45171.77335648148</v>
      </c>
      <c r="C623" s="1" t="n">
        <v>45923</v>
      </c>
      <c r="D623" t="inlineStr">
        <is>
          <t>KALMAR LÄN</t>
        </is>
      </c>
      <c r="E623" t="inlineStr">
        <is>
          <t>VIMMERBY</t>
        </is>
      </c>
      <c r="G623" t="n">
        <v>2.7</v>
      </c>
      <c r="H623" t="n">
        <v>0</v>
      </c>
      <c r="I623" t="n">
        <v>0</v>
      </c>
      <c r="J623" t="n">
        <v>0</v>
      </c>
      <c r="K623" t="n">
        <v>0</v>
      </c>
      <c r="L623" t="n">
        <v>0</v>
      </c>
      <c r="M623" t="n">
        <v>0</v>
      </c>
      <c r="N623" t="n">
        <v>0</v>
      </c>
      <c r="O623" t="n">
        <v>0</v>
      </c>
      <c r="P623" t="n">
        <v>0</v>
      </c>
      <c r="Q623" t="n">
        <v>0</v>
      </c>
      <c r="R623" s="2" t="inlineStr"/>
    </row>
    <row r="624" ht="15" customHeight="1">
      <c r="A624" t="inlineStr">
        <is>
          <t>A 50995-2022</t>
        </is>
      </c>
      <c r="B624" s="1" t="n">
        <v>44867</v>
      </c>
      <c r="C624" s="1" t="n">
        <v>45923</v>
      </c>
      <c r="D624" t="inlineStr">
        <is>
          <t>KALMAR LÄN</t>
        </is>
      </c>
      <c r="E624" t="inlineStr">
        <is>
          <t>VIMMERBY</t>
        </is>
      </c>
      <c r="G624" t="n">
        <v>2.4</v>
      </c>
      <c r="H624" t="n">
        <v>0</v>
      </c>
      <c r="I624" t="n">
        <v>0</v>
      </c>
      <c r="J624" t="n">
        <v>0</v>
      </c>
      <c r="K624" t="n">
        <v>0</v>
      </c>
      <c r="L624" t="n">
        <v>0</v>
      </c>
      <c r="M624" t="n">
        <v>0</v>
      </c>
      <c r="N624" t="n">
        <v>0</v>
      </c>
      <c r="O624" t="n">
        <v>0</v>
      </c>
      <c r="P624" t="n">
        <v>0</v>
      </c>
      <c r="Q624" t="n">
        <v>0</v>
      </c>
      <c r="R624" s="2" t="inlineStr"/>
    </row>
    <row r="625" ht="15" customHeight="1">
      <c r="A625" t="inlineStr">
        <is>
          <t>A 27761-2024</t>
        </is>
      </c>
      <c r="B625" s="1" t="n">
        <v>45475.49018518518</v>
      </c>
      <c r="C625" s="1" t="n">
        <v>45923</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21028-2023</t>
        </is>
      </c>
      <c r="B626" s="1" t="n">
        <v>45061</v>
      </c>
      <c r="C626" s="1" t="n">
        <v>45923</v>
      </c>
      <c r="D626" t="inlineStr">
        <is>
          <t>KALMAR LÄN</t>
        </is>
      </c>
      <c r="E626" t="inlineStr">
        <is>
          <t>VIMMERBY</t>
        </is>
      </c>
      <c r="F626" t="inlineStr">
        <is>
          <t>Övriga Aktiebolag</t>
        </is>
      </c>
      <c r="G626" t="n">
        <v>0.7</v>
      </c>
      <c r="H626" t="n">
        <v>0</v>
      </c>
      <c r="I626" t="n">
        <v>0</v>
      </c>
      <c r="J626" t="n">
        <v>0</v>
      </c>
      <c r="K626" t="n">
        <v>0</v>
      </c>
      <c r="L626" t="n">
        <v>0</v>
      </c>
      <c r="M626" t="n">
        <v>0</v>
      </c>
      <c r="N626" t="n">
        <v>0</v>
      </c>
      <c r="O626" t="n">
        <v>0</v>
      </c>
      <c r="P626" t="n">
        <v>0</v>
      </c>
      <c r="Q626" t="n">
        <v>0</v>
      </c>
      <c r="R626" s="2" t="inlineStr"/>
    </row>
    <row r="627" ht="15" customHeight="1">
      <c r="A627" t="inlineStr">
        <is>
          <t>A 64203-2021</t>
        </is>
      </c>
      <c r="B627" s="1" t="n">
        <v>44510.60921296296</v>
      </c>
      <c r="C627" s="1" t="n">
        <v>45923</v>
      </c>
      <c r="D627" t="inlineStr">
        <is>
          <t>KALMAR LÄN</t>
        </is>
      </c>
      <c r="E627" t="inlineStr">
        <is>
          <t>VIMMERBY</t>
        </is>
      </c>
      <c r="F627" t="inlineStr">
        <is>
          <t>Övriga Aktiebolag</t>
        </is>
      </c>
      <c r="G627" t="n">
        <v>5.4</v>
      </c>
      <c r="H627" t="n">
        <v>0</v>
      </c>
      <c r="I627" t="n">
        <v>0</v>
      </c>
      <c r="J627" t="n">
        <v>0</v>
      </c>
      <c r="K627" t="n">
        <v>0</v>
      </c>
      <c r="L627" t="n">
        <v>0</v>
      </c>
      <c r="M627" t="n">
        <v>0</v>
      </c>
      <c r="N627" t="n">
        <v>0</v>
      </c>
      <c r="O627" t="n">
        <v>0</v>
      </c>
      <c r="P627" t="n">
        <v>0</v>
      </c>
      <c r="Q627" t="n">
        <v>0</v>
      </c>
      <c r="R627" s="2" t="inlineStr"/>
    </row>
    <row r="628" ht="15" customHeight="1">
      <c r="A628" t="inlineStr">
        <is>
          <t>A 27122-2023</t>
        </is>
      </c>
      <c r="B628" s="1" t="n">
        <v>45096.45247685185</v>
      </c>
      <c r="C628" s="1" t="n">
        <v>45923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30402-2023</t>
        </is>
      </c>
      <c r="B629" s="1" t="n">
        <v>45111.48395833333</v>
      </c>
      <c r="C629" s="1" t="n">
        <v>45923</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1016-2024</t>
        </is>
      </c>
      <c r="B630" s="1" t="n">
        <v>45301</v>
      </c>
      <c r="C630" s="1" t="n">
        <v>45923</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1024-2024</t>
        </is>
      </c>
      <c r="B631" s="1" t="n">
        <v>45301.68237268519</v>
      </c>
      <c r="C631" s="1" t="n">
        <v>45923</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27758-2024</t>
        </is>
      </c>
      <c r="B632" s="1" t="n">
        <v>45475.48303240741</v>
      </c>
      <c r="C632" s="1" t="n">
        <v>45923</v>
      </c>
      <c r="D632" t="inlineStr">
        <is>
          <t>KALMAR LÄN</t>
        </is>
      </c>
      <c r="E632" t="inlineStr">
        <is>
          <t>VIMMERBY</t>
        </is>
      </c>
      <c r="G632" t="n">
        <v>2.6</v>
      </c>
      <c r="H632" t="n">
        <v>0</v>
      </c>
      <c r="I632" t="n">
        <v>0</v>
      </c>
      <c r="J632" t="n">
        <v>0</v>
      </c>
      <c r="K632" t="n">
        <v>0</v>
      </c>
      <c r="L632" t="n">
        <v>0</v>
      </c>
      <c r="M632" t="n">
        <v>0</v>
      </c>
      <c r="N632" t="n">
        <v>0</v>
      </c>
      <c r="O632" t="n">
        <v>0</v>
      </c>
      <c r="P632" t="n">
        <v>0</v>
      </c>
      <c r="Q632" t="n">
        <v>0</v>
      </c>
      <c r="R632" s="2" t="inlineStr"/>
    </row>
    <row r="633" ht="15" customHeight="1">
      <c r="A633" t="inlineStr">
        <is>
          <t>A 47842-2024</t>
        </is>
      </c>
      <c r="B633" s="1" t="n">
        <v>45588.65545138889</v>
      </c>
      <c r="C633" s="1" t="n">
        <v>45923</v>
      </c>
      <c r="D633" t="inlineStr">
        <is>
          <t>KALMAR LÄN</t>
        </is>
      </c>
      <c r="E633" t="inlineStr">
        <is>
          <t>VIMMERBY</t>
        </is>
      </c>
      <c r="G633" t="n">
        <v>2.4</v>
      </c>
      <c r="H633" t="n">
        <v>0</v>
      </c>
      <c r="I633" t="n">
        <v>0</v>
      </c>
      <c r="J633" t="n">
        <v>0</v>
      </c>
      <c r="K633" t="n">
        <v>0</v>
      </c>
      <c r="L633" t="n">
        <v>0</v>
      </c>
      <c r="M633" t="n">
        <v>0</v>
      </c>
      <c r="N633" t="n">
        <v>0</v>
      </c>
      <c r="O633" t="n">
        <v>0</v>
      </c>
      <c r="P633" t="n">
        <v>0</v>
      </c>
      <c r="Q633" t="n">
        <v>0</v>
      </c>
      <c r="R633" s="2" t="inlineStr"/>
    </row>
    <row r="634" ht="15" customHeight="1">
      <c r="A634" t="inlineStr">
        <is>
          <t>A 6857-2023</t>
        </is>
      </c>
      <c r="B634" s="1" t="n">
        <v>44967.45122685185</v>
      </c>
      <c r="C634" s="1" t="n">
        <v>45923</v>
      </c>
      <c r="D634" t="inlineStr">
        <is>
          <t>KALMAR LÄN</t>
        </is>
      </c>
      <c r="E634" t="inlineStr">
        <is>
          <t>VIMMERBY</t>
        </is>
      </c>
      <c r="G634" t="n">
        <v>2.1</v>
      </c>
      <c r="H634" t="n">
        <v>0</v>
      </c>
      <c r="I634" t="n">
        <v>0</v>
      </c>
      <c r="J634" t="n">
        <v>0</v>
      </c>
      <c r="K634" t="n">
        <v>0</v>
      </c>
      <c r="L634" t="n">
        <v>0</v>
      </c>
      <c r="M634" t="n">
        <v>0</v>
      </c>
      <c r="N634" t="n">
        <v>0</v>
      </c>
      <c r="O634" t="n">
        <v>0</v>
      </c>
      <c r="P634" t="n">
        <v>0</v>
      </c>
      <c r="Q634" t="n">
        <v>0</v>
      </c>
      <c r="R634" s="2" t="inlineStr"/>
    </row>
    <row r="635" ht="15" customHeight="1">
      <c r="A635" t="inlineStr">
        <is>
          <t>A 32865-2023</t>
        </is>
      </c>
      <c r="B635" s="1" t="n">
        <v>45124</v>
      </c>
      <c r="C635" s="1" t="n">
        <v>45923</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22194-2024</t>
        </is>
      </c>
      <c r="B636" s="1" t="n">
        <v>45446.36482638889</v>
      </c>
      <c r="C636" s="1" t="n">
        <v>45923</v>
      </c>
      <c r="D636" t="inlineStr">
        <is>
          <t>KALMAR LÄN</t>
        </is>
      </c>
      <c r="E636" t="inlineStr">
        <is>
          <t>VIMMERBY</t>
        </is>
      </c>
      <c r="F636" t="inlineStr">
        <is>
          <t>Sveaskog</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17926-2025</t>
        </is>
      </c>
      <c r="B637" s="1" t="n">
        <v>45759.38987268518</v>
      </c>
      <c r="C637" s="1" t="n">
        <v>45923</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35127-2024</t>
        </is>
      </c>
      <c r="B638" s="1" t="n">
        <v>45530.33202546297</v>
      </c>
      <c r="C638" s="1" t="n">
        <v>45923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33383-2023</t>
        </is>
      </c>
      <c r="B639" s="1" t="n">
        <v>45128.58414351852</v>
      </c>
      <c r="C639" s="1" t="n">
        <v>45923</v>
      </c>
      <c r="D639" t="inlineStr">
        <is>
          <t>KALMAR LÄN</t>
        </is>
      </c>
      <c r="E639" t="inlineStr">
        <is>
          <t>VIMMERBY</t>
        </is>
      </c>
      <c r="G639" t="n">
        <v>2.3</v>
      </c>
      <c r="H639" t="n">
        <v>0</v>
      </c>
      <c r="I639" t="n">
        <v>0</v>
      </c>
      <c r="J639" t="n">
        <v>0</v>
      </c>
      <c r="K639" t="n">
        <v>0</v>
      </c>
      <c r="L639" t="n">
        <v>0</v>
      </c>
      <c r="M639" t="n">
        <v>0</v>
      </c>
      <c r="N639" t="n">
        <v>0</v>
      </c>
      <c r="O639" t="n">
        <v>0</v>
      </c>
      <c r="P639" t="n">
        <v>0</v>
      </c>
      <c r="Q639" t="n">
        <v>0</v>
      </c>
      <c r="R639" s="2" t="inlineStr"/>
    </row>
    <row r="640" ht="15" customHeight="1">
      <c r="A640" t="inlineStr">
        <is>
          <t>A 46224-2024</t>
        </is>
      </c>
      <c r="B640" s="1" t="n">
        <v>45581.57016203704</v>
      </c>
      <c r="C640" s="1" t="n">
        <v>45923</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4297-2022</t>
        </is>
      </c>
      <c r="B641" s="1" t="n">
        <v>44588</v>
      </c>
      <c r="C641" s="1" t="n">
        <v>45923</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29013-2024</t>
        </is>
      </c>
      <c r="B642" s="1" t="n">
        <v>45481.55984953704</v>
      </c>
      <c r="C642" s="1" t="n">
        <v>45923</v>
      </c>
      <c r="D642" t="inlineStr">
        <is>
          <t>KALMAR LÄN</t>
        </is>
      </c>
      <c r="E642" t="inlineStr">
        <is>
          <t>VIMMERBY</t>
        </is>
      </c>
      <c r="G642" t="n">
        <v>3.4</v>
      </c>
      <c r="H642" t="n">
        <v>0</v>
      </c>
      <c r="I642" t="n">
        <v>0</v>
      </c>
      <c r="J642" t="n">
        <v>0</v>
      </c>
      <c r="K642" t="n">
        <v>0</v>
      </c>
      <c r="L642" t="n">
        <v>0</v>
      </c>
      <c r="M642" t="n">
        <v>0</v>
      </c>
      <c r="N642" t="n">
        <v>0</v>
      </c>
      <c r="O642" t="n">
        <v>0</v>
      </c>
      <c r="P642" t="n">
        <v>0</v>
      </c>
      <c r="Q642" t="n">
        <v>0</v>
      </c>
      <c r="R642" s="2" t="inlineStr"/>
    </row>
    <row r="643" ht="15" customHeight="1">
      <c r="A643" t="inlineStr">
        <is>
          <t>A 37028-2024</t>
        </is>
      </c>
      <c r="B643" s="1" t="n">
        <v>45539.38744212963</v>
      </c>
      <c r="C643" s="1" t="n">
        <v>45923</v>
      </c>
      <c r="D643" t="inlineStr">
        <is>
          <t>KALMAR LÄN</t>
        </is>
      </c>
      <c r="E643" t="inlineStr">
        <is>
          <t>VIMMERBY</t>
        </is>
      </c>
      <c r="G643" t="n">
        <v>5.2</v>
      </c>
      <c r="H643" t="n">
        <v>0</v>
      </c>
      <c r="I643" t="n">
        <v>0</v>
      </c>
      <c r="J643" t="n">
        <v>0</v>
      </c>
      <c r="K643" t="n">
        <v>0</v>
      </c>
      <c r="L643" t="n">
        <v>0</v>
      </c>
      <c r="M643" t="n">
        <v>0</v>
      </c>
      <c r="N643" t="n">
        <v>0</v>
      </c>
      <c r="O643" t="n">
        <v>0</v>
      </c>
      <c r="P643" t="n">
        <v>0</v>
      </c>
      <c r="Q643" t="n">
        <v>0</v>
      </c>
      <c r="R643" s="2" t="inlineStr"/>
    </row>
    <row r="644" ht="15" customHeight="1">
      <c r="A644" t="inlineStr">
        <is>
          <t>A 37187-2024</t>
        </is>
      </c>
      <c r="B644" s="1" t="n">
        <v>45539.65212962963</v>
      </c>
      <c r="C644" s="1" t="n">
        <v>45923</v>
      </c>
      <c r="D644" t="inlineStr">
        <is>
          <t>KALMAR LÄN</t>
        </is>
      </c>
      <c r="E644" t="inlineStr">
        <is>
          <t>VIMMERBY</t>
        </is>
      </c>
      <c r="G644" t="n">
        <v>2.7</v>
      </c>
      <c r="H644" t="n">
        <v>0</v>
      </c>
      <c r="I644" t="n">
        <v>0</v>
      </c>
      <c r="J644" t="n">
        <v>0</v>
      </c>
      <c r="K644" t="n">
        <v>0</v>
      </c>
      <c r="L644" t="n">
        <v>0</v>
      </c>
      <c r="M644" t="n">
        <v>0</v>
      </c>
      <c r="N644" t="n">
        <v>0</v>
      </c>
      <c r="O644" t="n">
        <v>0</v>
      </c>
      <c r="P644" t="n">
        <v>0</v>
      </c>
      <c r="Q644" t="n">
        <v>0</v>
      </c>
      <c r="R644" s="2" t="inlineStr"/>
    </row>
    <row r="645" ht="15" customHeight="1">
      <c r="A645" t="inlineStr">
        <is>
          <t>A 55716-2023</t>
        </is>
      </c>
      <c r="B645" s="1" t="n">
        <v>45232</v>
      </c>
      <c r="C645" s="1" t="n">
        <v>45923</v>
      </c>
      <c r="D645" t="inlineStr">
        <is>
          <t>KALMAR LÄN</t>
        </is>
      </c>
      <c r="E645" t="inlineStr">
        <is>
          <t>VIMMERBY</t>
        </is>
      </c>
      <c r="G645" t="n">
        <v>2.3</v>
      </c>
      <c r="H645" t="n">
        <v>0</v>
      </c>
      <c r="I645" t="n">
        <v>0</v>
      </c>
      <c r="J645" t="n">
        <v>0</v>
      </c>
      <c r="K645" t="n">
        <v>0</v>
      </c>
      <c r="L645" t="n">
        <v>0</v>
      </c>
      <c r="M645" t="n">
        <v>0</v>
      </c>
      <c r="N645" t="n">
        <v>0</v>
      </c>
      <c r="O645" t="n">
        <v>0</v>
      </c>
      <c r="P645" t="n">
        <v>0</v>
      </c>
      <c r="Q645" t="n">
        <v>0</v>
      </c>
      <c r="R645" s="2" t="inlineStr"/>
    </row>
    <row r="646" ht="15" customHeight="1">
      <c r="A646" t="inlineStr">
        <is>
          <t>A 34386-2024</t>
        </is>
      </c>
      <c r="B646" s="1" t="n">
        <v>45525.41762731481</v>
      </c>
      <c r="C646" s="1" t="n">
        <v>45923</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42429-2024</t>
        </is>
      </c>
      <c r="B647" s="1" t="n">
        <v>45565.40657407408</v>
      </c>
      <c r="C647" s="1" t="n">
        <v>45923</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11946-2025</t>
        </is>
      </c>
      <c r="B648" s="1" t="n">
        <v>45728.54832175926</v>
      </c>
      <c r="C648" s="1" t="n">
        <v>45923</v>
      </c>
      <c r="D648" t="inlineStr">
        <is>
          <t>KALMAR LÄN</t>
        </is>
      </c>
      <c r="E648" t="inlineStr">
        <is>
          <t>VIMMERBY</t>
        </is>
      </c>
      <c r="G648" t="n">
        <v>0.4</v>
      </c>
      <c r="H648" t="n">
        <v>0</v>
      </c>
      <c r="I648" t="n">
        <v>0</v>
      </c>
      <c r="J648" t="n">
        <v>0</v>
      </c>
      <c r="K648" t="n">
        <v>0</v>
      </c>
      <c r="L648" t="n">
        <v>0</v>
      </c>
      <c r="M648" t="n">
        <v>0</v>
      </c>
      <c r="N648" t="n">
        <v>0</v>
      </c>
      <c r="O648" t="n">
        <v>0</v>
      </c>
      <c r="P648" t="n">
        <v>0</v>
      </c>
      <c r="Q648" t="n">
        <v>0</v>
      </c>
      <c r="R648" s="2" t="inlineStr"/>
    </row>
    <row r="649" ht="15" customHeight="1">
      <c r="A649" t="inlineStr">
        <is>
          <t>A 59943-2023</t>
        </is>
      </c>
      <c r="B649" s="1" t="n">
        <v>45257.67958333333</v>
      </c>
      <c r="C649" s="1" t="n">
        <v>45923</v>
      </c>
      <c r="D649" t="inlineStr">
        <is>
          <t>KALMAR LÄN</t>
        </is>
      </c>
      <c r="E649" t="inlineStr">
        <is>
          <t>VIMMERBY</t>
        </is>
      </c>
      <c r="G649" t="n">
        <v>6.4</v>
      </c>
      <c r="H649" t="n">
        <v>0</v>
      </c>
      <c r="I649" t="n">
        <v>0</v>
      </c>
      <c r="J649" t="n">
        <v>0</v>
      </c>
      <c r="K649" t="n">
        <v>0</v>
      </c>
      <c r="L649" t="n">
        <v>0</v>
      </c>
      <c r="M649" t="n">
        <v>0</v>
      </c>
      <c r="N649" t="n">
        <v>0</v>
      </c>
      <c r="O649" t="n">
        <v>0</v>
      </c>
      <c r="P649" t="n">
        <v>0</v>
      </c>
      <c r="Q649" t="n">
        <v>0</v>
      </c>
      <c r="R649" s="2" t="inlineStr"/>
    </row>
    <row r="650" ht="15" customHeight="1">
      <c r="A650" t="inlineStr">
        <is>
          <t>A 12630-2023</t>
        </is>
      </c>
      <c r="B650" s="1" t="n">
        <v>45000.47998842593</v>
      </c>
      <c r="C650" s="1" t="n">
        <v>45923</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15493-2023</t>
        </is>
      </c>
      <c r="B651" s="1" t="n">
        <v>45018</v>
      </c>
      <c r="C651" s="1" t="n">
        <v>45923</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51881-2024</t>
        </is>
      </c>
      <c r="B652" s="1" t="n">
        <v>45607.56773148148</v>
      </c>
      <c r="C652" s="1" t="n">
        <v>45923</v>
      </c>
      <c r="D652" t="inlineStr">
        <is>
          <t>KALMAR LÄN</t>
        </is>
      </c>
      <c r="E652" t="inlineStr">
        <is>
          <t>VIMMERBY</t>
        </is>
      </c>
      <c r="G652" t="n">
        <v>3.4</v>
      </c>
      <c r="H652" t="n">
        <v>0</v>
      </c>
      <c r="I652" t="n">
        <v>0</v>
      </c>
      <c r="J652" t="n">
        <v>0</v>
      </c>
      <c r="K652" t="n">
        <v>0</v>
      </c>
      <c r="L652" t="n">
        <v>0</v>
      </c>
      <c r="M652" t="n">
        <v>0</v>
      </c>
      <c r="N652" t="n">
        <v>0</v>
      </c>
      <c r="O652" t="n">
        <v>0</v>
      </c>
      <c r="P652" t="n">
        <v>0</v>
      </c>
      <c r="Q652" t="n">
        <v>0</v>
      </c>
      <c r="R652" s="2" t="inlineStr"/>
    </row>
    <row r="653" ht="15" customHeight="1">
      <c r="A653" t="inlineStr">
        <is>
          <t>A 1021-2024</t>
        </is>
      </c>
      <c r="B653" s="1" t="n">
        <v>45301.67736111111</v>
      </c>
      <c r="C653" s="1" t="n">
        <v>45923</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39584-2024</t>
        </is>
      </c>
      <c r="B654" s="1" t="n">
        <v>45552.36759259259</v>
      </c>
      <c r="C654" s="1" t="n">
        <v>45923</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32569-2024</t>
        </is>
      </c>
      <c r="B655" s="1" t="n">
        <v>45513.55840277778</v>
      </c>
      <c r="C655" s="1" t="n">
        <v>45923</v>
      </c>
      <c r="D655" t="inlineStr">
        <is>
          <t>KALMAR LÄN</t>
        </is>
      </c>
      <c r="E655" t="inlineStr">
        <is>
          <t>VIMMERBY</t>
        </is>
      </c>
      <c r="G655" t="n">
        <v>3.7</v>
      </c>
      <c r="H655" t="n">
        <v>0</v>
      </c>
      <c r="I655" t="n">
        <v>0</v>
      </c>
      <c r="J655" t="n">
        <v>0</v>
      </c>
      <c r="K655" t="n">
        <v>0</v>
      </c>
      <c r="L655" t="n">
        <v>0</v>
      </c>
      <c r="M655" t="n">
        <v>0</v>
      </c>
      <c r="N655" t="n">
        <v>0</v>
      </c>
      <c r="O655" t="n">
        <v>0</v>
      </c>
      <c r="P655" t="n">
        <v>0</v>
      </c>
      <c r="Q655" t="n">
        <v>0</v>
      </c>
      <c r="R655" s="2" t="inlineStr"/>
    </row>
    <row r="656" ht="15" customHeight="1">
      <c r="A656" t="inlineStr">
        <is>
          <t>A 32575-2024</t>
        </is>
      </c>
      <c r="B656" s="1" t="n">
        <v>45513.56527777778</v>
      </c>
      <c r="C656" s="1" t="n">
        <v>45923</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27705-2023</t>
        </is>
      </c>
      <c r="B657" s="1" t="n">
        <v>45098.30535879629</v>
      </c>
      <c r="C657" s="1" t="n">
        <v>45923</v>
      </c>
      <c r="D657" t="inlineStr">
        <is>
          <t>KALMAR LÄN</t>
        </is>
      </c>
      <c r="E657" t="inlineStr">
        <is>
          <t>VIMMERBY</t>
        </is>
      </c>
      <c r="G657" t="n">
        <v>1</v>
      </c>
      <c r="H657" t="n">
        <v>0</v>
      </c>
      <c r="I657" t="n">
        <v>0</v>
      </c>
      <c r="J657" t="n">
        <v>0</v>
      </c>
      <c r="K657" t="n">
        <v>0</v>
      </c>
      <c r="L657" t="n">
        <v>0</v>
      </c>
      <c r="M657" t="n">
        <v>0</v>
      </c>
      <c r="N657" t="n">
        <v>0</v>
      </c>
      <c r="O657" t="n">
        <v>0</v>
      </c>
      <c r="P657" t="n">
        <v>0</v>
      </c>
      <c r="Q657" t="n">
        <v>0</v>
      </c>
      <c r="R657" s="2" t="inlineStr"/>
    </row>
    <row r="658" ht="15" customHeight="1">
      <c r="A658" t="inlineStr">
        <is>
          <t>A 30063-2023</t>
        </is>
      </c>
      <c r="B658" s="1" t="n">
        <v>45110.4184375</v>
      </c>
      <c r="C658" s="1" t="n">
        <v>45923</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17482-2024</t>
        </is>
      </c>
      <c r="B659" s="1" t="n">
        <v>45415.47848379629</v>
      </c>
      <c r="C659" s="1" t="n">
        <v>45923</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31013-2023</t>
        </is>
      </c>
      <c r="B660" s="1" t="n">
        <v>45113.56574074074</v>
      </c>
      <c r="C660" s="1" t="n">
        <v>45923</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13817-2024</t>
        </is>
      </c>
      <c r="B661" s="1" t="n">
        <v>45391.41976851852</v>
      </c>
      <c r="C661" s="1" t="n">
        <v>45923</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15388-2025</t>
        </is>
      </c>
      <c r="B662" s="1" t="n">
        <v>45747.42633101852</v>
      </c>
      <c r="C662" s="1" t="n">
        <v>45923</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15391-2025</t>
        </is>
      </c>
      <c r="B663" s="1" t="n">
        <v>45747.42958333333</v>
      </c>
      <c r="C663" s="1" t="n">
        <v>45923</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30406-2023</t>
        </is>
      </c>
      <c r="B664" s="1" t="n">
        <v>45111.48787037037</v>
      </c>
      <c r="C664" s="1" t="n">
        <v>45923</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11303-2025</t>
        </is>
      </c>
      <c r="B665" s="1" t="n">
        <v>45726.44471064815</v>
      </c>
      <c r="C665" s="1" t="n">
        <v>45923</v>
      </c>
      <c r="D665" t="inlineStr">
        <is>
          <t>KALMAR LÄN</t>
        </is>
      </c>
      <c r="E665" t="inlineStr">
        <is>
          <t>VIMMERBY</t>
        </is>
      </c>
      <c r="G665" t="n">
        <v>2.1</v>
      </c>
      <c r="H665" t="n">
        <v>0</v>
      </c>
      <c r="I665" t="n">
        <v>0</v>
      </c>
      <c r="J665" t="n">
        <v>0</v>
      </c>
      <c r="K665" t="n">
        <v>0</v>
      </c>
      <c r="L665" t="n">
        <v>0</v>
      </c>
      <c r="M665" t="n">
        <v>0</v>
      </c>
      <c r="N665" t="n">
        <v>0</v>
      </c>
      <c r="O665" t="n">
        <v>0</v>
      </c>
      <c r="P665" t="n">
        <v>0</v>
      </c>
      <c r="Q665" t="n">
        <v>0</v>
      </c>
      <c r="R665" s="2" t="inlineStr"/>
    </row>
    <row r="666" ht="15" customHeight="1">
      <c r="A666" t="inlineStr">
        <is>
          <t>A 29020-2024</t>
        </is>
      </c>
      <c r="B666" s="1" t="n">
        <v>45481.58048611111</v>
      </c>
      <c r="C666" s="1" t="n">
        <v>45923</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45923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46234-2024</t>
        </is>
      </c>
      <c r="B668" s="1" t="n">
        <v>45581.57958333333</v>
      </c>
      <c r="C668" s="1" t="n">
        <v>45923</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39053-2024</t>
        </is>
      </c>
      <c r="B669" s="1" t="n">
        <v>45548</v>
      </c>
      <c r="C669" s="1" t="n">
        <v>45923</v>
      </c>
      <c r="D669" t="inlineStr">
        <is>
          <t>KALMAR LÄN</t>
        </is>
      </c>
      <c r="E669" t="inlineStr">
        <is>
          <t>VIMMERBY</t>
        </is>
      </c>
      <c r="G669" t="n">
        <v>5</v>
      </c>
      <c r="H669" t="n">
        <v>0</v>
      </c>
      <c r="I669" t="n">
        <v>0</v>
      </c>
      <c r="J669" t="n">
        <v>0</v>
      </c>
      <c r="K669" t="n">
        <v>0</v>
      </c>
      <c r="L669" t="n">
        <v>0</v>
      </c>
      <c r="M669" t="n">
        <v>0</v>
      </c>
      <c r="N669" t="n">
        <v>0</v>
      </c>
      <c r="O669" t="n">
        <v>0</v>
      </c>
      <c r="P669" t="n">
        <v>0</v>
      </c>
      <c r="Q669" t="n">
        <v>0</v>
      </c>
      <c r="R669" s="2" t="inlineStr"/>
    </row>
    <row r="670" ht="15" customHeight="1">
      <c r="A670" t="inlineStr">
        <is>
          <t>A 15449-2023</t>
        </is>
      </c>
      <c r="B670" s="1" t="n">
        <v>45020</v>
      </c>
      <c r="C670" s="1" t="n">
        <v>45923</v>
      </c>
      <c r="D670" t="inlineStr">
        <is>
          <t>KALMAR LÄN</t>
        </is>
      </c>
      <c r="E670" t="inlineStr">
        <is>
          <t>VIMMERBY</t>
        </is>
      </c>
      <c r="G670" t="n">
        <v>0.5</v>
      </c>
      <c r="H670" t="n">
        <v>0</v>
      </c>
      <c r="I670" t="n">
        <v>0</v>
      </c>
      <c r="J670" t="n">
        <v>0</v>
      </c>
      <c r="K670" t="n">
        <v>0</v>
      </c>
      <c r="L670" t="n">
        <v>0</v>
      </c>
      <c r="M670" t="n">
        <v>0</v>
      </c>
      <c r="N670" t="n">
        <v>0</v>
      </c>
      <c r="O670" t="n">
        <v>0</v>
      </c>
      <c r="P670" t="n">
        <v>0</v>
      </c>
      <c r="Q670" t="n">
        <v>0</v>
      </c>
      <c r="R670" s="2" t="inlineStr"/>
    </row>
    <row r="671" ht="15" customHeight="1">
      <c r="A671" t="inlineStr">
        <is>
          <t>A 43594-2024</t>
        </is>
      </c>
      <c r="B671" s="1" t="n">
        <v>45569.44295138889</v>
      </c>
      <c r="C671" s="1" t="n">
        <v>45923</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17486-2024</t>
        </is>
      </c>
      <c r="B672" s="1" t="n">
        <v>45415.48979166667</v>
      </c>
      <c r="C672" s="1" t="n">
        <v>45923</v>
      </c>
      <c r="D672" t="inlineStr">
        <is>
          <t>KALMAR LÄN</t>
        </is>
      </c>
      <c r="E672" t="inlineStr">
        <is>
          <t>VIMMERBY</t>
        </is>
      </c>
      <c r="G672" t="n">
        <v>2.6</v>
      </c>
      <c r="H672" t="n">
        <v>0</v>
      </c>
      <c r="I672" t="n">
        <v>0</v>
      </c>
      <c r="J672" t="n">
        <v>0</v>
      </c>
      <c r="K672" t="n">
        <v>0</v>
      </c>
      <c r="L672" t="n">
        <v>0</v>
      </c>
      <c r="M672" t="n">
        <v>0</v>
      </c>
      <c r="N672" t="n">
        <v>0</v>
      </c>
      <c r="O672" t="n">
        <v>0</v>
      </c>
      <c r="P672" t="n">
        <v>0</v>
      </c>
      <c r="Q672" t="n">
        <v>0</v>
      </c>
      <c r="R672" s="2" t="inlineStr"/>
    </row>
    <row r="673" ht="15" customHeight="1">
      <c r="A673" t="inlineStr">
        <is>
          <t>A 14248-2023</t>
        </is>
      </c>
      <c r="B673" s="1" t="n">
        <v>45009</v>
      </c>
      <c r="C673" s="1" t="n">
        <v>45923</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30400-2023</t>
        </is>
      </c>
      <c r="B674" s="1" t="n">
        <v>45111.48225694444</v>
      </c>
      <c r="C674" s="1" t="n">
        <v>45923</v>
      </c>
      <c r="D674" t="inlineStr">
        <is>
          <t>KALMAR LÄN</t>
        </is>
      </c>
      <c r="E674" t="inlineStr">
        <is>
          <t>VIMMERBY</t>
        </is>
      </c>
      <c r="G674" t="n">
        <v>2.7</v>
      </c>
      <c r="H674" t="n">
        <v>0</v>
      </c>
      <c r="I674" t="n">
        <v>0</v>
      </c>
      <c r="J674" t="n">
        <v>0</v>
      </c>
      <c r="K674" t="n">
        <v>0</v>
      </c>
      <c r="L674" t="n">
        <v>0</v>
      </c>
      <c r="M674" t="n">
        <v>0</v>
      </c>
      <c r="N674" t="n">
        <v>0</v>
      </c>
      <c r="O674" t="n">
        <v>0</v>
      </c>
      <c r="P674" t="n">
        <v>0</v>
      </c>
      <c r="Q674" t="n">
        <v>0</v>
      </c>
      <c r="R674" s="2" t="inlineStr"/>
    </row>
    <row r="675" ht="15" customHeight="1">
      <c r="A675" t="inlineStr">
        <is>
          <t>A 30404-2023</t>
        </is>
      </c>
      <c r="B675" s="1" t="n">
        <v>45111.48636574074</v>
      </c>
      <c r="C675" s="1" t="n">
        <v>45923</v>
      </c>
      <c r="D675" t="inlineStr">
        <is>
          <t>KALMAR LÄN</t>
        </is>
      </c>
      <c r="E675" t="inlineStr">
        <is>
          <t>VIMMERBY</t>
        </is>
      </c>
      <c r="G675" t="n">
        <v>0.6</v>
      </c>
      <c r="H675" t="n">
        <v>0</v>
      </c>
      <c r="I675" t="n">
        <v>0</v>
      </c>
      <c r="J675" t="n">
        <v>0</v>
      </c>
      <c r="K675" t="n">
        <v>0</v>
      </c>
      <c r="L675" t="n">
        <v>0</v>
      </c>
      <c r="M675" t="n">
        <v>0</v>
      </c>
      <c r="N675" t="n">
        <v>0</v>
      </c>
      <c r="O675" t="n">
        <v>0</v>
      </c>
      <c r="P675" t="n">
        <v>0</v>
      </c>
      <c r="Q675" t="n">
        <v>0</v>
      </c>
      <c r="R675" s="2" t="inlineStr"/>
    </row>
    <row r="676" ht="15" customHeight="1">
      <c r="A676" t="inlineStr">
        <is>
          <t>A 55123-2024</t>
        </is>
      </c>
      <c r="B676" s="1" t="n">
        <v>45621.46103009259</v>
      </c>
      <c r="C676" s="1" t="n">
        <v>45923</v>
      </c>
      <c r="D676" t="inlineStr">
        <is>
          <t>KALMAR LÄN</t>
        </is>
      </c>
      <c r="E676" t="inlineStr">
        <is>
          <t>VIMMERBY</t>
        </is>
      </c>
      <c r="G676" t="n">
        <v>3.1</v>
      </c>
      <c r="H676" t="n">
        <v>0</v>
      </c>
      <c r="I676" t="n">
        <v>0</v>
      </c>
      <c r="J676" t="n">
        <v>0</v>
      </c>
      <c r="K676" t="n">
        <v>0</v>
      </c>
      <c r="L676" t="n">
        <v>0</v>
      </c>
      <c r="M676" t="n">
        <v>0</v>
      </c>
      <c r="N676" t="n">
        <v>0</v>
      </c>
      <c r="O676" t="n">
        <v>0</v>
      </c>
      <c r="P676" t="n">
        <v>0</v>
      </c>
      <c r="Q676" t="n">
        <v>0</v>
      </c>
      <c r="R676" s="2" t="inlineStr"/>
    </row>
    <row r="677" ht="15" customHeight="1">
      <c r="A677" t="inlineStr">
        <is>
          <t>A 31405-2023</t>
        </is>
      </c>
      <c r="B677" s="1" t="n">
        <v>45114.58148148148</v>
      </c>
      <c r="C677" s="1" t="n">
        <v>45923</v>
      </c>
      <c r="D677" t="inlineStr">
        <is>
          <t>KALMAR LÄN</t>
        </is>
      </c>
      <c r="E677" t="inlineStr">
        <is>
          <t>VIMMERBY</t>
        </is>
      </c>
      <c r="G677" t="n">
        <v>2.6</v>
      </c>
      <c r="H677" t="n">
        <v>0</v>
      </c>
      <c r="I677" t="n">
        <v>0</v>
      </c>
      <c r="J677" t="n">
        <v>0</v>
      </c>
      <c r="K677" t="n">
        <v>0</v>
      </c>
      <c r="L677" t="n">
        <v>0</v>
      </c>
      <c r="M677" t="n">
        <v>0</v>
      </c>
      <c r="N677" t="n">
        <v>0</v>
      </c>
      <c r="O677" t="n">
        <v>0</v>
      </c>
      <c r="P677" t="n">
        <v>0</v>
      </c>
      <c r="Q677" t="n">
        <v>0</v>
      </c>
      <c r="R677" s="2" t="inlineStr"/>
    </row>
    <row r="678" ht="15" customHeight="1">
      <c r="A678" t="inlineStr">
        <is>
          <t>A 24707-2024</t>
        </is>
      </c>
      <c r="B678" s="1" t="n">
        <v>45460.62172453704</v>
      </c>
      <c r="C678" s="1" t="n">
        <v>45923</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25582-2024</t>
        </is>
      </c>
      <c r="B679" s="1" t="n">
        <v>45463</v>
      </c>
      <c r="C679" s="1" t="n">
        <v>45923</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57578-2024</t>
        </is>
      </c>
      <c r="B680" s="1" t="n">
        <v>45630.47564814815</v>
      </c>
      <c r="C680" s="1" t="n">
        <v>45923</v>
      </c>
      <c r="D680" t="inlineStr">
        <is>
          <t>KALMAR LÄN</t>
        </is>
      </c>
      <c r="E680" t="inlineStr">
        <is>
          <t>VIMMERBY</t>
        </is>
      </c>
      <c r="G680" t="n">
        <v>2.6</v>
      </c>
      <c r="H680" t="n">
        <v>0</v>
      </c>
      <c r="I680" t="n">
        <v>0</v>
      </c>
      <c r="J680" t="n">
        <v>0</v>
      </c>
      <c r="K680" t="n">
        <v>0</v>
      </c>
      <c r="L680" t="n">
        <v>0</v>
      </c>
      <c r="M680" t="n">
        <v>0</v>
      </c>
      <c r="N680" t="n">
        <v>0</v>
      </c>
      <c r="O680" t="n">
        <v>0</v>
      </c>
      <c r="P680" t="n">
        <v>0</v>
      </c>
      <c r="Q680" t="n">
        <v>0</v>
      </c>
      <c r="R680" s="2" t="inlineStr"/>
    </row>
    <row r="681" ht="15" customHeight="1">
      <c r="A681" t="inlineStr">
        <is>
          <t>A 36049-2024</t>
        </is>
      </c>
      <c r="B681" s="1" t="n">
        <v>45533.61996527778</v>
      </c>
      <c r="C681" s="1" t="n">
        <v>45923</v>
      </c>
      <c r="D681" t="inlineStr">
        <is>
          <t>KALMAR LÄN</t>
        </is>
      </c>
      <c r="E681" t="inlineStr">
        <is>
          <t>VIMMERBY</t>
        </is>
      </c>
      <c r="F681" t="inlineStr">
        <is>
          <t>Kommuner</t>
        </is>
      </c>
      <c r="G681" t="n">
        <v>2.6</v>
      </c>
      <c r="H681" t="n">
        <v>0</v>
      </c>
      <c r="I681" t="n">
        <v>0</v>
      </c>
      <c r="J681" t="n">
        <v>0</v>
      </c>
      <c r="K681" t="n">
        <v>0</v>
      </c>
      <c r="L681" t="n">
        <v>0</v>
      </c>
      <c r="M681" t="n">
        <v>0</v>
      </c>
      <c r="N681" t="n">
        <v>0</v>
      </c>
      <c r="O681" t="n">
        <v>0</v>
      </c>
      <c r="P681" t="n">
        <v>0</v>
      </c>
      <c r="Q681" t="n">
        <v>0</v>
      </c>
      <c r="R681" s="2" t="inlineStr"/>
    </row>
    <row r="682" ht="15" customHeight="1">
      <c r="A682" t="inlineStr">
        <is>
          <t>A 58159-2024</t>
        </is>
      </c>
      <c r="B682" s="1" t="n">
        <v>45632.44886574074</v>
      </c>
      <c r="C682" s="1" t="n">
        <v>45923</v>
      </c>
      <c r="D682" t="inlineStr">
        <is>
          <t>KALMAR LÄN</t>
        </is>
      </c>
      <c r="E682" t="inlineStr">
        <is>
          <t>VIMMERBY</t>
        </is>
      </c>
      <c r="G682" t="n">
        <v>7.5</v>
      </c>
      <c r="H682" t="n">
        <v>0</v>
      </c>
      <c r="I682" t="n">
        <v>0</v>
      </c>
      <c r="J682" t="n">
        <v>0</v>
      </c>
      <c r="K682" t="n">
        <v>0</v>
      </c>
      <c r="L682" t="n">
        <v>0</v>
      </c>
      <c r="M682" t="n">
        <v>0</v>
      </c>
      <c r="N682" t="n">
        <v>0</v>
      </c>
      <c r="O682" t="n">
        <v>0</v>
      </c>
      <c r="P682" t="n">
        <v>0</v>
      </c>
      <c r="Q682" t="n">
        <v>0</v>
      </c>
      <c r="R682" s="2" t="inlineStr"/>
    </row>
    <row r="683" ht="15" customHeight="1">
      <c r="A683" t="inlineStr">
        <is>
          <t>A 14359-2025</t>
        </is>
      </c>
      <c r="B683" s="1" t="n">
        <v>45741.37270833334</v>
      </c>
      <c r="C683" s="1" t="n">
        <v>45923</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22399-2025</t>
        </is>
      </c>
      <c r="B684" s="1" t="n">
        <v>45786.52996527778</v>
      </c>
      <c r="C684" s="1" t="n">
        <v>45923</v>
      </c>
      <c r="D684" t="inlineStr">
        <is>
          <t>KALMAR LÄN</t>
        </is>
      </c>
      <c r="E684" t="inlineStr">
        <is>
          <t>VIMMERBY</t>
        </is>
      </c>
      <c r="G684" t="n">
        <v>2.1</v>
      </c>
      <c r="H684" t="n">
        <v>0</v>
      </c>
      <c r="I684" t="n">
        <v>0</v>
      </c>
      <c r="J684" t="n">
        <v>0</v>
      </c>
      <c r="K684" t="n">
        <v>0</v>
      </c>
      <c r="L684" t="n">
        <v>0</v>
      </c>
      <c r="M684" t="n">
        <v>0</v>
      </c>
      <c r="N684" t="n">
        <v>0</v>
      </c>
      <c r="O684" t="n">
        <v>0</v>
      </c>
      <c r="P684" t="n">
        <v>0</v>
      </c>
      <c r="Q684" t="n">
        <v>0</v>
      </c>
      <c r="R684" s="2" t="inlineStr"/>
    </row>
    <row r="685" ht="15" customHeight="1">
      <c r="A685" t="inlineStr">
        <is>
          <t>A 39578-2024</t>
        </is>
      </c>
      <c r="B685" s="1" t="n">
        <v>45552.36484953704</v>
      </c>
      <c r="C685" s="1" t="n">
        <v>45923</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62779-2023</t>
        </is>
      </c>
      <c r="B686" s="1" t="n">
        <v>45271.66576388889</v>
      </c>
      <c r="C686" s="1" t="n">
        <v>45923</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22397-2025</t>
        </is>
      </c>
      <c r="B687" s="1" t="n">
        <v>45786.52878472222</v>
      </c>
      <c r="C687" s="1" t="n">
        <v>45923</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46399-2024</t>
        </is>
      </c>
      <c r="B688" s="1" t="n">
        <v>45582.41200231481</v>
      </c>
      <c r="C688" s="1" t="n">
        <v>45923</v>
      </c>
      <c r="D688" t="inlineStr">
        <is>
          <t>KALMAR LÄN</t>
        </is>
      </c>
      <c r="E688" t="inlineStr">
        <is>
          <t>VIMMERBY</t>
        </is>
      </c>
      <c r="G688" t="n">
        <v>4.6</v>
      </c>
      <c r="H688" t="n">
        <v>0</v>
      </c>
      <c r="I688" t="n">
        <v>0</v>
      </c>
      <c r="J688" t="n">
        <v>0</v>
      </c>
      <c r="K688" t="n">
        <v>0</v>
      </c>
      <c r="L688" t="n">
        <v>0</v>
      </c>
      <c r="M688" t="n">
        <v>0</v>
      </c>
      <c r="N688" t="n">
        <v>0</v>
      </c>
      <c r="O688" t="n">
        <v>0</v>
      </c>
      <c r="P688" t="n">
        <v>0</v>
      </c>
      <c r="Q688" t="n">
        <v>0</v>
      </c>
      <c r="R688" s="2" t="inlineStr"/>
    </row>
    <row r="689" ht="15" customHeight="1">
      <c r="A689" t="inlineStr">
        <is>
          <t>A 3425-2022</t>
        </is>
      </c>
      <c r="B689" s="1" t="n">
        <v>44585.51060185185</v>
      </c>
      <c r="C689" s="1" t="n">
        <v>45923</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43962-2024</t>
        </is>
      </c>
      <c r="B690" s="1" t="n">
        <v>45572.48293981481</v>
      </c>
      <c r="C690" s="1" t="n">
        <v>45923</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12810-2023</t>
        </is>
      </c>
      <c r="B691" s="1" t="n">
        <v>45001.43854166667</v>
      </c>
      <c r="C691" s="1" t="n">
        <v>45923</v>
      </c>
      <c r="D691" t="inlineStr">
        <is>
          <t>KALMAR LÄN</t>
        </is>
      </c>
      <c r="E691" t="inlineStr">
        <is>
          <t>VIMMERBY</t>
        </is>
      </c>
      <c r="G691" t="n">
        <v>1.5</v>
      </c>
      <c r="H691" t="n">
        <v>0</v>
      </c>
      <c r="I691" t="n">
        <v>0</v>
      </c>
      <c r="J691" t="n">
        <v>0</v>
      </c>
      <c r="K691" t="n">
        <v>0</v>
      </c>
      <c r="L691" t="n">
        <v>0</v>
      </c>
      <c r="M691" t="n">
        <v>0</v>
      </c>
      <c r="N691" t="n">
        <v>0</v>
      </c>
      <c r="O691" t="n">
        <v>0</v>
      </c>
      <c r="P691" t="n">
        <v>0</v>
      </c>
      <c r="Q691" t="n">
        <v>0</v>
      </c>
      <c r="R691" s="2" t="inlineStr"/>
    </row>
    <row r="692" ht="15" customHeight="1">
      <c r="A692" t="inlineStr">
        <is>
          <t>A 43068-2023</t>
        </is>
      </c>
      <c r="B692" s="1" t="n">
        <v>45182.78834490741</v>
      </c>
      <c r="C692" s="1" t="n">
        <v>45923</v>
      </c>
      <c r="D692" t="inlineStr">
        <is>
          <t>KALMAR LÄN</t>
        </is>
      </c>
      <c r="E692" t="inlineStr">
        <is>
          <t>VIMMERBY</t>
        </is>
      </c>
      <c r="G692" t="n">
        <v>1.5</v>
      </c>
      <c r="H692" t="n">
        <v>0</v>
      </c>
      <c r="I692" t="n">
        <v>0</v>
      </c>
      <c r="J692" t="n">
        <v>0</v>
      </c>
      <c r="K692" t="n">
        <v>0</v>
      </c>
      <c r="L692" t="n">
        <v>0</v>
      </c>
      <c r="M692" t="n">
        <v>0</v>
      </c>
      <c r="N692" t="n">
        <v>0</v>
      </c>
      <c r="O692" t="n">
        <v>0</v>
      </c>
      <c r="P692" t="n">
        <v>0</v>
      </c>
      <c r="Q692" t="n">
        <v>0</v>
      </c>
      <c r="R692" s="2" t="inlineStr"/>
    </row>
    <row r="693" ht="15" customHeight="1">
      <c r="A693" t="inlineStr">
        <is>
          <t>A 11442-2025</t>
        </is>
      </c>
      <c r="B693" s="1" t="n">
        <v>45726.62721064815</v>
      </c>
      <c r="C693" s="1" t="n">
        <v>45923</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6307-2025</t>
        </is>
      </c>
      <c r="B694" s="1" t="n">
        <v>45698.69016203703</v>
      </c>
      <c r="C694" s="1" t="n">
        <v>45923</v>
      </c>
      <c r="D694" t="inlineStr">
        <is>
          <t>KALMAR LÄN</t>
        </is>
      </c>
      <c r="E694" t="inlineStr">
        <is>
          <t>VIMMERBY</t>
        </is>
      </c>
      <c r="G694" t="n">
        <v>3</v>
      </c>
      <c r="H694" t="n">
        <v>0</v>
      </c>
      <c r="I694" t="n">
        <v>0</v>
      </c>
      <c r="J694" t="n">
        <v>0</v>
      </c>
      <c r="K694" t="n">
        <v>0</v>
      </c>
      <c r="L694" t="n">
        <v>0</v>
      </c>
      <c r="M694" t="n">
        <v>0</v>
      </c>
      <c r="N694" t="n">
        <v>0</v>
      </c>
      <c r="O694" t="n">
        <v>0</v>
      </c>
      <c r="P694" t="n">
        <v>0</v>
      </c>
      <c r="Q694" t="n">
        <v>0</v>
      </c>
      <c r="R694" s="2" t="inlineStr"/>
    </row>
    <row r="695" ht="15" customHeight="1">
      <c r="A695" t="inlineStr">
        <is>
          <t>A 12075-2024</t>
        </is>
      </c>
      <c r="B695" s="1" t="n">
        <v>45377</v>
      </c>
      <c r="C695" s="1" t="n">
        <v>45923</v>
      </c>
      <c r="D695" t="inlineStr">
        <is>
          <t>KALMAR LÄN</t>
        </is>
      </c>
      <c r="E695" t="inlineStr">
        <is>
          <t>VIMMERBY</t>
        </is>
      </c>
      <c r="G695" t="n">
        <v>3.7</v>
      </c>
      <c r="H695" t="n">
        <v>0</v>
      </c>
      <c r="I695" t="n">
        <v>0</v>
      </c>
      <c r="J695" t="n">
        <v>0</v>
      </c>
      <c r="K695" t="n">
        <v>0</v>
      </c>
      <c r="L695" t="n">
        <v>0</v>
      </c>
      <c r="M695" t="n">
        <v>0</v>
      </c>
      <c r="N695" t="n">
        <v>0</v>
      </c>
      <c r="O695" t="n">
        <v>0</v>
      </c>
      <c r="P695" t="n">
        <v>0</v>
      </c>
      <c r="Q695" t="n">
        <v>0</v>
      </c>
      <c r="R695" s="2" t="inlineStr"/>
    </row>
    <row r="696" ht="15" customHeight="1">
      <c r="A696" t="inlineStr">
        <is>
          <t>A 1799-2025</t>
        </is>
      </c>
      <c r="B696" s="1" t="n">
        <v>45671.46746527778</v>
      </c>
      <c r="C696" s="1" t="n">
        <v>45923</v>
      </c>
      <c r="D696" t="inlineStr">
        <is>
          <t>KALMAR LÄN</t>
        </is>
      </c>
      <c r="E696" t="inlineStr">
        <is>
          <t>VIMMERBY</t>
        </is>
      </c>
      <c r="G696" t="n">
        <v>3.3</v>
      </c>
      <c r="H696" t="n">
        <v>0</v>
      </c>
      <c r="I696" t="n">
        <v>0</v>
      </c>
      <c r="J696" t="n">
        <v>0</v>
      </c>
      <c r="K696" t="n">
        <v>0</v>
      </c>
      <c r="L696" t="n">
        <v>0</v>
      </c>
      <c r="M696" t="n">
        <v>0</v>
      </c>
      <c r="N696" t="n">
        <v>0</v>
      </c>
      <c r="O696" t="n">
        <v>0</v>
      </c>
      <c r="P696" t="n">
        <v>0</v>
      </c>
      <c r="Q696" t="n">
        <v>0</v>
      </c>
      <c r="R696" s="2" t="inlineStr"/>
    </row>
    <row r="697" ht="15" customHeight="1">
      <c r="A697" t="inlineStr">
        <is>
          <t>A 2462-2022</t>
        </is>
      </c>
      <c r="B697" s="1" t="n">
        <v>44579.62225694444</v>
      </c>
      <c r="C697" s="1" t="n">
        <v>45923</v>
      </c>
      <c r="D697" t="inlineStr">
        <is>
          <t>KALMAR LÄN</t>
        </is>
      </c>
      <c r="E697" t="inlineStr">
        <is>
          <t>VIMMERBY</t>
        </is>
      </c>
      <c r="G697" t="n">
        <v>1.1</v>
      </c>
      <c r="H697" t="n">
        <v>0</v>
      </c>
      <c r="I697" t="n">
        <v>0</v>
      </c>
      <c r="J697" t="n">
        <v>0</v>
      </c>
      <c r="K697" t="n">
        <v>0</v>
      </c>
      <c r="L697" t="n">
        <v>0</v>
      </c>
      <c r="M697" t="n">
        <v>0</v>
      </c>
      <c r="N697" t="n">
        <v>0</v>
      </c>
      <c r="O697" t="n">
        <v>0</v>
      </c>
      <c r="P697" t="n">
        <v>0</v>
      </c>
      <c r="Q697" t="n">
        <v>0</v>
      </c>
      <c r="R697" s="2" t="inlineStr"/>
    </row>
    <row r="698" ht="15" customHeight="1">
      <c r="A698" t="inlineStr">
        <is>
          <t>A 23394-2025</t>
        </is>
      </c>
      <c r="B698" s="1" t="n">
        <v>45791.89865740741</v>
      </c>
      <c r="C698" s="1" t="n">
        <v>45923</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13015-2022</t>
        </is>
      </c>
      <c r="B699" s="1" t="n">
        <v>44643</v>
      </c>
      <c r="C699" s="1" t="n">
        <v>45923</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4624-2024</t>
        </is>
      </c>
      <c r="B700" s="1" t="n">
        <v>45328.38755787037</v>
      </c>
      <c r="C700" s="1" t="n">
        <v>45923</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9129-2025</t>
        </is>
      </c>
      <c r="B701" s="1" t="n">
        <v>45713.92412037037</v>
      </c>
      <c r="C701" s="1" t="n">
        <v>45923</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22643-2023</t>
        </is>
      </c>
      <c r="B702" s="1" t="n">
        <v>45071</v>
      </c>
      <c r="C702" s="1" t="n">
        <v>45923</v>
      </c>
      <c r="D702" t="inlineStr">
        <is>
          <t>KALMAR LÄN</t>
        </is>
      </c>
      <c r="E702" t="inlineStr">
        <is>
          <t>VIMMERBY</t>
        </is>
      </c>
      <c r="G702" t="n">
        <v>3.9</v>
      </c>
      <c r="H702" t="n">
        <v>0</v>
      </c>
      <c r="I702" t="n">
        <v>0</v>
      </c>
      <c r="J702" t="n">
        <v>0</v>
      </c>
      <c r="K702" t="n">
        <v>0</v>
      </c>
      <c r="L702" t="n">
        <v>0</v>
      </c>
      <c r="M702" t="n">
        <v>0</v>
      </c>
      <c r="N702" t="n">
        <v>0</v>
      </c>
      <c r="O702" t="n">
        <v>0</v>
      </c>
      <c r="P702" t="n">
        <v>0</v>
      </c>
      <c r="Q702" t="n">
        <v>0</v>
      </c>
      <c r="R702" s="2" t="inlineStr"/>
    </row>
    <row r="703" ht="15" customHeight="1">
      <c r="A703" t="inlineStr">
        <is>
          <t>A 23984-2025</t>
        </is>
      </c>
      <c r="B703" s="1" t="n">
        <v>45796</v>
      </c>
      <c r="C703" s="1" t="n">
        <v>45923</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34597-2022</t>
        </is>
      </c>
      <c r="B704" s="1" t="n">
        <v>44795</v>
      </c>
      <c r="C704" s="1" t="n">
        <v>45923</v>
      </c>
      <c r="D704" t="inlineStr">
        <is>
          <t>KALMAR LÄN</t>
        </is>
      </c>
      <c r="E704" t="inlineStr">
        <is>
          <t>VIMMERBY</t>
        </is>
      </c>
      <c r="G704" t="n">
        <v>2.2</v>
      </c>
      <c r="H704" t="n">
        <v>0</v>
      </c>
      <c r="I704" t="n">
        <v>0</v>
      </c>
      <c r="J704" t="n">
        <v>0</v>
      </c>
      <c r="K704" t="n">
        <v>0</v>
      </c>
      <c r="L704" t="n">
        <v>0</v>
      </c>
      <c r="M704" t="n">
        <v>0</v>
      </c>
      <c r="N704" t="n">
        <v>0</v>
      </c>
      <c r="O704" t="n">
        <v>0</v>
      </c>
      <c r="P704" t="n">
        <v>0</v>
      </c>
      <c r="Q704" t="n">
        <v>0</v>
      </c>
      <c r="R704" s="2" t="inlineStr"/>
    </row>
    <row r="705" ht="15" customHeight="1">
      <c r="A705" t="inlineStr">
        <is>
          <t>A 40079-2023</t>
        </is>
      </c>
      <c r="B705" s="1" t="n">
        <v>45168.89298611111</v>
      </c>
      <c r="C705" s="1" t="n">
        <v>45923</v>
      </c>
      <c r="D705" t="inlineStr">
        <is>
          <t>KALMAR LÄN</t>
        </is>
      </c>
      <c r="E705" t="inlineStr">
        <is>
          <t>VIMMERBY</t>
        </is>
      </c>
      <c r="G705" t="n">
        <v>1.2</v>
      </c>
      <c r="H705" t="n">
        <v>0</v>
      </c>
      <c r="I705" t="n">
        <v>0</v>
      </c>
      <c r="J705" t="n">
        <v>0</v>
      </c>
      <c r="K705" t="n">
        <v>0</v>
      </c>
      <c r="L705" t="n">
        <v>0</v>
      </c>
      <c r="M705" t="n">
        <v>0</v>
      </c>
      <c r="N705" t="n">
        <v>0</v>
      </c>
      <c r="O705" t="n">
        <v>0</v>
      </c>
      <c r="P705" t="n">
        <v>0</v>
      </c>
      <c r="Q705" t="n">
        <v>0</v>
      </c>
      <c r="R705" s="2" t="inlineStr"/>
    </row>
    <row r="706" ht="15" customHeight="1">
      <c r="A706" t="inlineStr">
        <is>
          <t>A 19833-2023</t>
        </is>
      </c>
      <c r="B706" s="1" t="n">
        <v>45052</v>
      </c>
      <c r="C706" s="1" t="n">
        <v>45923</v>
      </c>
      <c r="D706" t="inlineStr">
        <is>
          <t>KALMAR LÄN</t>
        </is>
      </c>
      <c r="E706" t="inlineStr">
        <is>
          <t>VIMMERBY</t>
        </is>
      </c>
      <c r="G706" t="n">
        <v>6.7</v>
      </c>
      <c r="H706" t="n">
        <v>0</v>
      </c>
      <c r="I706" t="n">
        <v>0</v>
      </c>
      <c r="J706" t="n">
        <v>0</v>
      </c>
      <c r="K706" t="n">
        <v>0</v>
      </c>
      <c r="L706" t="n">
        <v>0</v>
      </c>
      <c r="M706" t="n">
        <v>0</v>
      </c>
      <c r="N706" t="n">
        <v>0</v>
      </c>
      <c r="O706" t="n">
        <v>0</v>
      </c>
      <c r="P706" t="n">
        <v>0</v>
      </c>
      <c r="Q706" t="n">
        <v>0</v>
      </c>
      <c r="R706" s="2" t="inlineStr"/>
    </row>
    <row r="707" ht="15" customHeight="1">
      <c r="A707" t="inlineStr">
        <is>
          <t>A 17084-2025</t>
        </is>
      </c>
      <c r="B707" s="1" t="n">
        <v>45755.64450231481</v>
      </c>
      <c r="C707" s="1" t="n">
        <v>45923</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56022-2024</t>
        </is>
      </c>
      <c r="B708" s="1" t="n">
        <v>45623.95947916667</v>
      </c>
      <c r="C708" s="1" t="n">
        <v>45923</v>
      </c>
      <c r="D708" t="inlineStr">
        <is>
          <t>KALMAR LÄN</t>
        </is>
      </c>
      <c r="E708" t="inlineStr">
        <is>
          <t>VIMMERBY</t>
        </is>
      </c>
      <c r="G708" t="n">
        <v>0.3</v>
      </c>
      <c r="H708" t="n">
        <v>0</v>
      </c>
      <c r="I708" t="n">
        <v>0</v>
      </c>
      <c r="J708" t="n">
        <v>0</v>
      </c>
      <c r="K708" t="n">
        <v>0</v>
      </c>
      <c r="L708" t="n">
        <v>0</v>
      </c>
      <c r="M708" t="n">
        <v>0</v>
      </c>
      <c r="N708" t="n">
        <v>0</v>
      </c>
      <c r="O708" t="n">
        <v>0</v>
      </c>
      <c r="P708" t="n">
        <v>0</v>
      </c>
      <c r="Q708" t="n">
        <v>0</v>
      </c>
      <c r="R708" s="2" t="inlineStr"/>
    </row>
    <row r="709" ht="15" customHeight="1">
      <c r="A709" t="inlineStr">
        <is>
          <t>A 11928-2022</t>
        </is>
      </c>
      <c r="B709" s="1" t="n">
        <v>44635</v>
      </c>
      <c r="C709" s="1" t="n">
        <v>45923</v>
      </c>
      <c r="D709" t="inlineStr">
        <is>
          <t>KALMAR LÄN</t>
        </is>
      </c>
      <c r="E709" t="inlineStr">
        <is>
          <t>VIMMERBY</t>
        </is>
      </c>
      <c r="G709" t="n">
        <v>2.8</v>
      </c>
      <c r="H709" t="n">
        <v>0</v>
      </c>
      <c r="I709" t="n">
        <v>0</v>
      </c>
      <c r="J709" t="n">
        <v>0</v>
      </c>
      <c r="K709" t="n">
        <v>0</v>
      </c>
      <c r="L709" t="n">
        <v>0</v>
      </c>
      <c r="M709" t="n">
        <v>0</v>
      </c>
      <c r="N709" t="n">
        <v>0</v>
      </c>
      <c r="O709" t="n">
        <v>0</v>
      </c>
      <c r="P709" t="n">
        <v>0</v>
      </c>
      <c r="Q709" t="n">
        <v>0</v>
      </c>
      <c r="R709" s="2" t="inlineStr"/>
    </row>
    <row r="710" ht="15" customHeight="1">
      <c r="A710" t="inlineStr">
        <is>
          <t>A 51278-2024</t>
        </is>
      </c>
      <c r="B710" s="1" t="n">
        <v>45603.74959490741</v>
      </c>
      <c r="C710" s="1" t="n">
        <v>45923</v>
      </c>
      <c r="D710" t="inlineStr">
        <is>
          <t>KALMAR LÄN</t>
        </is>
      </c>
      <c r="E710" t="inlineStr">
        <is>
          <t>VIMMERBY</t>
        </is>
      </c>
      <c r="G710" t="n">
        <v>3.4</v>
      </c>
      <c r="H710" t="n">
        <v>0</v>
      </c>
      <c r="I710" t="n">
        <v>0</v>
      </c>
      <c r="J710" t="n">
        <v>0</v>
      </c>
      <c r="K710" t="n">
        <v>0</v>
      </c>
      <c r="L710" t="n">
        <v>0</v>
      </c>
      <c r="M710" t="n">
        <v>0</v>
      </c>
      <c r="N710" t="n">
        <v>0</v>
      </c>
      <c r="O710" t="n">
        <v>0</v>
      </c>
      <c r="P710" t="n">
        <v>0</v>
      </c>
      <c r="Q710" t="n">
        <v>0</v>
      </c>
      <c r="R710" s="2" t="inlineStr"/>
    </row>
    <row r="711" ht="15" customHeight="1">
      <c r="A711" t="inlineStr">
        <is>
          <t>A 35082-2024</t>
        </is>
      </c>
      <c r="B711" s="1" t="n">
        <v>45527.68784722222</v>
      </c>
      <c r="C711" s="1" t="n">
        <v>45923</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5527-2022</t>
        </is>
      </c>
      <c r="B712" s="1" t="n">
        <v>44595.583125</v>
      </c>
      <c r="C712" s="1" t="n">
        <v>45923</v>
      </c>
      <c r="D712" t="inlineStr">
        <is>
          <t>KALMAR LÄN</t>
        </is>
      </c>
      <c r="E712" t="inlineStr">
        <is>
          <t>VIMMERBY</t>
        </is>
      </c>
      <c r="G712" t="n">
        <v>3.6</v>
      </c>
      <c r="H712" t="n">
        <v>0</v>
      </c>
      <c r="I712" t="n">
        <v>0</v>
      </c>
      <c r="J712" t="n">
        <v>0</v>
      </c>
      <c r="K712" t="n">
        <v>0</v>
      </c>
      <c r="L712" t="n">
        <v>0</v>
      </c>
      <c r="M712" t="n">
        <v>0</v>
      </c>
      <c r="N712" t="n">
        <v>0</v>
      </c>
      <c r="O712" t="n">
        <v>0</v>
      </c>
      <c r="P712" t="n">
        <v>0</v>
      </c>
      <c r="Q712" t="n">
        <v>0</v>
      </c>
      <c r="R712" s="2" t="inlineStr"/>
    </row>
    <row r="713" ht="15" customHeight="1">
      <c r="A713" t="inlineStr">
        <is>
          <t>A 44582-2024</t>
        </is>
      </c>
      <c r="B713" s="1" t="n">
        <v>45574.49298611111</v>
      </c>
      <c r="C713" s="1" t="n">
        <v>45923</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9456-2025</t>
        </is>
      </c>
      <c r="B714" s="1" t="n">
        <v>45715.44159722222</v>
      </c>
      <c r="C714" s="1" t="n">
        <v>45923</v>
      </c>
      <c r="D714" t="inlineStr">
        <is>
          <t>KALMAR LÄN</t>
        </is>
      </c>
      <c r="E714" t="inlineStr">
        <is>
          <t>VIMMERBY</t>
        </is>
      </c>
      <c r="G714" t="n">
        <v>1.5</v>
      </c>
      <c r="H714" t="n">
        <v>0</v>
      </c>
      <c r="I714" t="n">
        <v>0</v>
      </c>
      <c r="J714" t="n">
        <v>0</v>
      </c>
      <c r="K714" t="n">
        <v>0</v>
      </c>
      <c r="L714" t="n">
        <v>0</v>
      </c>
      <c r="M714" t="n">
        <v>0</v>
      </c>
      <c r="N714" t="n">
        <v>0</v>
      </c>
      <c r="O714" t="n">
        <v>0</v>
      </c>
      <c r="P714" t="n">
        <v>0</v>
      </c>
      <c r="Q714" t="n">
        <v>0</v>
      </c>
      <c r="R714" s="2" t="inlineStr"/>
    </row>
    <row r="715" ht="15" customHeight="1">
      <c r="A715" t="inlineStr">
        <is>
          <t>A 11111-2023</t>
        </is>
      </c>
      <c r="B715" s="1" t="n">
        <v>44992.4255787037</v>
      </c>
      <c r="C715" s="1" t="n">
        <v>45923</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49461-2023</t>
        </is>
      </c>
      <c r="B716" s="1" t="n">
        <v>45211.52642361111</v>
      </c>
      <c r="C716" s="1" t="n">
        <v>45923</v>
      </c>
      <c r="D716" t="inlineStr">
        <is>
          <t>KALMAR LÄN</t>
        </is>
      </c>
      <c r="E716" t="inlineStr">
        <is>
          <t>VIMMERBY</t>
        </is>
      </c>
      <c r="G716" t="n">
        <v>1.5</v>
      </c>
      <c r="H716" t="n">
        <v>0</v>
      </c>
      <c r="I716" t="n">
        <v>0</v>
      </c>
      <c r="J716" t="n">
        <v>0</v>
      </c>
      <c r="K716" t="n">
        <v>0</v>
      </c>
      <c r="L716" t="n">
        <v>0</v>
      </c>
      <c r="M716" t="n">
        <v>0</v>
      </c>
      <c r="N716" t="n">
        <v>0</v>
      </c>
      <c r="O716" t="n">
        <v>0</v>
      </c>
      <c r="P716" t="n">
        <v>0</v>
      </c>
      <c r="Q716" t="n">
        <v>0</v>
      </c>
      <c r="R716" s="2" t="inlineStr"/>
    </row>
    <row r="717" ht="15" customHeight="1">
      <c r="A717" t="inlineStr">
        <is>
          <t>A 49474-2023</t>
        </is>
      </c>
      <c r="B717" s="1" t="n">
        <v>45211.541875</v>
      </c>
      <c r="C717" s="1" t="n">
        <v>45923</v>
      </c>
      <c r="D717" t="inlineStr">
        <is>
          <t>KALMAR LÄN</t>
        </is>
      </c>
      <c r="E717" t="inlineStr">
        <is>
          <t>VIMMERBY</t>
        </is>
      </c>
      <c r="G717" t="n">
        <v>3.6</v>
      </c>
      <c r="H717" t="n">
        <v>0</v>
      </c>
      <c r="I717" t="n">
        <v>0</v>
      </c>
      <c r="J717" t="n">
        <v>0</v>
      </c>
      <c r="K717" t="n">
        <v>0</v>
      </c>
      <c r="L717" t="n">
        <v>0</v>
      </c>
      <c r="M717" t="n">
        <v>0</v>
      </c>
      <c r="N717" t="n">
        <v>0</v>
      </c>
      <c r="O717" t="n">
        <v>0</v>
      </c>
      <c r="P717" t="n">
        <v>0</v>
      </c>
      <c r="Q717" t="n">
        <v>0</v>
      </c>
      <c r="R717" s="2" t="inlineStr"/>
    </row>
    <row r="718" ht="15" customHeight="1">
      <c r="A718" t="inlineStr">
        <is>
          <t>A 61861-2024</t>
        </is>
      </c>
      <c r="B718" s="1" t="n">
        <v>45650.37370370371</v>
      </c>
      <c r="C718" s="1" t="n">
        <v>45923</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58724-2024</t>
        </is>
      </c>
      <c r="B719" s="1" t="n">
        <v>45635.66409722222</v>
      </c>
      <c r="C719" s="1" t="n">
        <v>45923</v>
      </c>
      <c r="D719" t="inlineStr">
        <is>
          <t>KALMAR LÄN</t>
        </is>
      </c>
      <c r="E719" t="inlineStr">
        <is>
          <t>VIMMERBY</t>
        </is>
      </c>
      <c r="G719" t="n">
        <v>1</v>
      </c>
      <c r="H719" t="n">
        <v>0</v>
      </c>
      <c r="I719" t="n">
        <v>0</v>
      </c>
      <c r="J719" t="n">
        <v>0</v>
      </c>
      <c r="K719" t="n">
        <v>0</v>
      </c>
      <c r="L719" t="n">
        <v>0</v>
      </c>
      <c r="M719" t="n">
        <v>0</v>
      </c>
      <c r="N719" t="n">
        <v>0</v>
      </c>
      <c r="O719" t="n">
        <v>0</v>
      </c>
      <c r="P719" t="n">
        <v>0</v>
      </c>
      <c r="Q719" t="n">
        <v>0</v>
      </c>
      <c r="R719" s="2" t="inlineStr"/>
    </row>
    <row r="720" ht="15" customHeight="1">
      <c r="A720" t="inlineStr">
        <is>
          <t>A 15494-2024</t>
        </is>
      </c>
      <c r="B720" s="1" t="n">
        <v>45401.53033564815</v>
      </c>
      <c r="C720" s="1" t="n">
        <v>45923</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45846-2023</t>
        </is>
      </c>
      <c r="B721" s="1" t="n">
        <v>45195.58452546296</v>
      </c>
      <c r="C721" s="1" t="n">
        <v>45923</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26039-2025</t>
        </is>
      </c>
      <c r="B722" s="1" t="n">
        <v>45804.6953587963</v>
      </c>
      <c r="C722" s="1" t="n">
        <v>45923</v>
      </c>
      <c r="D722" t="inlineStr">
        <is>
          <t>KALMAR LÄN</t>
        </is>
      </c>
      <c r="E722" t="inlineStr">
        <is>
          <t>VIMMERBY</t>
        </is>
      </c>
      <c r="F722" t="inlineStr">
        <is>
          <t>Sveaskog</t>
        </is>
      </c>
      <c r="G722" t="n">
        <v>5.2</v>
      </c>
      <c r="H722" t="n">
        <v>0</v>
      </c>
      <c r="I722" t="n">
        <v>0</v>
      </c>
      <c r="J722" t="n">
        <v>0</v>
      </c>
      <c r="K722" t="n">
        <v>0</v>
      </c>
      <c r="L722" t="n">
        <v>0</v>
      </c>
      <c r="M722" t="n">
        <v>0</v>
      </c>
      <c r="N722" t="n">
        <v>0</v>
      </c>
      <c r="O722" t="n">
        <v>0</v>
      </c>
      <c r="P722" t="n">
        <v>0</v>
      </c>
      <c r="Q722" t="n">
        <v>0</v>
      </c>
      <c r="R722" s="2" t="inlineStr"/>
    </row>
    <row r="723" ht="15" customHeight="1">
      <c r="A723" t="inlineStr">
        <is>
          <t>A 26046-2025</t>
        </is>
      </c>
      <c r="B723" s="1" t="n">
        <v>45804.708125</v>
      </c>
      <c r="C723" s="1" t="n">
        <v>45923</v>
      </c>
      <c r="D723" t="inlineStr">
        <is>
          <t>KALMAR LÄN</t>
        </is>
      </c>
      <c r="E723" t="inlineStr">
        <is>
          <t>VIMMERBY</t>
        </is>
      </c>
      <c r="F723" t="inlineStr">
        <is>
          <t>Sveaskog</t>
        </is>
      </c>
      <c r="G723" t="n">
        <v>5.1</v>
      </c>
      <c r="H723" t="n">
        <v>0</v>
      </c>
      <c r="I723" t="n">
        <v>0</v>
      </c>
      <c r="J723" t="n">
        <v>0</v>
      </c>
      <c r="K723" t="n">
        <v>0</v>
      </c>
      <c r="L723" t="n">
        <v>0</v>
      </c>
      <c r="M723" t="n">
        <v>0</v>
      </c>
      <c r="N723" t="n">
        <v>0</v>
      </c>
      <c r="O723" t="n">
        <v>0</v>
      </c>
      <c r="P723" t="n">
        <v>0</v>
      </c>
      <c r="Q723" t="n">
        <v>0</v>
      </c>
      <c r="R723" s="2" t="inlineStr"/>
    </row>
    <row r="724" ht="15" customHeight="1">
      <c r="A724" t="inlineStr">
        <is>
          <t>A 8167-2024</t>
        </is>
      </c>
      <c r="B724" s="1" t="n">
        <v>45351.6062962963</v>
      </c>
      <c r="C724" s="1" t="n">
        <v>45923</v>
      </c>
      <c r="D724" t="inlineStr">
        <is>
          <t>KALMAR LÄN</t>
        </is>
      </c>
      <c r="E724" t="inlineStr">
        <is>
          <t>VIMMERBY</t>
        </is>
      </c>
      <c r="G724" t="n">
        <v>3.8</v>
      </c>
      <c r="H724" t="n">
        <v>0</v>
      </c>
      <c r="I724" t="n">
        <v>0</v>
      </c>
      <c r="J724" t="n">
        <v>0</v>
      </c>
      <c r="K724" t="n">
        <v>0</v>
      </c>
      <c r="L724" t="n">
        <v>0</v>
      </c>
      <c r="M724" t="n">
        <v>0</v>
      </c>
      <c r="N724" t="n">
        <v>0</v>
      </c>
      <c r="O724" t="n">
        <v>0</v>
      </c>
      <c r="P724" t="n">
        <v>0</v>
      </c>
      <c r="Q724" t="n">
        <v>0</v>
      </c>
      <c r="R724" s="2" t="inlineStr"/>
    </row>
    <row r="725" ht="15" customHeight="1">
      <c r="A725" t="inlineStr">
        <is>
          <t>A 25792-2025</t>
        </is>
      </c>
      <c r="B725" s="1" t="n">
        <v>45804.39141203704</v>
      </c>
      <c r="C725" s="1" t="n">
        <v>45923</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49382-2023</t>
        </is>
      </c>
      <c r="B726" s="1" t="n">
        <v>45208</v>
      </c>
      <c r="C726" s="1" t="n">
        <v>45923</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25830-2025</t>
        </is>
      </c>
      <c r="B727" s="1" t="n">
        <v>45804.44519675926</v>
      </c>
      <c r="C727" s="1" t="n">
        <v>45923</v>
      </c>
      <c r="D727" t="inlineStr">
        <is>
          <t>KALMAR LÄN</t>
        </is>
      </c>
      <c r="E727" t="inlineStr">
        <is>
          <t>VIMMERBY</t>
        </is>
      </c>
      <c r="G727" t="n">
        <v>4.9</v>
      </c>
      <c r="H727" t="n">
        <v>0</v>
      </c>
      <c r="I727" t="n">
        <v>0</v>
      </c>
      <c r="J727" t="n">
        <v>0</v>
      </c>
      <c r="K727" t="n">
        <v>0</v>
      </c>
      <c r="L727" t="n">
        <v>0</v>
      </c>
      <c r="M727" t="n">
        <v>0</v>
      </c>
      <c r="N727" t="n">
        <v>0</v>
      </c>
      <c r="O727" t="n">
        <v>0</v>
      </c>
      <c r="P727" t="n">
        <v>0</v>
      </c>
      <c r="Q727" t="n">
        <v>0</v>
      </c>
      <c r="R727" s="2" t="inlineStr"/>
    </row>
    <row r="728" ht="15" customHeight="1">
      <c r="A728" t="inlineStr">
        <is>
          <t>A 12121-2025</t>
        </is>
      </c>
      <c r="B728" s="1" t="n">
        <v>45729.36868055556</v>
      </c>
      <c r="C728" s="1" t="n">
        <v>45923</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26124-2025</t>
        </is>
      </c>
      <c r="B729" s="1" t="n">
        <v>45805.39247685186</v>
      </c>
      <c r="C729" s="1" t="n">
        <v>45923</v>
      </c>
      <c r="D729" t="inlineStr">
        <is>
          <t>KALMAR LÄN</t>
        </is>
      </c>
      <c r="E729" t="inlineStr">
        <is>
          <t>VIMMERBY</t>
        </is>
      </c>
      <c r="G729" t="n">
        <v>6.6</v>
      </c>
      <c r="H729" t="n">
        <v>0</v>
      </c>
      <c r="I729" t="n">
        <v>0</v>
      </c>
      <c r="J729" t="n">
        <v>0</v>
      </c>
      <c r="K729" t="n">
        <v>0</v>
      </c>
      <c r="L729" t="n">
        <v>0</v>
      </c>
      <c r="M729" t="n">
        <v>0</v>
      </c>
      <c r="N729" t="n">
        <v>0</v>
      </c>
      <c r="O729" t="n">
        <v>0</v>
      </c>
      <c r="P729" t="n">
        <v>0</v>
      </c>
      <c r="Q729" t="n">
        <v>0</v>
      </c>
      <c r="R729" s="2" t="inlineStr"/>
    </row>
    <row r="730" ht="15" customHeight="1">
      <c r="A730" t="inlineStr">
        <is>
          <t>A 35846-2023</t>
        </is>
      </c>
      <c r="B730" s="1" t="n">
        <v>45148</v>
      </c>
      <c r="C730" s="1" t="n">
        <v>45923</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35913-2023</t>
        </is>
      </c>
      <c r="B731" s="1" t="n">
        <v>45148</v>
      </c>
      <c r="C731" s="1" t="n">
        <v>45923</v>
      </c>
      <c r="D731" t="inlineStr">
        <is>
          <t>KALMAR LÄN</t>
        </is>
      </c>
      <c r="E731" t="inlineStr">
        <is>
          <t>VIMMERBY</t>
        </is>
      </c>
      <c r="G731" t="n">
        <v>6.9</v>
      </c>
      <c r="H731" t="n">
        <v>0</v>
      </c>
      <c r="I731" t="n">
        <v>0</v>
      </c>
      <c r="J731" t="n">
        <v>0</v>
      </c>
      <c r="K731" t="n">
        <v>0</v>
      </c>
      <c r="L731" t="n">
        <v>0</v>
      </c>
      <c r="M731" t="n">
        <v>0</v>
      </c>
      <c r="N731" t="n">
        <v>0</v>
      </c>
      <c r="O731" t="n">
        <v>0</v>
      </c>
      <c r="P731" t="n">
        <v>0</v>
      </c>
      <c r="Q731" t="n">
        <v>0</v>
      </c>
      <c r="R731" s="2" t="inlineStr"/>
    </row>
    <row r="732" ht="15" customHeight="1">
      <c r="A732" t="inlineStr">
        <is>
          <t>A 38757-2023</t>
        </is>
      </c>
      <c r="B732" s="1" t="n">
        <v>45163.41376157408</v>
      </c>
      <c r="C732" s="1" t="n">
        <v>45923</v>
      </c>
      <c r="D732" t="inlineStr">
        <is>
          <t>KALMAR LÄN</t>
        </is>
      </c>
      <c r="E732" t="inlineStr">
        <is>
          <t>VIMMERBY</t>
        </is>
      </c>
      <c r="G732" t="n">
        <v>2.5</v>
      </c>
      <c r="H732" t="n">
        <v>0</v>
      </c>
      <c r="I732" t="n">
        <v>0</v>
      </c>
      <c r="J732" t="n">
        <v>0</v>
      </c>
      <c r="K732" t="n">
        <v>0</v>
      </c>
      <c r="L732" t="n">
        <v>0</v>
      </c>
      <c r="M732" t="n">
        <v>0</v>
      </c>
      <c r="N732" t="n">
        <v>0</v>
      </c>
      <c r="O732" t="n">
        <v>0</v>
      </c>
      <c r="P732" t="n">
        <v>0</v>
      </c>
      <c r="Q732" t="n">
        <v>0</v>
      </c>
      <c r="R732" s="2" t="inlineStr"/>
    </row>
    <row r="733" ht="15" customHeight="1">
      <c r="A733" t="inlineStr">
        <is>
          <t>A 20136-2024</t>
        </is>
      </c>
      <c r="B733" s="1" t="n">
        <v>45434.56291666667</v>
      </c>
      <c r="C733" s="1" t="n">
        <v>45923</v>
      </c>
      <c r="D733" t="inlineStr">
        <is>
          <t>KALMAR LÄN</t>
        </is>
      </c>
      <c r="E733" t="inlineStr">
        <is>
          <t>VIMMERBY</t>
        </is>
      </c>
      <c r="F733" t="inlineStr">
        <is>
          <t>Sveaskog</t>
        </is>
      </c>
      <c r="G733" t="n">
        <v>8.4</v>
      </c>
      <c r="H733" t="n">
        <v>0</v>
      </c>
      <c r="I733" t="n">
        <v>0</v>
      </c>
      <c r="J733" t="n">
        <v>0</v>
      </c>
      <c r="K733" t="n">
        <v>0</v>
      </c>
      <c r="L733" t="n">
        <v>0</v>
      </c>
      <c r="M733" t="n">
        <v>0</v>
      </c>
      <c r="N733" t="n">
        <v>0</v>
      </c>
      <c r="O733" t="n">
        <v>0</v>
      </c>
      <c r="P733" t="n">
        <v>0</v>
      </c>
      <c r="Q733" t="n">
        <v>0</v>
      </c>
      <c r="R733" s="2" t="inlineStr"/>
    </row>
    <row r="734" ht="15" customHeight="1">
      <c r="A734" t="inlineStr">
        <is>
          <t>A 26254-2025</t>
        </is>
      </c>
      <c r="B734" s="1" t="n">
        <v>45805</v>
      </c>
      <c r="C734" s="1" t="n">
        <v>45923</v>
      </c>
      <c r="D734" t="inlineStr">
        <is>
          <t>KALMAR LÄN</t>
        </is>
      </c>
      <c r="E734" t="inlineStr">
        <is>
          <t>VIMMERBY</t>
        </is>
      </c>
      <c r="G734" t="n">
        <v>2</v>
      </c>
      <c r="H734" t="n">
        <v>0</v>
      </c>
      <c r="I734" t="n">
        <v>0</v>
      </c>
      <c r="J734" t="n">
        <v>0</v>
      </c>
      <c r="K734" t="n">
        <v>0</v>
      </c>
      <c r="L734" t="n">
        <v>0</v>
      </c>
      <c r="M734" t="n">
        <v>0</v>
      </c>
      <c r="N734" t="n">
        <v>0</v>
      </c>
      <c r="O734" t="n">
        <v>0</v>
      </c>
      <c r="P734" t="n">
        <v>0</v>
      </c>
      <c r="Q734" t="n">
        <v>0</v>
      </c>
      <c r="R734" s="2" t="inlineStr"/>
    </row>
    <row r="735" ht="15" customHeight="1">
      <c r="A735" t="inlineStr">
        <is>
          <t>A 24283-2023</t>
        </is>
      </c>
      <c r="B735" s="1" t="n">
        <v>45079.87827546296</v>
      </c>
      <c r="C735" s="1" t="n">
        <v>45923</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26207-2025</t>
        </is>
      </c>
      <c r="B736" s="1" t="n">
        <v>45805.52983796296</v>
      </c>
      <c r="C736" s="1" t="n">
        <v>45923</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59598-2023</t>
        </is>
      </c>
      <c r="B737" s="1" t="n">
        <v>45254.62489583333</v>
      </c>
      <c r="C737" s="1" t="n">
        <v>45923</v>
      </c>
      <c r="D737" t="inlineStr">
        <is>
          <t>KALMAR LÄN</t>
        </is>
      </c>
      <c r="E737" t="inlineStr">
        <is>
          <t>VIMMERBY</t>
        </is>
      </c>
      <c r="F737" t="inlineStr">
        <is>
          <t>Övriga Aktiebolag</t>
        </is>
      </c>
      <c r="G737" t="n">
        <v>4</v>
      </c>
      <c r="H737" t="n">
        <v>0</v>
      </c>
      <c r="I737" t="n">
        <v>0</v>
      </c>
      <c r="J737" t="n">
        <v>0</v>
      </c>
      <c r="K737" t="n">
        <v>0</v>
      </c>
      <c r="L737" t="n">
        <v>0</v>
      </c>
      <c r="M737" t="n">
        <v>0</v>
      </c>
      <c r="N737" t="n">
        <v>0</v>
      </c>
      <c r="O737" t="n">
        <v>0</v>
      </c>
      <c r="P737" t="n">
        <v>0</v>
      </c>
      <c r="Q737" t="n">
        <v>0</v>
      </c>
      <c r="R737" s="2" t="inlineStr"/>
    </row>
    <row r="738" ht="15" customHeight="1">
      <c r="A738" t="inlineStr">
        <is>
          <t>A 30920-2023</t>
        </is>
      </c>
      <c r="B738" s="1" t="n">
        <v>45113.43921296296</v>
      </c>
      <c r="C738" s="1" t="n">
        <v>45923</v>
      </c>
      <c r="D738" t="inlineStr">
        <is>
          <t>KALMAR LÄN</t>
        </is>
      </c>
      <c r="E738" t="inlineStr">
        <is>
          <t>VIMMERBY</t>
        </is>
      </c>
      <c r="G738" t="n">
        <v>3.1</v>
      </c>
      <c r="H738" t="n">
        <v>0</v>
      </c>
      <c r="I738" t="n">
        <v>0</v>
      </c>
      <c r="J738" t="n">
        <v>0</v>
      </c>
      <c r="K738" t="n">
        <v>0</v>
      </c>
      <c r="L738" t="n">
        <v>0</v>
      </c>
      <c r="M738" t="n">
        <v>0</v>
      </c>
      <c r="N738" t="n">
        <v>0</v>
      </c>
      <c r="O738" t="n">
        <v>0</v>
      </c>
      <c r="P738" t="n">
        <v>0</v>
      </c>
      <c r="Q738" t="n">
        <v>0</v>
      </c>
      <c r="R738" s="2" t="inlineStr"/>
    </row>
    <row r="739" ht="15" customHeight="1">
      <c r="A739" t="inlineStr">
        <is>
          <t>A 40929-2022</t>
        </is>
      </c>
      <c r="B739" s="1" t="n">
        <v>44825.4336574074</v>
      </c>
      <c r="C739" s="1" t="n">
        <v>45923</v>
      </c>
      <c r="D739" t="inlineStr">
        <is>
          <t>KALMAR LÄN</t>
        </is>
      </c>
      <c r="E739" t="inlineStr">
        <is>
          <t>VIMMERBY</t>
        </is>
      </c>
      <c r="G739" t="n">
        <v>2.5</v>
      </c>
      <c r="H739" t="n">
        <v>0</v>
      </c>
      <c r="I739" t="n">
        <v>0</v>
      </c>
      <c r="J739" t="n">
        <v>0</v>
      </c>
      <c r="K739" t="n">
        <v>0</v>
      </c>
      <c r="L739" t="n">
        <v>0</v>
      </c>
      <c r="M739" t="n">
        <v>0</v>
      </c>
      <c r="N739" t="n">
        <v>0</v>
      </c>
      <c r="O739" t="n">
        <v>0</v>
      </c>
      <c r="P739" t="n">
        <v>0</v>
      </c>
      <c r="Q739" t="n">
        <v>0</v>
      </c>
      <c r="R739" s="2" t="inlineStr"/>
    </row>
    <row r="740" ht="15" customHeight="1">
      <c r="A740" t="inlineStr">
        <is>
          <t>A 33380-2023</t>
        </is>
      </c>
      <c r="B740" s="1" t="n">
        <v>45128</v>
      </c>
      <c r="C740" s="1" t="n">
        <v>45923</v>
      </c>
      <c r="D740" t="inlineStr">
        <is>
          <t>KALMAR LÄN</t>
        </is>
      </c>
      <c r="E740" t="inlineStr">
        <is>
          <t>VIMMERBY</t>
        </is>
      </c>
      <c r="G740" t="n">
        <v>5.2</v>
      </c>
      <c r="H740" t="n">
        <v>0</v>
      </c>
      <c r="I740" t="n">
        <v>0</v>
      </c>
      <c r="J740" t="n">
        <v>0</v>
      </c>
      <c r="K740" t="n">
        <v>0</v>
      </c>
      <c r="L740" t="n">
        <v>0</v>
      </c>
      <c r="M740" t="n">
        <v>0</v>
      </c>
      <c r="N740" t="n">
        <v>0</v>
      </c>
      <c r="O740" t="n">
        <v>0</v>
      </c>
      <c r="P740" t="n">
        <v>0</v>
      </c>
      <c r="Q740" t="n">
        <v>0</v>
      </c>
      <c r="R740" s="2" t="inlineStr"/>
    </row>
    <row r="741" ht="15" customHeight="1">
      <c r="A741" t="inlineStr">
        <is>
          <t>A 46144-2023</t>
        </is>
      </c>
      <c r="B741" s="1" t="n">
        <v>45196.57247685185</v>
      </c>
      <c r="C741" s="1" t="n">
        <v>45923</v>
      </c>
      <c r="D741" t="inlineStr">
        <is>
          <t>KALMAR LÄN</t>
        </is>
      </c>
      <c r="E741" t="inlineStr">
        <is>
          <t>VIMMERBY</t>
        </is>
      </c>
      <c r="G741" t="n">
        <v>6.5</v>
      </c>
      <c r="H741" t="n">
        <v>0</v>
      </c>
      <c r="I741" t="n">
        <v>0</v>
      </c>
      <c r="J741" t="n">
        <v>0</v>
      </c>
      <c r="K741" t="n">
        <v>0</v>
      </c>
      <c r="L741" t="n">
        <v>0</v>
      </c>
      <c r="M741" t="n">
        <v>0</v>
      </c>
      <c r="N741" t="n">
        <v>0</v>
      </c>
      <c r="O741" t="n">
        <v>0</v>
      </c>
      <c r="P741" t="n">
        <v>0</v>
      </c>
      <c r="Q741" t="n">
        <v>0</v>
      </c>
      <c r="R741" s="2" t="inlineStr"/>
    </row>
    <row r="742" ht="15" customHeight="1">
      <c r="A742" t="inlineStr">
        <is>
          <t>A 54787-2023</t>
        </is>
      </c>
      <c r="B742" s="1" t="n">
        <v>45236</v>
      </c>
      <c r="C742" s="1" t="n">
        <v>45923</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15715-2022</t>
        </is>
      </c>
      <c r="B743" s="1" t="n">
        <v>44663</v>
      </c>
      <c r="C743" s="1" t="n">
        <v>45923</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43774-2023</t>
        </is>
      </c>
      <c r="B744" s="1" t="n">
        <v>45187</v>
      </c>
      <c r="C744" s="1" t="n">
        <v>45923</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43705-2023</t>
        </is>
      </c>
      <c r="B745" s="1" t="n">
        <v>45187.42854166667</v>
      </c>
      <c r="C745" s="1" t="n">
        <v>45923</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7932-2025</t>
        </is>
      </c>
      <c r="B746" s="1" t="n">
        <v>45707.3793287037</v>
      </c>
      <c r="C746" s="1" t="n">
        <v>45923</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13532-2025</t>
        </is>
      </c>
      <c r="B747" s="1" t="n">
        <v>45736.50743055555</v>
      </c>
      <c r="C747" s="1" t="n">
        <v>45923</v>
      </c>
      <c r="D747" t="inlineStr">
        <is>
          <t>KALMAR LÄN</t>
        </is>
      </c>
      <c r="E747" t="inlineStr">
        <is>
          <t>VIMMERBY</t>
        </is>
      </c>
      <c r="G747" t="n">
        <v>3.6</v>
      </c>
      <c r="H747" t="n">
        <v>0</v>
      </c>
      <c r="I747" t="n">
        <v>0</v>
      </c>
      <c r="J747" t="n">
        <v>0</v>
      </c>
      <c r="K747" t="n">
        <v>0</v>
      </c>
      <c r="L747" t="n">
        <v>0</v>
      </c>
      <c r="M747" t="n">
        <v>0</v>
      </c>
      <c r="N747" t="n">
        <v>0</v>
      </c>
      <c r="O747" t="n">
        <v>0</v>
      </c>
      <c r="P747" t="n">
        <v>0</v>
      </c>
      <c r="Q747" t="n">
        <v>0</v>
      </c>
      <c r="R747" s="2" t="inlineStr"/>
    </row>
    <row r="748" ht="15" customHeight="1">
      <c r="A748" t="inlineStr">
        <is>
          <t>A 65049-2020</t>
        </is>
      </c>
      <c r="B748" s="1" t="n">
        <v>44172</v>
      </c>
      <c r="C748" s="1" t="n">
        <v>45923</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1978-2024</t>
        </is>
      </c>
      <c r="B749" s="1" t="n">
        <v>45308.59001157407</v>
      </c>
      <c r="C749" s="1" t="n">
        <v>45923</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6399-2025</t>
        </is>
      </c>
      <c r="B750" s="1" t="n">
        <v>45699.44291666667</v>
      </c>
      <c r="C750" s="1" t="n">
        <v>45923</v>
      </c>
      <c r="D750" t="inlineStr">
        <is>
          <t>KALMAR LÄN</t>
        </is>
      </c>
      <c r="E750" t="inlineStr">
        <is>
          <t>VIMMERBY</t>
        </is>
      </c>
      <c r="G750" t="n">
        <v>3.1</v>
      </c>
      <c r="H750" t="n">
        <v>0</v>
      </c>
      <c r="I750" t="n">
        <v>0</v>
      </c>
      <c r="J750" t="n">
        <v>0</v>
      </c>
      <c r="K750" t="n">
        <v>0</v>
      </c>
      <c r="L750" t="n">
        <v>0</v>
      </c>
      <c r="M750" t="n">
        <v>0</v>
      </c>
      <c r="N750" t="n">
        <v>0</v>
      </c>
      <c r="O750" t="n">
        <v>0</v>
      </c>
      <c r="P750" t="n">
        <v>0</v>
      </c>
      <c r="Q750" t="n">
        <v>0</v>
      </c>
      <c r="R750" s="2" t="inlineStr"/>
    </row>
    <row r="751" ht="15" customHeight="1">
      <c r="A751" t="inlineStr">
        <is>
          <t>A 41311-2023</t>
        </is>
      </c>
      <c r="B751" s="1" t="n">
        <v>45174</v>
      </c>
      <c r="C751" s="1" t="n">
        <v>45923</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27719-2025</t>
        </is>
      </c>
      <c r="B752" s="1" t="n">
        <v>45814.3865625</v>
      </c>
      <c r="C752" s="1" t="n">
        <v>45923</v>
      </c>
      <c r="D752" t="inlineStr">
        <is>
          <t>KALMAR LÄN</t>
        </is>
      </c>
      <c r="E752" t="inlineStr">
        <is>
          <t>VIMMERBY</t>
        </is>
      </c>
      <c r="G752" t="n">
        <v>2</v>
      </c>
      <c r="H752" t="n">
        <v>0</v>
      </c>
      <c r="I752" t="n">
        <v>0</v>
      </c>
      <c r="J752" t="n">
        <v>0</v>
      </c>
      <c r="K752" t="n">
        <v>0</v>
      </c>
      <c r="L752" t="n">
        <v>0</v>
      </c>
      <c r="M752" t="n">
        <v>0</v>
      </c>
      <c r="N752" t="n">
        <v>0</v>
      </c>
      <c r="O752" t="n">
        <v>0</v>
      </c>
      <c r="P752" t="n">
        <v>0</v>
      </c>
      <c r="Q752" t="n">
        <v>0</v>
      </c>
      <c r="R752" s="2" t="inlineStr"/>
    </row>
    <row r="753" ht="15" customHeight="1">
      <c r="A753" t="inlineStr">
        <is>
          <t>A 27718-2025</t>
        </is>
      </c>
      <c r="B753" s="1" t="n">
        <v>45814.38221064815</v>
      </c>
      <c r="C753" s="1" t="n">
        <v>45923</v>
      </c>
      <c r="D753" t="inlineStr">
        <is>
          <t>KALMAR LÄN</t>
        </is>
      </c>
      <c r="E753" t="inlineStr">
        <is>
          <t>VIMMERBY</t>
        </is>
      </c>
      <c r="G753" t="n">
        <v>0.9</v>
      </c>
      <c r="H753" t="n">
        <v>0</v>
      </c>
      <c r="I753" t="n">
        <v>0</v>
      </c>
      <c r="J753" t="n">
        <v>0</v>
      </c>
      <c r="K753" t="n">
        <v>0</v>
      </c>
      <c r="L753" t="n">
        <v>0</v>
      </c>
      <c r="M753" t="n">
        <v>0</v>
      </c>
      <c r="N753" t="n">
        <v>0</v>
      </c>
      <c r="O753" t="n">
        <v>0</v>
      </c>
      <c r="P753" t="n">
        <v>0</v>
      </c>
      <c r="Q753" t="n">
        <v>0</v>
      </c>
      <c r="R753" s="2" t="inlineStr"/>
    </row>
    <row r="754" ht="15" customHeight="1">
      <c r="A754" t="inlineStr">
        <is>
          <t>A 28290-2025</t>
        </is>
      </c>
      <c r="B754" s="1" t="n">
        <v>45818.59261574074</v>
      </c>
      <c r="C754" s="1" t="n">
        <v>45923</v>
      </c>
      <c r="D754" t="inlineStr">
        <is>
          <t>KALMAR LÄN</t>
        </is>
      </c>
      <c r="E754" t="inlineStr">
        <is>
          <t>VIMMERBY</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28280-2025</t>
        </is>
      </c>
      <c r="B755" s="1" t="n">
        <v>45818.5862037037</v>
      </c>
      <c r="C755" s="1" t="n">
        <v>45923</v>
      </c>
      <c r="D755" t="inlineStr">
        <is>
          <t>KALMAR LÄN</t>
        </is>
      </c>
      <c r="E755" t="inlineStr">
        <is>
          <t>VIMMERBY</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28286-2025</t>
        </is>
      </c>
      <c r="B756" s="1" t="n">
        <v>45818.58993055556</v>
      </c>
      <c r="C756" s="1" t="n">
        <v>45923</v>
      </c>
      <c r="D756" t="inlineStr">
        <is>
          <t>KALMAR LÄN</t>
        </is>
      </c>
      <c r="E756" t="inlineStr">
        <is>
          <t>VIMMERBY</t>
        </is>
      </c>
      <c r="F756" t="inlineStr">
        <is>
          <t>Sveaskog</t>
        </is>
      </c>
      <c r="G756" t="n">
        <v>8</v>
      </c>
      <c r="H756" t="n">
        <v>0</v>
      </c>
      <c r="I756" t="n">
        <v>0</v>
      </c>
      <c r="J756" t="n">
        <v>0</v>
      </c>
      <c r="K756" t="n">
        <v>0</v>
      </c>
      <c r="L756" t="n">
        <v>0</v>
      </c>
      <c r="M756" t="n">
        <v>0</v>
      </c>
      <c r="N756" t="n">
        <v>0</v>
      </c>
      <c r="O756" t="n">
        <v>0</v>
      </c>
      <c r="P756" t="n">
        <v>0</v>
      </c>
      <c r="Q756" t="n">
        <v>0</v>
      </c>
      <c r="R756" s="2" t="inlineStr"/>
    </row>
    <row r="757" ht="15" customHeight="1">
      <c r="A757" t="inlineStr">
        <is>
          <t>A 10785-2025</t>
        </is>
      </c>
      <c r="B757" s="1" t="n">
        <v>45722.48634259259</v>
      </c>
      <c r="C757" s="1" t="n">
        <v>45923</v>
      </c>
      <c r="D757" t="inlineStr">
        <is>
          <t>KALMAR LÄN</t>
        </is>
      </c>
      <c r="E757" t="inlineStr">
        <is>
          <t>VIMMERBY</t>
        </is>
      </c>
      <c r="G757" t="n">
        <v>0.5</v>
      </c>
      <c r="H757" t="n">
        <v>0</v>
      </c>
      <c r="I757" t="n">
        <v>0</v>
      </c>
      <c r="J757" t="n">
        <v>0</v>
      </c>
      <c r="K757" t="n">
        <v>0</v>
      </c>
      <c r="L757" t="n">
        <v>0</v>
      </c>
      <c r="M757" t="n">
        <v>0</v>
      </c>
      <c r="N757" t="n">
        <v>0</v>
      </c>
      <c r="O757" t="n">
        <v>0</v>
      </c>
      <c r="P757" t="n">
        <v>0</v>
      </c>
      <c r="Q757" t="n">
        <v>0</v>
      </c>
      <c r="R757" s="2" t="inlineStr"/>
    </row>
    <row r="758" ht="15" customHeight="1">
      <c r="A758" t="inlineStr">
        <is>
          <t>A 10211-2025</t>
        </is>
      </c>
      <c r="B758" s="1" t="n">
        <v>45719.84378472222</v>
      </c>
      <c r="C758" s="1" t="n">
        <v>45923</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28282-2025</t>
        </is>
      </c>
      <c r="B759" s="1" t="n">
        <v>45818.58769675926</v>
      </c>
      <c r="C759" s="1" t="n">
        <v>45923</v>
      </c>
      <c r="D759" t="inlineStr">
        <is>
          <t>KALMAR LÄN</t>
        </is>
      </c>
      <c r="E759" t="inlineStr">
        <is>
          <t>VIMMERBY</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28294-2025</t>
        </is>
      </c>
      <c r="B760" s="1" t="n">
        <v>45818.595625</v>
      </c>
      <c r="C760" s="1" t="n">
        <v>45923</v>
      </c>
      <c r="D760" t="inlineStr">
        <is>
          <t>KALMAR LÄN</t>
        </is>
      </c>
      <c r="E760" t="inlineStr">
        <is>
          <t>VIMMERBY</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18020-2025</t>
        </is>
      </c>
      <c r="B761" s="1" t="n">
        <v>45761.4437962963</v>
      </c>
      <c r="C761" s="1" t="n">
        <v>45923</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585-2024</t>
        </is>
      </c>
      <c r="B762" s="1" t="n">
        <v>45299.62576388889</v>
      </c>
      <c r="C762" s="1" t="n">
        <v>45923</v>
      </c>
      <c r="D762" t="inlineStr">
        <is>
          <t>KALMAR LÄN</t>
        </is>
      </c>
      <c r="E762" t="inlineStr">
        <is>
          <t>VIMMERBY</t>
        </is>
      </c>
      <c r="G762" t="n">
        <v>0.7</v>
      </c>
      <c r="H762" t="n">
        <v>0</v>
      </c>
      <c r="I762" t="n">
        <v>0</v>
      </c>
      <c r="J762" t="n">
        <v>0</v>
      </c>
      <c r="K762" t="n">
        <v>0</v>
      </c>
      <c r="L762" t="n">
        <v>0</v>
      </c>
      <c r="M762" t="n">
        <v>0</v>
      </c>
      <c r="N762" t="n">
        <v>0</v>
      </c>
      <c r="O762" t="n">
        <v>0</v>
      </c>
      <c r="P762" t="n">
        <v>0</v>
      </c>
      <c r="Q762" t="n">
        <v>0</v>
      </c>
      <c r="R762" s="2" t="inlineStr"/>
    </row>
    <row r="763" ht="15" customHeight="1">
      <c r="A763" t="inlineStr">
        <is>
          <t>A 6802-2025</t>
        </is>
      </c>
      <c r="B763" s="1" t="n">
        <v>45700.68289351852</v>
      </c>
      <c r="C763" s="1" t="n">
        <v>45923</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56020-2024</t>
        </is>
      </c>
      <c r="B764" s="1" t="n">
        <v>45623.9525462963</v>
      </c>
      <c r="C764" s="1" t="n">
        <v>45923</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33842-2022</t>
        </is>
      </c>
      <c r="B765" s="1" t="n">
        <v>44790.49523148148</v>
      </c>
      <c r="C765" s="1" t="n">
        <v>45923</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60675-2023</t>
        </is>
      </c>
      <c r="B766" s="1" t="n">
        <v>45260.4716550926</v>
      </c>
      <c r="C766" s="1" t="n">
        <v>45923</v>
      </c>
      <c r="D766" t="inlineStr">
        <is>
          <t>KALMAR LÄN</t>
        </is>
      </c>
      <c r="E766" t="inlineStr">
        <is>
          <t>VIMMERBY</t>
        </is>
      </c>
      <c r="G766" t="n">
        <v>1.2</v>
      </c>
      <c r="H766" t="n">
        <v>0</v>
      </c>
      <c r="I766" t="n">
        <v>0</v>
      </c>
      <c r="J766" t="n">
        <v>0</v>
      </c>
      <c r="K766" t="n">
        <v>0</v>
      </c>
      <c r="L766" t="n">
        <v>0</v>
      </c>
      <c r="M766" t="n">
        <v>0</v>
      </c>
      <c r="N766" t="n">
        <v>0</v>
      </c>
      <c r="O766" t="n">
        <v>0</v>
      </c>
      <c r="P766" t="n">
        <v>0</v>
      </c>
      <c r="Q766" t="n">
        <v>0</v>
      </c>
      <c r="R766" s="2" t="inlineStr"/>
    </row>
    <row r="767" ht="15" customHeight="1">
      <c r="A767" t="inlineStr">
        <is>
          <t>A 40095-2022</t>
        </is>
      </c>
      <c r="B767" s="1" t="n">
        <v>44820</v>
      </c>
      <c r="C767" s="1" t="n">
        <v>45923</v>
      </c>
      <c r="D767" t="inlineStr">
        <is>
          <t>KALMAR LÄN</t>
        </is>
      </c>
      <c r="E767" t="inlineStr">
        <is>
          <t>VIMMERBY</t>
        </is>
      </c>
      <c r="G767" t="n">
        <v>2.4</v>
      </c>
      <c r="H767" t="n">
        <v>0</v>
      </c>
      <c r="I767" t="n">
        <v>0</v>
      </c>
      <c r="J767" t="n">
        <v>0</v>
      </c>
      <c r="K767" t="n">
        <v>0</v>
      </c>
      <c r="L767" t="n">
        <v>0</v>
      </c>
      <c r="M767" t="n">
        <v>0</v>
      </c>
      <c r="N767" t="n">
        <v>0</v>
      </c>
      <c r="O767" t="n">
        <v>0</v>
      </c>
      <c r="P767" t="n">
        <v>0</v>
      </c>
      <c r="Q767" t="n">
        <v>0</v>
      </c>
      <c r="R767" s="2" t="inlineStr"/>
    </row>
    <row r="768" ht="15" customHeight="1">
      <c r="A768" t="inlineStr">
        <is>
          <t>A 19537-2022</t>
        </is>
      </c>
      <c r="B768" s="1" t="n">
        <v>44693.62822916666</v>
      </c>
      <c r="C768" s="1" t="n">
        <v>45923</v>
      </c>
      <c r="D768" t="inlineStr">
        <is>
          <t>KALMAR LÄN</t>
        </is>
      </c>
      <c r="E768" t="inlineStr">
        <is>
          <t>VIMMERBY</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57311-2023</t>
        </is>
      </c>
      <c r="B769" s="1" t="n">
        <v>45245.63574074074</v>
      </c>
      <c r="C769" s="1" t="n">
        <v>45923</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64428-2023</t>
        </is>
      </c>
      <c r="B770" s="1" t="n">
        <v>45280.66769675926</v>
      </c>
      <c r="C770" s="1" t="n">
        <v>45923</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4527-2023</t>
        </is>
      </c>
      <c r="B771" s="1" t="n">
        <v>44956</v>
      </c>
      <c r="C771" s="1" t="n">
        <v>45923</v>
      </c>
      <c r="D771" t="inlineStr">
        <is>
          <t>KALMAR LÄN</t>
        </is>
      </c>
      <c r="E771" t="inlineStr">
        <is>
          <t>VIMMERBY</t>
        </is>
      </c>
      <c r="F771" t="inlineStr">
        <is>
          <t>Kommuner</t>
        </is>
      </c>
      <c r="G771" t="n">
        <v>8.5</v>
      </c>
      <c r="H771" t="n">
        <v>0</v>
      </c>
      <c r="I771" t="n">
        <v>0</v>
      </c>
      <c r="J771" t="n">
        <v>0</v>
      </c>
      <c r="K771" t="n">
        <v>0</v>
      </c>
      <c r="L771" t="n">
        <v>0</v>
      </c>
      <c r="M771" t="n">
        <v>0</v>
      </c>
      <c r="N771" t="n">
        <v>0</v>
      </c>
      <c r="O771" t="n">
        <v>0</v>
      </c>
      <c r="P771" t="n">
        <v>0</v>
      </c>
      <c r="Q771" t="n">
        <v>0</v>
      </c>
      <c r="R771" s="2" t="inlineStr"/>
    </row>
    <row r="772" ht="15" customHeight="1">
      <c r="A772" t="inlineStr">
        <is>
          <t>A 3268-2024</t>
        </is>
      </c>
      <c r="B772" s="1" t="n">
        <v>45317</v>
      </c>
      <c r="C772" s="1" t="n">
        <v>45923</v>
      </c>
      <c r="D772" t="inlineStr">
        <is>
          <t>KALMAR LÄN</t>
        </is>
      </c>
      <c r="E772" t="inlineStr">
        <is>
          <t>VIMMERBY</t>
        </is>
      </c>
      <c r="F772" t="inlineStr">
        <is>
          <t>Övriga Aktiebolag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51408-2023</t>
        </is>
      </c>
      <c r="B773" s="1" t="n">
        <v>45219.69356481481</v>
      </c>
      <c r="C773" s="1" t="n">
        <v>45923</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12480-2024</t>
        </is>
      </c>
      <c r="B774" s="1" t="n">
        <v>45379</v>
      </c>
      <c r="C774" s="1" t="n">
        <v>45923</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52588-2023</t>
        </is>
      </c>
      <c r="B775" s="1" t="n">
        <v>45225.60192129629</v>
      </c>
      <c r="C775" s="1" t="n">
        <v>45923</v>
      </c>
      <c r="D775" t="inlineStr">
        <is>
          <t>KALMAR LÄN</t>
        </is>
      </c>
      <c r="E775" t="inlineStr">
        <is>
          <t>VIMMERBY</t>
        </is>
      </c>
      <c r="G775" t="n">
        <v>2.9</v>
      </c>
      <c r="H775" t="n">
        <v>0</v>
      </c>
      <c r="I775" t="n">
        <v>0</v>
      </c>
      <c r="J775" t="n">
        <v>0</v>
      </c>
      <c r="K775" t="n">
        <v>0</v>
      </c>
      <c r="L775" t="n">
        <v>0</v>
      </c>
      <c r="M775" t="n">
        <v>0</v>
      </c>
      <c r="N775" t="n">
        <v>0</v>
      </c>
      <c r="O775" t="n">
        <v>0</v>
      </c>
      <c r="P775" t="n">
        <v>0</v>
      </c>
      <c r="Q775" t="n">
        <v>0</v>
      </c>
      <c r="R775" s="2" t="inlineStr"/>
    </row>
    <row r="776" ht="15" customHeight="1">
      <c r="A776" t="inlineStr">
        <is>
          <t>A 55236-2023</t>
        </is>
      </c>
      <c r="B776" s="1" t="n">
        <v>45237.63225694445</v>
      </c>
      <c r="C776" s="1" t="n">
        <v>45923</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55245-2023</t>
        </is>
      </c>
      <c r="B777" s="1" t="n">
        <v>45237.64408564815</v>
      </c>
      <c r="C777" s="1" t="n">
        <v>45923</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28713-2025</t>
        </is>
      </c>
      <c r="B778" s="1" t="n">
        <v>45820.33930555556</v>
      </c>
      <c r="C778" s="1" t="n">
        <v>45923</v>
      </c>
      <c r="D778" t="inlineStr">
        <is>
          <t>KALMAR LÄN</t>
        </is>
      </c>
      <c r="E778" t="inlineStr">
        <is>
          <t>VIMMERBY</t>
        </is>
      </c>
      <c r="G778" t="n">
        <v>2.3</v>
      </c>
      <c r="H778" t="n">
        <v>0</v>
      </c>
      <c r="I778" t="n">
        <v>0</v>
      </c>
      <c r="J778" t="n">
        <v>0</v>
      </c>
      <c r="K778" t="n">
        <v>0</v>
      </c>
      <c r="L778" t="n">
        <v>0</v>
      </c>
      <c r="M778" t="n">
        <v>0</v>
      </c>
      <c r="N778" t="n">
        <v>0</v>
      </c>
      <c r="O778" t="n">
        <v>0</v>
      </c>
      <c r="P778" t="n">
        <v>0</v>
      </c>
      <c r="Q778" t="n">
        <v>0</v>
      </c>
      <c r="R778" s="2" t="inlineStr"/>
    </row>
    <row r="779" ht="15" customHeight="1">
      <c r="A779" t="inlineStr">
        <is>
          <t>A 19111-2025</t>
        </is>
      </c>
      <c r="B779" s="1" t="n">
        <v>45768.65611111111</v>
      </c>
      <c r="C779" s="1" t="n">
        <v>45923</v>
      </c>
      <c r="D779" t="inlineStr">
        <is>
          <t>KALMAR LÄN</t>
        </is>
      </c>
      <c r="E779" t="inlineStr">
        <is>
          <t>VIMMERBY</t>
        </is>
      </c>
      <c r="G779" t="n">
        <v>6.2</v>
      </c>
      <c r="H779" t="n">
        <v>0</v>
      </c>
      <c r="I779" t="n">
        <v>0</v>
      </c>
      <c r="J779" t="n">
        <v>0</v>
      </c>
      <c r="K779" t="n">
        <v>0</v>
      </c>
      <c r="L779" t="n">
        <v>0</v>
      </c>
      <c r="M779" t="n">
        <v>0</v>
      </c>
      <c r="N779" t="n">
        <v>0</v>
      </c>
      <c r="O779" t="n">
        <v>0</v>
      </c>
      <c r="P779" t="n">
        <v>0</v>
      </c>
      <c r="Q779" t="n">
        <v>0</v>
      </c>
      <c r="R779" s="2" t="inlineStr"/>
    </row>
    <row r="780" ht="15" customHeight="1">
      <c r="A780" t="inlineStr">
        <is>
          <t>A 28712-2025</t>
        </is>
      </c>
      <c r="B780" s="1" t="n">
        <v>45820.33708333333</v>
      </c>
      <c r="C780" s="1" t="n">
        <v>45923</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28714-2025</t>
        </is>
      </c>
      <c r="B781" s="1" t="n">
        <v>45820.34128472222</v>
      </c>
      <c r="C781" s="1" t="n">
        <v>45923</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28620-2025</t>
        </is>
      </c>
      <c r="B782" s="1" t="n">
        <v>45819.61060185185</v>
      </c>
      <c r="C782" s="1" t="n">
        <v>45923</v>
      </c>
      <c r="D782" t="inlineStr">
        <is>
          <t>KALMAR LÄN</t>
        </is>
      </c>
      <c r="E782" t="inlineStr">
        <is>
          <t>VIMMERBY</t>
        </is>
      </c>
      <c r="G782" t="n">
        <v>5.6</v>
      </c>
      <c r="H782" t="n">
        <v>0</v>
      </c>
      <c r="I782" t="n">
        <v>0</v>
      </c>
      <c r="J782" t="n">
        <v>0</v>
      </c>
      <c r="K782" t="n">
        <v>0</v>
      </c>
      <c r="L782" t="n">
        <v>0</v>
      </c>
      <c r="M782" t="n">
        <v>0</v>
      </c>
      <c r="N782" t="n">
        <v>0</v>
      </c>
      <c r="O782" t="n">
        <v>0</v>
      </c>
      <c r="P782" t="n">
        <v>0</v>
      </c>
      <c r="Q782" t="n">
        <v>0</v>
      </c>
      <c r="R782" s="2" t="inlineStr"/>
    </row>
    <row r="783" ht="15" customHeight="1">
      <c r="A783" t="inlineStr">
        <is>
          <t>A 25370-2022</t>
        </is>
      </c>
      <c r="B783" s="1" t="n">
        <v>44732.3659837963</v>
      </c>
      <c r="C783" s="1" t="n">
        <v>45923</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29727-2025</t>
        </is>
      </c>
      <c r="B784" s="1" t="n">
        <v>45825.5796875</v>
      </c>
      <c r="C784" s="1" t="n">
        <v>45923</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29737-2025</t>
        </is>
      </c>
      <c r="B785" s="1" t="n">
        <v>45825.58672453704</v>
      </c>
      <c r="C785" s="1" t="n">
        <v>45923</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33838-2022</t>
        </is>
      </c>
      <c r="B786" s="1" t="n">
        <v>44790.49040509259</v>
      </c>
      <c r="C786" s="1" t="n">
        <v>45923</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4058-2024</t>
        </is>
      </c>
      <c r="B787" s="1" t="n">
        <v>45323.53744212963</v>
      </c>
      <c r="C787" s="1" t="n">
        <v>45923</v>
      </c>
      <c r="D787" t="inlineStr">
        <is>
          <t>KALMAR LÄN</t>
        </is>
      </c>
      <c r="E787" t="inlineStr">
        <is>
          <t>VIMMERBY</t>
        </is>
      </c>
      <c r="G787" t="n">
        <v>6.5</v>
      </c>
      <c r="H787" t="n">
        <v>0</v>
      </c>
      <c r="I787" t="n">
        <v>0</v>
      </c>
      <c r="J787" t="n">
        <v>0</v>
      </c>
      <c r="K787" t="n">
        <v>0</v>
      </c>
      <c r="L787" t="n">
        <v>0</v>
      </c>
      <c r="M787" t="n">
        <v>0</v>
      </c>
      <c r="N787" t="n">
        <v>0</v>
      </c>
      <c r="O787" t="n">
        <v>0</v>
      </c>
      <c r="P787" t="n">
        <v>0</v>
      </c>
      <c r="Q787" t="n">
        <v>0</v>
      </c>
      <c r="R787" s="2" t="inlineStr"/>
    </row>
    <row r="788" ht="15" customHeight="1">
      <c r="A788" t="inlineStr">
        <is>
          <t>A 36008-2024</t>
        </is>
      </c>
      <c r="B788" s="1" t="n">
        <v>45533.55362268518</v>
      </c>
      <c r="C788" s="1" t="n">
        <v>45923</v>
      </c>
      <c r="D788" t="inlineStr">
        <is>
          <t>KALMAR LÄN</t>
        </is>
      </c>
      <c r="E788" t="inlineStr">
        <is>
          <t>VIMMERBY</t>
        </is>
      </c>
      <c r="G788" t="n">
        <v>3.7</v>
      </c>
      <c r="H788" t="n">
        <v>0</v>
      </c>
      <c r="I788" t="n">
        <v>0</v>
      </c>
      <c r="J788" t="n">
        <v>0</v>
      </c>
      <c r="K788" t="n">
        <v>0</v>
      </c>
      <c r="L788" t="n">
        <v>0</v>
      </c>
      <c r="M788" t="n">
        <v>0</v>
      </c>
      <c r="N788" t="n">
        <v>0</v>
      </c>
      <c r="O788" t="n">
        <v>0</v>
      </c>
      <c r="P788" t="n">
        <v>0</v>
      </c>
      <c r="Q788" t="n">
        <v>0</v>
      </c>
      <c r="R788" s="2" t="inlineStr"/>
    </row>
    <row r="789" ht="15" customHeight="1">
      <c r="A789" t="inlineStr">
        <is>
          <t>A 18669-2025</t>
        </is>
      </c>
      <c r="B789" s="1" t="n">
        <v>45763.59436342592</v>
      </c>
      <c r="C789" s="1" t="n">
        <v>45923</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8540-2024</t>
        </is>
      </c>
      <c r="B790" s="1" t="n">
        <v>45355.54138888889</v>
      </c>
      <c r="C790" s="1" t="n">
        <v>45923</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9623-2024</t>
        </is>
      </c>
      <c r="B791" s="1" t="n">
        <v>45361.87975694444</v>
      </c>
      <c r="C791" s="1" t="n">
        <v>45923</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29726-2025</t>
        </is>
      </c>
      <c r="B792" s="1" t="n">
        <v>45825.57805555555</v>
      </c>
      <c r="C792" s="1" t="n">
        <v>45923</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5146-2024</t>
        </is>
      </c>
      <c r="B793" s="1" t="n">
        <v>45330</v>
      </c>
      <c r="C793" s="1" t="n">
        <v>45923</v>
      </c>
      <c r="D793" t="inlineStr">
        <is>
          <t>KALMAR LÄN</t>
        </is>
      </c>
      <c r="E793" t="inlineStr">
        <is>
          <t>VIMMERBY</t>
        </is>
      </c>
      <c r="G793" t="n">
        <v>5.3</v>
      </c>
      <c r="H793" t="n">
        <v>0</v>
      </c>
      <c r="I793" t="n">
        <v>0</v>
      </c>
      <c r="J793" t="n">
        <v>0</v>
      </c>
      <c r="K793" t="n">
        <v>0</v>
      </c>
      <c r="L793" t="n">
        <v>0</v>
      </c>
      <c r="M793" t="n">
        <v>0</v>
      </c>
      <c r="N793" t="n">
        <v>0</v>
      </c>
      <c r="O793" t="n">
        <v>0</v>
      </c>
      <c r="P793" t="n">
        <v>0</v>
      </c>
      <c r="Q793" t="n">
        <v>0</v>
      </c>
      <c r="R793" s="2" t="inlineStr"/>
    </row>
    <row r="794" ht="15" customHeight="1">
      <c r="A794" t="inlineStr">
        <is>
          <t>A 5148-2024</t>
        </is>
      </c>
      <c r="B794" s="1" t="n">
        <v>45330</v>
      </c>
      <c r="C794" s="1" t="n">
        <v>45923</v>
      </c>
      <c r="D794" t="inlineStr">
        <is>
          <t>KALMAR LÄN</t>
        </is>
      </c>
      <c r="E794" t="inlineStr">
        <is>
          <t>VIMMERBY</t>
        </is>
      </c>
      <c r="G794" t="n">
        <v>5.6</v>
      </c>
      <c r="H794" t="n">
        <v>0</v>
      </c>
      <c r="I794" t="n">
        <v>0</v>
      </c>
      <c r="J794" t="n">
        <v>0</v>
      </c>
      <c r="K794" t="n">
        <v>0</v>
      </c>
      <c r="L794" t="n">
        <v>0</v>
      </c>
      <c r="M794" t="n">
        <v>0</v>
      </c>
      <c r="N794" t="n">
        <v>0</v>
      </c>
      <c r="O794" t="n">
        <v>0</v>
      </c>
      <c r="P794" t="n">
        <v>0</v>
      </c>
      <c r="Q794" t="n">
        <v>0</v>
      </c>
      <c r="R794" s="2" t="inlineStr"/>
    </row>
    <row r="795" ht="15" customHeight="1">
      <c r="A795" t="inlineStr">
        <is>
          <t>A 29724-2025</t>
        </is>
      </c>
      <c r="B795" s="1" t="n">
        <v>45825.57680555555</v>
      </c>
      <c r="C795" s="1" t="n">
        <v>45923</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44179-2022</t>
        </is>
      </c>
      <c r="B796" s="1" t="n">
        <v>44839.4528125</v>
      </c>
      <c r="C796" s="1" t="n">
        <v>45923</v>
      </c>
      <c r="D796" t="inlineStr">
        <is>
          <t>KALMAR LÄN</t>
        </is>
      </c>
      <c r="E796" t="inlineStr">
        <is>
          <t>VIMMERBY</t>
        </is>
      </c>
      <c r="G796" t="n">
        <v>2.8</v>
      </c>
      <c r="H796" t="n">
        <v>0</v>
      </c>
      <c r="I796" t="n">
        <v>0</v>
      </c>
      <c r="J796" t="n">
        <v>0</v>
      </c>
      <c r="K796" t="n">
        <v>0</v>
      </c>
      <c r="L796" t="n">
        <v>0</v>
      </c>
      <c r="M796" t="n">
        <v>0</v>
      </c>
      <c r="N796" t="n">
        <v>0</v>
      </c>
      <c r="O796" t="n">
        <v>0</v>
      </c>
      <c r="P796" t="n">
        <v>0</v>
      </c>
      <c r="Q796" t="n">
        <v>0</v>
      </c>
      <c r="R796" s="2" t="inlineStr"/>
    </row>
    <row r="797" ht="15" customHeight="1">
      <c r="A797" t="inlineStr">
        <is>
          <t>A 50648-2023</t>
        </is>
      </c>
      <c r="B797" s="1" t="n">
        <v>45217.47834490741</v>
      </c>
      <c r="C797" s="1" t="n">
        <v>45923</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30293-2025</t>
        </is>
      </c>
      <c r="B798" s="1" t="n">
        <v>45827</v>
      </c>
      <c r="C798" s="1" t="n">
        <v>45923</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2121-2022</t>
        </is>
      </c>
      <c r="B799" s="1" t="n">
        <v>44578.32717592592</v>
      </c>
      <c r="C799" s="1" t="n">
        <v>45923</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57799-2022</t>
        </is>
      </c>
      <c r="B800" s="1" t="n">
        <v>44897</v>
      </c>
      <c r="C800" s="1" t="n">
        <v>45923</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15394-2025</t>
        </is>
      </c>
      <c r="B801" s="1" t="n">
        <v>45747.43196759259</v>
      </c>
      <c r="C801" s="1" t="n">
        <v>45923</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30290-2025</t>
        </is>
      </c>
      <c r="B802" s="1" t="n">
        <v>45827</v>
      </c>
      <c r="C802" s="1" t="n">
        <v>45923</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26318-2023</t>
        </is>
      </c>
      <c r="B803" s="1" t="n">
        <v>45091.67936342592</v>
      </c>
      <c r="C803" s="1" t="n">
        <v>45923</v>
      </c>
      <c r="D803" t="inlineStr">
        <is>
          <t>KALMAR LÄN</t>
        </is>
      </c>
      <c r="E803" t="inlineStr">
        <is>
          <t>VIMMERBY</t>
        </is>
      </c>
      <c r="G803" t="n">
        <v>3.8</v>
      </c>
      <c r="H803" t="n">
        <v>0</v>
      </c>
      <c r="I803" t="n">
        <v>0</v>
      </c>
      <c r="J803" t="n">
        <v>0</v>
      </c>
      <c r="K803" t="n">
        <v>0</v>
      </c>
      <c r="L803" t="n">
        <v>0</v>
      </c>
      <c r="M803" t="n">
        <v>0</v>
      </c>
      <c r="N803" t="n">
        <v>0</v>
      </c>
      <c r="O803" t="n">
        <v>0</v>
      </c>
      <c r="P803" t="n">
        <v>0</v>
      </c>
      <c r="Q803" t="n">
        <v>0</v>
      </c>
      <c r="R803" s="2" t="inlineStr"/>
    </row>
    <row r="804" ht="15" customHeight="1">
      <c r="A804" t="inlineStr">
        <is>
          <t>A 60437-2023</t>
        </is>
      </c>
      <c r="B804" s="1" t="n">
        <v>45259.51916666667</v>
      </c>
      <c r="C804" s="1" t="n">
        <v>45923</v>
      </c>
      <c r="D804" t="inlineStr">
        <is>
          <t>KALMAR LÄN</t>
        </is>
      </c>
      <c r="E804" t="inlineStr">
        <is>
          <t>VIMMERBY</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60438-2023</t>
        </is>
      </c>
      <c r="B805" s="1" t="n">
        <v>45259.52020833334</v>
      </c>
      <c r="C805" s="1" t="n">
        <v>45923</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13076-2025</t>
        </is>
      </c>
      <c r="B806" s="1" t="n">
        <v>45734.62017361111</v>
      </c>
      <c r="C806" s="1" t="n">
        <v>45923</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30850-2025</t>
        </is>
      </c>
      <c r="B807" s="1" t="n">
        <v>45831</v>
      </c>
      <c r="C807" s="1" t="n">
        <v>45923</v>
      </c>
      <c r="D807" t="inlineStr">
        <is>
          <t>KALMAR LÄN</t>
        </is>
      </c>
      <c r="E807" t="inlineStr">
        <is>
          <t>VIMMERBY</t>
        </is>
      </c>
      <c r="G807" t="n">
        <v>2.7</v>
      </c>
      <c r="H807" t="n">
        <v>0</v>
      </c>
      <c r="I807" t="n">
        <v>0</v>
      </c>
      <c r="J807" t="n">
        <v>0</v>
      </c>
      <c r="K807" t="n">
        <v>0</v>
      </c>
      <c r="L807" t="n">
        <v>0</v>
      </c>
      <c r="M807" t="n">
        <v>0</v>
      </c>
      <c r="N807" t="n">
        <v>0</v>
      </c>
      <c r="O807" t="n">
        <v>0</v>
      </c>
      <c r="P807" t="n">
        <v>0</v>
      </c>
      <c r="Q807" t="n">
        <v>0</v>
      </c>
      <c r="R807" s="2" t="inlineStr"/>
    </row>
    <row r="808" ht="15" customHeight="1">
      <c r="A808" t="inlineStr">
        <is>
          <t>A 7758-2024</t>
        </is>
      </c>
      <c r="B808" s="1" t="n">
        <v>45349.54434027777</v>
      </c>
      <c r="C808" s="1" t="n">
        <v>45923</v>
      </c>
      <c r="D808" t="inlineStr">
        <is>
          <t>KALMAR LÄN</t>
        </is>
      </c>
      <c r="E808" t="inlineStr">
        <is>
          <t>VIMMERBY</t>
        </is>
      </c>
      <c r="G808" t="n">
        <v>3.5</v>
      </c>
      <c r="H808" t="n">
        <v>0</v>
      </c>
      <c r="I808" t="n">
        <v>0</v>
      </c>
      <c r="J808" t="n">
        <v>0</v>
      </c>
      <c r="K808" t="n">
        <v>0</v>
      </c>
      <c r="L808" t="n">
        <v>0</v>
      </c>
      <c r="M808" t="n">
        <v>0</v>
      </c>
      <c r="N808" t="n">
        <v>0</v>
      </c>
      <c r="O808" t="n">
        <v>0</v>
      </c>
      <c r="P808" t="n">
        <v>0</v>
      </c>
      <c r="Q808" t="n">
        <v>0</v>
      </c>
      <c r="R808" s="2" t="inlineStr"/>
    </row>
    <row r="809" ht="15" customHeight="1">
      <c r="A809" t="inlineStr">
        <is>
          <t>A 7456-2024</t>
        </is>
      </c>
      <c r="B809" s="1" t="n">
        <v>45345.83557870371</v>
      </c>
      <c r="C809" s="1" t="n">
        <v>45923</v>
      </c>
      <c r="D809" t="inlineStr">
        <is>
          <t>KALMAR LÄN</t>
        </is>
      </c>
      <c r="E809" t="inlineStr">
        <is>
          <t>VIMMERBY</t>
        </is>
      </c>
      <c r="G809" t="n">
        <v>4.1</v>
      </c>
      <c r="H809" t="n">
        <v>0</v>
      </c>
      <c r="I809" t="n">
        <v>0</v>
      </c>
      <c r="J809" t="n">
        <v>0</v>
      </c>
      <c r="K809" t="n">
        <v>0</v>
      </c>
      <c r="L809" t="n">
        <v>0</v>
      </c>
      <c r="M809" t="n">
        <v>0</v>
      </c>
      <c r="N809" t="n">
        <v>0</v>
      </c>
      <c r="O809" t="n">
        <v>0</v>
      </c>
      <c r="P809" t="n">
        <v>0</v>
      </c>
      <c r="Q809" t="n">
        <v>0</v>
      </c>
      <c r="R809" s="2" t="inlineStr"/>
    </row>
    <row r="810" ht="15" customHeight="1">
      <c r="A810" t="inlineStr">
        <is>
          <t>A 30882-2025</t>
        </is>
      </c>
      <c r="B810" s="1" t="n">
        <v>45832.34540509259</v>
      </c>
      <c r="C810" s="1" t="n">
        <v>45923</v>
      </c>
      <c r="D810" t="inlineStr">
        <is>
          <t>KALMAR LÄN</t>
        </is>
      </c>
      <c r="E810" t="inlineStr">
        <is>
          <t>VIMMERBY</t>
        </is>
      </c>
      <c r="G810" t="n">
        <v>0.7</v>
      </c>
      <c r="H810" t="n">
        <v>0</v>
      </c>
      <c r="I810" t="n">
        <v>0</v>
      </c>
      <c r="J810" t="n">
        <v>0</v>
      </c>
      <c r="K810" t="n">
        <v>0</v>
      </c>
      <c r="L810" t="n">
        <v>0</v>
      </c>
      <c r="M810" t="n">
        <v>0</v>
      </c>
      <c r="N810" t="n">
        <v>0</v>
      </c>
      <c r="O810" t="n">
        <v>0</v>
      </c>
      <c r="P810" t="n">
        <v>0</v>
      </c>
      <c r="Q810" t="n">
        <v>0</v>
      </c>
      <c r="R810" s="2" t="inlineStr"/>
    </row>
    <row r="811" ht="15" customHeight="1">
      <c r="A811" t="inlineStr">
        <is>
          <t>A 30971-2025</t>
        </is>
      </c>
      <c r="B811" s="1" t="n">
        <v>45832.46146990741</v>
      </c>
      <c r="C811" s="1" t="n">
        <v>45923</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6082-2022</t>
        </is>
      </c>
      <c r="B812" s="1" t="n">
        <v>44599</v>
      </c>
      <c r="C812" s="1" t="n">
        <v>45923</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46979-2023</t>
        </is>
      </c>
      <c r="B813" s="1" t="n">
        <v>45201</v>
      </c>
      <c r="C813" s="1" t="n">
        <v>45923</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31552-2025</t>
        </is>
      </c>
      <c r="B814" s="1" t="n">
        <v>45833.64563657407</v>
      </c>
      <c r="C814" s="1" t="n">
        <v>45923</v>
      </c>
      <c r="D814" t="inlineStr">
        <is>
          <t>KALMAR LÄN</t>
        </is>
      </c>
      <c r="E814" t="inlineStr">
        <is>
          <t>VIMMERBY</t>
        </is>
      </c>
      <c r="G814" t="n">
        <v>1.7</v>
      </c>
      <c r="H814" t="n">
        <v>0</v>
      </c>
      <c r="I814" t="n">
        <v>0</v>
      </c>
      <c r="J814" t="n">
        <v>0</v>
      </c>
      <c r="K814" t="n">
        <v>0</v>
      </c>
      <c r="L814" t="n">
        <v>0</v>
      </c>
      <c r="M814" t="n">
        <v>0</v>
      </c>
      <c r="N814" t="n">
        <v>0</v>
      </c>
      <c r="O814" t="n">
        <v>0</v>
      </c>
      <c r="P814" t="n">
        <v>0</v>
      </c>
      <c r="Q814" t="n">
        <v>0</v>
      </c>
      <c r="R814" s="2" t="inlineStr"/>
    </row>
    <row r="815" ht="15" customHeight="1">
      <c r="A815" t="inlineStr">
        <is>
          <t>A 31555-2025</t>
        </is>
      </c>
      <c r="B815" s="1" t="n">
        <v>45833.64814814815</v>
      </c>
      <c r="C815" s="1" t="n">
        <v>45923</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2596-2025</t>
        </is>
      </c>
      <c r="B816" s="1" t="n">
        <v>45674.71810185185</v>
      </c>
      <c r="C816" s="1" t="n">
        <v>45923</v>
      </c>
      <c r="D816" t="inlineStr">
        <is>
          <t>KALMAR LÄN</t>
        </is>
      </c>
      <c r="E816" t="inlineStr">
        <is>
          <t>VIMMERBY</t>
        </is>
      </c>
      <c r="G816" t="n">
        <v>9</v>
      </c>
      <c r="H816" t="n">
        <v>0</v>
      </c>
      <c r="I816" t="n">
        <v>0</v>
      </c>
      <c r="J816" t="n">
        <v>0</v>
      </c>
      <c r="K816" t="n">
        <v>0</v>
      </c>
      <c r="L816" t="n">
        <v>0</v>
      </c>
      <c r="M816" t="n">
        <v>0</v>
      </c>
      <c r="N816" t="n">
        <v>0</v>
      </c>
      <c r="O816" t="n">
        <v>0</v>
      </c>
      <c r="P816" t="n">
        <v>0</v>
      </c>
      <c r="Q816" t="n">
        <v>0</v>
      </c>
      <c r="R816" s="2" t="inlineStr"/>
    </row>
    <row r="817" ht="15" customHeight="1">
      <c r="A817" t="inlineStr">
        <is>
          <t>A 47855-2024</t>
        </is>
      </c>
      <c r="B817" s="1" t="n">
        <v>45588.66457175926</v>
      </c>
      <c r="C817" s="1" t="n">
        <v>45923</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63583-2023</t>
        </is>
      </c>
      <c r="B818" s="1" t="n">
        <v>45275.41833333333</v>
      </c>
      <c r="C818" s="1" t="n">
        <v>45923</v>
      </c>
      <c r="D818" t="inlineStr">
        <is>
          <t>KALMAR LÄN</t>
        </is>
      </c>
      <c r="E818" t="inlineStr">
        <is>
          <t>VIMMERBY</t>
        </is>
      </c>
      <c r="G818" t="n">
        <v>1.4</v>
      </c>
      <c r="H818" t="n">
        <v>0</v>
      </c>
      <c r="I818" t="n">
        <v>0</v>
      </c>
      <c r="J818" t="n">
        <v>0</v>
      </c>
      <c r="K818" t="n">
        <v>0</v>
      </c>
      <c r="L818" t="n">
        <v>0</v>
      </c>
      <c r="M818" t="n">
        <v>0</v>
      </c>
      <c r="N818" t="n">
        <v>0</v>
      </c>
      <c r="O818" t="n">
        <v>0</v>
      </c>
      <c r="P818" t="n">
        <v>0</v>
      </c>
      <c r="Q818" t="n">
        <v>0</v>
      </c>
      <c r="R818" s="2" t="inlineStr"/>
    </row>
    <row r="819" ht="15" customHeight="1">
      <c r="A819" t="inlineStr">
        <is>
          <t>A 31870-2025</t>
        </is>
      </c>
      <c r="B819" s="1" t="n">
        <v>45834.64667824074</v>
      </c>
      <c r="C819" s="1" t="n">
        <v>45923</v>
      </c>
      <c r="D819" t="inlineStr">
        <is>
          <t>KALMAR LÄN</t>
        </is>
      </c>
      <c r="E819" t="inlineStr">
        <is>
          <t>VIMMERBY</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8559-2025</t>
        </is>
      </c>
      <c r="B820" s="1" t="n">
        <v>45709.62280092593</v>
      </c>
      <c r="C820" s="1" t="n">
        <v>45923</v>
      </c>
      <c r="D820" t="inlineStr">
        <is>
          <t>KALMAR LÄN</t>
        </is>
      </c>
      <c r="E820" t="inlineStr">
        <is>
          <t>VIMMERBY</t>
        </is>
      </c>
      <c r="G820" t="n">
        <v>8.9</v>
      </c>
      <c r="H820" t="n">
        <v>0</v>
      </c>
      <c r="I820" t="n">
        <v>0</v>
      </c>
      <c r="J820" t="n">
        <v>0</v>
      </c>
      <c r="K820" t="n">
        <v>0</v>
      </c>
      <c r="L820" t="n">
        <v>0</v>
      </c>
      <c r="M820" t="n">
        <v>0</v>
      </c>
      <c r="N820" t="n">
        <v>0</v>
      </c>
      <c r="O820" t="n">
        <v>0</v>
      </c>
      <c r="P820" t="n">
        <v>0</v>
      </c>
      <c r="Q820" t="n">
        <v>0</v>
      </c>
      <c r="R820" s="2" t="inlineStr"/>
    </row>
    <row r="821" ht="15" customHeight="1">
      <c r="A821" t="inlineStr">
        <is>
          <t>A 31872-2025</t>
        </is>
      </c>
      <c r="B821" s="1" t="n">
        <v>45834.65040509259</v>
      </c>
      <c r="C821" s="1" t="n">
        <v>45923</v>
      </c>
      <c r="D821" t="inlineStr">
        <is>
          <t>KALMAR LÄN</t>
        </is>
      </c>
      <c r="E821" t="inlineStr">
        <is>
          <t>VIMMERBY</t>
        </is>
      </c>
      <c r="F821" t="inlineStr">
        <is>
          <t>Sveaskog</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31876-2025</t>
        </is>
      </c>
      <c r="B822" s="1" t="n">
        <v>45834.65197916667</v>
      </c>
      <c r="C822" s="1" t="n">
        <v>45923</v>
      </c>
      <c r="D822" t="inlineStr">
        <is>
          <t>KALMAR LÄN</t>
        </is>
      </c>
      <c r="E822" t="inlineStr">
        <is>
          <t>VIMMERBY</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60228-2021</t>
        </is>
      </c>
      <c r="B823" s="1" t="n">
        <v>44495</v>
      </c>
      <c r="C823" s="1" t="n">
        <v>45923</v>
      </c>
      <c r="D823" t="inlineStr">
        <is>
          <t>KALMAR LÄN</t>
        </is>
      </c>
      <c r="E823" t="inlineStr">
        <is>
          <t>VIMMERBY</t>
        </is>
      </c>
      <c r="G823" t="n">
        <v>4.1</v>
      </c>
      <c r="H823" t="n">
        <v>0</v>
      </c>
      <c r="I823" t="n">
        <v>0</v>
      </c>
      <c r="J823" t="n">
        <v>0</v>
      </c>
      <c r="K823" t="n">
        <v>0</v>
      </c>
      <c r="L823" t="n">
        <v>0</v>
      </c>
      <c r="M823" t="n">
        <v>0</v>
      </c>
      <c r="N823" t="n">
        <v>0</v>
      </c>
      <c r="O823" t="n">
        <v>0</v>
      </c>
      <c r="P823" t="n">
        <v>0</v>
      </c>
      <c r="Q823" t="n">
        <v>0</v>
      </c>
      <c r="R823" s="2" t="inlineStr"/>
    </row>
    <row r="824" ht="15" customHeight="1">
      <c r="A824" t="inlineStr">
        <is>
          <t>A 31551-2025</t>
        </is>
      </c>
      <c r="B824" s="1" t="n">
        <v>45833.64237268519</v>
      </c>
      <c r="C824" s="1" t="n">
        <v>45923</v>
      </c>
      <c r="D824" t="inlineStr">
        <is>
          <t>KALMAR LÄN</t>
        </is>
      </c>
      <c r="E824" t="inlineStr">
        <is>
          <t>VIMMERBY</t>
        </is>
      </c>
      <c r="G824" t="n">
        <v>1.9</v>
      </c>
      <c r="H824" t="n">
        <v>0</v>
      </c>
      <c r="I824" t="n">
        <v>0</v>
      </c>
      <c r="J824" t="n">
        <v>0</v>
      </c>
      <c r="K824" t="n">
        <v>0</v>
      </c>
      <c r="L824" t="n">
        <v>0</v>
      </c>
      <c r="M824" t="n">
        <v>0</v>
      </c>
      <c r="N824" t="n">
        <v>0</v>
      </c>
      <c r="O824" t="n">
        <v>0</v>
      </c>
      <c r="P824" t="n">
        <v>0</v>
      </c>
      <c r="Q824" t="n">
        <v>0</v>
      </c>
      <c r="R824" s="2" t="inlineStr"/>
    </row>
    <row r="825" ht="15" customHeight="1">
      <c r="A825" t="inlineStr">
        <is>
          <t>A 31987-2025</t>
        </is>
      </c>
      <c r="B825" s="1" t="n">
        <v>45835.36229166666</v>
      </c>
      <c r="C825" s="1" t="n">
        <v>45923</v>
      </c>
      <c r="D825" t="inlineStr">
        <is>
          <t>KALMAR LÄN</t>
        </is>
      </c>
      <c r="E825" t="inlineStr">
        <is>
          <t>VIMMERBY</t>
        </is>
      </c>
      <c r="F825" t="inlineStr">
        <is>
          <t>Kyrkan</t>
        </is>
      </c>
      <c r="G825" t="n">
        <v>1.2</v>
      </c>
      <c r="H825" t="n">
        <v>0</v>
      </c>
      <c r="I825" t="n">
        <v>0</v>
      </c>
      <c r="J825" t="n">
        <v>0</v>
      </c>
      <c r="K825" t="n">
        <v>0</v>
      </c>
      <c r="L825" t="n">
        <v>0</v>
      </c>
      <c r="M825" t="n">
        <v>0</v>
      </c>
      <c r="N825" t="n">
        <v>0</v>
      </c>
      <c r="O825" t="n">
        <v>0</v>
      </c>
      <c r="P825" t="n">
        <v>0</v>
      </c>
      <c r="Q825" t="n">
        <v>0</v>
      </c>
      <c r="R825" s="2" t="inlineStr"/>
    </row>
    <row r="826" ht="15" customHeight="1">
      <c r="A826" t="inlineStr">
        <is>
          <t>A 32120-2025</t>
        </is>
      </c>
      <c r="B826" s="1" t="n">
        <v>45835.4924537037</v>
      </c>
      <c r="C826" s="1" t="n">
        <v>45923</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32116-2025</t>
        </is>
      </c>
      <c r="B827" s="1" t="n">
        <v>45835.48862268519</v>
      </c>
      <c r="C827" s="1" t="n">
        <v>45923</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32380-2025</t>
        </is>
      </c>
      <c r="B828" s="1" t="n">
        <v>45837.77701388889</v>
      </c>
      <c r="C828" s="1" t="n">
        <v>45923</v>
      </c>
      <c r="D828" t="inlineStr">
        <is>
          <t>KALMAR LÄN</t>
        </is>
      </c>
      <c r="E828" t="inlineStr">
        <is>
          <t>VIMMERBY</t>
        </is>
      </c>
      <c r="G828" t="n">
        <v>3.1</v>
      </c>
      <c r="H828" t="n">
        <v>0</v>
      </c>
      <c r="I828" t="n">
        <v>0</v>
      </c>
      <c r="J828" t="n">
        <v>0</v>
      </c>
      <c r="K828" t="n">
        <v>0</v>
      </c>
      <c r="L828" t="n">
        <v>0</v>
      </c>
      <c r="M828" t="n">
        <v>0</v>
      </c>
      <c r="N828" t="n">
        <v>0</v>
      </c>
      <c r="O828" t="n">
        <v>0</v>
      </c>
      <c r="P828" t="n">
        <v>0</v>
      </c>
      <c r="Q828" t="n">
        <v>0</v>
      </c>
      <c r="R828" s="2" t="inlineStr"/>
    </row>
    <row r="829" ht="15" customHeight="1">
      <c r="A829" t="inlineStr">
        <is>
          <t>A 32109-2025</t>
        </is>
      </c>
      <c r="B829" s="1" t="n">
        <v>45835.48267361111</v>
      </c>
      <c r="C829" s="1" t="n">
        <v>45923</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32113-2025</t>
        </is>
      </c>
      <c r="B830" s="1" t="n">
        <v>45835.48445601852</v>
      </c>
      <c r="C830" s="1" t="n">
        <v>45923</v>
      </c>
      <c r="D830" t="inlineStr">
        <is>
          <t>KALMAR LÄN</t>
        </is>
      </c>
      <c r="E830" t="inlineStr">
        <is>
          <t>VIMMERBY</t>
        </is>
      </c>
      <c r="G830" t="n">
        <v>3.5</v>
      </c>
      <c r="H830" t="n">
        <v>0</v>
      </c>
      <c r="I830" t="n">
        <v>0</v>
      </c>
      <c r="J830" t="n">
        <v>0</v>
      </c>
      <c r="K830" t="n">
        <v>0</v>
      </c>
      <c r="L830" t="n">
        <v>0</v>
      </c>
      <c r="M830" t="n">
        <v>0</v>
      </c>
      <c r="N830" t="n">
        <v>0</v>
      </c>
      <c r="O830" t="n">
        <v>0</v>
      </c>
      <c r="P830" t="n">
        <v>0</v>
      </c>
      <c r="Q830" t="n">
        <v>0</v>
      </c>
      <c r="R830" s="2" t="inlineStr"/>
    </row>
    <row r="831" ht="15" customHeight="1">
      <c r="A831" t="inlineStr">
        <is>
          <t>A 32077-2025</t>
        </is>
      </c>
      <c r="B831" s="1" t="n">
        <v>45835.45099537037</v>
      </c>
      <c r="C831" s="1" t="n">
        <v>45923</v>
      </c>
      <c r="D831" t="inlineStr">
        <is>
          <t>KALMAR LÄN</t>
        </is>
      </c>
      <c r="E831" t="inlineStr">
        <is>
          <t>VIMMERBY</t>
        </is>
      </c>
      <c r="G831" t="n">
        <v>1.8</v>
      </c>
      <c r="H831" t="n">
        <v>0</v>
      </c>
      <c r="I831" t="n">
        <v>0</v>
      </c>
      <c r="J831" t="n">
        <v>0</v>
      </c>
      <c r="K831" t="n">
        <v>0</v>
      </c>
      <c r="L831" t="n">
        <v>0</v>
      </c>
      <c r="M831" t="n">
        <v>0</v>
      </c>
      <c r="N831" t="n">
        <v>0</v>
      </c>
      <c r="O831" t="n">
        <v>0</v>
      </c>
      <c r="P831" t="n">
        <v>0</v>
      </c>
      <c r="Q831" t="n">
        <v>0</v>
      </c>
      <c r="R831" s="2" t="inlineStr"/>
    </row>
    <row r="832" ht="15" customHeight="1">
      <c r="A832" t="inlineStr">
        <is>
          <t>A 32064-2025</t>
        </is>
      </c>
      <c r="B832" s="1" t="n">
        <v>45835.44709490741</v>
      </c>
      <c r="C832" s="1" t="n">
        <v>45923</v>
      </c>
      <c r="D832" t="inlineStr">
        <is>
          <t>KALMAR LÄN</t>
        </is>
      </c>
      <c r="E832" t="inlineStr">
        <is>
          <t>VIMMERBY</t>
        </is>
      </c>
      <c r="G832" t="n">
        <v>2.6</v>
      </c>
      <c r="H832" t="n">
        <v>0</v>
      </c>
      <c r="I832" t="n">
        <v>0</v>
      </c>
      <c r="J832" t="n">
        <v>0</v>
      </c>
      <c r="K832" t="n">
        <v>0</v>
      </c>
      <c r="L832" t="n">
        <v>0</v>
      </c>
      <c r="M832" t="n">
        <v>0</v>
      </c>
      <c r="N832" t="n">
        <v>0</v>
      </c>
      <c r="O832" t="n">
        <v>0</v>
      </c>
      <c r="P832" t="n">
        <v>0</v>
      </c>
      <c r="Q832" t="n">
        <v>0</v>
      </c>
      <c r="R832" s="2" t="inlineStr"/>
    </row>
    <row r="833" ht="15" customHeight="1">
      <c r="A833" t="inlineStr">
        <is>
          <t>A 32065-2025</t>
        </is>
      </c>
      <c r="B833" s="1" t="n">
        <v>45835.44732638889</v>
      </c>
      <c r="C833" s="1" t="n">
        <v>45923</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37866-2025</t>
        </is>
      </c>
      <c r="B834" s="1" t="n">
        <v>45881</v>
      </c>
      <c r="C834" s="1" t="n">
        <v>45923</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33186-2025</t>
        </is>
      </c>
      <c r="B835" s="1" t="n">
        <v>45840.59474537037</v>
      </c>
      <c r="C835" s="1" t="n">
        <v>45923</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30977-2025</t>
        </is>
      </c>
      <c r="B836" s="1" t="n">
        <v>45832.46649305556</v>
      </c>
      <c r="C836" s="1" t="n">
        <v>45923</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37939-2025</t>
        </is>
      </c>
      <c r="B837" s="1" t="n">
        <v>45881.59877314815</v>
      </c>
      <c r="C837" s="1" t="n">
        <v>45923</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38604-2025</t>
        </is>
      </c>
      <c r="B838" s="1" t="n">
        <v>45884.50613425926</v>
      </c>
      <c r="C838" s="1" t="n">
        <v>45923</v>
      </c>
      <c r="D838" t="inlineStr">
        <is>
          <t>KALMAR LÄN</t>
        </is>
      </c>
      <c r="E838" t="inlineStr">
        <is>
          <t>VIMMERBY</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33695-2025</t>
        </is>
      </c>
      <c r="B839" s="1" t="n">
        <v>45841.70569444444</v>
      </c>
      <c r="C839" s="1" t="n">
        <v>45923</v>
      </c>
      <c r="D839" t="inlineStr">
        <is>
          <t>KALMAR LÄN</t>
        </is>
      </c>
      <c r="E839" t="inlineStr">
        <is>
          <t>VIMMERBY</t>
        </is>
      </c>
      <c r="G839" t="n">
        <v>2.7</v>
      </c>
      <c r="H839" t="n">
        <v>0</v>
      </c>
      <c r="I839" t="n">
        <v>0</v>
      </c>
      <c r="J839" t="n">
        <v>0</v>
      </c>
      <c r="K839" t="n">
        <v>0</v>
      </c>
      <c r="L839" t="n">
        <v>0</v>
      </c>
      <c r="M839" t="n">
        <v>0</v>
      </c>
      <c r="N839" t="n">
        <v>0</v>
      </c>
      <c r="O839" t="n">
        <v>0</v>
      </c>
      <c r="P839" t="n">
        <v>0</v>
      </c>
      <c r="Q839" t="n">
        <v>0</v>
      </c>
      <c r="R839" s="2" t="inlineStr"/>
    </row>
    <row r="840" ht="15" customHeight="1">
      <c r="A840" t="inlineStr">
        <is>
          <t>A 33698-2025</t>
        </is>
      </c>
      <c r="B840" s="1" t="n">
        <v>45841.70868055556</v>
      </c>
      <c r="C840" s="1" t="n">
        <v>45923</v>
      </c>
      <c r="D840" t="inlineStr">
        <is>
          <t>KALMAR LÄN</t>
        </is>
      </c>
      <c r="E840" t="inlineStr">
        <is>
          <t>VIMMERBY</t>
        </is>
      </c>
      <c r="G840" t="n">
        <v>3.7</v>
      </c>
      <c r="H840" t="n">
        <v>0</v>
      </c>
      <c r="I840" t="n">
        <v>0</v>
      </c>
      <c r="J840" t="n">
        <v>0</v>
      </c>
      <c r="K840" t="n">
        <v>0</v>
      </c>
      <c r="L840" t="n">
        <v>0</v>
      </c>
      <c r="M840" t="n">
        <v>0</v>
      </c>
      <c r="N840" t="n">
        <v>0</v>
      </c>
      <c r="O840" t="n">
        <v>0</v>
      </c>
      <c r="P840" t="n">
        <v>0</v>
      </c>
      <c r="Q840" t="n">
        <v>0</v>
      </c>
      <c r="R840" s="2" t="inlineStr"/>
    </row>
    <row r="841" ht="15" customHeight="1">
      <c r="A841" t="inlineStr">
        <is>
          <t>A 33696-2025</t>
        </is>
      </c>
      <c r="B841" s="1" t="n">
        <v>45841.7072337963</v>
      </c>
      <c r="C841" s="1" t="n">
        <v>45923</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28702-2025</t>
        </is>
      </c>
      <c r="B842" s="1" t="n">
        <v>45820.03976851852</v>
      </c>
      <c r="C842" s="1" t="n">
        <v>45923</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38964-2025</t>
        </is>
      </c>
      <c r="B843" s="1" t="n">
        <v>45887.68759259259</v>
      </c>
      <c r="C843" s="1" t="n">
        <v>45923</v>
      </c>
      <c r="D843" t="inlineStr">
        <is>
          <t>KALMAR LÄN</t>
        </is>
      </c>
      <c r="E843" t="inlineStr">
        <is>
          <t>VIMMERBY</t>
        </is>
      </c>
      <c r="G843" t="n">
        <v>7.5</v>
      </c>
      <c r="H843" t="n">
        <v>0</v>
      </c>
      <c r="I843" t="n">
        <v>0</v>
      </c>
      <c r="J843" t="n">
        <v>0</v>
      </c>
      <c r="K843" t="n">
        <v>0</v>
      </c>
      <c r="L843" t="n">
        <v>0</v>
      </c>
      <c r="M843" t="n">
        <v>0</v>
      </c>
      <c r="N843" t="n">
        <v>0</v>
      </c>
      <c r="O843" t="n">
        <v>0</v>
      </c>
      <c r="P843" t="n">
        <v>0</v>
      </c>
      <c r="Q843" t="n">
        <v>0</v>
      </c>
      <c r="R843" s="2" t="inlineStr"/>
    </row>
    <row r="844" ht="15" customHeight="1">
      <c r="A844" t="inlineStr">
        <is>
          <t>A 34060-2025</t>
        </is>
      </c>
      <c r="B844" s="1" t="n">
        <v>45845.42015046296</v>
      </c>
      <c r="C844" s="1" t="n">
        <v>45923</v>
      </c>
      <c r="D844" t="inlineStr">
        <is>
          <t>KALMAR LÄN</t>
        </is>
      </c>
      <c r="E844" t="inlineStr">
        <is>
          <t>VIMMERBY</t>
        </is>
      </c>
      <c r="G844" t="n">
        <v>5.7</v>
      </c>
      <c r="H844" t="n">
        <v>0</v>
      </c>
      <c r="I844" t="n">
        <v>0</v>
      </c>
      <c r="J844" t="n">
        <v>0</v>
      </c>
      <c r="K844" t="n">
        <v>0</v>
      </c>
      <c r="L844" t="n">
        <v>0</v>
      </c>
      <c r="M844" t="n">
        <v>0</v>
      </c>
      <c r="N844" t="n">
        <v>0</v>
      </c>
      <c r="O844" t="n">
        <v>0</v>
      </c>
      <c r="P844" t="n">
        <v>0</v>
      </c>
      <c r="Q844" t="n">
        <v>0</v>
      </c>
      <c r="R844" s="2" t="inlineStr"/>
    </row>
    <row r="845" ht="15" customHeight="1">
      <c r="A845" t="inlineStr">
        <is>
          <t>A 34071-2025</t>
        </is>
      </c>
      <c r="B845" s="1" t="n">
        <v>45845.43803240741</v>
      </c>
      <c r="C845" s="1" t="n">
        <v>45923</v>
      </c>
      <c r="D845" t="inlineStr">
        <is>
          <t>KALMAR LÄN</t>
        </is>
      </c>
      <c r="E845" t="inlineStr">
        <is>
          <t>VIMMERBY</t>
        </is>
      </c>
      <c r="G845" t="n">
        <v>6.8</v>
      </c>
      <c r="H845" t="n">
        <v>0</v>
      </c>
      <c r="I845" t="n">
        <v>0</v>
      </c>
      <c r="J845" t="n">
        <v>0</v>
      </c>
      <c r="K845" t="n">
        <v>0</v>
      </c>
      <c r="L845" t="n">
        <v>0</v>
      </c>
      <c r="M845" t="n">
        <v>0</v>
      </c>
      <c r="N845" t="n">
        <v>0</v>
      </c>
      <c r="O845" t="n">
        <v>0</v>
      </c>
      <c r="P845" t="n">
        <v>0</v>
      </c>
      <c r="Q845" t="n">
        <v>0</v>
      </c>
      <c r="R845" s="2" t="inlineStr"/>
    </row>
    <row r="846" ht="15" customHeight="1">
      <c r="A846" t="inlineStr">
        <is>
          <t>A 34106-2025</t>
        </is>
      </c>
      <c r="B846" s="1" t="n">
        <v>45845.49414351852</v>
      </c>
      <c r="C846" s="1" t="n">
        <v>45923</v>
      </c>
      <c r="D846" t="inlineStr">
        <is>
          <t>KALMAR LÄN</t>
        </is>
      </c>
      <c r="E846" t="inlineStr">
        <is>
          <t>VIMMERBY</t>
        </is>
      </c>
      <c r="G846" t="n">
        <v>6</v>
      </c>
      <c r="H846" t="n">
        <v>0</v>
      </c>
      <c r="I846" t="n">
        <v>0</v>
      </c>
      <c r="J846" t="n">
        <v>0</v>
      </c>
      <c r="K846" t="n">
        <v>0</v>
      </c>
      <c r="L846" t="n">
        <v>0</v>
      </c>
      <c r="M846" t="n">
        <v>0</v>
      </c>
      <c r="N846" t="n">
        <v>0</v>
      </c>
      <c r="O846" t="n">
        <v>0</v>
      </c>
      <c r="P846" t="n">
        <v>0</v>
      </c>
      <c r="Q846" t="n">
        <v>0</v>
      </c>
      <c r="R846" s="2" t="inlineStr"/>
    </row>
    <row r="847" ht="15" customHeight="1">
      <c r="A847" t="inlineStr">
        <is>
          <t>A 26956-2025</t>
        </is>
      </c>
      <c r="B847" s="1" t="n">
        <v>45811.45460648148</v>
      </c>
      <c r="C847" s="1" t="n">
        <v>45923</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c r="A848" t="inlineStr">
        <is>
          <t>A 34628-2025</t>
        </is>
      </c>
      <c r="B848" s="1" t="n">
        <v>45847.91280092593</v>
      </c>
      <c r="C848" s="1" t="n">
        <v>45923</v>
      </c>
      <c r="D848" t="inlineStr">
        <is>
          <t>KALMAR LÄN</t>
        </is>
      </c>
      <c r="E848" t="inlineStr">
        <is>
          <t>VIMMERBY</t>
        </is>
      </c>
      <c r="G848" t="n">
        <v>4.2</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2025-09-23T10:22:44Z</dcterms:created>
  <dcterms:modified xmlns:dcterms="http://purl.org/dc/terms/" xmlns:xsi="http://www.w3.org/2001/XMLSchema-instance" xsi:type="dcterms:W3CDTF">2025-09-23T10:22:45Z</dcterms:modified>
</cp:coreProperties>
</file>