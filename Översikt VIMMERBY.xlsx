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45982</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45982</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45982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45982</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46824-2025</t>
        </is>
      </c>
      <c r="B12" s="1" t="n">
        <v>45926.90006944445</v>
      </c>
      <c r="C12" s="1" t="n">
        <v>45982</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3075-2025</t>
        </is>
      </c>
      <c r="B13" s="1" t="n">
        <v>45678</v>
      </c>
      <c r="C13" s="1" t="n">
        <v>45982</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32645-2023</t>
        </is>
      </c>
      <c r="B14" s="1" t="n">
        <v>45121.60543981481</v>
      </c>
      <c r="C14" s="1" t="n">
        <v>45982</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8411-2021</t>
        </is>
      </c>
      <c r="B15" s="1" t="n">
        <v>44245</v>
      </c>
      <c r="C15" s="1" t="n">
        <v>45982</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45982</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14584-2025</t>
        </is>
      </c>
      <c r="B17" s="1" t="n">
        <v>45742</v>
      </c>
      <c r="C17" s="1" t="n">
        <v>45982</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57053-2025</t>
        </is>
      </c>
      <c r="B18" s="1" t="n">
        <v>45979.35256944445</v>
      </c>
      <c r="C18" s="1" t="n">
        <v>45982</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15427-2023</t>
        </is>
      </c>
      <c r="B19" s="1" t="n">
        <v>45020</v>
      </c>
      <c r="C19" s="1" t="n">
        <v>45982</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45982</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45982</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45982</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45982</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2518-2023</t>
        </is>
      </c>
      <c r="B24" s="1" t="n">
        <v>44943</v>
      </c>
      <c r="C24" s="1" t="n">
        <v>45982</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40684-2025</t>
        </is>
      </c>
      <c r="B25" s="1" t="n">
        <v>45896.86820601852</v>
      </c>
      <c r="C25" s="1" t="n">
        <v>45982</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45982</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45982</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45982</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45982</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17935-2025</t>
        </is>
      </c>
      <c r="B30" s="1" t="n">
        <v>45760.34877314815</v>
      </c>
      <c r="C30" s="1" t="n">
        <v>45982</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45982</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32396-2021</t>
        </is>
      </c>
      <c r="B32" s="1" t="n">
        <v>44371</v>
      </c>
      <c r="C32" s="1" t="n">
        <v>45982</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45982</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6841-2021</t>
        </is>
      </c>
      <c r="B34" s="1" t="n">
        <v>44236</v>
      </c>
      <c r="C34" s="1" t="n">
        <v>45982</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28852-2023</t>
        </is>
      </c>
      <c r="B35" s="1" t="n">
        <v>45104</v>
      </c>
      <c r="C35" s="1" t="n">
        <v>45982</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61860-2024</t>
        </is>
      </c>
      <c r="B36" s="1" t="n">
        <v>45649</v>
      </c>
      <c r="C36" s="1" t="n">
        <v>45982</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1201-2025</t>
        </is>
      </c>
      <c r="B37" s="1" t="n">
        <v>45667</v>
      </c>
      <c r="C37" s="1" t="n">
        <v>45982</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52301-2023</t>
        </is>
      </c>
      <c r="B38" s="1" t="n">
        <v>45224</v>
      </c>
      <c r="C38" s="1" t="n">
        <v>45982</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29183-2025</t>
        </is>
      </c>
      <c r="B39" s="1" t="n">
        <v>45821</v>
      </c>
      <c r="C39" s="1" t="n">
        <v>45982</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45982</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45982</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53400-2025</t>
        </is>
      </c>
      <c r="B42" s="1" t="n">
        <v>45959.56684027778</v>
      </c>
      <c r="C42" s="1" t="n">
        <v>45982</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45982</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23602-2023</t>
        </is>
      </c>
      <c r="B44" s="1" t="n">
        <v>45077</v>
      </c>
      <c r="C44" s="1" t="n">
        <v>45982</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57062-2025</t>
        </is>
      </c>
      <c r="B45" s="1" t="n">
        <v>45979.37598379629</v>
      </c>
      <c r="C45" s="1" t="n">
        <v>45982</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32985-2023</t>
        </is>
      </c>
      <c r="B46" s="1" t="n">
        <v>45125</v>
      </c>
      <c r="C46" s="1" t="n">
        <v>45982</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15122-2024</t>
        </is>
      </c>
      <c r="B47" s="1" t="n">
        <v>45399.71412037037</v>
      </c>
      <c r="C47" s="1" t="n">
        <v>45982</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37930-2021</t>
        </is>
      </c>
      <c r="B48" s="1" t="n">
        <v>44403</v>
      </c>
      <c r="C48" s="1" t="n">
        <v>45982</v>
      </c>
      <c r="D48" t="inlineStr">
        <is>
          <t>KALMAR LÄN</t>
        </is>
      </c>
      <c r="E48" t="inlineStr">
        <is>
          <t>VIMMERBY</t>
        </is>
      </c>
      <c r="G48" t="n">
        <v>4.4</v>
      </c>
      <c r="H48" t="n">
        <v>0</v>
      </c>
      <c r="I48" t="n">
        <v>0</v>
      </c>
      <c r="J48" t="n">
        <v>1</v>
      </c>
      <c r="K48" t="n">
        <v>0</v>
      </c>
      <c r="L48" t="n">
        <v>0</v>
      </c>
      <c r="M48" t="n">
        <v>0</v>
      </c>
      <c r="N48" t="n">
        <v>0</v>
      </c>
      <c r="O48" t="n">
        <v>1</v>
      </c>
      <c r="P48" t="n">
        <v>0</v>
      </c>
      <c r="Q48" t="n">
        <v>1</v>
      </c>
      <c r="R48" s="2" t="inlineStr">
        <is>
          <t>Spindelört</t>
        </is>
      </c>
      <c r="S48">
        <f>HYPERLINK("https://klasma.github.io/Logging_0884/artfynd/A 37930-2021 artfynd.xlsx", "A 37930-2021")</f>
        <v/>
      </c>
      <c r="T48">
        <f>HYPERLINK("https://klasma.github.io/Logging_0884/kartor/A 37930-2021 karta.png", "A 37930-2021")</f>
        <v/>
      </c>
      <c r="V48">
        <f>HYPERLINK("https://klasma.github.io/Logging_0884/klagomål/A 37930-2021 FSC-klagomål.docx", "A 37930-2021")</f>
        <v/>
      </c>
      <c r="W48">
        <f>HYPERLINK("https://klasma.github.io/Logging_0884/klagomålsmail/A 37930-2021 FSC-klagomål mail.docx", "A 37930-2021")</f>
        <v/>
      </c>
      <c r="X48">
        <f>HYPERLINK("https://klasma.github.io/Logging_0884/tillsyn/A 37930-2021 tillsynsbegäran.docx", "A 37930-2021")</f>
        <v/>
      </c>
      <c r="Y48">
        <f>HYPERLINK("https://klasma.github.io/Logging_0884/tillsynsmail/A 37930-2021 tillsynsbegäran mail.docx", "A 37930-2021")</f>
        <v/>
      </c>
    </row>
    <row r="49" ht="15" customHeight="1">
      <c r="A49" t="inlineStr">
        <is>
          <t>A 33436-2021</t>
        </is>
      </c>
      <c r="B49" s="1" t="n">
        <v>44377.61104166666</v>
      </c>
      <c r="C49" s="1" t="n">
        <v>45982</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44515-2024</t>
        </is>
      </c>
      <c r="B50" s="1" t="n">
        <v>45574.42767361111</v>
      </c>
      <c r="C50" s="1" t="n">
        <v>45982</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15092-2021</t>
        </is>
      </c>
      <c r="B51" s="1" t="n">
        <v>44281.79269675926</v>
      </c>
      <c r="C51" s="1" t="n">
        <v>45982</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45982</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56754-2021</t>
        </is>
      </c>
      <c r="B53" s="1" t="n">
        <v>44481.47483796296</v>
      </c>
      <c r="C53" s="1" t="n">
        <v>45982</v>
      </c>
      <c r="D53" t="inlineStr">
        <is>
          <t>KALMAR LÄN</t>
        </is>
      </c>
      <c r="E53" t="inlineStr">
        <is>
          <t>VIMMERBY</t>
        </is>
      </c>
      <c r="G53" t="n">
        <v>1.4</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45982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45982</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45982</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45982</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45982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45982</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45982</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45982</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15903-2021</t>
        </is>
      </c>
      <c r="B62" s="1" t="n">
        <v>44287.33261574074</v>
      </c>
      <c r="C62" s="1" t="n">
        <v>45982</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45982</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1929-2021</t>
        </is>
      </c>
      <c r="B64" s="1" t="n">
        <v>44210</v>
      </c>
      <c r="C64" s="1" t="n">
        <v>45982</v>
      </c>
      <c r="D64" t="inlineStr">
        <is>
          <t>KALMAR LÄN</t>
        </is>
      </c>
      <c r="E64" t="inlineStr">
        <is>
          <t>VIMMERBY</t>
        </is>
      </c>
      <c r="G64" t="n">
        <v>1.6</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45982</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45982</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45982</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45982</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45982</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45982</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45982</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45982</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45982</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45982</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45982</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45982</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45982</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45982</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45982</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45982</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45982</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45982</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45982</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45982</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3621-2021</t>
        </is>
      </c>
      <c r="B87" s="1" t="n">
        <v>44221.39408564815</v>
      </c>
      <c r="C87" s="1" t="n">
        <v>45982</v>
      </c>
      <c r="D87" t="inlineStr">
        <is>
          <t>KALMAR LÄN</t>
        </is>
      </c>
      <c r="E87" t="inlineStr">
        <is>
          <t>VIMMERBY</t>
        </is>
      </c>
      <c r="G87" t="n">
        <v>0.7</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45982</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57416-2021</t>
        </is>
      </c>
      <c r="B89" s="1" t="n">
        <v>44483.58295138889</v>
      </c>
      <c r="C89" s="1" t="n">
        <v>45982</v>
      </c>
      <c r="D89" t="inlineStr">
        <is>
          <t>KALMAR LÄN</t>
        </is>
      </c>
      <c r="E89" t="inlineStr">
        <is>
          <t>VIMMERBY</t>
        </is>
      </c>
      <c r="G89" t="n">
        <v>2.9</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45982</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45982</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45982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45982</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71626-2021</t>
        </is>
      </c>
      <c r="B94" s="1" t="n">
        <v>44542.8859375</v>
      </c>
      <c r="C94" s="1" t="n">
        <v>45982</v>
      </c>
      <c r="D94" t="inlineStr">
        <is>
          <t>KALMAR LÄN</t>
        </is>
      </c>
      <c r="E94" t="inlineStr">
        <is>
          <t>VIMMERBY</t>
        </is>
      </c>
      <c r="G94" t="n">
        <v>1.1</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45982</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45982</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45982</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45982</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45982</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45982</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45982</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45982</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45982</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45982</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45982</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45982</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45982</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45982</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45982</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45982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45982</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45982</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45982</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32386-2021</t>
        </is>
      </c>
      <c r="B116" s="1" t="n">
        <v>44371.62743055556</v>
      </c>
      <c r="C116" s="1" t="n">
        <v>45982</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45982</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45982</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45982</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45982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45982</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45982</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45982</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45982</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45982</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45982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45982</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45982</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45982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45982</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45982</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45982</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45982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45982</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45982</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45982</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45982</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45982</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45982</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45982</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45982</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45982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45982</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45982</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45982</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45982</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45982</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45982</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45982</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45982</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45982</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45982</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45982</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45982</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55674-2021</t>
        </is>
      </c>
      <c r="B155" s="1" t="n">
        <v>44476</v>
      </c>
      <c r="C155" s="1" t="n">
        <v>45982</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45982</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47769-2022</t>
        </is>
      </c>
      <c r="B157" s="1" t="n">
        <v>44854</v>
      </c>
      <c r="C157" s="1" t="n">
        <v>45982</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7167-2022</t>
        </is>
      </c>
      <c r="B158" s="1" t="n">
        <v>44604</v>
      </c>
      <c r="C158" s="1" t="n">
        <v>45982</v>
      </c>
      <c r="D158" t="inlineStr">
        <is>
          <t>KALMAR LÄN</t>
        </is>
      </c>
      <c r="E158" t="inlineStr">
        <is>
          <t>VIMMERBY</t>
        </is>
      </c>
      <c r="G158" t="n">
        <v>1.7</v>
      </c>
      <c r="H158" t="n">
        <v>0</v>
      </c>
      <c r="I158" t="n">
        <v>0</v>
      </c>
      <c r="J158" t="n">
        <v>0</v>
      </c>
      <c r="K158" t="n">
        <v>0</v>
      </c>
      <c r="L158" t="n">
        <v>0</v>
      </c>
      <c r="M158" t="n">
        <v>0</v>
      </c>
      <c r="N158" t="n">
        <v>0</v>
      </c>
      <c r="O158" t="n">
        <v>0</v>
      </c>
      <c r="P158" t="n">
        <v>0</v>
      </c>
      <c r="Q158" t="n">
        <v>0</v>
      </c>
      <c r="R158" s="2" t="inlineStr"/>
    </row>
    <row r="159" ht="15" customHeight="1">
      <c r="A159" t="inlineStr">
        <is>
          <t>A 35316-2021</t>
        </is>
      </c>
      <c r="B159" s="1" t="n">
        <v>44384</v>
      </c>
      <c r="C159" s="1" t="n">
        <v>45982</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48377-2021</t>
        </is>
      </c>
      <c r="B160" s="1" t="n">
        <v>44451.8375</v>
      </c>
      <c r="C160" s="1" t="n">
        <v>45982</v>
      </c>
      <c r="D160" t="inlineStr">
        <is>
          <t>KALMAR LÄN</t>
        </is>
      </c>
      <c r="E160" t="inlineStr">
        <is>
          <t>VIMMERBY</t>
        </is>
      </c>
      <c r="G160" t="n">
        <v>0.4</v>
      </c>
      <c r="H160" t="n">
        <v>0</v>
      </c>
      <c r="I160" t="n">
        <v>0</v>
      </c>
      <c r="J160" t="n">
        <v>0</v>
      </c>
      <c r="K160" t="n">
        <v>0</v>
      </c>
      <c r="L160" t="n">
        <v>0</v>
      </c>
      <c r="M160" t="n">
        <v>0</v>
      </c>
      <c r="N160" t="n">
        <v>0</v>
      </c>
      <c r="O160" t="n">
        <v>0</v>
      </c>
      <c r="P160" t="n">
        <v>0</v>
      </c>
      <c r="Q160" t="n">
        <v>0</v>
      </c>
      <c r="R160" s="2" t="inlineStr"/>
    </row>
    <row r="161" ht="15" customHeight="1">
      <c r="A161" t="inlineStr">
        <is>
          <t>A 40472-2022</t>
        </is>
      </c>
      <c r="B161" s="1" t="n">
        <v>44823</v>
      </c>
      <c r="C161" s="1" t="n">
        <v>45982</v>
      </c>
      <c r="D161" t="inlineStr">
        <is>
          <t>KALMAR LÄN</t>
        </is>
      </c>
      <c r="E161" t="inlineStr">
        <is>
          <t>VIMMERBY</t>
        </is>
      </c>
      <c r="G161" t="n">
        <v>2</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45982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45982</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45982</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45982</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45982</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45982</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45982</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45982</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45982</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45982</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45982</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45982</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45982</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45982</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45982</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45982</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45982</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45982</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45982</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45982</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45982</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45982</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45982</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45982</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45982</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45982</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45982</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13457-2021</t>
        </is>
      </c>
      <c r="B189" s="1" t="n">
        <v>44273</v>
      </c>
      <c r="C189" s="1" t="n">
        <v>45982</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14278-2021</t>
        </is>
      </c>
      <c r="B190" s="1" t="n">
        <v>44278.63479166666</v>
      </c>
      <c r="C190" s="1" t="n">
        <v>45982</v>
      </c>
      <c r="D190" t="inlineStr">
        <is>
          <t>KALMAR LÄN</t>
        </is>
      </c>
      <c r="E190" t="inlineStr">
        <is>
          <t>VIMMERBY</t>
        </is>
      </c>
      <c r="F190" t="inlineStr">
        <is>
          <t>Övriga statliga verk och myndigheter</t>
        </is>
      </c>
      <c r="G190" t="n">
        <v>0.8</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45982</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45982</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45982</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54065-2021</t>
        </is>
      </c>
      <c r="B194" s="1" t="n">
        <v>44470.44232638889</v>
      </c>
      <c r="C194" s="1" t="n">
        <v>45982</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45982</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31824-2022</t>
        </is>
      </c>
      <c r="B196" s="1" t="n">
        <v>44776</v>
      </c>
      <c r="C196" s="1" t="n">
        <v>45982</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7804-2022</t>
        </is>
      </c>
      <c r="B197" s="1" t="n">
        <v>44608.50458333334</v>
      </c>
      <c r="C197" s="1" t="n">
        <v>45982</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39042-2022</t>
        </is>
      </c>
      <c r="B198" s="1" t="n">
        <v>44817</v>
      </c>
      <c r="C198" s="1" t="n">
        <v>45982</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45982</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4076-2022</t>
        </is>
      </c>
      <c r="B200" s="1" t="n">
        <v>44588.37998842593</v>
      </c>
      <c r="C200" s="1" t="n">
        <v>45982</v>
      </c>
      <c r="D200" t="inlineStr">
        <is>
          <t>KALMAR LÄN</t>
        </is>
      </c>
      <c r="E200" t="inlineStr">
        <is>
          <t>VIMMERBY</t>
        </is>
      </c>
      <c r="G200" t="n">
        <v>3</v>
      </c>
      <c r="H200" t="n">
        <v>0</v>
      </c>
      <c r="I200" t="n">
        <v>0</v>
      </c>
      <c r="J200" t="n">
        <v>0</v>
      </c>
      <c r="K200" t="n">
        <v>0</v>
      </c>
      <c r="L200" t="n">
        <v>0</v>
      </c>
      <c r="M200" t="n">
        <v>0</v>
      </c>
      <c r="N200" t="n">
        <v>0</v>
      </c>
      <c r="O200" t="n">
        <v>0</v>
      </c>
      <c r="P200" t="n">
        <v>0</v>
      </c>
      <c r="Q200" t="n">
        <v>0</v>
      </c>
      <c r="R200" s="2" t="inlineStr"/>
    </row>
    <row r="201" ht="15" customHeight="1">
      <c r="A201" t="inlineStr">
        <is>
          <t>A 4122-2022</t>
        </is>
      </c>
      <c r="B201" s="1" t="n">
        <v>44588</v>
      </c>
      <c r="C201" s="1" t="n">
        <v>45982</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65961-2020</t>
        </is>
      </c>
      <c r="B202" s="1" t="n">
        <v>44175.39748842592</v>
      </c>
      <c r="C202" s="1" t="n">
        <v>45982</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58374-2024</t>
        </is>
      </c>
      <c r="B203" s="1" t="n">
        <v>45632.72635416667</v>
      </c>
      <c r="C203" s="1" t="n">
        <v>45982</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16983-2023</t>
        </is>
      </c>
      <c r="B204" s="1" t="n">
        <v>45033.76043981482</v>
      </c>
      <c r="C204" s="1" t="n">
        <v>45982</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30402-2023</t>
        </is>
      </c>
      <c r="B205" s="1" t="n">
        <v>45111.48395833333</v>
      </c>
      <c r="C205" s="1" t="n">
        <v>45982</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46144-2023</t>
        </is>
      </c>
      <c r="B206" s="1" t="n">
        <v>45196.57247685185</v>
      </c>
      <c r="C206" s="1" t="n">
        <v>45982</v>
      </c>
      <c r="D206" t="inlineStr">
        <is>
          <t>KALMAR LÄN</t>
        </is>
      </c>
      <c r="E206" t="inlineStr">
        <is>
          <t>VIMMERBY</t>
        </is>
      </c>
      <c r="G206" t="n">
        <v>6.5</v>
      </c>
      <c r="H206" t="n">
        <v>0</v>
      </c>
      <c r="I206" t="n">
        <v>0</v>
      </c>
      <c r="J206" t="n">
        <v>0</v>
      </c>
      <c r="K206" t="n">
        <v>0</v>
      </c>
      <c r="L206" t="n">
        <v>0</v>
      </c>
      <c r="M206" t="n">
        <v>0</v>
      </c>
      <c r="N206" t="n">
        <v>0</v>
      </c>
      <c r="O206" t="n">
        <v>0</v>
      </c>
      <c r="P206" t="n">
        <v>0</v>
      </c>
      <c r="Q206" t="n">
        <v>0</v>
      </c>
      <c r="R206" s="2" t="inlineStr"/>
    </row>
    <row r="207" ht="15" customHeight="1">
      <c r="A207" t="inlineStr">
        <is>
          <t>A 56213-2024</t>
        </is>
      </c>
      <c r="B207" s="1" t="n">
        <v>45624.60141203704</v>
      </c>
      <c r="C207" s="1" t="n">
        <v>45982</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54409-2024</t>
        </is>
      </c>
      <c r="B208" s="1" t="n">
        <v>45617.47570601852</v>
      </c>
      <c r="C208" s="1" t="n">
        <v>45982</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7643-2022</t>
        </is>
      </c>
      <c r="B209" s="1" t="n">
        <v>44607</v>
      </c>
      <c r="C209" s="1" t="n">
        <v>45982</v>
      </c>
      <c r="D209" t="inlineStr">
        <is>
          <t>KALMAR LÄN</t>
        </is>
      </c>
      <c r="E209" t="inlineStr">
        <is>
          <t>VIMMERBY</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16825-2024</t>
        </is>
      </c>
      <c r="B210" s="1" t="n">
        <v>45411.47335648148</v>
      </c>
      <c r="C210" s="1" t="n">
        <v>45982</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11027-2023</t>
        </is>
      </c>
      <c r="B211" s="1" t="n">
        <v>44991.89657407408</v>
      </c>
      <c r="C211" s="1" t="n">
        <v>45982</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58962-2022</t>
        </is>
      </c>
      <c r="B212" s="1" t="n">
        <v>44903</v>
      </c>
      <c r="C212" s="1" t="n">
        <v>45982</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31382-2023</t>
        </is>
      </c>
      <c r="B213" s="1" t="n">
        <v>45114.55136574074</v>
      </c>
      <c r="C213" s="1" t="n">
        <v>45982</v>
      </c>
      <c r="D213" t="inlineStr">
        <is>
          <t>KALMAR LÄN</t>
        </is>
      </c>
      <c r="E213" t="inlineStr">
        <is>
          <t>VIMMERBY</t>
        </is>
      </c>
      <c r="G213" t="n">
        <v>3.7</v>
      </c>
      <c r="H213" t="n">
        <v>0</v>
      </c>
      <c r="I213" t="n">
        <v>0</v>
      </c>
      <c r="J213" t="n">
        <v>0</v>
      </c>
      <c r="K213" t="n">
        <v>0</v>
      </c>
      <c r="L213" t="n">
        <v>0</v>
      </c>
      <c r="M213" t="n">
        <v>0</v>
      </c>
      <c r="N213" t="n">
        <v>0</v>
      </c>
      <c r="O213" t="n">
        <v>0</v>
      </c>
      <c r="P213" t="n">
        <v>0</v>
      </c>
      <c r="Q213" t="n">
        <v>0</v>
      </c>
      <c r="R213" s="2" t="inlineStr"/>
    </row>
    <row r="214" ht="15" customHeight="1">
      <c r="A214" t="inlineStr">
        <is>
          <t>A 53483-2022</t>
        </is>
      </c>
      <c r="B214" s="1" t="n">
        <v>44879.55940972222</v>
      </c>
      <c r="C214" s="1" t="n">
        <v>45982</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18899-2025</t>
        </is>
      </c>
      <c r="B215" s="1" t="n">
        <v>45764.44931712963</v>
      </c>
      <c r="C215" s="1" t="n">
        <v>45982</v>
      </c>
      <c r="D215" t="inlineStr">
        <is>
          <t>KALMAR LÄN</t>
        </is>
      </c>
      <c r="E215" t="inlineStr">
        <is>
          <t>VIMMERBY</t>
        </is>
      </c>
      <c r="F215" t="inlineStr">
        <is>
          <t>Kommuner</t>
        </is>
      </c>
      <c r="G215" t="n">
        <v>4</v>
      </c>
      <c r="H215" t="n">
        <v>0</v>
      </c>
      <c r="I215" t="n">
        <v>0</v>
      </c>
      <c r="J215" t="n">
        <v>0</v>
      </c>
      <c r="K215" t="n">
        <v>0</v>
      </c>
      <c r="L215" t="n">
        <v>0</v>
      </c>
      <c r="M215" t="n">
        <v>0</v>
      </c>
      <c r="N215" t="n">
        <v>0</v>
      </c>
      <c r="O215" t="n">
        <v>0</v>
      </c>
      <c r="P215" t="n">
        <v>0</v>
      </c>
      <c r="Q215" t="n">
        <v>0</v>
      </c>
      <c r="R215" s="2" t="inlineStr"/>
    </row>
    <row r="216" ht="15" customHeight="1">
      <c r="A216" t="inlineStr">
        <is>
          <t>A 20054-2023</t>
        </is>
      </c>
      <c r="B216" s="1" t="n">
        <v>45054.6750462963</v>
      </c>
      <c r="C216" s="1" t="n">
        <v>45982</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10837-2023</t>
        </is>
      </c>
      <c r="B217" s="1" t="n">
        <v>44991.30547453704</v>
      </c>
      <c r="C217" s="1" t="n">
        <v>45982</v>
      </c>
      <c r="D217" t="inlineStr">
        <is>
          <t>KALMAR LÄN</t>
        </is>
      </c>
      <c r="E217" t="inlineStr">
        <is>
          <t>VIMMERBY</t>
        </is>
      </c>
      <c r="G217" t="n">
        <v>7.3</v>
      </c>
      <c r="H217" t="n">
        <v>0</v>
      </c>
      <c r="I217" t="n">
        <v>0</v>
      </c>
      <c r="J217" t="n">
        <v>0</v>
      </c>
      <c r="K217" t="n">
        <v>0</v>
      </c>
      <c r="L217" t="n">
        <v>0</v>
      </c>
      <c r="M217" t="n">
        <v>0</v>
      </c>
      <c r="N217" t="n">
        <v>0</v>
      </c>
      <c r="O217" t="n">
        <v>0</v>
      </c>
      <c r="P217" t="n">
        <v>0</v>
      </c>
      <c r="Q217" t="n">
        <v>0</v>
      </c>
      <c r="R217" s="2" t="inlineStr"/>
    </row>
    <row r="218" ht="15" customHeight="1">
      <c r="A218" t="inlineStr">
        <is>
          <t>A 10838-2023</t>
        </is>
      </c>
      <c r="B218" s="1" t="n">
        <v>44991</v>
      </c>
      <c r="C218" s="1" t="n">
        <v>45982</v>
      </c>
      <c r="D218" t="inlineStr">
        <is>
          <t>KALMAR LÄN</t>
        </is>
      </c>
      <c r="E218" t="inlineStr">
        <is>
          <t>VIMMERBY</t>
        </is>
      </c>
      <c r="G218" t="n">
        <v>5.1</v>
      </c>
      <c r="H218" t="n">
        <v>0</v>
      </c>
      <c r="I218" t="n">
        <v>0</v>
      </c>
      <c r="J218" t="n">
        <v>0</v>
      </c>
      <c r="K218" t="n">
        <v>0</v>
      </c>
      <c r="L218" t="n">
        <v>0</v>
      </c>
      <c r="M218" t="n">
        <v>0</v>
      </c>
      <c r="N218" t="n">
        <v>0</v>
      </c>
      <c r="O218" t="n">
        <v>0</v>
      </c>
      <c r="P218" t="n">
        <v>0</v>
      </c>
      <c r="Q218" t="n">
        <v>0</v>
      </c>
      <c r="R218" s="2" t="inlineStr"/>
    </row>
    <row r="219" ht="15" customHeight="1">
      <c r="A219" t="inlineStr">
        <is>
          <t>A 13290-2025</t>
        </is>
      </c>
      <c r="B219" s="1" t="n">
        <v>45735.56751157407</v>
      </c>
      <c r="C219" s="1" t="n">
        <v>45982</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19162-2023</t>
        </is>
      </c>
      <c r="B220" s="1" t="n">
        <v>45048.59699074074</v>
      </c>
      <c r="C220" s="1" t="n">
        <v>45982</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60951-2023</t>
        </is>
      </c>
      <c r="B221" s="1" t="n">
        <v>45261.44914351852</v>
      </c>
      <c r="C221" s="1" t="n">
        <v>45982</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60292-2022</t>
        </is>
      </c>
      <c r="B222" s="1" t="n">
        <v>44910.54231481482</v>
      </c>
      <c r="C222" s="1" t="n">
        <v>45982</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11946-2025</t>
        </is>
      </c>
      <c r="B223" s="1" t="n">
        <v>45728.54832175926</v>
      </c>
      <c r="C223" s="1" t="n">
        <v>45982</v>
      </c>
      <c r="D223" t="inlineStr">
        <is>
          <t>KALMAR LÄN</t>
        </is>
      </c>
      <c r="E223" t="inlineStr">
        <is>
          <t>VIMMERBY</t>
        </is>
      </c>
      <c r="G223" t="n">
        <v>0.4</v>
      </c>
      <c r="H223" t="n">
        <v>0</v>
      </c>
      <c r="I223" t="n">
        <v>0</v>
      </c>
      <c r="J223" t="n">
        <v>0</v>
      </c>
      <c r="K223" t="n">
        <v>0</v>
      </c>
      <c r="L223" t="n">
        <v>0</v>
      </c>
      <c r="M223" t="n">
        <v>0</v>
      </c>
      <c r="N223" t="n">
        <v>0</v>
      </c>
      <c r="O223" t="n">
        <v>0</v>
      </c>
      <c r="P223" t="n">
        <v>0</v>
      </c>
      <c r="Q223" t="n">
        <v>0</v>
      </c>
      <c r="R223" s="2" t="inlineStr"/>
    </row>
    <row r="224" ht="15" customHeight="1">
      <c r="A224" t="inlineStr">
        <is>
          <t>A 19537-2022</t>
        </is>
      </c>
      <c r="B224" s="1" t="n">
        <v>44693.62822916666</v>
      </c>
      <c r="C224" s="1" t="n">
        <v>45982</v>
      </c>
      <c r="D224" t="inlineStr">
        <is>
          <t>KALMAR LÄN</t>
        </is>
      </c>
      <c r="E224" t="inlineStr">
        <is>
          <t>VIMMERBY</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9475-2023</t>
        </is>
      </c>
      <c r="B225" s="1" t="n">
        <v>44981.58834490741</v>
      </c>
      <c r="C225" s="1" t="n">
        <v>45982</v>
      </c>
      <c r="D225" t="inlineStr">
        <is>
          <t>KALMAR LÄN</t>
        </is>
      </c>
      <c r="E225" t="inlineStr">
        <is>
          <t>VIMMERBY</t>
        </is>
      </c>
      <c r="G225" t="n">
        <v>2</v>
      </c>
      <c r="H225" t="n">
        <v>0</v>
      </c>
      <c r="I225" t="n">
        <v>0</v>
      </c>
      <c r="J225" t="n">
        <v>0</v>
      </c>
      <c r="K225" t="n">
        <v>0</v>
      </c>
      <c r="L225" t="n">
        <v>0</v>
      </c>
      <c r="M225" t="n">
        <v>0</v>
      </c>
      <c r="N225" t="n">
        <v>0</v>
      </c>
      <c r="O225" t="n">
        <v>0</v>
      </c>
      <c r="P225" t="n">
        <v>0</v>
      </c>
      <c r="Q225" t="n">
        <v>0</v>
      </c>
      <c r="R225" s="2" t="inlineStr"/>
    </row>
    <row r="226" ht="15" customHeight="1">
      <c r="A226" t="inlineStr">
        <is>
          <t>A 7485-2024</t>
        </is>
      </c>
      <c r="B226" s="1" t="n">
        <v>45346.67184027778</v>
      </c>
      <c r="C226" s="1" t="n">
        <v>45982</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11609-2023</t>
        </is>
      </c>
      <c r="B227" s="1" t="n">
        <v>44994.40635416667</v>
      </c>
      <c r="C227" s="1" t="n">
        <v>45982</v>
      </c>
      <c r="D227" t="inlineStr">
        <is>
          <t>KALMAR LÄN</t>
        </is>
      </c>
      <c r="E227" t="inlineStr">
        <is>
          <t>VIMMERBY</t>
        </is>
      </c>
      <c r="G227" t="n">
        <v>4.9</v>
      </c>
      <c r="H227" t="n">
        <v>0</v>
      </c>
      <c r="I227" t="n">
        <v>0</v>
      </c>
      <c r="J227" t="n">
        <v>0</v>
      </c>
      <c r="K227" t="n">
        <v>0</v>
      </c>
      <c r="L227" t="n">
        <v>0</v>
      </c>
      <c r="M227" t="n">
        <v>0</v>
      </c>
      <c r="N227" t="n">
        <v>0</v>
      </c>
      <c r="O227" t="n">
        <v>0</v>
      </c>
      <c r="P227" t="n">
        <v>0</v>
      </c>
      <c r="Q227" t="n">
        <v>0</v>
      </c>
      <c r="R227" s="2" t="inlineStr"/>
    </row>
    <row r="228" ht="15" customHeight="1">
      <c r="A228" t="inlineStr">
        <is>
          <t>A 12590-2025</t>
        </is>
      </c>
      <c r="B228" s="1" t="n">
        <v>45732.79925925926</v>
      </c>
      <c r="C228" s="1" t="n">
        <v>45982</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35710-2023</t>
        </is>
      </c>
      <c r="B229" s="1" t="n">
        <v>45147.67096064815</v>
      </c>
      <c r="C229" s="1" t="n">
        <v>45982</v>
      </c>
      <c r="D229" t="inlineStr">
        <is>
          <t>KALMAR LÄN</t>
        </is>
      </c>
      <c r="E229" t="inlineStr">
        <is>
          <t>VIMMERBY</t>
        </is>
      </c>
      <c r="G229" t="n">
        <v>3.1</v>
      </c>
      <c r="H229" t="n">
        <v>0</v>
      </c>
      <c r="I229" t="n">
        <v>0</v>
      </c>
      <c r="J229" t="n">
        <v>0</v>
      </c>
      <c r="K229" t="n">
        <v>0</v>
      </c>
      <c r="L229" t="n">
        <v>0</v>
      </c>
      <c r="M229" t="n">
        <v>0</v>
      </c>
      <c r="N229" t="n">
        <v>0</v>
      </c>
      <c r="O229" t="n">
        <v>0</v>
      </c>
      <c r="P229" t="n">
        <v>0</v>
      </c>
      <c r="Q229" t="n">
        <v>0</v>
      </c>
      <c r="R229" s="2" t="inlineStr"/>
    </row>
    <row r="230" ht="15" customHeight="1">
      <c r="A230" t="inlineStr">
        <is>
          <t>A 52823-2024</t>
        </is>
      </c>
      <c r="B230" s="1" t="n">
        <v>45610.59094907407</v>
      </c>
      <c r="C230" s="1" t="n">
        <v>45982</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11147-2023</t>
        </is>
      </c>
      <c r="B231" s="1" t="n">
        <v>44992</v>
      </c>
      <c r="C231" s="1" t="n">
        <v>45982</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18411-2021</t>
        </is>
      </c>
      <c r="B232" s="1" t="n">
        <v>44302</v>
      </c>
      <c r="C232" s="1" t="n">
        <v>45982</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19833-2023</t>
        </is>
      </c>
      <c r="B233" s="1" t="n">
        <v>45052</v>
      </c>
      <c r="C233" s="1" t="n">
        <v>45982</v>
      </c>
      <c r="D233" t="inlineStr">
        <is>
          <t>KALMAR LÄN</t>
        </is>
      </c>
      <c r="E233" t="inlineStr">
        <is>
          <t>VIMMERBY</t>
        </is>
      </c>
      <c r="G233" t="n">
        <v>6.7</v>
      </c>
      <c r="H233" t="n">
        <v>0</v>
      </c>
      <c r="I233" t="n">
        <v>0</v>
      </c>
      <c r="J233" t="n">
        <v>0</v>
      </c>
      <c r="K233" t="n">
        <v>0</v>
      </c>
      <c r="L233" t="n">
        <v>0</v>
      </c>
      <c r="M233" t="n">
        <v>0</v>
      </c>
      <c r="N233" t="n">
        <v>0</v>
      </c>
      <c r="O233" t="n">
        <v>0</v>
      </c>
      <c r="P233" t="n">
        <v>0</v>
      </c>
      <c r="Q233" t="n">
        <v>0</v>
      </c>
      <c r="R233" s="2" t="inlineStr"/>
    </row>
    <row r="234" ht="15" customHeight="1">
      <c r="A234" t="inlineStr">
        <is>
          <t>A 47855-2024</t>
        </is>
      </c>
      <c r="B234" s="1" t="n">
        <v>45588.66457175926</v>
      </c>
      <c r="C234" s="1" t="n">
        <v>45982</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23252-2024</t>
        </is>
      </c>
      <c r="B235" s="1" t="n">
        <v>45453.36067129629</v>
      </c>
      <c r="C235" s="1" t="n">
        <v>45982</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172-2022</t>
        </is>
      </c>
      <c r="B236" s="1" t="n">
        <v>44564.62598379629</v>
      </c>
      <c r="C236" s="1" t="n">
        <v>45982</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39584-2024</t>
        </is>
      </c>
      <c r="B237" s="1" t="n">
        <v>45552.36759259259</v>
      </c>
      <c r="C237" s="1" t="n">
        <v>45982</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15550-2023</t>
        </is>
      </c>
      <c r="B238" s="1" t="n">
        <v>45020</v>
      </c>
      <c r="C238" s="1" t="n">
        <v>45982</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16734-2023</t>
        </is>
      </c>
      <c r="B239" s="1" t="n">
        <v>45030.71012731481</v>
      </c>
      <c r="C239" s="1" t="n">
        <v>45982</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11219-2023</t>
        </is>
      </c>
      <c r="B240" s="1" t="n">
        <v>44992.62498842592</v>
      </c>
      <c r="C240" s="1" t="n">
        <v>45982</v>
      </c>
      <c r="D240" t="inlineStr">
        <is>
          <t>KALMAR LÄN</t>
        </is>
      </c>
      <c r="E240" t="inlineStr">
        <is>
          <t>VIMMERBY</t>
        </is>
      </c>
      <c r="G240" t="n">
        <v>2.5</v>
      </c>
      <c r="H240" t="n">
        <v>0</v>
      </c>
      <c r="I240" t="n">
        <v>0</v>
      </c>
      <c r="J240" t="n">
        <v>0</v>
      </c>
      <c r="K240" t="n">
        <v>0</v>
      </c>
      <c r="L240" t="n">
        <v>0</v>
      </c>
      <c r="M240" t="n">
        <v>0</v>
      </c>
      <c r="N240" t="n">
        <v>0</v>
      </c>
      <c r="O240" t="n">
        <v>0</v>
      </c>
      <c r="P240" t="n">
        <v>0</v>
      </c>
      <c r="Q240" t="n">
        <v>0</v>
      </c>
      <c r="R240" s="2" t="inlineStr"/>
    </row>
    <row r="241" ht="15" customHeight="1">
      <c r="A241" t="inlineStr">
        <is>
          <t>A 14548-2024</t>
        </is>
      </c>
      <c r="B241" s="1" t="n">
        <v>45394.66887731481</v>
      </c>
      <c r="C241" s="1" t="n">
        <v>45982</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51881-2024</t>
        </is>
      </c>
      <c r="B242" s="1" t="n">
        <v>45607.56773148148</v>
      </c>
      <c r="C242" s="1" t="n">
        <v>45982</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2596-2025</t>
        </is>
      </c>
      <c r="B243" s="1" t="n">
        <v>45674.71810185185</v>
      </c>
      <c r="C243" s="1" t="n">
        <v>45982</v>
      </c>
      <c r="D243" t="inlineStr">
        <is>
          <t>KALMAR LÄN</t>
        </is>
      </c>
      <c r="E243" t="inlineStr">
        <is>
          <t>VIMMERBY</t>
        </is>
      </c>
      <c r="G243" t="n">
        <v>9</v>
      </c>
      <c r="H243" t="n">
        <v>0</v>
      </c>
      <c r="I243" t="n">
        <v>0</v>
      </c>
      <c r="J243" t="n">
        <v>0</v>
      </c>
      <c r="K243" t="n">
        <v>0</v>
      </c>
      <c r="L243" t="n">
        <v>0</v>
      </c>
      <c r="M243" t="n">
        <v>0</v>
      </c>
      <c r="N243" t="n">
        <v>0</v>
      </c>
      <c r="O243" t="n">
        <v>0</v>
      </c>
      <c r="P243" t="n">
        <v>0</v>
      </c>
      <c r="Q243" t="n">
        <v>0</v>
      </c>
      <c r="R243" s="2" t="inlineStr"/>
    </row>
    <row r="244" ht="15" customHeight="1">
      <c r="A244" t="inlineStr">
        <is>
          <t>A 57578-2024</t>
        </is>
      </c>
      <c r="B244" s="1" t="n">
        <v>45630.47564814815</v>
      </c>
      <c r="C244" s="1" t="n">
        <v>45982</v>
      </c>
      <c r="D244" t="inlineStr">
        <is>
          <t>KALMAR LÄN</t>
        </is>
      </c>
      <c r="E244" t="inlineStr">
        <is>
          <t>VIMMERBY</t>
        </is>
      </c>
      <c r="G244" t="n">
        <v>2.6</v>
      </c>
      <c r="H244" t="n">
        <v>0</v>
      </c>
      <c r="I244" t="n">
        <v>0</v>
      </c>
      <c r="J244" t="n">
        <v>0</v>
      </c>
      <c r="K244" t="n">
        <v>0</v>
      </c>
      <c r="L244" t="n">
        <v>0</v>
      </c>
      <c r="M244" t="n">
        <v>0</v>
      </c>
      <c r="N244" t="n">
        <v>0</v>
      </c>
      <c r="O244" t="n">
        <v>0</v>
      </c>
      <c r="P244" t="n">
        <v>0</v>
      </c>
      <c r="Q244" t="n">
        <v>0</v>
      </c>
      <c r="R244" s="2" t="inlineStr"/>
    </row>
    <row r="245" ht="15" customHeight="1">
      <c r="A245" t="inlineStr">
        <is>
          <t>A 585-2024</t>
        </is>
      </c>
      <c r="B245" s="1" t="n">
        <v>45299.62576388889</v>
      </c>
      <c r="C245" s="1" t="n">
        <v>45982</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20129-2024</t>
        </is>
      </c>
      <c r="B246" s="1" t="n">
        <v>45434.55831018519</v>
      </c>
      <c r="C246" s="1" t="n">
        <v>45982</v>
      </c>
      <c r="D246" t="inlineStr">
        <is>
          <t>KALMAR LÄN</t>
        </is>
      </c>
      <c r="E246" t="inlineStr">
        <is>
          <t>VIMMERBY</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20137-2024</t>
        </is>
      </c>
      <c r="B247" s="1" t="n">
        <v>45434.56398148148</v>
      </c>
      <c r="C247" s="1" t="n">
        <v>45982</v>
      </c>
      <c r="D247" t="inlineStr">
        <is>
          <t>KALMAR LÄN</t>
        </is>
      </c>
      <c r="E247" t="inlineStr">
        <is>
          <t>VIMMERBY</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7456-2024</t>
        </is>
      </c>
      <c r="B248" s="1" t="n">
        <v>45345.83557870371</v>
      </c>
      <c r="C248" s="1" t="n">
        <v>45982</v>
      </c>
      <c r="D248" t="inlineStr">
        <is>
          <t>KALMAR LÄN</t>
        </is>
      </c>
      <c r="E248" t="inlineStr">
        <is>
          <t>VIMMERBY</t>
        </is>
      </c>
      <c r="G248" t="n">
        <v>4.1</v>
      </c>
      <c r="H248" t="n">
        <v>0</v>
      </c>
      <c r="I248" t="n">
        <v>0</v>
      </c>
      <c r="J248" t="n">
        <v>0</v>
      </c>
      <c r="K248" t="n">
        <v>0</v>
      </c>
      <c r="L248" t="n">
        <v>0</v>
      </c>
      <c r="M248" t="n">
        <v>0</v>
      </c>
      <c r="N248" t="n">
        <v>0</v>
      </c>
      <c r="O248" t="n">
        <v>0</v>
      </c>
      <c r="P248" t="n">
        <v>0</v>
      </c>
      <c r="Q248" t="n">
        <v>0</v>
      </c>
      <c r="R248" s="2" t="inlineStr"/>
    </row>
    <row r="249" ht="15" customHeight="1">
      <c r="A249" t="inlineStr">
        <is>
          <t>A 56020-2024</t>
        </is>
      </c>
      <c r="B249" s="1" t="n">
        <v>45623.9525462963</v>
      </c>
      <c r="C249" s="1" t="n">
        <v>45982</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6307-2025</t>
        </is>
      </c>
      <c r="B250" s="1" t="n">
        <v>45698.69016203703</v>
      </c>
      <c r="C250" s="1" t="n">
        <v>45982</v>
      </c>
      <c r="D250" t="inlineStr">
        <is>
          <t>KALMAR LÄN</t>
        </is>
      </c>
      <c r="E250" t="inlineStr">
        <is>
          <t>VIMMERBY</t>
        </is>
      </c>
      <c r="G250" t="n">
        <v>3</v>
      </c>
      <c r="H250" t="n">
        <v>0</v>
      </c>
      <c r="I250" t="n">
        <v>0</v>
      </c>
      <c r="J250" t="n">
        <v>0</v>
      </c>
      <c r="K250" t="n">
        <v>0</v>
      </c>
      <c r="L250" t="n">
        <v>0</v>
      </c>
      <c r="M250" t="n">
        <v>0</v>
      </c>
      <c r="N250" t="n">
        <v>0</v>
      </c>
      <c r="O250" t="n">
        <v>0</v>
      </c>
      <c r="P250" t="n">
        <v>0</v>
      </c>
      <c r="Q250" t="n">
        <v>0</v>
      </c>
      <c r="R250" s="2" t="inlineStr"/>
    </row>
    <row r="251" ht="15" customHeight="1">
      <c r="A251" t="inlineStr">
        <is>
          <t>A 11442-2025</t>
        </is>
      </c>
      <c r="B251" s="1" t="n">
        <v>45726.62721064815</v>
      </c>
      <c r="C251" s="1" t="n">
        <v>45982</v>
      </c>
      <c r="D251" t="inlineStr">
        <is>
          <t>KALMAR LÄN</t>
        </is>
      </c>
      <c r="E251" t="inlineStr">
        <is>
          <t>VIMMERBY</t>
        </is>
      </c>
      <c r="G251" t="n">
        <v>2.6</v>
      </c>
      <c r="H251" t="n">
        <v>0</v>
      </c>
      <c r="I251" t="n">
        <v>0</v>
      </c>
      <c r="J251" t="n">
        <v>0</v>
      </c>
      <c r="K251" t="n">
        <v>0</v>
      </c>
      <c r="L251" t="n">
        <v>0</v>
      </c>
      <c r="M251" t="n">
        <v>0</v>
      </c>
      <c r="N251" t="n">
        <v>0</v>
      </c>
      <c r="O251" t="n">
        <v>0</v>
      </c>
      <c r="P251" t="n">
        <v>0</v>
      </c>
      <c r="Q251" t="n">
        <v>0</v>
      </c>
      <c r="R251" s="2" t="inlineStr"/>
    </row>
    <row r="252" ht="15" customHeight="1">
      <c r="A252" t="inlineStr">
        <is>
          <t>A 52324-2023</t>
        </is>
      </c>
      <c r="B252" s="1" t="n">
        <v>45224.64659722222</v>
      </c>
      <c r="C252" s="1" t="n">
        <v>45982</v>
      </c>
      <c r="D252" t="inlineStr">
        <is>
          <t>KALMAR LÄN</t>
        </is>
      </c>
      <c r="E252" t="inlineStr">
        <is>
          <t>VIMMERBY</t>
        </is>
      </c>
      <c r="F252" t="inlineStr">
        <is>
          <t>Sveaskog</t>
        </is>
      </c>
      <c r="G252" t="n">
        <v>2.9</v>
      </c>
      <c r="H252" t="n">
        <v>0</v>
      </c>
      <c r="I252" t="n">
        <v>0</v>
      </c>
      <c r="J252" t="n">
        <v>0</v>
      </c>
      <c r="K252" t="n">
        <v>0</v>
      </c>
      <c r="L252" t="n">
        <v>0</v>
      </c>
      <c r="M252" t="n">
        <v>0</v>
      </c>
      <c r="N252" t="n">
        <v>0</v>
      </c>
      <c r="O252" t="n">
        <v>0</v>
      </c>
      <c r="P252" t="n">
        <v>0</v>
      </c>
      <c r="Q252" t="n">
        <v>0</v>
      </c>
      <c r="R252" s="2" t="inlineStr"/>
    </row>
    <row r="253" ht="15" customHeight="1">
      <c r="A253" t="inlineStr">
        <is>
          <t>A 17988-2025</t>
        </is>
      </c>
      <c r="B253" s="1" t="n">
        <v>45761.39600694444</v>
      </c>
      <c r="C253" s="1" t="n">
        <v>45982</v>
      </c>
      <c r="D253" t="inlineStr">
        <is>
          <t>KALMAR LÄN</t>
        </is>
      </c>
      <c r="E253" t="inlineStr">
        <is>
          <t>VIMMERBY</t>
        </is>
      </c>
      <c r="G253" t="n">
        <v>2.8</v>
      </c>
      <c r="H253" t="n">
        <v>0</v>
      </c>
      <c r="I253" t="n">
        <v>0</v>
      </c>
      <c r="J253" t="n">
        <v>0</v>
      </c>
      <c r="K253" t="n">
        <v>0</v>
      </c>
      <c r="L253" t="n">
        <v>0</v>
      </c>
      <c r="M253" t="n">
        <v>0</v>
      </c>
      <c r="N253" t="n">
        <v>0</v>
      </c>
      <c r="O253" t="n">
        <v>0</v>
      </c>
      <c r="P253" t="n">
        <v>0</v>
      </c>
      <c r="Q253" t="n">
        <v>0</v>
      </c>
      <c r="R253" s="2" t="inlineStr"/>
    </row>
    <row r="254" ht="15" customHeight="1">
      <c r="A254" t="inlineStr">
        <is>
          <t>A 23341-2022</t>
        </is>
      </c>
      <c r="B254" s="1" t="n">
        <v>44720.53898148148</v>
      </c>
      <c r="C254" s="1" t="n">
        <v>45982</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37028-2024</t>
        </is>
      </c>
      <c r="B255" s="1" t="n">
        <v>45539.38744212963</v>
      </c>
      <c r="C255" s="1" t="n">
        <v>45982</v>
      </c>
      <c r="D255" t="inlineStr">
        <is>
          <t>KALMAR LÄN</t>
        </is>
      </c>
      <c r="E255" t="inlineStr">
        <is>
          <t>VIMMERBY</t>
        </is>
      </c>
      <c r="G255" t="n">
        <v>5.2</v>
      </c>
      <c r="H255" t="n">
        <v>0</v>
      </c>
      <c r="I255" t="n">
        <v>0</v>
      </c>
      <c r="J255" t="n">
        <v>0</v>
      </c>
      <c r="K255" t="n">
        <v>0</v>
      </c>
      <c r="L255" t="n">
        <v>0</v>
      </c>
      <c r="M255" t="n">
        <v>0</v>
      </c>
      <c r="N255" t="n">
        <v>0</v>
      </c>
      <c r="O255" t="n">
        <v>0</v>
      </c>
      <c r="P255" t="n">
        <v>0</v>
      </c>
      <c r="Q255" t="n">
        <v>0</v>
      </c>
      <c r="R255" s="2" t="inlineStr"/>
    </row>
    <row r="256" ht="15" customHeight="1">
      <c r="A256" t="inlineStr">
        <is>
          <t>A 38604-2025</t>
        </is>
      </c>
      <c r="B256" s="1" t="n">
        <v>45884.50613425926</v>
      </c>
      <c r="C256" s="1" t="n">
        <v>45982</v>
      </c>
      <c r="D256" t="inlineStr">
        <is>
          <t>KALMAR LÄN</t>
        </is>
      </c>
      <c r="E256" t="inlineStr">
        <is>
          <t>VIMMERBY</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6668-2023</t>
        </is>
      </c>
      <c r="B257" s="1" t="n">
        <v>44966</v>
      </c>
      <c r="C257" s="1" t="n">
        <v>45982</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29168-2024</t>
        </is>
      </c>
      <c r="B258" s="1" t="n">
        <v>45482.49870370371</v>
      </c>
      <c r="C258" s="1" t="n">
        <v>45982</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8086-2021</t>
        </is>
      </c>
      <c r="B259" s="1" t="n">
        <v>44243</v>
      </c>
      <c r="C259" s="1" t="n">
        <v>45982</v>
      </c>
      <c r="D259" t="inlineStr">
        <is>
          <t>KALMAR LÄN</t>
        </is>
      </c>
      <c r="E259" t="inlineStr">
        <is>
          <t>VIMMERBY</t>
        </is>
      </c>
      <c r="G259" t="n">
        <v>4.1</v>
      </c>
      <c r="H259" t="n">
        <v>0</v>
      </c>
      <c r="I259" t="n">
        <v>0</v>
      </c>
      <c r="J259" t="n">
        <v>0</v>
      </c>
      <c r="K259" t="n">
        <v>0</v>
      </c>
      <c r="L259" t="n">
        <v>0</v>
      </c>
      <c r="M259" t="n">
        <v>0</v>
      </c>
      <c r="N259" t="n">
        <v>0</v>
      </c>
      <c r="O259" t="n">
        <v>0</v>
      </c>
      <c r="P259" t="n">
        <v>0</v>
      </c>
      <c r="Q259" t="n">
        <v>0</v>
      </c>
      <c r="R259" s="2" t="inlineStr"/>
    </row>
    <row r="260" ht="15" customHeight="1">
      <c r="A260" t="inlineStr">
        <is>
          <t>A 55236-2023</t>
        </is>
      </c>
      <c r="B260" s="1" t="n">
        <v>45237.63225694445</v>
      </c>
      <c r="C260" s="1" t="n">
        <v>45982</v>
      </c>
      <c r="D260" t="inlineStr">
        <is>
          <t>KALMAR LÄN</t>
        </is>
      </c>
      <c r="E260" t="inlineStr">
        <is>
          <t>VIMMERBY</t>
        </is>
      </c>
      <c r="G260" t="n">
        <v>1.1</v>
      </c>
      <c r="H260" t="n">
        <v>0</v>
      </c>
      <c r="I260" t="n">
        <v>0</v>
      </c>
      <c r="J260" t="n">
        <v>0</v>
      </c>
      <c r="K260" t="n">
        <v>0</v>
      </c>
      <c r="L260" t="n">
        <v>0</v>
      </c>
      <c r="M260" t="n">
        <v>0</v>
      </c>
      <c r="N260" t="n">
        <v>0</v>
      </c>
      <c r="O260" t="n">
        <v>0</v>
      </c>
      <c r="P260" t="n">
        <v>0</v>
      </c>
      <c r="Q260" t="n">
        <v>0</v>
      </c>
      <c r="R260" s="2" t="inlineStr"/>
    </row>
    <row r="261" ht="15" customHeight="1">
      <c r="A261" t="inlineStr">
        <is>
          <t>A 55245-2023</t>
        </is>
      </c>
      <c r="B261" s="1" t="n">
        <v>45237.64408564815</v>
      </c>
      <c r="C261" s="1" t="n">
        <v>45982</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36055-2024</t>
        </is>
      </c>
      <c r="B262" s="1" t="n">
        <v>45533.63056712963</v>
      </c>
      <c r="C262" s="1" t="n">
        <v>45982</v>
      </c>
      <c r="D262" t="inlineStr">
        <is>
          <t>KALMAR LÄN</t>
        </is>
      </c>
      <c r="E262" t="inlineStr">
        <is>
          <t>VIMMERBY</t>
        </is>
      </c>
      <c r="F262" t="inlineStr">
        <is>
          <t>Kommuner</t>
        </is>
      </c>
      <c r="G262" t="n">
        <v>1.9</v>
      </c>
      <c r="H262" t="n">
        <v>0</v>
      </c>
      <c r="I262" t="n">
        <v>0</v>
      </c>
      <c r="J262" t="n">
        <v>0</v>
      </c>
      <c r="K262" t="n">
        <v>0</v>
      </c>
      <c r="L262" t="n">
        <v>0</v>
      </c>
      <c r="M262" t="n">
        <v>0</v>
      </c>
      <c r="N262" t="n">
        <v>0</v>
      </c>
      <c r="O262" t="n">
        <v>0</v>
      </c>
      <c r="P262" t="n">
        <v>0</v>
      </c>
      <c r="Q262" t="n">
        <v>0</v>
      </c>
      <c r="R262" s="2" t="inlineStr"/>
    </row>
    <row r="263" ht="15" customHeight="1">
      <c r="A263" t="inlineStr">
        <is>
          <t>A 23394-2025</t>
        </is>
      </c>
      <c r="B263" s="1" t="n">
        <v>45791.89865740741</v>
      </c>
      <c r="C263" s="1" t="n">
        <v>45982</v>
      </c>
      <c r="D263" t="inlineStr">
        <is>
          <t>KALMAR LÄN</t>
        </is>
      </c>
      <c r="E263" t="inlineStr">
        <is>
          <t>VIMMERBY</t>
        </is>
      </c>
      <c r="G263" t="n">
        <v>3.1</v>
      </c>
      <c r="H263" t="n">
        <v>0</v>
      </c>
      <c r="I263" t="n">
        <v>0</v>
      </c>
      <c r="J263" t="n">
        <v>0</v>
      </c>
      <c r="K263" t="n">
        <v>0</v>
      </c>
      <c r="L263" t="n">
        <v>0</v>
      </c>
      <c r="M263" t="n">
        <v>0</v>
      </c>
      <c r="N263" t="n">
        <v>0</v>
      </c>
      <c r="O263" t="n">
        <v>0</v>
      </c>
      <c r="P263" t="n">
        <v>0</v>
      </c>
      <c r="Q263" t="n">
        <v>0</v>
      </c>
      <c r="R263" s="2" t="inlineStr"/>
    </row>
    <row r="264" ht="15" customHeight="1">
      <c r="A264" t="inlineStr">
        <is>
          <t>A 27443-2023</t>
        </is>
      </c>
      <c r="B264" s="1" t="n">
        <v>45097.40524305555</v>
      </c>
      <c r="C264" s="1" t="n">
        <v>45982</v>
      </c>
      <c r="D264" t="inlineStr">
        <is>
          <t>KALMAR LÄN</t>
        </is>
      </c>
      <c r="E264" t="inlineStr">
        <is>
          <t>VIMMERBY</t>
        </is>
      </c>
      <c r="F264" t="inlineStr">
        <is>
          <t>Övriga Aktiebolag</t>
        </is>
      </c>
      <c r="G264" t="n">
        <v>2.3</v>
      </c>
      <c r="H264" t="n">
        <v>0</v>
      </c>
      <c r="I264" t="n">
        <v>0</v>
      </c>
      <c r="J264" t="n">
        <v>0</v>
      </c>
      <c r="K264" t="n">
        <v>0</v>
      </c>
      <c r="L264" t="n">
        <v>0</v>
      </c>
      <c r="M264" t="n">
        <v>0</v>
      </c>
      <c r="N264" t="n">
        <v>0</v>
      </c>
      <c r="O264" t="n">
        <v>0</v>
      </c>
      <c r="P264" t="n">
        <v>0</v>
      </c>
      <c r="Q264" t="n">
        <v>0</v>
      </c>
      <c r="R264" s="2" t="inlineStr"/>
    </row>
    <row r="265" ht="15" customHeight="1">
      <c r="A265" t="inlineStr">
        <is>
          <t>A 23984-2025</t>
        </is>
      </c>
      <c r="B265" s="1" t="n">
        <v>45796</v>
      </c>
      <c r="C265" s="1" t="n">
        <v>45982</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845-2023</t>
        </is>
      </c>
      <c r="B266" s="1" t="n">
        <v>44931</v>
      </c>
      <c r="C266" s="1" t="n">
        <v>45982</v>
      </c>
      <c r="D266" t="inlineStr">
        <is>
          <t>KALMAR LÄN</t>
        </is>
      </c>
      <c r="E266" t="inlineStr">
        <is>
          <t>VIMMERBY</t>
        </is>
      </c>
      <c r="F266" t="inlineStr">
        <is>
          <t>Övriga Aktiebolag</t>
        </is>
      </c>
      <c r="G266" t="n">
        <v>19</v>
      </c>
      <c r="H266" t="n">
        <v>0</v>
      </c>
      <c r="I266" t="n">
        <v>0</v>
      </c>
      <c r="J266" t="n">
        <v>0</v>
      </c>
      <c r="K266" t="n">
        <v>0</v>
      </c>
      <c r="L266" t="n">
        <v>0</v>
      </c>
      <c r="M266" t="n">
        <v>0</v>
      </c>
      <c r="N266" t="n">
        <v>0</v>
      </c>
      <c r="O266" t="n">
        <v>0</v>
      </c>
      <c r="P266" t="n">
        <v>0</v>
      </c>
      <c r="Q266" t="n">
        <v>0</v>
      </c>
      <c r="R266" s="2" t="inlineStr"/>
    </row>
    <row r="267" ht="15" customHeight="1">
      <c r="A267" t="inlineStr">
        <is>
          <t>A 29726-2025</t>
        </is>
      </c>
      <c r="B267" s="1" t="n">
        <v>45825.57805555555</v>
      </c>
      <c r="C267" s="1" t="n">
        <v>45982</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39801-2025</t>
        </is>
      </c>
      <c r="B268" s="1" t="n">
        <v>45891.50216435185</v>
      </c>
      <c r="C268" s="1" t="n">
        <v>45982</v>
      </c>
      <c r="D268" t="inlineStr">
        <is>
          <t>KALMAR LÄN</t>
        </is>
      </c>
      <c r="E268" t="inlineStr">
        <is>
          <t>VIMMERBY</t>
        </is>
      </c>
      <c r="G268" t="n">
        <v>2</v>
      </c>
      <c r="H268" t="n">
        <v>0</v>
      </c>
      <c r="I268" t="n">
        <v>0</v>
      </c>
      <c r="J268" t="n">
        <v>0</v>
      </c>
      <c r="K268" t="n">
        <v>0</v>
      </c>
      <c r="L268" t="n">
        <v>0</v>
      </c>
      <c r="M268" t="n">
        <v>0</v>
      </c>
      <c r="N268" t="n">
        <v>0</v>
      </c>
      <c r="O268" t="n">
        <v>0</v>
      </c>
      <c r="P268" t="n">
        <v>0</v>
      </c>
      <c r="Q268" t="n">
        <v>0</v>
      </c>
      <c r="R268" s="2" t="inlineStr"/>
    </row>
    <row r="269" ht="15" customHeight="1">
      <c r="A269" t="inlineStr">
        <is>
          <t>A 39807-2025</t>
        </is>
      </c>
      <c r="B269" s="1" t="n">
        <v>45891.50986111111</v>
      </c>
      <c r="C269" s="1" t="n">
        <v>45982</v>
      </c>
      <c r="D269" t="inlineStr">
        <is>
          <t>KALMAR LÄN</t>
        </is>
      </c>
      <c r="E269" t="inlineStr">
        <is>
          <t>VIMMERBY</t>
        </is>
      </c>
      <c r="G269" t="n">
        <v>0.5</v>
      </c>
      <c r="H269" t="n">
        <v>0</v>
      </c>
      <c r="I269" t="n">
        <v>0</v>
      </c>
      <c r="J269" t="n">
        <v>0</v>
      </c>
      <c r="K269" t="n">
        <v>0</v>
      </c>
      <c r="L269" t="n">
        <v>0</v>
      </c>
      <c r="M269" t="n">
        <v>0</v>
      </c>
      <c r="N269" t="n">
        <v>0</v>
      </c>
      <c r="O269" t="n">
        <v>0</v>
      </c>
      <c r="P269" t="n">
        <v>0</v>
      </c>
      <c r="Q269" t="n">
        <v>0</v>
      </c>
      <c r="R269" s="2" t="inlineStr"/>
    </row>
    <row r="270" ht="15" customHeight="1">
      <c r="A270" t="inlineStr">
        <is>
          <t>A 35082-2024</t>
        </is>
      </c>
      <c r="B270" s="1" t="n">
        <v>45527.68784722222</v>
      </c>
      <c r="C270" s="1" t="n">
        <v>45982</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39736-2025</t>
        </is>
      </c>
      <c r="B271" s="1" t="n">
        <v>45891</v>
      </c>
      <c r="C271" s="1" t="n">
        <v>45982</v>
      </c>
      <c r="D271" t="inlineStr">
        <is>
          <t>KALMAR LÄN</t>
        </is>
      </c>
      <c r="E271" t="inlineStr">
        <is>
          <t>VIMMERBY</t>
        </is>
      </c>
      <c r="G271" t="n">
        <v>12.8</v>
      </c>
      <c r="H271" t="n">
        <v>0</v>
      </c>
      <c r="I271" t="n">
        <v>0</v>
      </c>
      <c r="J271" t="n">
        <v>0</v>
      </c>
      <c r="K271" t="n">
        <v>0</v>
      </c>
      <c r="L271" t="n">
        <v>0</v>
      </c>
      <c r="M271" t="n">
        <v>0</v>
      </c>
      <c r="N271" t="n">
        <v>0</v>
      </c>
      <c r="O271" t="n">
        <v>0</v>
      </c>
      <c r="P271" t="n">
        <v>0</v>
      </c>
      <c r="Q271" t="n">
        <v>0</v>
      </c>
      <c r="R271" s="2" t="inlineStr"/>
    </row>
    <row r="272" ht="15" customHeight="1">
      <c r="A272" t="inlineStr">
        <is>
          <t>A 6321-2023</t>
        </is>
      </c>
      <c r="B272" s="1" t="n">
        <v>44965.4815162037</v>
      </c>
      <c r="C272" s="1" t="n">
        <v>45982</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4624-2024</t>
        </is>
      </c>
      <c r="B273" s="1" t="n">
        <v>45328.38755787037</v>
      </c>
      <c r="C273" s="1" t="n">
        <v>45982</v>
      </c>
      <c r="D273" t="inlineStr">
        <is>
          <t>KALMAR LÄN</t>
        </is>
      </c>
      <c r="E273" t="inlineStr">
        <is>
          <t>VIMMERBY</t>
        </is>
      </c>
      <c r="G273" t="n">
        <v>1.7</v>
      </c>
      <c r="H273" t="n">
        <v>0</v>
      </c>
      <c r="I273" t="n">
        <v>0</v>
      </c>
      <c r="J273" t="n">
        <v>0</v>
      </c>
      <c r="K273" t="n">
        <v>0</v>
      </c>
      <c r="L273" t="n">
        <v>0</v>
      </c>
      <c r="M273" t="n">
        <v>0</v>
      </c>
      <c r="N273" t="n">
        <v>0</v>
      </c>
      <c r="O273" t="n">
        <v>0</v>
      </c>
      <c r="P273" t="n">
        <v>0</v>
      </c>
      <c r="Q273" t="n">
        <v>0</v>
      </c>
      <c r="R273" s="2" t="inlineStr"/>
    </row>
    <row r="274" ht="15" customHeight="1">
      <c r="A274" t="inlineStr">
        <is>
          <t>A 39803-2025</t>
        </is>
      </c>
      <c r="B274" s="1" t="n">
        <v>45891.50525462963</v>
      </c>
      <c r="C274" s="1" t="n">
        <v>45982</v>
      </c>
      <c r="D274" t="inlineStr">
        <is>
          <t>KALMAR LÄN</t>
        </is>
      </c>
      <c r="E274" t="inlineStr">
        <is>
          <t>VIMMERBY</t>
        </is>
      </c>
      <c r="G274" t="n">
        <v>0.5</v>
      </c>
      <c r="H274" t="n">
        <v>0</v>
      </c>
      <c r="I274" t="n">
        <v>0</v>
      </c>
      <c r="J274" t="n">
        <v>0</v>
      </c>
      <c r="K274" t="n">
        <v>0</v>
      </c>
      <c r="L274" t="n">
        <v>0</v>
      </c>
      <c r="M274" t="n">
        <v>0</v>
      </c>
      <c r="N274" t="n">
        <v>0</v>
      </c>
      <c r="O274" t="n">
        <v>0</v>
      </c>
      <c r="P274" t="n">
        <v>0</v>
      </c>
      <c r="Q274" t="n">
        <v>0</v>
      </c>
      <c r="R274" s="2" t="inlineStr"/>
    </row>
    <row r="275" ht="15" customHeight="1">
      <c r="A275" t="inlineStr">
        <is>
          <t>A 51278-2024</t>
        </is>
      </c>
      <c r="B275" s="1" t="n">
        <v>45603.74959490741</v>
      </c>
      <c r="C275" s="1" t="n">
        <v>45982</v>
      </c>
      <c r="D275" t="inlineStr">
        <is>
          <t>KALMAR LÄN</t>
        </is>
      </c>
      <c r="E275" t="inlineStr">
        <is>
          <t>VIMMERBY</t>
        </is>
      </c>
      <c r="G275" t="n">
        <v>3.4</v>
      </c>
      <c r="H275" t="n">
        <v>0</v>
      </c>
      <c r="I275" t="n">
        <v>0</v>
      </c>
      <c r="J275" t="n">
        <v>0</v>
      </c>
      <c r="K275" t="n">
        <v>0</v>
      </c>
      <c r="L275" t="n">
        <v>0</v>
      </c>
      <c r="M275" t="n">
        <v>0</v>
      </c>
      <c r="N275" t="n">
        <v>0</v>
      </c>
      <c r="O275" t="n">
        <v>0</v>
      </c>
      <c r="P275" t="n">
        <v>0</v>
      </c>
      <c r="Q275" t="n">
        <v>0</v>
      </c>
      <c r="R275" s="2" t="inlineStr"/>
    </row>
    <row r="276" ht="15" customHeight="1">
      <c r="A276" t="inlineStr">
        <is>
          <t>A 39889-2025</t>
        </is>
      </c>
      <c r="B276" s="1" t="n">
        <v>45891</v>
      </c>
      <c r="C276" s="1" t="n">
        <v>45982</v>
      </c>
      <c r="D276" t="inlineStr">
        <is>
          <t>KALMAR LÄN</t>
        </is>
      </c>
      <c r="E276" t="inlineStr">
        <is>
          <t>VIMMERBY</t>
        </is>
      </c>
      <c r="G276" t="n">
        <v>4.5</v>
      </c>
      <c r="H276" t="n">
        <v>0</v>
      </c>
      <c r="I276" t="n">
        <v>0</v>
      </c>
      <c r="J276" t="n">
        <v>0</v>
      </c>
      <c r="K276" t="n">
        <v>0</v>
      </c>
      <c r="L276" t="n">
        <v>0</v>
      </c>
      <c r="M276" t="n">
        <v>0</v>
      </c>
      <c r="N276" t="n">
        <v>0</v>
      </c>
      <c r="O276" t="n">
        <v>0</v>
      </c>
      <c r="P276" t="n">
        <v>0</v>
      </c>
      <c r="Q276" t="n">
        <v>0</v>
      </c>
      <c r="R276" s="2" t="inlineStr"/>
    </row>
    <row r="277" ht="15" customHeight="1">
      <c r="A277" t="inlineStr">
        <is>
          <t>A 9456-2025</t>
        </is>
      </c>
      <c r="B277" s="1" t="n">
        <v>45715.44159722222</v>
      </c>
      <c r="C277" s="1" t="n">
        <v>45982</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11111-2023</t>
        </is>
      </c>
      <c r="B278" s="1" t="n">
        <v>44992.4255787037</v>
      </c>
      <c r="C278" s="1" t="n">
        <v>45982</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40730-2024</t>
        </is>
      </c>
      <c r="B279" s="1" t="n">
        <v>45558.44914351852</v>
      </c>
      <c r="C279" s="1" t="n">
        <v>45982</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2157-2024</t>
        </is>
      </c>
      <c r="B280" s="1" t="n">
        <v>45309.59487268519</v>
      </c>
      <c r="C280" s="1" t="n">
        <v>45982</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44582-2024</t>
        </is>
      </c>
      <c r="B281" s="1" t="n">
        <v>45574.49298611111</v>
      </c>
      <c r="C281" s="1" t="n">
        <v>45982</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49461-2022</t>
        </is>
      </c>
      <c r="B282" s="1" t="n">
        <v>44861</v>
      </c>
      <c r="C282" s="1" t="n">
        <v>45982</v>
      </c>
      <c r="D282" t="inlineStr">
        <is>
          <t>KALMAR LÄN</t>
        </is>
      </c>
      <c r="E282" t="inlineStr">
        <is>
          <t>VIMMERBY</t>
        </is>
      </c>
      <c r="G282" t="n">
        <v>3.2</v>
      </c>
      <c r="H282" t="n">
        <v>0</v>
      </c>
      <c r="I282" t="n">
        <v>0</v>
      </c>
      <c r="J282" t="n">
        <v>0</v>
      </c>
      <c r="K282" t="n">
        <v>0</v>
      </c>
      <c r="L282" t="n">
        <v>0</v>
      </c>
      <c r="M282" t="n">
        <v>0</v>
      </c>
      <c r="N282" t="n">
        <v>0</v>
      </c>
      <c r="O282" t="n">
        <v>0</v>
      </c>
      <c r="P282" t="n">
        <v>0</v>
      </c>
      <c r="Q282" t="n">
        <v>0</v>
      </c>
      <c r="R282" s="2" t="inlineStr"/>
    </row>
    <row r="283" ht="15" customHeight="1">
      <c r="A283" t="inlineStr">
        <is>
          <t>A 694-2024</t>
        </is>
      </c>
      <c r="B283" s="1" t="n">
        <v>45300.3794212963</v>
      </c>
      <c r="C283" s="1" t="n">
        <v>45982</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40925-2025</t>
        </is>
      </c>
      <c r="B284" s="1" t="n">
        <v>45897.64208333333</v>
      </c>
      <c r="C284" s="1" t="n">
        <v>45982</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15494-2024</t>
        </is>
      </c>
      <c r="B285" s="1" t="n">
        <v>45401.53033564815</v>
      </c>
      <c r="C285" s="1" t="n">
        <v>45982</v>
      </c>
      <c r="D285" t="inlineStr">
        <is>
          <t>KALMAR LÄN</t>
        </is>
      </c>
      <c r="E285" t="inlineStr">
        <is>
          <t>VIMMERBY</t>
        </is>
      </c>
      <c r="G285" t="n">
        <v>3.2</v>
      </c>
      <c r="H285" t="n">
        <v>0</v>
      </c>
      <c r="I285" t="n">
        <v>0</v>
      </c>
      <c r="J285" t="n">
        <v>0</v>
      </c>
      <c r="K285" t="n">
        <v>0</v>
      </c>
      <c r="L285" t="n">
        <v>0</v>
      </c>
      <c r="M285" t="n">
        <v>0</v>
      </c>
      <c r="N285" t="n">
        <v>0</v>
      </c>
      <c r="O285" t="n">
        <v>0</v>
      </c>
      <c r="P285" t="n">
        <v>0</v>
      </c>
      <c r="Q285" t="n">
        <v>0</v>
      </c>
      <c r="R285" s="2" t="inlineStr"/>
    </row>
    <row r="286" ht="15" customHeight="1">
      <c r="A286" t="inlineStr">
        <is>
          <t>A 59598-2023</t>
        </is>
      </c>
      <c r="B286" s="1" t="n">
        <v>45254.62489583333</v>
      </c>
      <c r="C286" s="1" t="n">
        <v>45982</v>
      </c>
      <c r="D286" t="inlineStr">
        <is>
          <t>KALMAR LÄN</t>
        </is>
      </c>
      <c r="E286" t="inlineStr">
        <is>
          <t>VIMMERBY</t>
        </is>
      </c>
      <c r="F286" t="inlineStr">
        <is>
          <t>Övriga Aktiebolag</t>
        </is>
      </c>
      <c r="G286" t="n">
        <v>4</v>
      </c>
      <c r="H286" t="n">
        <v>0</v>
      </c>
      <c r="I286" t="n">
        <v>0</v>
      </c>
      <c r="J286" t="n">
        <v>0</v>
      </c>
      <c r="K286" t="n">
        <v>0</v>
      </c>
      <c r="L286" t="n">
        <v>0</v>
      </c>
      <c r="M286" t="n">
        <v>0</v>
      </c>
      <c r="N286" t="n">
        <v>0</v>
      </c>
      <c r="O286" t="n">
        <v>0</v>
      </c>
      <c r="P286" t="n">
        <v>0</v>
      </c>
      <c r="Q286" t="n">
        <v>0</v>
      </c>
      <c r="R286" s="2" t="inlineStr"/>
    </row>
    <row r="287" ht="15" customHeight="1">
      <c r="A287" t="inlineStr">
        <is>
          <t>A 7944-2024</t>
        </is>
      </c>
      <c r="B287" s="1" t="n">
        <v>45350.53306712963</v>
      </c>
      <c r="C287" s="1" t="n">
        <v>45982</v>
      </c>
      <c r="D287" t="inlineStr">
        <is>
          <t>KALMAR LÄN</t>
        </is>
      </c>
      <c r="E287" t="inlineStr">
        <is>
          <t>VIMMERBY</t>
        </is>
      </c>
      <c r="G287" t="n">
        <v>1.2</v>
      </c>
      <c r="H287" t="n">
        <v>0</v>
      </c>
      <c r="I287" t="n">
        <v>0</v>
      </c>
      <c r="J287" t="n">
        <v>0</v>
      </c>
      <c r="K287" t="n">
        <v>0</v>
      </c>
      <c r="L287" t="n">
        <v>0</v>
      </c>
      <c r="M287" t="n">
        <v>0</v>
      </c>
      <c r="N287" t="n">
        <v>0</v>
      </c>
      <c r="O287" t="n">
        <v>0</v>
      </c>
      <c r="P287" t="n">
        <v>0</v>
      </c>
      <c r="Q287" t="n">
        <v>0</v>
      </c>
      <c r="R287" s="2" t="inlineStr"/>
    </row>
    <row r="288" ht="15" customHeight="1">
      <c r="A288" t="inlineStr">
        <is>
          <t>A 40921-2025</t>
        </is>
      </c>
      <c r="B288" s="1" t="n">
        <v>45897.63520833333</v>
      </c>
      <c r="C288" s="1" t="n">
        <v>45982</v>
      </c>
      <c r="D288" t="inlineStr">
        <is>
          <t>KALMAR LÄN</t>
        </is>
      </c>
      <c r="E288" t="inlineStr">
        <is>
          <t>VIMMERBY</t>
        </is>
      </c>
      <c r="G288" t="n">
        <v>4.2</v>
      </c>
      <c r="H288" t="n">
        <v>0</v>
      </c>
      <c r="I288" t="n">
        <v>0</v>
      </c>
      <c r="J288" t="n">
        <v>0</v>
      </c>
      <c r="K288" t="n">
        <v>0</v>
      </c>
      <c r="L288" t="n">
        <v>0</v>
      </c>
      <c r="M288" t="n">
        <v>0</v>
      </c>
      <c r="N288" t="n">
        <v>0</v>
      </c>
      <c r="O288" t="n">
        <v>0</v>
      </c>
      <c r="P288" t="n">
        <v>0</v>
      </c>
      <c r="Q288" t="n">
        <v>0</v>
      </c>
      <c r="R288" s="2" t="inlineStr"/>
    </row>
    <row r="289" ht="15" customHeight="1">
      <c r="A289" t="inlineStr">
        <is>
          <t>A 21496-2023</t>
        </is>
      </c>
      <c r="B289" s="1" t="n">
        <v>45063.49936342592</v>
      </c>
      <c r="C289" s="1" t="n">
        <v>45982</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58724-2024</t>
        </is>
      </c>
      <c r="B290" s="1" t="n">
        <v>45635.66409722222</v>
      </c>
      <c r="C290" s="1" t="n">
        <v>45982</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41224-2025</t>
        </is>
      </c>
      <c r="B291" s="1" t="n">
        <v>45898.58861111111</v>
      </c>
      <c r="C291" s="1" t="n">
        <v>45982</v>
      </c>
      <c r="D291" t="inlineStr">
        <is>
          <t>KALMAR LÄN</t>
        </is>
      </c>
      <c r="E291" t="inlineStr">
        <is>
          <t>VIMMERBY</t>
        </is>
      </c>
      <c r="G291" t="n">
        <v>4.4</v>
      </c>
      <c r="H291" t="n">
        <v>0</v>
      </c>
      <c r="I291" t="n">
        <v>0</v>
      </c>
      <c r="J291" t="n">
        <v>0</v>
      </c>
      <c r="K291" t="n">
        <v>0</v>
      </c>
      <c r="L291" t="n">
        <v>0</v>
      </c>
      <c r="M291" t="n">
        <v>0</v>
      </c>
      <c r="N291" t="n">
        <v>0</v>
      </c>
      <c r="O291" t="n">
        <v>0</v>
      </c>
      <c r="P291" t="n">
        <v>0</v>
      </c>
      <c r="Q291" t="n">
        <v>0</v>
      </c>
      <c r="R291" s="2" t="inlineStr"/>
    </row>
    <row r="292" ht="15" customHeight="1">
      <c r="A292" t="inlineStr">
        <is>
          <t>A 29783-2024</t>
        </is>
      </c>
      <c r="B292" s="1" t="n">
        <v>45485.45778935185</v>
      </c>
      <c r="C292" s="1" t="n">
        <v>45982</v>
      </c>
      <c r="D292" t="inlineStr">
        <is>
          <t>KALMAR LÄN</t>
        </is>
      </c>
      <c r="E292" t="inlineStr">
        <is>
          <t>VIMMERBY</t>
        </is>
      </c>
      <c r="G292" t="n">
        <v>3.1</v>
      </c>
      <c r="H292" t="n">
        <v>0</v>
      </c>
      <c r="I292" t="n">
        <v>0</v>
      </c>
      <c r="J292" t="n">
        <v>0</v>
      </c>
      <c r="K292" t="n">
        <v>0</v>
      </c>
      <c r="L292" t="n">
        <v>0</v>
      </c>
      <c r="M292" t="n">
        <v>0</v>
      </c>
      <c r="N292" t="n">
        <v>0</v>
      </c>
      <c r="O292" t="n">
        <v>0</v>
      </c>
      <c r="P292" t="n">
        <v>0</v>
      </c>
      <c r="Q292" t="n">
        <v>0</v>
      </c>
      <c r="R292" s="2" t="inlineStr"/>
    </row>
    <row r="293" ht="15" customHeight="1">
      <c r="A293" t="inlineStr">
        <is>
          <t>A 25792-2025</t>
        </is>
      </c>
      <c r="B293" s="1" t="n">
        <v>45804.39141203704</v>
      </c>
      <c r="C293" s="1" t="n">
        <v>45982</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49871-2025</t>
        </is>
      </c>
      <c r="B294" s="1" t="n">
        <v>45940.54104166666</v>
      </c>
      <c r="C294" s="1" t="n">
        <v>45982</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26039-2025</t>
        </is>
      </c>
      <c r="B295" s="1" t="n">
        <v>45804.6953587963</v>
      </c>
      <c r="C295" s="1" t="n">
        <v>45982</v>
      </c>
      <c r="D295" t="inlineStr">
        <is>
          <t>KALMAR LÄN</t>
        </is>
      </c>
      <c r="E295" t="inlineStr">
        <is>
          <t>VIMMERBY</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41591-2025</t>
        </is>
      </c>
      <c r="B296" s="1" t="n">
        <v>45901.6327662037</v>
      </c>
      <c r="C296" s="1" t="n">
        <v>45982</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40971-2025</t>
        </is>
      </c>
      <c r="B297" s="1" t="n">
        <v>45897.88836805556</v>
      </c>
      <c r="C297" s="1" t="n">
        <v>45982</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41589-2025</t>
        </is>
      </c>
      <c r="B298" s="1" t="n">
        <v>45901.63219907408</v>
      </c>
      <c r="C298" s="1" t="n">
        <v>45982</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26046-2025</t>
        </is>
      </c>
      <c r="B299" s="1" t="n">
        <v>45804.708125</v>
      </c>
      <c r="C299" s="1" t="n">
        <v>45982</v>
      </c>
      <c r="D299" t="inlineStr">
        <is>
          <t>KALMAR LÄN</t>
        </is>
      </c>
      <c r="E299" t="inlineStr">
        <is>
          <t>VIMMERBY</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40970-2025</t>
        </is>
      </c>
      <c r="B300" s="1" t="n">
        <v>45897.88706018519</v>
      </c>
      <c r="C300" s="1" t="n">
        <v>45982</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40973-2025</t>
        </is>
      </c>
      <c r="B301" s="1" t="n">
        <v>45897.89737268518</v>
      </c>
      <c r="C301" s="1" t="n">
        <v>45982</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26124-2025</t>
        </is>
      </c>
      <c r="B302" s="1" t="n">
        <v>45805.39247685186</v>
      </c>
      <c r="C302" s="1" t="n">
        <v>45982</v>
      </c>
      <c r="D302" t="inlineStr">
        <is>
          <t>KALMAR LÄN</t>
        </is>
      </c>
      <c r="E302" t="inlineStr">
        <is>
          <t>VIMMERBY</t>
        </is>
      </c>
      <c r="G302" t="n">
        <v>6.6</v>
      </c>
      <c r="H302" t="n">
        <v>0</v>
      </c>
      <c r="I302" t="n">
        <v>0</v>
      </c>
      <c r="J302" t="n">
        <v>0</v>
      </c>
      <c r="K302" t="n">
        <v>0</v>
      </c>
      <c r="L302" t="n">
        <v>0</v>
      </c>
      <c r="M302" t="n">
        <v>0</v>
      </c>
      <c r="N302" t="n">
        <v>0</v>
      </c>
      <c r="O302" t="n">
        <v>0</v>
      </c>
      <c r="P302" t="n">
        <v>0</v>
      </c>
      <c r="Q302" t="n">
        <v>0</v>
      </c>
      <c r="R302" s="2" t="inlineStr"/>
    </row>
    <row r="303" ht="15" customHeight="1">
      <c r="A303" t="inlineStr">
        <is>
          <t>A 35198-2023</t>
        </is>
      </c>
      <c r="B303" s="1" t="n">
        <v>45145</v>
      </c>
      <c r="C303" s="1" t="n">
        <v>45982</v>
      </c>
      <c r="D303" t="inlineStr">
        <is>
          <t>KALMAR LÄN</t>
        </is>
      </c>
      <c r="E303" t="inlineStr">
        <is>
          <t>VIMMERBY</t>
        </is>
      </c>
      <c r="G303" t="n">
        <v>1.6</v>
      </c>
      <c r="H303" t="n">
        <v>0</v>
      </c>
      <c r="I303" t="n">
        <v>0</v>
      </c>
      <c r="J303" t="n">
        <v>0</v>
      </c>
      <c r="K303" t="n">
        <v>0</v>
      </c>
      <c r="L303" t="n">
        <v>0</v>
      </c>
      <c r="M303" t="n">
        <v>0</v>
      </c>
      <c r="N303" t="n">
        <v>0</v>
      </c>
      <c r="O303" t="n">
        <v>0</v>
      </c>
      <c r="P303" t="n">
        <v>0</v>
      </c>
      <c r="Q303" t="n">
        <v>0</v>
      </c>
      <c r="R303" s="2" t="inlineStr"/>
    </row>
    <row r="304" ht="15" customHeight="1">
      <c r="A304" t="inlineStr">
        <is>
          <t>A 26207-2025</t>
        </is>
      </c>
      <c r="B304" s="1" t="n">
        <v>45805.52983796296</v>
      </c>
      <c r="C304" s="1" t="n">
        <v>45982</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43853-2023</t>
        </is>
      </c>
      <c r="B305" s="1" t="n">
        <v>45187.60813657408</v>
      </c>
      <c r="C305" s="1" t="n">
        <v>45982</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25830-2025</t>
        </is>
      </c>
      <c r="B306" s="1" t="n">
        <v>45804.44519675926</v>
      </c>
      <c r="C306" s="1" t="n">
        <v>45982</v>
      </c>
      <c r="D306" t="inlineStr">
        <is>
          <t>KALMAR LÄN</t>
        </is>
      </c>
      <c r="E306" t="inlineStr">
        <is>
          <t>VIMMERBY</t>
        </is>
      </c>
      <c r="G306" t="n">
        <v>4.9</v>
      </c>
      <c r="H306" t="n">
        <v>0</v>
      </c>
      <c r="I306" t="n">
        <v>0</v>
      </c>
      <c r="J306" t="n">
        <v>0</v>
      </c>
      <c r="K306" t="n">
        <v>0</v>
      </c>
      <c r="L306" t="n">
        <v>0</v>
      </c>
      <c r="M306" t="n">
        <v>0</v>
      </c>
      <c r="N306" t="n">
        <v>0</v>
      </c>
      <c r="O306" t="n">
        <v>0</v>
      </c>
      <c r="P306" t="n">
        <v>0</v>
      </c>
      <c r="Q306" t="n">
        <v>0</v>
      </c>
      <c r="R306" s="2" t="inlineStr"/>
    </row>
    <row r="307" ht="15" customHeight="1">
      <c r="A307" t="inlineStr">
        <is>
          <t>A 26254-2025</t>
        </is>
      </c>
      <c r="B307" s="1" t="n">
        <v>45805</v>
      </c>
      <c r="C307" s="1" t="n">
        <v>45982</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34090-2025</t>
        </is>
      </c>
      <c r="B308" s="1" t="n">
        <v>45845</v>
      </c>
      <c r="C308" s="1" t="n">
        <v>45982</v>
      </c>
      <c r="D308" t="inlineStr">
        <is>
          <t>KALMAR LÄN</t>
        </is>
      </c>
      <c r="E308" t="inlineStr">
        <is>
          <t>VIMMERBY</t>
        </is>
      </c>
      <c r="G308" t="n">
        <v>2.8</v>
      </c>
      <c r="H308" t="n">
        <v>0</v>
      </c>
      <c r="I308" t="n">
        <v>0</v>
      </c>
      <c r="J308" t="n">
        <v>0</v>
      </c>
      <c r="K308" t="n">
        <v>0</v>
      </c>
      <c r="L308" t="n">
        <v>0</v>
      </c>
      <c r="M308" t="n">
        <v>0</v>
      </c>
      <c r="N308" t="n">
        <v>0</v>
      </c>
      <c r="O308" t="n">
        <v>0</v>
      </c>
      <c r="P308" t="n">
        <v>0</v>
      </c>
      <c r="Q308" t="n">
        <v>0</v>
      </c>
      <c r="R308" s="2" t="inlineStr"/>
    </row>
    <row r="309" ht="15" customHeight="1">
      <c r="A309" t="inlineStr">
        <is>
          <t>A 9511-2023</t>
        </is>
      </c>
      <c r="B309" s="1" t="n">
        <v>44981.64725694444</v>
      </c>
      <c r="C309" s="1" t="n">
        <v>45982</v>
      </c>
      <c r="D309" t="inlineStr">
        <is>
          <t>KALMAR LÄN</t>
        </is>
      </c>
      <c r="E309" t="inlineStr">
        <is>
          <t>VIMMERBY</t>
        </is>
      </c>
      <c r="G309" t="n">
        <v>3.5</v>
      </c>
      <c r="H309" t="n">
        <v>0</v>
      </c>
      <c r="I309" t="n">
        <v>0</v>
      </c>
      <c r="J309" t="n">
        <v>0</v>
      </c>
      <c r="K309" t="n">
        <v>0</v>
      </c>
      <c r="L309" t="n">
        <v>0</v>
      </c>
      <c r="M309" t="n">
        <v>0</v>
      </c>
      <c r="N309" t="n">
        <v>0</v>
      </c>
      <c r="O309" t="n">
        <v>0</v>
      </c>
      <c r="P309" t="n">
        <v>0</v>
      </c>
      <c r="Q309" t="n">
        <v>0</v>
      </c>
      <c r="R309" s="2" t="inlineStr"/>
    </row>
    <row r="310" ht="15" customHeight="1">
      <c r="A310" t="inlineStr">
        <is>
          <t>A 38757-2023</t>
        </is>
      </c>
      <c r="B310" s="1" t="n">
        <v>45163.41376157408</v>
      </c>
      <c r="C310" s="1" t="n">
        <v>45982</v>
      </c>
      <c r="D310" t="inlineStr">
        <is>
          <t>KALMAR LÄN</t>
        </is>
      </c>
      <c r="E310" t="inlineStr">
        <is>
          <t>VIMMERBY</t>
        </is>
      </c>
      <c r="G310" t="n">
        <v>2.5</v>
      </c>
      <c r="H310" t="n">
        <v>0</v>
      </c>
      <c r="I310" t="n">
        <v>0</v>
      </c>
      <c r="J310" t="n">
        <v>0</v>
      </c>
      <c r="K310" t="n">
        <v>0</v>
      </c>
      <c r="L310" t="n">
        <v>0</v>
      </c>
      <c r="M310" t="n">
        <v>0</v>
      </c>
      <c r="N310" t="n">
        <v>0</v>
      </c>
      <c r="O310" t="n">
        <v>0</v>
      </c>
      <c r="P310" t="n">
        <v>0</v>
      </c>
      <c r="Q310" t="n">
        <v>0</v>
      </c>
      <c r="R310" s="2" t="inlineStr"/>
    </row>
    <row r="311" ht="15" customHeight="1">
      <c r="A311" t="inlineStr">
        <is>
          <t>A 29973-2023</t>
        </is>
      </c>
      <c r="B311" s="1" t="n">
        <v>45108.703125</v>
      </c>
      <c r="C311" s="1" t="n">
        <v>45982</v>
      </c>
      <c r="D311" t="inlineStr">
        <is>
          <t>KALMAR LÄN</t>
        </is>
      </c>
      <c r="E311" t="inlineStr">
        <is>
          <t>VIMMERBY</t>
        </is>
      </c>
      <c r="G311" t="n">
        <v>4</v>
      </c>
      <c r="H311" t="n">
        <v>0</v>
      </c>
      <c r="I311" t="n">
        <v>0</v>
      </c>
      <c r="J311" t="n">
        <v>0</v>
      </c>
      <c r="K311" t="n">
        <v>0</v>
      </c>
      <c r="L311" t="n">
        <v>0</v>
      </c>
      <c r="M311" t="n">
        <v>0</v>
      </c>
      <c r="N311" t="n">
        <v>0</v>
      </c>
      <c r="O311" t="n">
        <v>0</v>
      </c>
      <c r="P311" t="n">
        <v>0</v>
      </c>
      <c r="Q311" t="n">
        <v>0</v>
      </c>
      <c r="R311" s="2" t="inlineStr"/>
    </row>
    <row r="312" ht="15" customHeight="1">
      <c r="A312" t="inlineStr">
        <is>
          <t>A 64143-2021</t>
        </is>
      </c>
      <c r="B312" s="1" t="n">
        <v>44510.52157407408</v>
      </c>
      <c r="C312" s="1" t="n">
        <v>45982</v>
      </c>
      <c r="D312" t="inlineStr">
        <is>
          <t>KALMAR LÄN</t>
        </is>
      </c>
      <c r="E312" t="inlineStr">
        <is>
          <t>VIMMERBY</t>
        </is>
      </c>
      <c r="G312" t="n">
        <v>1.6</v>
      </c>
      <c r="H312" t="n">
        <v>0</v>
      </c>
      <c r="I312" t="n">
        <v>0</v>
      </c>
      <c r="J312" t="n">
        <v>0</v>
      </c>
      <c r="K312" t="n">
        <v>0</v>
      </c>
      <c r="L312" t="n">
        <v>0</v>
      </c>
      <c r="M312" t="n">
        <v>0</v>
      </c>
      <c r="N312" t="n">
        <v>0</v>
      </c>
      <c r="O312" t="n">
        <v>0</v>
      </c>
      <c r="P312" t="n">
        <v>0</v>
      </c>
      <c r="Q312" t="n">
        <v>0</v>
      </c>
      <c r="R312" s="2" t="inlineStr"/>
    </row>
    <row r="313" ht="15" customHeight="1">
      <c r="A313" t="inlineStr">
        <is>
          <t>A 73938-2021</t>
        </is>
      </c>
      <c r="B313" s="1" t="n">
        <v>44553</v>
      </c>
      <c r="C313" s="1" t="n">
        <v>45982</v>
      </c>
      <c r="D313" t="inlineStr">
        <is>
          <t>KALMAR LÄN</t>
        </is>
      </c>
      <c r="E313" t="inlineStr">
        <is>
          <t>VIMMERBY</t>
        </is>
      </c>
      <c r="G313" t="n">
        <v>3.2</v>
      </c>
      <c r="H313" t="n">
        <v>0</v>
      </c>
      <c r="I313" t="n">
        <v>0</v>
      </c>
      <c r="J313" t="n">
        <v>0</v>
      </c>
      <c r="K313" t="n">
        <v>0</v>
      </c>
      <c r="L313" t="n">
        <v>0</v>
      </c>
      <c r="M313" t="n">
        <v>0</v>
      </c>
      <c r="N313" t="n">
        <v>0</v>
      </c>
      <c r="O313" t="n">
        <v>0</v>
      </c>
      <c r="P313" t="n">
        <v>0</v>
      </c>
      <c r="Q313" t="n">
        <v>0</v>
      </c>
      <c r="R313" s="2" t="inlineStr"/>
    </row>
    <row r="314" ht="15" customHeight="1">
      <c r="A314" t="inlineStr">
        <is>
          <t>A 50324-2025</t>
        </is>
      </c>
      <c r="B314" s="1" t="n">
        <v>45944.45962962963</v>
      </c>
      <c r="C314" s="1" t="n">
        <v>45982</v>
      </c>
      <c r="D314" t="inlineStr">
        <is>
          <t>KALMAR LÄN</t>
        </is>
      </c>
      <c r="E314" t="inlineStr">
        <is>
          <t>VIMMERBY</t>
        </is>
      </c>
      <c r="G314" t="n">
        <v>2.1</v>
      </c>
      <c r="H314" t="n">
        <v>0</v>
      </c>
      <c r="I314" t="n">
        <v>0</v>
      </c>
      <c r="J314" t="n">
        <v>0</v>
      </c>
      <c r="K314" t="n">
        <v>0</v>
      </c>
      <c r="L314" t="n">
        <v>0</v>
      </c>
      <c r="M314" t="n">
        <v>0</v>
      </c>
      <c r="N314" t="n">
        <v>0</v>
      </c>
      <c r="O314" t="n">
        <v>0</v>
      </c>
      <c r="P314" t="n">
        <v>0</v>
      </c>
      <c r="Q314" t="n">
        <v>0</v>
      </c>
      <c r="R314" s="2" t="inlineStr"/>
    </row>
    <row r="315" ht="15" customHeight="1">
      <c r="A315" t="inlineStr">
        <is>
          <t>A 40076-2021</t>
        </is>
      </c>
      <c r="B315" s="1" t="n">
        <v>44418</v>
      </c>
      <c r="C315" s="1" t="n">
        <v>45982</v>
      </c>
      <c r="D315" t="inlineStr">
        <is>
          <t>KALMAR LÄN</t>
        </is>
      </c>
      <c r="E315" t="inlineStr">
        <is>
          <t>VIMMERBY</t>
        </is>
      </c>
      <c r="G315" t="n">
        <v>2</v>
      </c>
      <c r="H315" t="n">
        <v>0</v>
      </c>
      <c r="I315" t="n">
        <v>0</v>
      </c>
      <c r="J315" t="n">
        <v>0</v>
      </c>
      <c r="K315" t="n">
        <v>0</v>
      </c>
      <c r="L315" t="n">
        <v>0</v>
      </c>
      <c r="M315" t="n">
        <v>0</v>
      </c>
      <c r="N315" t="n">
        <v>0</v>
      </c>
      <c r="O315" t="n">
        <v>0</v>
      </c>
      <c r="P315" t="n">
        <v>0</v>
      </c>
      <c r="Q315" t="n">
        <v>0</v>
      </c>
      <c r="R315" s="2" t="inlineStr"/>
    </row>
    <row r="316" ht="15" customHeight="1">
      <c r="A316" t="inlineStr">
        <is>
          <t>A 50648-2023</t>
        </is>
      </c>
      <c r="B316" s="1" t="n">
        <v>45217.47834490741</v>
      </c>
      <c r="C316" s="1" t="n">
        <v>45982</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529-2022</t>
        </is>
      </c>
      <c r="B317" s="1" t="n">
        <v>44566</v>
      </c>
      <c r="C317" s="1" t="n">
        <v>45982</v>
      </c>
      <c r="D317" t="inlineStr">
        <is>
          <t>KALMAR LÄN</t>
        </is>
      </c>
      <c r="E317" t="inlineStr">
        <is>
          <t>VIMMERBY</t>
        </is>
      </c>
      <c r="G317" t="n">
        <v>1.5</v>
      </c>
      <c r="H317" t="n">
        <v>0</v>
      </c>
      <c r="I317" t="n">
        <v>0</v>
      </c>
      <c r="J317" t="n">
        <v>0</v>
      </c>
      <c r="K317" t="n">
        <v>0</v>
      </c>
      <c r="L317" t="n">
        <v>0</v>
      </c>
      <c r="M317" t="n">
        <v>0</v>
      </c>
      <c r="N317" t="n">
        <v>0</v>
      </c>
      <c r="O317" t="n">
        <v>0</v>
      </c>
      <c r="P317" t="n">
        <v>0</v>
      </c>
      <c r="Q317" t="n">
        <v>0</v>
      </c>
      <c r="R317" s="2" t="inlineStr"/>
    </row>
    <row r="318" ht="15" customHeight="1">
      <c r="A318" t="inlineStr">
        <is>
          <t>A 58318-2021</t>
        </is>
      </c>
      <c r="B318" s="1" t="n">
        <v>44488.35878472222</v>
      </c>
      <c r="C318" s="1" t="n">
        <v>45982</v>
      </c>
      <c r="D318" t="inlineStr">
        <is>
          <t>KALMAR LÄN</t>
        </is>
      </c>
      <c r="E318" t="inlineStr">
        <is>
          <t>VIMMERBY</t>
        </is>
      </c>
      <c r="G318" t="n">
        <v>4</v>
      </c>
      <c r="H318" t="n">
        <v>0</v>
      </c>
      <c r="I318" t="n">
        <v>0</v>
      </c>
      <c r="J318" t="n">
        <v>0</v>
      </c>
      <c r="K318" t="n">
        <v>0</v>
      </c>
      <c r="L318" t="n">
        <v>0</v>
      </c>
      <c r="M318" t="n">
        <v>0</v>
      </c>
      <c r="N318" t="n">
        <v>0</v>
      </c>
      <c r="O318" t="n">
        <v>0</v>
      </c>
      <c r="P318" t="n">
        <v>0</v>
      </c>
      <c r="Q318" t="n">
        <v>0</v>
      </c>
      <c r="R318" s="2" t="inlineStr"/>
    </row>
    <row r="319" ht="15" customHeight="1">
      <c r="A319" t="inlineStr">
        <is>
          <t>A 41735-2025</t>
        </is>
      </c>
      <c r="B319" s="1" t="n">
        <v>45902.47164351852</v>
      </c>
      <c r="C319" s="1" t="n">
        <v>45982</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89-2023</t>
        </is>
      </c>
      <c r="B320" s="1" t="n">
        <v>44918</v>
      </c>
      <c r="C320" s="1" t="n">
        <v>45982</v>
      </c>
      <c r="D320" t="inlineStr">
        <is>
          <t>KALMAR LÄN</t>
        </is>
      </c>
      <c r="E320" t="inlineStr">
        <is>
          <t>VIMMERBY</t>
        </is>
      </c>
      <c r="G320" t="n">
        <v>16.1</v>
      </c>
      <c r="H320" t="n">
        <v>0</v>
      </c>
      <c r="I320" t="n">
        <v>0</v>
      </c>
      <c r="J320" t="n">
        <v>0</v>
      </c>
      <c r="K320" t="n">
        <v>0</v>
      </c>
      <c r="L320" t="n">
        <v>0</v>
      </c>
      <c r="M320" t="n">
        <v>0</v>
      </c>
      <c r="N320" t="n">
        <v>0</v>
      </c>
      <c r="O320" t="n">
        <v>0</v>
      </c>
      <c r="P320" t="n">
        <v>0</v>
      </c>
      <c r="Q320" t="n">
        <v>0</v>
      </c>
      <c r="R320" s="2" t="inlineStr"/>
    </row>
    <row r="321" ht="15" customHeight="1">
      <c r="A321" t="inlineStr">
        <is>
          <t>A 23088-2024</t>
        </is>
      </c>
      <c r="B321" s="1" t="n">
        <v>45450.51092592593</v>
      </c>
      <c r="C321" s="1" t="n">
        <v>45982</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38851-2023</t>
        </is>
      </c>
      <c r="B322" s="1" t="n">
        <v>45163</v>
      </c>
      <c r="C322" s="1" t="n">
        <v>45982</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10759-2023</t>
        </is>
      </c>
      <c r="B323" s="1" t="n">
        <v>44988</v>
      </c>
      <c r="C323" s="1" t="n">
        <v>45982</v>
      </c>
      <c r="D323" t="inlineStr">
        <is>
          <t>KALMAR LÄN</t>
        </is>
      </c>
      <c r="E323" t="inlineStr">
        <is>
          <t>VIMMERBY</t>
        </is>
      </c>
      <c r="G323" t="n">
        <v>0.4</v>
      </c>
      <c r="H323" t="n">
        <v>0</v>
      </c>
      <c r="I323" t="n">
        <v>0</v>
      </c>
      <c r="J323" t="n">
        <v>0</v>
      </c>
      <c r="K323" t="n">
        <v>0</v>
      </c>
      <c r="L323" t="n">
        <v>0</v>
      </c>
      <c r="M323" t="n">
        <v>0</v>
      </c>
      <c r="N323" t="n">
        <v>0</v>
      </c>
      <c r="O323" t="n">
        <v>0</v>
      </c>
      <c r="P323" t="n">
        <v>0</v>
      </c>
      <c r="Q323" t="n">
        <v>0</v>
      </c>
      <c r="R323" s="2" t="inlineStr"/>
    </row>
    <row r="324" ht="15" customHeight="1">
      <c r="A324" t="inlineStr">
        <is>
          <t>A 63583-2023</t>
        </is>
      </c>
      <c r="B324" s="1" t="n">
        <v>45275.41833333333</v>
      </c>
      <c r="C324" s="1" t="n">
        <v>45982</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40079-2023</t>
        </is>
      </c>
      <c r="B325" s="1" t="n">
        <v>45168.89298611111</v>
      </c>
      <c r="C325" s="1" t="n">
        <v>45982</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43774-2023</t>
        </is>
      </c>
      <c r="B326" s="1" t="n">
        <v>45187</v>
      </c>
      <c r="C326" s="1" t="n">
        <v>45982</v>
      </c>
      <c r="D326" t="inlineStr">
        <is>
          <t>KALMAR LÄN</t>
        </is>
      </c>
      <c r="E326" t="inlineStr">
        <is>
          <t>VIMMERBY</t>
        </is>
      </c>
      <c r="G326" t="n">
        <v>3.4</v>
      </c>
      <c r="H326" t="n">
        <v>0</v>
      </c>
      <c r="I326" t="n">
        <v>0</v>
      </c>
      <c r="J326" t="n">
        <v>0</v>
      </c>
      <c r="K326" t="n">
        <v>0</v>
      </c>
      <c r="L326" t="n">
        <v>0</v>
      </c>
      <c r="M326" t="n">
        <v>0</v>
      </c>
      <c r="N326" t="n">
        <v>0</v>
      </c>
      <c r="O326" t="n">
        <v>0</v>
      </c>
      <c r="P326" t="n">
        <v>0</v>
      </c>
      <c r="Q326" t="n">
        <v>0</v>
      </c>
      <c r="R326" s="2" t="inlineStr"/>
    </row>
    <row r="327" ht="15" customHeight="1">
      <c r="A327" t="inlineStr">
        <is>
          <t>A 50544-2025</t>
        </is>
      </c>
      <c r="B327" s="1" t="n">
        <v>45945.50736111111</v>
      </c>
      <c r="C327" s="1" t="n">
        <v>45982</v>
      </c>
      <c r="D327" t="inlineStr">
        <is>
          <t>KALMAR LÄN</t>
        </is>
      </c>
      <c r="E327" t="inlineStr">
        <is>
          <t>VIMMERBY</t>
        </is>
      </c>
      <c r="G327" t="n">
        <v>0.8</v>
      </c>
      <c r="H327" t="n">
        <v>0</v>
      </c>
      <c r="I327" t="n">
        <v>0</v>
      </c>
      <c r="J327" t="n">
        <v>0</v>
      </c>
      <c r="K327" t="n">
        <v>0</v>
      </c>
      <c r="L327" t="n">
        <v>0</v>
      </c>
      <c r="M327" t="n">
        <v>0</v>
      </c>
      <c r="N327" t="n">
        <v>0</v>
      </c>
      <c r="O327" t="n">
        <v>0</v>
      </c>
      <c r="P327" t="n">
        <v>0</v>
      </c>
      <c r="Q327" t="n">
        <v>0</v>
      </c>
      <c r="R327" s="2" t="inlineStr"/>
    </row>
    <row r="328" ht="15" customHeight="1">
      <c r="A328" t="inlineStr">
        <is>
          <t>A 29616-2022</t>
        </is>
      </c>
      <c r="B328" s="1" t="n">
        <v>44754</v>
      </c>
      <c r="C328" s="1" t="n">
        <v>45982</v>
      </c>
      <c r="D328" t="inlineStr">
        <is>
          <t>KALMAR LÄN</t>
        </is>
      </c>
      <c r="E328" t="inlineStr">
        <is>
          <t>VIMMERBY</t>
        </is>
      </c>
      <c r="G328" t="n">
        <v>1.1</v>
      </c>
      <c r="H328" t="n">
        <v>0</v>
      </c>
      <c r="I328" t="n">
        <v>0</v>
      </c>
      <c r="J328" t="n">
        <v>0</v>
      </c>
      <c r="K328" t="n">
        <v>0</v>
      </c>
      <c r="L328" t="n">
        <v>0</v>
      </c>
      <c r="M328" t="n">
        <v>0</v>
      </c>
      <c r="N328" t="n">
        <v>0</v>
      </c>
      <c r="O328" t="n">
        <v>0</v>
      </c>
      <c r="P328" t="n">
        <v>0</v>
      </c>
      <c r="Q328" t="n">
        <v>0</v>
      </c>
      <c r="R328" s="2" t="inlineStr"/>
    </row>
    <row r="329" ht="15" customHeight="1">
      <c r="A329" t="inlineStr">
        <is>
          <t>A 39578-2024</t>
        </is>
      </c>
      <c r="B329" s="1" t="n">
        <v>45552.36484953704</v>
      </c>
      <c r="C329" s="1" t="n">
        <v>45982</v>
      </c>
      <c r="D329" t="inlineStr">
        <is>
          <t>KALMAR LÄN</t>
        </is>
      </c>
      <c r="E329" t="inlineStr">
        <is>
          <t>VIMMERBY</t>
        </is>
      </c>
      <c r="G329" t="n">
        <v>1.5</v>
      </c>
      <c r="H329" t="n">
        <v>0</v>
      </c>
      <c r="I329" t="n">
        <v>0</v>
      </c>
      <c r="J329" t="n">
        <v>0</v>
      </c>
      <c r="K329" t="n">
        <v>0</v>
      </c>
      <c r="L329" t="n">
        <v>0</v>
      </c>
      <c r="M329" t="n">
        <v>0</v>
      </c>
      <c r="N329" t="n">
        <v>0</v>
      </c>
      <c r="O329" t="n">
        <v>0</v>
      </c>
      <c r="P329" t="n">
        <v>0</v>
      </c>
      <c r="Q329" t="n">
        <v>0</v>
      </c>
      <c r="R329" s="2" t="inlineStr"/>
    </row>
    <row r="330" ht="15" customHeight="1">
      <c r="A330" t="inlineStr">
        <is>
          <t>A 24707-2024</t>
        </is>
      </c>
      <c r="B330" s="1" t="n">
        <v>45460.62172453704</v>
      </c>
      <c r="C330" s="1" t="n">
        <v>45982</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51062-2025</t>
        </is>
      </c>
      <c r="B331" s="1" t="n">
        <v>45947.44685185186</v>
      </c>
      <c r="C331" s="1" t="n">
        <v>45982</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31056-2022</t>
        </is>
      </c>
      <c r="B332" s="1" t="n">
        <v>44769.45805555556</v>
      </c>
      <c r="C332" s="1" t="n">
        <v>45982</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33383-2023</t>
        </is>
      </c>
      <c r="B333" s="1" t="n">
        <v>45128.58414351852</v>
      </c>
      <c r="C333" s="1" t="n">
        <v>45982</v>
      </c>
      <c r="D333" t="inlineStr">
        <is>
          <t>KALMAR LÄN</t>
        </is>
      </c>
      <c r="E333" t="inlineStr">
        <is>
          <t>VIMMERBY</t>
        </is>
      </c>
      <c r="G333" t="n">
        <v>2.3</v>
      </c>
      <c r="H333" t="n">
        <v>0</v>
      </c>
      <c r="I333" t="n">
        <v>0</v>
      </c>
      <c r="J333" t="n">
        <v>0</v>
      </c>
      <c r="K333" t="n">
        <v>0</v>
      </c>
      <c r="L333" t="n">
        <v>0</v>
      </c>
      <c r="M333" t="n">
        <v>0</v>
      </c>
      <c r="N333" t="n">
        <v>0</v>
      </c>
      <c r="O333" t="n">
        <v>0</v>
      </c>
      <c r="P333" t="n">
        <v>0</v>
      </c>
      <c r="Q333" t="n">
        <v>0</v>
      </c>
      <c r="R333" s="2" t="inlineStr"/>
    </row>
    <row r="334" ht="15" customHeight="1">
      <c r="A334" t="inlineStr">
        <is>
          <t>A 40828-2023</t>
        </is>
      </c>
      <c r="B334" s="1" t="n">
        <v>45171.96248842592</v>
      </c>
      <c r="C334" s="1" t="n">
        <v>45982</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28286-2025</t>
        </is>
      </c>
      <c r="B335" s="1" t="n">
        <v>45818.58993055556</v>
      </c>
      <c r="C335" s="1" t="n">
        <v>45982</v>
      </c>
      <c r="D335" t="inlineStr">
        <is>
          <t>KALMAR LÄN</t>
        </is>
      </c>
      <c r="E335" t="inlineStr">
        <is>
          <t>VIMMERBY</t>
        </is>
      </c>
      <c r="F335" t="inlineStr">
        <is>
          <t>Sveaskog</t>
        </is>
      </c>
      <c r="G335" t="n">
        <v>8</v>
      </c>
      <c r="H335" t="n">
        <v>0</v>
      </c>
      <c r="I335" t="n">
        <v>0</v>
      </c>
      <c r="J335" t="n">
        <v>0</v>
      </c>
      <c r="K335" t="n">
        <v>0</v>
      </c>
      <c r="L335" t="n">
        <v>0</v>
      </c>
      <c r="M335" t="n">
        <v>0</v>
      </c>
      <c r="N335" t="n">
        <v>0</v>
      </c>
      <c r="O335" t="n">
        <v>0</v>
      </c>
      <c r="P335" t="n">
        <v>0</v>
      </c>
      <c r="Q335" t="n">
        <v>0</v>
      </c>
      <c r="R335" s="2" t="inlineStr"/>
    </row>
    <row r="336" ht="15" customHeight="1">
      <c r="A336" t="inlineStr">
        <is>
          <t>A 28282-2025</t>
        </is>
      </c>
      <c r="B336" s="1" t="n">
        <v>45818.58769675926</v>
      </c>
      <c r="C336" s="1" t="n">
        <v>45982</v>
      </c>
      <c r="D336" t="inlineStr">
        <is>
          <t>KALMAR LÄN</t>
        </is>
      </c>
      <c r="E336" t="inlineStr">
        <is>
          <t>VIMMERBY</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28294-2025</t>
        </is>
      </c>
      <c r="B337" s="1" t="n">
        <v>45818.595625</v>
      </c>
      <c r="C337" s="1" t="n">
        <v>45982</v>
      </c>
      <c r="D337" t="inlineStr">
        <is>
          <t>KALMAR LÄN</t>
        </is>
      </c>
      <c r="E337" t="inlineStr">
        <is>
          <t>VIMMERBY</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28290-2025</t>
        </is>
      </c>
      <c r="B338" s="1" t="n">
        <v>45818.59261574074</v>
      </c>
      <c r="C338" s="1" t="n">
        <v>45982</v>
      </c>
      <c r="D338" t="inlineStr">
        <is>
          <t>KALMAR LÄN</t>
        </is>
      </c>
      <c r="E338" t="inlineStr">
        <is>
          <t>VIMMERBY</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61861-2024</t>
        </is>
      </c>
      <c r="B339" s="1" t="n">
        <v>45650.37370370371</v>
      </c>
      <c r="C339" s="1" t="n">
        <v>45982</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28280-2025</t>
        </is>
      </c>
      <c r="B340" s="1" t="n">
        <v>45818.5862037037</v>
      </c>
      <c r="C340" s="1" t="n">
        <v>45982</v>
      </c>
      <c r="D340" t="inlineStr">
        <is>
          <t>KALMAR LÄN</t>
        </is>
      </c>
      <c r="E340" t="inlineStr">
        <is>
          <t>VIMMERBY</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8650-2022</t>
        </is>
      </c>
      <c r="B341" s="1" t="n">
        <v>44613</v>
      </c>
      <c r="C341" s="1" t="n">
        <v>45982</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33340-2023</t>
        </is>
      </c>
      <c r="B342" s="1" t="n">
        <v>45128.37305555555</v>
      </c>
      <c r="C342" s="1" t="n">
        <v>45982</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28620-2025</t>
        </is>
      </c>
      <c r="B343" s="1" t="n">
        <v>45819.61060185185</v>
      </c>
      <c r="C343" s="1" t="n">
        <v>45982</v>
      </c>
      <c r="D343" t="inlineStr">
        <is>
          <t>KALMAR LÄN</t>
        </is>
      </c>
      <c r="E343" t="inlineStr">
        <is>
          <t>VIMMERBY</t>
        </is>
      </c>
      <c r="G343" t="n">
        <v>5.6</v>
      </c>
      <c r="H343" t="n">
        <v>0</v>
      </c>
      <c r="I343" t="n">
        <v>0</v>
      </c>
      <c r="J343" t="n">
        <v>0</v>
      </c>
      <c r="K343" t="n">
        <v>0</v>
      </c>
      <c r="L343" t="n">
        <v>0</v>
      </c>
      <c r="M343" t="n">
        <v>0</v>
      </c>
      <c r="N343" t="n">
        <v>0</v>
      </c>
      <c r="O343" t="n">
        <v>0</v>
      </c>
      <c r="P343" t="n">
        <v>0</v>
      </c>
      <c r="Q343" t="n">
        <v>0</v>
      </c>
      <c r="R343" s="2" t="inlineStr"/>
    </row>
    <row r="344" ht="15" customHeight="1">
      <c r="A344" t="inlineStr">
        <is>
          <t>A 44423-2023</t>
        </is>
      </c>
      <c r="B344" s="1" t="n">
        <v>45189</v>
      </c>
      <c r="C344" s="1" t="n">
        <v>45982</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37323-2024</t>
        </is>
      </c>
      <c r="B345" s="1" t="n">
        <v>45540.50098379629</v>
      </c>
      <c r="C345" s="1" t="n">
        <v>45982</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42828-2025</t>
        </is>
      </c>
      <c r="B346" s="1" t="n">
        <v>45908.57716435185</v>
      </c>
      <c r="C346" s="1" t="n">
        <v>45982</v>
      </c>
      <c r="D346" t="inlineStr">
        <is>
          <t>KALMAR LÄN</t>
        </is>
      </c>
      <c r="E346" t="inlineStr">
        <is>
          <t>VIMMERBY</t>
        </is>
      </c>
      <c r="G346" t="n">
        <v>5.2</v>
      </c>
      <c r="H346" t="n">
        <v>0</v>
      </c>
      <c r="I346" t="n">
        <v>0</v>
      </c>
      <c r="J346" t="n">
        <v>0</v>
      </c>
      <c r="K346" t="n">
        <v>0</v>
      </c>
      <c r="L346" t="n">
        <v>0</v>
      </c>
      <c r="M346" t="n">
        <v>0</v>
      </c>
      <c r="N346" t="n">
        <v>0</v>
      </c>
      <c r="O346" t="n">
        <v>0</v>
      </c>
      <c r="P346" t="n">
        <v>0</v>
      </c>
      <c r="Q346" t="n">
        <v>0</v>
      </c>
      <c r="R346" s="2" t="inlineStr"/>
    </row>
    <row r="347" ht="15" customHeight="1">
      <c r="A347" t="inlineStr">
        <is>
          <t>A 28712-2025</t>
        </is>
      </c>
      <c r="B347" s="1" t="n">
        <v>45820.33708333333</v>
      </c>
      <c r="C347" s="1" t="n">
        <v>45982</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28714-2025</t>
        </is>
      </c>
      <c r="B348" s="1" t="n">
        <v>45820.34128472222</v>
      </c>
      <c r="C348" s="1" t="n">
        <v>45982</v>
      </c>
      <c r="D348" t="inlineStr">
        <is>
          <t>KALMAR LÄN</t>
        </is>
      </c>
      <c r="E348" t="inlineStr">
        <is>
          <t>VIMMERBY</t>
        </is>
      </c>
      <c r="G348" t="n">
        <v>1.8</v>
      </c>
      <c r="H348" t="n">
        <v>0</v>
      </c>
      <c r="I348" t="n">
        <v>0</v>
      </c>
      <c r="J348" t="n">
        <v>0</v>
      </c>
      <c r="K348" t="n">
        <v>0</v>
      </c>
      <c r="L348" t="n">
        <v>0</v>
      </c>
      <c r="M348" t="n">
        <v>0</v>
      </c>
      <c r="N348" t="n">
        <v>0</v>
      </c>
      <c r="O348" t="n">
        <v>0</v>
      </c>
      <c r="P348" t="n">
        <v>0</v>
      </c>
      <c r="Q348" t="n">
        <v>0</v>
      </c>
      <c r="R348" s="2" t="inlineStr"/>
    </row>
    <row r="349" ht="15" customHeight="1">
      <c r="A349" t="inlineStr">
        <is>
          <t>A 42794-2025</t>
        </is>
      </c>
      <c r="B349" s="1" t="n">
        <v>45908</v>
      </c>
      <c r="C349" s="1" t="n">
        <v>45982</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28713-2025</t>
        </is>
      </c>
      <c r="B350" s="1" t="n">
        <v>45820.33930555556</v>
      </c>
      <c r="C350" s="1" t="n">
        <v>45982</v>
      </c>
      <c r="D350" t="inlineStr">
        <is>
          <t>KALMAR LÄN</t>
        </is>
      </c>
      <c r="E350" t="inlineStr">
        <is>
          <t>VIMMERBY</t>
        </is>
      </c>
      <c r="G350" t="n">
        <v>2.3</v>
      </c>
      <c r="H350" t="n">
        <v>0</v>
      </c>
      <c r="I350" t="n">
        <v>0</v>
      </c>
      <c r="J350" t="n">
        <v>0</v>
      </c>
      <c r="K350" t="n">
        <v>0</v>
      </c>
      <c r="L350" t="n">
        <v>0</v>
      </c>
      <c r="M350" t="n">
        <v>0</v>
      </c>
      <c r="N350" t="n">
        <v>0</v>
      </c>
      <c r="O350" t="n">
        <v>0</v>
      </c>
      <c r="P350" t="n">
        <v>0</v>
      </c>
      <c r="Q350" t="n">
        <v>0</v>
      </c>
      <c r="R350" s="2" t="inlineStr"/>
    </row>
    <row r="351" ht="15" customHeight="1">
      <c r="A351" t="inlineStr">
        <is>
          <t>A 42820-2025</t>
        </is>
      </c>
      <c r="B351" s="1" t="n">
        <v>45908</v>
      </c>
      <c r="C351" s="1" t="n">
        <v>45982</v>
      </c>
      <c r="D351" t="inlineStr">
        <is>
          <t>KALMAR LÄN</t>
        </is>
      </c>
      <c r="E351" t="inlineStr">
        <is>
          <t>VIMMERBY</t>
        </is>
      </c>
      <c r="G351" t="n">
        <v>1.2</v>
      </c>
      <c r="H351" t="n">
        <v>0</v>
      </c>
      <c r="I351" t="n">
        <v>0</v>
      </c>
      <c r="J351" t="n">
        <v>0</v>
      </c>
      <c r="K351" t="n">
        <v>0</v>
      </c>
      <c r="L351" t="n">
        <v>0</v>
      </c>
      <c r="M351" t="n">
        <v>0</v>
      </c>
      <c r="N351" t="n">
        <v>0</v>
      </c>
      <c r="O351" t="n">
        <v>0</v>
      </c>
      <c r="P351" t="n">
        <v>0</v>
      </c>
      <c r="Q351" t="n">
        <v>0</v>
      </c>
      <c r="R351" s="2" t="inlineStr"/>
    </row>
    <row r="352" ht="15" customHeight="1">
      <c r="A352" t="inlineStr">
        <is>
          <t>A 18501-2024</t>
        </is>
      </c>
      <c r="B352" s="1" t="n">
        <v>45425.57538194444</v>
      </c>
      <c r="C352" s="1" t="n">
        <v>45982</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29737-2025</t>
        </is>
      </c>
      <c r="B353" s="1" t="n">
        <v>45825.58672453704</v>
      </c>
      <c r="C353" s="1" t="n">
        <v>45982</v>
      </c>
      <c r="D353" t="inlineStr">
        <is>
          <t>KALMAR LÄN</t>
        </is>
      </c>
      <c r="E353" t="inlineStr">
        <is>
          <t>VIMMERBY</t>
        </is>
      </c>
      <c r="G353" t="n">
        <v>1.2</v>
      </c>
      <c r="H353" t="n">
        <v>0</v>
      </c>
      <c r="I353" t="n">
        <v>0</v>
      </c>
      <c r="J353" t="n">
        <v>0</v>
      </c>
      <c r="K353" t="n">
        <v>0</v>
      </c>
      <c r="L353" t="n">
        <v>0</v>
      </c>
      <c r="M353" t="n">
        <v>0</v>
      </c>
      <c r="N353" t="n">
        <v>0</v>
      </c>
      <c r="O353" t="n">
        <v>0</v>
      </c>
      <c r="P353" t="n">
        <v>0</v>
      </c>
      <c r="Q353" t="n">
        <v>0</v>
      </c>
      <c r="R353" s="2" t="inlineStr"/>
    </row>
    <row r="354" ht="15" customHeight="1">
      <c r="A354" t="inlineStr">
        <is>
          <t>A 29727-2025</t>
        </is>
      </c>
      <c r="B354" s="1" t="n">
        <v>45825.5796875</v>
      </c>
      <c r="C354" s="1" t="n">
        <v>45982</v>
      </c>
      <c r="D354" t="inlineStr">
        <is>
          <t>KALMAR LÄN</t>
        </is>
      </c>
      <c r="E354" t="inlineStr">
        <is>
          <t>VIMMERBY</t>
        </is>
      </c>
      <c r="G354" t="n">
        <v>1.3</v>
      </c>
      <c r="H354" t="n">
        <v>0</v>
      </c>
      <c r="I354" t="n">
        <v>0</v>
      </c>
      <c r="J354" t="n">
        <v>0</v>
      </c>
      <c r="K354" t="n">
        <v>0</v>
      </c>
      <c r="L354" t="n">
        <v>0</v>
      </c>
      <c r="M354" t="n">
        <v>0</v>
      </c>
      <c r="N354" t="n">
        <v>0</v>
      </c>
      <c r="O354" t="n">
        <v>0</v>
      </c>
      <c r="P354" t="n">
        <v>0</v>
      </c>
      <c r="Q354" t="n">
        <v>0</v>
      </c>
      <c r="R354" s="2" t="inlineStr"/>
    </row>
    <row r="355" ht="15" customHeight="1">
      <c r="A355" t="inlineStr">
        <is>
          <t>A 27758-2024</t>
        </is>
      </c>
      <c r="B355" s="1" t="n">
        <v>45475.48303240741</v>
      </c>
      <c r="C355" s="1" t="n">
        <v>45982</v>
      </c>
      <c r="D355" t="inlineStr">
        <is>
          <t>KALMAR LÄN</t>
        </is>
      </c>
      <c r="E355" t="inlineStr">
        <is>
          <t>VIMMERBY</t>
        </is>
      </c>
      <c r="G355" t="n">
        <v>2.6</v>
      </c>
      <c r="H355" t="n">
        <v>0</v>
      </c>
      <c r="I355" t="n">
        <v>0</v>
      </c>
      <c r="J355" t="n">
        <v>0</v>
      </c>
      <c r="K355" t="n">
        <v>0</v>
      </c>
      <c r="L355" t="n">
        <v>0</v>
      </c>
      <c r="M355" t="n">
        <v>0</v>
      </c>
      <c r="N355" t="n">
        <v>0</v>
      </c>
      <c r="O355" t="n">
        <v>0</v>
      </c>
      <c r="P355" t="n">
        <v>0</v>
      </c>
      <c r="Q355" t="n">
        <v>0</v>
      </c>
      <c r="R355" s="2" t="inlineStr"/>
    </row>
    <row r="356" ht="15" customHeight="1">
      <c r="A356" t="inlineStr">
        <is>
          <t>A 13307-2025</t>
        </is>
      </c>
      <c r="B356" s="1" t="n">
        <v>45735.58024305556</v>
      </c>
      <c r="C356" s="1" t="n">
        <v>45982</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34060-2025</t>
        </is>
      </c>
      <c r="B357" s="1" t="n">
        <v>45845.42015046296</v>
      </c>
      <c r="C357" s="1" t="n">
        <v>45982</v>
      </c>
      <c r="D357" t="inlineStr">
        <is>
          <t>KALMAR LÄN</t>
        </is>
      </c>
      <c r="E357" t="inlineStr">
        <is>
          <t>VIMMERBY</t>
        </is>
      </c>
      <c r="G357" t="n">
        <v>5.7</v>
      </c>
      <c r="H357" t="n">
        <v>0</v>
      </c>
      <c r="I357" t="n">
        <v>0</v>
      </c>
      <c r="J357" t="n">
        <v>0</v>
      </c>
      <c r="K357" t="n">
        <v>0</v>
      </c>
      <c r="L357" t="n">
        <v>0</v>
      </c>
      <c r="M357" t="n">
        <v>0</v>
      </c>
      <c r="N357" t="n">
        <v>0</v>
      </c>
      <c r="O357" t="n">
        <v>0</v>
      </c>
      <c r="P357" t="n">
        <v>0</v>
      </c>
      <c r="Q357" t="n">
        <v>0</v>
      </c>
      <c r="R357" s="2" t="inlineStr"/>
    </row>
    <row r="358" ht="15" customHeight="1">
      <c r="A358" t="inlineStr">
        <is>
          <t>A 55716-2023</t>
        </is>
      </c>
      <c r="B358" s="1" t="n">
        <v>45232</v>
      </c>
      <c r="C358" s="1" t="n">
        <v>45982</v>
      </c>
      <c r="D358" t="inlineStr">
        <is>
          <t>KALMAR LÄN</t>
        </is>
      </c>
      <c r="E358" t="inlineStr">
        <is>
          <t>VIMMERBY</t>
        </is>
      </c>
      <c r="G358" t="n">
        <v>2.3</v>
      </c>
      <c r="H358" t="n">
        <v>0</v>
      </c>
      <c r="I358" t="n">
        <v>0</v>
      </c>
      <c r="J358" t="n">
        <v>0</v>
      </c>
      <c r="K358" t="n">
        <v>0</v>
      </c>
      <c r="L358" t="n">
        <v>0</v>
      </c>
      <c r="M358" t="n">
        <v>0</v>
      </c>
      <c r="N358" t="n">
        <v>0</v>
      </c>
      <c r="O358" t="n">
        <v>0</v>
      </c>
      <c r="P358" t="n">
        <v>0</v>
      </c>
      <c r="Q358" t="n">
        <v>0</v>
      </c>
      <c r="R358" s="2" t="inlineStr"/>
    </row>
    <row r="359" ht="15" customHeight="1">
      <c r="A359" t="inlineStr">
        <is>
          <t>A 43465-2025</t>
        </is>
      </c>
      <c r="B359" s="1" t="n">
        <v>45911.47138888889</v>
      </c>
      <c r="C359" s="1" t="n">
        <v>45982</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18329-2023</t>
        </is>
      </c>
      <c r="B360" s="1" t="n">
        <v>45041.63380787037</v>
      </c>
      <c r="C360" s="1" t="n">
        <v>45982</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51990-2025</t>
        </is>
      </c>
      <c r="B361" s="1" t="n">
        <v>45952.58061342593</v>
      </c>
      <c r="C361" s="1" t="n">
        <v>45982</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30293-2025</t>
        </is>
      </c>
      <c r="B362" s="1" t="n">
        <v>45827</v>
      </c>
      <c r="C362" s="1" t="n">
        <v>45982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43617-2025</t>
        </is>
      </c>
      <c r="B363" s="1" t="n">
        <v>45911.67798611111</v>
      </c>
      <c r="C363" s="1" t="n">
        <v>45982</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30290-2025</t>
        </is>
      </c>
      <c r="B364" s="1" t="n">
        <v>45827</v>
      </c>
      <c r="C364" s="1" t="n">
        <v>45982</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13015-2023</t>
        </is>
      </c>
      <c r="B365" s="1" t="n">
        <v>45002</v>
      </c>
      <c r="C365" s="1" t="n">
        <v>45982</v>
      </c>
      <c r="D365" t="inlineStr">
        <is>
          <t>KALMAR LÄN</t>
        </is>
      </c>
      <c r="E365" t="inlineStr">
        <is>
          <t>VIMMERBY</t>
        </is>
      </c>
      <c r="G365" t="n">
        <v>3.2</v>
      </c>
      <c r="H365" t="n">
        <v>0</v>
      </c>
      <c r="I365" t="n">
        <v>0</v>
      </c>
      <c r="J365" t="n">
        <v>0</v>
      </c>
      <c r="K365" t="n">
        <v>0</v>
      </c>
      <c r="L365" t="n">
        <v>0</v>
      </c>
      <c r="M365" t="n">
        <v>0</v>
      </c>
      <c r="N365" t="n">
        <v>0</v>
      </c>
      <c r="O365" t="n">
        <v>0</v>
      </c>
      <c r="P365" t="n">
        <v>0</v>
      </c>
      <c r="Q365" t="n">
        <v>0</v>
      </c>
      <c r="R365" s="2" t="inlineStr"/>
    </row>
    <row r="366" ht="15" customHeight="1">
      <c r="A366" t="inlineStr">
        <is>
          <t>A 30850-2025</t>
        </is>
      </c>
      <c r="B366" s="1" t="n">
        <v>45831</v>
      </c>
      <c r="C366" s="1" t="n">
        <v>45982</v>
      </c>
      <c r="D366" t="inlineStr">
        <is>
          <t>KALMAR LÄN</t>
        </is>
      </c>
      <c r="E366" t="inlineStr">
        <is>
          <t>VIMMERBY</t>
        </is>
      </c>
      <c r="G366" t="n">
        <v>2.7</v>
      </c>
      <c r="H366" t="n">
        <v>0</v>
      </c>
      <c r="I366" t="n">
        <v>0</v>
      </c>
      <c r="J366" t="n">
        <v>0</v>
      </c>
      <c r="K366" t="n">
        <v>0</v>
      </c>
      <c r="L366" t="n">
        <v>0</v>
      </c>
      <c r="M366" t="n">
        <v>0</v>
      </c>
      <c r="N366" t="n">
        <v>0</v>
      </c>
      <c r="O366" t="n">
        <v>0</v>
      </c>
      <c r="P366" t="n">
        <v>0</v>
      </c>
      <c r="Q366" t="n">
        <v>0</v>
      </c>
      <c r="R366" s="2" t="inlineStr"/>
    </row>
    <row r="367" ht="15" customHeight="1">
      <c r="A367" t="inlineStr">
        <is>
          <t>A 29186-2024</t>
        </is>
      </c>
      <c r="B367" s="1" t="n">
        <v>45482.54844907407</v>
      </c>
      <c r="C367" s="1" t="n">
        <v>45982</v>
      </c>
      <c r="D367" t="inlineStr">
        <is>
          <t>KALMAR LÄN</t>
        </is>
      </c>
      <c r="E367" t="inlineStr">
        <is>
          <t>VIMMERBY</t>
        </is>
      </c>
      <c r="G367" t="n">
        <v>2.6</v>
      </c>
      <c r="H367" t="n">
        <v>0</v>
      </c>
      <c r="I367" t="n">
        <v>0</v>
      </c>
      <c r="J367" t="n">
        <v>0</v>
      </c>
      <c r="K367" t="n">
        <v>0</v>
      </c>
      <c r="L367" t="n">
        <v>0</v>
      </c>
      <c r="M367" t="n">
        <v>0</v>
      </c>
      <c r="N367" t="n">
        <v>0</v>
      </c>
      <c r="O367" t="n">
        <v>0</v>
      </c>
      <c r="P367" t="n">
        <v>0</v>
      </c>
      <c r="Q367" t="n">
        <v>0</v>
      </c>
      <c r="R367" s="2" t="inlineStr"/>
    </row>
    <row r="368" ht="15" customHeight="1">
      <c r="A368" t="inlineStr">
        <is>
          <t>A 51993-2025</t>
        </is>
      </c>
      <c r="B368" s="1" t="n">
        <v>45952.58194444444</v>
      </c>
      <c r="C368" s="1" t="n">
        <v>45982</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50993-2022</t>
        </is>
      </c>
      <c r="B369" s="1" t="n">
        <v>44867</v>
      </c>
      <c r="C369" s="1" t="n">
        <v>45982</v>
      </c>
      <c r="D369" t="inlineStr">
        <is>
          <t>KALMAR LÄN</t>
        </is>
      </c>
      <c r="E369" t="inlineStr">
        <is>
          <t>VIMMERBY</t>
        </is>
      </c>
      <c r="G369" t="n">
        <v>1.7</v>
      </c>
      <c r="H369" t="n">
        <v>0</v>
      </c>
      <c r="I369" t="n">
        <v>0</v>
      </c>
      <c r="J369" t="n">
        <v>0</v>
      </c>
      <c r="K369" t="n">
        <v>0</v>
      </c>
      <c r="L369" t="n">
        <v>0</v>
      </c>
      <c r="M369" t="n">
        <v>0</v>
      </c>
      <c r="N369" t="n">
        <v>0</v>
      </c>
      <c r="O369" t="n">
        <v>0</v>
      </c>
      <c r="P369" t="n">
        <v>0</v>
      </c>
      <c r="Q369" t="n">
        <v>0</v>
      </c>
      <c r="R369" s="2" t="inlineStr"/>
    </row>
    <row r="370" ht="15" customHeight="1">
      <c r="A370" t="inlineStr">
        <is>
          <t>A 44095-2025</t>
        </is>
      </c>
      <c r="B370" s="1" t="n">
        <v>45915.56430555556</v>
      </c>
      <c r="C370" s="1" t="n">
        <v>45982</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52451-2025</t>
        </is>
      </c>
      <c r="B371" s="1" t="n">
        <v>45954.42326388889</v>
      </c>
      <c r="C371" s="1" t="n">
        <v>45982</v>
      </c>
      <c r="D371" t="inlineStr">
        <is>
          <t>KALMAR LÄN</t>
        </is>
      </c>
      <c r="E371" t="inlineStr">
        <is>
          <t>VIMMERBY</t>
        </is>
      </c>
      <c r="G371" t="n">
        <v>2.8</v>
      </c>
      <c r="H371" t="n">
        <v>0</v>
      </c>
      <c r="I371" t="n">
        <v>0</v>
      </c>
      <c r="J371" t="n">
        <v>0</v>
      </c>
      <c r="K371" t="n">
        <v>0</v>
      </c>
      <c r="L371" t="n">
        <v>0</v>
      </c>
      <c r="M371" t="n">
        <v>0</v>
      </c>
      <c r="N371" t="n">
        <v>0</v>
      </c>
      <c r="O371" t="n">
        <v>0</v>
      </c>
      <c r="P371" t="n">
        <v>0</v>
      </c>
      <c r="Q371" t="n">
        <v>0</v>
      </c>
      <c r="R371" s="2" t="inlineStr"/>
    </row>
    <row r="372" ht="15" customHeight="1">
      <c r="A372" t="inlineStr">
        <is>
          <t>A 54787-2023</t>
        </is>
      </c>
      <c r="B372" s="1" t="n">
        <v>45236</v>
      </c>
      <c r="C372" s="1" t="n">
        <v>45982</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31552-2025</t>
        </is>
      </c>
      <c r="B373" s="1" t="n">
        <v>45833.64563657407</v>
      </c>
      <c r="C373" s="1" t="n">
        <v>45982</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31555-2025</t>
        </is>
      </c>
      <c r="B374" s="1" t="n">
        <v>45833.64814814815</v>
      </c>
      <c r="C374" s="1" t="n">
        <v>45982</v>
      </c>
      <c r="D374" t="inlineStr">
        <is>
          <t>KALMAR LÄN</t>
        </is>
      </c>
      <c r="E374" t="inlineStr">
        <is>
          <t>VIMMERBY</t>
        </is>
      </c>
      <c r="G374" t="n">
        <v>1.8</v>
      </c>
      <c r="H374" t="n">
        <v>0</v>
      </c>
      <c r="I374" t="n">
        <v>0</v>
      </c>
      <c r="J374" t="n">
        <v>0</v>
      </c>
      <c r="K374" t="n">
        <v>0</v>
      </c>
      <c r="L374" t="n">
        <v>0</v>
      </c>
      <c r="M374" t="n">
        <v>0</v>
      </c>
      <c r="N374" t="n">
        <v>0</v>
      </c>
      <c r="O374" t="n">
        <v>0</v>
      </c>
      <c r="P374" t="n">
        <v>0</v>
      </c>
      <c r="Q374" t="n">
        <v>0</v>
      </c>
      <c r="R374" s="2" t="inlineStr"/>
    </row>
    <row r="375" ht="15" customHeight="1">
      <c r="A375" t="inlineStr">
        <is>
          <t>A 32614-2023</t>
        </is>
      </c>
      <c r="B375" s="1" t="n">
        <v>45121</v>
      </c>
      <c r="C375" s="1" t="n">
        <v>45982</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30971-2025</t>
        </is>
      </c>
      <c r="B376" s="1" t="n">
        <v>45832.46146990741</v>
      </c>
      <c r="C376" s="1" t="n">
        <v>45982</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6850-2023</t>
        </is>
      </c>
      <c r="B377" s="1" t="n">
        <v>44967.44255787037</v>
      </c>
      <c r="C377" s="1" t="n">
        <v>45982</v>
      </c>
      <c r="D377" t="inlineStr">
        <is>
          <t>KALMAR LÄN</t>
        </is>
      </c>
      <c r="E377" t="inlineStr">
        <is>
          <t>VIMMERBY</t>
        </is>
      </c>
      <c r="G377" t="n">
        <v>0.6</v>
      </c>
      <c r="H377" t="n">
        <v>0</v>
      </c>
      <c r="I377" t="n">
        <v>0</v>
      </c>
      <c r="J377" t="n">
        <v>0</v>
      </c>
      <c r="K377" t="n">
        <v>0</v>
      </c>
      <c r="L377" t="n">
        <v>0</v>
      </c>
      <c r="M377" t="n">
        <v>0</v>
      </c>
      <c r="N377" t="n">
        <v>0</v>
      </c>
      <c r="O377" t="n">
        <v>0</v>
      </c>
      <c r="P377" t="n">
        <v>0</v>
      </c>
      <c r="Q377" t="n">
        <v>0</v>
      </c>
      <c r="R377" s="2" t="inlineStr"/>
    </row>
    <row r="378" ht="15" customHeight="1">
      <c r="A378" t="inlineStr">
        <is>
          <t>A 31551-2025</t>
        </is>
      </c>
      <c r="B378" s="1" t="n">
        <v>45833.64237268519</v>
      </c>
      <c r="C378" s="1" t="n">
        <v>45982</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58750-2022</t>
        </is>
      </c>
      <c r="B379" s="1" t="n">
        <v>44903.33363425926</v>
      </c>
      <c r="C379" s="1" t="n">
        <v>45982</v>
      </c>
      <c r="D379" t="inlineStr">
        <is>
          <t>KALMAR LÄN</t>
        </is>
      </c>
      <c r="E379" t="inlineStr">
        <is>
          <t>VIMMERBY</t>
        </is>
      </c>
      <c r="G379" t="n">
        <v>3.3</v>
      </c>
      <c r="H379" t="n">
        <v>0</v>
      </c>
      <c r="I379" t="n">
        <v>0</v>
      </c>
      <c r="J379" t="n">
        <v>0</v>
      </c>
      <c r="K379" t="n">
        <v>0</v>
      </c>
      <c r="L379" t="n">
        <v>0</v>
      </c>
      <c r="M379" t="n">
        <v>0</v>
      </c>
      <c r="N379" t="n">
        <v>0</v>
      </c>
      <c r="O379" t="n">
        <v>0</v>
      </c>
      <c r="P379" t="n">
        <v>0</v>
      </c>
      <c r="Q379" t="n">
        <v>0</v>
      </c>
      <c r="R379" s="2" t="inlineStr"/>
    </row>
    <row r="380" ht="15" customHeight="1">
      <c r="A380" t="inlineStr">
        <is>
          <t>A 41158-2023</t>
        </is>
      </c>
      <c r="B380" s="1" t="n">
        <v>45174.31395833333</v>
      </c>
      <c r="C380" s="1" t="n">
        <v>45982</v>
      </c>
      <c r="D380" t="inlineStr">
        <is>
          <t>KALMAR LÄN</t>
        </is>
      </c>
      <c r="E380" t="inlineStr">
        <is>
          <t>VIMMERBY</t>
        </is>
      </c>
      <c r="G380" t="n">
        <v>1.4</v>
      </c>
      <c r="H380" t="n">
        <v>0</v>
      </c>
      <c r="I380" t="n">
        <v>0</v>
      </c>
      <c r="J380" t="n">
        <v>0</v>
      </c>
      <c r="K380" t="n">
        <v>0</v>
      </c>
      <c r="L380" t="n">
        <v>0</v>
      </c>
      <c r="M380" t="n">
        <v>0</v>
      </c>
      <c r="N380" t="n">
        <v>0</v>
      </c>
      <c r="O380" t="n">
        <v>0</v>
      </c>
      <c r="P380" t="n">
        <v>0</v>
      </c>
      <c r="Q380" t="n">
        <v>0</v>
      </c>
      <c r="R380" s="2" t="inlineStr"/>
    </row>
    <row r="381" ht="15" customHeight="1">
      <c r="A381" t="inlineStr">
        <is>
          <t>A 30882-2025</t>
        </is>
      </c>
      <c r="B381" s="1" t="n">
        <v>45832.34540509259</v>
      </c>
      <c r="C381" s="1" t="n">
        <v>45982</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2510-2023</t>
        </is>
      </c>
      <c r="B382" s="1" t="n">
        <v>44943.57309027778</v>
      </c>
      <c r="C382" s="1" t="n">
        <v>45982</v>
      </c>
      <c r="D382" t="inlineStr">
        <is>
          <t>KALMAR LÄN</t>
        </is>
      </c>
      <c r="E382" t="inlineStr">
        <is>
          <t>VIMMERBY</t>
        </is>
      </c>
      <c r="G382" t="n">
        <v>8.6</v>
      </c>
      <c r="H382" t="n">
        <v>0</v>
      </c>
      <c r="I382" t="n">
        <v>0</v>
      </c>
      <c r="J382" t="n">
        <v>0</v>
      </c>
      <c r="K382" t="n">
        <v>0</v>
      </c>
      <c r="L382" t="n">
        <v>0</v>
      </c>
      <c r="M382" t="n">
        <v>0</v>
      </c>
      <c r="N382" t="n">
        <v>0</v>
      </c>
      <c r="O382" t="n">
        <v>0</v>
      </c>
      <c r="P382" t="n">
        <v>0</v>
      </c>
      <c r="Q382" t="n">
        <v>0</v>
      </c>
      <c r="R382" s="2" t="inlineStr"/>
    </row>
    <row r="383" ht="15" customHeight="1">
      <c r="A383" t="inlineStr">
        <is>
          <t>A 52473-2025</t>
        </is>
      </c>
      <c r="B383" s="1" t="n">
        <v>45954.45947916667</v>
      </c>
      <c r="C383" s="1" t="n">
        <v>45982</v>
      </c>
      <c r="D383" t="inlineStr">
        <is>
          <t>KALMAR LÄN</t>
        </is>
      </c>
      <c r="E383" t="inlineStr">
        <is>
          <t>VIMMERBY</t>
        </is>
      </c>
      <c r="G383" t="n">
        <v>2.4</v>
      </c>
      <c r="H383" t="n">
        <v>0</v>
      </c>
      <c r="I383" t="n">
        <v>0</v>
      </c>
      <c r="J383" t="n">
        <v>0</v>
      </c>
      <c r="K383" t="n">
        <v>0</v>
      </c>
      <c r="L383" t="n">
        <v>0</v>
      </c>
      <c r="M383" t="n">
        <v>0</v>
      </c>
      <c r="N383" t="n">
        <v>0</v>
      </c>
      <c r="O383" t="n">
        <v>0</v>
      </c>
      <c r="P383" t="n">
        <v>0</v>
      </c>
      <c r="Q383" t="n">
        <v>0</v>
      </c>
      <c r="R383" s="2" t="inlineStr"/>
    </row>
    <row r="384" ht="15" customHeight="1">
      <c r="A384" t="inlineStr">
        <is>
          <t>A 52480-2025</t>
        </is>
      </c>
      <c r="B384" s="1" t="n">
        <v>45954.47172453703</v>
      </c>
      <c r="C384" s="1" t="n">
        <v>45982</v>
      </c>
      <c r="D384" t="inlineStr">
        <is>
          <t>KALMAR LÄN</t>
        </is>
      </c>
      <c r="E384" t="inlineStr">
        <is>
          <t>VIMMERBY</t>
        </is>
      </c>
      <c r="G384" t="n">
        <v>0.6</v>
      </c>
      <c r="H384" t="n">
        <v>0</v>
      </c>
      <c r="I384" t="n">
        <v>0</v>
      </c>
      <c r="J384" t="n">
        <v>0</v>
      </c>
      <c r="K384" t="n">
        <v>0</v>
      </c>
      <c r="L384" t="n">
        <v>0</v>
      </c>
      <c r="M384" t="n">
        <v>0</v>
      </c>
      <c r="N384" t="n">
        <v>0</v>
      </c>
      <c r="O384" t="n">
        <v>0</v>
      </c>
      <c r="P384" t="n">
        <v>0</v>
      </c>
      <c r="Q384" t="n">
        <v>0</v>
      </c>
      <c r="R384" s="2" t="inlineStr"/>
    </row>
    <row r="385" ht="15" customHeight="1">
      <c r="A385" t="inlineStr">
        <is>
          <t>A 44091-2025</t>
        </is>
      </c>
      <c r="B385" s="1" t="n">
        <v>45915.55950231481</v>
      </c>
      <c r="C385" s="1" t="n">
        <v>45982</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52466-2025</t>
        </is>
      </c>
      <c r="B386" s="1" t="n">
        <v>45954.44707175926</v>
      </c>
      <c r="C386" s="1" t="n">
        <v>45982</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31872-2025</t>
        </is>
      </c>
      <c r="B387" s="1" t="n">
        <v>45834.65040509259</v>
      </c>
      <c r="C387" s="1" t="n">
        <v>45982</v>
      </c>
      <c r="D387" t="inlineStr">
        <is>
          <t>KALMAR LÄN</t>
        </is>
      </c>
      <c r="E387" t="inlineStr">
        <is>
          <t>VIMMERBY</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52475-2025</t>
        </is>
      </c>
      <c r="B388" s="1" t="n">
        <v>45954.468125</v>
      </c>
      <c r="C388" s="1" t="n">
        <v>45982</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8559-2025</t>
        </is>
      </c>
      <c r="B389" s="1" t="n">
        <v>45709.62280092593</v>
      </c>
      <c r="C389" s="1" t="n">
        <v>45982</v>
      </c>
      <c r="D389" t="inlineStr">
        <is>
          <t>KALMAR LÄN</t>
        </is>
      </c>
      <c r="E389" t="inlineStr">
        <is>
          <t>VIMMERBY</t>
        </is>
      </c>
      <c r="G389" t="n">
        <v>8.9</v>
      </c>
      <c r="H389" t="n">
        <v>0</v>
      </c>
      <c r="I389" t="n">
        <v>0</v>
      </c>
      <c r="J389" t="n">
        <v>0</v>
      </c>
      <c r="K389" t="n">
        <v>0</v>
      </c>
      <c r="L389" t="n">
        <v>0</v>
      </c>
      <c r="M389" t="n">
        <v>0</v>
      </c>
      <c r="N389" t="n">
        <v>0</v>
      </c>
      <c r="O389" t="n">
        <v>0</v>
      </c>
      <c r="P389" t="n">
        <v>0</v>
      </c>
      <c r="Q389" t="n">
        <v>0</v>
      </c>
      <c r="R389" s="2" t="inlineStr"/>
    </row>
    <row r="390" ht="15" customHeight="1">
      <c r="A390" t="inlineStr">
        <is>
          <t>A 3269-2024</t>
        </is>
      </c>
      <c r="B390" s="1" t="n">
        <v>45317.40372685185</v>
      </c>
      <c r="C390" s="1" t="n">
        <v>45982</v>
      </c>
      <c r="D390" t="inlineStr">
        <is>
          <t>KALMAR LÄN</t>
        </is>
      </c>
      <c r="E390" t="inlineStr">
        <is>
          <t>VIMMERBY</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48120-2022</t>
        </is>
      </c>
      <c r="B391" s="1" t="n">
        <v>44857.65989583333</v>
      </c>
      <c r="C391" s="1" t="n">
        <v>45982</v>
      </c>
      <c r="D391" t="inlineStr">
        <is>
          <t>KALMAR LÄN</t>
        </is>
      </c>
      <c r="E391" t="inlineStr">
        <is>
          <t>VIMMERBY</t>
        </is>
      </c>
      <c r="G391" t="n">
        <v>1.7</v>
      </c>
      <c r="H391" t="n">
        <v>0</v>
      </c>
      <c r="I391" t="n">
        <v>0</v>
      </c>
      <c r="J391" t="n">
        <v>0</v>
      </c>
      <c r="K391" t="n">
        <v>0</v>
      </c>
      <c r="L391" t="n">
        <v>0</v>
      </c>
      <c r="M391" t="n">
        <v>0</v>
      </c>
      <c r="N391" t="n">
        <v>0</v>
      </c>
      <c r="O391" t="n">
        <v>0</v>
      </c>
      <c r="P391" t="n">
        <v>0</v>
      </c>
      <c r="Q391" t="n">
        <v>0</v>
      </c>
      <c r="R391" s="2" t="inlineStr"/>
    </row>
    <row r="392" ht="15" customHeight="1">
      <c r="A392" t="inlineStr">
        <is>
          <t>A 32064-2025</t>
        </is>
      </c>
      <c r="B392" s="1" t="n">
        <v>45835.44709490741</v>
      </c>
      <c r="C392" s="1" t="n">
        <v>45982</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6368-2023</t>
        </is>
      </c>
      <c r="B393" s="1" t="n">
        <v>44965</v>
      </c>
      <c r="C393" s="1" t="n">
        <v>45982</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32109-2025</t>
        </is>
      </c>
      <c r="B394" s="1" t="n">
        <v>45835.48267361111</v>
      </c>
      <c r="C394" s="1" t="n">
        <v>45982</v>
      </c>
      <c r="D394" t="inlineStr">
        <is>
          <t>KALMAR LÄN</t>
        </is>
      </c>
      <c r="E394" t="inlineStr">
        <is>
          <t>VIMMERBY</t>
        </is>
      </c>
      <c r="G394" t="n">
        <v>2.5</v>
      </c>
      <c r="H394" t="n">
        <v>0</v>
      </c>
      <c r="I394" t="n">
        <v>0</v>
      </c>
      <c r="J394" t="n">
        <v>0</v>
      </c>
      <c r="K394" t="n">
        <v>0</v>
      </c>
      <c r="L394" t="n">
        <v>0</v>
      </c>
      <c r="M394" t="n">
        <v>0</v>
      </c>
      <c r="N394" t="n">
        <v>0</v>
      </c>
      <c r="O394" t="n">
        <v>0</v>
      </c>
      <c r="P394" t="n">
        <v>0</v>
      </c>
      <c r="Q394" t="n">
        <v>0</v>
      </c>
      <c r="R394" s="2" t="inlineStr"/>
    </row>
    <row r="395" ht="15" customHeight="1">
      <c r="A395" t="inlineStr">
        <is>
          <t>A 32113-2025</t>
        </is>
      </c>
      <c r="B395" s="1" t="n">
        <v>45835.48445601852</v>
      </c>
      <c r="C395" s="1" t="n">
        <v>45982</v>
      </c>
      <c r="D395" t="inlineStr">
        <is>
          <t>KALMAR LÄN</t>
        </is>
      </c>
      <c r="E395" t="inlineStr">
        <is>
          <t>VIMMERBY</t>
        </is>
      </c>
      <c r="G395" t="n">
        <v>3.5</v>
      </c>
      <c r="H395" t="n">
        <v>0</v>
      </c>
      <c r="I395" t="n">
        <v>0</v>
      </c>
      <c r="J395" t="n">
        <v>0</v>
      </c>
      <c r="K395" t="n">
        <v>0</v>
      </c>
      <c r="L395" t="n">
        <v>0</v>
      </c>
      <c r="M395" t="n">
        <v>0</v>
      </c>
      <c r="N395" t="n">
        <v>0</v>
      </c>
      <c r="O395" t="n">
        <v>0</v>
      </c>
      <c r="P395" t="n">
        <v>0</v>
      </c>
      <c r="Q395" t="n">
        <v>0</v>
      </c>
      <c r="R395" s="2" t="inlineStr"/>
    </row>
    <row r="396" ht="15" customHeight="1">
      <c r="A396" t="inlineStr">
        <is>
          <t>A 32116-2025</t>
        </is>
      </c>
      <c r="B396" s="1" t="n">
        <v>45835.48862268519</v>
      </c>
      <c r="C396" s="1" t="n">
        <v>45982</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9416-2024</t>
        </is>
      </c>
      <c r="B397" s="1" t="n">
        <v>45359.44837962963</v>
      </c>
      <c r="C397" s="1" t="n">
        <v>45982</v>
      </c>
      <c r="D397" t="inlineStr">
        <is>
          <t>KALMAR LÄN</t>
        </is>
      </c>
      <c r="E397" t="inlineStr">
        <is>
          <t>VIMMERBY</t>
        </is>
      </c>
      <c r="G397" t="n">
        <v>3.2</v>
      </c>
      <c r="H397" t="n">
        <v>0</v>
      </c>
      <c r="I397" t="n">
        <v>0</v>
      </c>
      <c r="J397" t="n">
        <v>0</v>
      </c>
      <c r="K397" t="n">
        <v>0</v>
      </c>
      <c r="L397" t="n">
        <v>0</v>
      </c>
      <c r="M397" t="n">
        <v>0</v>
      </c>
      <c r="N397" t="n">
        <v>0</v>
      </c>
      <c r="O397" t="n">
        <v>0</v>
      </c>
      <c r="P397" t="n">
        <v>0</v>
      </c>
      <c r="Q397" t="n">
        <v>0</v>
      </c>
      <c r="R397" s="2" t="inlineStr"/>
    </row>
    <row r="398" ht="15" customHeight="1">
      <c r="A398" t="inlineStr">
        <is>
          <t>A 31870-2025</t>
        </is>
      </c>
      <c r="B398" s="1" t="n">
        <v>45834.64667824074</v>
      </c>
      <c r="C398" s="1" t="n">
        <v>45982</v>
      </c>
      <c r="D398" t="inlineStr">
        <is>
          <t>KALMAR LÄN</t>
        </is>
      </c>
      <c r="E398" t="inlineStr">
        <is>
          <t>VIMMERBY</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32065-2025</t>
        </is>
      </c>
      <c r="B399" s="1" t="n">
        <v>45835.44732638889</v>
      </c>
      <c r="C399" s="1" t="n">
        <v>45982</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52465-2025</t>
        </is>
      </c>
      <c r="B400" s="1" t="n">
        <v>45954.44543981482</v>
      </c>
      <c r="C400" s="1" t="n">
        <v>45982</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52516-2025</t>
        </is>
      </c>
      <c r="B401" s="1" t="n">
        <v>45954.51412037037</v>
      </c>
      <c r="C401" s="1" t="n">
        <v>45982</v>
      </c>
      <c r="D401" t="inlineStr">
        <is>
          <t>KALMAR LÄN</t>
        </is>
      </c>
      <c r="E401" t="inlineStr">
        <is>
          <t>VIMMERBY</t>
        </is>
      </c>
      <c r="G401" t="n">
        <v>2.8</v>
      </c>
      <c r="H401" t="n">
        <v>0</v>
      </c>
      <c r="I401" t="n">
        <v>0</v>
      </c>
      <c r="J401" t="n">
        <v>0</v>
      </c>
      <c r="K401" t="n">
        <v>0</v>
      </c>
      <c r="L401" t="n">
        <v>0</v>
      </c>
      <c r="M401" t="n">
        <v>0</v>
      </c>
      <c r="N401" t="n">
        <v>0</v>
      </c>
      <c r="O401" t="n">
        <v>0</v>
      </c>
      <c r="P401" t="n">
        <v>0</v>
      </c>
      <c r="Q401" t="n">
        <v>0</v>
      </c>
      <c r="R401" s="2" t="inlineStr"/>
    </row>
    <row r="402" ht="15" customHeight="1">
      <c r="A402" t="inlineStr">
        <is>
          <t>A 31987-2025</t>
        </is>
      </c>
      <c r="B402" s="1" t="n">
        <v>45835.36229166666</v>
      </c>
      <c r="C402" s="1" t="n">
        <v>45982</v>
      </c>
      <c r="D402" t="inlineStr">
        <is>
          <t>KALMAR LÄN</t>
        </is>
      </c>
      <c r="E402" t="inlineStr">
        <is>
          <t>VIMMERBY</t>
        </is>
      </c>
      <c r="F402" t="inlineStr">
        <is>
          <t>Kyrkan</t>
        </is>
      </c>
      <c r="G402" t="n">
        <v>1.2</v>
      </c>
      <c r="H402" t="n">
        <v>0</v>
      </c>
      <c r="I402" t="n">
        <v>0</v>
      </c>
      <c r="J402" t="n">
        <v>0</v>
      </c>
      <c r="K402" t="n">
        <v>0</v>
      </c>
      <c r="L402" t="n">
        <v>0</v>
      </c>
      <c r="M402" t="n">
        <v>0</v>
      </c>
      <c r="N402" t="n">
        <v>0</v>
      </c>
      <c r="O402" t="n">
        <v>0</v>
      </c>
      <c r="P402" t="n">
        <v>0</v>
      </c>
      <c r="Q402" t="n">
        <v>0</v>
      </c>
      <c r="R402" s="2" t="inlineStr"/>
    </row>
    <row r="403" ht="15" customHeight="1">
      <c r="A403" t="inlineStr">
        <is>
          <t>A 32077-2025</t>
        </is>
      </c>
      <c r="B403" s="1" t="n">
        <v>45835.45099537037</v>
      </c>
      <c r="C403" s="1" t="n">
        <v>45982</v>
      </c>
      <c r="D403" t="inlineStr">
        <is>
          <t>KALMAR LÄN</t>
        </is>
      </c>
      <c r="E403" t="inlineStr">
        <is>
          <t>VIMMERBY</t>
        </is>
      </c>
      <c r="G403" t="n">
        <v>1.8</v>
      </c>
      <c r="H403" t="n">
        <v>0</v>
      </c>
      <c r="I403" t="n">
        <v>0</v>
      </c>
      <c r="J403" t="n">
        <v>0</v>
      </c>
      <c r="K403" t="n">
        <v>0</v>
      </c>
      <c r="L403" t="n">
        <v>0</v>
      </c>
      <c r="M403" t="n">
        <v>0</v>
      </c>
      <c r="N403" t="n">
        <v>0</v>
      </c>
      <c r="O403" t="n">
        <v>0</v>
      </c>
      <c r="P403" t="n">
        <v>0</v>
      </c>
      <c r="Q403" t="n">
        <v>0</v>
      </c>
      <c r="R403" s="2" t="inlineStr"/>
    </row>
    <row r="404" ht="15" customHeight="1">
      <c r="A404" t="inlineStr">
        <is>
          <t>A 32120-2025</t>
        </is>
      </c>
      <c r="B404" s="1" t="n">
        <v>45835.4924537037</v>
      </c>
      <c r="C404" s="1" t="n">
        <v>45982</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31876-2025</t>
        </is>
      </c>
      <c r="B405" s="1" t="n">
        <v>45834.65197916667</v>
      </c>
      <c r="C405" s="1" t="n">
        <v>45982</v>
      </c>
      <c r="D405" t="inlineStr">
        <is>
          <t>KALMAR LÄN</t>
        </is>
      </c>
      <c r="E405" t="inlineStr">
        <is>
          <t>VIMMERBY</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2797-2023</t>
        </is>
      </c>
      <c r="B406" s="1" t="n">
        <v>44944.71386574074</v>
      </c>
      <c r="C406" s="1" t="n">
        <v>45982</v>
      </c>
      <c r="D406" t="inlineStr">
        <is>
          <t>KALMAR LÄN</t>
        </is>
      </c>
      <c r="E406" t="inlineStr">
        <is>
          <t>VIMMERBY</t>
        </is>
      </c>
      <c r="G406" t="n">
        <v>3.4</v>
      </c>
      <c r="H406" t="n">
        <v>0</v>
      </c>
      <c r="I406" t="n">
        <v>0</v>
      </c>
      <c r="J406" t="n">
        <v>0</v>
      </c>
      <c r="K406" t="n">
        <v>0</v>
      </c>
      <c r="L406" t="n">
        <v>0</v>
      </c>
      <c r="M406" t="n">
        <v>0</v>
      </c>
      <c r="N406" t="n">
        <v>0</v>
      </c>
      <c r="O406" t="n">
        <v>0</v>
      </c>
      <c r="P406" t="n">
        <v>0</v>
      </c>
      <c r="Q406" t="n">
        <v>0</v>
      </c>
      <c r="R406" s="2" t="inlineStr"/>
    </row>
    <row r="407" ht="15" customHeight="1">
      <c r="A407" t="inlineStr">
        <is>
          <t>A 2799-2023</t>
        </is>
      </c>
      <c r="B407" s="1" t="n">
        <v>44944.72100694444</v>
      </c>
      <c r="C407" s="1" t="n">
        <v>45982</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25987-2024</t>
        </is>
      </c>
      <c r="B408" s="1" t="n">
        <v>45467.74417824074</v>
      </c>
      <c r="C408" s="1" t="n">
        <v>45982</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22194-2024</t>
        </is>
      </c>
      <c r="B409" s="1" t="n">
        <v>45446.36482638889</v>
      </c>
      <c r="C409" s="1" t="n">
        <v>45982</v>
      </c>
      <c r="D409" t="inlineStr">
        <is>
          <t>KALMAR LÄN</t>
        </is>
      </c>
      <c r="E409" t="inlineStr">
        <is>
          <t>VIMMERBY</t>
        </is>
      </c>
      <c r="F409" t="inlineStr">
        <is>
          <t>Sveaskog</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19865-2021</t>
        </is>
      </c>
      <c r="B410" s="1" t="n">
        <v>44312</v>
      </c>
      <c r="C410" s="1" t="n">
        <v>45982</v>
      </c>
      <c r="D410" t="inlineStr">
        <is>
          <t>KALMAR LÄN</t>
        </is>
      </c>
      <c r="E410" t="inlineStr">
        <is>
          <t>VIMMERBY</t>
        </is>
      </c>
      <c r="G410" t="n">
        <v>8.6</v>
      </c>
      <c r="H410" t="n">
        <v>0</v>
      </c>
      <c r="I410" t="n">
        <v>0</v>
      </c>
      <c r="J410" t="n">
        <v>0</v>
      </c>
      <c r="K410" t="n">
        <v>0</v>
      </c>
      <c r="L410" t="n">
        <v>0</v>
      </c>
      <c r="M410" t="n">
        <v>0</v>
      </c>
      <c r="N410" t="n">
        <v>0</v>
      </c>
      <c r="O410" t="n">
        <v>0</v>
      </c>
      <c r="P410" t="n">
        <v>0</v>
      </c>
      <c r="Q410" t="n">
        <v>0</v>
      </c>
      <c r="R410" s="2" t="inlineStr"/>
    </row>
    <row r="411" ht="15" customHeight="1">
      <c r="A411" t="inlineStr">
        <is>
          <t>A 53393-2025</t>
        </is>
      </c>
      <c r="B411" s="1" t="n">
        <v>45959.55284722222</v>
      </c>
      <c r="C411" s="1" t="n">
        <v>45982</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53398-2025</t>
        </is>
      </c>
      <c r="B412" s="1" t="n">
        <v>45959.56247685185</v>
      </c>
      <c r="C412" s="1" t="n">
        <v>45982</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12630-2023</t>
        </is>
      </c>
      <c r="B413" s="1" t="n">
        <v>45000.47998842593</v>
      </c>
      <c r="C413" s="1" t="n">
        <v>45982</v>
      </c>
      <c r="D413" t="inlineStr">
        <is>
          <t>KALMAR LÄN</t>
        </is>
      </c>
      <c r="E413" t="inlineStr">
        <is>
          <t>VIMMERBY</t>
        </is>
      </c>
      <c r="G413" t="n">
        <v>2.1</v>
      </c>
      <c r="H413" t="n">
        <v>0</v>
      </c>
      <c r="I413" t="n">
        <v>0</v>
      </c>
      <c r="J413" t="n">
        <v>0</v>
      </c>
      <c r="K413" t="n">
        <v>0</v>
      </c>
      <c r="L413" t="n">
        <v>0</v>
      </c>
      <c r="M413" t="n">
        <v>0</v>
      </c>
      <c r="N413" t="n">
        <v>0</v>
      </c>
      <c r="O413" t="n">
        <v>0</v>
      </c>
      <c r="P413" t="n">
        <v>0</v>
      </c>
      <c r="Q413" t="n">
        <v>0</v>
      </c>
      <c r="R413" s="2" t="inlineStr"/>
    </row>
    <row r="414" ht="15" customHeight="1">
      <c r="A414" t="inlineStr">
        <is>
          <t>A 21109-2024</t>
        </is>
      </c>
      <c r="B414" s="1" t="n">
        <v>45440.28329861111</v>
      </c>
      <c r="C414" s="1" t="n">
        <v>45982</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44517-2025</t>
        </is>
      </c>
      <c r="B415" s="1" t="n">
        <v>45916.7103587963</v>
      </c>
      <c r="C415" s="1" t="n">
        <v>45982</v>
      </c>
      <c r="D415" t="inlineStr">
        <is>
          <t>KALMAR LÄN</t>
        </is>
      </c>
      <c r="E415" t="inlineStr">
        <is>
          <t>VIMMERBY</t>
        </is>
      </c>
      <c r="G415" t="n">
        <v>0.9</v>
      </c>
      <c r="H415" t="n">
        <v>0</v>
      </c>
      <c r="I415" t="n">
        <v>0</v>
      </c>
      <c r="J415" t="n">
        <v>0</v>
      </c>
      <c r="K415" t="n">
        <v>0</v>
      </c>
      <c r="L415" t="n">
        <v>0</v>
      </c>
      <c r="M415" t="n">
        <v>0</v>
      </c>
      <c r="N415" t="n">
        <v>0</v>
      </c>
      <c r="O415" t="n">
        <v>0</v>
      </c>
      <c r="P415" t="n">
        <v>0</v>
      </c>
      <c r="Q415" t="n">
        <v>0</v>
      </c>
      <c r="R415" s="2" t="inlineStr"/>
    </row>
    <row r="416" ht="15" customHeight="1">
      <c r="A416" t="inlineStr">
        <is>
          <t>A 30634-2024</t>
        </is>
      </c>
      <c r="B416" s="1" t="n">
        <v>45495</v>
      </c>
      <c r="C416" s="1" t="n">
        <v>45982</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40260-2024</t>
        </is>
      </c>
      <c r="B417" s="1" t="n">
        <v>45554.63225694445</v>
      </c>
      <c r="C417" s="1" t="n">
        <v>45982</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44742-2025</t>
        </is>
      </c>
      <c r="B418" s="1" t="n">
        <v>45917.67054398148</v>
      </c>
      <c r="C418" s="1" t="n">
        <v>45982</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32380-2025</t>
        </is>
      </c>
      <c r="B419" s="1" t="n">
        <v>45837.77701388889</v>
      </c>
      <c r="C419" s="1" t="n">
        <v>45982</v>
      </c>
      <c r="D419" t="inlineStr">
        <is>
          <t>KALMAR LÄN</t>
        </is>
      </c>
      <c r="E419" t="inlineStr">
        <is>
          <t>VIMMERBY</t>
        </is>
      </c>
      <c r="G419" t="n">
        <v>3.1</v>
      </c>
      <c r="H419" t="n">
        <v>0</v>
      </c>
      <c r="I419" t="n">
        <v>0</v>
      </c>
      <c r="J419" t="n">
        <v>0</v>
      </c>
      <c r="K419" t="n">
        <v>0</v>
      </c>
      <c r="L419" t="n">
        <v>0</v>
      </c>
      <c r="M419" t="n">
        <v>0</v>
      </c>
      <c r="N419" t="n">
        <v>0</v>
      </c>
      <c r="O419" t="n">
        <v>0</v>
      </c>
      <c r="P419" t="n">
        <v>0</v>
      </c>
      <c r="Q419" t="n">
        <v>0</v>
      </c>
      <c r="R419" s="2" t="inlineStr"/>
    </row>
    <row r="420" ht="15" customHeight="1">
      <c r="A420" t="inlineStr">
        <is>
          <t>A 44329-2025</t>
        </is>
      </c>
      <c r="B420" s="1" t="n">
        <v>45916.41019675926</v>
      </c>
      <c r="C420" s="1" t="n">
        <v>45982</v>
      </c>
      <c r="D420" t="inlineStr">
        <is>
          <t>KALMAR LÄN</t>
        </is>
      </c>
      <c r="E420" t="inlineStr">
        <is>
          <t>VIMMERBY</t>
        </is>
      </c>
      <c r="G420" t="n">
        <v>4.3</v>
      </c>
      <c r="H420" t="n">
        <v>0</v>
      </c>
      <c r="I420" t="n">
        <v>0</v>
      </c>
      <c r="J420" t="n">
        <v>0</v>
      </c>
      <c r="K420" t="n">
        <v>0</v>
      </c>
      <c r="L420" t="n">
        <v>0</v>
      </c>
      <c r="M420" t="n">
        <v>0</v>
      </c>
      <c r="N420" t="n">
        <v>0</v>
      </c>
      <c r="O420" t="n">
        <v>0</v>
      </c>
      <c r="P420" t="n">
        <v>0</v>
      </c>
      <c r="Q420" t="n">
        <v>0</v>
      </c>
      <c r="R420" s="2" t="inlineStr"/>
    </row>
    <row r="421" ht="15" customHeight="1">
      <c r="A421" t="inlineStr">
        <is>
          <t>A 33186-2025</t>
        </is>
      </c>
      <c r="B421" s="1" t="n">
        <v>45840.59474537037</v>
      </c>
      <c r="C421" s="1" t="n">
        <v>45982</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59943-2023</t>
        </is>
      </c>
      <c r="B422" s="1" t="n">
        <v>45257.67958333333</v>
      </c>
      <c r="C422" s="1" t="n">
        <v>45982</v>
      </c>
      <c r="D422" t="inlineStr">
        <is>
          <t>KALMAR LÄN</t>
        </is>
      </c>
      <c r="E422" t="inlineStr">
        <is>
          <t>VIMMERBY</t>
        </is>
      </c>
      <c r="G422" t="n">
        <v>6.4</v>
      </c>
      <c r="H422" t="n">
        <v>0</v>
      </c>
      <c r="I422" t="n">
        <v>0</v>
      </c>
      <c r="J422" t="n">
        <v>0</v>
      </c>
      <c r="K422" t="n">
        <v>0</v>
      </c>
      <c r="L422" t="n">
        <v>0</v>
      </c>
      <c r="M422" t="n">
        <v>0</v>
      </c>
      <c r="N422" t="n">
        <v>0</v>
      </c>
      <c r="O422" t="n">
        <v>0</v>
      </c>
      <c r="P422" t="n">
        <v>0</v>
      </c>
      <c r="Q422" t="n">
        <v>0</v>
      </c>
      <c r="R422" s="2" t="inlineStr"/>
    </row>
    <row r="423" ht="15" customHeight="1">
      <c r="A423" t="inlineStr">
        <is>
          <t>A 41896-2025</t>
        </is>
      </c>
      <c r="B423" s="1" t="n">
        <v>45903.38800925926</v>
      </c>
      <c r="C423" s="1" t="n">
        <v>45982</v>
      </c>
      <c r="D423" t="inlineStr">
        <is>
          <t>KALMAR LÄN</t>
        </is>
      </c>
      <c r="E423" t="inlineStr">
        <is>
          <t>VIMMERBY</t>
        </is>
      </c>
      <c r="G423" t="n">
        <v>2.9</v>
      </c>
      <c r="H423" t="n">
        <v>0</v>
      </c>
      <c r="I423" t="n">
        <v>0</v>
      </c>
      <c r="J423" t="n">
        <v>0</v>
      </c>
      <c r="K423" t="n">
        <v>0</v>
      </c>
      <c r="L423" t="n">
        <v>0</v>
      </c>
      <c r="M423" t="n">
        <v>0</v>
      </c>
      <c r="N423" t="n">
        <v>0</v>
      </c>
      <c r="O423" t="n">
        <v>0</v>
      </c>
      <c r="P423" t="n">
        <v>0</v>
      </c>
      <c r="Q423" t="n">
        <v>0</v>
      </c>
      <c r="R423" s="2" t="inlineStr"/>
    </row>
    <row r="424" ht="15" customHeight="1">
      <c r="A424" t="inlineStr">
        <is>
          <t>A 33695-2025</t>
        </is>
      </c>
      <c r="B424" s="1" t="n">
        <v>45841.70569444444</v>
      </c>
      <c r="C424" s="1" t="n">
        <v>45982</v>
      </c>
      <c r="D424" t="inlineStr">
        <is>
          <t>KALMAR LÄN</t>
        </is>
      </c>
      <c r="E424" t="inlineStr">
        <is>
          <t>VIMMERBY</t>
        </is>
      </c>
      <c r="G424" t="n">
        <v>2.7</v>
      </c>
      <c r="H424" t="n">
        <v>0</v>
      </c>
      <c r="I424" t="n">
        <v>0</v>
      </c>
      <c r="J424" t="n">
        <v>0</v>
      </c>
      <c r="K424" t="n">
        <v>0</v>
      </c>
      <c r="L424" t="n">
        <v>0</v>
      </c>
      <c r="M424" t="n">
        <v>0</v>
      </c>
      <c r="N424" t="n">
        <v>0</v>
      </c>
      <c r="O424" t="n">
        <v>0</v>
      </c>
      <c r="P424" t="n">
        <v>0</v>
      </c>
      <c r="Q424" t="n">
        <v>0</v>
      </c>
      <c r="R424" s="2" t="inlineStr"/>
    </row>
    <row r="425" ht="15" customHeight="1">
      <c r="A425" t="inlineStr">
        <is>
          <t>A 33698-2025</t>
        </is>
      </c>
      <c r="B425" s="1" t="n">
        <v>45841.70868055556</v>
      </c>
      <c r="C425" s="1" t="n">
        <v>45982</v>
      </c>
      <c r="D425" t="inlineStr">
        <is>
          <t>KALMAR LÄN</t>
        </is>
      </c>
      <c r="E425" t="inlineStr">
        <is>
          <t>VIMMERBY</t>
        </is>
      </c>
      <c r="G425" t="n">
        <v>3.7</v>
      </c>
      <c r="H425" t="n">
        <v>0</v>
      </c>
      <c r="I425" t="n">
        <v>0</v>
      </c>
      <c r="J425" t="n">
        <v>0</v>
      </c>
      <c r="K425" t="n">
        <v>0</v>
      </c>
      <c r="L425" t="n">
        <v>0</v>
      </c>
      <c r="M425" t="n">
        <v>0</v>
      </c>
      <c r="N425" t="n">
        <v>0</v>
      </c>
      <c r="O425" t="n">
        <v>0</v>
      </c>
      <c r="P425" t="n">
        <v>0</v>
      </c>
      <c r="Q425" t="n">
        <v>0</v>
      </c>
      <c r="R425" s="2" t="inlineStr"/>
    </row>
    <row r="426" ht="15" customHeight="1">
      <c r="A426" t="inlineStr">
        <is>
          <t>A 53413-2025</t>
        </is>
      </c>
      <c r="B426" s="1" t="n">
        <v>45959.5787037037</v>
      </c>
      <c r="C426" s="1" t="n">
        <v>45982</v>
      </c>
      <c r="D426" t="inlineStr">
        <is>
          <t>KALMAR LÄN</t>
        </is>
      </c>
      <c r="E426" t="inlineStr">
        <is>
          <t>VIMMERBY</t>
        </is>
      </c>
      <c r="G426" t="n">
        <v>4.3</v>
      </c>
      <c r="H426" t="n">
        <v>0</v>
      </c>
      <c r="I426" t="n">
        <v>0</v>
      </c>
      <c r="J426" t="n">
        <v>0</v>
      </c>
      <c r="K426" t="n">
        <v>0</v>
      </c>
      <c r="L426" t="n">
        <v>0</v>
      </c>
      <c r="M426" t="n">
        <v>0</v>
      </c>
      <c r="N426" t="n">
        <v>0</v>
      </c>
      <c r="O426" t="n">
        <v>0</v>
      </c>
      <c r="P426" t="n">
        <v>0</v>
      </c>
      <c r="Q426" t="n">
        <v>0</v>
      </c>
      <c r="R426" s="2" t="inlineStr"/>
    </row>
    <row r="427" ht="15" customHeight="1">
      <c r="A427" t="inlineStr">
        <is>
          <t>A 30977-2025</t>
        </is>
      </c>
      <c r="B427" s="1" t="n">
        <v>45832.46649305556</v>
      </c>
      <c r="C427" s="1" t="n">
        <v>45982</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5527-2022</t>
        </is>
      </c>
      <c r="B428" s="1" t="n">
        <v>44595.583125</v>
      </c>
      <c r="C428" s="1" t="n">
        <v>45982</v>
      </c>
      <c r="D428" t="inlineStr">
        <is>
          <t>KALMAR LÄN</t>
        </is>
      </c>
      <c r="E428" t="inlineStr">
        <is>
          <t>VIMMERBY</t>
        </is>
      </c>
      <c r="G428" t="n">
        <v>3.6</v>
      </c>
      <c r="H428" t="n">
        <v>0</v>
      </c>
      <c r="I428" t="n">
        <v>0</v>
      </c>
      <c r="J428" t="n">
        <v>0</v>
      </c>
      <c r="K428" t="n">
        <v>0</v>
      </c>
      <c r="L428" t="n">
        <v>0</v>
      </c>
      <c r="M428" t="n">
        <v>0</v>
      </c>
      <c r="N428" t="n">
        <v>0</v>
      </c>
      <c r="O428" t="n">
        <v>0</v>
      </c>
      <c r="P428" t="n">
        <v>0</v>
      </c>
      <c r="Q428" t="n">
        <v>0</v>
      </c>
      <c r="R428" s="2" t="inlineStr"/>
    </row>
    <row r="429" ht="15" customHeight="1">
      <c r="A429" t="inlineStr">
        <is>
          <t>A 33696-2025</t>
        </is>
      </c>
      <c r="B429" s="1" t="n">
        <v>45841.7072337963</v>
      </c>
      <c r="C429" s="1" t="n">
        <v>45982</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53397-2025</t>
        </is>
      </c>
      <c r="B430" s="1" t="n">
        <v>45959.55918981481</v>
      </c>
      <c r="C430" s="1" t="n">
        <v>45982</v>
      </c>
      <c r="D430" t="inlineStr">
        <is>
          <t>KALMAR LÄN</t>
        </is>
      </c>
      <c r="E430" t="inlineStr">
        <is>
          <t>VIMMERBY</t>
        </is>
      </c>
      <c r="G430" t="n">
        <v>1.6</v>
      </c>
      <c r="H430" t="n">
        <v>0</v>
      </c>
      <c r="I430" t="n">
        <v>0</v>
      </c>
      <c r="J430" t="n">
        <v>0</v>
      </c>
      <c r="K430" t="n">
        <v>0</v>
      </c>
      <c r="L430" t="n">
        <v>0</v>
      </c>
      <c r="M430" t="n">
        <v>0</v>
      </c>
      <c r="N430" t="n">
        <v>0</v>
      </c>
      <c r="O430" t="n">
        <v>0</v>
      </c>
      <c r="P430" t="n">
        <v>0</v>
      </c>
      <c r="Q430" t="n">
        <v>0</v>
      </c>
      <c r="R430" s="2" t="inlineStr"/>
    </row>
    <row r="431" ht="15" customHeight="1">
      <c r="A431" t="inlineStr">
        <is>
          <t>A 53220-2025</t>
        </is>
      </c>
      <c r="B431" s="1" t="n">
        <v>45958.60146990741</v>
      </c>
      <c r="C431" s="1" t="n">
        <v>45982</v>
      </c>
      <c r="D431" t="inlineStr">
        <is>
          <t>KALMAR LÄN</t>
        </is>
      </c>
      <c r="E431" t="inlineStr">
        <is>
          <t>VIMMERBY</t>
        </is>
      </c>
      <c r="G431" t="n">
        <v>2.2</v>
      </c>
      <c r="H431" t="n">
        <v>0</v>
      </c>
      <c r="I431" t="n">
        <v>0</v>
      </c>
      <c r="J431" t="n">
        <v>0</v>
      </c>
      <c r="K431" t="n">
        <v>0</v>
      </c>
      <c r="L431" t="n">
        <v>0</v>
      </c>
      <c r="M431" t="n">
        <v>0</v>
      </c>
      <c r="N431" t="n">
        <v>0</v>
      </c>
      <c r="O431" t="n">
        <v>0</v>
      </c>
      <c r="P431" t="n">
        <v>0</v>
      </c>
      <c r="Q431" t="n">
        <v>0</v>
      </c>
      <c r="R431" s="2" t="inlineStr"/>
    </row>
    <row r="432" ht="15" customHeight="1">
      <c r="A432" t="inlineStr">
        <is>
          <t>A 12325-2023</t>
        </is>
      </c>
      <c r="B432" s="1" t="n">
        <v>44999.35858796296</v>
      </c>
      <c r="C432" s="1" t="n">
        <v>45982</v>
      </c>
      <c r="D432" t="inlineStr">
        <is>
          <t>KALMAR LÄN</t>
        </is>
      </c>
      <c r="E432" t="inlineStr">
        <is>
          <t>VIMMERBY</t>
        </is>
      </c>
      <c r="G432" t="n">
        <v>3.4</v>
      </c>
      <c r="H432" t="n">
        <v>0</v>
      </c>
      <c r="I432" t="n">
        <v>0</v>
      </c>
      <c r="J432" t="n">
        <v>0</v>
      </c>
      <c r="K432" t="n">
        <v>0</v>
      </c>
      <c r="L432" t="n">
        <v>0</v>
      </c>
      <c r="M432" t="n">
        <v>0</v>
      </c>
      <c r="N432" t="n">
        <v>0</v>
      </c>
      <c r="O432" t="n">
        <v>0</v>
      </c>
      <c r="P432" t="n">
        <v>0</v>
      </c>
      <c r="Q432" t="n">
        <v>0</v>
      </c>
      <c r="R432" s="2" t="inlineStr"/>
    </row>
    <row r="433" ht="15" customHeight="1">
      <c r="A433" t="inlineStr">
        <is>
          <t>A 53396-2025</t>
        </is>
      </c>
      <c r="B433" s="1" t="n">
        <v>45959.55577546296</v>
      </c>
      <c r="C433" s="1" t="n">
        <v>45982</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53416-2025</t>
        </is>
      </c>
      <c r="B434" s="1" t="n">
        <v>45959.58387731481</v>
      </c>
      <c r="C434" s="1" t="n">
        <v>45982</v>
      </c>
      <c r="D434" t="inlineStr">
        <is>
          <t>KALMAR LÄN</t>
        </is>
      </c>
      <c r="E434" t="inlineStr">
        <is>
          <t>VIMMERBY</t>
        </is>
      </c>
      <c r="G434" t="n">
        <v>4.4</v>
      </c>
      <c r="H434" t="n">
        <v>0</v>
      </c>
      <c r="I434" t="n">
        <v>0</v>
      </c>
      <c r="J434" t="n">
        <v>0</v>
      </c>
      <c r="K434" t="n">
        <v>0</v>
      </c>
      <c r="L434" t="n">
        <v>0</v>
      </c>
      <c r="M434" t="n">
        <v>0</v>
      </c>
      <c r="N434" t="n">
        <v>0</v>
      </c>
      <c r="O434" t="n">
        <v>0</v>
      </c>
      <c r="P434" t="n">
        <v>0</v>
      </c>
      <c r="Q434" t="n">
        <v>0</v>
      </c>
      <c r="R434" s="2" t="inlineStr"/>
    </row>
    <row r="435" ht="15" customHeight="1">
      <c r="A435" t="inlineStr">
        <is>
          <t>A 1016-2024</t>
        </is>
      </c>
      <c r="B435" s="1" t="n">
        <v>45301</v>
      </c>
      <c r="C435" s="1" t="n">
        <v>45982</v>
      </c>
      <c r="D435" t="inlineStr">
        <is>
          <t>KALMAR LÄN</t>
        </is>
      </c>
      <c r="E435" t="inlineStr">
        <is>
          <t>VIMMERBY</t>
        </is>
      </c>
      <c r="G435" t="n">
        <v>1</v>
      </c>
      <c r="H435" t="n">
        <v>0</v>
      </c>
      <c r="I435" t="n">
        <v>0</v>
      </c>
      <c r="J435" t="n">
        <v>0</v>
      </c>
      <c r="K435" t="n">
        <v>0</v>
      </c>
      <c r="L435" t="n">
        <v>0</v>
      </c>
      <c r="M435" t="n">
        <v>0</v>
      </c>
      <c r="N435" t="n">
        <v>0</v>
      </c>
      <c r="O435" t="n">
        <v>0</v>
      </c>
      <c r="P435" t="n">
        <v>0</v>
      </c>
      <c r="Q435" t="n">
        <v>0</v>
      </c>
      <c r="R435" s="2" t="inlineStr"/>
    </row>
    <row r="436" ht="15" customHeight="1">
      <c r="A436" t="inlineStr">
        <is>
          <t>A 26956-2025</t>
        </is>
      </c>
      <c r="B436" s="1" t="n">
        <v>45811.45460648148</v>
      </c>
      <c r="C436" s="1" t="n">
        <v>45982</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33681-2022</t>
        </is>
      </c>
      <c r="B437" s="1" t="n">
        <v>44789</v>
      </c>
      <c r="C437" s="1" t="n">
        <v>45982</v>
      </c>
      <c r="D437" t="inlineStr">
        <is>
          <t>KALMAR LÄN</t>
        </is>
      </c>
      <c r="E437" t="inlineStr">
        <is>
          <t>VIMMERBY</t>
        </is>
      </c>
      <c r="G437" t="n">
        <v>3.2</v>
      </c>
      <c r="H437" t="n">
        <v>0</v>
      </c>
      <c r="I437" t="n">
        <v>0</v>
      </c>
      <c r="J437" t="n">
        <v>0</v>
      </c>
      <c r="K437" t="n">
        <v>0</v>
      </c>
      <c r="L437" t="n">
        <v>0</v>
      </c>
      <c r="M437" t="n">
        <v>0</v>
      </c>
      <c r="N437" t="n">
        <v>0</v>
      </c>
      <c r="O437" t="n">
        <v>0</v>
      </c>
      <c r="P437" t="n">
        <v>0</v>
      </c>
      <c r="Q437" t="n">
        <v>0</v>
      </c>
      <c r="R437" s="2" t="inlineStr"/>
    </row>
    <row r="438" ht="15" customHeight="1">
      <c r="A438" t="inlineStr">
        <is>
          <t>A 53923-2025</t>
        </is>
      </c>
      <c r="B438" s="1" t="n">
        <v>45961.4569212963</v>
      </c>
      <c r="C438" s="1" t="n">
        <v>45982</v>
      </c>
      <c r="D438" t="inlineStr">
        <is>
          <t>KALMAR LÄN</t>
        </is>
      </c>
      <c r="E438" t="inlineStr">
        <is>
          <t>VIMMERBY</t>
        </is>
      </c>
      <c r="G438" t="n">
        <v>2.4</v>
      </c>
      <c r="H438" t="n">
        <v>0</v>
      </c>
      <c r="I438" t="n">
        <v>0</v>
      </c>
      <c r="J438" t="n">
        <v>0</v>
      </c>
      <c r="K438" t="n">
        <v>0</v>
      </c>
      <c r="L438" t="n">
        <v>0</v>
      </c>
      <c r="M438" t="n">
        <v>0</v>
      </c>
      <c r="N438" t="n">
        <v>0</v>
      </c>
      <c r="O438" t="n">
        <v>0</v>
      </c>
      <c r="P438" t="n">
        <v>0</v>
      </c>
      <c r="Q438" t="n">
        <v>0</v>
      </c>
      <c r="R438" s="2" t="inlineStr"/>
    </row>
    <row r="439" ht="15" customHeight="1">
      <c r="A439" t="inlineStr">
        <is>
          <t>A 53927-2025</t>
        </is>
      </c>
      <c r="B439" s="1" t="n">
        <v>45961.46740740741</v>
      </c>
      <c r="C439" s="1" t="n">
        <v>45982</v>
      </c>
      <c r="D439" t="inlineStr">
        <is>
          <t>KALMAR LÄN</t>
        </is>
      </c>
      <c r="E439" t="inlineStr">
        <is>
          <t>VIMMERBY</t>
        </is>
      </c>
      <c r="G439" t="n">
        <v>2.5</v>
      </c>
      <c r="H439" t="n">
        <v>0</v>
      </c>
      <c r="I439" t="n">
        <v>0</v>
      </c>
      <c r="J439" t="n">
        <v>0</v>
      </c>
      <c r="K439" t="n">
        <v>0</v>
      </c>
      <c r="L439" t="n">
        <v>0</v>
      </c>
      <c r="M439" t="n">
        <v>0</v>
      </c>
      <c r="N439" t="n">
        <v>0</v>
      </c>
      <c r="O439" t="n">
        <v>0</v>
      </c>
      <c r="P439" t="n">
        <v>0</v>
      </c>
      <c r="Q439" t="n">
        <v>0</v>
      </c>
      <c r="R439" s="2" t="inlineStr"/>
    </row>
    <row r="440" ht="15" customHeight="1">
      <c r="A440" t="inlineStr">
        <is>
          <t>A 53933-2025</t>
        </is>
      </c>
      <c r="B440" s="1" t="n">
        <v>45961.47650462963</v>
      </c>
      <c r="C440" s="1" t="n">
        <v>45982</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34071-2025</t>
        </is>
      </c>
      <c r="B441" s="1" t="n">
        <v>45845.43803240741</v>
      </c>
      <c r="C441" s="1" t="n">
        <v>45982</v>
      </c>
      <c r="D441" t="inlineStr">
        <is>
          <t>KALMAR LÄN</t>
        </is>
      </c>
      <c r="E441" t="inlineStr">
        <is>
          <t>VIMMERBY</t>
        </is>
      </c>
      <c r="G441" t="n">
        <v>6.8</v>
      </c>
      <c r="H441" t="n">
        <v>0</v>
      </c>
      <c r="I441" t="n">
        <v>0</v>
      </c>
      <c r="J441" t="n">
        <v>0</v>
      </c>
      <c r="K441" t="n">
        <v>0</v>
      </c>
      <c r="L441" t="n">
        <v>0</v>
      </c>
      <c r="M441" t="n">
        <v>0</v>
      </c>
      <c r="N441" t="n">
        <v>0</v>
      </c>
      <c r="O441" t="n">
        <v>0</v>
      </c>
      <c r="P441" t="n">
        <v>0</v>
      </c>
      <c r="Q441" t="n">
        <v>0</v>
      </c>
      <c r="R441" s="2" t="inlineStr"/>
    </row>
    <row r="442" ht="15" customHeight="1">
      <c r="A442" t="inlineStr">
        <is>
          <t>A 34106-2025</t>
        </is>
      </c>
      <c r="B442" s="1" t="n">
        <v>45845.49414351852</v>
      </c>
      <c r="C442" s="1" t="n">
        <v>45982</v>
      </c>
      <c r="D442" t="inlineStr">
        <is>
          <t>KALMAR LÄN</t>
        </is>
      </c>
      <c r="E442" t="inlineStr">
        <is>
          <t>VIMMERBY</t>
        </is>
      </c>
      <c r="G442" t="n">
        <v>6</v>
      </c>
      <c r="H442" t="n">
        <v>0</v>
      </c>
      <c r="I442" t="n">
        <v>0</v>
      </c>
      <c r="J442" t="n">
        <v>0</v>
      </c>
      <c r="K442" t="n">
        <v>0</v>
      </c>
      <c r="L442" t="n">
        <v>0</v>
      </c>
      <c r="M442" t="n">
        <v>0</v>
      </c>
      <c r="N442" t="n">
        <v>0</v>
      </c>
      <c r="O442" t="n">
        <v>0</v>
      </c>
      <c r="P442" t="n">
        <v>0</v>
      </c>
      <c r="Q442" t="n">
        <v>0</v>
      </c>
      <c r="R442" s="2" t="inlineStr"/>
    </row>
    <row r="443" ht="15" customHeight="1">
      <c r="A443" t="inlineStr">
        <is>
          <t>A 28702-2025</t>
        </is>
      </c>
      <c r="B443" s="1" t="n">
        <v>45820.03976851852</v>
      </c>
      <c r="C443" s="1" t="n">
        <v>45982</v>
      </c>
      <c r="D443" t="inlineStr">
        <is>
          <t>KALMAR LÄN</t>
        </is>
      </c>
      <c r="E443" t="inlineStr">
        <is>
          <t>VIMMERBY</t>
        </is>
      </c>
      <c r="G443" t="n">
        <v>2.1</v>
      </c>
      <c r="H443" t="n">
        <v>0</v>
      </c>
      <c r="I443" t="n">
        <v>0</v>
      </c>
      <c r="J443" t="n">
        <v>0</v>
      </c>
      <c r="K443" t="n">
        <v>0</v>
      </c>
      <c r="L443" t="n">
        <v>0</v>
      </c>
      <c r="M443" t="n">
        <v>0</v>
      </c>
      <c r="N443" t="n">
        <v>0</v>
      </c>
      <c r="O443" t="n">
        <v>0</v>
      </c>
      <c r="P443" t="n">
        <v>0</v>
      </c>
      <c r="Q443" t="n">
        <v>0</v>
      </c>
      <c r="R443" s="2" t="inlineStr"/>
    </row>
    <row r="444" ht="15" customHeight="1">
      <c r="A444" t="inlineStr">
        <is>
          <t>A 5074-2023</t>
        </is>
      </c>
      <c r="B444" s="1" t="n">
        <v>44958.61047453704</v>
      </c>
      <c r="C444" s="1" t="n">
        <v>45982</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51187-2023</t>
        </is>
      </c>
      <c r="B445" s="1" t="n">
        <v>45219.40528935185</v>
      </c>
      <c r="C445" s="1" t="n">
        <v>45982</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45114-2025</t>
        </is>
      </c>
      <c r="B446" s="1" t="n">
        <v>45919.42387731482</v>
      </c>
      <c r="C446" s="1" t="n">
        <v>45982</v>
      </c>
      <c r="D446" t="inlineStr">
        <is>
          <t>KALMAR LÄN</t>
        </is>
      </c>
      <c r="E446" t="inlineStr">
        <is>
          <t>VIMMERBY</t>
        </is>
      </c>
      <c r="G446" t="n">
        <v>2.7</v>
      </c>
      <c r="H446" t="n">
        <v>0</v>
      </c>
      <c r="I446" t="n">
        <v>0</v>
      </c>
      <c r="J446" t="n">
        <v>0</v>
      </c>
      <c r="K446" t="n">
        <v>0</v>
      </c>
      <c r="L446" t="n">
        <v>0</v>
      </c>
      <c r="M446" t="n">
        <v>0</v>
      </c>
      <c r="N446" t="n">
        <v>0</v>
      </c>
      <c r="O446" t="n">
        <v>0</v>
      </c>
      <c r="P446" t="n">
        <v>0</v>
      </c>
      <c r="Q446" t="n">
        <v>0</v>
      </c>
      <c r="R446" s="2" t="inlineStr"/>
    </row>
    <row r="447" ht="15" customHeight="1">
      <c r="A447" t="inlineStr">
        <is>
          <t>A 53903-2025</t>
        </is>
      </c>
      <c r="B447" s="1" t="n">
        <v>45961.43738425926</v>
      </c>
      <c r="C447" s="1" t="n">
        <v>45982</v>
      </c>
      <c r="D447" t="inlineStr">
        <is>
          <t>KALMAR LÄN</t>
        </is>
      </c>
      <c r="E447" t="inlineStr">
        <is>
          <t>VIMMERBY</t>
        </is>
      </c>
      <c r="G447" t="n">
        <v>0.8</v>
      </c>
      <c r="H447" t="n">
        <v>0</v>
      </c>
      <c r="I447" t="n">
        <v>0</v>
      </c>
      <c r="J447" t="n">
        <v>0</v>
      </c>
      <c r="K447" t="n">
        <v>0</v>
      </c>
      <c r="L447" t="n">
        <v>0</v>
      </c>
      <c r="M447" t="n">
        <v>0</v>
      </c>
      <c r="N447" t="n">
        <v>0</v>
      </c>
      <c r="O447" t="n">
        <v>0</v>
      </c>
      <c r="P447" t="n">
        <v>0</v>
      </c>
      <c r="Q447" t="n">
        <v>0</v>
      </c>
      <c r="R447" s="2" t="inlineStr"/>
    </row>
    <row r="448" ht="15" customHeight="1">
      <c r="A448" t="inlineStr">
        <is>
          <t>A 53920-2025</t>
        </is>
      </c>
      <c r="B448" s="1" t="n">
        <v>45961.44951388889</v>
      </c>
      <c r="C448" s="1" t="n">
        <v>45982</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15715-2022</t>
        </is>
      </c>
      <c r="B449" s="1" t="n">
        <v>44663</v>
      </c>
      <c r="C449" s="1" t="n">
        <v>45982</v>
      </c>
      <c r="D449" t="inlineStr">
        <is>
          <t>KALMAR LÄN</t>
        </is>
      </c>
      <c r="E449" t="inlineStr">
        <is>
          <t>VIMMERBY</t>
        </is>
      </c>
      <c r="G449" t="n">
        <v>2.3</v>
      </c>
      <c r="H449" t="n">
        <v>0</v>
      </c>
      <c r="I449" t="n">
        <v>0</v>
      </c>
      <c r="J449" t="n">
        <v>0</v>
      </c>
      <c r="K449" t="n">
        <v>0</v>
      </c>
      <c r="L449" t="n">
        <v>0</v>
      </c>
      <c r="M449" t="n">
        <v>0</v>
      </c>
      <c r="N449" t="n">
        <v>0</v>
      </c>
      <c r="O449" t="n">
        <v>0</v>
      </c>
      <c r="P449" t="n">
        <v>0</v>
      </c>
      <c r="Q449" t="n">
        <v>0</v>
      </c>
      <c r="R449" s="2" t="inlineStr"/>
    </row>
    <row r="450" ht="15" customHeight="1">
      <c r="A450" t="inlineStr">
        <is>
          <t>A 43093-2024</t>
        </is>
      </c>
      <c r="B450" s="1" t="n">
        <v>45567</v>
      </c>
      <c r="C450" s="1" t="n">
        <v>45982</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56022-2024</t>
        </is>
      </c>
      <c r="B451" s="1" t="n">
        <v>45623.95947916667</v>
      </c>
      <c r="C451" s="1" t="n">
        <v>45982</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34628-2025</t>
        </is>
      </c>
      <c r="B452" s="1" t="n">
        <v>45847.91280092593</v>
      </c>
      <c r="C452" s="1" t="n">
        <v>45982</v>
      </c>
      <c r="D452" t="inlineStr">
        <is>
          <t>KALMAR LÄN</t>
        </is>
      </c>
      <c r="E452" t="inlineStr">
        <is>
          <t>VIMMERBY</t>
        </is>
      </c>
      <c r="G452" t="n">
        <v>4.2</v>
      </c>
      <c r="H452" t="n">
        <v>0</v>
      </c>
      <c r="I452" t="n">
        <v>0</v>
      </c>
      <c r="J452" t="n">
        <v>0</v>
      </c>
      <c r="K452" t="n">
        <v>0</v>
      </c>
      <c r="L452" t="n">
        <v>0</v>
      </c>
      <c r="M452" t="n">
        <v>0</v>
      </c>
      <c r="N452" t="n">
        <v>0</v>
      </c>
      <c r="O452" t="n">
        <v>0</v>
      </c>
      <c r="P452" t="n">
        <v>0</v>
      </c>
      <c r="Q452" t="n">
        <v>0</v>
      </c>
      <c r="R452" s="2" t="inlineStr"/>
    </row>
    <row r="453" ht="15" customHeight="1">
      <c r="A453" t="inlineStr">
        <is>
          <t>A 18330-2023</t>
        </is>
      </c>
      <c r="B453" s="1" t="n">
        <v>45041</v>
      </c>
      <c r="C453" s="1" t="n">
        <v>45982</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45319-2025</t>
        </is>
      </c>
      <c r="B454" s="1" t="n">
        <v>45921.95611111111</v>
      </c>
      <c r="C454" s="1" t="n">
        <v>45982</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54236-2025</t>
        </is>
      </c>
      <c r="B455" s="1" t="n">
        <v>45964.62671296296</v>
      </c>
      <c r="C455" s="1" t="n">
        <v>45982</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20126-2024</t>
        </is>
      </c>
      <c r="B456" s="1" t="n">
        <v>45434.55471064815</v>
      </c>
      <c r="C456" s="1" t="n">
        <v>45982</v>
      </c>
      <c r="D456" t="inlineStr">
        <is>
          <t>KALMAR LÄN</t>
        </is>
      </c>
      <c r="E456" t="inlineStr">
        <is>
          <t>VIMMERBY</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20136-2024</t>
        </is>
      </c>
      <c r="B457" s="1" t="n">
        <v>45434.56291666667</v>
      </c>
      <c r="C457" s="1" t="n">
        <v>45982</v>
      </c>
      <c r="D457" t="inlineStr">
        <is>
          <t>KALMAR LÄN</t>
        </is>
      </c>
      <c r="E457" t="inlineStr">
        <is>
          <t>VIMMERBY</t>
        </is>
      </c>
      <c r="F457" t="inlineStr">
        <is>
          <t>Sveaskog</t>
        </is>
      </c>
      <c r="G457" t="n">
        <v>8.4</v>
      </c>
      <c r="H457" t="n">
        <v>0</v>
      </c>
      <c r="I457" t="n">
        <v>0</v>
      </c>
      <c r="J457" t="n">
        <v>0</v>
      </c>
      <c r="K457" t="n">
        <v>0</v>
      </c>
      <c r="L457" t="n">
        <v>0</v>
      </c>
      <c r="M457" t="n">
        <v>0</v>
      </c>
      <c r="N457" t="n">
        <v>0</v>
      </c>
      <c r="O457" t="n">
        <v>0</v>
      </c>
      <c r="P457" t="n">
        <v>0</v>
      </c>
      <c r="Q457" t="n">
        <v>0</v>
      </c>
      <c r="R457" s="2" t="inlineStr"/>
    </row>
    <row r="458" ht="15" customHeight="1">
      <c r="A458" t="inlineStr">
        <is>
          <t>A 46921-2023</t>
        </is>
      </c>
      <c r="B458" s="1" t="n">
        <v>45201.39996527778</v>
      </c>
      <c r="C458" s="1" t="n">
        <v>45982</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25236-2023</t>
        </is>
      </c>
      <c r="B459" s="1" t="n">
        <v>45086.63334490741</v>
      </c>
      <c r="C459" s="1" t="n">
        <v>45982</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45320-2025</t>
        </is>
      </c>
      <c r="B460" s="1" t="n">
        <v>45921.96395833333</v>
      </c>
      <c r="C460" s="1" t="n">
        <v>45982</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6082-2022</t>
        </is>
      </c>
      <c r="B461" s="1" t="n">
        <v>44599</v>
      </c>
      <c r="C461" s="1" t="n">
        <v>45982</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54234-2025</t>
        </is>
      </c>
      <c r="B462" s="1" t="n">
        <v>45964.62486111111</v>
      </c>
      <c r="C462" s="1" t="n">
        <v>45982</v>
      </c>
      <c r="D462" t="inlineStr">
        <is>
          <t>KALMAR LÄN</t>
        </is>
      </c>
      <c r="E462" t="inlineStr">
        <is>
          <t>VIMMERBY</t>
        </is>
      </c>
      <c r="G462" t="n">
        <v>4.1</v>
      </c>
      <c r="H462" t="n">
        <v>0</v>
      </c>
      <c r="I462" t="n">
        <v>0</v>
      </c>
      <c r="J462" t="n">
        <v>0</v>
      </c>
      <c r="K462" t="n">
        <v>0</v>
      </c>
      <c r="L462" t="n">
        <v>0</v>
      </c>
      <c r="M462" t="n">
        <v>0</v>
      </c>
      <c r="N462" t="n">
        <v>0</v>
      </c>
      <c r="O462" t="n">
        <v>0</v>
      </c>
      <c r="P462" t="n">
        <v>0</v>
      </c>
      <c r="Q462" t="n">
        <v>0</v>
      </c>
      <c r="R462" s="2" t="inlineStr"/>
    </row>
    <row r="463" ht="15" customHeight="1">
      <c r="A463" t="inlineStr">
        <is>
          <t>A 2801-2023</t>
        </is>
      </c>
      <c r="B463" s="1" t="n">
        <v>44944.73487268519</v>
      </c>
      <c r="C463" s="1" t="n">
        <v>45982</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5146-2024</t>
        </is>
      </c>
      <c r="B464" s="1" t="n">
        <v>45330</v>
      </c>
      <c r="C464" s="1" t="n">
        <v>45982</v>
      </c>
      <c r="D464" t="inlineStr">
        <is>
          <t>KALMAR LÄN</t>
        </is>
      </c>
      <c r="E464" t="inlineStr">
        <is>
          <t>VIMMERBY</t>
        </is>
      </c>
      <c r="G464" t="n">
        <v>5.3</v>
      </c>
      <c r="H464" t="n">
        <v>0</v>
      </c>
      <c r="I464" t="n">
        <v>0</v>
      </c>
      <c r="J464" t="n">
        <v>0</v>
      </c>
      <c r="K464" t="n">
        <v>0</v>
      </c>
      <c r="L464" t="n">
        <v>0</v>
      </c>
      <c r="M464" t="n">
        <v>0</v>
      </c>
      <c r="N464" t="n">
        <v>0</v>
      </c>
      <c r="O464" t="n">
        <v>0</v>
      </c>
      <c r="P464" t="n">
        <v>0</v>
      </c>
      <c r="Q464" t="n">
        <v>0</v>
      </c>
      <c r="R464" s="2" t="inlineStr"/>
    </row>
    <row r="465" ht="15" customHeight="1">
      <c r="A465" t="inlineStr">
        <is>
          <t>A 5148-2024</t>
        </is>
      </c>
      <c r="B465" s="1" t="n">
        <v>45330</v>
      </c>
      <c r="C465" s="1" t="n">
        <v>45982</v>
      </c>
      <c r="D465" t="inlineStr">
        <is>
          <t>KALMAR LÄN</t>
        </is>
      </c>
      <c r="E465" t="inlineStr">
        <is>
          <t>VIMMERBY</t>
        </is>
      </c>
      <c r="G465" t="n">
        <v>5.6</v>
      </c>
      <c r="H465" t="n">
        <v>0</v>
      </c>
      <c r="I465" t="n">
        <v>0</v>
      </c>
      <c r="J465" t="n">
        <v>0</v>
      </c>
      <c r="K465" t="n">
        <v>0</v>
      </c>
      <c r="L465" t="n">
        <v>0</v>
      </c>
      <c r="M465" t="n">
        <v>0</v>
      </c>
      <c r="N465" t="n">
        <v>0</v>
      </c>
      <c r="O465" t="n">
        <v>0</v>
      </c>
      <c r="P465" t="n">
        <v>0</v>
      </c>
      <c r="Q465" t="n">
        <v>0</v>
      </c>
      <c r="R465" s="2" t="inlineStr"/>
    </row>
    <row r="466" ht="15" customHeight="1">
      <c r="A466" t="inlineStr">
        <is>
          <t>A 35270-2025</t>
        </is>
      </c>
      <c r="B466" s="1" t="n">
        <v>45853.87112268519</v>
      </c>
      <c r="C466" s="1" t="n">
        <v>45982</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35271-2025</t>
        </is>
      </c>
      <c r="B467" s="1" t="n">
        <v>45853.87599537037</v>
      </c>
      <c r="C467" s="1" t="n">
        <v>45982</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35272-2025</t>
        </is>
      </c>
      <c r="B468" s="1" t="n">
        <v>45853.88070601852</v>
      </c>
      <c r="C468" s="1" t="n">
        <v>45982</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53786-2025</t>
        </is>
      </c>
      <c r="B469" s="1" t="n">
        <v>45960</v>
      </c>
      <c r="C469" s="1" t="n">
        <v>45982</v>
      </c>
      <c r="D469" t="inlineStr">
        <is>
          <t>KALMAR LÄN</t>
        </is>
      </c>
      <c r="E469" t="inlineStr">
        <is>
          <t>VIMMERBY</t>
        </is>
      </c>
      <c r="F469" t="inlineStr">
        <is>
          <t>Övriga statliga verk och myndigheter</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16953-2025</t>
        </is>
      </c>
      <c r="B470" s="1" t="n">
        <v>45755.44333333334</v>
      </c>
      <c r="C470" s="1" t="n">
        <v>45982</v>
      </c>
      <c r="D470" t="inlineStr">
        <is>
          <t>KALMAR LÄN</t>
        </is>
      </c>
      <c r="E470" t="inlineStr">
        <is>
          <t>VIMMERBY</t>
        </is>
      </c>
      <c r="G470" t="n">
        <v>2</v>
      </c>
      <c r="H470" t="n">
        <v>0</v>
      </c>
      <c r="I470" t="n">
        <v>0</v>
      </c>
      <c r="J470" t="n">
        <v>0</v>
      </c>
      <c r="K470" t="n">
        <v>0</v>
      </c>
      <c r="L470" t="n">
        <v>0</v>
      </c>
      <c r="M470" t="n">
        <v>0</v>
      </c>
      <c r="N470" t="n">
        <v>0</v>
      </c>
      <c r="O470" t="n">
        <v>0</v>
      </c>
      <c r="P470" t="n">
        <v>0</v>
      </c>
      <c r="Q470" t="n">
        <v>0</v>
      </c>
      <c r="R470" s="2" t="inlineStr"/>
    </row>
    <row r="471" ht="15" customHeight="1">
      <c r="A471" t="inlineStr">
        <is>
          <t>A 46118-2025</t>
        </is>
      </c>
      <c r="B471" s="1" t="n">
        <v>45924.57697916667</v>
      </c>
      <c r="C471" s="1" t="n">
        <v>45982</v>
      </c>
      <c r="D471" t="inlineStr">
        <is>
          <t>KALMAR LÄN</t>
        </is>
      </c>
      <c r="E471" t="inlineStr">
        <is>
          <t>VIMMERBY</t>
        </is>
      </c>
      <c r="G471" t="n">
        <v>2.9</v>
      </c>
      <c r="H471" t="n">
        <v>0</v>
      </c>
      <c r="I471" t="n">
        <v>0</v>
      </c>
      <c r="J471" t="n">
        <v>0</v>
      </c>
      <c r="K471" t="n">
        <v>0</v>
      </c>
      <c r="L471" t="n">
        <v>0</v>
      </c>
      <c r="M471" t="n">
        <v>0</v>
      </c>
      <c r="N471" t="n">
        <v>0</v>
      </c>
      <c r="O471" t="n">
        <v>0</v>
      </c>
      <c r="P471" t="n">
        <v>0</v>
      </c>
      <c r="Q471" t="n">
        <v>0</v>
      </c>
      <c r="R471" s="2" t="inlineStr"/>
    </row>
    <row r="472" ht="15" customHeight="1">
      <c r="A472" t="inlineStr">
        <is>
          <t>A 35596-2025</t>
        </is>
      </c>
      <c r="B472" s="1" t="n">
        <v>45858.60641203704</v>
      </c>
      <c r="C472" s="1" t="n">
        <v>45982</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35597-2025</t>
        </is>
      </c>
      <c r="B473" s="1" t="n">
        <v>45858.66019675926</v>
      </c>
      <c r="C473" s="1" t="n">
        <v>45982</v>
      </c>
      <c r="D473" t="inlineStr">
        <is>
          <t>KALMAR LÄN</t>
        </is>
      </c>
      <c r="E473" t="inlineStr">
        <is>
          <t>VIMMERBY</t>
        </is>
      </c>
      <c r="G473" t="n">
        <v>6.4</v>
      </c>
      <c r="H473" t="n">
        <v>0</v>
      </c>
      <c r="I473" t="n">
        <v>0</v>
      </c>
      <c r="J473" t="n">
        <v>0</v>
      </c>
      <c r="K473" t="n">
        <v>0</v>
      </c>
      <c r="L473" t="n">
        <v>0</v>
      </c>
      <c r="M473" t="n">
        <v>0</v>
      </c>
      <c r="N473" t="n">
        <v>0</v>
      </c>
      <c r="O473" t="n">
        <v>0</v>
      </c>
      <c r="P473" t="n">
        <v>0</v>
      </c>
      <c r="Q473" t="n">
        <v>0</v>
      </c>
      <c r="R473" s="2" t="inlineStr"/>
    </row>
    <row r="474" ht="15" customHeight="1">
      <c r="A474" t="inlineStr">
        <is>
          <t>A 46365-2025</t>
        </is>
      </c>
      <c r="B474" s="1" t="n">
        <v>45925.50075231482</v>
      </c>
      <c r="C474" s="1" t="n">
        <v>45982</v>
      </c>
      <c r="D474" t="inlineStr">
        <is>
          <t>KALMAR LÄN</t>
        </is>
      </c>
      <c r="E474" t="inlineStr">
        <is>
          <t>VIMMERBY</t>
        </is>
      </c>
      <c r="G474" t="n">
        <v>5.6</v>
      </c>
      <c r="H474" t="n">
        <v>0</v>
      </c>
      <c r="I474" t="n">
        <v>0</v>
      </c>
      <c r="J474" t="n">
        <v>0</v>
      </c>
      <c r="K474" t="n">
        <v>0</v>
      </c>
      <c r="L474" t="n">
        <v>0</v>
      </c>
      <c r="M474" t="n">
        <v>0</v>
      </c>
      <c r="N474" t="n">
        <v>0</v>
      </c>
      <c r="O474" t="n">
        <v>0</v>
      </c>
      <c r="P474" t="n">
        <v>0</v>
      </c>
      <c r="Q474" t="n">
        <v>0</v>
      </c>
      <c r="R474" s="2" t="inlineStr"/>
    </row>
    <row r="475" ht="15" customHeight="1">
      <c r="A475" t="inlineStr">
        <is>
          <t>A 54737-2025</t>
        </is>
      </c>
      <c r="B475" s="1" t="n">
        <v>45966.56826388889</v>
      </c>
      <c r="C475" s="1" t="n">
        <v>45982</v>
      </c>
      <c r="D475" t="inlineStr">
        <is>
          <t>KALMAR LÄN</t>
        </is>
      </c>
      <c r="E475" t="inlineStr">
        <is>
          <t>VIMMERBY</t>
        </is>
      </c>
      <c r="G475" t="n">
        <v>2.1</v>
      </c>
      <c r="H475" t="n">
        <v>0</v>
      </c>
      <c r="I475" t="n">
        <v>0</v>
      </c>
      <c r="J475" t="n">
        <v>0</v>
      </c>
      <c r="K475" t="n">
        <v>0</v>
      </c>
      <c r="L475" t="n">
        <v>0</v>
      </c>
      <c r="M475" t="n">
        <v>0</v>
      </c>
      <c r="N475" t="n">
        <v>0</v>
      </c>
      <c r="O475" t="n">
        <v>0</v>
      </c>
      <c r="P475" t="n">
        <v>0</v>
      </c>
      <c r="Q475" t="n">
        <v>0</v>
      </c>
      <c r="R475" s="2" t="inlineStr"/>
    </row>
    <row r="476" ht="15" customHeight="1">
      <c r="A476" t="inlineStr">
        <is>
          <t>A 58278-2023</t>
        </is>
      </c>
      <c r="B476" s="1" t="n">
        <v>45250.5278587963</v>
      </c>
      <c r="C476" s="1" t="n">
        <v>45982</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22266-2023</t>
        </is>
      </c>
      <c r="B477" s="1" t="n">
        <v>45070</v>
      </c>
      <c r="C477" s="1" t="n">
        <v>45982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52588-2023</t>
        </is>
      </c>
      <c r="B478" s="1" t="n">
        <v>45225.60192129629</v>
      </c>
      <c r="C478" s="1" t="n">
        <v>45982</v>
      </c>
      <c r="D478" t="inlineStr">
        <is>
          <t>KALMAR LÄN</t>
        </is>
      </c>
      <c r="E478" t="inlineStr">
        <is>
          <t>VIMMERBY</t>
        </is>
      </c>
      <c r="G478" t="n">
        <v>2.9</v>
      </c>
      <c r="H478" t="n">
        <v>0</v>
      </c>
      <c r="I478" t="n">
        <v>0</v>
      </c>
      <c r="J478" t="n">
        <v>0</v>
      </c>
      <c r="K478" t="n">
        <v>0</v>
      </c>
      <c r="L478" t="n">
        <v>0</v>
      </c>
      <c r="M478" t="n">
        <v>0</v>
      </c>
      <c r="N478" t="n">
        <v>0</v>
      </c>
      <c r="O478" t="n">
        <v>0</v>
      </c>
      <c r="P478" t="n">
        <v>0</v>
      </c>
      <c r="Q478" t="n">
        <v>0</v>
      </c>
      <c r="R478" s="2" t="inlineStr"/>
    </row>
    <row r="479" ht="15" customHeight="1">
      <c r="A479" t="inlineStr">
        <is>
          <t>A 46361-2025</t>
        </is>
      </c>
      <c r="B479" s="1" t="n">
        <v>45925.49670138889</v>
      </c>
      <c r="C479" s="1" t="n">
        <v>45982</v>
      </c>
      <c r="D479" t="inlineStr">
        <is>
          <t>KALMAR LÄN</t>
        </is>
      </c>
      <c r="E479" t="inlineStr">
        <is>
          <t>VIMMERBY</t>
        </is>
      </c>
      <c r="G479" t="n">
        <v>4.2</v>
      </c>
      <c r="H479" t="n">
        <v>0</v>
      </c>
      <c r="I479" t="n">
        <v>0</v>
      </c>
      <c r="J479" t="n">
        <v>0</v>
      </c>
      <c r="K479" t="n">
        <v>0</v>
      </c>
      <c r="L479" t="n">
        <v>0</v>
      </c>
      <c r="M479" t="n">
        <v>0</v>
      </c>
      <c r="N479" t="n">
        <v>0</v>
      </c>
      <c r="O479" t="n">
        <v>0</v>
      </c>
      <c r="P479" t="n">
        <v>0</v>
      </c>
      <c r="Q479" t="n">
        <v>0</v>
      </c>
      <c r="R479" s="2" t="inlineStr"/>
    </row>
    <row r="480" ht="15" customHeight="1">
      <c r="A480" t="inlineStr">
        <is>
          <t>A 6802-2025</t>
        </is>
      </c>
      <c r="B480" s="1" t="n">
        <v>45700.68289351852</v>
      </c>
      <c r="C480" s="1" t="n">
        <v>45982</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71793-2021</t>
        </is>
      </c>
      <c r="B481" s="1" t="n">
        <v>44539</v>
      </c>
      <c r="C481" s="1" t="n">
        <v>45982</v>
      </c>
      <c r="D481" t="inlineStr">
        <is>
          <t>KALMAR LÄN</t>
        </is>
      </c>
      <c r="E481" t="inlineStr">
        <is>
          <t>VIMMERBY</t>
        </is>
      </c>
      <c r="G481" t="n">
        <v>2.7</v>
      </c>
      <c r="H481" t="n">
        <v>0</v>
      </c>
      <c r="I481" t="n">
        <v>0</v>
      </c>
      <c r="J481" t="n">
        <v>0</v>
      </c>
      <c r="K481" t="n">
        <v>0</v>
      </c>
      <c r="L481" t="n">
        <v>0</v>
      </c>
      <c r="M481" t="n">
        <v>0</v>
      </c>
      <c r="N481" t="n">
        <v>0</v>
      </c>
      <c r="O481" t="n">
        <v>0</v>
      </c>
      <c r="P481" t="n">
        <v>0</v>
      </c>
      <c r="Q481" t="n">
        <v>0</v>
      </c>
      <c r="R481" s="2" t="inlineStr"/>
    </row>
    <row r="482" ht="15" customHeight="1">
      <c r="A482" t="inlineStr">
        <is>
          <t>A 36226-2025</t>
        </is>
      </c>
      <c r="B482" s="1" t="n">
        <v>45867.51630787037</v>
      </c>
      <c r="C482" s="1" t="n">
        <v>45982</v>
      </c>
      <c r="D482" t="inlineStr">
        <is>
          <t>KALMAR LÄN</t>
        </is>
      </c>
      <c r="E482" t="inlineStr">
        <is>
          <t>VIMMERBY</t>
        </is>
      </c>
      <c r="G482" t="n">
        <v>3.1</v>
      </c>
      <c r="H482" t="n">
        <v>0</v>
      </c>
      <c r="I482" t="n">
        <v>0</v>
      </c>
      <c r="J482" t="n">
        <v>0</v>
      </c>
      <c r="K482" t="n">
        <v>0</v>
      </c>
      <c r="L482" t="n">
        <v>0</v>
      </c>
      <c r="M482" t="n">
        <v>0</v>
      </c>
      <c r="N482" t="n">
        <v>0</v>
      </c>
      <c r="O482" t="n">
        <v>0</v>
      </c>
      <c r="P482" t="n">
        <v>0</v>
      </c>
      <c r="Q482" t="n">
        <v>0</v>
      </c>
      <c r="R482" s="2" t="inlineStr"/>
    </row>
    <row r="483" ht="15" customHeight="1">
      <c r="A483" t="inlineStr">
        <is>
          <t>A 527-2024</t>
        </is>
      </c>
      <c r="B483" s="1" t="n">
        <v>45299.47513888889</v>
      </c>
      <c r="C483" s="1" t="n">
        <v>45982</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36273-2025</t>
        </is>
      </c>
      <c r="B484" s="1" t="n">
        <v>45867.63094907408</v>
      </c>
      <c r="C484" s="1" t="n">
        <v>45982</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36282-2025</t>
        </is>
      </c>
      <c r="B485" s="1" t="n">
        <v>45867.64663194444</v>
      </c>
      <c r="C485" s="1" t="n">
        <v>45982</v>
      </c>
      <c r="D485" t="inlineStr">
        <is>
          <t>KALMAR LÄN</t>
        </is>
      </c>
      <c r="E485" t="inlineStr">
        <is>
          <t>VIMMERBY</t>
        </is>
      </c>
      <c r="G485" t="n">
        <v>1.4</v>
      </c>
      <c r="H485" t="n">
        <v>0</v>
      </c>
      <c r="I485" t="n">
        <v>0</v>
      </c>
      <c r="J485" t="n">
        <v>0</v>
      </c>
      <c r="K485" t="n">
        <v>0</v>
      </c>
      <c r="L485" t="n">
        <v>0</v>
      </c>
      <c r="M485" t="n">
        <v>0</v>
      </c>
      <c r="N485" t="n">
        <v>0</v>
      </c>
      <c r="O485" t="n">
        <v>0</v>
      </c>
      <c r="P485" t="n">
        <v>0</v>
      </c>
      <c r="Q485" t="n">
        <v>0</v>
      </c>
      <c r="R485" s="2" t="inlineStr"/>
    </row>
    <row r="486" ht="15" customHeight="1">
      <c r="A486" t="inlineStr">
        <is>
          <t>A 36246-2025</t>
        </is>
      </c>
      <c r="B486" s="1" t="n">
        <v>45867.56320601852</v>
      </c>
      <c r="C486" s="1" t="n">
        <v>45982</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36297-2025</t>
        </is>
      </c>
      <c r="B487" s="1" t="n">
        <v>45867.68625</v>
      </c>
      <c r="C487" s="1" t="n">
        <v>45982</v>
      </c>
      <c r="D487" t="inlineStr">
        <is>
          <t>KALMAR LÄN</t>
        </is>
      </c>
      <c r="E487" t="inlineStr">
        <is>
          <t>VIMMERBY</t>
        </is>
      </c>
      <c r="G487" t="n">
        <v>4.9</v>
      </c>
      <c r="H487" t="n">
        <v>0</v>
      </c>
      <c r="I487" t="n">
        <v>0</v>
      </c>
      <c r="J487" t="n">
        <v>0</v>
      </c>
      <c r="K487" t="n">
        <v>0</v>
      </c>
      <c r="L487" t="n">
        <v>0</v>
      </c>
      <c r="M487" t="n">
        <v>0</v>
      </c>
      <c r="N487" t="n">
        <v>0</v>
      </c>
      <c r="O487" t="n">
        <v>0</v>
      </c>
      <c r="P487" t="n">
        <v>0</v>
      </c>
      <c r="Q487" t="n">
        <v>0</v>
      </c>
      <c r="R487" s="2" t="inlineStr"/>
    </row>
    <row r="488" ht="15" customHeight="1">
      <c r="A488" t="inlineStr">
        <is>
          <t>A 53788-2025</t>
        </is>
      </c>
      <c r="B488" s="1" t="n">
        <v>45960</v>
      </c>
      <c r="C488" s="1" t="n">
        <v>45982</v>
      </c>
      <c r="D488" t="inlineStr">
        <is>
          <t>KALMAR LÄN</t>
        </is>
      </c>
      <c r="E488" t="inlineStr">
        <is>
          <t>VIMMERBY</t>
        </is>
      </c>
      <c r="F488" t="inlineStr">
        <is>
          <t>Övriga statliga verk och myndigheter</t>
        </is>
      </c>
      <c r="G488" t="n">
        <v>6.3</v>
      </c>
      <c r="H488" t="n">
        <v>0</v>
      </c>
      <c r="I488" t="n">
        <v>0</v>
      </c>
      <c r="J488" t="n">
        <v>0</v>
      </c>
      <c r="K488" t="n">
        <v>0</v>
      </c>
      <c r="L488" t="n">
        <v>0</v>
      </c>
      <c r="M488" t="n">
        <v>0</v>
      </c>
      <c r="N488" t="n">
        <v>0</v>
      </c>
      <c r="O488" t="n">
        <v>0</v>
      </c>
      <c r="P488" t="n">
        <v>0</v>
      </c>
      <c r="Q488" t="n">
        <v>0</v>
      </c>
      <c r="R488" s="2" t="inlineStr"/>
    </row>
    <row r="489" ht="15" customHeight="1">
      <c r="A489" t="inlineStr">
        <is>
          <t>A 60230-2022</t>
        </is>
      </c>
      <c r="B489" s="1" t="n">
        <v>44910</v>
      </c>
      <c r="C489" s="1" t="n">
        <v>45982</v>
      </c>
      <c r="D489" t="inlineStr">
        <is>
          <t>KALMAR LÄN</t>
        </is>
      </c>
      <c r="E489" t="inlineStr">
        <is>
          <t>VIMMERBY</t>
        </is>
      </c>
      <c r="G489" t="n">
        <v>11.3</v>
      </c>
      <c r="H489" t="n">
        <v>0</v>
      </c>
      <c r="I489" t="n">
        <v>0</v>
      </c>
      <c r="J489" t="n">
        <v>0</v>
      </c>
      <c r="K489" t="n">
        <v>0</v>
      </c>
      <c r="L489" t="n">
        <v>0</v>
      </c>
      <c r="M489" t="n">
        <v>0</v>
      </c>
      <c r="N489" t="n">
        <v>0</v>
      </c>
      <c r="O489" t="n">
        <v>0</v>
      </c>
      <c r="P489" t="n">
        <v>0</v>
      </c>
      <c r="Q489" t="n">
        <v>0</v>
      </c>
      <c r="R489" s="2" t="inlineStr"/>
    </row>
    <row r="490" ht="15" customHeight="1">
      <c r="A490" t="inlineStr">
        <is>
          <t>A 53586-2025</t>
        </is>
      </c>
      <c r="B490" s="1" t="n">
        <v>45960</v>
      </c>
      <c r="C490" s="1" t="n">
        <v>45982</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36221-2025</t>
        </is>
      </c>
      <c r="B491" s="1" t="n">
        <v>45867.50792824074</v>
      </c>
      <c r="C491" s="1" t="n">
        <v>45982</v>
      </c>
      <c r="D491" t="inlineStr">
        <is>
          <t>KALMAR LÄN</t>
        </is>
      </c>
      <c r="E491" t="inlineStr">
        <is>
          <t>VIMMERBY</t>
        </is>
      </c>
      <c r="G491" t="n">
        <v>2.5</v>
      </c>
      <c r="H491" t="n">
        <v>0</v>
      </c>
      <c r="I491" t="n">
        <v>0</v>
      </c>
      <c r="J491" t="n">
        <v>0</v>
      </c>
      <c r="K491" t="n">
        <v>0</v>
      </c>
      <c r="L491" t="n">
        <v>0</v>
      </c>
      <c r="M491" t="n">
        <v>0</v>
      </c>
      <c r="N491" t="n">
        <v>0</v>
      </c>
      <c r="O491" t="n">
        <v>0</v>
      </c>
      <c r="P491" t="n">
        <v>0</v>
      </c>
      <c r="Q491" t="n">
        <v>0</v>
      </c>
      <c r="R491" s="2" t="inlineStr"/>
    </row>
    <row r="492" ht="15" customHeight="1">
      <c r="A492" t="inlineStr">
        <is>
          <t>A 19502-2025</t>
        </is>
      </c>
      <c r="B492" s="1" t="n">
        <v>45769</v>
      </c>
      <c r="C492" s="1" t="n">
        <v>45982</v>
      </c>
      <c r="D492" t="inlineStr">
        <is>
          <t>KALMAR LÄN</t>
        </is>
      </c>
      <c r="E492" t="inlineStr">
        <is>
          <t>VIMMERBY</t>
        </is>
      </c>
      <c r="G492" t="n">
        <v>1.9</v>
      </c>
      <c r="H492" t="n">
        <v>0</v>
      </c>
      <c r="I492" t="n">
        <v>0</v>
      </c>
      <c r="J492" t="n">
        <v>0</v>
      </c>
      <c r="K492" t="n">
        <v>0</v>
      </c>
      <c r="L492" t="n">
        <v>0</v>
      </c>
      <c r="M492" t="n">
        <v>0</v>
      </c>
      <c r="N492" t="n">
        <v>0</v>
      </c>
      <c r="O492" t="n">
        <v>0</v>
      </c>
      <c r="P492" t="n">
        <v>0</v>
      </c>
      <c r="Q492" t="n">
        <v>0</v>
      </c>
      <c r="R492" s="2" t="inlineStr"/>
    </row>
    <row r="493" ht="15" customHeight="1">
      <c r="A493" t="inlineStr">
        <is>
          <t>A 54813-2025</t>
        </is>
      </c>
      <c r="B493" s="1" t="n">
        <v>45966.64881944445</v>
      </c>
      <c r="C493" s="1" t="n">
        <v>45982</v>
      </c>
      <c r="D493" t="inlineStr">
        <is>
          <t>KALMAR LÄN</t>
        </is>
      </c>
      <c r="E493" t="inlineStr">
        <is>
          <t>VIMMERBY</t>
        </is>
      </c>
      <c r="G493" t="n">
        <v>1.7</v>
      </c>
      <c r="H493" t="n">
        <v>0</v>
      </c>
      <c r="I493" t="n">
        <v>0</v>
      </c>
      <c r="J493" t="n">
        <v>0</v>
      </c>
      <c r="K493" t="n">
        <v>0</v>
      </c>
      <c r="L493" t="n">
        <v>0</v>
      </c>
      <c r="M493" t="n">
        <v>0</v>
      </c>
      <c r="N493" t="n">
        <v>0</v>
      </c>
      <c r="O493" t="n">
        <v>0</v>
      </c>
      <c r="P493" t="n">
        <v>0</v>
      </c>
      <c r="Q493" t="n">
        <v>0</v>
      </c>
      <c r="R493" s="2" t="inlineStr"/>
    </row>
    <row r="494" ht="15" customHeight="1">
      <c r="A494" t="inlineStr">
        <is>
          <t>A 36299-2025</t>
        </is>
      </c>
      <c r="B494" s="1" t="n">
        <v>45867.69346064814</v>
      </c>
      <c r="C494" s="1" t="n">
        <v>45982</v>
      </c>
      <c r="D494" t="inlineStr">
        <is>
          <t>KALMAR LÄN</t>
        </is>
      </c>
      <c r="E494" t="inlineStr">
        <is>
          <t>VIMMERBY</t>
        </is>
      </c>
      <c r="G494" t="n">
        <v>7.6</v>
      </c>
      <c r="H494" t="n">
        <v>0</v>
      </c>
      <c r="I494" t="n">
        <v>0</v>
      </c>
      <c r="J494" t="n">
        <v>0</v>
      </c>
      <c r="K494" t="n">
        <v>0</v>
      </c>
      <c r="L494" t="n">
        <v>0</v>
      </c>
      <c r="M494" t="n">
        <v>0</v>
      </c>
      <c r="N494" t="n">
        <v>0</v>
      </c>
      <c r="O494" t="n">
        <v>0</v>
      </c>
      <c r="P494" t="n">
        <v>0</v>
      </c>
      <c r="Q494" t="n">
        <v>0</v>
      </c>
      <c r="R494" s="2" t="inlineStr"/>
    </row>
    <row r="495" ht="15" customHeight="1">
      <c r="A495" t="inlineStr">
        <is>
          <t>A 5925-2022</t>
        </is>
      </c>
      <c r="B495" s="1" t="n">
        <v>44598.7384837963</v>
      </c>
      <c r="C495" s="1" t="n">
        <v>45982</v>
      </c>
      <c r="D495" t="inlineStr">
        <is>
          <t>KALMAR LÄN</t>
        </is>
      </c>
      <c r="E495" t="inlineStr">
        <is>
          <t>VIMMERBY</t>
        </is>
      </c>
      <c r="G495" t="n">
        <v>2.1</v>
      </c>
      <c r="H495" t="n">
        <v>0</v>
      </c>
      <c r="I495" t="n">
        <v>0</v>
      </c>
      <c r="J495" t="n">
        <v>0</v>
      </c>
      <c r="K495" t="n">
        <v>0</v>
      </c>
      <c r="L495" t="n">
        <v>0</v>
      </c>
      <c r="M495" t="n">
        <v>0</v>
      </c>
      <c r="N495" t="n">
        <v>0</v>
      </c>
      <c r="O495" t="n">
        <v>0</v>
      </c>
      <c r="P495" t="n">
        <v>0</v>
      </c>
      <c r="Q495" t="n">
        <v>0</v>
      </c>
      <c r="R495" s="2" t="inlineStr"/>
    </row>
    <row r="496" ht="15" customHeight="1">
      <c r="A496" t="inlineStr">
        <is>
          <t>A 46887-2025</t>
        </is>
      </c>
      <c r="B496" s="1" t="n">
        <v>45929.3672337963</v>
      </c>
      <c r="C496" s="1" t="n">
        <v>45982</v>
      </c>
      <c r="D496" t="inlineStr">
        <is>
          <t>KALMAR LÄN</t>
        </is>
      </c>
      <c r="E496" t="inlineStr">
        <is>
          <t>VIMMERBY</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45856-2025</t>
        </is>
      </c>
      <c r="B497" s="1" t="n">
        <v>45923</v>
      </c>
      <c r="C497" s="1" t="n">
        <v>45982</v>
      </c>
      <c r="D497" t="inlineStr">
        <is>
          <t>KALMAR LÄN</t>
        </is>
      </c>
      <c r="E497" t="inlineStr">
        <is>
          <t>VIMMERBY</t>
        </is>
      </c>
      <c r="G497" t="n">
        <v>2.1</v>
      </c>
      <c r="H497" t="n">
        <v>0</v>
      </c>
      <c r="I497" t="n">
        <v>0</v>
      </c>
      <c r="J497" t="n">
        <v>0</v>
      </c>
      <c r="K497" t="n">
        <v>0</v>
      </c>
      <c r="L497" t="n">
        <v>0</v>
      </c>
      <c r="M497" t="n">
        <v>0</v>
      </c>
      <c r="N497" t="n">
        <v>0</v>
      </c>
      <c r="O497" t="n">
        <v>0</v>
      </c>
      <c r="P497" t="n">
        <v>0</v>
      </c>
      <c r="Q497" t="n">
        <v>0</v>
      </c>
      <c r="R497" s="2" t="inlineStr"/>
    </row>
    <row r="498" ht="15" customHeight="1">
      <c r="A498" t="inlineStr">
        <is>
          <t>A 36538-2025</t>
        </is>
      </c>
      <c r="B498" s="1" t="n">
        <v>45869.62276620371</v>
      </c>
      <c r="C498" s="1" t="n">
        <v>45982</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46522-2022</t>
        </is>
      </c>
      <c r="B499" s="1" t="n">
        <v>44848.59133101852</v>
      </c>
      <c r="C499" s="1" t="n">
        <v>45982</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41066-2024</t>
        </is>
      </c>
      <c r="B500" s="1" t="n">
        <v>45559.38876157408</v>
      </c>
      <c r="C500" s="1" t="n">
        <v>45982</v>
      </c>
      <c r="D500" t="inlineStr">
        <is>
          <t>KALMAR LÄN</t>
        </is>
      </c>
      <c r="E500" t="inlineStr">
        <is>
          <t>VIMMERBY</t>
        </is>
      </c>
      <c r="G500" t="n">
        <v>2.4</v>
      </c>
      <c r="H500" t="n">
        <v>0</v>
      </c>
      <c r="I500" t="n">
        <v>0</v>
      </c>
      <c r="J500" t="n">
        <v>0</v>
      </c>
      <c r="K500" t="n">
        <v>0</v>
      </c>
      <c r="L500" t="n">
        <v>0</v>
      </c>
      <c r="M500" t="n">
        <v>0</v>
      </c>
      <c r="N500" t="n">
        <v>0</v>
      </c>
      <c r="O500" t="n">
        <v>0</v>
      </c>
      <c r="P500" t="n">
        <v>0</v>
      </c>
      <c r="Q500" t="n">
        <v>0</v>
      </c>
      <c r="R500" s="2" t="inlineStr"/>
    </row>
    <row r="501" ht="15" customHeight="1">
      <c r="A501" t="inlineStr">
        <is>
          <t>A 36598-2025</t>
        </is>
      </c>
      <c r="B501" s="1" t="n">
        <v>45870.51708333333</v>
      </c>
      <c r="C501" s="1" t="n">
        <v>45982</v>
      </c>
      <c r="D501" t="inlineStr">
        <is>
          <t>KALMAR LÄN</t>
        </is>
      </c>
      <c r="E501" t="inlineStr">
        <is>
          <t>VIMMERBY</t>
        </is>
      </c>
      <c r="G501" t="n">
        <v>3.7</v>
      </c>
      <c r="H501" t="n">
        <v>0</v>
      </c>
      <c r="I501" t="n">
        <v>0</v>
      </c>
      <c r="J501" t="n">
        <v>0</v>
      </c>
      <c r="K501" t="n">
        <v>0</v>
      </c>
      <c r="L501" t="n">
        <v>0</v>
      </c>
      <c r="M501" t="n">
        <v>0</v>
      </c>
      <c r="N501" t="n">
        <v>0</v>
      </c>
      <c r="O501" t="n">
        <v>0</v>
      </c>
      <c r="P501" t="n">
        <v>0</v>
      </c>
      <c r="Q501" t="n">
        <v>0</v>
      </c>
      <c r="R501" s="2" t="inlineStr"/>
    </row>
    <row r="502" ht="15" customHeight="1">
      <c r="A502" t="inlineStr">
        <is>
          <t>A 36602-2025</t>
        </is>
      </c>
      <c r="B502" s="1" t="n">
        <v>45870.52111111111</v>
      </c>
      <c r="C502" s="1" t="n">
        <v>45982</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52279-2023</t>
        </is>
      </c>
      <c r="B503" s="1" t="n">
        <v>45224</v>
      </c>
      <c r="C503" s="1" t="n">
        <v>45982</v>
      </c>
      <c r="D503" t="inlineStr">
        <is>
          <t>KALMAR LÄN</t>
        </is>
      </c>
      <c r="E503" t="inlineStr">
        <is>
          <t>VIMMERBY</t>
        </is>
      </c>
      <c r="G503" t="n">
        <v>1.8</v>
      </c>
      <c r="H503" t="n">
        <v>0</v>
      </c>
      <c r="I503" t="n">
        <v>0</v>
      </c>
      <c r="J503" t="n">
        <v>0</v>
      </c>
      <c r="K503" t="n">
        <v>0</v>
      </c>
      <c r="L503" t="n">
        <v>0</v>
      </c>
      <c r="M503" t="n">
        <v>0</v>
      </c>
      <c r="N503" t="n">
        <v>0</v>
      </c>
      <c r="O503" t="n">
        <v>0</v>
      </c>
      <c r="P503" t="n">
        <v>0</v>
      </c>
      <c r="Q503" t="n">
        <v>0</v>
      </c>
      <c r="R503" s="2" t="inlineStr"/>
    </row>
    <row r="504" ht="15" customHeight="1">
      <c r="A504" t="inlineStr">
        <is>
          <t>A 45854-2025</t>
        </is>
      </c>
      <c r="B504" s="1" t="n">
        <v>45923</v>
      </c>
      <c r="C504" s="1" t="n">
        <v>45982</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45855-2025</t>
        </is>
      </c>
      <c r="B505" s="1" t="n">
        <v>45923</v>
      </c>
      <c r="C505" s="1" t="n">
        <v>45982</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17486-2024</t>
        </is>
      </c>
      <c r="B506" s="1" t="n">
        <v>45415.48979166667</v>
      </c>
      <c r="C506" s="1" t="n">
        <v>45982</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71631-2021</t>
        </is>
      </c>
      <c r="B507" s="1" t="n">
        <v>44542.90072916666</v>
      </c>
      <c r="C507" s="1" t="n">
        <v>45982</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36603-2025</t>
        </is>
      </c>
      <c r="B508" s="1" t="n">
        <v>45870.52142361111</v>
      </c>
      <c r="C508" s="1" t="n">
        <v>45982</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55384-2025</t>
        </is>
      </c>
      <c r="B509" s="1" t="n">
        <v>45971.43178240741</v>
      </c>
      <c r="C509" s="1" t="n">
        <v>45982</v>
      </c>
      <c r="D509" t="inlineStr">
        <is>
          <t>KALMAR LÄN</t>
        </is>
      </c>
      <c r="E509" t="inlineStr">
        <is>
          <t>VIMMERBY</t>
        </is>
      </c>
      <c r="G509" t="n">
        <v>1.7</v>
      </c>
      <c r="H509" t="n">
        <v>0</v>
      </c>
      <c r="I509" t="n">
        <v>0</v>
      </c>
      <c r="J509" t="n">
        <v>0</v>
      </c>
      <c r="K509" t="n">
        <v>0</v>
      </c>
      <c r="L509" t="n">
        <v>0</v>
      </c>
      <c r="M509" t="n">
        <v>0</v>
      </c>
      <c r="N509" t="n">
        <v>0</v>
      </c>
      <c r="O509" t="n">
        <v>0</v>
      </c>
      <c r="P509" t="n">
        <v>0</v>
      </c>
      <c r="Q509" t="n">
        <v>0</v>
      </c>
      <c r="R509" s="2" t="inlineStr"/>
    </row>
    <row r="510" ht="15" customHeight="1">
      <c r="A510" t="inlineStr">
        <is>
          <t>A 55385-2025</t>
        </is>
      </c>
      <c r="B510" s="1" t="n">
        <v>45971.43350694444</v>
      </c>
      <c r="C510" s="1" t="n">
        <v>45982</v>
      </c>
      <c r="D510" t="inlineStr">
        <is>
          <t>KALMAR LÄN</t>
        </is>
      </c>
      <c r="E510" t="inlineStr">
        <is>
          <t>VIMMERBY</t>
        </is>
      </c>
      <c r="G510" t="n">
        <v>5</v>
      </c>
      <c r="H510" t="n">
        <v>0</v>
      </c>
      <c r="I510" t="n">
        <v>0</v>
      </c>
      <c r="J510" t="n">
        <v>0</v>
      </c>
      <c r="K510" t="n">
        <v>0</v>
      </c>
      <c r="L510" t="n">
        <v>0</v>
      </c>
      <c r="M510" t="n">
        <v>0</v>
      </c>
      <c r="N510" t="n">
        <v>0</v>
      </c>
      <c r="O510" t="n">
        <v>0</v>
      </c>
      <c r="P510" t="n">
        <v>0</v>
      </c>
      <c r="Q510" t="n">
        <v>0</v>
      </c>
      <c r="R510" s="2" t="inlineStr"/>
    </row>
    <row r="511" ht="15" customHeight="1">
      <c r="A511" t="inlineStr">
        <is>
          <t>A 36600-2025</t>
        </is>
      </c>
      <c r="B511" s="1" t="n">
        <v>45870.51958333333</v>
      </c>
      <c r="C511" s="1" t="n">
        <v>45982</v>
      </c>
      <c r="D511" t="inlineStr">
        <is>
          <t>KALMAR LÄN</t>
        </is>
      </c>
      <c r="E511" t="inlineStr">
        <is>
          <t>VIMMERBY</t>
        </is>
      </c>
      <c r="G511" t="n">
        <v>2</v>
      </c>
      <c r="H511" t="n">
        <v>0</v>
      </c>
      <c r="I511" t="n">
        <v>0</v>
      </c>
      <c r="J511" t="n">
        <v>0</v>
      </c>
      <c r="K511" t="n">
        <v>0</v>
      </c>
      <c r="L511" t="n">
        <v>0</v>
      </c>
      <c r="M511" t="n">
        <v>0</v>
      </c>
      <c r="N511" t="n">
        <v>0</v>
      </c>
      <c r="O511" t="n">
        <v>0</v>
      </c>
      <c r="P511" t="n">
        <v>0</v>
      </c>
      <c r="Q511" t="n">
        <v>0</v>
      </c>
      <c r="R511" s="2" t="inlineStr"/>
    </row>
    <row r="512" ht="15" customHeight="1">
      <c r="A512" t="inlineStr">
        <is>
          <t>A 36601-2025</t>
        </is>
      </c>
      <c r="B512" s="1" t="n">
        <v>45870.52005787037</v>
      </c>
      <c r="C512" s="1" t="n">
        <v>45982</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16015-2025</t>
        </is>
      </c>
      <c r="B513" s="1" t="n">
        <v>45749.60487268519</v>
      </c>
      <c r="C513" s="1" t="n">
        <v>45982</v>
      </c>
      <c r="D513" t="inlineStr">
        <is>
          <t>KALMAR LÄN</t>
        </is>
      </c>
      <c r="E513" t="inlineStr">
        <is>
          <t>VIMMERBY</t>
        </is>
      </c>
      <c r="F513" t="inlineStr">
        <is>
          <t>Kyrkan</t>
        </is>
      </c>
      <c r="G513" t="n">
        <v>2.7</v>
      </c>
      <c r="H513" t="n">
        <v>0</v>
      </c>
      <c r="I513" t="n">
        <v>0</v>
      </c>
      <c r="J513" t="n">
        <v>0</v>
      </c>
      <c r="K513" t="n">
        <v>0</v>
      </c>
      <c r="L513" t="n">
        <v>0</v>
      </c>
      <c r="M513" t="n">
        <v>0</v>
      </c>
      <c r="N513" t="n">
        <v>0</v>
      </c>
      <c r="O513" t="n">
        <v>0</v>
      </c>
      <c r="P513" t="n">
        <v>0</v>
      </c>
      <c r="Q513" t="n">
        <v>0</v>
      </c>
      <c r="R513" s="2" t="inlineStr"/>
    </row>
    <row r="514" ht="15" customHeight="1">
      <c r="A514" t="inlineStr">
        <is>
          <t>A 55604-2025</t>
        </is>
      </c>
      <c r="B514" s="1" t="n">
        <v>45971</v>
      </c>
      <c r="C514" s="1" t="n">
        <v>45982</v>
      </c>
      <c r="D514" t="inlineStr">
        <is>
          <t>KALMAR LÄN</t>
        </is>
      </c>
      <c r="E514" t="inlineStr">
        <is>
          <t>VIMMERBY</t>
        </is>
      </c>
      <c r="G514" t="n">
        <v>4.4</v>
      </c>
      <c r="H514" t="n">
        <v>0</v>
      </c>
      <c r="I514" t="n">
        <v>0</v>
      </c>
      <c r="J514" t="n">
        <v>0</v>
      </c>
      <c r="K514" t="n">
        <v>0</v>
      </c>
      <c r="L514" t="n">
        <v>0</v>
      </c>
      <c r="M514" t="n">
        <v>0</v>
      </c>
      <c r="N514" t="n">
        <v>0</v>
      </c>
      <c r="O514" t="n">
        <v>0</v>
      </c>
      <c r="P514" t="n">
        <v>0</v>
      </c>
      <c r="Q514" t="n">
        <v>0</v>
      </c>
      <c r="R514" s="2" t="inlineStr"/>
    </row>
    <row r="515" ht="15" customHeight="1">
      <c r="A515" t="inlineStr">
        <is>
          <t>A 9694-2023</t>
        </is>
      </c>
      <c r="B515" s="1" t="n">
        <v>44984.45895833334</v>
      </c>
      <c r="C515" s="1" t="n">
        <v>45982</v>
      </c>
      <c r="D515" t="inlineStr">
        <is>
          <t>KALMAR LÄN</t>
        </is>
      </c>
      <c r="E515" t="inlineStr">
        <is>
          <t>VIMMERBY</t>
        </is>
      </c>
      <c r="G515" t="n">
        <v>2.1</v>
      </c>
      <c r="H515" t="n">
        <v>0</v>
      </c>
      <c r="I515" t="n">
        <v>0</v>
      </c>
      <c r="J515" t="n">
        <v>0</v>
      </c>
      <c r="K515" t="n">
        <v>0</v>
      </c>
      <c r="L515" t="n">
        <v>0</v>
      </c>
      <c r="M515" t="n">
        <v>0</v>
      </c>
      <c r="N515" t="n">
        <v>0</v>
      </c>
      <c r="O515" t="n">
        <v>0</v>
      </c>
      <c r="P515" t="n">
        <v>0</v>
      </c>
      <c r="Q515" t="n">
        <v>0</v>
      </c>
      <c r="R515" s="2" t="inlineStr"/>
    </row>
    <row r="516" ht="15" customHeight="1">
      <c r="A516" t="inlineStr">
        <is>
          <t>A 55602-2025</t>
        </is>
      </c>
      <c r="B516" s="1" t="n">
        <v>45971</v>
      </c>
      <c r="C516" s="1" t="n">
        <v>45982</v>
      </c>
      <c r="D516" t="inlineStr">
        <is>
          <t>KALMAR LÄN</t>
        </is>
      </c>
      <c r="E516" t="inlineStr">
        <is>
          <t>VIMMERBY</t>
        </is>
      </c>
      <c r="G516" t="n">
        <v>2.7</v>
      </c>
      <c r="H516" t="n">
        <v>0</v>
      </c>
      <c r="I516" t="n">
        <v>0</v>
      </c>
      <c r="J516" t="n">
        <v>0</v>
      </c>
      <c r="K516" t="n">
        <v>0</v>
      </c>
      <c r="L516" t="n">
        <v>0</v>
      </c>
      <c r="M516" t="n">
        <v>0</v>
      </c>
      <c r="N516" t="n">
        <v>0</v>
      </c>
      <c r="O516" t="n">
        <v>0</v>
      </c>
      <c r="P516" t="n">
        <v>0</v>
      </c>
      <c r="Q516" t="n">
        <v>0</v>
      </c>
      <c r="R516" s="2" t="inlineStr"/>
    </row>
    <row r="517" ht="15" customHeight="1">
      <c r="A517" t="inlineStr">
        <is>
          <t>A 37088-2025</t>
        </is>
      </c>
      <c r="B517" s="1" t="n">
        <v>45875.45716435185</v>
      </c>
      <c r="C517" s="1" t="n">
        <v>45982</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37102-2025</t>
        </is>
      </c>
      <c r="B518" s="1" t="n">
        <v>45875.47454861111</v>
      </c>
      <c r="C518" s="1" t="n">
        <v>45982</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22198-2024</t>
        </is>
      </c>
      <c r="B519" s="1" t="n">
        <v>45446.36865740741</v>
      </c>
      <c r="C519" s="1" t="n">
        <v>45982</v>
      </c>
      <c r="D519" t="inlineStr">
        <is>
          <t>KALMAR LÄN</t>
        </is>
      </c>
      <c r="E519" t="inlineStr">
        <is>
          <t>VIMMERBY</t>
        </is>
      </c>
      <c r="F519" t="inlineStr">
        <is>
          <t>Sveaskog</t>
        </is>
      </c>
      <c r="G519" t="n">
        <v>2.3</v>
      </c>
      <c r="H519" t="n">
        <v>0</v>
      </c>
      <c r="I519" t="n">
        <v>0</v>
      </c>
      <c r="J519" t="n">
        <v>0</v>
      </c>
      <c r="K519" t="n">
        <v>0</v>
      </c>
      <c r="L519" t="n">
        <v>0</v>
      </c>
      <c r="M519" t="n">
        <v>0</v>
      </c>
      <c r="N519" t="n">
        <v>0</v>
      </c>
      <c r="O519" t="n">
        <v>0</v>
      </c>
      <c r="P519" t="n">
        <v>0</v>
      </c>
      <c r="Q519" t="n">
        <v>0</v>
      </c>
      <c r="R519" s="2" t="inlineStr"/>
    </row>
    <row r="520" ht="15" customHeight="1">
      <c r="A520" t="inlineStr">
        <is>
          <t>A 47227-2025</t>
        </is>
      </c>
      <c r="B520" s="1" t="n">
        <v>45930.39769675926</v>
      </c>
      <c r="C520" s="1" t="n">
        <v>45982</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37079-2025</t>
        </is>
      </c>
      <c r="B521" s="1" t="n">
        <v>45875.42716435185</v>
      </c>
      <c r="C521" s="1" t="n">
        <v>45982</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57311-2023</t>
        </is>
      </c>
      <c r="B522" s="1" t="n">
        <v>45245.63574074074</v>
      </c>
      <c r="C522" s="1" t="n">
        <v>45982</v>
      </c>
      <c r="D522" t="inlineStr">
        <is>
          <t>KALMAR LÄN</t>
        </is>
      </c>
      <c r="E522" t="inlineStr">
        <is>
          <t>VIMMERBY</t>
        </is>
      </c>
      <c r="G522" t="n">
        <v>1.6</v>
      </c>
      <c r="H522" t="n">
        <v>0</v>
      </c>
      <c r="I522" t="n">
        <v>0</v>
      </c>
      <c r="J522" t="n">
        <v>0</v>
      </c>
      <c r="K522" t="n">
        <v>0</v>
      </c>
      <c r="L522" t="n">
        <v>0</v>
      </c>
      <c r="M522" t="n">
        <v>0</v>
      </c>
      <c r="N522" t="n">
        <v>0</v>
      </c>
      <c r="O522" t="n">
        <v>0</v>
      </c>
      <c r="P522" t="n">
        <v>0</v>
      </c>
      <c r="Q522" t="n">
        <v>0</v>
      </c>
      <c r="R522" s="2" t="inlineStr"/>
    </row>
    <row r="523" ht="15" customHeight="1">
      <c r="A523" t="inlineStr">
        <is>
          <t>A 12588-2025</t>
        </is>
      </c>
      <c r="B523" s="1" t="n">
        <v>45732.76936342593</v>
      </c>
      <c r="C523" s="1" t="n">
        <v>45982</v>
      </c>
      <c r="D523" t="inlineStr">
        <is>
          <t>KALMAR LÄN</t>
        </is>
      </c>
      <c r="E523" t="inlineStr">
        <is>
          <t>VIMMERBY</t>
        </is>
      </c>
      <c r="G523" t="n">
        <v>1.6</v>
      </c>
      <c r="H523" t="n">
        <v>0</v>
      </c>
      <c r="I523" t="n">
        <v>0</v>
      </c>
      <c r="J523" t="n">
        <v>0</v>
      </c>
      <c r="K523" t="n">
        <v>0</v>
      </c>
      <c r="L523" t="n">
        <v>0</v>
      </c>
      <c r="M523" t="n">
        <v>0</v>
      </c>
      <c r="N523" t="n">
        <v>0</v>
      </c>
      <c r="O523" t="n">
        <v>0</v>
      </c>
      <c r="P523" t="n">
        <v>0</v>
      </c>
      <c r="Q523" t="n">
        <v>0</v>
      </c>
      <c r="R523" s="2" t="inlineStr"/>
    </row>
    <row r="524" ht="15" customHeight="1">
      <c r="A524" t="inlineStr">
        <is>
          <t>A 36934-2025</t>
        </is>
      </c>
      <c r="B524" s="1" t="n">
        <v>45874.57109953704</v>
      </c>
      <c r="C524" s="1" t="n">
        <v>45982</v>
      </c>
      <c r="D524" t="inlineStr">
        <is>
          <t>KALMAR LÄN</t>
        </is>
      </c>
      <c r="E524" t="inlineStr">
        <is>
          <t>VIMMERBY</t>
        </is>
      </c>
      <c r="G524" t="n">
        <v>4.2</v>
      </c>
      <c r="H524" t="n">
        <v>0</v>
      </c>
      <c r="I524" t="n">
        <v>0</v>
      </c>
      <c r="J524" t="n">
        <v>0</v>
      </c>
      <c r="K524" t="n">
        <v>0</v>
      </c>
      <c r="L524" t="n">
        <v>0</v>
      </c>
      <c r="M524" t="n">
        <v>0</v>
      </c>
      <c r="N524" t="n">
        <v>0</v>
      </c>
      <c r="O524" t="n">
        <v>0</v>
      </c>
      <c r="P524" t="n">
        <v>0</v>
      </c>
      <c r="Q524" t="n">
        <v>0</v>
      </c>
      <c r="R524" s="2" t="inlineStr"/>
    </row>
    <row r="525" ht="15" customHeight="1">
      <c r="A525" t="inlineStr">
        <is>
          <t>A 7932-2025</t>
        </is>
      </c>
      <c r="B525" s="1" t="n">
        <v>45707.3793287037</v>
      </c>
      <c r="C525" s="1" t="n">
        <v>45982</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37578-2025</t>
        </is>
      </c>
      <c r="B526" s="1" t="n">
        <v>45880.38380787037</v>
      </c>
      <c r="C526" s="1" t="n">
        <v>45982</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2121-2022</t>
        </is>
      </c>
      <c r="B527" s="1" t="n">
        <v>44578.32717592592</v>
      </c>
      <c r="C527" s="1" t="n">
        <v>45982</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34386-2024</t>
        </is>
      </c>
      <c r="B528" s="1" t="n">
        <v>45525.41762731481</v>
      </c>
      <c r="C528" s="1" t="n">
        <v>45982</v>
      </c>
      <c r="D528" t="inlineStr">
        <is>
          <t>KALMAR LÄN</t>
        </is>
      </c>
      <c r="E528" t="inlineStr">
        <is>
          <t>VIMMERBY</t>
        </is>
      </c>
      <c r="G528" t="n">
        <v>0.3</v>
      </c>
      <c r="H528" t="n">
        <v>0</v>
      </c>
      <c r="I528" t="n">
        <v>0</v>
      </c>
      <c r="J528" t="n">
        <v>0</v>
      </c>
      <c r="K528" t="n">
        <v>0</v>
      </c>
      <c r="L528" t="n">
        <v>0</v>
      </c>
      <c r="M528" t="n">
        <v>0</v>
      </c>
      <c r="N528" t="n">
        <v>0</v>
      </c>
      <c r="O528" t="n">
        <v>0</v>
      </c>
      <c r="P528" t="n">
        <v>0</v>
      </c>
      <c r="Q528" t="n">
        <v>0</v>
      </c>
      <c r="R528" s="2" t="inlineStr"/>
    </row>
    <row r="529" ht="15" customHeight="1">
      <c r="A529" t="inlineStr">
        <is>
          <t>A 55603-2025</t>
        </is>
      </c>
      <c r="B529" s="1" t="n">
        <v>45971</v>
      </c>
      <c r="C529" s="1" t="n">
        <v>45982</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55605-2025</t>
        </is>
      </c>
      <c r="B530" s="1" t="n">
        <v>45971</v>
      </c>
      <c r="C530" s="1" t="n">
        <v>45982</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6069-2023</t>
        </is>
      </c>
      <c r="B531" s="1" t="n">
        <v>44964.5115162037</v>
      </c>
      <c r="C531" s="1" t="n">
        <v>45982</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48299-2025</t>
        </is>
      </c>
      <c r="B532" s="1" t="n">
        <v>45933.60982638889</v>
      </c>
      <c r="C532" s="1" t="n">
        <v>45982</v>
      </c>
      <c r="D532" t="inlineStr">
        <is>
          <t>KALMAR LÄN</t>
        </is>
      </c>
      <c r="E532" t="inlineStr">
        <is>
          <t>VIMMERBY</t>
        </is>
      </c>
      <c r="G532" t="n">
        <v>1.8</v>
      </c>
      <c r="H532" t="n">
        <v>0</v>
      </c>
      <c r="I532" t="n">
        <v>0</v>
      </c>
      <c r="J532" t="n">
        <v>0</v>
      </c>
      <c r="K532" t="n">
        <v>0</v>
      </c>
      <c r="L532" t="n">
        <v>0</v>
      </c>
      <c r="M532" t="n">
        <v>0</v>
      </c>
      <c r="N532" t="n">
        <v>0</v>
      </c>
      <c r="O532" t="n">
        <v>0</v>
      </c>
      <c r="P532" t="n">
        <v>0</v>
      </c>
      <c r="Q532" t="n">
        <v>0</v>
      </c>
      <c r="R532" s="2" t="inlineStr"/>
    </row>
    <row r="533" ht="15" customHeight="1">
      <c r="A533" t="inlineStr">
        <is>
          <t>A 37668-2025</t>
        </is>
      </c>
      <c r="B533" s="1" t="n">
        <v>45880.51550925926</v>
      </c>
      <c r="C533" s="1" t="n">
        <v>45982</v>
      </c>
      <c r="D533" t="inlineStr">
        <is>
          <t>KALMAR LÄN</t>
        </is>
      </c>
      <c r="E533" t="inlineStr">
        <is>
          <t>VIMMERBY</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32633-2023</t>
        </is>
      </c>
      <c r="B534" s="1" t="n">
        <v>45121.58699074074</v>
      </c>
      <c r="C534" s="1" t="n">
        <v>45982</v>
      </c>
      <c r="D534" t="inlineStr">
        <is>
          <t>KALMAR LÄN</t>
        </is>
      </c>
      <c r="E534" t="inlineStr">
        <is>
          <t>VIMMERBY</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37939-2025</t>
        </is>
      </c>
      <c r="B535" s="1" t="n">
        <v>45881.59877314815</v>
      </c>
      <c r="C535" s="1" t="n">
        <v>45982</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37866-2025</t>
        </is>
      </c>
      <c r="B536" s="1" t="n">
        <v>45881</v>
      </c>
      <c r="C536" s="1" t="n">
        <v>45982</v>
      </c>
      <c r="D536" t="inlineStr">
        <is>
          <t>KALMAR LÄN</t>
        </is>
      </c>
      <c r="E536" t="inlineStr">
        <is>
          <t>VIMMERBY</t>
        </is>
      </c>
      <c r="G536" t="n">
        <v>3.4</v>
      </c>
      <c r="H536" t="n">
        <v>0</v>
      </c>
      <c r="I536" t="n">
        <v>0</v>
      </c>
      <c r="J536" t="n">
        <v>0</v>
      </c>
      <c r="K536" t="n">
        <v>0</v>
      </c>
      <c r="L536" t="n">
        <v>0</v>
      </c>
      <c r="M536" t="n">
        <v>0</v>
      </c>
      <c r="N536" t="n">
        <v>0</v>
      </c>
      <c r="O536" t="n">
        <v>0</v>
      </c>
      <c r="P536" t="n">
        <v>0</v>
      </c>
      <c r="Q536" t="n">
        <v>0</v>
      </c>
      <c r="R536" s="2" t="inlineStr"/>
    </row>
    <row r="537" ht="15" customHeight="1">
      <c r="A537" t="inlineStr">
        <is>
          <t>A 49461-2023</t>
        </is>
      </c>
      <c r="B537" s="1" t="n">
        <v>45211.52642361111</v>
      </c>
      <c r="C537" s="1" t="n">
        <v>45982</v>
      </c>
      <c r="D537" t="inlineStr">
        <is>
          <t>KALMAR LÄN</t>
        </is>
      </c>
      <c r="E537" t="inlineStr">
        <is>
          <t>VIMMERBY</t>
        </is>
      </c>
      <c r="G537" t="n">
        <v>1.5</v>
      </c>
      <c r="H537" t="n">
        <v>0</v>
      </c>
      <c r="I537" t="n">
        <v>0</v>
      </c>
      <c r="J537" t="n">
        <v>0</v>
      </c>
      <c r="K537" t="n">
        <v>0</v>
      </c>
      <c r="L537" t="n">
        <v>0</v>
      </c>
      <c r="M537" t="n">
        <v>0</v>
      </c>
      <c r="N537" t="n">
        <v>0</v>
      </c>
      <c r="O537" t="n">
        <v>0</v>
      </c>
      <c r="P537" t="n">
        <v>0</v>
      </c>
      <c r="Q537" t="n">
        <v>0</v>
      </c>
      <c r="R537" s="2" t="inlineStr"/>
    </row>
    <row r="538" ht="15" customHeight="1">
      <c r="A538" t="inlineStr">
        <is>
          <t>A 23095-2023</t>
        </is>
      </c>
      <c r="B538" s="1" t="n">
        <v>45075.43059027778</v>
      </c>
      <c r="C538" s="1" t="n">
        <v>45982</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11429-2022</t>
        </is>
      </c>
      <c r="B539" s="1" t="n">
        <v>44630</v>
      </c>
      <c r="C539" s="1" t="n">
        <v>45982</v>
      </c>
      <c r="D539" t="inlineStr">
        <is>
          <t>KALMAR LÄN</t>
        </is>
      </c>
      <c r="E539" t="inlineStr">
        <is>
          <t>VIMMERBY</t>
        </is>
      </c>
      <c r="G539" t="n">
        <v>2.6</v>
      </c>
      <c r="H539" t="n">
        <v>0</v>
      </c>
      <c r="I539" t="n">
        <v>0</v>
      </c>
      <c r="J539" t="n">
        <v>0</v>
      </c>
      <c r="K539" t="n">
        <v>0</v>
      </c>
      <c r="L539" t="n">
        <v>0</v>
      </c>
      <c r="M539" t="n">
        <v>0</v>
      </c>
      <c r="N539" t="n">
        <v>0</v>
      </c>
      <c r="O539" t="n">
        <v>0</v>
      </c>
      <c r="P539" t="n">
        <v>0</v>
      </c>
      <c r="Q539" t="n">
        <v>0</v>
      </c>
      <c r="R539" s="2" t="inlineStr"/>
    </row>
    <row r="540" ht="15" customHeight="1">
      <c r="A540" t="inlineStr">
        <is>
          <t>A 47965-2025</t>
        </is>
      </c>
      <c r="B540" s="1" t="n">
        <v>45932.59597222223</v>
      </c>
      <c r="C540" s="1" t="n">
        <v>45982</v>
      </c>
      <c r="D540" t="inlineStr">
        <is>
          <t>KALMAR LÄN</t>
        </is>
      </c>
      <c r="E540" t="inlineStr">
        <is>
          <t>VIMMERBY</t>
        </is>
      </c>
      <c r="G540" t="n">
        <v>2.2</v>
      </c>
      <c r="H540" t="n">
        <v>0</v>
      </c>
      <c r="I540" t="n">
        <v>0</v>
      </c>
      <c r="J540" t="n">
        <v>0</v>
      </c>
      <c r="K540" t="n">
        <v>0</v>
      </c>
      <c r="L540" t="n">
        <v>0</v>
      </c>
      <c r="M540" t="n">
        <v>0</v>
      </c>
      <c r="N540" t="n">
        <v>0</v>
      </c>
      <c r="O540" t="n">
        <v>0</v>
      </c>
      <c r="P540" t="n">
        <v>0</v>
      </c>
      <c r="Q540" t="n">
        <v>0</v>
      </c>
      <c r="R540" s="2" t="inlineStr"/>
    </row>
    <row r="541" ht="15" customHeight="1">
      <c r="A541" t="inlineStr">
        <is>
          <t>A 11141-2024</t>
        </is>
      </c>
      <c r="B541" s="1" t="n">
        <v>45371.45865740741</v>
      </c>
      <c r="C541" s="1" t="n">
        <v>45982</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28395-2023</t>
        </is>
      </c>
      <c r="B542" s="1" t="n">
        <v>45100.4062962963</v>
      </c>
      <c r="C542" s="1" t="n">
        <v>45982</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34597-2022</t>
        </is>
      </c>
      <c r="B543" s="1" t="n">
        <v>44795</v>
      </c>
      <c r="C543" s="1" t="n">
        <v>45982</v>
      </c>
      <c r="D543" t="inlineStr">
        <is>
          <t>KALMAR LÄN</t>
        </is>
      </c>
      <c r="E543" t="inlineStr">
        <is>
          <t>VIMMERBY</t>
        </is>
      </c>
      <c r="G543" t="n">
        <v>2.2</v>
      </c>
      <c r="H543" t="n">
        <v>0</v>
      </c>
      <c r="I543" t="n">
        <v>0</v>
      </c>
      <c r="J543" t="n">
        <v>0</v>
      </c>
      <c r="K543" t="n">
        <v>0</v>
      </c>
      <c r="L543" t="n">
        <v>0</v>
      </c>
      <c r="M543" t="n">
        <v>0</v>
      </c>
      <c r="N543" t="n">
        <v>0</v>
      </c>
      <c r="O543" t="n">
        <v>0</v>
      </c>
      <c r="P543" t="n">
        <v>0</v>
      </c>
      <c r="Q543" t="n">
        <v>0</v>
      </c>
      <c r="R543" s="2" t="inlineStr"/>
    </row>
    <row r="544" ht="15" customHeight="1">
      <c r="A544" t="inlineStr">
        <is>
          <t>A 38964-2025</t>
        </is>
      </c>
      <c r="B544" s="1" t="n">
        <v>45887.68759259259</v>
      </c>
      <c r="C544" s="1" t="n">
        <v>45982</v>
      </c>
      <c r="D544" t="inlineStr">
        <is>
          <t>KALMAR LÄN</t>
        </is>
      </c>
      <c r="E544" t="inlineStr">
        <is>
          <t>VIMMERBY</t>
        </is>
      </c>
      <c r="G544" t="n">
        <v>7.5</v>
      </c>
      <c r="H544" t="n">
        <v>0</v>
      </c>
      <c r="I544" t="n">
        <v>0</v>
      </c>
      <c r="J544" t="n">
        <v>0</v>
      </c>
      <c r="K544" t="n">
        <v>0</v>
      </c>
      <c r="L544" t="n">
        <v>0</v>
      </c>
      <c r="M544" t="n">
        <v>0</v>
      </c>
      <c r="N544" t="n">
        <v>0</v>
      </c>
      <c r="O544" t="n">
        <v>0</v>
      </c>
      <c r="P544" t="n">
        <v>0</v>
      </c>
      <c r="Q544" t="n">
        <v>0</v>
      </c>
      <c r="R544" s="2" t="inlineStr"/>
    </row>
    <row r="545" ht="15" customHeight="1">
      <c r="A545" t="inlineStr">
        <is>
          <t>A 64428-2023</t>
        </is>
      </c>
      <c r="B545" s="1" t="n">
        <v>45280.66769675926</v>
      </c>
      <c r="C545" s="1" t="n">
        <v>45982</v>
      </c>
      <c r="D545" t="inlineStr">
        <is>
          <t>KALMAR LÄN</t>
        </is>
      </c>
      <c r="E545" t="inlineStr">
        <is>
          <t>VIMMERBY</t>
        </is>
      </c>
      <c r="G545" t="n">
        <v>1.2</v>
      </c>
      <c r="H545" t="n">
        <v>0</v>
      </c>
      <c r="I545" t="n">
        <v>0</v>
      </c>
      <c r="J545" t="n">
        <v>0</v>
      </c>
      <c r="K545" t="n">
        <v>0</v>
      </c>
      <c r="L545" t="n">
        <v>0</v>
      </c>
      <c r="M545" t="n">
        <v>0</v>
      </c>
      <c r="N545" t="n">
        <v>0</v>
      </c>
      <c r="O545" t="n">
        <v>0</v>
      </c>
      <c r="P545" t="n">
        <v>0</v>
      </c>
      <c r="Q545" t="n">
        <v>0</v>
      </c>
      <c r="R545" s="2" t="inlineStr"/>
    </row>
    <row r="546" ht="15" customHeight="1">
      <c r="A546" t="inlineStr">
        <is>
          <t>A 30588-2023</t>
        </is>
      </c>
      <c r="B546" s="1" t="n">
        <v>45112.33599537037</v>
      </c>
      <c r="C546" s="1" t="n">
        <v>45982</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30503-2023</t>
        </is>
      </c>
      <c r="B547" s="1" t="n">
        <v>45111</v>
      </c>
      <c r="C547" s="1" t="n">
        <v>45982</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47955-2025</t>
        </is>
      </c>
      <c r="B548" s="1" t="n">
        <v>45932.58896990741</v>
      </c>
      <c r="C548" s="1" t="n">
        <v>45982</v>
      </c>
      <c r="D548" t="inlineStr">
        <is>
          <t>KALMAR LÄN</t>
        </is>
      </c>
      <c r="E548" t="inlineStr">
        <is>
          <t>VIMMERBY</t>
        </is>
      </c>
      <c r="G548" t="n">
        <v>3.4</v>
      </c>
      <c r="H548" t="n">
        <v>0</v>
      </c>
      <c r="I548" t="n">
        <v>0</v>
      </c>
      <c r="J548" t="n">
        <v>0</v>
      </c>
      <c r="K548" t="n">
        <v>0</v>
      </c>
      <c r="L548" t="n">
        <v>0</v>
      </c>
      <c r="M548" t="n">
        <v>0</v>
      </c>
      <c r="N548" t="n">
        <v>0</v>
      </c>
      <c r="O548" t="n">
        <v>0</v>
      </c>
      <c r="P548" t="n">
        <v>0</v>
      </c>
      <c r="Q548" t="n">
        <v>0</v>
      </c>
      <c r="R548" s="2" t="inlineStr"/>
    </row>
    <row r="549" ht="15" customHeight="1">
      <c r="A549" t="inlineStr">
        <is>
          <t>A 48723-2025</t>
        </is>
      </c>
      <c r="B549" s="1" t="n">
        <v>45936.65121527778</v>
      </c>
      <c r="C549" s="1" t="n">
        <v>45982</v>
      </c>
      <c r="D549" t="inlineStr">
        <is>
          <t>KALMAR LÄN</t>
        </is>
      </c>
      <c r="E549" t="inlineStr">
        <is>
          <t>VIMMERBY</t>
        </is>
      </c>
      <c r="G549" t="n">
        <v>3</v>
      </c>
      <c r="H549" t="n">
        <v>0</v>
      </c>
      <c r="I549" t="n">
        <v>0</v>
      </c>
      <c r="J549" t="n">
        <v>0</v>
      </c>
      <c r="K549" t="n">
        <v>0</v>
      </c>
      <c r="L549" t="n">
        <v>0</v>
      </c>
      <c r="M549" t="n">
        <v>0</v>
      </c>
      <c r="N549" t="n">
        <v>0</v>
      </c>
      <c r="O549" t="n">
        <v>0</v>
      </c>
      <c r="P549" t="n">
        <v>0</v>
      </c>
      <c r="Q549" t="n">
        <v>0</v>
      </c>
      <c r="R549" s="2" t="inlineStr"/>
    </row>
    <row r="550" ht="15" customHeight="1">
      <c r="A550" t="inlineStr">
        <is>
          <t>A 48712-2025</t>
        </is>
      </c>
      <c r="B550" s="1" t="n">
        <v>45936.63373842592</v>
      </c>
      <c r="C550" s="1" t="n">
        <v>45982</v>
      </c>
      <c r="D550" t="inlineStr">
        <is>
          <t>KALMAR LÄN</t>
        </is>
      </c>
      <c r="E550" t="inlineStr">
        <is>
          <t>VIMMERBY</t>
        </is>
      </c>
      <c r="G550" t="n">
        <v>3</v>
      </c>
      <c r="H550" t="n">
        <v>0</v>
      </c>
      <c r="I550" t="n">
        <v>0</v>
      </c>
      <c r="J550" t="n">
        <v>0</v>
      </c>
      <c r="K550" t="n">
        <v>0</v>
      </c>
      <c r="L550" t="n">
        <v>0</v>
      </c>
      <c r="M550" t="n">
        <v>0</v>
      </c>
      <c r="N550" t="n">
        <v>0</v>
      </c>
      <c r="O550" t="n">
        <v>0</v>
      </c>
      <c r="P550" t="n">
        <v>0</v>
      </c>
      <c r="Q550" t="n">
        <v>0</v>
      </c>
      <c r="R550" s="2" t="inlineStr"/>
    </row>
    <row r="551" ht="15" customHeight="1">
      <c r="A551" t="inlineStr">
        <is>
          <t>A 47263-2023</t>
        </is>
      </c>
      <c r="B551" s="1" t="n">
        <v>45202.4209837963</v>
      </c>
      <c r="C551" s="1" t="n">
        <v>45982</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58100-2024</t>
        </is>
      </c>
      <c r="B552" s="1" t="n">
        <v>45632.36706018518</v>
      </c>
      <c r="C552" s="1" t="n">
        <v>45982</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58159-2024</t>
        </is>
      </c>
      <c r="B553" s="1" t="n">
        <v>45632.44886574074</v>
      </c>
      <c r="C553" s="1" t="n">
        <v>45982</v>
      </c>
      <c r="D553" t="inlineStr">
        <is>
          <t>KALMAR LÄN</t>
        </is>
      </c>
      <c r="E553" t="inlineStr">
        <is>
          <t>VIMMERBY</t>
        </is>
      </c>
      <c r="G553" t="n">
        <v>7.5</v>
      </c>
      <c r="H553" t="n">
        <v>0</v>
      </c>
      <c r="I553" t="n">
        <v>0</v>
      </c>
      <c r="J553" t="n">
        <v>0</v>
      </c>
      <c r="K553" t="n">
        <v>0</v>
      </c>
      <c r="L553" t="n">
        <v>0</v>
      </c>
      <c r="M553" t="n">
        <v>0</v>
      </c>
      <c r="N553" t="n">
        <v>0</v>
      </c>
      <c r="O553" t="n">
        <v>0</v>
      </c>
      <c r="P553" t="n">
        <v>0</v>
      </c>
      <c r="Q553" t="n">
        <v>0</v>
      </c>
      <c r="R553" s="2" t="inlineStr"/>
    </row>
    <row r="554" ht="15" customHeight="1">
      <c r="A554" t="inlineStr">
        <is>
          <t>A 48408-2025</t>
        </is>
      </c>
      <c r="B554" s="1" t="n">
        <v>45934.40527777778</v>
      </c>
      <c r="C554" s="1" t="n">
        <v>45982</v>
      </c>
      <c r="D554" t="inlineStr">
        <is>
          <t>KALMAR LÄN</t>
        </is>
      </c>
      <c r="E554" t="inlineStr">
        <is>
          <t>VIMMERBY</t>
        </is>
      </c>
      <c r="G554" t="n">
        <v>2.4</v>
      </c>
      <c r="H554" t="n">
        <v>0</v>
      </c>
      <c r="I554" t="n">
        <v>0</v>
      </c>
      <c r="J554" t="n">
        <v>0</v>
      </c>
      <c r="K554" t="n">
        <v>0</v>
      </c>
      <c r="L554" t="n">
        <v>0</v>
      </c>
      <c r="M554" t="n">
        <v>0</v>
      </c>
      <c r="N554" t="n">
        <v>0</v>
      </c>
      <c r="O554" t="n">
        <v>0</v>
      </c>
      <c r="P554" t="n">
        <v>0</v>
      </c>
      <c r="Q554" t="n">
        <v>0</v>
      </c>
      <c r="R554" s="2" t="inlineStr"/>
    </row>
    <row r="555" ht="15" customHeight="1">
      <c r="A555" t="inlineStr">
        <is>
          <t>A 57114-2023</t>
        </is>
      </c>
      <c r="B555" s="1" t="n">
        <v>45245.36174768519</v>
      </c>
      <c r="C555" s="1" t="n">
        <v>45982</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3423-2022</t>
        </is>
      </c>
      <c r="B556" s="1" t="n">
        <v>44585.50431712963</v>
      </c>
      <c r="C556" s="1" t="n">
        <v>45982</v>
      </c>
      <c r="D556" t="inlineStr">
        <is>
          <t>KALMAR LÄN</t>
        </is>
      </c>
      <c r="E556" t="inlineStr">
        <is>
          <t>VIMMERBY</t>
        </is>
      </c>
      <c r="G556" t="n">
        <v>1.7</v>
      </c>
      <c r="H556" t="n">
        <v>0</v>
      </c>
      <c r="I556" t="n">
        <v>0</v>
      </c>
      <c r="J556" t="n">
        <v>0</v>
      </c>
      <c r="K556" t="n">
        <v>0</v>
      </c>
      <c r="L556" t="n">
        <v>0</v>
      </c>
      <c r="M556" t="n">
        <v>0</v>
      </c>
      <c r="N556" t="n">
        <v>0</v>
      </c>
      <c r="O556" t="n">
        <v>0</v>
      </c>
      <c r="P556" t="n">
        <v>0</v>
      </c>
      <c r="Q556" t="n">
        <v>0</v>
      </c>
      <c r="R556" s="2" t="inlineStr"/>
    </row>
    <row r="557" ht="15" customHeight="1">
      <c r="A557" t="inlineStr">
        <is>
          <t>A 40665-2023</t>
        </is>
      </c>
      <c r="B557" s="1" t="n">
        <v>45170</v>
      </c>
      <c r="C557" s="1" t="n">
        <v>45982</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53789-2025</t>
        </is>
      </c>
      <c r="B558" s="1" t="n">
        <v>45960</v>
      </c>
      <c r="C558" s="1" t="n">
        <v>45982</v>
      </c>
      <c r="D558" t="inlineStr">
        <is>
          <t>KALMAR LÄN</t>
        </is>
      </c>
      <c r="E558" t="inlineStr">
        <is>
          <t>VIMMERBY</t>
        </is>
      </c>
      <c r="F558" t="inlineStr">
        <is>
          <t>Övriga statliga verk och myndigheter</t>
        </is>
      </c>
      <c r="G558" t="n">
        <v>1.6</v>
      </c>
      <c r="H558" t="n">
        <v>0</v>
      </c>
      <c r="I558" t="n">
        <v>0</v>
      </c>
      <c r="J558" t="n">
        <v>0</v>
      </c>
      <c r="K558" t="n">
        <v>0</v>
      </c>
      <c r="L558" t="n">
        <v>0</v>
      </c>
      <c r="M558" t="n">
        <v>0</v>
      </c>
      <c r="N558" t="n">
        <v>0</v>
      </c>
      <c r="O558" t="n">
        <v>0</v>
      </c>
      <c r="P558" t="n">
        <v>0</v>
      </c>
      <c r="Q558" t="n">
        <v>0</v>
      </c>
      <c r="R558" s="2" t="inlineStr"/>
    </row>
    <row r="559" ht="15" customHeight="1">
      <c r="A559" t="inlineStr">
        <is>
          <t>A 48409-2025</t>
        </is>
      </c>
      <c r="B559" s="1" t="n">
        <v>45934.41387731482</v>
      </c>
      <c r="C559" s="1" t="n">
        <v>45982</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48600-2025</t>
        </is>
      </c>
      <c r="B560" s="1" t="n">
        <v>45935</v>
      </c>
      <c r="C560" s="1" t="n">
        <v>45982</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50860-2022</t>
        </is>
      </c>
      <c r="B561" s="1" t="n">
        <v>44867</v>
      </c>
      <c r="C561" s="1" t="n">
        <v>45982</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25370-2022</t>
        </is>
      </c>
      <c r="B562" s="1" t="n">
        <v>44732.3659837963</v>
      </c>
      <c r="C562" s="1" t="n">
        <v>45982</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58577-2024</t>
        </is>
      </c>
      <c r="B563" s="1" t="n">
        <v>45635.4874537037</v>
      </c>
      <c r="C563" s="1" t="n">
        <v>45982</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29440-2024</t>
        </is>
      </c>
      <c r="B564" s="1" t="n">
        <v>45483.82479166667</v>
      </c>
      <c r="C564" s="1" t="n">
        <v>45982</v>
      </c>
      <c r="D564" t="inlineStr">
        <is>
          <t>KALMAR LÄN</t>
        </is>
      </c>
      <c r="E564" t="inlineStr">
        <is>
          <t>VIMMERBY</t>
        </is>
      </c>
      <c r="G564" t="n">
        <v>4.5</v>
      </c>
      <c r="H564" t="n">
        <v>0</v>
      </c>
      <c r="I564" t="n">
        <v>0</v>
      </c>
      <c r="J564" t="n">
        <v>0</v>
      </c>
      <c r="K564" t="n">
        <v>0</v>
      </c>
      <c r="L564" t="n">
        <v>0</v>
      </c>
      <c r="M564" t="n">
        <v>0</v>
      </c>
      <c r="N564" t="n">
        <v>0</v>
      </c>
      <c r="O564" t="n">
        <v>0</v>
      </c>
      <c r="P564" t="n">
        <v>0</v>
      </c>
      <c r="Q564" t="n">
        <v>0</v>
      </c>
      <c r="R564" s="2" t="inlineStr"/>
    </row>
    <row r="565" ht="15" customHeight="1">
      <c r="A565" t="inlineStr">
        <is>
          <t>A 9129-2025</t>
        </is>
      </c>
      <c r="B565" s="1" t="n">
        <v>45713.92412037037</v>
      </c>
      <c r="C565" s="1" t="n">
        <v>45982</v>
      </c>
      <c r="D565" t="inlineStr">
        <is>
          <t>KALMAR LÄN</t>
        </is>
      </c>
      <c r="E565" t="inlineStr">
        <is>
          <t>VIMMERBY</t>
        </is>
      </c>
      <c r="G565" t="n">
        <v>2.8</v>
      </c>
      <c r="H565" t="n">
        <v>0</v>
      </c>
      <c r="I565" t="n">
        <v>0</v>
      </c>
      <c r="J565" t="n">
        <v>0</v>
      </c>
      <c r="K565" t="n">
        <v>0</v>
      </c>
      <c r="L565" t="n">
        <v>0</v>
      </c>
      <c r="M565" t="n">
        <v>0</v>
      </c>
      <c r="N565" t="n">
        <v>0</v>
      </c>
      <c r="O565" t="n">
        <v>0</v>
      </c>
      <c r="P565" t="n">
        <v>0</v>
      </c>
      <c r="Q565" t="n">
        <v>0</v>
      </c>
      <c r="R565" s="2" t="inlineStr"/>
    </row>
    <row r="566" ht="15" customHeight="1">
      <c r="A566" t="inlineStr">
        <is>
          <t>A 22197-2024</t>
        </is>
      </c>
      <c r="B566" s="1" t="n">
        <v>45446.36774305555</v>
      </c>
      <c r="C566" s="1" t="n">
        <v>45982</v>
      </c>
      <c r="D566" t="inlineStr">
        <is>
          <t>KALMAR LÄN</t>
        </is>
      </c>
      <c r="E566" t="inlineStr">
        <is>
          <t>VIMMERBY</t>
        </is>
      </c>
      <c r="F566" t="inlineStr">
        <is>
          <t>Sveaskog</t>
        </is>
      </c>
      <c r="G566" t="n">
        <v>3.2</v>
      </c>
      <c r="H566" t="n">
        <v>0</v>
      </c>
      <c r="I566" t="n">
        <v>0</v>
      </c>
      <c r="J566" t="n">
        <v>0</v>
      </c>
      <c r="K566" t="n">
        <v>0</v>
      </c>
      <c r="L566" t="n">
        <v>0</v>
      </c>
      <c r="M566" t="n">
        <v>0</v>
      </c>
      <c r="N566" t="n">
        <v>0</v>
      </c>
      <c r="O566" t="n">
        <v>0</v>
      </c>
      <c r="P566" t="n">
        <v>0</v>
      </c>
      <c r="Q566" t="n">
        <v>0</v>
      </c>
      <c r="R566" s="2" t="inlineStr"/>
    </row>
    <row r="567" ht="15" customHeight="1">
      <c r="A567" t="inlineStr">
        <is>
          <t>A 53752-2024</t>
        </is>
      </c>
      <c r="B567" s="1" t="n">
        <v>45615.48927083334</v>
      </c>
      <c r="C567" s="1" t="n">
        <v>45982</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12121-2025</t>
        </is>
      </c>
      <c r="B568" s="1" t="n">
        <v>45729.36868055556</v>
      </c>
      <c r="C568" s="1" t="n">
        <v>45982</v>
      </c>
      <c r="D568" t="inlineStr">
        <is>
          <t>KALMAR LÄN</t>
        </is>
      </c>
      <c r="E568" t="inlineStr">
        <is>
          <t>VIMMERBY</t>
        </is>
      </c>
      <c r="G568" t="n">
        <v>4.3</v>
      </c>
      <c r="H568" t="n">
        <v>0</v>
      </c>
      <c r="I568" t="n">
        <v>0</v>
      </c>
      <c r="J568" t="n">
        <v>0</v>
      </c>
      <c r="K568" t="n">
        <v>0</v>
      </c>
      <c r="L568" t="n">
        <v>0</v>
      </c>
      <c r="M568" t="n">
        <v>0</v>
      </c>
      <c r="N568" t="n">
        <v>0</v>
      </c>
      <c r="O568" t="n">
        <v>0</v>
      </c>
      <c r="P568" t="n">
        <v>0</v>
      </c>
      <c r="Q568" t="n">
        <v>0</v>
      </c>
      <c r="R568" s="2" t="inlineStr"/>
    </row>
    <row r="569" ht="15" customHeight="1">
      <c r="A569" t="inlineStr">
        <is>
          <t>A 9710-2023</t>
        </is>
      </c>
      <c r="B569" s="1" t="n">
        <v>44984</v>
      </c>
      <c r="C569" s="1" t="n">
        <v>45982</v>
      </c>
      <c r="D569" t="inlineStr">
        <is>
          <t>KALMAR LÄN</t>
        </is>
      </c>
      <c r="E569" t="inlineStr">
        <is>
          <t>VIMMERBY</t>
        </is>
      </c>
      <c r="G569" t="n">
        <v>3.7</v>
      </c>
      <c r="H569" t="n">
        <v>0</v>
      </c>
      <c r="I569" t="n">
        <v>0</v>
      </c>
      <c r="J569" t="n">
        <v>0</v>
      </c>
      <c r="K569" t="n">
        <v>0</v>
      </c>
      <c r="L569" t="n">
        <v>0</v>
      </c>
      <c r="M569" t="n">
        <v>0</v>
      </c>
      <c r="N569" t="n">
        <v>0</v>
      </c>
      <c r="O569" t="n">
        <v>0</v>
      </c>
      <c r="P569" t="n">
        <v>0</v>
      </c>
      <c r="Q569" t="n">
        <v>0</v>
      </c>
      <c r="R569" s="2" t="inlineStr"/>
    </row>
    <row r="570" ht="15" customHeight="1">
      <c r="A570" t="inlineStr">
        <is>
          <t>A 9720-2023</t>
        </is>
      </c>
      <c r="B570" s="1" t="n">
        <v>44984</v>
      </c>
      <c r="C570" s="1" t="n">
        <v>45982</v>
      </c>
      <c r="D570" t="inlineStr">
        <is>
          <t>KALMAR LÄN</t>
        </is>
      </c>
      <c r="E570" t="inlineStr">
        <is>
          <t>VIMMERBY</t>
        </is>
      </c>
      <c r="G570" t="n">
        <v>4.4</v>
      </c>
      <c r="H570" t="n">
        <v>0</v>
      </c>
      <c r="I570" t="n">
        <v>0</v>
      </c>
      <c r="J570" t="n">
        <v>0</v>
      </c>
      <c r="K570" t="n">
        <v>0</v>
      </c>
      <c r="L570" t="n">
        <v>0</v>
      </c>
      <c r="M570" t="n">
        <v>0</v>
      </c>
      <c r="N570" t="n">
        <v>0</v>
      </c>
      <c r="O570" t="n">
        <v>0</v>
      </c>
      <c r="P570" t="n">
        <v>0</v>
      </c>
      <c r="Q570" t="n">
        <v>0</v>
      </c>
      <c r="R570" s="2" t="inlineStr"/>
    </row>
    <row r="571" ht="15" customHeight="1">
      <c r="A571" t="inlineStr">
        <is>
          <t>A 15493-2023</t>
        </is>
      </c>
      <c r="B571" s="1" t="n">
        <v>45018</v>
      </c>
      <c r="C571" s="1" t="n">
        <v>45982</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29093-2023</t>
        </is>
      </c>
      <c r="B572" s="1" t="n">
        <v>45105</v>
      </c>
      <c r="C572" s="1" t="n">
        <v>45982</v>
      </c>
      <c r="D572" t="inlineStr">
        <is>
          <t>KALMAR LÄN</t>
        </is>
      </c>
      <c r="E572" t="inlineStr">
        <is>
          <t>VIMMERBY</t>
        </is>
      </c>
      <c r="G572" t="n">
        <v>2.9</v>
      </c>
      <c r="H572" t="n">
        <v>0</v>
      </c>
      <c r="I572" t="n">
        <v>0</v>
      </c>
      <c r="J572" t="n">
        <v>0</v>
      </c>
      <c r="K572" t="n">
        <v>0</v>
      </c>
      <c r="L572" t="n">
        <v>0</v>
      </c>
      <c r="M572" t="n">
        <v>0</v>
      </c>
      <c r="N572" t="n">
        <v>0</v>
      </c>
      <c r="O572" t="n">
        <v>0</v>
      </c>
      <c r="P572" t="n">
        <v>0</v>
      </c>
      <c r="Q572" t="n">
        <v>0</v>
      </c>
      <c r="R572" s="2" t="inlineStr"/>
    </row>
    <row r="573" ht="15" customHeight="1">
      <c r="A573" t="inlineStr">
        <is>
          <t>A 33352-2022</t>
        </is>
      </c>
      <c r="B573" s="1" t="n">
        <v>44788</v>
      </c>
      <c r="C573" s="1" t="n">
        <v>45982</v>
      </c>
      <c r="D573" t="inlineStr">
        <is>
          <t>KALMAR LÄN</t>
        </is>
      </c>
      <c r="E573" t="inlineStr">
        <is>
          <t>VIMMERBY</t>
        </is>
      </c>
      <c r="G573" t="n">
        <v>0.8</v>
      </c>
      <c r="H573" t="n">
        <v>0</v>
      </c>
      <c r="I573" t="n">
        <v>0</v>
      </c>
      <c r="J573" t="n">
        <v>0</v>
      </c>
      <c r="K573" t="n">
        <v>0</v>
      </c>
      <c r="L573" t="n">
        <v>0</v>
      </c>
      <c r="M573" t="n">
        <v>0</v>
      </c>
      <c r="N573" t="n">
        <v>0</v>
      </c>
      <c r="O573" t="n">
        <v>0</v>
      </c>
      <c r="P573" t="n">
        <v>0</v>
      </c>
      <c r="Q573" t="n">
        <v>0</v>
      </c>
      <c r="R573" s="2" t="inlineStr"/>
    </row>
    <row r="574" ht="15" customHeight="1">
      <c r="A574" t="inlineStr">
        <is>
          <t>A 10674-2021</t>
        </is>
      </c>
      <c r="B574" s="1" t="n">
        <v>44258</v>
      </c>
      <c r="C574" s="1" t="n">
        <v>45982</v>
      </c>
      <c r="D574" t="inlineStr">
        <is>
          <t>KALMAR LÄN</t>
        </is>
      </c>
      <c r="E574" t="inlineStr">
        <is>
          <t>VIMMERBY</t>
        </is>
      </c>
      <c r="G574" t="n">
        <v>8.4</v>
      </c>
      <c r="H574" t="n">
        <v>0</v>
      </c>
      <c r="I574" t="n">
        <v>0</v>
      </c>
      <c r="J574" t="n">
        <v>0</v>
      </c>
      <c r="K574" t="n">
        <v>0</v>
      </c>
      <c r="L574" t="n">
        <v>0</v>
      </c>
      <c r="M574" t="n">
        <v>0</v>
      </c>
      <c r="N574" t="n">
        <v>0</v>
      </c>
      <c r="O574" t="n">
        <v>0</v>
      </c>
      <c r="P574" t="n">
        <v>0</v>
      </c>
      <c r="Q574" t="n">
        <v>0</v>
      </c>
      <c r="R574" s="2" t="inlineStr"/>
    </row>
    <row r="575" ht="15" customHeight="1">
      <c r="A575" t="inlineStr">
        <is>
          <t>A 22264-2023</t>
        </is>
      </c>
      <c r="B575" s="1" t="n">
        <v>45070.3665625</v>
      </c>
      <c r="C575" s="1" t="n">
        <v>45982</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16676-2023</t>
        </is>
      </c>
      <c r="B576" s="1" t="n">
        <v>45028</v>
      </c>
      <c r="C576" s="1" t="n">
        <v>45982</v>
      </c>
      <c r="D576" t="inlineStr">
        <is>
          <t>KALMAR LÄN</t>
        </is>
      </c>
      <c r="E576" t="inlineStr">
        <is>
          <t>VIMMERBY</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6220-2025</t>
        </is>
      </c>
      <c r="B577" s="1" t="n">
        <v>45698.53725694444</v>
      </c>
      <c r="C577" s="1" t="n">
        <v>45982</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24096-2024</t>
        </is>
      </c>
      <c r="B578" s="1" t="n">
        <v>45456.59289351852</v>
      </c>
      <c r="C578" s="1" t="n">
        <v>45982</v>
      </c>
      <c r="D578" t="inlineStr">
        <is>
          <t>KALMAR LÄN</t>
        </is>
      </c>
      <c r="E578" t="inlineStr">
        <is>
          <t>VIMMERBY</t>
        </is>
      </c>
      <c r="G578" t="n">
        <v>2.3</v>
      </c>
      <c r="H578" t="n">
        <v>0</v>
      </c>
      <c r="I578" t="n">
        <v>0</v>
      </c>
      <c r="J578" t="n">
        <v>0</v>
      </c>
      <c r="K578" t="n">
        <v>0</v>
      </c>
      <c r="L578" t="n">
        <v>0</v>
      </c>
      <c r="M578" t="n">
        <v>0</v>
      </c>
      <c r="N578" t="n">
        <v>0</v>
      </c>
      <c r="O578" t="n">
        <v>0</v>
      </c>
      <c r="P578" t="n">
        <v>0</v>
      </c>
      <c r="Q578" t="n">
        <v>0</v>
      </c>
      <c r="R578" s="2" t="inlineStr"/>
    </row>
    <row r="579" ht="15" customHeight="1">
      <c r="A579" t="inlineStr">
        <is>
          <t>A 29013-2024</t>
        </is>
      </c>
      <c r="B579" s="1" t="n">
        <v>45481.55984953704</v>
      </c>
      <c r="C579" s="1" t="n">
        <v>45982</v>
      </c>
      <c r="D579" t="inlineStr">
        <is>
          <t>KALMAR LÄN</t>
        </is>
      </c>
      <c r="E579" t="inlineStr">
        <is>
          <t>VIMMERBY</t>
        </is>
      </c>
      <c r="G579" t="n">
        <v>3.4</v>
      </c>
      <c r="H579" t="n">
        <v>0</v>
      </c>
      <c r="I579" t="n">
        <v>0</v>
      </c>
      <c r="J579" t="n">
        <v>0</v>
      </c>
      <c r="K579" t="n">
        <v>0</v>
      </c>
      <c r="L579" t="n">
        <v>0</v>
      </c>
      <c r="M579" t="n">
        <v>0</v>
      </c>
      <c r="N579" t="n">
        <v>0</v>
      </c>
      <c r="O579" t="n">
        <v>0</v>
      </c>
      <c r="P579" t="n">
        <v>0</v>
      </c>
      <c r="Q579" t="n">
        <v>0</v>
      </c>
      <c r="R579" s="2" t="inlineStr"/>
    </row>
    <row r="580" ht="15" customHeight="1">
      <c r="A580" t="inlineStr">
        <is>
          <t>A 6066-2023</t>
        </is>
      </c>
      <c r="B580" s="1" t="n">
        <v>44964.50894675926</v>
      </c>
      <c r="C580" s="1" t="n">
        <v>45982</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59955-2023</t>
        </is>
      </c>
      <c r="B581" s="1" t="n">
        <v>45257.70313657408</v>
      </c>
      <c r="C581" s="1" t="n">
        <v>45982</v>
      </c>
      <c r="D581" t="inlineStr">
        <is>
          <t>KALMAR LÄN</t>
        </is>
      </c>
      <c r="E581" t="inlineStr">
        <is>
          <t>VIMMERBY</t>
        </is>
      </c>
      <c r="G581" t="n">
        <v>13.8</v>
      </c>
      <c r="H581" t="n">
        <v>0</v>
      </c>
      <c r="I581" t="n">
        <v>0</v>
      </c>
      <c r="J581" t="n">
        <v>0</v>
      </c>
      <c r="K581" t="n">
        <v>0</v>
      </c>
      <c r="L581" t="n">
        <v>0</v>
      </c>
      <c r="M581" t="n">
        <v>0</v>
      </c>
      <c r="N581" t="n">
        <v>0</v>
      </c>
      <c r="O581" t="n">
        <v>0</v>
      </c>
      <c r="P581" t="n">
        <v>0</v>
      </c>
      <c r="Q581" t="n">
        <v>0</v>
      </c>
      <c r="R581" s="2" t="inlineStr"/>
    </row>
    <row r="582" ht="15" customHeight="1">
      <c r="A582" t="inlineStr">
        <is>
          <t>A 36040-2024</t>
        </is>
      </c>
      <c r="B582" s="1" t="n">
        <v>45533.60232638889</v>
      </c>
      <c r="C582" s="1" t="n">
        <v>45982</v>
      </c>
      <c r="D582" t="inlineStr">
        <is>
          <t>KALMAR LÄN</t>
        </is>
      </c>
      <c r="E582" t="inlineStr">
        <is>
          <t>VIMMERBY</t>
        </is>
      </c>
      <c r="F582" t="inlineStr">
        <is>
          <t>Kommuner</t>
        </is>
      </c>
      <c r="G582" t="n">
        <v>3.6</v>
      </c>
      <c r="H582" t="n">
        <v>0</v>
      </c>
      <c r="I582" t="n">
        <v>0</v>
      </c>
      <c r="J582" t="n">
        <v>0</v>
      </c>
      <c r="K582" t="n">
        <v>0</v>
      </c>
      <c r="L582" t="n">
        <v>0</v>
      </c>
      <c r="M582" t="n">
        <v>0</v>
      </c>
      <c r="N582" t="n">
        <v>0</v>
      </c>
      <c r="O582" t="n">
        <v>0</v>
      </c>
      <c r="P582" t="n">
        <v>0</v>
      </c>
      <c r="Q582" t="n">
        <v>0</v>
      </c>
      <c r="R582" s="2" t="inlineStr"/>
    </row>
    <row r="583" ht="15" customHeight="1">
      <c r="A583" t="inlineStr">
        <is>
          <t>A 36043-2024</t>
        </is>
      </c>
      <c r="B583" s="1" t="n">
        <v>45533.60770833334</v>
      </c>
      <c r="C583" s="1" t="n">
        <v>45982</v>
      </c>
      <c r="D583" t="inlineStr">
        <is>
          <t>KALMAR LÄN</t>
        </is>
      </c>
      <c r="E583" t="inlineStr">
        <is>
          <t>VIMMERBY</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12890-2023</t>
        </is>
      </c>
      <c r="B584" s="1" t="n">
        <v>45001.59209490741</v>
      </c>
      <c r="C584" s="1" t="n">
        <v>45982</v>
      </c>
      <c r="D584" t="inlineStr">
        <is>
          <t>KALMAR LÄN</t>
        </is>
      </c>
      <c r="E584" t="inlineStr">
        <is>
          <t>VIMMERBY</t>
        </is>
      </c>
      <c r="G584" t="n">
        <v>2.8</v>
      </c>
      <c r="H584" t="n">
        <v>0</v>
      </c>
      <c r="I584" t="n">
        <v>0</v>
      </c>
      <c r="J584" t="n">
        <v>0</v>
      </c>
      <c r="K584" t="n">
        <v>0</v>
      </c>
      <c r="L584" t="n">
        <v>0</v>
      </c>
      <c r="M584" t="n">
        <v>0</v>
      </c>
      <c r="N584" t="n">
        <v>0</v>
      </c>
      <c r="O584" t="n">
        <v>0</v>
      </c>
      <c r="P584" t="n">
        <v>0</v>
      </c>
      <c r="Q584" t="n">
        <v>0</v>
      </c>
      <c r="R584" s="2" t="inlineStr"/>
    </row>
    <row r="585" ht="15" customHeight="1">
      <c r="A585" t="inlineStr">
        <is>
          <t>A 43594-2024</t>
        </is>
      </c>
      <c r="B585" s="1" t="n">
        <v>45569.44295138889</v>
      </c>
      <c r="C585" s="1" t="n">
        <v>45982</v>
      </c>
      <c r="D585" t="inlineStr">
        <is>
          <t>KALMAR LÄN</t>
        </is>
      </c>
      <c r="E585" t="inlineStr">
        <is>
          <t>VIMMERBY</t>
        </is>
      </c>
      <c r="G585" t="n">
        <v>3.9</v>
      </c>
      <c r="H585" t="n">
        <v>0</v>
      </c>
      <c r="I585" t="n">
        <v>0</v>
      </c>
      <c r="J585" t="n">
        <v>0</v>
      </c>
      <c r="K585" t="n">
        <v>0</v>
      </c>
      <c r="L585" t="n">
        <v>0</v>
      </c>
      <c r="M585" t="n">
        <v>0</v>
      </c>
      <c r="N585" t="n">
        <v>0</v>
      </c>
      <c r="O585" t="n">
        <v>0</v>
      </c>
      <c r="P585" t="n">
        <v>0</v>
      </c>
      <c r="Q585" t="n">
        <v>0</v>
      </c>
      <c r="R585" s="2" t="inlineStr"/>
    </row>
    <row r="586" ht="15" customHeight="1">
      <c r="A586" t="inlineStr">
        <is>
          <t>A 53482-2022</t>
        </is>
      </c>
      <c r="B586" s="1" t="n">
        <v>44879</v>
      </c>
      <c r="C586" s="1" t="n">
        <v>45982</v>
      </c>
      <c r="D586" t="inlineStr">
        <is>
          <t>KALMAR LÄN</t>
        </is>
      </c>
      <c r="E586" t="inlineStr">
        <is>
          <t>VIMMERBY</t>
        </is>
      </c>
      <c r="G586" t="n">
        <v>10.1</v>
      </c>
      <c r="H586" t="n">
        <v>0</v>
      </c>
      <c r="I586" t="n">
        <v>0</v>
      </c>
      <c r="J586" t="n">
        <v>0</v>
      </c>
      <c r="K586" t="n">
        <v>0</v>
      </c>
      <c r="L586" t="n">
        <v>0</v>
      </c>
      <c r="M586" t="n">
        <v>0</v>
      </c>
      <c r="N586" t="n">
        <v>0</v>
      </c>
      <c r="O586" t="n">
        <v>0</v>
      </c>
      <c r="P586" t="n">
        <v>0</v>
      </c>
      <c r="Q586" t="n">
        <v>0</v>
      </c>
      <c r="R586" s="2" t="inlineStr"/>
    </row>
    <row r="587" ht="15" customHeight="1">
      <c r="A587" t="inlineStr">
        <is>
          <t>A 27761-2024</t>
        </is>
      </c>
      <c r="B587" s="1" t="n">
        <v>45475.49018518518</v>
      </c>
      <c r="C587" s="1" t="n">
        <v>45982</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64203-2021</t>
        </is>
      </c>
      <c r="B588" s="1" t="n">
        <v>44510.60921296296</v>
      </c>
      <c r="C588" s="1" t="n">
        <v>45982</v>
      </c>
      <c r="D588" t="inlineStr">
        <is>
          <t>KALMAR LÄN</t>
        </is>
      </c>
      <c r="E588" t="inlineStr">
        <is>
          <t>VIMMERBY</t>
        </is>
      </c>
      <c r="F588" t="inlineStr">
        <is>
          <t>Övriga Aktiebolag</t>
        </is>
      </c>
      <c r="G588" t="n">
        <v>5.4</v>
      </c>
      <c r="H588" t="n">
        <v>0</v>
      </c>
      <c r="I588" t="n">
        <v>0</v>
      </c>
      <c r="J588" t="n">
        <v>0</v>
      </c>
      <c r="K588" t="n">
        <v>0</v>
      </c>
      <c r="L588" t="n">
        <v>0</v>
      </c>
      <c r="M588" t="n">
        <v>0</v>
      </c>
      <c r="N588" t="n">
        <v>0</v>
      </c>
      <c r="O588" t="n">
        <v>0</v>
      </c>
      <c r="P588" t="n">
        <v>0</v>
      </c>
      <c r="Q588" t="n">
        <v>0</v>
      </c>
      <c r="R588" s="2" t="inlineStr"/>
    </row>
    <row r="589" ht="15" customHeight="1">
      <c r="A589" t="inlineStr">
        <is>
          <t>A 5720-2023</t>
        </is>
      </c>
      <c r="B589" s="1" t="n">
        <v>44961</v>
      </c>
      <c r="C589" s="1" t="n">
        <v>45982</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9643-2023</t>
        </is>
      </c>
      <c r="B590" s="1" t="n">
        <v>44984</v>
      </c>
      <c r="C590" s="1" t="n">
        <v>45982</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25728-2023</t>
        </is>
      </c>
      <c r="B591" s="1" t="n">
        <v>45090.38012731481</v>
      </c>
      <c r="C591" s="1" t="n">
        <v>45982</v>
      </c>
      <c r="D591" t="inlineStr">
        <is>
          <t>KALMAR LÄN</t>
        </is>
      </c>
      <c r="E591" t="inlineStr">
        <is>
          <t>VIMMERBY</t>
        </is>
      </c>
      <c r="G591" t="n">
        <v>1.1</v>
      </c>
      <c r="H591" t="n">
        <v>0</v>
      </c>
      <c r="I591" t="n">
        <v>0</v>
      </c>
      <c r="J591" t="n">
        <v>0</v>
      </c>
      <c r="K591" t="n">
        <v>0</v>
      </c>
      <c r="L591" t="n">
        <v>0</v>
      </c>
      <c r="M591" t="n">
        <v>0</v>
      </c>
      <c r="N591" t="n">
        <v>0</v>
      </c>
      <c r="O591" t="n">
        <v>0</v>
      </c>
      <c r="P591" t="n">
        <v>0</v>
      </c>
      <c r="Q591" t="n">
        <v>0</v>
      </c>
      <c r="R591" s="2" t="inlineStr"/>
    </row>
    <row r="592" ht="15" customHeight="1">
      <c r="A592" t="inlineStr">
        <is>
          <t>A 41311-2023</t>
        </is>
      </c>
      <c r="B592" s="1" t="n">
        <v>45174</v>
      </c>
      <c r="C592" s="1" t="n">
        <v>45982</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26318-2023</t>
        </is>
      </c>
      <c r="B593" s="1" t="n">
        <v>45091.67936342592</v>
      </c>
      <c r="C593" s="1" t="n">
        <v>45982</v>
      </c>
      <c r="D593" t="inlineStr">
        <is>
          <t>KALMAR LÄN</t>
        </is>
      </c>
      <c r="E593" t="inlineStr">
        <is>
          <t>VIMMERBY</t>
        </is>
      </c>
      <c r="G593" t="n">
        <v>3.8</v>
      </c>
      <c r="H593" t="n">
        <v>0</v>
      </c>
      <c r="I593" t="n">
        <v>0</v>
      </c>
      <c r="J593" t="n">
        <v>0</v>
      </c>
      <c r="K593" t="n">
        <v>0</v>
      </c>
      <c r="L593" t="n">
        <v>0</v>
      </c>
      <c r="M593" t="n">
        <v>0</v>
      </c>
      <c r="N593" t="n">
        <v>0</v>
      </c>
      <c r="O593" t="n">
        <v>0</v>
      </c>
      <c r="P593" t="n">
        <v>0</v>
      </c>
      <c r="Q593" t="n">
        <v>0</v>
      </c>
      <c r="R593" s="2" t="inlineStr"/>
    </row>
    <row r="594" ht="15" customHeight="1">
      <c r="A594" t="inlineStr">
        <is>
          <t>A 61355-2024</t>
        </is>
      </c>
      <c r="B594" s="1" t="n">
        <v>45646.38200231481</v>
      </c>
      <c r="C594" s="1" t="n">
        <v>45982</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36802-2021</t>
        </is>
      </c>
      <c r="B595" s="1" t="n">
        <v>44392</v>
      </c>
      <c r="C595" s="1" t="n">
        <v>45982</v>
      </c>
      <c r="D595" t="inlineStr">
        <is>
          <t>KALMAR LÄN</t>
        </is>
      </c>
      <c r="E595" t="inlineStr">
        <is>
          <t>VIMMERBY</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38198-2024</t>
        </is>
      </c>
      <c r="B596" s="1" t="n">
        <v>45545.49508101852</v>
      </c>
      <c r="C596" s="1" t="n">
        <v>45982</v>
      </c>
      <c r="D596" t="inlineStr">
        <is>
          <t>KALMAR LÄN</t>
        </is>
      </c>
      <c r="E596" t="inlineStr">
        <is>
          <t>VIMMERBY</t>
        </is>
      </c>
      <c r="G596" t="n">
        <v>7.9</v>
      </c>
      <c r="H596" t="n">
        <v>0</v>
      </c>
      <c r="I596" t="n">
        <v>0</v>
      </c>
      <c r="J596" t="n">
        <v>0</v>
      </c>
      <c r="K596" t="n">
        <v>0</v>
      </c>
      <c r="L596" t="n">
        <v>0</v>
      </c>
      <c r="M596" t="n">
        <v>0</v>
      </c>
      <c r="N596" t="n">
        <v>0</v>
      </c>
      <c r="O596" t="n">
        <v>0</v>
      </c>
      <c r="P596" t="n">
        <v>0</v>
      </c>
      <c r="Q596" t="n">
        <v>0</v>
      </c>
      <c r="R596" s="2" t="inlineStr"/>
    </row>
    <row r="597" ht="15" customHeight="1">
      <c r="A597" t="inlineStr">
        <is>
          <t>A 9623-2024</t>
        </is>
      </c>
      <c r="B597" s="1" t="n">
        <v>45361.87975694444</v>
      </c>
      <c r="C597" s="1" t="n">
        <v>45982</v>
      </c>
      <c r="D597" t="inlineStr">
        <is>
          <t>KALMAR LÄN</t>
        </is>
      </c>
      <c r="E597" t="inlineStr">
        <is>
          <t>VIMMERBY</t>
        </is>
      </c>
      <c r="G597" t="n">
        <v>1.6</v>
      </c>
      <c r="H597" t="n">
        <v>0</v>
      </c>
      <c r="I597" t="n">
        <v>0</v>
      </c>
      <c r="J597" t="n">
        <v>0</v>
      </c>
      <c r="K597" t="n">
        <v>0</v>
      </c>
      <c r="L597" t="n">
        <v>0</v>
      </c>
      <c r="M597" t="n">
        <v>0</v>
      </c>
      <c r="N597" t="n">
        <v>0</v>
      </c>
      <c r="O597" t="n">
        <v>0</v>
      </c>
      <c r="P597" t="n">
        <v>0</v>
      </c>
      <c r="Q597" t="n">
        <v>0</v>
      </c>
      <c r="R597" s="2" t="inlineStr"/>
    </row>
    <row r="598" ht="15" customHeight="1">
      <c r="A598" t="inlineStr">
        <is>
          <t>A 58967-2022</t>
        </is>
      </c>
      <c r="B598" s="1" t="n">
        <v>44896</v>
      </c>
      <c r="C598" s="1" t="n">
        <v>45982</v>
      </c>
      <c r="D598" t="inlineStr">
        <is>
          <t>KALMAR LÄN</t>
        </is>
      </c>
      <c r="E598" t="inlineStr">
        <is>
          <t>VIMMERBY</t>
        </is>
      </c>
      <c r="G598" t="n">
        <v>5</v>
      </c>
      <c r="H598" t="n">
        <v>0</v>
      </c>
      <c r="I598" t="n">
        <v>0</v>
      </c>
      <c r="J598" t="n">
        <v>0</v>
      </c>
      <c r="K598" t="n">
        <v>0</v>
      </c>
      <c r="L598" t="n">
        <v>0</v>
      </c>
      <c r="M598" t="n">
        <v>0</v>
      </c>
      <c r="N598" t="n">
        <v>0</v>
      </c>
      <c r="O598" t="n">
        <v>0</v>
      </c>
      <c r="P598" t="n">
        <v>0</v>
      </c>
      <c r="Q598" t="n">
        <v>0</v>
      </c>
      <c r="R598" s="2" t="inlineStr"/>
    </row>
    <row r="599" ht="15" customHeight="1">
      <c r="A599" t="inlineStr">
        <is>
          <t>A 6399-2025</t>
        </is>
      </c>
      <c r="B599" s="1" t="n">
        <v>45699.44291666667</v>
      </c>
      <c r="C599" s="1" t="n">
        <v>45982</v>
      </c>
      <c r="D599" t="inlineStr">
        <is>
          <t>KALMAR LÄN</t>
        </is>
      </c>
      <c r="E599" t="inlineStr">
        <is>
          <t>VIMMERBY</t>
        </is>
      </c>
      <c r="G599" t="n">
        <v>3.1</v>
      </c>
      <c r="H599" t="n">
        <v>0</v>
      </c>
      <c r="I599" t="n">
        <v>0</v>
      </c>
      <c r="J599" t="n">
        <v>0</v>
      </c>
      <c r="K599" t="n">
        <v>0</v>
      </c>
      <c r="L599" t="n">
        <v>0</v>
      </c>
      <c r="M599" t="n">
        <v>0</v>
      </c>
      <c r="N599" t="n">
        <v>0</v>
      </c>
      <c r="O599" t="n">
        <v>0</v>
      </c>
      <c r="P599" t="n">
        <v>0</v>
      </c>
      <c r="Q599" t="n">
        <v>0</v>
      </c>
      <c r="R599" s="2" t="inlineStr"/>
    </row>
    <row r="600" ht="15" customHeight="1">
      <c r="A600" t="inlineStr">
        <is>
          <t>A 31355-2023</t>
        </is>
      </c>
      <c r="B600" s="1" t="n">
        <v>45114.49505787037</v>
      </c>
      <c r="C600" s="1" t="n">
        <v>45982</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66295-2020</t>
        </is>
      </c>
      <c r="B601" s="1" t="n">
        <v>44176</v>
      </c>
      <c r="C601" s="1" t="n">
        <v>45982</v>
      </c>
      <c r="D601" t="inlineStr">
        <is>
          <t>KALMAR LÄN</t>
        </is>
      </c>
      <c r="E601" t="inlineStr">
        <is>
          <t>VIMMERBY</t>
        </is>
      </c>
      <c r="G601" t="n">
        <v>4.1</v>
      </c>
      <c r="H601" t="n">
        <v>0</v>
      </c>
      <c r="I601" t="n">
        <v>0</v>
      </c>
      <c r="J601" t="n">
        <v>0</v>
      </c>
      <c r="K601" t="n">
        <v>0</v>
      </c>
      <c r="L601" t="n">
        <v>0</v>
      </c>
      <c r="M601" t="n">
        <v>0</v>
      </c>
      <c r="N601" t="n">
        <v>0</v>
      </c>
      <c r="O601" t="n">
        <v>0</v>
      </c>
      <c r="P601" t="n">
        <v>0</v>
      </c>
      <c r="Q601" t="n">
        <v>0</v>
      </c>
      <c r="R601" s="2" t="inlineStr"/>
    </row>
    <row r="602" ht="15" customHeight="1">
      <c r="A602" t="inlineStr">
        <is>
          <t>A 30400-2023</t>
        </is>
      </c>
      <c r="B602" s="1" t="n">
        <v>45111.48225694444</v>
      </c>
      <c r="C602" s="1" t="n">
        <v>45982</v>
      </c>
      <c r="D602" t="inlineStr">
        <is>
          <t>KALMAR LÄN</t>
        </is>
      </c>
      <c r="E602" t="inlineStr">
        <is>
          <t>VIMMERBY</t>
        </is>
      </c>
      <c r="G602" t="n">
        <v>2.7</v>
      </c>
      <c r="H602" t="n">
        <v>0</v>
      </c>
      <c r="I602" t="n">
        <v>0</v>
      </c>
      <c r="J602" t="n">
        <v>0</v>
      </c>
      <c r="K602" t="n">
        <v>0</v>
      </c>
      <c r="L602" t="n">
        <v>0</v>
      </c>
      <c r="M602" t="n">
        <v>0</v>
      </c>
      <c r="N602" t="n">
        <v>0</v>
      </c>
      <c r="O602" t="n">
        <v>0</v>
      </c>
      <c r="P602" t="n">
        <v>0</v>
      </c>
      <c r="Q602" t="n">
        <v>0</v>
      </c>
      <c r="R602" s="2" t="inlineStr"/>
    </row>
    <row r="603" ht="15" customHeight="1">
      <c r="A603" t="inlineStr">
        <is>
          <t>A 30404-2023</t>
        </is>
      </c>
      <c r="B603" s="1" t="n">
        <v>45111.48636574074</v>
      </c>
      <c r="C603" s="1" t="n">
        <v>45982</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27705-2023</t>
        </is>
      </c>
      <c r="B604" s="1" t="n">
        <v>45098.30535879629</v>
      </c>
      <c r="C604" s="1" t="n">
        <v>45982</v>
      </c>
      <c r="D604" t="inlineStr">
        <is>
          <t>KALMAR LÄN</t>
        </is>
      </c>
      <c r="E604" t="inlineStr">
        <is>
          <t>VIMMERBY</t>
        </is>
      </c>
      <c r="G604" t="n">
        <v>1</v>
      </c>
      <c r="H604" t="n">
        <v>0</v>
      </c>
      <c r="I604" t="n">
        <v>0</v>
      </c>
      <c r="J604" t="n">
        <v>0</v>
      </c>
      <c r="K604" t="n">
        <v>0</v>
      </c>
      <c r="L604" t="n">
        <v>0</v>
      </c>
      <c r="M604" t="n">
        <v>0</v>
      </c>
      <c r="N604" t="n">
        <v>0</v>
      </c>
      <c r="O604" t="n">
        <v>0</v>
      </c>
      <c r="P604" t="n">
        <v>0</v>
      </c>
      <c r="Q604" t="n">
        <v>0</v>
      </c>
      <c r="R604" s="2" t="inlineStr"/>
    </row>
    <row r="605" ht="15" customHeight="1">
      <c r="A605" t="inlineStr">
        <is>
          <t>A 36843-2023</t>
        </is>
      </c>
      <c r="B605" s="1" t="n">
        <v>45154.49831018518</v>
      </c>
      <c r="C605" s="1" t="n">
        <v>45982</v>
      </c>
      <c r="D605" t="inlineStr">
        <is>
          <t>KALMAR LÄN</t>
        </is>
      </c>
      <c r="E605" t="inlineStr">
        <is>
          <t>VIMMERBY</t>
        </is>
      </c>
      <c r="G605" t="n">
        <v>2</v>
      </c>
      <c r="H605" t="n">
        <v>0</v>
      </c>
      <c r="I605" t="n">
        <v>0</v>
      </c>
      <c r="J605" t="n">
        <v>0</v>
      </c>
      <c r="K605" t="n">
        <v>0</v>
      </c>
      <c r="L605" t="n">
        <v>0</v>
      </c>
      <c r="M605" t="n">
        <v>0</v>
      </c>
      <c r="N605" t="n">
        <v>0</v>
      </c>
      <c r="O605" t="n">
        <v>0</v>
      </c>
      <c r="P605" t="n">
        <v>0</v>
      </c>
      <c r="Q605" t="n">
        <v>0</v>
      </c>
      <c r="R605" s="2" t="inlineStr"/>
    </row>
    <row r="606" ht="15" customHeight="1">
      <c r="A606" t="inlineStr">
        <is>
          <t>A 10785-2025</t>
        </is>
      </c>
      <c r="B606" s="1" t="n">
        <v>45722.48634259259</v>
      </c>
      <c r="C606" s="1" t="n">
        <v>45982</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29017-2024</t>
        </is>
      </c>
      <c r="B607" s="1" t="n">
        <v>45481.56722222222</v>
      </c>
      <c r="C607" s="1" t="n">
        <v>45982</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23263-2024</t>
        </is>
      </c>
      <c r="B608" s="1" t="n">
        <v>45453.36854166666</v>
      </c>
      <c r="C608" s="1" t="n">
        <v>45982</v>
      </c>
      <c r="D608" t="inlineStr">
        <is>
          <t>KALMAR LÄN</t>
        </is>
      </c>
      <c r="E608" t="inlineStr">
        <is>
          <t>VIMMERBY</t>
        </is>
      </c>
      <c r="G608" t="n">
        <v>0.7</v>
      </c>
      <c r="H608" t="n">
        <v>0</v>
      </c>
      <c r="I608" t="n">
        <v>0</v>
      </c>
      <c r="J608" t="n">
        <v>0</v>
      </c>
      <c r="K608" t="n">
        <v>0</v>
      </c>
      <c r="L608" t="n">
        <v>0</v>
      </c>
      <c r="M608" t="n">
        <v>0</v>
      </c>
      <c r="N608" t="n">
        <v>0</v>
      </c>
      <c r="O608" t="n">
        <v>0</v>
      </c>
      <c r="P608" t="n">
        <v>0</v>
      </c>
      <c r="Q608" t="n">
        <v>0</v>
      </c>
      <c r="R608" s="2" t="inlineStr"/>
    </row>
    <row r="609" ht="15" customHeight="1">
      <c r="A609" t="inlineStr">
        <is>
          <t>A 11074-2023</t>
        </is>
      </c>
      <c r="B609" s="1" t="n">
        <v>44992.34151620371</v>
      </c>
      <c r="C609" s="1" t="n">
        <v>45982</v>
      </c>
      <c r="D609" t="inlineStr">
        <is>
          <t>KALMAR LÄN</t>
        </is>
      </c>
      <c r="E609" t="inlineStr">
        <is>
          <t>VIMMERBY</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61939-2021</t>
        </is>
      </c>
      <c r="B610" s="1" t="n">
        <v>44502</v>
      </c>
      <c r="C610" s="1" t="n">
        <v>45982</v>
      </c>
      <c r="D610" t="inlineStr">
        <is>
          <t>KALMAR LÄN</t>
        </is>
      </c>
      <c r="E610" t="inlineStr">
        <is>
          <t>VIMMERBY</t>
        </is>
      </c>
      <c r="G610" t="n">
        <v>2.7</v>
      </c>
      <c r="H610" t="n">
        <v>0</v>
      </c>
      <c r="I610" t="n">
        <v>0</v>
      </c>
      <c r="J610" t="n">
        <v>0</v>
      </c>
      <c r="K610" t="n">
        <v>0</v>
      </c>
      <c r="L610" t="n">
        <v>0</v>
      </c>
      <c r="M610" t="n">
        <v>0</v>
      </c>
      <c r="N610" t="n">
        <v>0</v>
      </c>
      <c r="O610" t="n">
        <v>0</v>
      </c>
      <c r="P610" t="n">
        <v>0</v>
      </c>
      <c r="Q610" t="n">
        <v>0</v>
      </c>
      <c r="R610" s="2" t="inlineStr"/>
    </row>
    <row r="611" ht="15" customHeight="1">
      <c r="A611" t="inlineStr">
        <is>
          <t>A 12215-2024</t>
        </is>
      </c>
      <c r="B611" s="1" t="n">
        <v>45378.32185185186</v>
      </c>
      <c r="C611" s="1" t="n">
        <v>45982</v>
      </c>
      <c r="D611" t="inlineStr">
        <is>
          <t>KALMAR LÄN</t>
        </is>
      </c>
      <c r="E611" t="inlineStr">
        <is>
          <t>VIMMERBY</t>
        </is>
      </c>
      <c r="G611" t="n">
        <v>1.6</v>
      </c>
      <c r="H611" t="n">
        <v>0</v>
      </c>
      <c r="I611" t="n">
        <v>0</v>
      </c>
      <c r="J611" t="n">
        <v>0</v>
      </c>
      <c r="K611" t="n">
        <v>0</v>
      </c>
      <c r="L611" t="n">
        <v>0</v>
      </c>
      <c r="M611" t="n">
        <v>0</v>
      </c>
      <c r="N611" t="n">
        <v>0</v>
      </c>
      <c r="O611" t="n">
        <v>0</v>
      </c>
      <c r="P611" t="n">
        <v>0</v>
      </c>
      <c r="Q611" t="n">
        <v>0</v>
      </c>
      <c r="R611" s="2" t="inlineStr"/>
    </row>
    <row r="612" ht="15" customHeight="1">
      <c r="A612" t="inlineStr">
        <is>
          <t>A 11303-2025</t>
        </is>
      </c>
      <c r="B612" s="1" t="n">
        <v>45726.44471064815</v>
      </c>
      <c r="C612" s="1" t="n">
        <v>45982</v>
      </c>
      <c r="D612" t="inlineStr">
        <is>
          <t>KALMAR LÄN</t>
        </is>
      </c>
      <c r="E612" t="inlineStr">
        <is>
          <t>VIMMERBY</t>
        </is>
      </c>
      <c r="G612" t="n">
        <v>2.1</v>
      </c>
      <c r="H612" t="n">
        <v>0</v>
      </c>
      <c r="I612" t="n">
        <v>0</v>
      </c>
      <c r="J612" t="n">
        <v>0</v>
      </c>
      <c r="K612" t="n">
        <v>0</v>
      </c>
      <c r="L612" t="n">
        <v>0</v>
      </c>
      <c r="M612" t="n">
        <v>0</v>
      </c>
      <c r="N612" t="n">
        <v>0</v>
      </c>
      <c r="O612" t="n">
        <v>0</v>
      </c>
      <c r="P612" t="n">
        <v>0</v>
      </c>
      <c r="Q612" t="n">
        <v>0</v>
      </c>
      <c r="R612" s="2" t="inlineStr"/>
    </row>
    <row r="613" ht="15" customHeight="1">
      <c r="A613" t="inlineStr">
        <is>
          <t>A 12033-2024</t>
        </is>
      </c>
      <c r="B613" s="1" t="n">
        <v>45377.40043981482</v>
      </c>
      <c r="C613" s="1" t="n">
        <v>45982</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51408-2023</t>
        </is>
      </c>
      <c r="B614" s="1" t="n">
        <v>45219.69356481481</v>
      </c>
      <c r="C614" s="1" t="n">
        <v>45982</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49488-2023</t>
        </is>
      </c>
      <c r="B615" s="1" t="n">
        <v>45211.55472222222</v>
      </c>
      <c r="C615" s="1" t="n">
        <v>45982</v>
      </c>
      <c r="D615" t="inlineStr">
        <is>
          <t>KALMAR LÄN</t>
        </is>
      </c>
      <c r="E615" t="inlineStr">
        <is>
          <t>VIMMERBY</t>
        </is>
      </c>
      <c r="F615" t="inlineStr">
        <is>
          <t>Sveaskog</t>
        </is>
      </c>
      <c r="G615" t="n">
        <v>6.2</v>
      </c>
      <c r="H615" t="n">
        <v>0</v>
      </c>
      <c r="I615" t="n">
        <v>0</v>
      </c>
      <c r="J615" t="n">
        <v>0</v>
      </c>
      <c r="K615" t="n">
        <v>0</v>
      </c>
      <c r="L615" t="n">
        <v>0</v>
      </c>
      <c r="M615" t="n">
        <v>0</v>
      </c>
      <c r="N615" t="n">
        <v>0</v>
      </c>
      <c r="O615" t="n">
        <v>0</v>
      </c>
      <c r="P615" t="n">
        <v>0</v>
      </c>
      <c r="Q615" t="n">
        <v>0</v>
      </c>
      <c r="R615" s="2" t="inlineStr"/>
    </row>
    <row r="616" ht="15" customHeight="1">
      <c r="A616" t="inlineStr">
        <is>
          <t>A 8410-2023</t>
        </is>
      </c>
      <c r="B616" s="1" t="n">
        <v>44977</v>
      </c>
      <c r="C616" s="1" t="n">
        <v>45982</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30920-2024</t>
        </is>
      </c>
      <c r="B617" s="1" t="n">
        <v>45498.673125</v>
      </c>
      <c r="C617" s="1" t="n">
        <v>45982</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40929-2022</t>
        </is>
      </c>
      <c r="B618" s="1" t="n">
        <v>44825.4336574074</v>
      </c>
      <c r="C618" s="1" t="n">
        <v>45982</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50091-2023</t>
        </is>
      </c>
      <c r="B619" s="1" t="n">
        <v>45215.60199074074</v>
      </c>
      <c r="C619" s="1" t="n">
        <v>45982</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36008-2024</t>
        </is>
      </c>
      <c r="B620" s="1" t="n">
        <v>45533.55362268518</v>
      </c>
      <c r="C620" s="1" t="n">
        <v>45982</v>
      </c>
      <c r="D620" t="inlineStr">
        <is>
          <t>KALMAR LÄN</t>
        </is>
      </c>
      <c r="E620" t="inlineStr">
        <is>
          <t>VIMMERBY</t>
        </is>
      </c>
      <c r="G620" t="n">
        <v>3.7</v>
      </c>
      <c r="H620" t="n">
        <v>0</v>
      </c>
      <c r="I620" t="n">
        <v>0</v>
      </c>
      <c r="J620" t="n">
        <v>0</v>
      </c>
      <c r="K620" t="n">
        <v>0</v>
      </c>
      <c r="L620" t="n">
        <v>0</v>
      </c>
      <c r="M620" t="n">
        <v>0</v>
      </c>
      <c r="N620" t="n">
        <v>0</v>
      </c>
      <c r="O620" t="n">
        <v>0</v>
      </c>
      <c r="P620" t="n">
        <v>0</v>
      </c>
      <c r="Q620" t="n">
        <v>0</v>
      </c>
      <c r="R620" s="2" t="inlineStr"/>
    </row>
    <row r="621" ht="15" customHeight="1">
      <c r="A621" t="inlineStr">
        <is>
          <t>A 16622-2025</t>
        </is>
      </c>
      <c r="B621" s="1" t="n">
        <v>45754.33641203704</v>
      </c>
      <c r="C621" s="1" t="n">
        <v>45982</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17511-2024</t>
        </is>
      </c>
      <c r="B622" s="1" t="n">
        <v>45415.57682870371</v>
      </c>
      <c r="C622" s="1" t="n">
        <v>45982</v>
      </c>
      <c r="D622" t="inlineStr">
        <is>
          <t>KALMAR LÄN</t>
        </is>
      </c>
      <c r="E622" t="inlineStr">
        <is>
          <t>VIMMERBY</t>
        </is>
      </c>
      <c r="G622" t="n">
        <v>5.3</v>
      </c>
      <c r="H622" t="n">
        <v>0</v>
      </c>
      <c r="I622" t="n">
        <v>0</v>
      </c>
      <c r="J622" t="n">
        <v>0</v>
      </c>
      <c r="K622" t="n">
        <v>0</v>
      </c>
      <c r="L622" t="n">
        <v>0</v>
      </c>
      <c r="M622" t="n">
        <v>0</v>
      </c>
      <c r="N622" t="n">
        <v>0</v>
      </c>
      <c r="O622" t="n">
        <v>0</v>
      </c>
      <c r="P622" t="n">
        <v>0</v>
      </c>
      <c r="Q622" t="n">
        <v>0</v>
      </c>
      <c r="R622" s="2" t="inlineStr"/>
    </row>
    <row r="623" ht="15" customHeight="1">
      <c r="A623" t="inlineStr">
        <is>
          <t>A 43705-2023</t>
        </is>
      </c>
      <c r="B623" s="1" t="n">
        <v>45187.42854166667</v>
      </c>
      <c r="C623" s="1" t="n">
        <v>45982</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55300-2021</t>
        </is>
      </c>
      <c r="B624" s="1" t="n">
        <v>44475</v>
      </c>
      <c r="C624" s="1" t="n">
        <v>45982</v>
      </c>
      <c r="D624" t="inlineStr">
        <is>
          <t>KALMAR LÄN</t>
        </is>
      </c>
      <c r="E624" t="inlineStr">
        <is>
          <t>VIMMERBY</t>
        </is>
      </c>
      <c r="G624" t="n">
        <v>3.4</v>
      </c>
      <c r="H624" t="n">
        <v>0</v>
      </c>
      <c r="I624" t="n">
        <v>0</v>
      </c>
      <c r="J624" t="n">
        <v>0</v>
      </c>
      <c r="K624" t="n">
        <v>0</v>
      </c>
      <c r="L624" t="n">
        <v>0</v>
      </c>
      <c r="M624" t="n">
        <v>0</v>
      </c>
      <c r="N624" t="n">
        <v>0</v>
      </c>
      <c r="O624" t="n">
        <v>0</v>
      </c>
      <c r="P624" t="n">
        <v>0</v>
      </c>
      <c r="Q624" t="n">
        <v>0</v>
      </c>
      <c r="R624" s="2" t="inlineStr"/>
    </row>
    <row r="625" ht="15" customHeight="1">
      <c r="A625" t="inlineStr">
        <is>
          <t>A 44179-2022</t>
        </is>
      </c>
      <c r="B625" s="1" t="n">
        <v>44839.4528125</v>
      </c>
      <c r="C625" s="1" t="n">
        <v>45982</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52755-2022</t>
        </is>
      </c>
      <c r="B626" s="1" t="n">
        <v>44875.27736111111</v>
      </c>
      <c r="C626" s="1" t="n">
        <v>45982</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35998-2024</t>
        </is>
      </c>
      <c r="B627" s="1" t="n">
        <v>45533.54429398148</v>
      </c>
      <c r="C627" s="1" t="n">
        <v>45982</v>
      </c>
      <c r="D627" t="inlineStr">
        <is>
          <t>KALMAR LÄN</t>
        </is>
      </c>
      <c r="E627" t="inlineStr">
        <is>
          <t>VIMMERBY</t>
        </is>
      </c>
      <c r="G627" t="n">
        <v>8.6</v>
      </c>
      <c r="H627" t="n">
        <v>0</v>
      </c>
      <c r="I627" t="n">
        <v>0</v>
      </c>
      <c r="J627" t="n">
        <v>0</v>
      </c>
      <c r="K627" t="n">
        <v>0</v>
      </c>
      <c r="L627" t="n">
        <v>0</v>
      </c>
      <c r="M627" t="n">
        <v>0</v>
      </c>
      <c r="N627" t="n">
        <v>0</v>
      </c>
      <c r="O627" t="n">
        <v>0</v>
      </c>
      <c r="P627" t="n">
        <v>0</v>
      </c>
      <c r="Q627" t="n">
        <v>0</v>
      </c>
      <c r="R627" s="2" t="inlineStr"/>
    </row>
    <row r="628" ht="15" customHeight="1">
      <c r="A628" t="inlineStr">
        <is>
          <t>A 7797-2023</t>
        </is>
      </c>
      <c r="B628" s="1" t="n">
        <v>44973.43075231482</v>
      </c>
      <c r="C628" s="1" t="n">
        <v>45982</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29351-2023</t>
        </is>
      </c>
      <c r="B629" s="1" t="n">
        <v>45106.2610300926</v>
      </c>
      <c r="C629" s="1" t="n">
        <v>45982</v>
      </c>
      <c r="D629" t="inlineStr">
        <is>
          <t>KALMAR LÄN</t>
        </is>
      </c>
      <c r="E629" t="inlineStr">
        <is>
          <t>VIMMERBY</t>
        </is>
      </c>
      <c r="G629" t="n">
        <v>0.4</v>
      </c>
      <c r="H629" t="n">
        <v>0</v>
      </c>
      <c r="I629" t="n">
        <v>0</v>
      </c>
      <c r="J629" t="n">
        <v>0</v>
      </c>
      <c r="K629" t="n">
        <v>0</v>
      </c>
      <c r="L629" t="n">
        <v>0</v>
      </c>
      <c r="M629" t="n">
        <v>0</v>
      </c>
      <c r="N629" t="n">
        <v>0</v>
      </c>
      <c r="O629" t="n">
        <v>0</v>
      </c>
      <c r="P629" t="n">
        <v>0</v>
      </c>
      <c r="Q629" t="n">
        <v>0</v>
      </c>
      <c r="R629" s="2" t="inlineStr"/>
    </row>
    <row r="630" ht="15" customHeight="1">
      <c r="A630" t="inlineStr">
        <is>
          <t>A 7630-2025</t>
        </is>
      </c>
      <c r="B630" s="1" t="n">
        <v>45705.74418981482</v>
      </c>
      <c r="C630" s="1" t="n">
        <v>45982</v>
      </c>
      <c r="D630" t="inlineStr">
        <is>
          <t>KALMAR LÄN</t>
        </is>
      </c>
      <c r="E630" t="inlineStr">
        <is>
          <t>VIMMERBY</t>
        </is>
      </c>
      <c r="G630" t="n">
        <v>2.5</v>
      </c>
      <c r="H630" t="n">
        <v>0</v>
      </c>
      <c r="I630" t="n">
        <v>0</v>
      </c>
      <c r="J630" t="n">
        <v>0</v>
      </c>
      <c r="K630" t="n">
        <v>0</v>
      </c>
      <c r="L630" t="n">
        <v>0</v>
      </c>
      <c r="M630" t="n">
        <v>0</v>
      </c>
      <c r="N630" t="n">
        <v>0</v>
      </c>
      <c r="O630" t="n">
        <v>0</v>
      </c>
      <c r="P630" t="n">
        <v>0</v>
      </c>
      <c r="Q630" t="n">
        <v>0</v>
      </c>
      <c r="R630" s="2" t="inlineStr"/>
    </row>
    <row r="631" ht="15" customHeight="1">
      <c r="A631" t="inlineStr">
        <is>
          <t>A 1024-2024</t>
        </is>
      </c>
      <c r="B631" s="1" t="n">
        <v>45301.68237268519</v>
      </c>
      <c r="C631" s="1" t="n">
        <v>45982</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10787-2025</t>
        </is>
      </c>
      <c r="B632" s="1" t="n">
        <v>45722.48915509259</v>
      </c>
      <c r="C632" s="1" t="n">
        <v>45982</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29350-2023</t>
        </is>
      </c>
      <c r="B633" s="1" t="n">
        <v>45106</v>
      </c>
      <c r="C633" s="1" t="n">
        <v>45982</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14855-2025</t>
        </is>
      </c>
      <c r="B634" s="1" t="n">
        <v>45743.41148148148</v>
      </c>
      <c r="C634" s="1" t="n">
        <v>45982</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43601-2024</t>
        </is>
      </c>
      <c r="B635" s="1" t="n">
        <v>45569.44684027778</v>
      </c>
      <c r="C635" s="1" t="n">
        <v>45982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35913-2023</t>
        </is>
      </c>
      <c r="B636" s="1" t="n">
        <v>45148</v>
      </c>
      <c r="C636" s="1" t="n">
        <v>45982</v>
      </c>
      <c r="D636" t="inlineStr">
        <is>
          <t>KALMAR LÄN</t>
        </is>
      </c>
      <c r="E636" t="inlineStr">
        <is>
          <t>VIMMERBY</t>
        </is>
      </c>
      <c r="G636" t="n">
        <v>6.9</v>
      </c>
      <c r="H636" t="n">
        <v>0</v>
      </c>
      <c r="I636" t="n">
        <v>0</v>
      </c>
      <c r="J636" t="n">
        <v>0</v>
      </c>
      <c r="K636" t="n">
        <v>0</v>
      </c>
      <c r="L636" t="n">
        <v>0</v>
      </c>
      <c r="M636" t="n">
        <v>0</v>
      </c>
      <c r="N636" t="n">
        <v>0</v>
      </c>
      <c r="O636" t="n">
        <v>0</v>
      </c>
      <c r="P636" t="n">
        <v>0</v>
      </c>
      <c r="Q636" t="n">
        <v>0</v>
      </c>
      <c r="R636" s="2" t="inlineStr"/>
    </row>
    <row r="637" ht="15" customHeight="1">
      <c r="A637" t="inlineStr">
        <is>
          <t>A 9624-2024</t>
        </is>
      </c>
      <c r="B637" s="1" t="n">
        <v>45361.90282407407</v>
      </c>
      <c r="C637" s="1" t="n">
        <v>45982</v>
      </c>
      <c r="D637" t="inlineStr">
        <is>
          <t>KALMAR LÄN</t>
        </is>
      </c>
      <c r="E637" t="inlineStr">
        <is>
          <t>VIMMERBY</t>
        </is>
      </c>
      <c r="G637" t="n">
        <v>3.8</v>
      </c>
      <c r="H637" t="n">
        <v>0</v>
      </c>
      <c r="I637" t="n">
        <v>0</v>
      </c>
      <c r="J637" t="n">
        <v>0</v>
      </c>
      <c r="K637" t="n">
        <v>0</v>
      </c>
      <c r="L637" t="n">
        <v>0</v>
      </c>
      <c r="M637" t="n">
        <v>0</v>
      </c>
      <c r="N637" t="n">
        <v>0</v>
      </c>
      <c r="O637" t="n">
        <v>0</v>
      </c>
      <c r="P637" t="n">
        <v>0</v>
      </c>
      <c r="Q637" t="n">
        <v>0</v>
      </c>
      <c r="R637" s="2" t="inlineStr"/>
    </row>
    <row r="638" ht="15" customHeight="1">
      <c r="A638" t="inlineStr">
        <is>
          <t>A 3938-2023</t>
        </is>
      </c>
      <c r="B638" s="1" t="n">
        <v>44952.35775462963</v>
      </c>
      <c r="C638" s="1" t="n">
        <v>45982</v>
      </c>
      <c r="D638" t="inlineStr">
        <is>
          <t>KALMAR LÄN</t>
        </is>
      </c>
      <c r="E638" t="inlineStr">
        <is>
          <t>VIMMERBY</t>
        </is>
      </c>
      <c r="G638" t="n">
        <v>0.9</v>
      </c>
      <c r="H638" t="n">
        <v>0</v>
      </c>
      <c r="I638" t="n">
        <v>0</v>
      </c>
      <c r="J638" t="n">
        <v>0</v>
      </c>
      <c r="K638" t="n">
        <v>0</v>
      </c>
      <c r="L638" t="n">
        <v>0</v>
      </c>
      <c r="M638" t="n">
        <v>0</v>
      </c>
      <c r="N638" t="n">
        <v>0</v>
      </c>
      <c r="O638" t="n">
        <v>0</v>
      </c>
      <c r="P638" t="n">
        <v>0</v>
      </c>
      <c r="Q638" t="n">
        <v>0</v>
      </c>
      <c r="R638" s="2" t="inlineStr"/>
    </row>
    <row r="639" ht="15" customHeight="1">
      <c r="A639" t="inlineStr">
        <is>
          <t>A 39053-2024</t>
        </is>
      </c>
      <c r="B639" s="1" t="n">
        <v>45548</v>
      </c>
      <c r="C639" s="1" t="n">
        <v>45982</v>
      </c>
      <c r="D639" t="inlineStr">
        <is>
          <t>KALMAR LÄN</t>
        </is>
      </c>
      <c r="E639" t="inlineStr">
        <is>
          <t>VIMMERBY</t>
        </is>
      </c>
      <c r="G639" t="n">
        <v>5</v>
      </c>
      <c r="H639" t="n">
        <v>0</v>
      </c>
      <c r="I639" t="n">
        <v>0</v>
      </c>
      <c r="J639" t="n">
        <v>0</v>
      </c>
      <c r="K639" t="n">
        <v>0</v>
      </c>
      <c r="L639" t="n">
        <v>0</v>
      </c>
      <c r="M639" t="n">
        <v>0</v>
      </c>
      <c r="N639" t="n">
        <v>0</v>
      </c>
      <c r="O639" t="n">
        <v>0</v>
      </c>
      <c r="P639" t="n">
        <v>0</v>
      </c>
      <c r="Q639" t="n">
        <v>0</v>
      </c>
      <c r="R639" s="2" t="inlineStr"/>
    </row>
    <row r="640" ht="15" customHeight="1">
      <c r="A640" t="inlineStr">
        <is>
          <t>A 14451-2024</t>
        </is>
      </c>
      <c r="B640" s="1" t="n">
        <v>45394.50028935185</v>
      </c>
      <c r="C640" s="1" t="n">
        <v>45982</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34205-2023</t>
        </is>
      </c>
      <c r="B641" s="1" t="n">
        <v>45138</v>
      </c>
      <c r="C641" s="1" t="n">
        <v>45982</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3268-2024</t>
        </is>
      </c>
      <c r="B642" s="1" t="n">
        <v>45317</v>
      </c>
      <c r="C642" s="1" t="n">
        <v>45982</v>
      </c>
      <c r="D642" t="inlineStr">
        <is>
          <t>KALMAR LÄN</t>
        </is>
      </c>
      <c r="E642" t="inlineStr">
        <is>
          <t>VIMMERBY</t>
        </is>
      </c>
      <c r="F642" t="inlineStr">
        <is>
          <t>Övriga Aktiebolag</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12819-2024</t>
        </is>
      </c>
      <c r="B643" s="1" t="n">
        <v>45384.66917824074</v>
      </c>
      <c r="C643" s="1" t="n">
        <v>45982</v>
      </c>
      <c r="D643" t="inlineStr">
        <is>
          <t>KALMAR LÄN</t>
        </is>
      </c>
      <c r="E643" t="inlineStr">
        <is>
          <t>VIMMERBY</t>
        </is>
      </c>
      <c r="G643" t="n">
        <v>5.1</v>
      </c>
      <c r="H643" t="n">
        <v>0</v>
      </c>
      <c r="I643" t="n">
        <v>0</v>
      </c>
      <c r="J643" t="n">
        <v>0</v>
      </c>
      <c r="K643" t="n">
        <v>0</v>
      </c>
      <c r="L643" t="n">
        <v>0</v>
      </c>
      <c r="M643" t="n">
        <v>0</v>
      </c>
      <c r="N643" t="n">
        <v>0</v>
      </c>
      <c r="O643" t="n">
        <v>0</v>
      </c>
      <c r="P643" t="n">
        <v>0</v>
      </c>
      <c r="Q643" t="n">
        <v>0</v>
      </c>
      <c r="R643" s="2" t="inlineStr"/>
    </row>
    <row r="644" ht="15" customHeight="1">
      <c r="A644" t="inlineStr">
        <is>
          <t>A 6214-2025</t>
        </is>
      </c>
      <c r="B644" s="1" t="n">
        <v>45698.51711805556</v>
      </c>
      <c r="C644" s="1" t="n">
        <v>45982</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32569-2024</t>
        </is>
      </c>
      <c r="B645" s="1" t="n">
        <v>45513.55840277778</v>
      </c>
      <c r="C645" s="1" t="n">
        <v>45982</v>
      </c>
      <c r="D645" t="inlineStr">
        <is>
          <t>KALMAR LÄN</t>
        </is>
      </c>
      <c r="E645" t="inlineStr">
        <is>
          <t>VIMMERBY</t>
        </is>
      </c>
      <c r="G645" t="n">
        <v>3.7</v>
      </c>
      <c r="H645" t="n">
        <v>0</v>
      </c>
      <c r="I645" t="n">
        <v>0</v>
      </c>
      <c r="J645" t="n">
        <v>0</v>
      </c>
      <c r="K645" t="n">
        <v>0</v>
      </c>
      <c r="L645" t="n">
        <v>0</v>
      </c>
      <c r="M645" t="n">
        <v>0</v>
      </c>
      <c r="N645" t="n">
        <v>0</v>
      </c>
      <c r="O645" t="n">
        <v>0</v>
      </c>
      <c r="P645" t="n">
        <v>0</v>
      </c>
      <c r="Q645" t="n">
        <v>0</v>
      </c>
      <c r="R645" s="2" t="inlineStr"/>
    </row>
    <row r="646" ht="15" customHeight="1">
      <c r="A646" t="inlineStr">
        <is>
          <t>A 32575-2024</t>
        </is>
      </c>
      <c r="B646" s="1" t="n">
        <v>45513.56527777778</v>
      </c>
      <c r="C646" s="1" t="n">
        <v>45982</v>
      </c>
      <c r="D646" t="inlineStr">
        <is>
          <t>KALMAR LÄN</t>
        </is>
      </c>
      <c r="E646" t="inlineStr">
        <is>
          <t>VIMMERBY</t>
        </is>
      </c>
      <c r="G646" t="n">
        <v>1.5</v>
      </c>
      <c r="H646" t="n">
        <v>0</v>
      </c>
      <c r="I646" t="n">
        <v>0</v>
      </c>
      <c r="J646" t="n">
        <v>0</v>
      </c>
      <c r="K646" t="n">
        <v>0</v>
      </c>
      <c r="L646" t="n">
        <v>0</v>
      </c>
      <c r="M646" t="n">
        <v>0</v>
      </c>
      <c r="N646" t="n">
        <v>0</v>
      </c>
      <c r="O646" t="n">
        <v>0</v>
      </c>
      <c r="P646" t="n">
        <v>0</v>
      </c>
      <c r="Q646" t="n">
        <v>0</v>
      </c>
      <c r="R646" s="2" t="inlineStr"/>
    </row>
    <row r="647" ht="15" customHeight="1">
      <c r="A647" t="inlineStr">
        <is>
          <t>A 59300-2024</t>
        </is>
      </c>
      <c r="B647" s="1" t="n">
        <v>45637.66542824074</v>
      </c>
      <c r="C647" s="1" t="n">
        <v>45982</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59768-2024</t>
        </is>
      </c>
      <c r="B648" s="1" t="n">
        <v>45639.56185185185</v>
      </c>
      <c r="C648" s="1" t="n">
        <v>45982</v>
      </c>
      <c r="D648" t="inlineStr">
        <is>
          <t>KALMAR LÄN</t>
        </is>
      </c>
      <c r="E648" t="inlineStr">
        <is>
          <t>VIMMERBY</t>
        </is>
      </c>
      <c r="G648" t="n">
        <v>5.9</v>
      </c>
      <c r="H648" t="n">
        <v>0</v>
      </c>
      <c r="I648" t="n">
        <v>0</v>
      </c>
      <c r="J648" t="n">
        <v>0</v>
      </c>
      <c r="K648" t="n">
        <v>0</v>
      </c>
      <c r="L648" t="n">
        <v>0</v>
      </c>
      <c r="M648" t="n">
        <v>0</v>
      </c>
      <c r="N648" t="n">
        <v>0</v>
      </c>
      <c r="O648" t="n">
        <v>0</v>
      </c>
      <c r="P648" t="n">
        <v>0</v>
      </c>
      <c r="Q648" t="n">
        <v>0</v>
      </c>
      <c r="R648" s="2" t="inlineStr"/>
    </row>
    <row r="649" ht="15" customHeight="1">
      <c r="A649" t="inlineStr">
        <is>
          <t>A 36526-2023</t>
        </is>
      </c>
      <c r="B649" s="1" t="n">
        <v>45153.32778935185</v>
      </c>
      <c r="C649" s="1" t="n">
        <v>45982</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58728-2024</t>
        </is>
      </c>
      <c r="B650" s="1" t="n">
        <v>45635.66695601852</v>
      </c>
      <c r="C650" s="1" t="n">
        <v>45982</v>
      </c>
      <c r="D650" t="inlineStr">
        <is>
          <t>KALMAR LÄN</t>
        </is>
      </c>
      <c r="E650" t="inlineStr">
        <is>
          <t>VIMMERBY</t>
        </is>
      </c>
      <c r="G650" t="n">
        <v>0.4</v>
      </c>
      <c r="H650" t="n">
        <v>0</v>
      </c>
      <c r="I650" t="n">
        <v>0</v>
      </c>
      <c r="J650" t="n">
        <v>0</v>
      </c>
      <c r="K650" t="n">
        <v>0</v>
      </c>
      <c r="L650" t="n">
        <v>0</v>
      </c>
      <c r="M650" t="n">
        <v>0</v>
      </c>
      <c r="N650" t="n">
        <v>0</v>
      </c>
      <c r="O650" t="n">
        <v>0</v>
      </c>
      <c r="P650" t="n">
        <v>0</v>
      </c>
      <c r="Q650" t="n">
        <v>0</v>
      </c>
      <c r="R650" s="2" t="inlineStr"/>
    </row>
    <row r="651" ht="15" customHeight="1">
      <c r="A651" t="inlineStr">
        <is>
          <t>A 49474-2023</t>
        </is>
      </c>
      <c r="B651" s="1" t="n">
        <v>45211.541875</v>
      </c>
      <c r="C651" s="1" t="n">
        <v>45982</v>
      </c>
      <c r="D651" t="inlineStr">
        <is>
          <t>KALMAR LÄN</t>
        </is>
      </c>
      <c r="E651" t="inlineStr">
        <is>
          <t>VIMMERBY</t>
        </is>
      </c>
      <c r="G651" t="n">
        <v>3.6</v>
      </c>
      <c r="H651" t="n">
        <v>0</v>
      </c>
      <c r="I651" t="n">
        <v>0</v>
      </c>
      <c r="J651" t="n">
        <v>0</v>
      </c>
      <c r="K651" t="n">
        <v>0</v>
      </c>
      <c r="L651" t="n">
        <v>0</v>
      </c>
      <c r="M651" t="n">
        <v>0</v>
      </c>
      <c r="N651" t="n">
        <v>0</v>
      </c>
      <c r="O651" t="n">
        <v>0</v>
      </c>
      <c r="P651" t="n">
        <v>0</v>
      </c>
      <c r="Q651" t="n">
        <v>0</v>
      </c>
      <c r="R651" s="2" t="inlineStr"/>
    </row>
    <row r="652" ht="15" customHeight="1">
      <c r="A652" t="inlineStr">
        <is>
          <t>A 57682-2022</t>
        </is>
      </c>
      <c r="B652" s="1" t="n">
        <v>44890</v>
      </c>
      <c r="C652" s="1" t="n">
        <v>45982</v>
      </c>
      <c r="D652" t="inlineStr">
        <is>
          <t>KALMAR LÄN</t>
        </is>
      </c>
      <c r="E652" t="inlineStr">
        <is>
          <t>VIMMERBY</t>
        </is>
      </c>
      <c r="G652" t="n">
        <v>1.5</v>
      </c>
      <c r="H652" t="n">
        <v>0</v>
      </c>
      <c r="I652" t="n">
        <v>0</v>
      </c>
      <c r="J652" t="n">
        <v>0</v>
      </c>
      <c r="K652" t="n">
        <v>0</v>
      </c>
      <c r="L652" t="n">
        <v>0</v>
      </c>
      <c r="M652" t="n">
        <v>0</v>
      </c>
      <c r="N652" t="n">
        <v>0</v>
      </c>
      <c r="O652" t="n">
        <v>0</v>
      </c>
      <c r="P652" t="n">
        <v>0</v>
      </c>
      <c r="Q652" t="n">
        <v>0</v>
      </c>
      <c r="R652" s="2" t="inlineStr"/>
    </row>
    <row r="653" ht="15" customHeight="1">
      <c r="A653" t="inlineStr">
        <is>
          <t>A 14220-2021</t>
        </is>
      </c>
      <c r="B653" s="1" t="n">
        <v>44278.54855324074</v>
      </c>
      <c r="C653" s="1" t="n">
        <v>45982</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63950-2023</t>
        </is>
      </c>
      <c r="B654" s="1" t="n">
        <v>45278</v>
      </c>
      <c r="C654" s="1" t="n">
        <v>45982</v>
      </c>
      <c r="D654" t="inlineStr">
        <is>
          <t>KALMAR LÄN</t>
        </is>
      </c>
      <c r="E654" t="inlineStr">
        <is>
          <t>VIMMERBY</t>
        </is>
      </c>
      <c r="F654" t="inlineStr">
        <is>
          <t>Kyrkan</t>
        </is>
      </c>
      <c r="G654" t="n">
        <v>2.7</v>
      </c>
      <c r="H654" t="n">
        <v>0</v>
      </c>
      <c r="I654" t="n">
        <v>0</v>
      </c>
      <c r="J654" t="n">
        <v>0</v>
      </c>
      <c r="K654" t="n">
        <v>0</v>
      </c>
      <c r="L654" t="n">
        <v>0</v>
      </c>
      <c r="M654" t="n">
        <v>0</v>
      </c>
      <c r="N654" t="n">
        <v>0</v>
      </c>
      <c r="O654" t="n">
        <v>0</v>
      </c>
      <c r="P654" t="n">
        <v>0</v>
      </c>
      <c r="Q654" t="n">
        <v>0</v>
      </c>
      <c r="R654" s="2" t="inlineStr"/>
    </row>
    <row r="655" ht="15" customHeight="1">
      <c r="A655" t="inlineStr">
        <is>
          <t>A 16516-2023</t>
        </is>
      </c>
      <c r="B655" s="1" t="n">
        <v>45029</v>
      </c>
      <c r="C655" s="1" t="n">
        <v>45982</v>
      </c>
      <c r="D655" t="inlineStr">
        <is>
          <t>KALMAR LÄN</t>
        </is>
      </c>
      <c r="E655" t="inlineStr">
        <is>
          <t>VIMMERBY</t>
        </is>
      </c>
      <c r="G655" t="n">
        <v>4.3</v>
      </c>
      <c r="H655" t="n">
        <v>0</v>
      </c>
      <c r="I655" t="n">
        <v>0</v>
      </c>
      <c r="J655" t="n">
        <v>0</v>
      </c>
      <c r="K655" t="n">
        <v>0</v>
      </c>
      <c r="L655" t="n">
        <v>0</v>
      </c>
      <c r="M655" t="n">
        <v>0</v>
      </c>
      <c r="N655" t="n">
        <v>0</v>
      </c>
      <c r="O655" t="n">
        <v>0</v>
      </c>
      <c r="P655" t="n">
        <v>0</v>
      </c>
      <c r="Q655" t="n">
        <v>0</v>
      </c>
      <c r="R655" s="2" t="inlineStr"/>
    </row>
    <row r="656" ht="15" customHeight="1">
      <c r="A656" t="inlineStr">
        <is>
          <t>A 47842-2024</t>
        </is>
      </c>
      <c r="B656" s="1" t="n">
        <v>45588.65545138889</v>
      </c>
      <c r="C656" s="1" t="n">
        <v>45982</v>
      </c>
      <c r="D656" t="inlineStr">
        <is>
          <t>KALMAR LÄN</t>
        </is>
      </c>
      <c r="E656" t="inlineStr">
        <is>
          <t>VIMMERBY</t>
        </is>
      </c>
      <c r="G656" t="n">
        <v>2.4</v>
      </c>
      <c r="H656" t="n">
        <v>0</v>
      </c>
      <c r="I656" t="n">
        <v>0</v>
      </c>
      <c r="J656" t="n">
        <v>0</v>
      </c>
      <c r="K656" t="n">
        <v>0</v>
      </c>
      <c r="L656" t="n">
        <v>0</v>
      </c>
      <c r="M656" t="n">
        <v>0</v>
      </c>
      <c r="N656" t="n">
        <v>0</v>
      </c>
      <c r="O656" t="n">
        <v>0</v>
      </c>
      <c r="P656" t="n">
        <v>0</v>
      </c>
      <c r="Q656" t="n">
        <v>0</v>
      </c>
      <c r="R656" s="2" t="inlineStr"/>
    </row>
    <row r="657" ht="15" customHeight="1">
      <c r="A657" t="inlineStr">
        <is>
          <t>A 6408-2025</t>
        </is>
      </c>
      <c r="B657" s="1" t="n">
        <v>45699.45671296296</v>
      </c>
      <c r="C657" s="1" t="n">
        <v>45982</v>
      </c>
      <c r="D657" t="inlineStr">
        <is>
          <t>KALMAR LÄN</t>
        </is>
      </c>
      <c r="E657" t="inlineStr">
        <is>
          <t>VIMMERBY</t>
        </is>
      </c>
      <c r="G657" t="n">
        <v>1</v>
      </c>
      <c r="H657" t="n">
        <v>0</v>
      </c>
      <c r="I657" t="n">
        <v>0</v>
      </c>
      <c r="J657" t="n">
        <v>0</v>
      </c>
      <c r="K657" t="n">
        <v>0</v>
      </c>
      <c r="L657" t="n">
        <v>0</v>
      </c>
      <c r="M657" t="n">
        <v>0</v>
      </c>
      <c r="N657" t="n">
        <v>0</v>
      </c>
      <c r="O657" t="n">
        <v>0</v>
      </c>
      <c r="P657" t="n">
        <v>0</v>
      </c>
      <c r="Q657" t="n">
        <v>0</v>
      </c>
      <c r="R657" s="2" t="inlineStr"/>
    </row>
    <row r="658" ht="15" customHeight="1">
      <c r="A658" t="inlineStr">
        <is>
          <t>A 25109-2023</t>
        </is>
      </c>
      <c r="B658" s="1" t="n">
        <v>45086</v>
      </c>
      <c r="C658" s="1" t="n">
        <v>45982</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33380-2023</t>
        </is>
      </c>
      <c r="B659" s="1" t="n">
        <v>45128</v>
      </c>
      <c r="C659" s="1" t="n">
        <v>45982</v>
      </c>
      <c r="D659" t="inlineStr">
        <is>
          <t>KALMAR LÄN</t>
        </is>
      </c>
      <c r="E659" t="inlineStr">
        <is>
          <t>VIMMERBY</t>
        </is>
      </c>
      <c r="G659" t="n">
        <v>5.2</v>
      </c>
      <c r="H659" t="n">
        <v>0</v>
      </c>
      <c r="I659" t="n">
        <v>0</v>
      </c>
      <c r="J659" t="n">
        <v>0</v>
      </c>
      <c r="K659" t="n">
        <v>0</v>
      </c>
      <c r="L659" t="n">
        <v>0</v>
      </c>
      <c r="M659" t="n">
        <v>0</v>
      </c>
      <c r="N659" t="n">
        <v>0</v>
      </c>
      <c r="O659" t="n">
        <v>0</v>
      </c>
      <c r="P659" t="n">
        <v>0</v>
      </c>
      <c r="Q659" t="n">
        <v>0</v>
      </c>
      <c r="R659" s="2" t="inlineStr"/>
    </row>
    <row r="660" ht="15" customHeight="1">
      <c r="A660" t="inlineStr">
        <is>
          <t>A 32639-2023</t>
        </is>
      </c>
      <c r="B660" s="1" t="n">
        <v>45121.5965162037</v>
      </c>
      <c r="C660" s="1" t="n">
        <v>45982</v>
      </c>
      <c r="D660" t="inlineStr">
        <is>
          <t>KALMAR LÄN</t>
        </is>
      </c>
      <c r="E660" t="inlineStr">
        <is>
          <t>VIMMERBY</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32642-2023</t>
        </is>
      </c>
      <c r="B661" s="1" t="n">
        <v>45121.59954861111</v>
      </c>
      <c r="C661" s="1" t="n">
        <v>45982</v>
      </c>
      <c r="D661" t="inlineStr">
        <is>
          <t>KALMAR LÄN</t>
        </is>
      </c>
      <c r="E661" t="inlineStr">
        <is>
          <t>VIMMERBY</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32651-2023</t>
        </is>
      </c>
      <c r="B662" s="1" t="n">
        <v>45121.6096875</v>
      </c>
      <c r="C662" s="1" t="n">
        <v>45982</v>
      </c>
      <c r="D662" t="inlineStr">
        <is>
          <t>KALMAR LÄN</t>
        </is>
      </c>
      <c r="E662" t="inlineStr">
        <is>
          <t>VIMMERBY</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11928-2022</t>
        </is>
      </c>
      <c r="B663" s="1" t="n">
        <v>44635</v>
      </c>
      <c r="C663" s="1" t="n">
        <v>45982</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7068-2024</t>
        </is>
      </c>
      <c r="B664" s="1" t="n">
        <v>45343.68038194445</v>
      </c>
      <c r="C664" s="1" t="n">
        <v>45982</v>
      </c>
      <c r="D664" t="inlineStr">
        <is>
          <t>KALMAR LÄN</t>
        </is>
      </c>
      <c r="E664" t="inlineStr">
        <is>
          <t>VIMMERBY</t>
        </is>
      </c>
      <c r="G664" t="n">
        <v>2.5</v>
      </c>
      <c r="H664" t="n">
        <v>0</v>
      </c>
      <c r="I664" t="n">
        <v>0</v>
      </c>
      <c r="J664" t="n">
        <v>0</v>
      </c>
      <c r="K664" t="n">
        <v>0</v>
      </c>
      <c r="L664" t="n">
        <v>0</v>
      </c>
      <c r="M664" t="n">
        <v>0</v>
      </c>
      <c r="N664" t="n">
        <v>0</v>
      </c>
      <c r="O664" t="n">
        <v>0</v>
      </c>
      <c r="P664" t="n">
        <v>0</v>
      </c>
      <c r="Q664" t="n">
        <v>0</v>
      </c>
      <c r="R664" s="2" t="inlineStr"/>
    </row>
    <row r="665" ht="15" customHeight="1">
      <c r="A665" t="inlineStr">
        <is>
          <t>A 46234-2024</t>
        </is>
      </c>
      <c r="B665" s="1" t="n">
        <v>45581.57958333333</v>
      </c>
      <c r="C665" s="1" t="n">
        <v>45982</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37187-2024</t>
        </is>
      </c>
      <c r="B666" s="1" t="n">
        <v>45539.65212962963</v>
      </c>
      <c r="C666" s="1" t="n">
        <v>45982</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1021-2024</t>
        </is>
      </c>
      <c r="B667" s="1" t="n">
        <v>45301.67736111111</v>
      </c>
      <c r="C667" s="1" t="n">
        <v>45982</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72701-2021</t>
        </is>
      </c>
      <c r="B668" s="1" t="n">
        <v>44546</v>
      </c>
      <c r="C668" s="1" t="n">
        <v>45982</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19111-2025</t>
        </is>
      </c>
      <c r="B669" s="1" t="n">
        <v>45768.65611111111</v>
      </c>
      <c r="C669" s="1" t="n">
        <v>45982</v>
      </c>
      <c r="D669" t="inlineStr">
        <is>
          <t>KALMAR LÄN</t>
        </is>
      </c>
      <c r="E669" t="inlineStr">
        <is>
          <t>VIMMERBY</t>
        </is>
      </c>
      <c r="G669" t="n">
        <v>6.2</v>
      </c>
      <c r="H669" t="n">
        <v>0</v>
      </c>
      <c r="I669" t="n">
        <v>0</v>
      </c>
      <c r="J669" t="n">
        <v>0</v>
      </c>
      <c r="K669" t="n">
        <v>0</v>
      </c>
      <c r="L669" t="n">
        <v>0</v>
      </c>
      <c r="M669" t="n">
        <v>0</v>
      </c>
      <c r="N669" t="n">
        <v>0</v>
      </c>
      <c r="O669" t="n">
        <v>0</v>
      </c>
      <c r="P669" t="n">
        <v>0</v>
      </c>
      <c r="Q669" t="n">
        <v>0</v>
      </c>
      <c r="R669" s="2" t="inlineStr"/>
    </row>
    <row r="670" ht="15" customHeight="1">
      <c r="A670" t="inlineStr">
        <is>
          <t>A 33374-2021</t>
        </is>
      </c>
      <c r="B670" s="1" t="n">
        <v>44377</v>
      </c>
      <c r="C670" s="1" t="n">
        <v>45982</v>
      </c>
      <c r="D670" t="inlineStr">
        <is>
          <t>KALMAR LÄN</t>
        </is>
      </c>
      <c r="E670" t="inlineStr">
        <is>
          <t>VIMMERBY</t>
        </is>
      </c>
      <c r="G670" t="n">
        <v>3.3</v>
      </c>
      <c r="H670" t="n">
        <v>0</v>
      </c>
      <c r="I670" t="n">
        <v>0</v>
      </c>
      <c r="J670" t="n">
        <v>0</v>
      </c>
      <c r="K670" t="n">
        <v>0</v>
      </c>
      <c r="L670" t="n">
        <v>0</v>
      </c>
      <c r="M670" t="n">
        <v>0</v>
      </c>
      <c r="N670" t="n">
        <v>0</v>
      </c>
      <c r="O670" t="n">
        <v>0</v>
      </c>
      <c r="P670" t="n">
        <v>0</v>
      </c>
      <c r="Q670" t="n">
        <v>0</v>
      </c>
      <c r="R670" s="2" t="inlineStr"/>
    </row>
    <row r="671" ht="15" customHeight="1">
      <c r="A671" t="inlineStr">
        <is>
          <t>A 10807-2024</t>
        </is>
      </c>
      <c r="B671" s="1" t="n">
        <v>45369.62780092593</v>
      </c>
      <c r="C671" s="1" t="n">
        <v>45982</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33359-2021</t>
        </is>
      </c>
      <c r="B672" s="1" t="n">
        <v>44377.49684027778</v>
      </c>
      <c r="C672" s="1" t="n">
        <v>45982</v>
      </c>
      <c r="D672" t="inlineStr">
        <is>
          <t>KALMAR LÄN</t>
        </is>
      </c>
      <c r="E672" t="inlineStr">
        <is>
          <t>VIMMERBY</t>
        </is>
      </c>
      <c r="F672" t="inlineStr">
        <is>
          <t>Kommuner</t>
        </is>
      </c>
      <c r="G672" t="n">
        <v>8</v>
      </c>
      <c r="H672" t="n">
        <v>0</v>
      </c>
      <c r="I672" t="n">
        <v>0</v>
      </c>
      <c r="J672" t="n">
        <v>0</v>
      </c>
      <c r="K672" t="n">
        <v>0</v>
      </c>
      <c r="L672" t="n">
        <v>0</v>
      </c>
      <c r="M672" t="n">
        <v>0</v>
      </c>
      <c r="N672" t="n">
        <v>0</v>
      </c>
      <c r="O672" t="n">
        <v>0</v>
      </c>
      <c r="P672" t="n">
        <v>0</v>
      </c>
      <c r="Q672" t="n">
        <v>0</v>
      </c>
      <c r="R672" s="2" t="inlineStr"/>
    </row>
    <row r="673" ht="15" customHeight="1">
      <c r="A673" t="inlineStr">
        <is>
          <t>A 34588-2024</t>
        </is>
      </c>
      <c r="B673" s="1" t="n">
        <v>45526.3865625</v>
      </c>
      <c r="C673" s="1" t="n">
        <v>45982</v>
      </c>
      <c r="D673" t="inlineStr">
        <is>
          <t>KALMAR LÄN</t>
        </is>
      </c>
      <c r="E673" t="inlineStr">
        <is>
          <t>VIMMERBY</t>
        </is>
      </c>
      <c r="F673" t="inlineStr">
        <is>
          <t>Övriga Aktiebolag</t>
        </is>
      </c>
      <c r="G673" t="n">
        <v>3.3</v>
      </c>
      <c r="H673" t="n">
        <v>0</v>
      </c>
      <c r="I673" t="n">
        <v>0</v>
      </c>
      <c r="J673" t="n">
        <v>0</v>
      </c>
      <c r="K673" t="n">
        <v>0</v>
      </c>
      <c r="L673" t="n">
        <v>0</v>
      </c>
      <c r="M673" t="n">
        <v>0</v>
      </c>
      <c r="N673" t="n">
        <v>0</v>
      </c>
      <c r="O673" t="n">
        <v>0</v>
      </c>
      <c r="P673" t="n">
        <v>0</v>
      </c>
      <c r="Q673" t="n">
        <v>0</v>
      </c>
      <c r="R673" s="2" t="inlineStr"/>
    </row>
    <row r="674" ht="15" customHeight="1">
      <c r="A674" t="inlineStr">
        <is>
          <t>A 17084-2025</t>
        </is>
      </c>
      <c r="B674" s="1" t="n">
        <v>45755.64450231481</v>
      </c>
      <c r="C674" s="1" t="n">
        <v>45982</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33161-2024</t>
        </is>
      </c>
      <c r="B675" s="1" t="n">
        <v>45518.40657407408</v>
      </c>
      <c r="C675" s="1" t="n">
        <v>45982</v>
      </c>
      <c r="D675" t="inlineStr">
        <is>
          <t>KALMAR LÄN</t>
        </is>
      </c>
      <c r="E675" t="inlineStr">
        <is>
          <t>VIMMERBY</t>
        </is>
      </c>
      <c r="G675" t="n">
        <v>4.7</v>
      </c>
      <c r="H675" t="n">
        <v>0</v>
      </c>
      <c r="I675" t="n">
        <v>0</v>
      </c>
      <c r="J675" t="n">
        <v>0</v>
      </c>
      <c r="K675" t="n">
        <v>0</v>
      </c>
      <c r="L675" t="n">
        <v>0</v>
      </c>
      <c r="M675" t="n">
        <v>0</v>
      </c>
      <c r="N675" t="n">
        <v>0</v>
      </c>
      <c r="O675" t="n">
        <v>0</v>
      </c>
      <c r="P675" t="n">
        <v>0</v>
      </c>
      <c r="Q675" t="n">
        <v>0</v>
      </c>
      <c r="R675" s="2" t="inlineStr"/>
    </row>
    <row r="676" ht="15" customHeight="1">
      <c r="A676" t="inlineStr">
        <is>
          <t>A 14359-2025</t>
        </is>
      </c>
      <c r="B676" s="1" t="n">
        <v>45741.37270833334</v>
      </c>
      <c r="C676" s="1" t="n">
        <v>45982</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7075-2021</t>
        </is>
      </c>
      <c r="B677" s="1" t="n">
        <v>44237</v>
      </c>
      <c r="C677" s="1" t="n">
        <v>45982</v>
      </c>
      <c r="D677" t="inlineStr">
        <is>
          <t>KALMAR LÄN</t>
        </is>
      </c>
      <c r="E677" t="inlineStr">
        <is>
          <t>VIMMERBY</t>
        </is>
      </c>
      <c r="G677" t="n">
        <v>3.6</v>
      </c>
      <c r="H677" t="n">
        <v>0</v>
      </c>
      <c r="I677" t="n">
        <v>0</v>
      </c>
      <c r="J677" t="n">
        <v>0</v>
      </c>
      <c r="K677" t="n">
        <v>0</v>
      </c>
      <c r="L677" t="n">
        <v>0</v>
      </c>
      <c r="M677" t="n">
        <v>0</v>
      </c>
      <c r="N677" t="n">
        <v>0</v>
      </c>
      <c r="O677" t="n">
        <v>0</v>
      </c>
      <c r="P677" t="n">
        <v>0</v>
      </c>
      <c r="Q677" t="n">
        <v>0</v>
      </c>
      <c r="R677" s="2" t="inlineStr"/>
    </row>
    <row r="678" ht="15" customHeight="1">
      <c r="A678" t="inlineStr">
        <is>
          <t>A 55605-2024</t>
        </is>
      </c>
      <c r="B678" s="1" t="n">
        <v>45622</v>
      </c>
      <c r="C678" s="1" t="n">
        <v>45982</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44464-2024</t>
        </is>
      </c>
      <c r="B679" s="1" t="n">
        <v>45574.35809027778</v>
      </c>
      <c r="C679" s="1" t="n">
        <v>45982</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36049-2024</t>
        </is>
      </c>
      <c r="B680" s="1" t="n">
        <v>45533.61996527778</v>
      </c>
      <c r="C680" s="1" t="n">
        <v>45982</v>
      </c>
      <c r="D680" t="inlineStr">
        <is>
          <t>KALMAR LÄN</t>
        </is>
      </c>
      <c r="E680" t="inlineStr">
        <is>
          <t>VIMMERBY</t>
        </is>
      </c>
      <c r="F680" t="inlineStr">
        <is>
          <t>Kommuner</t>
        </is>
      </c>
      <c r="G680" t="n">
        <v>2.6</v>
      </c>
      <c r="H680" t="n">
        <v>0</v>
      </c>
      <c r="I680" t="n">
        <v>0</v>
      </c>
      <c r="J680" t="n">
        <v>0</v>
      </c>
      <c r="K680" t="n">
        <v>0</v>
      </c>
      <c r="L680" t="n">
        <v>0</v>
      </c>
      <c r="M680" t="n">
        <v>0</v>
      </c>
      <c r="N680" t="n">
        <v>0</v>
      </c>
      <c r="O680" t="n">
        <v>0</v>
      </c>
      <c r="P680" t="n">
        <v>0</v>
      </c>
      <c r="Q680" t="n">
        <v>0</v>
      </c>
      <c r="R680" s="2" t="inlineStr"/>
    </row>
    <row r="681" ht="15" customHeight="1">
      <c r="A681" t="inlineStr">
        <is>
          <t>A 4297-2022</t>
        </is>
      </c>
      <c r="B681" s="1" t="n">
        <v>44588</v>
      </c>
      <c r="C681" s="1" t="n">
        <v>45982</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46399-2024</t>
        </is>
      </c>
      <c r="B682" s="1" t="n">
        <v>45582.41200231481</v>
      </c>
      <c r="C682" s="1" t="n">
        <v>45982</v>
      </c>
      <c r="D682" t="inlineStr">
        <is>
          <t>KALMAR LÄN</t>
        </is>
      </c>
      <c r="E682" t="inlineStr">
        <is>
          <t>VIMMERBY</t>
        </is>
      </c>
      <c r="G682" t="n">
        <v>4.6</v>
      </c>
      <c r="H682" t="n">
        <v>0</v>
      </c>
      <c r="I682" t="n">
        <v>0</v>
      </c>
      <c r="J682" t="n">
        <v>0</v>
      </c>
      <c r="K682" t="n">
        <v>0</v>
      </c>
      <c r="L682" t="n">
        <v>0</v>
      </c>
      <c r="M682" t="n">
        <v>0</v>
      </c>
      <c r="N682" t="n">
        <v>0</v>
      </c>
      <c r="O682" t="n">
        <v>0</v>
      </c>
      <c r="P682" t="n">
        <v>0</v>
      </c>
      <c r="Q682" t="n">
        <v>0</v>
      </c>
      <c r="R682" s="2" t="inlineStr"/>
    </row>
    <row r="683" ht="15" customHeight="1">
      <c r="A683" t="inlineStr">
        <is>
          <t>A 13532-2025</t>
        </is>
      </c>
      <c r="B683" s="1" t="n">
        <v>45736.50743055555</v>
      </c>
      <c r="C683" s="1" t="n">
        <v>45982</v>
      </c>
      <c r="D683" t="inlineStr">
        <is>
          <t>KALMAR LÄN</t>
        </is>
      </c>
      <c r="E683" t="inlineStr">
        <is>
          <t>VIMMERBY</t>
        </is>
      </c>
      <c r="G683" t="n">
        <v>3.6</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44833.60123842592</v>
      </c>
      <c r="C684" s="1" t="n">
        <v>45982</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12596-2021</t>
        </is>
      </c>
      <c r="B685" s="1" t="n">
        <v>44270.39765046296</v>
      </c>
      <c r="C685" s="1" t="n">
        <v>45982</v>
      </c>
      <c r="D685" t="inlineStr">
        <is>
          <t>KALMAR LÄN</t>
        </is>
      </c>
      <c r="E685" t="inlineStr">
        <is>
          <t>VIMMERBY</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57799-2022</t>
        </is>
      </c>
      <c r="B686" s="1" t="n">
        <v>44897</v>
      </c>
      <c r="C686" s="1" t="n">
        <v>45982</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30921-2024</t>
        </is>
      </c>
      <c r="B687" s="1" t="n">
        <v>45498</v>
      </c>
      <c r="C687" s="1" t="n">
        <v>45982</v>
      </c>
      <c r="D687" t="inlineStr">
        <is>
          <t>KALMAR LÄN</t>
        </is>
      </c>
      <c r="E687" t="inlineStr">
        <is>
          <t>VIMMERBY</t>
        </is>
      </c>
      <c r="G687" t="n">
        <v>1.6</v>
      </c>
      <c r="H687" t="n">
        <v>0</v>
      </c>
      <c r="I687" t="n">
        <v>0</v>
      </c>
      <c r="J687" t="n">
        <v>0</v>
      </c>
      <c r="K687" t="n">
        <v>0</v>
      </c>
      <c r="L687" t="n">
        <v>0</v>
      </c>
      <c r="M687" t="n">
        <v>0</v>
      </c>
      <c r="N687" t="n">
        <v>0</v>
      </c>
      <c r="O687" t="n">
        <v>0</v>
      </c>
      <c r="P687" t="n">
        <v>0</v>
      </c>
      <c r="Q687" t="n">
        <v>0</v>
      </c>
      <c r="R687" s="2" t="inlineStr"/>
    </row>
    <row r="688" ht="15" customHeight="1">
      <c r="A688" t="inlineStr">
        <is>
          <t>A 14137-2023</t>
        </is>
      </c>
      <c r="B688" s="1" t="n">
        <v>45009.4671875</v>
      </c>
      <c r="C688" s="1" t="n">
        <v>45982</v>
      </c>
      <c r="D688" t="inlineStr">
        <is>
          <t>KALMAR LÄN</t>
        </is>
      </c>
      <c r="E688" t="inlineStr">
        <is>
          <t>VIMMERBY</t>
        </is>
      </c>
      <c r="G688" t="n">
        <v>1.3</v>
      </c>
      <c r="H688" t="n">
        <v>0</v>
      </c>
      <c r="I688" t="n">
        <v>0</v>
      </c>
      <c r="J688" t="n">
        <v>0</v>
      </c>
      <c r="K688" t="n">
        <v>0</v>
      </c>
      <c r="L688" t="n">
        <v>0</v>
      </c>
      <c r="M688" t="n">
        <v>0</v>
      </c>
      <c r="N688" t="n">
        <v>0</v>
      </c>
      <c r="O688" t="n">
        <v>0</v>
      </c>
      <c r="P688" t="n">
        <v>0</v>
      </c>
      <c r="Q688" t="n">
        <v>0</v>
      </c>
      <c r="R688" s="2" t="inlineStr"/>
    </row>
    <row r="689" ht="15" customHeight="1">
      <c r="A689" t="inlineStr">
        <is>
          <t>A 11152-2023</t>
        </is>
      </c>
      <c r="B689" s="1" t="n">
        <v>44992</v>
      </c>
      <c r="C689" s="1" t="n">
        <v>45982</v>
      </c>
      <c r="D689" t="inlineStr">
        <is>
          <t>KALMAR LÄN</t>
        </is>
      </c>
      <c r="E689" t="inlineStr">
        <is>
          <t>VIMMERBY</t>
        </is>
      </c>
      <c r="G689" t="n">
        <v>10.6</v>
      </c>
      <c r="H689" t="n">
        <v>0</v>
      </c>
      <c r="I689" t="n">
        <v>0</v>
      </c>
      <c r="J689" t="n">
        <v>0</v>
      </c>
      <c r="K689" t="n">
        <v>0</v>
      </c>
      <c r="L689" t="n">
        <v>0</v>
      </c>
      <c r="M689" t="n">
        <v>0</v>
      </c>
      <c r="N689" t="n">
        <v>0</v>
      </c>
      <c r="O689" t="n">
        <v>0</v>
      </c>
      <c r="P689" t="n">
        <v>0</v>
      </c>
      <c r="Q689" t="n">
        <v>0</v>
      </c>
      <c r="R689" s="2" t="inlineStr"/>
    </row>
    <row r="690" ht="15" customHeight="1">
      <c r="A690" t="inlineStr">
        <is>
          <t>A 12499-2023</t>
        </is>
      </c>
      <c r="B690" s="1" t="n">
        <v>44999.86172453704</v>
      </c>
      <c r="C690" s="1" t="n">
        <v>45982</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12500-2023</t>
        </is>
      </c>
      <c r="B691" s="1" t="n">
        <v>44999.8625</v>
      </c>
      <c r="C691" s="1" t="n">
        <v>45982</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35846-2023</t>
        </is>
      </c>
      <c r="B692" s="1" t="n">
        <v>45148</v>
      </c>
      <c r="C692" s="1" t="n">
        <v>45982</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49039-2021</t>
        </is>
      </c>
      <c r="B693" s="1" t="n">
        <v>44453.56578703703</v>
      </c>
      <c r="C693" s="1" t="n">
        <v>45982</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46224-2024</t>
        </is>
      </c>
      <c r="B694" s="1" t="n">
        <v>45581.57016203704</v>
      </c>
      <c r="C694" s="1" t="n">
        <v>45982</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46238-2024</t>
        </is>
      </c>
      <c r="B695" s="1" t="n">
        <v>45581.58418981481</v>
      </c>
      <c r="C695" s="1" t="n">
        <v>45982</v>
      </c>
      <c r="D695" t="inlineStr">
        <is>
          <t>KALMAR LÄN</t>
        </is>
      </c>
      <c r="E695" t="inlineStr">
        <is>
          <t>VIMMERBY</t>
        </is>
      </c>
      <c r="G695" t="n">
        <v>2.1</v>
      </c>
      <c r="H695" t="n">
        <v>0</v>
      </c>
      <c r="I695" t="n">
        <v>0</v>
      </c>
      <c r="J695" t="n">
        <v>0</v>
      </c>
      <c r="K695" t="n">
        <v>0</v>
      </c>
      <c r="L695" t="n">
        <v>0</v>
      </c>
      <c r="M695" t="n">
        <v>0</v>
      </c>
      <c r="N695" t="n">
        <v>0</v>
      </c>
      <c r="O695" t="n">
        <v>0</v>
      </c>
      <c r="P695" t="n">
        <v>0</v>
      </c>
      <c r="Q695" t="n">
        <v>0</v>
      </c>
      <c r="R695" s="2" t="inlineStr"/>
    </row>
    <row r="696" ht="15" customHeight="1">
      <c r="A696" t="inlineStr">
        <is>
          <t>A 30633-2024</t>
        </is>
      </c>
      <c r="B696" s="1" t="n">
        <v>45495</v>
      </c>
      <c r="C696" s="1" t="n">
        <v>45982</v>
      </c>
      <c r="D696" t="inlineStr">
        <is>
          <t>KALMAR LÄN</t>
        </is>
      </c>
      <c r="E696" t="inlineStr">
        <is>
          <t>VIMMERBY</t>
        </is>
      </c>
      <c r="G696" t="n">
        <v>0.5</v>
      </c>
      <c r="H696" t="n">
        <v>0</v>
      </c>
      <c r="I696" t="n">
        <v>0</v>
      </c>
      <c r="J696" t="n">
        <v>0</v>
      </c>
      <c r="K696" t="n">
        <v>0</v>
      </c>
      <c r="L696" t="n">
        <v>0</v>
      </c>
      <c r="M696" t="n">
        <v>0</v>
      </c>
      <c r="N696" t="n">
        <v>0</v>
      </c>
      <c r="O696" t="n">
        <v>0</v>
      </c>
      <c r="P696" t="n">
        <v>0</v>
      </c>
      <c r="Q696" t="n">
        <v>0</v>
      </c>
      <c r="R696" s="2" t="inlineStr"/>
    </row>
    <row r="697" ht="15" customHeight="1">
      <c r="A697" t="inlineStr">
        <is>
          <t>A 54838-2024</t>
        </is>
      </c>
      <c r="B697" s="1" t="n">
        <v>45618.56787037037</v>
      </c>
      <c r="C697" s="1" t="n">
        <v>45982</v>
      </c>
      <c r="D697" t="inlineStr">
        <is>
          <t>KALMAR LÄN</t>
        </is>
      </c>
      <c r="E697" t="inlineStr">
        <is>
          <t>VIMMERBY</t>
        </is>
      </c>
      <c r="G697" t="n">
        <v>3.3</v>
      </c>
      <c r="H697" t="n">
        <v>0</v>
      </c>
      <c r="I697" t="n">
        <v>0</v>
      </c>
      <c r="J697" t="n">
        <v>0</v>
      </c>
      <c r="K697" t="n">
        <v>0</v>
      </c>
      <c r="L697" t="n">
        <v>0</v>
      </c>
      <c r="M697" t="n">
        <v>0</v>
      </c>
      <c r="N697" t="n">
        <v>0</v>
      </c>
      <c r="O697" t="n">
        <v>0</v>
      </c>
      <c r="P697" t="n">
        <v>0</v>
      </c>
      <c r="Q697" t="n">
        <v>0</v>
      </c>
      <c r="R697" s="2" t="inlineStr"/>
    </row>
    <row r="698" ht="15" customHeight="1">
      <c r="A698" t="inlineStr">
        <is>
          <t>A 6405-2025</t>
        </is>
      </c>
      <c r="B698" s="1" t="n">
        <v>45699.45392361111</v>
      </c>
      <c r="C698" s="1" t="n">
        <v>45982</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60437-2023</t>
        </is>
      </c>
      <c r="B699" s="1" t="n">
        <v>45259.51916666667</v>
      </c>
      <c r="C699" s="1" t="n">
        <v>45982</v>
      </c>
      <c r="D699" t="inlineStr">
        <is>
          <t>KALMAR LÄN</t>
        </is>
      </c>
      <c r="E699" t="inlineStr">
        <is>
          <t>VIMMERBY</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60438-2023</t>
        </is>
      </c>
      <c r="B700" s="1" t="n">
        <v>45259.52020833334</v>
      </c>
      <c r="C700" s="1" t="n">
        <v>45982</v>
      </c>
      <c r="D700" t="inlineStr">
        <is>
          <t>KALMAR LÄN</t>
        </is>
      </c>
      <c r="E700" t="inlineStr">
        <is>
          <t>VIMMERBY</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42165-2024</t>
        </is>
      </c>
      <c r="B701" s="1" t="n">
        <v>45562.46342592593</v>
      </c>
      <c r="C701" s="1" t="n">
        <v>45982</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25244-2023</t>
        </is>
      </c>
      <c r="B702" s="1" t="n">
        <v>45086</v>
      </c>
      <c r="C702" s="1" t="n">
        <v>45982</v>
      </c>
      <c r="D702" t="inlineStr">
        <is>
          <t>KALMAR LÄN</t>
        </is>
      </c>
      <c r="E702" t="inlineStr">
        <is>
          <t>VIMMERBY</t>
        </is>
      </c>
      <c r="G702" t="n">
        <v>4.7</v>
      </c>
      <c r="H702" t="n">
        <v>0</v>
      </c>
      <c r="I702" t="n">
        <v>0</v>
      </c>
      <c r="J702" t="n">
        <v>0</v>
      </c>
      <c r="K702" t="n">
        <v>0</v>
      </c>
      <c r="L702" t="n">
        <v>0</v>
      </c>
      <c r="M702" t="n">
        <v>0</v>
      </c>
      <c r="N702" t="n">
        <v>0</v>
      </c>
      <c r="O702" t="n">
        <v>0</v>
      </c>
      <c r="P702" t="n">
        <v>0</v>
      </c>
      <c r="Q702" t="n">
        <v>0</v>
      </c>
      <c r="R702" s="2" t="inlineStr"/>
    </row>
    <row r="703" ht="15" customHeight="1">
      <c r="A703" t="inlineStr">
        <is>
          <t>A 66022-2021</t>
        </is>
      </c>
      <c r="B703" s="1" t="n">
        <v>44517</v>
      </c>
      <c r="C703" s="1" t="n">
        <v>45982</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35895-2024</t>
        </is>
      </c>
      <c r="B704" s="1" t="n">
        <v>45533.38870370371</v>
      </c>
      <c r="C704" s="1" t="n">
        <v>45982</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11073-2023</t>
        </is>
      </c>
      <c r="B705" s="1" t="n">
        <v>44992</v>
      </c>
      <c r="C705" s="1" t="n">
        <v>45982</v>
      </c>
      <c r="D705" t="inlineStr">
        <is>
          <t>KALMAR LÄN</t>
        </is>
      </c>
      <c r="E705" t="inlineStr">
        <is>
          <t>VIMMERBY</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17-2025</t>
        </is>
      </c>
      <c r="B706" s="1" t="n">
        <v>45658.78774305555</v>
      </c>
      <c r="C706" s="1" t="n">
        <v>45982</v>
      </c>
      <c r="D706" t="inlineStr">
        <is>
          <t>KALMAR LÄN</t>
        </is>
      </c>
      <c r="E706" t="inlineStr">
        <is>
          <t>VIMMERBY</t>
        </is>
      </c>
      <c r="G706" t="n">
        <v>4.4</v>
      </c>
      <c r="H706" t="n">
        <v>0</v>
      </c>
      <c r="I706" t="n">
        <v>0</v>
      </c>
      <c r="J706" t="n">
        <v>0</v>
      </c>
      <c r="K706" t="n">
        <v>0</v>
      </c>
      <c r="L706" t="n">
        <v>0</v>
      </c>
      <c r="M706" t="n">
        <v>0</v>
      </c>
      <c r="N706" t="n">
        <v>0</v>
      </c>
      <c r="O706" t="n">
        <v>0</v>
      </c>
      <c r="P706" t="n">
        <v>0</v>
      </c>
      <c r="Q706" t="n">
        <v>0</v>
      </c>
      <c r="R706" s="2" t="inlineStr"/>
    </row>
    <row r="707" ht="15" customHeight="1">
      <c r="A707" t="inlineStr">
        <is>
          <t>A 32655-2023</t>
        </is>
      </c>
      <c r="B707" s="1" t="n">
        <v>45121.61318287037</v>
      </c>
      <c r="C707" s="1" t="n">
        <v>45982</v>
      </c>
      <c r="D707" t="inlineStr">
        <is>
          <t>KALMAR LÄN</t>
        </is>
      </c>
      <c r="E707" t="inlineStr">
        <is>
          <t>VIMMERBY</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63541-2023</t>
        </is>
      </c>
      <c r="B708" s="1" t="n">
        <v>45275.32266203704</v>
      </c>
      <c r="C708" s="1" t="n">
        <v>45982</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28034-2022</t>
        </is>
      </c>
      <c r="B709" s="1" t="n">
        <v>44746.38834490741</v>
      </c>
      <c r="C709" s="1" t="n">
        <v>45982</v>
      </c>
      <c r="D709" t="inlineStr">
        <is>
          <t>KALMAR LÄN</t>
        </is>
      </c>
      <c r="E709" t="inlineStr">
        <is>
          <t>VIMMERBY</t>
        </is>
      </c>
      <c r="G709" t="n">
        <v>2</v>
      </c>
      <c r="H709" t="n">
        <v>0</v>
      </c>
      <c r="I709" t="n">
        <v>0</v>
      </c>
      <c r="J709" t="n">
        <v>0</v>
      </c>
      <c r="K709" t="n">
        <v>0</v>
      </c>
      <c r="L709" t="n">
        <v>0</v>
      </c>
      <c r="M709" t="n">
        <v>0</v>
      </c>
      <c r="N709" t="n">
        <v>0</v>
      </c>
      <c r="O709" t="n">
        <v>0</v>
      </c>
      <c r="P709" t="n">
        <v>0</v>
      </c>
      <c r="Q709" t="n">
        <v>0</v>
      </c>
      <c r="R709" s="2" t="inlineStr"/>
    </row>
    <row r="710" ht="15" customHeight="1">
      <c r="A710" t="inlineStr">
        <is>
          <t>A 5938-2022</t>
        </is>
      </c>
      <c r="B710" s="1" t="n">
        <v>44598</v>
      </c>
      <c r="C710" s="1" t="n">
        <v>45982</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24283-2023</t>
        </is>
      </c>
      <c r="B711" s="1" t="n">
        <v>45079.87827546296</v>
      </c>
      <c r="C711" s="1" t="n">
        <v>45982</v>
      </c>
      <c r="D711" t="inlineStr">
        <is>
          <t>KALMAR LÄN</t>
        </is>
      </c>
      <c r="E711" t="inlineStr">
        <is>
          <t>VIMMERBY</t>
        </is>
      </c>
      <c r="G711" t="n">
        <v>2</v>
      </c>
      <c r="H711" t="n">
        <v>0</v>
      </c>
      <c r="I711" t="n">
        <v>0</v>
      </c>
      <c r="J711" t="n">
        <v>0</v>
      </c>
      <c r="K711" t="n">
        <v>0</v>
      </c>
      <c r="L711" t="n">
        <v>0</v>
      </c>
      <c r="M711" t="n">
        <v>0</v>
      </c>
      <c r="N711" t="n">
        <v>0</v>
      </c>
      <c r="O711" t="n">
        <v>0</v>
      </c>
      <c r="P711" t="n">
        <v>0</v>
      </c>
      <c r="Q711" t="n">
        <v>0</v>
      </c>
      <c r="R711" s="2" t="inlineStr"/>
    </row>
    <row r="712" ht="15" customHeight="1">
      <c r="A712" t="inlineStr">
        <is>
          <t>A 2462-2022</t>
        </is>
      </c>
      <c r="B712" s="1" t="n">
        <v>44579.62225694444</v>
      </c>
      <c r="C712" s="1" t="n">
        <v>45982</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60228-2021</t>
        </is>
      </c>
      <c r="B713" s="1" t="n">
        <v>44495</v>
      </c>
      <c r="C713" s="1" t="n">
        <v>45982</v>
      </c>
      <c r="D713" t="inlineStr">
        <is>
          <t>KALMAR LÄN</t>
        </is>
      </c>
      <c r="E713" t="inlineStr">
        <is>
          <t>VIMMERBY</t>
        </is>
      </c>
      <c r="G713" t="n">
        <v>4.1</v>
      </c>
      <c r="H713" t="n">
        <v>0</v>
      </c>
      <c r="I713" t="n">
        <v>0</v>
      </c>
      <c r="J713" t="n">
        <v>0</v>
      </c>
      <c r="K713" t="n">
        <v>0</v>
      </c>
      <c r="L713" t="n">
        <v>0</v>
      </c>
      <c r="M713" t="n">
        <v>0</v>
      </c>
      <c r="N713" t="n">
        <v>0</v>
      </c>
      <c r="O713" t="n">
        <v>0</v>
      </c>
      <c r="P713" t="n">
        <v>0</v>
      </c>
      <c r="Q713" t="n">
        <v>0</v>
      </c>
      <c r="R713" s="2" t="inlineStr"/>
    </row>
    <row r="714" ht="15" customHeight="1">
      <c r="A714" t="inlineStr">
        <is>
          <t>A 25979-2023</t>
        </is>
      </c>
      <c r="B714" s="1" t="n">
        <v>45090.89653935185</v>
      </c>
      <c r="C714" s="1" t="n">
        <v>45982</v>
      </c>
      <c r="D714" t="inlineStr">
        <is>
          <t>KALMAR LÄN</t>
        </is>
      </c>
      <c r="E714" t="inlineStr">
        <is>
          <t>VIMMERBY</t>
        </is>
      </c>
      <c r="G714" t="n">
        <v>2</v>
      </c>
      <c r="H714" t="n">
        <v>0</v>
      </c>
      <c r="I714" t="n">
        <v>0</v>
      </c>
      <c r="J714" t="n">
        <v>0</v>
      </c>
      <c r="K714" t="n">
        <v>0</v>
      </c>
      <c r="L714" t="n">
        <v>0</v>
      </c>
      <c r="M714" t="n">
        <v>0</v>
      </c>
      <c r="N714" t="n">
        <v>0</v>
      </c>
      <c r="O714" t="n">
        <v>0</v>
      </c>
      <c r="P714" t="n">
        <v>0</v>
      </c>
      <c r="Q714" t="n">
        <v>0</v>
      </c>
      <c r="R714" s="2" t="inlineStr"/>
    </row>
    <row r="715" ht="15" customHeight="1">
      <c r="A715" t="inlineStr">
        <is>
          <t>A 25980-2023</t>
        </is>
      </c>
      <c r="B715" s="1" t="n">
        <v>45090.89880787037</v>
      </c>
      <c r="C715" s="1" t="n">
        <v>45982</v>
      </c>
      <c r="D715" t="inlineStr">
        <is>
          <t>KALMAR LÄN</t>
        </is>
      </c>
      <c r="E715" t="inlineStr">
        <is>
          <t>VIMMERBY</t>
        </is>
      </c>
      <c r="G715" t="n">
        <v>0.7</v>
      </c>
      <c r="H715" t="n">
        <v>0</v>
      </c>
      <c r="I715" t="n">
        <v>0</v>
      </c>
      <c r="J715" t="n">
        <v>0</v>
      </c>
      <c r="K715" t="n">
        <v>0</v>
      </c>
      <c r="L715" t="n">
        <v>0</v>
      </c>
      <c r="M715" t="n">
        <v>0</v>
      </c>
      <c r="N715" t="n">
        <v>0</v>
      </c>
      <c r="O715" t="n">
        <v>0</v>
      </c>
      <c r="P715" t="n">
        <v>0</v>
      </c>
      <c r="Q715" t="n">
        <v>0</v>
      </c>
      <c r="R715" s="2" t="inlineStr"/>
    </row>
    <row r="716" ht="15" customHeight="1">
      <c r="A716" t="inlineStr">
        <is>
          <t>A 12510-2022</t>
        </is>
      </c>
      <c r="B716" s="1" t="n">
        <v>44638.55256944444</v>
      </c>
      <c r="C716" s="1" t="n">
        <v>45982</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6358-2022</t>
        </is>
      </c>
      <c r="B717" s="1" t="n">
        <v>44600</v>
      </c>
      <c r="C717" s="1" t="n">
        <v>45982</v>
      </c>
      <c r="D717" t="inlineStr">
        <is>
          <t>KALMAR LÄN</t>
        </is>
      </c>
      <c r="E717" t="inlineStr">
        <is>
          <t>VIMMERBY</t>
        </is>
      </c>
      <c r="G717" t="n">
        <v>1.7</v>
      </c>
      <c r="H717" t="n">
        <v>0</v>
      </c>
      <c r="I717" t="n">
        <v>0</v>
      </c>
      <c r="J717" t="n">
        <v>0</v>
      </c>
      <c r="K717" t="n">
        <v>0</v>
      </c>
      <c r="L717" t="n">
        <v>0</v>
      </c>
      <c r="M717" t="n">
        <v>0</v>
      </c>
      <c r="N717" t="n">
        <v>0</v>
      </c>
      <c r="O717" t="n">
        <v>0</v>
      </c>
      <c r="P717" t="n">
        <v>0</v>
      </c>
      <c r="Q717" t="n">
        <v>0</v>
      </c>
      <c r="R717" s="2" t="inlineStr"/>
    </row>
    <row r="718" ht="15" customHeight="1">
      <c r="A718" t="inlineStr">
        <is>
          <t>A 48373-2021</t>
        </is>
      </c>
      <c r="B718" s="1" t="n">
        <v>44451</v>
      </c>
      <c r="C718" s="1" t="n">
        <v>45982</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57256-2023</t>
        </is>
      </c>
      <c r="B719" s="1" t="n">
        <v>45245.5735300926</v>
      </c>
      <c r="C719" s="1" t="n">
        <v>45982</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17482-2024</t>
        </is>
      </c>
      <c r="B720" s="1" t="n">
        <v>45415.47848379629</v>
      </c>
      <c r="C720" s="1" t="n">
        <v>45982</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55123-2024</t>
        </is>
      </c>
      <c r="B721" s="1" t="n">
        <v>45621.46103009259</v>
      </c>
      <c r="C721" s="1" t="n">
        <v>45982</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49313-2022</t>
        </is>
      </c>
      <c r="B722" s="1" t="n">
        <v>44861.52505787037</v>
      </c>
      <c r="C722" s="1" t="n">
        <v>45982</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1987-2024</t>
        </is>
      </c>
      <c r="B723" s="1" t="n">
        <v>45308.61152777778</v>
      </c>
      <c r="C723" s="1" t="n">
        <v>45982</v>
      </c>
      <c r="D723" t="inlineStr">
        <is>
          <t>KALMAR LÄN</t>
        </is>
      </c>
      <c r="E723" t="inlineStr">
        <is>
          <t>VIMMERBY</t>
        </is>
      </c>
      <c r="G723" t="n">
        <v>3</v>
      </c>
      <c r="H723" t="n">
        <v>0</v>
      </c>
      <c r="I723" t="n">
        <v>0</v>
      </c>
      <c r="J723" t="n">
        <v>0</v>
      </c>
      <c r="K723" t="n">
        <v>0</v>
      </c>
      <c r="L723" t="n">
        <v>0</v>
      </c>
      <c r="M723" t="n">
        <v>0</v>
      </c>
      <c r="N723" t="n">
        <v>0</v>
      </c>
      <c r="O723" t="n">
        <v>0</v>
      </c>
      <c r="P723" t="n">
        <v>0</v>
      </c>
      <c r="Q723" t="n">
        <v>0</v>
      </c>
      <c r="R723" s="2" t="inlineStr"/>
    </row>
    <row r="724" ht="15" customHeight="1">
      <c r="A724" t="inlineStr">
        <is>
          <t>A 21507-2023</t>
        </is>
      </c>
      <c r="B724" s="1" t="n">
        <v>45063.508125</v>
      </c>
      <c r="C724" s="1" t="n">
        <v>45982</v>
      </c>
      <c r="D724" t="inlineStr">
        <is>
          <t>KALMAR LÄN</t>
        </is>
      </c>
      <c r="E724" t="inlineStr">
        <is>
          <t>VIMMERBY</t>
        </is>
      </c>
      <c r="G724" t="n">
        <v>2.8</v>
      </c>
      <c r="H724" t="n">
        <v>0</v>
      </c>
      <c r="I724" t="n">
        <v>0</v>
      </c>
      <c r="J724" t="n">
        <v>0</v>
      </c>
      <c r="K724" t="n">
        <v>0</v>
      </c>
      <c r="L724" t="n">
        <v>0</v>
      </c>
      <c r="M724" t="n">
        <v>0</v>
      </c>
      <c r="N724" t="n">
        <v>0</v>
      </c>
      <c r="O724" t="n">
        <v>0</v>
      </c>
      <c r="P724" t="n">
        <v>0</v>
      </c>
      <c r="Q724" t="n">
        <v>0</v>
      </c>
      <c r="R724" s="2" t="inlineStr"/>
    </row>
    <row r="725" ht="15" customHeight="1">
      <c r="A725" t="inlineStr">
        <is>
          <t>A 57189-2022</t>
        </is>
      </c>
      <c r="B725" s="1" t="n">
        <v>44895.62296296296</v>
      </c>
      <c r="C725" s="1" t="n">
        <v>45982</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48673-2021</t>
        </is>
      </c>
      <c r="B726" s="1" t="n">
        <v>44452</v>
      </c>
      <c r="C726" s="1" t="n">
        <v>45982</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14248-2023</t>
        </is>
      </c>
      <c r="B727" s="1" t="n">
        <v>45009</v>
      </c>
      <c r="C727" s="1" t="n">
        <v>45982</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12480-2024</t>
        </is>
      </c>
      <c r="B728" s="1" t="n">
        <v>45379</v>
      </c>
      <c r="C728" s="1" t="n">
        <v>45982</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40095-2022</t>
        </is>
      </c>
      <c r="B729" s="1" t="n">
        <v>44820</v>
      </c>
      <c r="C729" s="1" t="n">
        <v>45982</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50085-2023</t>
        </is>
      </c>
      <c r="B730" s="1" t="n">
        <v>45215.5959375</v>
      </c>
      <c r="C730" s="1" t="n">
        <v>45982</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50087-2023</t>
        </is>
      </c>
      <c r="B731" s="1" t="n">
        <v>45215.59743055556</v>
      </c>
      <c r="C731" s="1" t="n">
        <v>45982</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8167-2024</t>
        </is>
      </c>
      <c r="B732" s="1" t="n">
        <v>45351.6062962963</v>
      </c>
      <c r="C732" s="1" t="n">
        <v>45982</v>
      </c>
      <c r="D732" t="inlineStr">
        <is>
          <t>KALMAR LÄN</t>
        </is>
      </c>
      <c r="E732" t="inlineStr">
        <is>
          <t>VIMMERBY</t>
        </is>
      </c>
      <c r="G732" t="n">
        <v>3.8</v>
      </c>
      <c r="H732" t="n">
        <v>0</v>
      </c>
      <c r="I732" t="n">
        <v>0</v>
      </c>
      <c r="J732" t="n">
        <v>0</v>
      </c>
      <c r="K732" t="n">
        <v>0</v>
      </c>
      <c r="L732" t="n">
        <v>0</v>
      </c>
      <c r="M732" t="n">
        <v>0</v>
      </c>
      <c r="N732" t="n">
        <v>0</v>
      </c>
      <c r="O732" t="n">
        <v>0</v>
      </c>
      <c r="P732" t="n">
        <v>0</v>
      </c>
      <c r="Q732" t="n">
        <v>0</v>
      </c>
      <c r="R732" s="2" t="inlineStr"/>
    </row>
    <row r="733" ht="15" customHeight="1">
      <c r="A733" t="inlineStr">
        <is>
          <t>A 2604-2025</t>
        </is>
      </c>
      <c r="B733" s="1" t="n">
        <v>45674.74094907408</v>
      </c>
      <c r="C733" s="1" t="n">
        <v>45982</v>
      </c>
      <c r="D733" t="inlineStr">
        <is>
          <t>KALMAR LÄN</t>
        </is>
      </c>
      <c r="E733" t="inlineStr">
        <is>
          <t>VIMMERBY</t>
        </is>
      </c>
      <c r="G733" t="n">
        <v>7.6</v>
      </c>
      <c r="H733" t="n">
        <v>0</v>
      </c>
      <c r="I733" t="n">
        <v>0</v>
      </c>
      <c r="J733" t="n">
        <v>0</v>
      </c>
      <c r="K733" t="n">
        <v>0</v>
      </c>
      <c r="L733" t="n">
        <v>0</v>
      </c>
      <c r="M733" t="n">
        <v>0</v>
      </c>
      <c r="N733" t="n">
        <v>0</v>
      </c>
      <c r="O733" t="n">
        <v>0</v>
      </c>
      <c r="P733" t="n">
        <v>0</v>
      </c>
      <c r="Q733" t="n">
        <v>0</v>
      </c>
      <c r="R733" s="2" t="inlineStr"/>
    </row>
    <row r="734" ht="15" customHeight="1">
      <c r="A734" t="inlineStr">
        <is>
          <t>A 37192-2024</t>
        </is>
      </c>
      <c r="B734" s="1" t="n">
        <v>45539.66027777778</v>
      </c>
      <c r="C734" s="1" t="n">
        <v>45982</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42429-2024</t>
        </is>
      </c>
      <c r="B735" s="1" t="n">
        <v>45565.40657407408</v>
      </c>
      <c r="C735" s="1" t="n">
        <v>45982</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29180-2024</t>
        </is>
      </c>
      <c r="B736" s="1" t="n">
        <v>45482.54108796296</v>
      </c>
      <c r="C736" s="1" t="n">
        <v>45982</v>
      </c>
      <c r="D736" t="inlineStr">
        <is>
          <t>KALMAR LÄN</t>
        </is>
      </c>
      <c r="E736" t="inlineStr">
        <is>
          <t>VIMMERBY</t>
        </is>
      </c>
      <c r="G736" t="n">
        <v>3.8</v>
      </c>
      <c r="H736" t="n">
        <v>0</v>
      </c>
      <c r="I736" t="n">
        <v>0</v>
      </c>
      <c r="J736" t="n">
        <v>0</v>
      </c>
      <c r="K736" t="n">
        <v>0</v>
      </c>
      <c r="L736" t="n">
        <v>0</v>
      </c>
      <c r="M736" t="n">
        <v>0</v>
      </c>
      <c r="N736" t="n">
        <v>0</v>
      </c>
      <c r="O736" t="n">
        <v>0</v>
      </c>
      <c r="P736" t="n">
        <v>0</v>
      </c>
      <c r="Q736" t="n">
        <v>0</v>
      </c>
      <c r="R736" s="2" t="inlineStr"/>
    </row>
    <row r="737" ht="15" customHeight="1">
      <c r="A737" t="inlineStr">
        <is>
          <t>A 45846-2023</t>
        </is>
      </c>
      <c r="B737" s="1" t="n">
        <v>45195.58452546296</v>
      </c>
      <c r="C737" s="1" t="n">
        <v>45982</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16020-2023</t>
        </is>
      </c>
      <c r="B738" s="1" t="n">
        <v>45026.82216435186</v>
      </c>
      <c r="C738" s="1" t="n">
        <v>45982</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61820-2023</t>
        </is>
      </c>
      <c r="B739" s="1" t="n">
        <v>45266.32614583334</v>
      </c>
      <c r="C739" s="1" t="n">
        <v>45982</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45560-2021</t>
        </is>
      </c>
      <c r="B740" s="1" t="n">
        <v>44440</v>
      </c>
      <c r="C740" s="1" t="n">
        <v>45982</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40256-2024</t>
        </is>
      </c>
      <c r="B741" s="1" t="n">
        <v>45554.62944444444</v>
      </c>
      <c r="C741" s="1" t="n">
        <v>45982</v>
      </c>
      <c r="D741" t="inlineStr">
        <is>
          <t>KALMAR LÄN</t>
        </is>
      </c>
      <c r="E741" t="inlineStr">
        <is>
          <t>VIMMERBY</t>
        </is>
      </c>
      <c r="G741" t="n">
        <v>0.9</v>
      </c>
      <c r="H741" t="n">
        <v>0</v>
      </c>
      <c r="I741" t="n">
        <v>0</v>
      </c>
      <c r="J741" t="n">
        <v>0</v>
      </c>
      <c r="K741" t="n">
        <v>0</v>
      </c>
      <c r="L741" t="n">
        <v>0</v>
      </c>
      <c r="M741" t="n">
        <v>0</v>
      </c>
      <c r="N741" t="n">
        <v>0</v>
      </c>
      <c r="O741" t="n">
        <v>0</v>
      </c>
      <c r="P741" t="n">
        <v>0</v>
      </c>
      <c r="Q741" t="n">
        <v>0</v>
      </c>
      <c r="R741" s="2" t="inlineStr"/>
    </row>
    <row r="742" ht="15" customHeight="1">
      <c r="A742" t="inlineStr">
        <is>
          <t>A 58104-2024</t>
        </is>
      </c>
      <c r="B742" s="1" t="n">
        <v>45632.37459490741</v>
      </c>
      <c r="C742" s="1" t="n">
        <v>45982</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36259-2022</t>
        </is>
      </c>
      <c r="B743" s="1" t="n">
        <v>44803.59118055556</v>
      </c>
      <c r="C743" s="1" t="n">
        <v>45982</v>
      </c>
      <c r="D743" t="inlineStr">
        <is>
          <t>KALMAR LÄN</t>
        </is>
      </c>
      <c r="E743" t="inlineStr">
        <is>
          <t>VIMMERBY</t>
        </is>
      </c>
      <c r="G743" t="n">
        <v>3.9</v>
      </c>
      <c r="H743" t="n">
        <v>0</v>
      </c>
      <c r="I743" t="n">
        <v>0</v>
      </c>
      <c r="J743" t="n">
        <v>0</v>
      </c>
      <c r="K743" t="n">
        <v>0</v>
      </c>
      <c r="L743" t="n">
        <v>0</v>
      </c>
      <c r="M743" t="n">
        <v>0</v>
      </c>
      <c r="N743" t="n">
        <v>0</v>
      </c>
      <c r="O743" t="n">
        <v>0</v>
      </c>
      <c r="P743" t="n">
        <v>0</v>
      </c>
      <c r="Q743" t="n">
        <v>0</v>
      </c>
      <c r="R743" s="2" t="inlineStr"/>
    </row>
    <row r="744" ht="15" customHeight="1">
      <c r="A744" t="inlineStr">
        <is>
          <t>A 43034-2024</t>
        </is>
      </c>
      <c r="B744" s="1" t="n">
        <v>45567.42011574074</v>
      </c>
      <c r="C744" s="1" t="n">
        <v>45982</v>
      </c>
      <c r="D744" t="inlineStr">
        <is>
          <t>KALMAR LÄN</t>
        </is>
      </c>
      <c r="E744" t="inlineStr">
        <is>
          <t>VIMMERBY</t>
        </is>
      </c>
      <c r="G744" t="n">
        <v>1.8</v>
      </c>
      <c r="H744" t="n">
        <v>0</v>
      </c>
      <c r="I744" t="n">
        <v>0</v>
      </c>
      <c r="J744" t="n">
        <v>0</v>
      </c>
      <c r="K744" t="n">
        <v>0</v>
      </c>
      <c r="L744" t="n">
        <v>0</v>
      </c>
      <c r="M744" t="n">
        <v>0</v>
      </c>
      <c r="N744" t="n">
        <v>0</v>
      </c>
      <c r="O744" t="n">
        <v>0</v>
      </c>
      <c r="P744" t="n">
        <v>0</v>
      </c>
      <c r="Q744" t="n">
        <v>0</v>
      </c>
      <c r="R744" s="2" t="inlineStr"/>
    </row>
    <row r="745" ht="15" customHeight="1">
      <c r="A745" t="inlineStr">
        <is>
          <t>A 3902-2022</t>
        </is>
      </c>
      <c r="B745" s="1" t="n">
        <v>44587.48847222222</v>
      </c>
      <c r="C745" s="1" t="n">
        <v>45982</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30070-2023</t>
        </is>
      </c>
      <c r="B746" s="1" t="n">
        <v>45110.4275</v>
      </c>
      <c r="C746" s="1" t="n">
        <v>45982</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31209-2024</t>
        </is>
      </c>
      <c r="B747" s="1" t="n">
        <v>45503.5658912037</v>
      </c>
      <c r="C747" s="1" t="n">
        <v>45982</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4527-2023</t>
        </is>
      </c>
      <c r="B748" s="1" t="n">
        <v>44956</v>
      </c>
      <c r="C748" s="1" t="n">
        <v>45982</v>
      </c>
      <c r="D748" t="inlineStr">
        <is>
          <t>KALMAR LÄN</t>
        </is>
      </c>
      <c r="E748" t="inlineStr">
        <is>
          <t>VIMMERBY</t>
        </is>
      </c>
      <c r="F748" t="inlineStr">
        <is>
          <t>Kommuner</t>
        </is>
      </c>
      <c r="G748" t="n">
        <v>8.5</v>
      </c>
      <c r="H748" t="n">
        <v>0</v>
      </c>
      <c r="I748" t="n">
        <v>0</v>
      </c>
      <c r="J748" t="n">
        <v>0</v>
      </c>
      <c r="K748" t="n">
        <v>0</v>
      </c>
      <c r="L748" t="n">
        <v>0</v>
      </c>
      <c r="M748" t="n">
        <v>0</v>
      </c>
      <c r="N748" t="n">
        <v>0</v>
      </c>
      <c r="O748" t="n">
        <v>0</v>
      </c>
      <c r="P748" t="n">
        <v>0</v>
      </c>
      <c r="Q748" t="n">
        <v>0</v>
      </c>
      <c r="R748" s="2" t="inlineStr"/>
    </row>
    <row r="749" ht="15" customHeight="1">
      <c r="A749" t="inlineStr">
        <is>
          <t>A 12586-2021</t>
        </is>
      </c>
      <c r="B749" s="1" t="n">
        <v>44270.38002314815</v>
      </c>
      <c r="C749" s="1" t="n">
        <v>45982</v>
      </c>
      <c r="D749" t="inlineStr">
        <is>
          <t>KALMAR LÄN</t>
        </is>
      </c>
      <c r="E749" t="inlineStr">
        <is>
          <t>VIMMERBY</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5864-2022</t>
        </is>
      </c>
      <c r="B750" s="1" t="n">
        <v>44596</v>
      </c>
      <c r="C750" s="1" t="n">
        <v>45982</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30912-2023</t>
        </is>
      </c>
      <c r="B751" s="1" t="n">
        <v>45113.41633101852</v>
      </c>
      <c r="C751" s="1" t="n">
        <v>45982</v>
      </c>
      <c r="D751" t="inlineStr">
        <is>
          <t>KALMAR LÄN</t>
        </is>
      </c>
      <c r="E751" t="inlineStr">
        <is>
          <t>VIMMERBY</t>
        </is>
      </c>
      <c r="G751" t="n">
        <v>5</v>
      </c>
      <c r="H751" t="n">
        <v>0</v>
      </c>
      <c r="I751" t="n">
        <v>0</v>
      </c>
      <c r="J751" t="n">
        <v>0</v>
      </c>
      <c r="K751" t="n">
        <v>0</v>
      </c>
      <c r="L751" t="n">
        <v>0</v>
      </c>
      <c r="M751" t="n">
        <v>0</v>
      </c>
      <c r="N751" t="n">
        <v>0</v>
      </c>
      <c r="O751" t="n">
        <v>0</v>
      </c>
      <c r="P751" t="n">
        <v>0</v>
      </c>
      <c r="Q751" t="n">
        <v>0</v>
      </c>
      <c r="R751" s="2" t="inlineStr"/>
    </row>
    <row r="752" ht="15" customHeight="1">
      <c r="A752" t="inlineStr">
        <is>
          <t>A 1146-2025</t>
        </is>
      </c>
      <c r="B752" s="1" t="n">
        <v>45666</v>
      </c>
      <c r="C752" s="1" t="n">
        <v>45982</v>
      </c>
      <c r="D752" t="inlineStr">
        <is>
          <t>KALMAR LÄN</t>
        </is>
      </c>
      <c r="E752" t="inlineStr">
        <is>
          <t>VIMMERBY</t>
        </is>
      </c>
      <c r="G752" t="n">
        <v>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44918.50106481482</v>
      </c>
      <c r="C753" s="1" t="n">
        <v>45982</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16119-2023</t>
        </is>
      </c>
      <c r="B754" s="1" t="n">
        <v>45027.59450231482</v>
      </c>
      <c r="C754" s="1" t="n">
        <v>45982</v>
      </c>
      <c r="D754" t="inlineStr">
        <is>
          <t>KALMAR LÄN</t>
        </is>
      </c>
      <c r="E754" t="inlineStr">
        <is>
          <t>VIMMERBY</t>
        </is>
      </c>
      <c r="F754" t="inlineStr">
        <is>
          <t>Kommuner</t>
        </is>
      </c>
      <c r="G754" t="n">
        <v>4.4</v>
      </c>
      <c r="H754" t="n">
        <v>0</v>
      </c>
      <c r="I754" t="n">
        <v>0</v>
      </c>
      <c r="J754" t="n">
        <v>0</v>
      </c>
      <c r="K754" t="n">
        <v>0</v>
      </c>
      <c r="L754" t="n">
        <v>0</v>
      </c>
      <c r="M754" t="n">
        <v>0</v>
      </c>
      <c r="N754" t="n">
        <v>0</v>
      </c>
      <c r="O754" t="n">
        <v>0</v>
      </c>
      <c r="P754" t="n">
        <v>0</v>
      </c>
      <c r="Q754" t="n">
        <v>0</v>
      </c>
      <c r="R754" s="2" t="inlineStr"/>
    </row>
    <row r="755" ht="15" customHeight="1">
      <c r="A755" t="inlineStr">
        <is>
          <t>A 52327-2023</t>
        </is>
      </c>
      <c r="B755" s="1" t="n">
        <v>45224.6515162037</v>
      </c>
      <c r="C755" s="1" t="n">
        <v>45982</v>
      </c>
      <c r="D755" t="inlineStr">
        <is>
          <t>KALMAR LÄN</t>
        </is>
      </c>
      <c r="E755" t="inlineStr">
        <is>
          <t>VIMMERBY</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12075-2024</t>
        </is>
      </c>
      <c r="B756" s="1" t="n">
        <v>45377</v>
      </c>
      <c r="C756" s="1" t="n">
        <v>45982</v>
      </c>
      <c r="D756" t="inlineStr">
        <is>
          <t>KALMAR LÄN</t>
        </is>
      </c>
      <c r="E756" t="inlineStr">
        <is>
          <t>VIMMERBY</t>
        </is>
      </c>
      <c r="G756" t="n">
        <v>3.7</v>
      </c>
      <c r="H756" t="n">
        <v>0</v>
      </c>
      <c r="I756" t="n">
        <v>0</v>
      </c>
      <c r="J756" t="n">
        <v>0</v>
      </c>
      <c r="K756" t="n">
        <v>0</v>
      </c>
      <c r="L756" t="n">
        <v>0</v>
      </c>
      <c r="M756" t="n">
        <v>0</v>
      </c>
      <c r="N756" t="n">
        <v>0</v>
      </c>
      <c r="O756" t="n">
        <v>0</v>
      </c>
      <c r="P756" t="n">
        <v>0</v>
      </c>
      <c r="Q756" t="n">
        <v>0</v>
      </c>
      <c r="R756" s="2" t="inlineStr"/>
    </row>
    <row r="757" ht="15" customHeight="1">
      <c r="A757" t="inlineStr">
        <is>
          <t>A 29348-2023</t>
        </is>
      </c>
      <c r="B757" s="1" t="n">
        <v>45106.25025462963</v>
      </c>
      <c r="C757" s="1" t="n">
        <v>45982</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31340-2023</t>
        </is>
      </c>
      <c r="B758" s="1" t="n">
        <v>45114.47895833333</v>
      </c>
      <c r="C758" s="1" t="n">
        <v>45982</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7758-2024</t>
        </is>
      </c>
      <c r="B759" s="1" t="n">
        <v>45349.54434027777</v>
      </c>
      <c r="C759" s="1" t="n">
        <v>45982</v>
      </c>
      <c r="D759" t="inlineStr">
        <is>
          <t>KALMAR LÄN</t>
        </is>
      </c>
      <c r="E759" t="inlineStr">
        <is>
          <t>VIMMERBY</t>
        </is>
      </c>
      <c r="G759" t="n">
        <v>3.5</v>
      </c>
      <c r="H759" t="n">
        <v>0</v>
      </c>
      <c r="I759" t="n">
        <v>0</v>
      </c>
      <c r="J759" t="n">
        <v>0</v>
      </c>
      <c r="K759" t="n">
        <v>0</v>
      </c>
      <c r="L759" t="n">
        <v>0</v>
      </c>
      <c r="M759" t="n">
        <v>0</v>
      </c>
      <c r="N759" t="n">
        <v>0</v>
      </c>
      <c r="O759" t="n">
        <v>0</v>
      </c>
      <c r="P759" t="n">
        <v>0</v>
      </c>
      <c r="Q759" t="n">
        <v>0</v>
      </c>
      <c r="R759" s="2" t="inlineStr"/>
    </row>
    <row r="760" ht="15" customHeight="1">
      <c r="A760" t="inlineStr">
        <is>
          <t>A 5701-2024</t>
        </is>
      </c>
      <c r="B760" s="1" t="n">
        <v>45334.78826388889</v>
      </c>
      <c r="C760" s="1" t="n">
        <v>45982</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31405-2023</t>
        </is>
      </c>
      <c r="B761" s="1" t="n">
        <v>45114.58148148148</v>
      </c>
      <c r="C761" s="1" t="n">
        <v>45982</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6355-2022</t>
        </is>
      </c>
      <c r="B762" s="1" t="n">
        <v>44600</v>
      </c>
      <c r="C762" s="1" t="n">
        <v>45982</v>
      </c>
      <c r="D762" t="inlineStr">
        <is>
          <t>KALMAR LÄN</t>
        </is>
      </c>
      <c r="E762" t="inlineStr">
        <is>
          <t>VIMMERBY</t>
        </is>
      </c>
      <c r="G762" t="n">
        <v>4.9</v>
      </c>
      <c r="H762" t="n">
        <v>0</v>
      </c>
      <c r="I762" t="n">
        <v>0</v>
      </c>
      <c r="J762" t="n">
        <v>0</v>
      </c>
      <c r="K762" t="n">
        <v>0</v>
      </c>
      <c r="L762" t="n">
        <v>0</v>
      </c>
      <c r="M762" t="n">
        <v>0</v>
      </c>
      <c r="N762" t="n">
        <v>0</v>
      </c>
      <c r="O762" t="n">
        <v>0</v>
      </c>
      <c r="P762" t="n">
        <v>0</v>
      </c>
      <c r="Q762" t="n">
        <v>0</v>
      </c>
      <c r="R762" s="2" t="inlineStr"/>
    </row>
    <row r="763" ht="15" customHeight="1">
      <c r="A763" t="inlineStr">
        <is>
          <t>A 46225-2024</t>
        </is>
      </c>
      <c r="B763" s="1" t="n">
        <v>45581.57333333333</v>
      </c>
      <c r="C763" s="1" t="n">
        <v>45982</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9418-2024</t>
        </is>
      </c>
      <c r="B764" s="1" t="n">
        <v>45359.45038194444</v>
      </c>
      <c r="C764" s="1" t="n">
        <v>45982</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57091-2022</t>
        </is>
      </c>
      <c r="B765" s="1" t="n">
        <v>44895.46524305556</v>
      </c>
      <c r="C765" s="1" t="n">
        <v>45982</v>
      </c>
      <c r="D765" t="inlineStr">
        <is>
          <t>KALMAR LÄN</t>
        </is>
      </c>
      <c r="E765" t="inlineStr">
        <is>
          <t>VIMMERBY</t>
        </is>
      </c>
      <c r="G765" t="n">
        <v>2.6</v>
      </c>
      <c r="H765" t="n">
        <v>0</v>
      </c>
      <c r="I765" t="n">
        <v>0</v>
      </c>
      <c r="J765" t="n">
        <v>0</v>
      </c>
      <c r="K765" t="n">
        <v>0</v>
      </c>
      <c r="L765" t="n">
        <v>0</v>
      </c>
      <c r="M765" t="n">
        <v>0</v>
      </c>
      <c r="N765" t="n">
        <v>0</v>
      </c>
      <c r="O765" t="n">
        <v>0</v>
      </c>
      <c r="P765" t="n">
        <v>0</v>
      </c>
      <c r="Q765" t="n">
        <v>0</v>
      </c>
      <c r="R765" s="2" t="inlineStr"/>
    </row>
    <row r="766" ht="15" customHeight="1">
      <c r="A766" t="inlineStr">
        <is>
          <t>A 3816-2022</t>
        </is>
      </c>
      <c r="B766" s="1" t="n">
        <v>44587</v>
      </c>
      <c r="C766" s="1" t="n">
        <v>45982</v>
      </c>
      <c r="D766" t="inlineStr">
        <is>
          <t>KALMAR LÄN</t>
        </is>
      </c>
      <c r="E766" t="inlineStr">
        <is>
          <t>VIMMERBY</t>
        </is>
      </c>
      <c r="G766" t="n">
        <v>1.2</v>
      </c>
      <c r="H766" t="n">
        <v>0</v>
      </c>
      <c r="I766" t="n">
        <v>0</v>
      </c>
      <c r="J766" t="n">
        <v>0</v>
      </c>
      <c r="K766" t="n">
        <v>0</v>
      </c>
      <c r="L766" t="n">
        <v>0</v>
      </c>
      <c r="M766" t="n">
        <v>0</v>
      </c>
      <c r="N766" t="n">
        <v>0</v>
      </c>
      <c r="O766" t="n">
        <v>0</v>
      </c>
      <c r="P766" t="n">
        <v>0</v>
      </c>
      <c r="Q766" t="n">
        <v>0</v>
      </c>
      <c r="R766" s="2" t="inlineStr"/>
    </row>
    <row r="767" ht="15" customHeight="1">
      <c r="A767" t="inlineStr">
        <is>
          <t>A 43606-2024</t>
        </is>
      </c>
      <c r="B767" s="1" t="n">
        <v>45569.45017361111</v>
      </c>
      <c r="C767" s="1" t="n">
        <v>45982</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43617-2024</t>
        </is>
      </c>
      <c r="B768" s="1" t="n">
        <v>45569.47494212963</v>
      </c>
      <c r="C768" s="1" t="n">
        <v>45982</v>
      </c>
      <c r="D768" t="inlineStr">
        <is>
          <t>KALMAR LÄN</t>
        </is>
      </c>
      <c r="E768" t="inlineStr">
        <is>
          <t>VIMMERBY</t>
        </is>
      </c>
      <c r="G768" t="n">
        <v>2.7</v>
      </c>
      <c r="H768" t="n">
        <v>0</v>
      </c>
      <c r="I768" t="n">
        <v>0</v>
      </c>
      <c r="J768" t="n">
        <v>0</v>
      </c>
      <c r="K768" t="n">
        <v>0</v>
      </c>
      <c r="L768" t="n">
        <v>0</v>
      </c>
      <c r="M768" t="n">
        <v>0</v>
      </c>
      <c r="N768" t="n">
        <v>0</v>
      </c>
      <c r="O768" t="n">
        <v>0</v>
      </c>
      <c r="P768" t="n">
        <v>0</v>
      </c>
      <c r="Q768" t="n">
        <v>0</v>
      </c>
      <c r="R768" s="2" t="inlineStr"/>
    </row>
    <row r="769" ht="15" customHeight="1">
      <c r="A769" t="inlineStr">
        <is>
          <t>A 47859-2024</t>
        </is>
      </c>
      <c r="B769" s="1" t="n">
        <v>45588.67070601852</v>
      </c>
      <c r="C769" s="1" t="n">
        <v>45982</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8540-2024</t>
        </is>
      </c>
      <c r="B770" s="1" t="n">
        <v>45355.54138888889</v>
      </c>
      <c r="C770" s="1" t="n">
        <v>45982</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45982</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598-2025</t>
        </is>
      </c>
      <c r="B772" s="1" t="n">
        <v>45660</v>
      </c>
      <c r="C772" s="1" t="n">
        <v>45982</v>
      </c>
      <c r="D772" t="inlineStr">
        <is>
          <t>KALMAR LÄN</t>
        </is>
      </c>
      <c r="E772" t="inlineStr">
        <is>
          <t>VIMMERBY</t>
        </is>
      </c>
      <c r="G772" t="n">
        <v>12</v>
      </c>
      <c r="H772" t="n">
        <v>0</v>
      </c>
      <c r="I772" t="n">
        <v>0</v>
      </c>
      <c r="J772" t="n">
        <v>0</v>
      </c>
      <c r="K772" t="n">
        <v>0</v>
      </c>
      <c r="L772" t="n">
        <v>0</v>
      </c>
      <c r="M772" t="n">
        <v>0</v>
      </c>
      <c r="N772" t="n">
        <v>0</v>
      </c>
      <c r="O772" t="n">
        <v>0</v>
      </c>
      <c r="P772" t="n">
        <v>0</v>
      </c>
      <c r="Q772" t="n">
        <v>0</v>
      </c>
      <c r="R772" s="2" t="inlineStr"/>
    </row>
    <row r="773" ht="15" customHeight="1">
      <c r="A773" t="inlineStr">
        <is>
          <t>A 25799-2023</t>
        </is>
      </c>
      <c r="B773" s="1" t="n">
        <v>45090</v>
      </c>
      <c r="C773" s="1" t="n">
        <v>45982</v>
      </c>
      <c r="D773" t="inlineStr">
        <is>
          <t>KALMAR LÄN</t>
        </is>
      </c>
      <c r="E773" t="inlineStr">
        <is>
          <t>VIMMERBY</t>
        </is>
      </c>
      <c r="G773" t="n">
        <v>7.7</v>
      </c>
      <c r="H773" t="n">
        <v>0</v>
      </c>
      <c r="I773" t="n">
        <v>0</v>
      </c>
      <c r="J773" t="n">
        <v>0</v>
      </c>
      <c r="K773" t="n">
        <v>0</v>
      </c>
      <c r="L773" t="n">
        <v>0</v>
      </c>
      <c r="M773" t="n">
        <v>0</v>
      </c>
      <c r="N773" t="n">
        <v>0</v>
      </c>
      <c r="O773" t="n">
        <v>0</v>
      </c>
      <c r="P773" t="n">
        <v>0</v>
      </c>
      <c r="Q773" t="n">
        <v>0</v>
      </c>
      <c r="R773" s="2" t="inlineStr"/>
    </row>
    <row r="774" ht="15" customHeight="1">
      <c r="A774" t="inlineStr">
        <is>
          <t>A 53083-2021</t>
        </is>
      </c>
      <c r="B774" s="1" t="n">
        <v>44467.83386574074</v>
      </c>
      <c r="C774" s="1" t="n">
        <v>45982</v>
      </c>
      <c r="D774" t="inlineStr">
        <is>
          <t>KALMAR LÄN</t>
        </is>
      </c>
      <c r="E774" t="inlineStr">
        <is>
          <t>VIMMERBY</t>
        </is>
      </c>
      <c r="G774" t="n">
        <v>6.8</v>
      </c>
      <c r="H774" t="n">
        <v>0</v>
      </c>
      <c r="I774" t="n">
        <v>0</v>
      </c>
      <c r="J774" t="n">
        <v>0</v>
      </c>
      <c r="K774" t="n">
        <v>0</v>
      </c>
      <c r="L774" t="n">
        <v>0</v>
      </c>
      <c r="M774" t="n">
        <v>0</v>
      </c>
      <c r="N774" t="n">
        <v>0</v>
      </c>
      <c r="O774" t="n">
        <v>0</v>
      </c>
      <c r="P774" t="n">
        <v>0</v>
      </c>
      <c r="Q774" t="n">
        <v>0</v>
      </c>
      <c r="R774" s="2" t="inlineStr"/>
    </row>
    <row r="775" ht="15" customHeight="1">
      <c r="A775" t="inlineStr">
        <is>
          <t>A 24655-2021</t>
        </is>
      </c>
      <c r="B775" s="1" t="n">
        <v>44340</v>
      </c>
      <c r="C775" s="1" t="n">
        <v>45982</v>
      </c>
      <c r="D775" t="inlineStr">
        <is>
          <t>KALMAR LÄN</t>
        </is>
      </c>
      <c r="E775" t="inlineStr">
        <is>
          <t>VIMMERBY</t>
        </is>
      </c>
      <c r="G775" t="n">
        <v>14.9</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44790.49040509259</v>
      </c>
      <c r="C776" s="1" t="n">
        <v>45982</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32835-2022</t>
        </is>
      </c>
      <c r="B777" s="1" t="n">
        <v>44784.42528935185</v>
      </c>
      <c r="C777" s="1" t="n">
        <v>45982</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1081-2023</t>
        </is>
      </c>
      <c r="B778" s="1" t="n">
        <v>44935</v>
      </c>
      <c r="C778" s="1" t="n">
        <v>45982</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47063-2022</t>
        </is>
      </c>
      <c r="B779" s="1" t="n">
        <v>44852</v>
      </c>
      <c r="C779" s="1" t="n">
        <v>45982</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28403-2023</t>
        </is>
      </c>
      <c r="B780" s="1" t="n">
        <v>45100.85270833333</v>
      </c>
      <c r="C780" s="1" t="n">
        <v>45982</v>
      </c>
      <c r="D780" t="inlineStr">
        <is>
          <t>KALMAR LÄN</t>
        </is>
      </c>
      <c r="E780" t="inlineStr">
        <is>
          <t>VIMMERBY</t>
        </is>
      </c>
      <c r="G780" t="n">
        <v>1.8</v>
      </c>
      <c r="H780" t="n">
        <v>0</v>
      </c>
      <c r="I780" t="n">
        <v>0</v>
      </c>
      <c r="J780" t="n">
        <v>0</v>
      </c>
      <c r="K780" t="n">
        <v>0</v>
      </c>
      <c r="L780" t="n">
        <v>0</v>
      </c>
      <c r="M780" t="n">
        <v>0</v>
      </c>
      <c r="N780" t="n">
        <v>0</v>
      </c>
      <c r="O780" t="n">
        <v>0</v>
      </c>
      <c r="P780" t="n">
        <v>0</v>
      </c>
      <c r="Q780" t="n">
        <v>0</v>
      </c>
      <c r="R780" s="2" t="inlineStr"/>
    </row>
    <row r="781" ht="15" customHeight="1">
      <c r="A781" t="inlineStr">
        <is>
          <t>A 33103-2024</t>
        </is>
      </c>
      <c r="B781" s="1" t="n">
        <v>45517.8162037037</v>
      </c>
      <c r="C781" s="1" t="n">
        <v>45982</v>
      </c>
      <c r="D781" t="inlineStr">
        <is>
          <t>KALMAR LÄN</t>
        </is>
      </c>
      <c r="E781" t="inlineStr">
        <is>
          <t>VIMMERBY</t>
        </is>
      </c>
      <c r="G781" t="n">
        <v>1.6</v>
      </c>
      <c r="H781" t="n">
        <v>0</v>
      </c>
      <c r="I781" t="n">
        <v>0</v>
      </c>
      <c r="J781" t="n">
        <v>0</v>
      </c>
      <c r="K781" t="n">
        <v>0</v>
      </c>
      <c r="L781" t="n">
        <v>0</v>
      </c>
      <c r="M781" t="n">
        <v>0</v>
      </c>
      <c r="N781" t="n">
        <v>0</v>
      </c>
      <c r="O781" t="n">
        <v>0</v>
      </c>
      <c r="P781" t="n">
        <v>0</v>
      </c>
      <c r="Q781" t="n">
        <v>0</v>
      </c>
      <c r="R781" s="2" t="inlineStr"/>
    </row>
    <row r="782" ht="15" customHeight="1">
      <c r="A782" t="inlineStr">
        <is>
          <t>A 2260-2022</t>
        </is>
      </c>
      <c r="B782" s="1" t="n">
        <v>44578.62943287037</v>
      </c>
      <c r="C782" s="1" t="n">
        <v>45982</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11661-2023</t>
        </is>
      </c>
      <c r="B783" s="1" t="n">
        <v>44994.46908564815</v>
      </c>
      <c r="C783" s="1" t="n">
        <v>45982</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58046-2022</t>
        </is>
      </c>
      <c r="B784" s="1" t="n">
        <v>44900.57393518519</v>
      </c>
      <c r="C784" s="1" t="n">
        <v>45982</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45528-2021</t>
        </is>
      </c>
      <c r="B785" s="1" t="n">
        <v>44440.60415509259</v>
      </c>
      <c r="C785" s="1" t="n">
        <v>45982</v>
      </c>
      <c r="D785" t="inlineStr">
        <is>
          <t>KALMAR LÄN</t>
        </is>
      </c>
      <c r="E785" t="inlineStr">
        <is>
          <t>VIMMERBY</t>
        </is>
      </c>
      <c r="G785" t="n">
        <v>2.2</v>
      </c>
      <c r="H785" t="n">
        <v>0</v>
      </c>
      <c r="I785" t="n">
        <v>0</v>
      </c>
      <c r="J785" t="n">
        <v>0</v>
      </c>
      <c r="K785" t="n">
        <v>0</v>
      </c>
      <c r="L785" t="n">
        <v>0</v>
      </c>
      <c r="M785" t="n">
        <v>0</v>
      </c>
      <c r="N785" t="n">
        <v>0</v>
      </c>
      <c r="O785" t="n">
        <v>0</v>
      </c>
      <c r="P785" t="n">
        <v>0</v>
      </c>
      <c r="Q785" t="n">
        <v>0</v>
      </c>
      <c r="R785" s="2" t="inlineStr"/>
    </row>
    <row r="786" ht="15" customHeight="1">
      <c r="A786" t="inlineStr">
        <is>
          <t>A 46979-2023</t>
        </is>
      </c>
      <c r="B786" s="1" t="n">
        <v>45201</v>
      </c>
      <c r="C786" s="1" t="n">
        <v>45982</v>
      </c>
      <c r="D786" t="inlineStr">
        <is>
          <t>KALMAR LÄN</t>
        </is>
      </c>
      <c r="E786" t="inlineStr">
        <is>
          <t>VIMMERBY</t>
        </is>
      </c>
      <c r="G786" t="n">
        <v>1</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45982</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4058-2024</t>
        </is>
      </c>
      <c r="B788" s="1" t="n">
        <v>45323.53744212963</v>
      </c>
      <c r="C788" s="1" t="n">
        <v>45982</v>
      </c>
      <c r="D788" t="inlineStr">
        <is>
          <t>KALMAR LÄN</t>
        </is>
      </c>
      <c r="E788" t="inlineStr">
        <is>
          <t>VIMMERBY</t>
        </is>
      </c>
      <c r="G788" t="n">
        <v>6.5</v>
      </c>
      <c r="H788" t="n">
        <v>0</v>
      </c>
      <c r="I788" t="n">
        <v>0</v>
      </c>
      <c r="J788" t="n">
        <v>0</v>
      </c>
      <c r="K788" t="n">
        <v>0</v>
      </c>
      <c r="L788" t="n">
        <v>0</v>
      </c>
      <c r="M788" t="n">
        <v>0</v>
      </c>
      <c r="N788" t="n">
        <v>0</v>
      </c>
      <c r="O788" t="n">
        <v>0</v>
      </c>
      <c r="P788" t="n">
        <v>0</v>
      </c>
      <c r="Q788" t="n">
        <v>0</v>
      </c>
      <c r="R788" s="2" t="inlineStr"/>
    </row>
    <row r="789" ht="15" customHeight="1">
      <c r="A789" t="inlineStr">
        <is>
          <t>A 1978-2024</t>
        </is>
      </c>
      <c r="B789" s="1" t="n">
        <v>45308.59001157407</v>
      </c>
      <c r="C789" s="1" t="n">
        <v>45982</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30318-2023</t>
        </is>
      </c>
      <c r="B790" s="1" t="n">
        <v>45111.30824074074</v>
      </c>
      <c r="C790" s="1" t="n">
        <v>45982</v>
      </c>
      <c r="D790" t="inlineStr">
        <is>
          <t>KALMAR LÄN</t>
        </is>
      </c>
      <c r="E790" t="inlineStr">
        <is>
          <t>VIMMERBY</t>
        </is>
      </c>
      <c r="G790" t="n">
        <v>2.6</v>
      </c>
      <c r="H790" t="n">
        <v>0</v>
      </c>
      <c r="I790" t="n">
        <v>0</v>
      </c>
      <c r="J790" t="n">
        <v>0</v>
      </c>
      <c r="K790" t="n">
        <v>0</v>
      </c>
      <c r="L790" t="n">
        <v>0</v>
      </c>
      <c r="M790" t="n">
        <v>0</v>
      </c>
      <c r="N790" t="n">
        <v>0</v>
      </c>
      <c r="O790" t="n">
        <v>0</v>
      </c>
      <c r="P790" t="n">
        <v>0</v>
      </c>
      <c r="Q790" t="n">
        <v>0</v>
      </c>
      <c r="R790" s="2" t="inlineStr"/>
    </row>
    <row r="791" ht="15" customHeight="1">
      <c r="A791" t="inlineStr">
        <is>
          <t>A 25234-2023</t>
        </is>
      </c>
      <c r="B791" s="1" t="n">
        <v>45086.63194444445</v>
      </c>
      <c r="C791" s="1" t="n">
        <v>45982</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46078-2023</t>
        </is>
      </c>
      <c r="B792" s="1" t="n">
        <v>45196</v>
      </c>
      <c r="C792" s="1" t="n">
        <v>45982</v>
      </c>
      <c r="D792" t="inlineStr">
        <is>
          <t>KALMAR LÄN</t>
        </is>
      </c>
      <c r="E792" t="inlineStr">
        <is>
          <t>VIMMERBY</t>
        </is>
      </c>
      <c r="G792" t="n">
        <v>0.7</v>
      </c>
      <c r="H792" t="n">
        <v>0</v>
      </c>
      <c r="I792" t="n">
        <v>0</v>
      </c>
      <c r="J792" t="n">
        <v>0</v>
      </c>
      <c r="K792" t="n">
        <v>0</v>
      </c>
      <c r="L792" t="n">
        <v>0</v>
      </c>
      <c r="M792" t="n">
        <v>0</v>
      </c>
      <c r="N792" t="n">
        <v>0</v>
      </c>
      <c r="O792" t="n">
        <v>0</v>
      </c>
      <c r="P792" t="n">
        <v>0</v>
      </c>
      <c r="Q792" t="n">
        <v>0</v>
      </c>
      <c r="R792" s="2" t="inlineStr"/>
    </row>
    <row r="793" ht="15" customHeight="1">
      <c r="A793" t="inlineStr">
        <is>
          <t>A 3609-2024</t>
        </is>
      </c>
      <c r="B793" s="1" t="n">
        <v>45320.89128472222</v>
      </c>
      <c r="C793" s="1" t="n">
        <v>45982</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44987.54104166666</v>
      </c>
      <c r="C794" s="1" t="n">
        <v>45982</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49382-2023</t>
        </is>
      </c>
      <c r="B795" s="1" t="n">
        <v>45208</v>
      </c>
      <c r="C795" s="1" t="n">
        <v>45982</v>
      </c>
      <c r="D795" t="inlineStr">
        <is>
          <t>KALMAR LÄN</t>
        </is>
      </c>
      <c r="E795" t="inlineStr">
        <is>
          <t>VIMMERBY</t>
        </is>
      </c>
      <c r="G795" t="n">
        <v>2.2</v>
      </c>
      <c r="H795" t="n">
        <v>0</v>
      </c>
      <c r="I795" t="n">
        <v>0</v>
      </c>
      <c r="J795" t="n">
        <v>0</v>
      </c>
      <c r="K795" t="n">
        <v>0</v>
      </c>
      <c r="L795" t="n">
        <v>0</v>
      </c>
      <c r="M795" t="n">
        <v>0</v>
      </c>
      <c r="N795" t="n">
        <v>0</v>
      </c>
      <c r="O795" t="n">
        <v>0</v>
      </c>
      <c r="P795" t="n">
        <v>0</v>
      </c>
      <c r="Q795" t="n">
        <v>0</v>
      </c>
      <c r="R795" s="2" t="inlineStr"/>
    </row>
    <row r="796" ht="15" customHeight="1">
      <c r="A796" t="inlineStr">
        <is>
          <t>A 12810-2023</t>
        </is>
      </c>
      <c r="B796" s="1" t="n">
        <v>45001.43854166667</v>
      </c>
      <c r="C796" s="1" t="n">
        <v>45982</v>
      </c>
      <c r="D796" t="inlineStr">
        <is>
          <t>KALMAR LÄN</t>
        </is>
      </c>
      <c r="E796" t="inlineStr">
        <is>
          <t>VIMMERBY</t>
        </is>
      </c>
      <c r="G796" t="n">
        <v>1.5</v>
      </c>
      <c r="H796" t="n">
        <v>0</v>
      </c>
      <c r="I796" t="n">
        <v>0</v>
      </c>
      <c r="J796" t="n">
        <v>0</v>
      </c>
      <c r="K796" t="n">
        <v>0</v>
      </c>
      <c r="L796" t="n">
        <v>0</v>
      </c>
      <c r="M796" t="n">
        <v>0</v>
      </c>
      <c r="N796" t="n">
        <v>0</v>
      </c>
      <c r="O796" t="n">
        <v>0</v>
      </c>
      <c r="P796" t="n">
        <v>0</v>
      </c>
      <c r="Q796" t="n">
        <v>0</v>
      </c>
      <c r="R796" s="2" t="inlineStr"/>
    </row>
    <row r="797" ht="15" customHeight="1">
      <c r="A797" t="inlineStr">
        <is>
          <t>A 3425-2022</t>
        </is>
      </c>
      <c r="B797" s="1" t="n">
        <v>44585.51060185185</v>
      </c>
      <c r="C797" s="1" t="n">
        <v>45982</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60675-2023</t>
        </is>
      </c>
      <c r="B798" s="1" t="n">
        <v>45260.4716550926</v>
      </c>
      <c r="C798" s="1" t="n">
        <v>45982</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2536-2023</t>
        </is>
      </c>
      <c r="B799" s="1" t="n">
        <v>44943.62954861111</v>
      </c>
      <c r="C799" s="1" t="n">
        <v>45982</v>
      </c>
      <c r="D799" t="inlineStr">
        <is>
          <t>KALMAR LÄN</t>
        </is>
      </c>
      <c r="E799" t="inlineStr">
        <is>
          <t>VIMMERBY</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11111-2024</t>
        </is>
      </c>
      <c r="B800" s="1" t="n">
        <v>45371.36359953704</v>
      </c>
      <c r="C800" s="1" t="n">
        <v>45982</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1687-2023</t>
        </is>
      </c>
      <c r="B801" s="1" t="n">
        <v>44938</v>
      </c>
      <c r="C801" s="1" t="n">
        <v>45982</v>
      </c>
      <c r="D801" t="inlineStr">
        <is>
          <t>KALMAR LÄN</t>
        </is>
      </c>
      <c r="E801" t="inlineStr">
        <is>
          <t>VIMMERBY</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3494-2023</t>
        </is>
      </c>
      <c r="B802" s="1" t="n">
        <v>44949</v>
      </c>
      <c r="C802" s="1" t="n">
        <v>45982</v>
      </c>
      <c r="D802" t="inlineStr">
        <is>
          <t>KALMAR LÄN</t>
        </is>
      </c>
      <c r="E802" t="inlineStr">
        <is>
          <t>VIMMERBY</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15449-2023</t>
        </is>
      </c>
      <c r="B803" s="1" t="n">
        <v>45020</v>
      </c>
      <c r="C803" s="1" t="n">
        <v>45982</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43242-2024</t>
        </is>
      </c>
      <c r="B804" s="1" t="n">
        <v>45568.30189814815</v>
      </c>
      <c r="C804" s="1" t="n">
        <v>45982</v>
      </c>
      <c r="D804" t="inlineStr">
        <is>
          <t>KALMAR LÄN</t>
        </is>
      </c>
      <c r="E804" t="inlineStr">
        <is>
          <t>VIMMERBY</t>
        </is>
      </c>
      <c r="G804" t="n">
        <v>2.6</v>
      </c>
      <c r="H804" t="n">
        <v>0</v>
      </c>
      <c r="I804" t="n">
        <v>0</v>
      </c>
      <c r="J804" t="n">
        <v>0</v>
      </c>
      <c r="K804" t="n">
        <v>0</v>
      </c>
      <c r="L804" t="n">
        <v>0</v>
      </c>
      <c r="M804" t="n">
        <v>0</v>
      </c>
      <c r="N804" t="n">
        <v>0</v>
      </c>
      <c r="O804" t="n">
        <v>0</v>
      </c>
      <c r="P804" t="n">
        <v>0</v>
      </c>
      <c r="Q804" t="n">
        <v>0</v>
      </c>
      <c r="R804" s="2" t="inlineStr"/>
    </row>
    <row r="805" ht="15" customHeight="1">
      <c r="A805" t="inlineStr">
        <is>
          <t>A 61878-2020</t>
        </is>
      </c>
      <c r="B805" s="1" t="n">
        <v>44159</v>
      </c>
      <c r="C805" s="1" t="n">
        <v>45982</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56853-2022</t>
        </is>
      </c>
      <c r="B806" s="1" t="n">
        <v>44894.49538194444</v>
      </c>
      <c r="C806" s="1" t="n">
        <v>45982</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65049-2020</t>
        </is>
      </c>
      <c r="B807" s="1" t="n">
        <v>44172</v>
      </c>
      <c r="C807" s="1" t="n">
        <v>45982</v>
      </c>
      <c r="D807" t="inlineStr">
        <is>
          <t>KALMAR LÄN</t>
        </is>
      </c>
      <c r="E807" t="inlineStr">
        <is>
          <t>VIMMERBY</t>
        </is>
      </c>
      <c r="G807" t="n">
        <v>2.3</v>
      </c>
      <c r="H807" t="n">
        <v>0</v>
      </c>
      <c r="I807" t="n">
        <v>0</v>
      </c>
      <c r="J807" t="n">
        <v>0</v>
      </c>
      <c r="K807" t="n">
        <v>0</v>
      </c>
      <c r="L807" t="n">
        <v>0</v>
      </c>
      <c r="M807" t="n">
        <v>0</v>
      </c>
      <c r="N807" t="n">
        <v>0</v>
      </c>
      <c r="O807" t="n">
        <v>0</v>
      </c>
      <c r="P807" t="n">
        <v>0</v>
      </c>
      <c r="Q807" t="n">
        <v>0</v>
      </c>
      <c r="R807" s="2" t="inlineStr"/>
    </row>
    <row r="808" ht="15" customHeight="1">
      <c r="A808" t="inlineStr">
        <is>
          <t>A 33815-2022</t>
        </is>
      </c>
      <c r="B808" s="1" t="n">
        <v>44790.45876157407</v>
      </c>
      <c r="C808" s="1" t="n">
        <v>45982</v>
      </c>
      <c r="D808" t="inlineStr">
        <is>
          <t>KALMAR LÄN</t>
        </is>
      </c>
      <c r="E808" t="inlineStr">
        <is>
          <t>VIMMERBY</t>
        </is>
      </c>
      <c r="G808" t="n">
        <v>0.9</v>
      </c>
      <c r="H808" t="n">
        <v>0</v>
      </c>
      <c r="I808" t="n">
        <v>0</v>
      </c>
      <c r="J808" t="n">
        <v>0</v>
      </c>
      <c r="K808" t="n">
        <v>0</v>
      </c>
      <c r="L808" t="n">
        <v>0</v>
      </c>
      <c r="M808" t="n">
        <v>0</v>
      </c>
      <c r="N808" t="n">
        <v>0</v>
      </c>
      <c r="O808" t="n">
        <v>0</v>
      </c>
      <c r="P808" t="n">
        <v>0</v>
      </c>
      <c r="Q808" t="n">
        <v>0</v>
      </c>
      <c r="R808" s="2" t="inlineStr"/>
    </row>
    <row r="809" ht="15" customHeight="1">
      <c r="A809" t="inlineStr">
        <is>
          <t>A 33842-2022</t>
        </is>
      </c>
      <c r="B809" s="1" t="n">
        <v>44790.49523148148</v>
      </c>
      <c r="C809" s="1" t="n">
        <v>45982</v>
      </c>
      <c r="D809" t="inlineStr">
        <is>
          <t>KALMAR LÄN</t>
        </is>
      </c>
      <c r="E809" t="inlineStr">
        <is>
          <t>VIMMERBY</t>
        </is>
      </c>
      <c r="G809" t="n">
        <v>1.6</v>
      </c>
      <c r="H809" t="n">
        <v>0</v>
      </c>
      <c r="I809" t="n">
        <v>0</v>
      </c>
      <c r="J809" t="n">
        <v>0</v>
      </c>
      <c r="K809" t="n">
        <v>0</v>
      </c>
      <c r="L809" t="n">
        <v>0</v>
      </c>
      <c r="M809" t="n">
        <v>0</v>
      </c>
      <c r="N809" t="n">
        <v>0</v>
      </c>
      <c r="O809" t="n">
        <v>0</v>
      </c>
      <c r="P809" t="n">
        <v>0</v>
      </c>
      <c r="Q809" t="n">
        <v>0</v>
      </c>
      <c r="R809" s="2" t="inlineStr"/>
    </row>
    <row r="810" ht="15" customHeight="1">
      <c r="A810" t="inlineStr">
        <is>
          <t>A 49408-2023</t>
        </is>
      </c>
      <c r="B810" s="1" t="n">
        <v>45211.43555555555</v>
      </c>
      <c r="C810" s="1" t="n">
        <v>45982</v>
      </c>
      <c r="D810" t="inlineStr">
        <is>
          <t>KALMAR LÄN</t>
        </is>
      </c>
      <c r="E810" t="inlineStr">
        <is>
          <t>VIMMERBY</t>
        </is>
      </c>
      <c r="G810" t="n">
        <v>13.1</v>
      </c>
      <c r="H810" t="n">
        <v>0</v>
      </c>
      <c r="I810" t="n">
        <v>0</v>
      </c>
      <c r="J810" t="n">
        <v>0</v>
      </c>
      <c r="K810" t="n">
        <v>0</v>
      </c>
      <c r="L810" t="n">
        <v>0</v>
      </c>
      <c r="M810" t="n">
        <v>0</v>
      </c>
      <c r="N810" t="n">
        <v>0</v>
      </c>
      <c r="O810" t="n">
        <v>0</v>
      </c>
      <c r="P810" t="n">
        <v>0</v>
      </c>
      <c r="Q810" t="n">
        <v>0</v>
      </c>
      <c r="R810" s="2" t="inlineStr"/>
    </row>
    <row r="811" ht="15" customHeight="1">
      <c r="A811" t="inlineStr">
        <is>
          <t>A 56536-2022</t>
        </is>
      </c>
      <c r="B811" s="1" t="n">
        <v>44893</v>
      </c>
      <c r="C811" s="1" t="n">
        <v>45982</v>
      </c>
      <c r="D811" t="inlineStr">
        <is>
          <t>KALMAR LÄN</t>
        </is>
      </c>
      <c r="E811" t="inlineStr">
        <is>
          <t>VIMMERBY</t>
        </is>
      </c>
      <c r="G811" t="n">
        <v>3.2</v>
      </c>
      <c r="H811" t="n">
        <v>0</v>
      </c>
      <c r="I811" t="n">
        <v>0</v>
      </c>
      <c r="J811" t="n">
        <v>0</v>
      </c>
      <c r="K811" t="n">
        <v>0</v>
      </c>
      <c r="L811" t="n">
        <v>0</v>
      </c>
      <c r="M811" t="n">
        <v>0</v>
      </c>
      <c r="N811" t="n">
        <v>0</v>
      </c>
      <c r="O811" t="n">
        <v>0</v>
      </c>
      <c r="P811" t="n">
        <v>0</v>
      </c>
      <c r="Q811" t="n">
        <v>0</v>
      </c>
      <c r="R811" s="2" t="inlineStr"/>
    </row>
    <row r="812" ht="15" customHeight="1">
      <c r="A812" t="inlineStr">
        <is>
          <t>A 41199-2023</t>
        </is>
      </c>
      <c r="B812" s="1" t="n">
        <v>45174.40454861111</v>
      </c>
      <c r="C812" s="1" t="n">
        <v>45982</v>
      </c>
      <c r="D812" t="inlineStr">
        <is>
          <t>KALMAR LÄN</t>
        </is>
      </c>
      <c r="E812" t="inlineStr">
        <is>
          <t>VIMMERBY</t>
        </is>
      </c>
      <c r="G812" t="n">
        <v>1.3</v>
      </c>
      <c r="H812" t="n">
        <v>0</v>
      </c>
      <c r="I812" t="n">
        <v>0</v>
      </c>
      <c r="J812" t="n">
        <v>0</v>
      </c>
      <c r="K812" t="n">
        <v>0</v>
      </c>
      <c r="L812" t="n">
        <v>0</v>
      </c>
      <c r="M812" t="n">
        <v>0</v>
      </c>
      <c r="N812" t="n">
        <v>0</v>
      </c>
      <c r="O812" t="n">
        <v>0</v>
      </c>
      <c r="P812" t="n">
        <v>0</v>
      </c>
      <c r="Q812" t="n">
        <v>0</v>
      </c>
      <c r="R812" s="2" t="inlineStr"/>
    </row>
    <row r="813" ht="15" customHeight="1">
      <c r="A813" t="inlineStr">
        <is>
          <t>A 8945-2025</t>
        </is>
      </c>
      <c r="B813" s="1" t="n">
        <v>45713.45311342592</v>
      </c>
      <c r="C813" s="1" t="n">
        <v>45982</v>
      </c>
      <c r="D813" t="inlineStr">
        <is>
          <t>KALMAR LÄN</t>
        </is>
      </c>
      <c r="E813" t="inlineStr">
        <is>
          <t>VIMMERBY</t>
        </is>
      </c>
      <c r="G813" t="n">
        <v>0.6</v>
      </c>
      <c r="H813" t="n">
        <v>0</v>
      </c>
      <c r="I813" t="n">
        <v>0</v>
      </c>
      <c r="J813" t="n">
        <v>0</v>
      </c>
      <c r="K813" t="n">
        <v>0</v>
      </c>
      <c r="L813" t="n">
        <v>0</v>
      </c>
      <c r="M813" t="n">
        <v>0</v>
      </c>
      <c r="N813" t="n">
        <v>0</v>
      </c>
      <c r="O813" t="n">
        <v>0</v>
      </c>
      <c r="P813" t="n">
        <v>0</v>
      </c>
      <c r="Q813" t="n">
        <v>0</v>
      </c>
      <c r="R813" s="2" t="inlineStr"/>
    </row>
    <row r="814" ht="15" customHeight="1">
      <c r="A814" t="inlineStr">
        <is>
          <t>A 11619-2023</t>
        </is>
      </c>
      <c r="B814" s="1" t="n">
        <v>44994.42113425926</v>
      </c>
      <c r="C814" s="1" t="n">
        <v>45982</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41896-2023</t>
        </is>
      </c>
      <c r="B815" s="1" t="n">
        <v>45176.72427083334</v>
      </c>
      <c r="C815" s="1" t="n">
        <v>45982</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17926-2025</t>
        </is>
      </c>
      <c r="B816" s="1" t="n">
        <v>45759.38987268518</v>
      </c>
      <c r="C816" s="1" t="n">
        <v>45982</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21028-2023</t>
        </is>
      </c>
      <c r="B817" s="1" t="n">
        <v>45061</v>
      </c>
      <c r="C817" s="1" t="n">
        <v>45982</v>
      </c>
      <c r="D817" t="inlineStr">
        <is>
          <t>KALMAR LÄN</t>
        </is>
      </c>
      <c r="E817" t="inlineStr">
        <is>
          <t>VIMMERBY</t>
        </is>
      </c>
      <c r="F817" t="inlineStr">
        <is>
          <t>Övriga Aktiebolag</t>
        </is>
      </c>
      <c r="G817" t="n">
        <v>0.7</v>
      </c>
      <c r="H817" t="n">
        <v>0</v>
      </c>
      <c r="I817" t="n">
        <v>0</v>
      </c>
      <c r="J817" t="n">
        <v>0</v>
      </c>
      <c r="K817" t="n">
        <v>0</v>
      </c>
      <c r="L817" t="n">
        <v>0</v>
      </c>
      <c r="M817" t="n">
        <v>0</v>
      </c>
      <c r="N817" t="n">
        <v>0</v>
      </c>
      <c r="O817" t="n">
        <v>0</v>
      </c>
      <c r="P817" t="n">
        <v>0</v>
      </c>
      <c r="Q817" t="n">
        <v>0</v>
      </c>
      <c r="R817" s="2" t="inlineStr"/>
    </row>
    <row r="818" ht="15" customHeight="1">
      <c r="A818" t="inlineStr">
        <is>
          <t>A 19445-2021</t>
        </is>
      </c>
      <c r="B818" s="1" t="n">
        <v>44310</v>
      </c>
      <c r="C818" s="1" t="n">
        <v>45982</v>
      </c>
      <c r="D818" t="inlineStr">
        <is>
          <t>KALMAR LÄN</t>
        </is>
      </c>
      <c r="E818" t="inlineStr">
        <is>
          <t>VIMMERBY</t>
        </is>
      </c>
      <c r="G818" t="n">
        <v>6.8</v>
      </c>
      <c r="H818" t="n">
        <v>0</v>
      </c>
      <c r="I818" t="n">
        <v>0</v>
      </c>
      <c r="J818" t="n">
        <v>0</v>
      </c>
      <c r="K818" t="n">
        <v>0</v>
      </c>
      <c r="L818" t="n">
        <v>0</v>
      </c>
      <c r="M818" t="n">
        <v>0</v>
      </c>
      <c r="N818" t="n">
        <v>0</v>
      </c>
      <c r="O818" t="n">
        <v>0</v>
      </c>
      <c r="P818" t="n">
        <v>0</v>
      </c>
      <c r="Q818" t="n">
        <v>0</v>
      </c>
      <c r="R818" s="2" t="inlineStr"/>
    </row>
    <row r="819" ht="15" customHeight="1">
      <c r="A819" t="inlineStr">
        <is>
          <t>A 27122-2023</t>
        </is>
      </c>
      <c r="B819" s="1" t="n">
        <v>45096.45247685185</v>
      </c>
      <c r="C819" s="1" t="n">
        <v>45982</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13813-2024</t>
        </is>
      </c>
      <c r="B820" s="1" t="n">
        <v>45391.41310185185</v>
      </c>
      <c r="C820" s="1" t="n">
        <v>45982</v>
      </c>
      <c r="D820" t="inlineStr">
        <is>
          <t>KALMAR LÄN</t>
        </is>
      </c>
      <c r="E820" t="inlineStr">
        <is>
          <t>VIMMERBY</t>
        </is>
      </c>
      <c r="G820" t="n">
        <v>0.4</v>
      </c>
      <c r="H820" t="n">
        <v>0</v>
      </c>
      <c r="I820" t="n">
        <v>0</v>
      </c>
      <c r="J820" t="n">
        <v>0</v>
      </c>
      <c r="K820" t="n">
        <v>0</v>
      </c>
      <c r="L820" t="n">
        <v>0</v>
      </c>
      <c r="M820" t="n">
        <v>0</v>
      </c>
      <c r="N820" t="n">
        <v>0</v>
      </c>
      <c r="O820" t="n">
        <v>0</v>
      </c>
      <c r="P820" t="n">
        <v>0</v>
      </c>
      <c r="Q820" t="n">
        <v>0</v>
      </c>
      <c r="R820" s="2" t="inlineStr"/>
    </row>
    <row r="821" ht="15" customHeight="1">
      <c r="A821" t="inlineStr">
        <is>
          <t>A 38969-2023</t>
        </is>
      </c>
      <c r="B821" s="1" t="n">
        <v>45163.63621527778</v>
      </c>
      <c r="C821" s="1" t="n">
        <v>45982</v>
      </c>
      <c r="D821" t="inlineStr">
        <is>
          <t>KALMAR LÄN</t>
        </is>
      </c>
      <c r="E821" t="inlineStr">
        <is>
          <t>VIMMERBY</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26937-2023</t>
        </is>
      </c>
      <c r="B822" s="1" t="n">
        <v>45093.62777777778</v>
      </c>
      <c r="C822" s="1" t="n">
        <v>45982</v>
      </c>
      <c r="D822" t="inlineStr">
        <is>
          <t>KALMAR LÄN</t>
        </is>
      </c>
      <c r="E822" t="inlineStr">
        <is>
          <t>VIMMERBY</t>
        </is>
      </c>
      <c r="F822" t="inlineStr">
        <is>
          <t>Sveaskog</t>
        </is>
      </c>
      <c r="G822" t="n">
        <v>14.5</v>
      </c>
      <c r="H822" t="n">
        <v>0</v>
      </c>
      <c r="I822" t="n">
        <v>0</v>
      </c>
      <c r="J822" t="n">
        <v>0</v>
      </c>
      <c r="K822" t="n">
        <v>0</v>
      </c>
      <c r="L822" t="n">
        <v>0</v>
      </c>
      <c r="M822" t="n">
        <v>0</v>
      </c>
      <c r="N822" t="n">
        <v>0</v>
      </c>
      <c r="O822" t="n">
        <v>0</v>
      </c>
      <c r="P822" t="n">
        <v>0</v>
      </c>
      <c r="Q822" t="n">
        <v>0</v>
      </c>
      <c r="R822" s="2" t="inlineStr"/>
    </row>
    <row r="823" ht="15" customHeight="1">
      <c r="A823" t="inlineStr">
        <is>
          <t>A 57486-2024</t>
        </is>
      </c>
      <c r="B823" s="1" t="n">
        <v>45630.35827546296</v>
      </c>
      <c r="C823" s="1" t="n">
        <v>45982</v>
      </c>
      <c r="D823" t="inlineStr">
        <is>
          <t>KALMAR LÄN</t>
        </is>
      </c>
      <c r="E823" t="inlineStr">
        <is>
          <t>VIMMERBY</t>
        </is>
      </c>
      <c r="G823" t="n">
        <v>0.4</v>
      </c>
      <c r="H823" t="n">
        <v>0</v>
      </c>
      <c r="I823" t="n">
        <v>0</v>
      </c>
      <c r="J823" t="n">
        <v>0</v>
      </c>
      <c r="K823" t="n">
        <v>0</v>
      </c>
      <c r="L823" t="n">
        <v>0</v>
      </c>
      <c r="M823" t="n">
        <v>0</v>
      </c>
      <c r="N823" t="n">
        <v>0</v>
      </c>
      <c r="O823" t="n">
        <v>0</v>
      </c>
      <c r="P823" t="n">
        <v>0</v>
      </c>
      <c r="Q823" t="n">
        <v>0</v>
      </c>
      <c r="R823" s="2" t="inlineStr"/>
    </row>
    <row r="824" ht="15" customHeight="1">
      <c r="A824" t="inlineStr">
        <is>
          <t>A 43186-2021</t>
        </is>
      </c>
      <c r="B824" s="1" t="n">
        <v>44431.84840277778</v>
      </c>
      <c r="C824" s="1" t="n">
        <v>45982</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1799-2025</t>
        </is>
      </c>
      <c r="B825" s="1" t="n">
        <v>45671.46746527778</v>
      </c>
      <c r="C825" s="1" t="n">
        <v>45982</v>
      </c>
      <c r="D825" t="inlineStr">
        <is>
          <t>KALMAR LÄN</t>
        </is>
      </c>
      <c r="E825" t="inlineStr">
        <is>
          <t>VIMMERBY</t>
        </is>
      </c>
      <c r="G825" t="n">
        <v>3.3</v>
      </c>
      <c r="H825" t="n">
        <v>0</v>
      </c>
      <c r="I825" t="n">
        <v>0</v>
      </c>
      <c r="J825" t="n">
        <v>0</v>
      </c>
      <c r="K825" t="n">
        <v>0</v>
      </c>
      <c r="L825" t="n">
        <v>0</v>
      </c>
      <c r="M825" t="n">
        <v>0</v>
      </c>
      <c r="N825" t="n">
        <v>0</v>
      </c>
      <c r="O825" t="n">
        <v>0</v>
      </c>
      <c r="P825" t="n">
        <v>0</v>
      </c>
      <c r="Q825" t="n">
        <v>0</v>
      </c>
      <c r="R825" s="2" t="inlineStr"/>
    </row>
    <row r="826" ht="15" customHeight="1">
      <c r="A826" t="inlineStr">
        <is>
          <t>A 30063-2023</t>
        </is>
      </c>
      <c r="B826" s="1" t="n">
        <v>45110.4184375</v>
      </c>
      <c r="C826" s="1" t="n">
        <v>45982</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43068-2023</t>
        </is>
      </c>
      <c r="B827" s="1" t="n">
        <v>45182.78834490741</v>
      </c>
      <c r="C827" s="1" t="n">
        <v>45982</v>
      </c>
      <c r="D827" t="inlineStr">
        <is>
          <t>KALMAR LÄN</t>
        </is>
      </c>
      <c r="E827" t="inlineStr">
        <is>
          <t>VIMMERBY</t>
        </is>
      </c>
      <c r="G827" t="n">
        <v>1.5</v>
      </c>
      <c r="H827" t="n">
        <v>0</v>
      </c>
      <c r="I827" t="n">
        <v>0</v>
      </c>
      <c r="J827" t="n">
        <v>0</v>
      </c>
      <c r="K827" t="n">
        <v>0</v>
      </c>
      <c r="L827" t="n">
        <v>0</v>
      </c>
      <c r="M827" t="n">
        <v>0</v>
      </c>
      <c r="N827" t="n">
        <v>0</v>
      </c>
      <c r="O827" t="n">
        <v>0</v>
      </c>
      <c r="P827" t="n">
        <v>0</v>
      </c>
      <c r="Q827" t="n">
        <v>0</v>
      </c>
      <c r="R827" s="2" t="inlineStr"/>
    </row>
    <row r="828" ht="15" customHeight="1">
      <c r="A828" t="inlineStr">
        <is>
          <t>A 18020-2025</t>
        </is>
      </c>
      <c r="B828" s="1" t="n">
        <v>45761.4437962963</v>
      </c>
      <c r="C828" s="1" t="n">
        <v>45982</v>
      </c>
      <c r="D828" t="inlineStr">
        <is>
          <t>KALMAR LÄN</t>
        </is>
      </c>
      <c r="E828" t="inlineStr">
        <is>
          <t>VIMMERBY</t>
        </is>
      </c>
      <c r="G828" t="n">
        <v>0.6</v>
      </c>
      <c r="H828" t="n">
        <v>0</v>
      </c>
      <c r="I828" t="n">
        <v>0</v>
      </c>
      <c r="J828" t="n">
        <v>0</v>
      </c>
      <c r="K828" t="n">
        <v>0</v>
      </c>
      <c r="L828" t="n">
        <v>0</v>
      </c>
      <c r="M828" t="n">
        <v>0</v>
      </c>
      <c r="N828" t="n">
        <v>0</v>
      </c>
      <c r="O828" t="n">
        <v>0</v>
      </c>
      <c r="P828" t="n">
        <v>0</v>
      </c>
      <c r="Q828" t="n">
        <v>0</v>
      </c>
      <c r="R828" s="2" t="inlineStr"/>
    </row>
    <row r="829" ht="15" customHeight="1">
      <c r="A829" t="inlineStr">
        <is>
          <t>A 33424-2023</t>
        </is>
      </c>
      <c r="B829" s="1" t="n">
        <v>45128.9325</v>
      </c>
      <c r="C829" s="1" t="n">
        <v>45982</v>
      </c>
      <c r="D829" t="inlineStr">
        <is>
          <t>KALMAR LÄN</t>
        </is>
      </c>
      <c r="E829" t="inlineStr">
        <is>
          <t>VIMMERBY</t>
        </is>
      </c>
      <c r="G829" t="n">
        <v>2.4</v>
      </c>
      <c r="H829" t="n">
        <v>0</v>
      </c>
      <c r="I829" t="n">
        <v>0</v>
      </c>
      <c r="J829" t="n">
        <v>0</v>
      </c>
      <c r="K829" t="n">
        <v>0</v>
      </c>
      <c r="L829" t="n">
        <v>0</v>
      </c>
      <c r="M829" t="n">
        <v>0</v>
      </c>
      <c r="N829" t="n">
        <v>0</v>
      </c>
      <c r="O829" t="n">
        <v>0</v>
      </c>
      <c r="P829" t="n">
        <v>0</v>
      </c>
      <c r="Q829" t="n">
        <v>0</v>
      </c>
      <c r="R829" s="2" t="inlineStr"/>
    </row>
    <row r="830" ht="15" customHeight="1">
      <c r="A830" t="inlineStr">
        <is>
          <t>A 33425-2023</t>
        </is>
      </c>
      <c r="B830" s="1" t="n">
        <v>45128.93540509259</v>
      </c>
      <c r="C830" s="1" t="n">
        <v>45982</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12327-2023</t>
        </is>
      </c>
      <c r="B831" s="1" t="n">
        <v>44999.36081018519</v>
      </c>
      <c r="C831" s="1" t="n">
        <v>45982</v>
      </c>
      <c r="D831" t="inlineStr">
        <is>
          <t>KALMAR LÄN</t>
        </is>
      </c>
      <c r="E831" t="inlineStr">
        <is>
          <t>VIMMERBY</t>
        </is>
      </c>
      <c r="G831" t="n">
        <v>1.2</v>
      </c>
      <c r="H831" t="n">
        <v>0</v>
      </c>
      <c r="I831" t="n">
        <v>0</v>
      </c>
      <c r="J831" t="n">
        <v>0</v>
      </c>
      <c r="K831" t="n">
        <v>0</v>
      </c>
      <c r="L831" t="n">
        <v>0</v>
      </c>
      <c r="M831" t="n">
        <v>0</v>
      </c>
      <c r="N831" t="n">
        <v>0</v>
      </c>
      <c r="O831" t="n">
        <v>0</v>
      </c>
      <c r="P831" t="n">
        <v>0</v>
      </c>
      <c r="Q831" t="n">
        <v>0</v>
      </c>
      <c r="R831" s="2" t="inlineStr"/>
    </row>
    <row r="832" ht="15" customHeight="1">
      <c r="A832" t="inlineStr">
        <is>
          <t>A 43092-2024</t>
        </is>
      </c>
      <c r="B832" s="1" t="n">
        <v>45567</v>
      </c>
      <c r="C832" s="1" t="n">
        <v>45982</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52435-2021</t>
        </is>
      </c>
      <c r="B833" s="1" t="n">
        <v>44466.34962962963</v>
      </c>
      <c r="C833" s="1" t="n">
        <v>45982</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35127-2024</t>
        </is>
      </c>
      <c r="B834" s="1" t="n">
        <v>45530.33202546297</v>
      </c>
      <c r="C834" s="1" t="n">
        <v>45982</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60215-2022</t>
        </is>
      </c>
      <c r="B835" s="1" t="n">
        <v>44910.41346064815</v>
      </c>
      <c r="C835" s="1" t="n">
        <v>45982</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29441-2024</t>
        </is>
      </c>
      <c r="B836" s="1" t="n">
        <v>45483.82834490741</v>
      </c>
      <c r="C836" s="1" t="n">
        <v>45982</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6216-2025</t>
        </is>
      </c>
      <c r="B837" s="1" t="n">
        <v>45698.52806712963</v>
      </c>
      <c r="C837" s="1" t="n">
        <v>45982</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62779-2023</t>
        </is>
      </c>
      <c r="B838" s="1" t="n">
        <v>45271.66576388889</v>
      </c>
      <c r="C838" s="1" t="n">
        <v>45982</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52294-2023</t>
        </is>
      </c>
      <c r="B839" s="1" t="n">
        <v>45224.60075231481</v>
      </c>
      <c r="C839" s="1" t="n">
        <v>45982</v>
      </c>
      <c r="D839" t="inlineStr">
        <is>
          <t>KALMAR LÄN</t>
        </is>
      </c>
      <c r="E839" t="inlineStr">
        <is>
          <t>VIMMERBY</t>
        </is>
      </c>
      <c r="F839" t="inlineStr">
        <is>
          <t>Sveaskog</t>
        </is>
      </c>
      <c r="G839" t="n">
        <v>2.5</v>
      </c>
      <c r="H839" t="n">
        <v>0</v>
      </c>
      <c r="I839" t="n">
        <v>0</v>
      </c>
      <c r="J839" t="n">
        <v>0</v>
      </c>
      <c r="K839" t="n">
        <v>0</v>
      </c>
      <c r="L839" t="n">
        <v>0</v>
      </c>
      <c r="M839" t="n">
        <v>0</v>
      </c>
      <c r="N839" t="n">
        <v>0</v>
      </c>
      <c r="O839" t="n">
        <v>0</v>
      </c>
      <c r="P839" t="n">
        <v>0</v>
      </c>
      <c r="Q839" t="n">
        <v>0</v>
      </c>
      <c r="R839" s="2" t="inlineStr"/>
    </row>
    <row r="840" ht="15" customHeight="1">
      <c r="A840" t="inlineStr">
        <is>
          <t>A 31013-2023</t>
        </is>
      </c>
      <c r="B840" s="1" t="n">
        <v>45113.56574074074</v>
      </c>
      <c r="C840" s="1" t="n">
        <v>45982</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72067-2021</t>
        </is>
      </c>
      <c r="B841" s="1" t="n">
        <v>44540</v>
      </c>
      <c r="C841" s="1" t="n">
        <v>45982</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61538-2022</t>
        </is>
      </c>
      <c r="B842" s="1" t="n">
        <v>44916.55414351852</v>
      </c>
      <c r="C842" s="1" t="n">
        <v>45982</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36155-2023</t>
        </is>
      </c>
      <c r="B843" s="1" t="n">
        <v>45149.60917824074</v>
      </c>
      <c r="C843" s="1" t="n">
        <v>45982</v>
      </c>
      <c r="D843" t="inlineStr">
        <is>
          <t>KALMAR LÄN</t>
        </is>
      </c>
      <c r="E843" t="inlineStr">
        <is>
          <t>VIMMERBY</t>
        </is>
      </c>
      <c r="G843" t="n">
        <v>5</v>
      </c>
      <c r="H843" t="n">
        <v>0</v>
      </c>
      <c r="I843" t="n">
        <v>0</v>
      </c>
      <c r="J843" t="n">
        <v>0</v>
      </c>
      <c r="K843" t="n">
        <v>0</v>
      </c>
      <c r="L843" t="n">
        <v>0</v>
      </c>
      <c r="M843" t="n">
        <v>0</v>
      </c>
      <c r="N843" t="n">
        <v>0</v>
      </c>
      <c r="O843" t="n">
        <v>0</v>
      </c>
      <c r="P843" t="n">
        <v>0</v>
      </c>
      <c r="Q843" t="n">
        <v>0</v>
      </c>
      <c r="R843" s="2" t="inlineStr"/>
    </row>
    <row r="844" ht="15" customHeight="1">
      <c r="A844" t="inlineStr">
        <is>
          <t>A 29173-2024</t>
        </is>
      </c>
      <c r="B844" s="1" t="n">
        <v>45482.52887731481</v>
      </c>
      <c r="C844" s="1" t="n">
        <v>45982</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53542-2022</t>
        </is>
      </c>
      <c r="B845" s="1" t="n">
        <v>44879.62173611111</v>
      </c>
      <c r="C845" s="1" t="n">
        <v>45982</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6807-2025</t>
        </is>
      </c>
      <c r="B846" s="1" t="n">
        <v>45700.68672453704</v>
      </c>
      <c r="C846" s="1" t="n">
        <v>45982</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7047-2022</t>
        </is>
      </c>
      <c r="B847" s="1" t="n">
        <v>44603</v>
      </c>
      <c r="C847" s="1" t="n">
        <v>45982</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35711-2023</t>
        </is>
      </c>
      <c r="B848" s="1" t="n">
        <v>45147.67172453704</v>
      </c>
      <c r="C848" s="1" t="n">
        <v>45982</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5382-2023</t>
        </is>
      </c>
      <c r="B849" s="1" t="n">
        <v>44959.66407407408</v>
      </c>
      <c r="C849" s="1" t="n">
        <v>45982</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40823-2023</t>
        </is>
      </c>
      <c r="B850" s="1" t="n">
        <v>45171.77335648148</v>
      </c>
      <c r="C850" s="1" t="n">
        <v>45982</v>
      </c>
      <c r="D850" t="inlineStr">
        <is>
          <t>KALMAR LÄN</t>
        </is>
      </c>
      <c r="E850" t="inlineStr">
        <is>
          <t>VIMMERBY</t>
        </is>
      </c>
      <c r="G850" t="n">
        <v>2.7</v>
      </c>
      <c r="H850" t="n">
        <v>0</v>
      </c>
      <c r="I850" t="n">
        <v>0</v>
      </c>
      <c r="J850" t="n">
        <v>0</v>
      </c>
      <c r="K850" t="n">
        <v>0</v>
      </c>
      <c r="L850" t="n">
        <v>0</v>
      </c>
      <c r="M850" t="n">
        <v>0</v>
      </c>
      <c r="N850" t="n">
        <v>0</v>
      </c>
      <c r="O850" t="n">
        <v>0</v>
      </c>
      <c r="P850" t="n">
        <v>0</v>
      </c>
      <c r="Q850" t="n">
        <v>0</v>
      </c>
      <c r="R850" s="2" t="inlineStr"/>
    </row>
    <row r="851" ht="15" customHeight="1">
      <c r="A851" t="inlineStr">
        <is>
          <t>A 6218-2025</t>
        </is>
      </c>
      <c r="B851" s="1" t="n">
        <v>45698.53336805556</v>
      </c>
      <c r="C851" s="1" t="n">
        <v>45982</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30920-2023</t>
        </is>
      </c>
      <c r="B852" s="1" t="n">
        <v>45113.43921296296</v>
      </c>
      <c r="C852" s="1" t="n">
        <v>45982</v>
      </c>
      <c r="D852" t="inlineStr">
        <is>
          <t>KALMAR LÄN</t>
        </is>
      </c>
      <c r="E852" t="inlineStr">
        <is>
          <t>VIMMERBY</t>
        </is>
      </c>
      <c r="G852" t="n">
        <v>3.1</v>
      </c>
      <c r="H852" t="n">
        <v>0</v>
      </c>
      <c r="I852" t="n">
        <v>0</v>
      </c>
      <c r="J852" t="n">
        <v>0</v>
      </c>
      <c r="K852" t="n">
        <v>0</v>
      </c>
      <c r="L852" t="n">
        <v>0</v>
      </c>
      <c r="M852" t="n">
        <v>0</v>
      </c>
      <c r="N852" t="n">
        <v>0</v>
      </c>
      <c r="O852" t="n">
        <v>0</v>
      </c>
      <c r="P852" t="n">
        <v>0</v>
      </c>
      <c r="Q852" t="n">
        <v>0</v>
      </c>
      <c r="R852" s="2" t="inlineStr"/>
    </row>
    <row r="853" ht="15" customHeight="1">
      <c r="A853" t="inlineStr">
        <is>
          <t>A 6857-2023</t>
        </is>
      </c>
      <c r="B853" s="1" t="n">
        <v>44967.45122685185</v>
      </c>
      <c r="C853" s="1" t="n">
        <v>45982</v>
      </c>
      <c r="D853" t="inlineStr">
        <is>
          <t>KALMAR LÄN</t>
        </is>
      </c>
      <c r="E853" t="inlineStr">
        <is>
          <t>VIMMERBY</t>
        </is>
      </c>
      <c r="G853" t="n">
        <v>2.1</v>
      </c>
      <c r="H853" t="n">
        <v>0</v>
      </c>
      <c r="I853" t="n">
        <v>0</v>
      </c>
      <c r="J853" t="n">
        <v>0</v>
      </c>
      <c r="K853" t="n">
        <v>0</v>
      </c>
      <c r="L853" t="n">
        <v>0</v>
      </c>
      <c r="M853" t="n">
        <v>0</v>
      </c>
      <c r="N853" t="n">
        <v>0</v>
      </c>
      <c r="O853" t="n">
        <v>0</v>
      </c>
      <c r="P853" t="n">
        <v>0</v>
      </c>
      <c r="Q853" t="n">
        <v>0</v>
      </c>
      <c r="R853" s="2" t="inlineStr"/>
    </row>
    <row r="854" ht="15" customHeight="1">
      <c r="A854" t="inlineStr">
        <is>
          <t>A 5792-2023</t>
        </is>
      </c>
      <c r="B854" s="1" t="n">
        <v>44963.44769675926</v>
      </c>
      <c r="C854" s="1" t="n">
        <v>45982</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10303-2025</t>
        </is>
      </c>
      <c r="B855" s="1" t="n">
        <v>45720.44217592593</v>
      </c>
      <c r="C855" s="1" t="n">
        <v>45982</v>
      </c>
      <c r="D855" t="inlineStr">
        <is>
          <t>KALMAR LÄN</t>
        </is>
      </c>
      <c r="E855" t="inlineStr">
        <is>
          <t>VIMMERBY</t>
        </is>
      </c>
      <c r="G855" t="n">
        <v>0.9</v>
      </c>
      <c r="H855" t="n">
        <v>0</v>
      </c>
      <c r="I855" t="n">
        <v>0</v>
      </c>
      <c r="J855" t="n">
        <v>0</v>
      </c>
      <c r="K855" t="n">
        <v>0</v>
      </c>
      <c r="L855" t="n">
        <v>0</v>
      </c>
      <c r="M855" t="n">
        <v>0</v>
      </c>
      <c r="N855" t="n">
        <v>0</v>
      </c>
      <c r="O855" t="n">
        <v>0</v>
      </c>
      <c r="P855" t="n">
        <v>0</v>
      </c>
      <c r="Q855" t="n">
        <v>0</v>
      </c>
      <c r="R855" s="2" t="inlineStr"/>
    </row>
    <row r="856" ht="15" customHeight="1">
      <c r="A856" t="inlineStr">
        <is>
          <t>A 60110-2022</t>
        </is>
      </c>
      <c r="B856" s="1" t="n">
        <v>44909</v>
      </c>
      <c r="C856" s="1" t="n">
        <v>45982</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15394-2025</t>
        </is>
      </c>
      <c r="B857" s="1" t="n">
        <v>45747.43196759259</v>
      </c>
      <c r="C857" s="1" t="n">
        <v>45982</v>
      </c>
      <c r="D857" t="inlineStr">
        <is>
          <t>KALMAR LÄN</t>
        </is>
      </c>
      <c r="E857" t="inlineStr">
        <is>
          <t>VIMMERBY</t>
        </is>
      </c>
      <c r="G857" t="n">
        <v>0.8</v>
      </c>
      <c r="H857" t="n">
        <v>0</v>
      </c>
      <c r="I857" t="n">
        <v>0</v>
      </c>
      <c r="J857" t="n">
        <v>0</v>
      </c>
      <c r="K857" t="n">
        <v>0</v>
      </c>
      <c r="L857" t="n">
        <v>0</v>
      </c>
      <c r="M857" t="n">
        <v>0</v>
      </c>
      <c r="N857" t="n">
        <v>0</v>
      </c>
      <c r="O857" t="n">
        <v>0</v>
      </c>
      <c r="P857" t="n">
        <v>0</v>
      </c>
      <c r="Q857" t="n">
        <v>0</v>
      </c>
      <c r="R857" s="2" t="inlineStr"/>
    </row>
    <row r="858" ht="15" customHeight="1">
      <c r="A858" t="inlineStr">
        <is>
          <t>A 15388-2025</t>
        </is>
      </c>
      <c r="B858" s="1" t="n">
        <v>45747.42633101852</v>
      </c>
      <c r="C858" s="1" t="n">
        <v>45982</v>
      </c>
      <c r="D858" t="inlineStr">
        <is>
          <t>KALMAR LÄN</t>
        </is>
      </c>
      <c r="E858" t="inlineStr">
        <is>
          <t>VIMMERBY</t>
        </is>
      </c>
      <c r="G858" t="n">
        <v>1.3</v>
      </c>
      <c r="H858" t="n">
        <v>0</v>
      </c>
      <c r="I858" t="n">
        <v>0</v>
      </c>
      <c r="J858" t="n">
        <v>0</v>
      </c>
      <c r="K858" t="n">
        <v>0</v>
      </c>
      <c r="L858" t="n">
        <v>0</v>
      </c>
      <c r="M858" t="n">
        <v>0</v>
      </c>
      <c r="N858" t="n">
        <v>0</v>
      </c>
      <c r="O858" t="n">
        <v>0</v>
      </c>
      <c r="P858" t="n">
        <v>0</v>
      </c>
      <c r="Q858" t="n">
        <v>0</v>
      </c>
      <c r="R858" s="2" t="inlineStr"/>
    </row>
    <row r="859" ht="15" customHeight="1">
      <c r="A859" t="inlineStr">
        <is>
          <t>A 15391-2025</t>
        </is>
      </c>
      <c r="B859" s="1" t="n">
        <v>45747.42958333333</v>
      </c>
      <c r="C859" s="1" t="n">
        <v>45982</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6474-2025</t>
        </is>
      </c>
      <c r="B860" s="1" t="n">
        <v>45699.60055555555</v>
      </c>
      <c r="C860" s="1" t="n">
        <v>45982</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32919-2022</t>
        </is>
      </c>
      <c r="B861" s="1" t="n">
        <v>44784.62724537037</v>
      </c>
      <c r="C861" s="1" t="n">
        <v>45982</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56659-2023</t>
        </is>
      </c>
      <c r="B862" s="1" t="n">
        <v>45243.84869212963</v>
      </c>
      <c r="C862" s="1" t="n">
        <v>45982</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13015-2022</t>
        </is>
      </c>
      <c r="B863" s="1" t="n">
        <v>44643</v>
      </c>
      <c r="C863" s="1" t="n">
        <v>45982</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17968-2025</t>
        </is>
      </c>
      <c r="B864" s="1" t="n">
        <v>45761.35990740741</v>
      </c>
      <c r="C864" s="1" t="n">
        <v>45982</v>
      </c>
      <c r="D864" t="inlineStr">
        <is>
          <t>KALMAR LÄN</t>
        </is>
      </c>
      <c r="E864" t="inlineStr">
        <is>
          <t>VIMMERBY</t>
        </is>
      </c>
      <c r="G864" t="n">
        <v>3.3</v>
      </c>
      <c r="H864" t="n">
        <v>0</v>
      </c>
      <c r="I864" t="n">
        <v>0</v>
      </c>
      <c r="J864" t="n">
        <v>0</v>
      </c>
      <c r="K864" t="n">
        <v>0</v>
      </c>
      <c r="L864" t="n">
        <v>0</v>
      </c>
      <c r="M864" t="n">
        <v>0</v>
      </c>
      <c r="N864" t="n">
        <v>0</v>
      </c>
      <c r="O864" t="n">
        <v>0</v>
      </c>
      <c r="P864" t="n">
        <v>0</v>
      </c>
      <c r="Q864" t="n">
        <v>0</v>
      </c>
      <c r="R864" s="2" t="inlineStr"/>
    </row>
    <row r="865" ht="15" customHeight="1">
      <c r="A865" t="inlineStr">
        <is>
          <t>A 6028-2023</t>
        </is>
      </c>
      <c r="B865" s="1" t="n">
        <v>44964.44356481481</v>
      </c>
      <c r="C865" s="1" t="n">
        <v>45982</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55436-2023</t>
        </is>
      </c>
      <c r="B866" s="1" t="n">
        <v>45238.4328587963</v>
      </c>
      <c r="C866" s="1" t="n">
        <v>45982</v>
      </c>
      <c r="D866" t="inlineStr">
        <is>
          <t>KALMAR LÄN</t>
        </is>
      </c>
      <c r="E866" t="inlineStr">
        <is>
          <t>VIMMERBY</t>
        </is>
      </c>
      <c r="G866" t="n">
        <v>5.6</v>
      </c>
      <c r="H866" t="n">
        <v>0</v>
      </c>
      <c r="I866" t="n">
        <v>0</v>
      </c>
      <c r="J866" t="n">
        <v>0</v>
      </c>
      <c r="K866" t="n">
        <v>0</v>
      </c>
      <c r="L866" t="n">
        <v>0</v>
      </c>
      <c r="M866" t="n">
        <v>0</v>
      </c>
      <c r="N866" t="n">
        <v>0</v>
      </c>
      <c r="O866" t="n">
        <v>0</v>
      </c>
      <c r="P866" t="n">
        <v>0</v>
      </c>
      <c r="Q866" t="n">
        <v>0</v>
      </c>
      <c r="R866" s="2" t="inlineStr"/>
    </row>
    <row r="867" ht="15" customHeight="1">
      <c r="A867" t="inlineStr">
        <is>
          <t>A 56582-2022</t>
        </is>
      </c>
      <c r="B867" s="1" t="n">
        <v>44893</v>
      </c>
      <c r="C867" s="1" t="n">
        <v>45982</v>
      </c>
      <c r="D867" t="inlineStr">
        <is>
          <t>KALMAR LÄN</t>
        </is>
      </c>
      <c r="E867" t="inlineStr">
        <is>
          <t>VIMMERBY</t>
        </is>
      </c>
      <c r="G867" t="n">
        <v>2.2</v>
      </c>
      <c r="H867" t="n">
        <v>0</v>
      </c>
      <c r="I867" t="n">
        <v>0</v>
      </c>
      <c r="J867" t="n">
        <v>0</v>
      </c>
      <c r="K867" t="n">
        <v>0</v>
      </c>
      <c r="L867" t="n">
        <v>0</v>
      </c>
      <c r="M867" t="n">
        <v>0</v>
      </c>
      <c r="N867" t="n">
        <v>0</v>
      </c>
      <c r="O867" t="n">
        <v>0</v>
      </c>
      <c r="P867" t="n">
        <v>0</v>
      </c>
      <c r="Q867" t="n">
        <v>0</v>
      </c>
      <c r="R867" s="2" t="inlineStr"/>
    </row>
    <row r="868" ht="15" customHeight="1">
      <c r="A868" t="inlineStr">
        <is>
          <t>A 20-2025</t>
        </is>
      </c>
      <c r="B868" s="1" t="n">
        <v>45658.80232638889</v>
      </c>
      <c r="C868" s="1" t="n">
        <v>45982</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23-2025</t>
        </is>
      </c>
      <c r="B869" s="1" t="n">
        <v>45658.80827546296</v>
      </c>
      <c r="C869" s="1" t="n">
        <v>45982</v>
      </c>
      <c r="D869" t="inlineStr">
        <is>
          <t>KALMAR LÄN</t>
        </is>
      </c>
      <c r="E869" t="inlineStr">
        <is>
          <t>VIMMERBY</t>
        </is>
      </c>
      <c r="G869" t="n">
        <v>1.8</v>
      </c>
      <c r="H869" t="n">
        <v>0</v>
      </c>
      <c r="I869" t="n">
        <v>0</v>
      </c>
      <c r="J869" t="n">
        <v>0</v>
      </c>
      <c r="K869" t="n">
        <v>0</v>
      </c>
      <c r="L869" t="n">
        <v>0</v>
      </c>
      <c r="M869" t="n">
        <v>0</v>
      </c>
      <c r="N869" t="n">
        <v>0</v>
      </c>
      <c r="O869" t="n">
        <v>0</v>
      </c>
      <c r="P869" t="n">
        <v>0</v>
      </c>
      <c r="Q869" t="n">
        <v>0</v>
      </c>
      <c r="R869" s="2" t="inlineStr"/>
    </row>
    <row r="870" ht="15" customHeight="1">
      <c r="A870" t="inlineStr">
        <is>
          <t>A 43962-2024</t>
        </is>
      </c>
      <c r="B870" s="1" t="n">
        <v>45572.48293981481</v>
      </c>
      <c r="C870" s="1" t="n">
        <v>45982</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35713-2023</t>
        </is>
      </c>
      <c r="B871" s="1" t="n">
        <v>45147</v>
      </c>
      <c r="C871" s="1" t="n">
        <v>45982</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40147-2023</t>
        </is>
      </c>
      <c r="B872" s="1" t="n">
        <v>45169</v>
      </c>
      <c r="C872" s="1" t="n">
        <v>45982</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50995-2022</t>
        </is>
      </c>
      <c r="B873" s="1" t="n">
        <v>44867</v>
      </c>
      <c r="C873" s="1" t="n">
        <v>45982</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27993-2022</t>
        </is>
      </c>
      <c r="B874" s="1" t="n">
        <v>44745.84396990741</v>
      </c>
      <c r="C874" s="1" t="n">
        <v>45982</v>
      </c>
      <c r="D874" t="inlineStr">
        <is>
          <t>KALMAR LÄN</t>
        </is>
      </c>
      <c r="E874" t="inlineStr">
        <is>
          <t>VIMMERBY</t>
        </is>
      </c>
      <c r="G874" t="n">
        <v>2.8</v>
      </c>
      <c r="H874" t="n">
        <v>0</v>
      </c>
      <c r="I874" t="n">
        <v>0</v>
      </c>
      <c r="J874" t="n">
        <v>0</v>
      </c>
      <c r="K874" t="n">
        <v>0</v>
      </c>
      <c r="L874" t="n">
        <v>0</v>
      </c>
      <c r="M874" t="n">
        <v>0</v>
      </c>
      <c r="N874" t="n">
        <v>0</v>
      </c>
      <c r="O874" t="n">
        <v>0</v>
      </c>
      <c r="P874" t="n">
        <v>0</v>
      </c>
      <c r="Q874" t="n">
        <v>0</v>
      </c>
      <c r="R874" s="2" t="inlineStr"/>
    </row>
    <row r="875" ht="15" customHeight="1">
      <c r="A875" t="inlineStr">
        <is>
          <t>A 57555-2024</t>
        </is>
      </c>
      <c r="B875" s="1" t="n">
        <v>45630.45069444444</v>
      </c>
      <c r="C875" s="1" t="n">
        <v>45982</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36014-2024</t>
        </is>
      </c>
      <c r="B876" s="1" t="n">
        <v>45533.56108796296</v>
      </c>
      <c r="C876" s="1" t="n">
        <v>45982</v>
      </c>
      <c r="D876" t="inlineStr">
        <is>
          <t>KALMAR LÄN</t>
        </is>
      </c>
      <c r="E876" t="inlineStr">
        <is>
          <t>VIMMERBY</t>
        </is>
      </c>
      <c r="G876" t="n">
        <v>2.3</v>
      </c>
      <c r="H876" t="n">
        <v>0</v>
      </c>
      <c r="I876" t="n">
        <v>0</v>
      </c>
      <c r="J876" t="n">
        <v>0</v>
      </c>
      <c r="K876" t="n">
        <v>0</v>
      </c>
      <c r="L876" t="n">
        <v>0</v>
      </c>
      <c r="M876" t="n">
        <v>0</v>
      </c>
      <c r="N876" t="n">
        <v>0</v>
      </c>
      <c r="O876" t="n">
        <v>0</v>
      </c>
      <c r="P876" t="n">
        <v>0</v>
      </c>
      <c r="Q876" t="n">
        <v>0</v>
      </c>
      <c r="R876" s="2" t="inlineStr"/>
    </row>
    <row r="877" ht="15" customHeight="1">
      <c r="A877" t="inlineStr">
        <is>
          <t>A 36030-2024</t>
        </is>
      </c>
      <c r="B877" s="1" t="n">
        <v>45533.58302083334</v>
      </c>
      <c r="C877" s="1" t="n">
        <v>45982</v>
      </c>
      <c r="D877" t="inlineStr">
        <is>
          <t>KALMAR LÄN</t>
        </is>
      </c>
      <c r="E877" t="inlineStr">
        <is>
          <t>VIMMERBY</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32865-2023</t>
        </is>
      </c>
      <c r="B878" s="1" t="n">
        <v>45124</v>
      </c>
      <c r="C878" s="1" t="n">
        <v>45982</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42918-2021</t>
        </is>
      </c>
      <c r="B879" s="1" t="n">
        <v>44431</v>
      </c>
      <c r="C879" s="1" t="n">
        <v>45982</v>
      </c>
      <c r="D879" t="inlineStr">
        <is>
          <t>KALMAR LÄN</t>
        </is>
      </c>
      <c r="E879" t="inlineStr">
        <is>
          <t>VIMMERBY</t>
        </is>
      </c>
      <c r="G879" t="n">
        <v>1.6</v>
      </c>
      <c r="H879" t="n">
        <v>0</v>
      </c>
      <c r="I879" t="n">
        <v>0</v>
      </c>
      <c r="J879" t="n">
        <v>0</v>
      </c>
      <c r="K879" t="n">
        <v>0</v>
      </c>
      <c r="L879" t="n">
        <v>0</v>
      </c>
      <c r="M879" t="n">
        <v>0</v>
      </c>
      <c r="N879" t="n">
        <v>0</v>
      </c>
      <c r="O879" t="n">
        <v>0</v>
      </c>
      <c r="P879" t="n">
        <v>0</v>
      </c>
      <c r="Q879" t="n">
        <v>0</v>
      </c>
      <c r="R879" s="2" t="inlineStr"/>
    </row>
    <row r="880" ht="15" customHeight="1">
      <c r="A880" t="inlineStr">
        <is>
          <t>A 22643-2023</t>
        </is>
      </c>
      <c r="B880" s="1" t="n">
        <v>45071</v>
      </c>
      <c r="C880" s="1" t="n">
        <v>45982</v>
      </c>
      <c r="D880" t="inlineStr">
        <is>
          <t>KALMAR LÄN</t>
        </is>
      </c>
      <c r="E880" t="inlineStr">
        <is>
          <t>VIMMERBY</t>
        </is>
      </c>
      <c r="G880" t="n">
        <v>3.9</v>
      </c>
      <c r="H880" t="n">
        <v>0</v>
      </c>
      <c r="I880" t="n">
        <v>0</v>
      </c>
      <c r="J880" t="n">
        <v>0</v>
      </c>
      <c r="K880" t="n">
        <v>0</v>
      </c>
      <c r="L880" t="n">
        <v>0</v>
      </c>
      <c r="M880" t="n">
        <v>0</v>
      </c>
      <c r="N880" t="n">
        <v>0</v>
      </c>
      <c r="O880" t="n">
        <v>0</v>
      </c>
      <c r="P880" t="n">
        <v>0</v>
      </c>
      <c r="Q880" t="n">
        <v>0</v>
      </c>
      <c r="R880" s="2" t="inlineStr"/>
    </row>
    <row r="881" ht="15" customHeight="1">
      <c r="A881" t="inlineStr">
        <is>
          <t>A 18669-2025</t>
        </is>
      </c>
      <c r="B881" s="1" t="n">
        <v>45763.59436342592</v>
      </c>
      <c r="C881" s="1" t="n">
        <v>45982</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38780-2021</t>
        </is>
      </c>
      <c r="B882" s="1" t="n">
        <v>44410</v>
      </c>
      <c r="C882" s="1" t="n">
        <v>45982</v>
      </c>
      <c r="D882" t="inlineStr">
        <is>
          <t>KALMAR LÄN</t>
        </is>
      </c>
      <c r="E882" t="inlineStr">
        <is>
          <t>VIMMERBY</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29020-2024</t>
        </is>
      </c>
      <c r="B883" s="1" t="n">
        <v>45481.58048611111</v>
      </c>
      <c r="C883" s="1" t="n">
        <v>45982</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30406-2023</t>
        </is>
      </c>
      <c r="B884" s="1" t="n">
        <v>45111.48787037037</v>
      </c>
      <c r="C884" s="1" t="n">
        <v>45982</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row>
    <row r="885" ht="15" customHeight="1">
      <c r="A885" t="inlineStr">
        <is>
          <t>A 13817-2024</t>
        </is>
      </c>
      <c r="B885" s="1" t="n">
        <v>45391.41976851852</v>
      </c>
      <c r="C885" s="1" t="n">
        <v>45982</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22399-2025</t>
        </is>
      </c>
      <c r="B886" s="1" t="n">
        <v>45786.52996527778</v>
      </c>
      <c r="C886" s="1" t="n">
        <v>45982</v>
      </c>
      <c r="D886" t="inlineStr">
        <is>
          <t>KALMAR LÄN</t>
        </is>
      </c>
      <c r="E886" t="inlineStr">
        <is>
          <t>VIMMERBY</t>
        </is>
      </c>
      <c r="G886" t="n">
        <v>2.1</v>
      </c>
      <c r="H886" t="n">
        <v>0</v>
      </c>
      <c r="I886" t="n">
        <v>0</v>
      </c>
      <c r="J886" t="n">
        <v>0</v>
      </c>
      <c r="K886" t="n">
        <v>0</v>
      </c>
      <c r="L886" t="n">
        <v>0</v>
      </c>
      <c r="M886" t="n">
        <v>0</v>
      </c>
      <c r="N886" t="n">
        <v>0</v>
      </c>
      <c r="O886" t="n">
        <v>0</v>
      </c>
      <c r="P886" t="n">
        <v>0</v>
      </c>
      <c r="Q886" t="n">
        <v>0</v>
      </c>
      <c r="R886" s="2" t="inlineStr"/>
    </row>
    <row r="887" ht="15" customHeight="1">
      <c r="A887" t="inlineStr">
        <is>
          <t>A 22397-2025</t>
        </is>
      </c>
      <c r="B887" s="1" t="n">
        <v>45786.52878472222</v>
      </c>
      <c r="C887" s="1" t="n">
        <v>45982</v>
      </c>
      <c r="D887" t="inlineStr">
        <is>
          <t>KALMAR LÄN</t>
        </is>
      </c>
      <c r="E887" t="inlineStr">
        <is>
          <t>VIMMERBY</t>
        </is>
      </c>
      <c r="G887" t="n">
        <v>0.8</v>
      </c>
      <c r="H887" t="n">
        <v>0</v>
      </c>
      <c r="I887" t="n">
        <v>0</v>
      </c>
      <c r="J887" t="n">
        <v>0</v>
      </c>
      <c r="K887" t="n">
        <v>0</v>
      </c>
      <c r="L887" t="n">
        <v>0</v>
      </c>
      <c r="M887" t="n">
        <v>0</v>
      </c>
      <c r="N887" t="n">
        <v>0</v>
      </c>
      <c r="O887" t="n">
        <v>0</v>
      </c>
      <c r="P887" t="n">
        <v>0</v>
      </c>
      <c r="Q887" t="n">
        <v>0</v>
      </c>
      <c r="R887" s="2" t="inlineStr"/>
    </row>
    <row r="888">
      <c r="A888" t="inlineStr">
        <is>
          <t>A 25582-2024</t>
        </is>
      </c>
      <c r="B888" s="1" t="n">
        <v>45463</v>
      </c>
      <c r="C888" s="1" t="n">
        <v>45982</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2025-11-21T19:52:11Z</dcterms:created>
  <dcterms:modified xmlns:dcterms="http://purl.org/dc/terms/" xmlns:xsi="http://www.w3.org/2001/XMLSchema-instance" xsi:type="dcterms:W3CDTF">2025-11-21T19:52:12Z</dcterms:modified>
</cp:coreProperties>
</file>