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46036</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46036</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46036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46036</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46036</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46036</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55604-2025</t>
        </is>
      </c>
      <c r="B15" s="1" t="n">
        <v>45971</v>
      </c>
      <c r="C15" s="1" t="n">
        <v>46036</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46036</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46036</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46036</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46036</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46036</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46036</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46036</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46036</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46036</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46036</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46036</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46036</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46036</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46036</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46036</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46036</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46036</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46036</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46036</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46036</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46036</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46036</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6841-2021</t>
        </is>
      </c>
      <c r="B39" s="1" t="n">
        <v>44236</v>
      </c>
      <c r="C39" s="1" t="n">
        <v>46036</v>
      </c>
      <c r="D39" t="inlineStr">
        <is>
          <t>KALMAR LÄN</t>
        </is>
      </c>
      <c r="E39" t="inlineStr">
        <is>
          <t>VIMMERBY</t>
        </is>
      </c>
      <c r="G39" t="n">
        <v>25</v>
      </c>
      <c r="H39" t="n">
        <v>0</v>
      </c>
      <c r="I39" t="n">
        <v>0</v>
      </c>
      <c r="J39" t="n">
        <v>1</v>
      </c>
      <c r="K39" t="n">
        <v>0</v>
      </c>
      <c r="L39" t="n">
        <v>0</v>
      </c>
      <c r="M39" t="n">
        <v>0</v>
      </c>
      <c r="N39" t="n">
        <v>0</v>
      </c>
      <c r="O39" t="n">
        <v>1</v>
      </c>
      <c r="P39" t="n">
        <v>0</v>
      </c>
      <c r="Q39" t="n">
        <v>1</v>
      </c>
      <c r="R39" s="2" t="inlineStr">
        <is>
          <t>Bredbrämad bastardsvärmare</t>
        </is>
      </c>
      <c r="S39">
        <f>HYPERLINK("https://klasma.github.io/Logging_0884/artfynd/A 6841-2021 artfynd.xlsx", "A 6841-2021")</f>
        <v/>
      </c>
      <c r="T39">
        <f>HYPERLINK("https://klasma.github.io/Logging_0884/kartor/A 6841-2021 karta.png", "A 6841-2021")</f>
        <v/>
      </c>
      <c r="V39">
        <f>HYPERLINK("https://klasma.github.io/Logging_0884/klagomål/A 6841-2021 FSC-klagomål.docx", "A 6841-2021")</f>
        <v/>
      </c>
      <c r="W39">
        <f>HYPERLINK("https://klasma.github.io/Logging_0884/klagomålsmail/A 6841-2021 FSC-klagomål mail.docx", "A 6841-2021")</f>
        <v/>
      </c>
      <c r="X39">
        <f>HYPERLINK("https://klasma.github.io/Logging_0884/tillsyn/A 6841-2021 tillsynsbegäran.docx", "A 6841-2021")</f>
        <v/>
      </c>
      <c r="Y39">
        <f>HYPERLINK("https://klasma.github.io/Logging_0884/tillsynsmail/A 6841-2021 tillsynsbegäran mail.docx", "A 6841-2021")</f>
        <v/>
      </c>
    </row>
    <row r="40" ht="15" customHeight="1">
      <c r="A40" t="inlineStr">
        <is>
          <t>A 29183-2025</t>
        </is>
      </c>
      <c r="B40" s="1" t="n">
        <v>45821</v>
      </c>
      <c r="C40" s="1" t="n">
        <v>46036</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46036</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46036</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61860-2024</t>
        </is>
      </c>
      <c r="B43" s="1" t="n">
        <v>45649</v>
      </c>
      <c r="C43" s="1" t="n">
        <v>46036</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23602-2023</t>
        </is>
      </c>
      <c r="B44" s="1" t="n">
        <v>45077</v>
      </c>
      <c r="C44" s="1" t="n">
        <v>46036</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32985-2023</t>
        </is>
      </c>
      <c r="B45" s="1" t="n">
        <v>45125</v>
      </c>
      <c r="C45" s="1" t="n">
        <v>46036</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53404-2025</t>
        </is>
      </c>
      <c r="B46" s="1" t="n">
        <v>45959.57126157408</v>
      </c>
      <c r="C46" s="1" t="n">
        <v>46036</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46036</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15122-2024</t>
        </is>
      </c>
      <c r="B48" s="1" t="n">
        <v>45399.71412037037</v>
      </c>
      <c r="C48" s="1" t="n">
        <v>46036</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55384-2025</t>
        </is>
      </c>
      <c r="B49" s="1" t="n">
        <v>45971.43178240741</v>
      </c>
      <c r="C49" s="1" t="n">
        <v>46036</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46036</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37930-2021</t>
        </is>
      </c>
      <c r="B51" s="1" t="n">
        <v>44403</v>
      </c>
      <c r="C51" s="1" t="n">
        <v>46036</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46036</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46036</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1201-2025</t>
        </is>
      </c>
      <c r="B54" s="1" t="n">
        <v>45667</v>
      </c>
      <c r="C54" s="1" t="n">
        <v>46036</v>
      </c>
      <c r="D54" t="inlineStr">
        <is>
          <t>KALMAR LÄN</t>
        </is>
      </c>
      <c r="E54" t="inlineStr">
        <is>
          <t>VIMMERBY</t>
        </is>
      </c>
      <c r="G54" t="n">
        <v>6.4</v>
      </c>
      <c r="H54" t="n">
        <v>1</v>
      </c>
      <c r="I54" t="n">
        <v>0</v>
      </c>
      <c r="J54" t="n">
        <v>0</v>
      </c>
      <c r="K54" t="n">
        <v>1</v>
      </c>
      <c r="L54" t="n">
        <v>0</v>
      </c>
      <c r="M54" t="n">
        <v>0</v>
      </c>
      <c r="N54" t="n">
        <v>0</v>
      </c>
      <c r="O54" t="n">
        <v>1</v>
      </c>
      <c r="P54" t="n">
        <v>1</v>
      </c>
      <c r="Q54" t="n">
        <v>1</v>
      </c>
      <c r="R54" s="2" t="inlineStr">
        <is>
          <t>Knärot</t>
        </is>
      </c>
      <c r="S54">
        <f>HYPERLINK("https://klasma.github.io/Logging_0884/artfynd/A 1201-2025 artfynd.xlsx", "A 1201-2025")</f>
        <v/>
      </c>
      <c r="T54">
        <f>HYPERLINK("https://klasma.github.io/Logging_0884/kartor/A 1201-2025 karta.png", "A 1201-2025")</f>
        <v/>
      </c>
      <c r="U54">
        <f>HYPERLINK("https://klasma.github.io/Logging_0884/knärot/A 1201-2025 karta knärot.png", "A 1201-2025")</f>
        <v/>
      </c>
      <c r="V54">
        <f>HYPERLINK("https://klasma.github.io/Logging_0884/klagomål/A 1201-2025 FSC-klagomål.docx", "A 1201-2025")</f>
        <v/>
      </c>
      <c r="W54">
        <f>HYPERLINK("https://klasma.github.io/Logging_0884/klagomålsmail/A 1201-2025 FSC-klagomål mail.docx", "A 1201-2025")</f>
        <v/>
      </c>
      <c r="X54">
        <f>HYPERLINK("https://klasma.github.io/Logging_0884/tillsyn/A 1201-2025 tillsynsbegäran.docx", "A 1201-2025")</f>
        <v/>
      </c>
      <c r="Y54">
        <f>HYPERLINK("https://klasma.github.io/Logging_0884/tillsynsmail/A 1201-2025 tillsynsbegäran mail.docx", "A 1201-2025")</f>
        <v/>
      </c>
    </row>
    <row r="55" ht="15" customHeight="1">
      <c r="A55" t="inlineStr">
        <is>
          <t>A 15092-2021</t>
        </is>
      </c>
      <c r="B55" s="1" t="n">
        <v>44281.79269675926</v>
      </c>
      <c r="C55" s="1" t="n">
        <v>46036</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46036</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46036</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46036</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46036</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46036</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46036</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46036</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46036</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46036</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46036</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46036</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46036</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16283-2022</t>
        </is>
      </c>
      <c r="B68" s="1" t="n">
        <v>44670</v>
      </c>
      <c r="C68" s="1" t="n">
        <v>46036</v>
      </c>
      <c r="D68" t="inlineStr">
        <is>
          <t>KALMAR LÄN</t>
        </is>
      </c>
      <c r="E68" t="inlineStr">
        <is>
          <t>VIMMERBY</t>
        </is>
      </c>
      <c r="G68" t="n">
        <v>1.4</v>
      </c>
      <c r="H68" t="n">
        <v>0</v>
      </c>
      <c r="I68" t="n">
        <v>0</v>
      </c>
      <c r="J68" t="n">
        <v>0</v>
      </c>
      <c r="K68" t="n">
        <v>0</v>
      </c>
      <c r="L68" t="n">
        <v>0</v>
      </c>
      <c r="M68" t="n">
        <v>0</v>
      </c>
      <c r="N68" t="n">
        <v>0</v>
      </c>
      <c r="O68" t="n">
        <v>0</v>
      </c>
      <c r="P68" t="n">
        <v>0</v>
      </c>
      <c r="Q68" t="n">
        <v>0</v>
      </c>
      <c r="R68" s="2" t="inlineStr"/>
    </row>
    <row r="69" ht="15" customHeight="1">
      <c r="A69" t="inlineStr">
        <is>
          <t>A 16288-2022</t>
        </is>
      </c>
      <c r="B69" s="1" t="n">
        <v>44670</v>
      </c>
      <c r="C69" s="1" t="n">
        <v>46036</v>
      </c>
      <c r="D69" t="inlineStr">
        <is>
          <t>KALMAR LÄN</t>
        </is>
      </c>
      <c r="E69" t="inlineStr">
        <is>
          <t>VIMMERBY</t>
        </is>
      </c>
      <c r="G69" t="n">
        <v>1.7</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46036</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46036</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46036</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46036</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46036</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46036</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46036</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46036</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46036</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46036</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46036</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46036</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46036</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46036</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46036</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46036</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46036</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46036</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46036</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46036</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46036</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46036</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46036</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46036</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46036</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46036</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46036</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46036</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46036</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46036</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46036</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46036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19863-2021</t>
        </is>
      </c>
      <c r="B103" s="1" t="n">
        <v>44312</v>
      </c>
      <c r="C103" s="1" t="n">
        <v>46036</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46036</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46036</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46036</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46036</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46036</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46036</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46036</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46036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46036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46036</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46036</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46036</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46036</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46036</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46036</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46036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46036</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46036</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46036</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46036</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46036</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46036</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46036</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46036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46036</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46036</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46036</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46036</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46036</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46036</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46036</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46036</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46036</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46036</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46036</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46036</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46036</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46036</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46036</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46036</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46036</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46036</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46036</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46036</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46036</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46036</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46036</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46036</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46036</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46036</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46036</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46036</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46036</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46036</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46036</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46036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46036</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46036</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46036</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46036</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46036</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46036</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46036</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46036</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46036</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46036</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46036</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46036</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46036</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46036</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46036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46036</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46036</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46036</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46036</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46036</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46036</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13457-2021</t>
        </is>
      </c>
      <c r="B185" s="1" t="n">
        <v>44273</v>
      </c>
      <c r="C185" s="1" t="n">
        <v>46036</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46036</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46036</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46036</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46036</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46036</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46036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11733-2022</t>
        </is>
      </c>
      <c r="B192" s="1" t="n">
        <v>44634</v>
      </c>
      <c r="C192" s="1" t="n">
        <v>46036</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7804-2022</t>
        </is>
      </c>
      <c r="B193" s="1" t="n">
        <v>44608.50458333334</v>
      </c>
      <c r="C193" s="1" t="n">
        <v>46036</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39042-2022</t>
        </is>
      </c>
      <c r="B194" s="1" t="n">
        <v>44817</v>
      </c>
      <c r="C194" s="1" t="n">
        <v>46036</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46036</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46036</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16983-2023</t>
        </is>
      </c>
      <c r="B197" s="1" t="n">
        <v>45033.76043981482</v>
      </c>
      <c r="C197" s="1" t="n">
        <v>46036</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46144-2023</t>
        </is>
      </c>
      <c r="B198" s="1" t="n">
        <v>45196.57247685185</v>
      </c>
      <c r="C198" s="1" t="n">
        <v>46036</v>
      </c>
      <c r="D198" t="inlineStr">
        <is>
          <t>KALMAR LÄN</t>
        </is>
      </c>
      <c r="E198" t="inlineStr">
        <is>
          <t>VIMMERBY</t>
        </is>
      </c>
      <c r="G198" t="n">
        <v>6.5</v>
      </c>
      <c r="H198" t="n">
        <v>0</v>
      </c>
      <c r="I198" t="n">
        <v>0</v>
      </c>
      <c r="J198" t="n">
        <v>0</v>
      </c>
      <c r="K198" t="n">
        <v>0</v>
      </c>
      <c r="L198" t="n">
        <v>0</v>
      </c>
      <c r="M198" t="n">
        <v>0</v>
      </c>
      <c r="N198" t="n">
        <v>0</v>
      </c>
      <c r="O198" t="n">
        <v>0</v>
      </c>
      <c r="P198" t="n">
        <v>0</v>
      </c>
      <c r="Q198" t="n">
        <v>0</v>
      </c>
      <c r="R198" s="2" t="inlineStr"/>
    </row>
    <row r="199" ht="15" customHeight="1">
      <c r="A199" t="inlineStr">
        <is>
          <t>A 30402-2023</t>
        </is>
      </c>
      <c r="B199" s="1" t="n">
        <v>45111.48395833333</v>
      </c>
      <c r="C199" s="1" t="n">
        <v>46036</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11609-2023</t>
        </is>
      </c>
      <c r="B200" s="1" t="n">
        <v>44994.40635416667</v>
      </c>
      <c r="C200" s="1" t="n">
        <v>46036</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7643-2022</t>
        </is>
      </c>
      <c r="B201" s="1" t="n">
        <v>44607</v>
      </c>
      <c r="C201" s="1" t="n">
        <v>46036</v>
      </c>
      <c r="D201" t="inlineStr">
        <is>
          <t>KALMAR LÄN</t>
        </is>
      </c>
      <c r="E201" t="inlineStr">
        <is>
          <t>VIMMERBY</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56213-2024</t>
        </is>
      </c>
      <c r="B202" s="1" t="n">
        <v>45624.60141203704</v>
      </c>
      <c r="C202" s="1" t="n">
        <v>46036</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54409-2024</t>
        </is>
      </c>
      <c r="B203" s="1" t="n">
        <v>45617.47570601852</v>
      </c>
      <c r="C203" s="1" t="n">
        <v>46036</v>
      </c>
      <c r="D203" t="inlineStr">
        <is>
          <t>KALMAR LÄN</t>
        </is>
      </c>
      <c r="E203" t="inlineStr">
        <is>
          <t>VIMMERBY</t>
        </is>
      </c>
      <c r="G203" t="n">
        <v>4.3</v>
      </c>
      <c r="H203" t="n">
        <v>0</v>
      </c>
      <c r="I203" t="n">
        <v>0</v>
      </c>
      <c r="J203" t="n">
        <v>0</v>
      </c>
      <c r="K203" t="n">
        <v>0</v>
      </c>
      <c r="L203" t="n">
        <v>0</v>
      </c>
      <c r="M203" t="n">
        <v>0</v>
      </c>
      <c r="N203" t="n">
        <v>0</v>
      </c>
      <c r="O203" t="n">
        <v>0</v>
      </c>
      <c r="P203" t="n">
        <v>0</v>
      </c>
      <c r="Q203" t="n">
        <v>0</v>
      </c>
      <c r="R203" s="2" t="inlineStr"/>
    </row>
    <row r="204" ht="15" customHeight="1">
      <c r="A204" t="inlineStr">
        <is>
          <t>A 11027-2023</t>
        </is>
      </c>
      <c r="B204" s="1" t="n">
        <v>44991.89657407408</v>
      </c>
      <c r="C204" s="1" t="n">
        <v>46036</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16825-2024</t>
        </is>
      </c>
      <c r="B205" s="1" t="n">
        <v>45411.47335648148</v>
      </c>
      <c r="C205" s="1" t="n">
        <v>46036</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58962-2022</t>
        </is>
      </c>
      <c r="B206" s="1" t="n">
        <v>44903</v>
      </c>
      <c r="C206" s="1" t="n">
        <v>46036</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31382-2023</t>
        </is>
      </c>
      <c r="B207" s="1" t="n">
        <v>45114.55136574074</v>
      </c>
      <c r="C207" s="1" t="n">
        <v>46036</v>
      </c>
      <c r="D207" t="inlineStr">
        <is>
          <t>KALMAR LÄN</t>
        </is>
      </c>
      <c r="E207" t="inlineStr">
        <is>
          <t>VIMMERBY</t>
        </is>
      </c>
      <c r="G207" t="n">
        <v>3.7</v>
      </c>
      <c r="H207" t="n">
        <v>0</v>
      </c>
      <c r="I207" t="n">
        <v>0</v>
      </c>
      <c r="J207" t="n">
        <v>0</v>
      </c>
      <c r="K207" t="n">
        <v>0</v>
      </c>
      <c r="L207" t="n">
        <v>0</v>
      </c>
      <c r="M207" t="n">
        <v>0</v>
      </c>
      <c r="N207" t="n">
        <v>0</v>
      </c>
      <c r="O207" t="n">
        <v>0</v>
      </c>
      <c r="P207" t="n">
        <v>0</v>
      </c>
      <c r="Q207" t="n">
        <v>0</v>
      </c>
      <c r="R207" s="2" t="inlineStr"/>
    </row>
    <row r="208" ht="15" customHeight="1">
      <c r="A208" t="inlineStr">
        <is>
          <t>A 53483-2022</t>
        </is>
      </c>
      <c r="B208" s="1" t="n">
        <v>44879.55940972222</v>
      </c>
      <c r="C208" s="1" t="n">
        <v>46036</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18899-2025</t>
        </is>
      </c>
      <c r="B209" s="1" t="n">
        <v>45764.44931712963</v>
      </c>
      <c r="C209" s="1" t="n">
        <v>46036</v>
      </c>
      <c r="D209" t="inlineStr">
        <is>
          <t>KALMAR LÄN</t>
        </is>
      </c>
      <c r="E209" t="inlineStr">
        <is>
          <t>VIMMERBY</t>
        </is>
      </c>
      <c r="F209" t="inlineStr">
        <is>
          <t>Kommuner</t>
        </is>
      </c>
      <c r="G209" t="n">
        <v>4</v>
      </c>
      <c r="H209" t="n">
        <v>0</v>
      </c>
      <c r="I209" t="n">
        <v>0</v>
      </c>
      <c r="J209" t="n">
        <v>0</v>
      </c>
      <c r="K209" t="n">
        <v>0</v>
      </c>
      <c r="L209" t="n">
        <v>0</v>
      </c>
      <c r="M209" t="n">
        <v>0</v>
      </c>
      <c r="N209" t="n">
        <v>0</v>
      </c>
      <c r="O209" t="n">
        <v>0</v>
      </c>
      <c r="P209" t="n">
        <v>0</v>
      </c>
      <c r="Q209" t="n">
        <v>0</v>
      </c>
      <c r="R209" s="2" t="inlineStr"/>
    </row>
    <row r="210" ht="15" customHeight="1">
      <c r="A210" t="inlineStr">
        <is>
          <t>A 20054-2023</t>
        </is>
      </c>
      <c r="B210" s="1" t="n">
        <v>45054.6750462963</v>
      </c>
      <c r="C210" s="1" t="n">
        <v>46036</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10837-2023</t>
        </is>
      </c>
      <c r="B211" s="1" t="n">
        <v>44991.30547453704</v>
      </c>
      <c r="C211" s="1" t="n">
        <v>46036</v>
      </c>
      <c r="D211" t="inlineStr">
        <is>
          <t>KALMAR LÄN</t>
        </is>
      </c>
      <c r="E211" t="inlineStr">
        <is>
          <t>VIMMERBY</t>
        </is>
      </c>
      <c r="G211" t="n">
        <v>7.3</v>
      </c>
      <c r="H211" t="n">
        <v>0</v>
      </c>
      <c r="I211" t="n">
        <v>0</v>
      </c>
      <c r="J211" t="n">
        <v>0</v>
      </c>
      <c r="K211" t="n">
        <v>0</v>
      </c>
      <c r="L211" t="n">
        <v>0</v>
      </c>
      <c r="M211" t="n">
        <v>0</v>
      </c>
      <c r="N211" t="n">
        <v>0</v>
      </c>
      <c r="O211" t="n">
        <v>0</v>
      </c>
      <c r="P211" t="n">
        <v>0</v>
      </c>
      <c r="Q211" t="n">
        <v>0</v>
      </c>
      <c r="R211" s="2" t="inlineStr"/>
    </row>
    <row r="212" ht="15" customHeight="1">
      <c r="A212" t="inlineStr">
        <is>
          <t>A 10838-2023</t>
        </is>
      </c>
      <c r="B212" s="1" t="n">
        <v>44991</v>
      </c>
      <c r="C212" s="1" t="n">
        <v>46036</v>
      </c>
      <c r="D212" t="inlineStr">
        <is>
          <t>KALMAR LÄN</t>
        </is>
      </c>
      <c r="E212" t="inlineStr">
        <is>
          <t>VIMMERBY</t>
        </is>
      </c>
      <c r="G212" t="n">
        <v>5.1</v>
      </c>
      <c r="H212" t="n">
        <v>0</v>
      </c>
      <c r="I212" t="n">
        <v>0</v>
      </c>
      <c r="J212" t="n">
        <v>0</v>
      </c>
      <c r="K212" t="n">
        <v>0</v>
      </c>
      <c r="L212" t="n">
        <v>0</v>
      </c>
      <c r="M212" t="n">
        <v>0</v>
      </c>
      <c r="N212" t="n">
        <v>0</v>
      </c>
      <c r="O212" t="n">
        <v>0</v>
      </c>
      <c r="P212" t="n">
        <v>0</v>
      </c>
      <c r="Q212" t="n">
        <v>0</v>
      </c>
      <c r="R212" s="2" t="inlineStr"/>
    </row>
    <row r="213" ht="15" customHeight="1">
      <c r="A213" t="inlineStr">
        <is>
          <t>A 60951-2023</t>
        </is>
      </c>
      <c r="B213" s="1" t="n">
        <v>45261.44914351852</v>
      </c>
      <c r="C213" s="1" t="n">
        <v>46036</v>
      </c>
      <c r="D213" t="inlineStr">
        <is>
          <t>KALMAR LÄN</t>
        </is>
      </c>
      <c r="E213" t="inlineStr">
        <is>
          <t>VIMMERBY</t>
        </is>
      </c>
      <c r="G213" t="n">
        <v>4.3</v>
      </c>
      <c r="H213" t="n">
        <v>0</v>
      </c>
      <c r="I213" t="n">
        <v>0</v>
      </c>
      <c r="J213" t="n">
        <v>0</v>
      </c>
      <c r="K213" t="n">
        <v>0</v>
      </c>
      <c r="L213" t="n">
        <v>0</v>
      </c>
      <c r="M213" t="n">
        <v>0</v>
      </c>
      <c r="N213" t="n">
        <v>0</v>
      </c>
      <c r="O213" t="n">
        <v>0</v>
      </c>
      <c r="P213" t="n">
        <v>0</v>
      </c>
      <c r="Q213" t="n">
        <v>0</v>
      </c>
      <c r="R213" s="2" t="inlineStr"/>
    </row>
    <row r="214" ht="15" customHeight="1">
      <c r="A214" t="inlineStr">
        <is>
          <t>A 60292-2022</t>
        </is>
      </c>
      <c r="B214" s="1" t="n">
        <v>44910.54231481482</v>
      </c>
      <c r="C214" s="1" t="n">
        <v>46036</v>
      </c>
      <c r="D214" t="inlineStr">
        <is>
          <t>KALMAR LÄN</t>
        </is>
      </c>
      <c r="E214" t="inlineStr">
        <is>
          <t>VIMMERBY</t>
        </is>
      </c>
      <c r="G214" t="n">
        <v>4.4</v>
      </c>
      <c r="H214" t="n">
        <v>0</v>
      </c>
      <c r="I214" t="n">
        <v>0</v>
      </c>
      <c r="J214" t="n">
        <v>0</v>
      </c>
      <c r="K214" t="n">
        <v>0</v>
      </c>
      <c r="L214" t="n">
        <v>0</v>
      </c>
      <c r="M214" t="n">
        <v>0</v>
      </c>
      <c r="N214" t="n">
        <v>0</v>
      </c>
      <c r="O214" t="n">
        <v>0</v>
      </c>
      <c r="P214" t="n">
        <v>0</v>
      </c>
      <c r="Q214" t="n">
        <v>0</v>
      </c>
      <c r="R214" s="2" t="inlineStr"/>
    </row>
    <row r="215" ht="15" customHeight="1">
      <c r="A215" t="inlineStr">
        <is>
          <t>A 13290-2025</t>
        </is>
      </c>
      <c r="B215" s="1" t="n">
        <v>45735.56751157407</v>
      </c>
      <c r="C215" s="1" t="n">
        <v>46036</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11946-2025</t>
        </is>
      </c>
      <c r="B216" s="1" t="n">
        <v>45728.54832175926</v>
      </c>
      <c r="C216" s="1" t="n">
        <v>46036</v>
      </c>
      <c r="D216" t="inlineStr">
        <is>
          <t>KALMAR LÄN</t>
        </is>
      </c>
      <c r="E216" t="inlineStr">
        <is>
          <t>VIMMERBY</t>
        </is>
      </c>
      <c r="G216" t="n">
        <v>0.4</v>
      </c>
      <c r="H216" t="n">
        <v>0</v>
      </c>
      <c r="I216" t="n">
        <v>0</v>
      </c>
      <c r="J216" t="n">
        <v>0</v>
      </c>
      <c r="K216" t="n">
        <v>0</v>
      </c>
      <c r="L216" t="n">
        <v>0</v>
      </c>
      <c r="M216" t="n">
        <v>0</v>
      </c>
      <c r="N216" t="n">
        <v>0</v>
      </c>
      <c r="O216" t="n">
        <v>0</v>
      </c>
      <c r="P216" t="n">
        <v>0</v>
      </c>
      <c r="Q216" t="n">
        <v>0</v>
      </c>
      <c r="R216" s="2" t="inlineStr"/>
    </row>
    <row r="217" ht="15" customHeight="1">
      <c r="A217" t="inlineStr">
        <is>
          <t>A 19537-2022</t>
        </is>
      </c>
      <c r="B217" s="1" t="n">
        <v>44693.62822916666</v>
      </c>
      <c r="C217" s="1" t="n">
        <v>46036</v>
      </c>
      <c r="D217" t="inlineStr">
        <is>
          <t>KALMAR LÄN</t>
        </is>
      </c>
      <c r="E217" t="inlineStr">
        <is>
          <t>VIMMERBY</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19162-2023</t>
        </is>
      </c>
      <c r="B218" s="1" t="n">
        <v>45048.59699074074</v>
      </c>
      <c r="C218" s="1" t="n">
        <v>46036</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7485-2024</t>
        </is>
      </c>
      <c r="B219" s="1" t="n">
        <v>45346.67184027778</v>
      </c>
      <c r="C219" s="1" t="n">
        <v>46036</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9475-2023</t>
        </is>
      </c>
      <c r="B220" s="1" t="n">
        <v>44981.58834490741</v>
      </c>
      <c r="C220" s="1" t="n">
        <v>46036</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4076-2022</t>
        </is>
      </c>
      <c r="B221" s="1" t="n">
        <v>44588.37998842593</v>
      </c>
      <c r="C221" s="1" t="n">
        <v>46036</v>
      </c>
      <c r="D221" t="inlineStr">
        <is>
          <t>KALMAR LÄN</t>
        </is>
      </c>
      <c r="E221" t="inlineStr">
        <is>
          <t>VIMMERBY</t>
        </is>
      </c>
      <c r="G221" t="n">
        <v>3</v>
      </c>
      <c r="H221" t="n">
        <v>0</v>
      </c>
      <c r="I221" t="n">
        <v>0</v>
      </c>
      <c r="J221" t="n">
        <v>0</v>
      </c>
      <c r="K221" t="n">
        <v>0</v>
      </c>
      <c r="L221" t="n">
        <v>0</v>
      </c>
      <c r="M221" t="n">
        <v>0</v>
      </c>
      <c r="N221" t="n">
        <v>0</v>
      </c>
      <c r="O221" t="n">
        <v>0</v>
      </c>
      <c r="P221" t="n">
        <v>0</v>
      </c>
      <c r="Q221" t="n">
        <v>0</v>
      </c>
      <c r="R221" s="2" t="inlineStr"/>
    </row>
    <row r="222" ht="15" customHeight="1">
      <c r="A222" t="inlineStr">
        <is>
          <t>A 12590-2025</t>
        </is>
      </c>
      <c r="B222" s="1" t="n">
        <v>45732.79925925926</v>
      </c>
      <c r="C222" s="1" t="n">
        <v>46036</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4122-2022</t>
        </is>
      </c>
      <c r="B223" s="1" t="n">
        <v>44588</v>
      </c>
      <c r="C223" s="1" t="n">
        <v>46036</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35710-2023</t>
        </is>
      </c>
      <c r="B224" s="1" t="n">
        <v>45147.67096064815</v>
      </c>
      <c r="C224" s="1" t="n">
        <v>46036</v>
      </c>
      <c r="D224" t="inlineStr">
        <is>
          <t>KALMAR LÄN</t>
        </is>
      </c>
      <c r="E224" t="inlineStr">
        <is>
          <t>VIMMERBY</t>
        </is>
      </c>
      <c r="G224" t="n">
        <v>3.1</v>
      </c>
      <c r="H224" t="n">
        <v>0</v>
      </c>
      <c r="I224" t="n">
        <v>0</v>
      </c>
      <c r="J224" t="n">
        <v>0</v>
      </c>
      <c r="K224" t="n">
        <v>0</v>
      </c>
      <c r="L224" t="n">
        <v>0</v>
      </c>
      <c r="M224" t="n">
        <v>0</v>
      </c>
      <c r="N224" t="n">
        <v>0</v>
      </c>
      <c r="O224" t="n">
        <v>0</v>
      </c>
      <c r="P224" t="n">
        <v>0</v>
      </c>
      <c r="Q224" t="n">
        <v>0</v>
      </c>
      <c r="R224" s="2" t="inlineStr"/>
    </row>
    <row r="225" ht="15" customHeight="1">
      <c r="A225" t="inlineStr">
        <is>
          <t>A 52823-2024</t>
        </is>
      </c>
      <c r="B225" s="1" t="n">
        <v>45610.59094907407</v>
      </c>
      <c r="C225" s="1" t="n">
        <v>46036</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14548-2024</t>
        </is>
      </c>
      <c r="B226" s="1" t="n">
        <v>45394.66887731481</v>
      </c>
      <c r="C226" s="1" t="n">
        <v>46036</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23252-2024</t>
        </is>
      </c>
      <c r="B227" s="1" t="n">
        <v>45453.36067129629</v>
      </c>
      <c r="C227" s="1" t="n">
        <v>46036</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585-2024</t>
        </is>
      </c>
      <c r="B228" s="1" t="n">
        <v>45299.62576388889</v>
      </c>
      <c r="C228" s="1" t="n">
        <v>46036</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11147-2023</t>
        </is>
      </c>
      <c r="B229" s="1" t="n">
        <v>44992</v>
      </c>
      <c r="C229" s="1" t="n">
        <v>46036</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56020-2024</t>
        </is>
      </c>
      <c r="B230" s="1" t="n">
        <v>45623.9525462963</v>
      </c>
      <c r="C230" s="1" t="n">
        <v>46036</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15550-2023</t>
        </is>
      </c>
      <c r="B231" s="1" t="n">
        <v>45020</v>
      </c>
      <c r="C231" s="1" t="n">
        <v>46036</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19833-2023</t>
        </is>
      </c>
      <c r="B232" s="1" t="n">
        <v>45052</v>
      </c>
      <c r="C232" s="1" t="n">
        <v>46036</v>
      </c>
      <c r="D232" t="inlineStr">
        <is>
          <t>KALMAR LÄN</t>
        </is>
      </c>
      <c r="E232" t="inlineStr">
        <is>
          <t>VIMMERBY</t>
        </is>
      </c>
      <c r="G232" t="n">
        <v>6.7</v>
      </c>
      <c r="H232" t="n">
        <v>0</v>
      </c>
      <c r="I232" t="n">
        <v>0</v>
      </c>
      <c r="J232" t="n">
        <v>0</v>
      </c>
      <c r="K232" t="n">
        <v>0</v>
      </c>
      <c r="L232" t="n">
        <v>0</v>
      </c>
      <c r="M232" t="n">
        <v>0</v>
      </c>
      <c r="N232" t="n">
        <v>0</v>
      </c>
      <c r="O232" t="n">
        <v>0</v>
      </c>
      <c r="P232" t="n">
        <v>0</v>
      </c>
      <c r="Q232" t="n">
        <v>0</v>
      </c>
      <c r="R232" s="2" t="inlineStr"/>
    </row>
    <row r="233" ht="15" customHeight="1">
      <c r="A233" t="inlineStr">
        <is>
          <t>A 18411-2021</t>
        </is>
      </c>
      <c r="B233" s="1" t="n">
        <v>44302</v>
      </c>
      <c r="C233" s="1" t="n">
        <v>46036</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47855-2024</t>
        </is>
      </c>
      <c r="B234" s="1" t="n">
        <v>45588.66457175926</v>
      </c>
      <c r="C234" s="1" t="n">
        <v>46036</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11219-2023</t>
        </is>
      </c>
      <c r="B235" s="1" t="n">
        <v>44992.62498842592</v>
      </c>
      <c r="C235" s="1" t="n">
        <v>46036</v>
      </c>
      <c r="D235" t="inlineStr">
        <is>
          <t>KALMAR LÄN</t>
        </is>
      </c>
      <c r="E235" t="inlineStr">
        <is>
          <t>VIMMERBY</t>
        </is>
      </c>
      <c r="G235" t="n">
        <v>2.5</v>
      </c>
      <c r="H235" t="n">
        <v>0</v>
      </c>
      <c r="I235" t="n">
        <v>0</v>
      </c>
      <c r="J235" t="n">
        <v>0</v>
      </c>
      <c r="K235" t="n">
        <v>0</v>
      </c>
      <c r="L235" t="n">
        <v>0</v>
      </c>
      <c r="M235" t="n">
        <v>0</v>
      </c>
      <c r="N235" t="n">
        <v>0</v>
      </c>
      <c r="O235" t="n">
        <v>0</v>
      </c>
      <c r="P235" t="n">
        <v>0</v>
      </c>
      <c r="Q235" t="n">
        <v>0</v>
      </c>
      <c r="R235" s="2" t="inlineStr"/>
    </row>
    <row r="236" ht="15" customHeight="1">
      <c r="A236" t="inlineStr">
        <is>
          <t>A 172-2022</t>
        </is>
      </c>
      <c r="B236" s="1" t="n">
        <v>44564.62598379629</v>
      </c>
      <c r="C236" s="1" t="n">
        <v>46036</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39584-2024</t>
        </is>
      </c>
      <c r="B237" s="1" t="n">
        <v>45552.36759259259</v>
      </c>
      <c r="C237" s="1" t="n">
        <v>46036</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58374-2024</t>
        </is>
      </c>
      <c r="B238" s="1" t="n">
        <v>45632.72635416667</v>
      </c>
      <c r="C238" s="1" t="n">
        <v>46036</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51881-2024</t>
        </is>
      </c>
      <c r="B239" s="1" t="n">
        <v>45607.56773148148</v>
      </c>
      <c r="C239" s="1" t="n">
        <v>46036</v>
      </c>
      <c r="D239" t="inlineStr">
        <is>
          <t>KALMAR LÄN</t>
        </is>
      </c>
      <c r="E239" t="inlineStr">
        <is>
          <t>VIMMERBY</t>
        </is>
      </c>
      <c r="G239" t="n">
        <v>3.4</v>
      </c>
      <c r="H239" t="n">
        <v>0</v>
      </c>
      <c r="I239" t="n">
        <v>0</v>
      </c>
      <c r="J239" t="n">
        <v>0</v>
      </c>
      <c r="K239" t="n">
        <v>0</v>
      </c>
      <c r="L239" t="n">
        <v>0</v>
      </c>
      <c r="M239" t="n">
        <v>0</v>
      </c>
      <c r="N239" t="n">
        <v>0</v>
      </c>
      <c r="O239" t="n">
        <v>0</v>
      </c>
      <c r="P239" t="n">
        <v>0</v>
      </c>
      <c r="Q239" t="n">
        <v>0</v>
      </c>
      <c r="R239" s="2" t="inlineStr"/>
    </row>
    <row r="240" ht="15" customHeight="1">
      <c r="A240" t="inlineStr">
        <is>
          <t>A 20129-2024</t>
        </is>
      </c>
      <c r="B240" s="1" t="n">
        <v>45434.55831018519</v>
      </c>
      <c r="C240" s="1" t="n">
        <v>46036</v>
      </c>
      <c r="D240" t="inlineStr">
        <is>
          <t>KALMAR LÄN</t>
        </is>
      </c>
      <c r="E240" t="inlineStr">
        <is>
          <t>VIMMERBY</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20137-2024</t>
        </is>
      </c>
      <c r="B241" s="1" t="n">
        <v>45434.56398148148</v>
      </c>
      <c r="C241" s="1" t="n">
        <v>46036</v>
      </c>
      <c r="D241" t="inlineStr">
        <is>
          <t>KALMAR LÄN</t>
        </is>
      </c>
      <c r="E241" t="inlineStr">
        <is>
          <t>VIMMERBY</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16734-2023</t>
        </is>
      </c>
      <c r="B242" s="1" t="n">
        <v>45030.71012731481</v>
      </c>
      <c r="C242" s="1" t="n">
        <v>46036</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7456-2024</t>
        </is>
      </c>
      <c r="B243" s="1" t="n">
        <v>45345.83557870371</v>
      </c>
      <c r="C243" s="1" t="n">
        <v>46036</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2596-2025</t>
        </is>
      </c>
      <c r="B244" s="1" t="n">
        <v>45674.71810185185</v>
      </c>
      <c r="C244" s="1" t="n">
        <v>46036</v>
      </c>
      <c r="D244" t="inlineStr">
        <is>
          <t>KALMAR LÄN</t>
        </is>
      </c>
      <c r="E244" t="inlineStr">
        <is>
          <t>VIMMERBY</t>
        </is>
      </c>
      <c r="G244" t="n">
        <v>9</v>
      </c>
      <c r="H244" t="n">
        <v>0</v>
      </c>
      <c r="I244" t="n">
        <v>0</v>
      </c>
      <c r="J244" t="n">
        <v>0</v>
      </c>
      <c r="K244" t="n">
        <v>0</v>
      </c>
      <c r="L244" t="n">
        <v>0</v>
      </c>
      <c r="M244" t="n">
        <v>0</v>
      </c>
      <c r="N244" t="n">
        <v>0</v>
      </c>
      <c r="O244" t="n">
        <v>0</v>
      </c>
      <c r="P244" t="n">
        <v>0</v>
      </c>
      <c r="Q244" t="n">
        <v>0</v>
      </c>
      <c r="R244" s="2" t="inlineStr"/>
    </row>
    <row r="245" ht="15" customHeight="1">
      <c r="A245" t="inlineStr">
        <is>
          <t>A 52324-2023</t>
        </is>
      </c>
      <c r="B245" s="1" t="n">
        <v>45224.64659722222</v>
      </c>
      <c r="C245" s="1" t="n">
        <v>46036</v>
      </c>
      <c r="D245" t="inlineStr">
        <is>
          <t>KALMAR LÄN</t>
        </is>
      </c>
      <c r="E245" t="inlineStr">
        <is>
          <t>VIMMERBY</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37028-2024</t>
        </is>
      </c>
      <c r="B246" s="1" t="n">
        <v>45539.38744212963</v>
      </c>
      <c r="C246" s="1" t="n">
        <v>46036</v>
      </c>
      <c r="D246" t="inlineStr">
        <is>
          <t>KALMAR LÄN</t>
        </is>
      </c>
      <c r="E246" t="inlineStr">
        <is>
          <t>VIMMERBY</t>
        </is>
      </c>
      <c r="G246" t="n">
        <v>5.2</v>
      </c>
      <c r="H246" t="n">
        <v>0</v>
      </c>
      <c r="I246" t="n">
        <v>0</v>
      </c>
      <c r="J246" t="n">
        <v>0</v>
      </c>
      <c r="K246" t="n">
        <v>0</v>
      </c>
      <c r="L246" t="n">
        <v>0</v>
      </c>
      <c r="M246" t="n">
        <v>0</v>
      </c>
      <c r="N246" t="n">
        <v>0</v>
      </c>
      <c r="O246" t="n">
        <v>0</v>
      </c>
      <c r="P246" t="n">
        <v>0</v>
      </c>
      <c r="Q246" t="n">
        <v>0</v>
      </c>
      <c r="R246" s="2" t="inlineStr"/>
    </row>
    <row r="247" ht="15" customHeight="1">
      <c r="A247" t="inlineStr">
        <is>
          <t>A 55236-2023</t>
        </is>
      </c>
      <c r="B247" s="1" t="n">
        <v>45237.63225694445</v>
      </c>
      <c r="C247" s="1" t="n">
        <v>46036</v>
      </c>
      <c r="D247" t="inlineStr">
        <is>
          <t>KALMAR LÄN</t>
        </is>
      </c>
      <c r="E247" t="inlineStr">
        <is>
          <t>VIMMERBY</t>
        </is>
      </c>
      <c r="G247" t="n">
        <v>1.1</v>
      </c>
      <c r="H247" t="n">
        <v>0</v>
      </c>
      <c r="I247" t="n">
        <v>0</v>
      </c>
      <c r="J247" t="n">
        <v>0</v>
      </c>
      <c r="K247" t="n">
        <v>0</v>
      </c>
      <c r="L247" t="n">
        <v>0</v>
      </c>
      <c r="M247" t="n">
        <v>0</v>
      </c>
      <c r="N247" t="n">
        <v>0</v>
      </c>
      <c r="O247" t="n">
        <v>0</v>
      </c>
      <c r="P247" t="n">
        <v>0</v>
      </c>
      <c r="Q247" t="n">
        <v>0</v>
      </c>
      <c r="R247" s="2" t="inlineStr"/>
    </row>
    <row r="248" ht="15" customHeight="1">
      <c r="A248" t="inlineStr">
        <is>
          <t>A 55245-2023</t>
        </is>
      </c>
      <c r="B248" s="1" t="n">
        <v>45237.64408564815</v>
      </c>
      <c r="C248" s="1" t="n">
        <v>46036</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36055-2024</t>
        </is>
      </c>
      <c r="B249" s="1" t="n">
        <v>45533.63056712963</v>
      </c>
      <c r="C249" s="1" t="n">
        <v>46036</v>
      </c>
      <c r="D249" t="inlineStr">
        <is>
          <t>KALMAR LÄN</t>
        </is>
      </c>
      <c r="E249" t="inlineStr">
        <is>
          <t>VIMMERBY</t>
        </is>
      </c>
      <c r="F249" t="inlineStr">
        <is>
          <t>Kommuner</t>
        </is>
      </c>
      <c r="G249" t="n">
        <v>1.9</v>
      </c>
      <c r="H249" t="n">
        <v>0</v>
      </c>
      <c r="I249" t="n">
        <v>0</v>
      </c>
      <c r="J249" t="n">
        <v>0</v>
      </c>
      <c r="K249" t="n">
        <v>0</v>
      </c>
      <c r="L249" t="n">
        <v>0</v>
      </c>
      <c r="M249" t="n">
        <v>0</v>
      </c>
      <c r="N249" t="n">
        <v>0</v>
      </c>
      <c r="O249" t="n">
        <v>0</v>
      </c>
      <c r="P249" t="n">
        <v>0</v>
      </c>
      <c r="Q249" t="n">
        <v>0</v>
      </c>
      <c r="R249" s="2" t="inlineStr"/>
    </row>
    <row r="250" ht="15" customHeight="1">
      <c r="A250" t="inlineStr">
        <is>
          <t>A 17988-2025</t>
        </is>
      </c>
      <c r="B250" s="1" t="n">
        <v>45761.39600694444</v>
      </c>
      <c r="C250" s="1" t="n">
        <v>46036</v>
      </c>
      <c r="D250" t="inlineStr">
        <is>
          <t>KALMAR LÄN</t>
        </is>
      </c>
      <c r="E250" t="inlineStr">
        <is>
          <t>VIMMERBY</t>
        </is>
      </c>
      <c r="G250" t="n">
        <v>2.8</v>
      </c>
      <c r="H250" t="n">
        <v>0</v>
      </c>
      <c r="I250" t="n">
        <v>0</v>
      </c>
      <c r="J250" t="n">
        <v>0</v>
      </c>
      <c r="K250" t="n">
        <v>0</v>
      </c>
      <c r="L250" t="n">
        <v>0</v>
      </c>
      <c r="M250" t="n">
        <v>0</v>
      </c>
      <c r="N250" t="n">
        <v>0</v>
      </c>
      <c r="O250" t="n">
        <v>0</v>
      </c>
      <c r="P250" t="n">
        <v>0</v>
      </c>
      <c r="Q250" t="n">
        <v>0</v>
      </c>
      <c r="R250" s="2" t="inlineStr"/>
    </row>
    <row r="251" ht="15" customHeight="1">
      <c r="A251" t="inlineStr">
        <is>
          <t>A 23341-2022</t>
        </is>
      </c>
      <c r="B251" s="1" t="n">
        <v>44720.53898148148</v>
      </c>
      <c r="C251" s="1" t="n">
        <v>46036</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6668-2023</t>
        </is>
      </c>
      <c r="B252" s="1" t="n">
        <v>44966</v>
      </c>
      <c r="C252" s="1" t="n">
        <v>46036</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29168-2024</t>
        </is>
      </c>
      <c r="B253" s="1" t="n">
        <v>45482.49870370371</v>
      </c>
      <c r="C253" s="1" t="n">
        <v>46036</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8086-2021</t>
        </is>
      </c>
      <c r="B254" s="1" t="n">
        <v>44243</v>
      </c>
      <c r="C254" s="1" t="n">
        <v>46036</v>
      </c>
      <c r="D254" t="inlineStr">
        <is>
          <t>KALMAR LÄN</t>
        </is>
      </c>
      <c r="E254" t="inlineStr">
        <is>
          <t>VIMMERBY</t>
        </is>
      </c>
      <c r="G254" t="n">
        <v>4.1</v>
      </c>
      <c r="H254" t="n">
        <v>0</v>
      </c>
      <c r="I254" t="n">
        <v>0</v>
      </c>
      <c r="J254" t="n">
        <v>0</v>
      </c>
      <c r="K254" t="n">
        <v>0</v>
      </c>
      <c r="L254" t="n">
        <v>0</v>
      </c>
      <c r="M254" t="n">
        <v>0</v>
      </c>
      <c r="N254" t="n">
        <v>0</v>
      </c>
      <c r="O254" t="n">
        <v>0</v>
      </c>
      <c r="P254" t="n">
        <v>0</v>
      </c>
      <c r="Q254" t="n">
        <v>0</v>
      </c>
      <c r="R254" s="2" t="inlineStr"/>
    </row>
    <row r="255" ht="15" customHeight="1">
      <c r="A255" t="inlineStr">
        <is>
          <t>A 6321-2023</t>
        </is>
      </c>
      <c r="B255" s="1" t="n">
        <v>44965.4815162037</v>
      </c>
      <c r="C255" s="1" t="n">
        <v>46036</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4624-2024</t>
        </is>
      </c>
      <c r="B256" s="1" t="n">
        <v>45328.38755787037</v>
      </c>
      <c r="C256" s="1" t="n">
        <v>46036</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27443-2023</t>
        </is>
      </c>
      <c r="B257" s="1" t="n">
        <v>45097.40524305555</v>
      </c>
      <c r="C257" s="1" t="n">
        <v>46036</v>
      </c>
      <c r="D257" t="inlineStr">
        <is>
          <t>KALMAR LÄN</t>
        </is>
      </c>
      <c r="E257" t="inlineStr">
        <is>
          <t>VIMMERBY</t>
        </is>
      </c>
      <c r="F257" t="inlineStr">
        <is>
          <t>Övriga Aktiebolag</t>
        </is>
      </c>
      <c r="G257" t="n">
        <v>2.3</v>
      </c>
      <c r="H257" t="n">
        <v>0</v>
      </c>
      <c r="I257" t="n">
        <v>0</v>
      </c>
      <c r="J257" t="n">
        <v>0</v>
      </c>
      <c r="K257" t="n">
        <v>0</v>
      </c>
      <c r="L257" t="n">
        <v>0</v>
      </c>
      <c r="M257" t="n">
        <v>0</v>
      </c>
      <c r="N257" t="n">
        <v>0</v>
      </c>
      <c r="O257" t="n">
        <v>0</v>
      </c>
      <c r="P257" t="n">
        <v>0</v>
      </c>
      <c r="Q257" t="n">
        <v>0</v>
      </c>
      <c r="R257" s="2" t="inlineStr"/>
    </row>
    <row r="258" ht="15" customHeight="1">
      <c r="A258" t="inlineStr">
        <is>
          <t>A 845-2023</t>
        </is>
      </c>
      <c r="B258" s="1" t="n">
        <v>44931</v>
      </c>
      <c r="C258" s="1" t="n">
        <v>46036</v>
      </c>
      <c r="D258" t="inlineStr">
        <is>
          <t>KALMAR LÄN</t>
        </is>
      </c>
      <c r="E258" t="inlineStr">
        <is>
          <t>VIMMERBY</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40730-2024</t>
        </is>
      </c>
      <c r="B259" s="1" t="n">
        <v>45558.44914351852</v>
      </c>
      <c r="C259" s="1" t="n">
        <v>46036</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2157-2024</t>
        </is>
      </c>
      <c r="B260" s="1" t="n">
        <v>45309.59487268519</v>
      </c>
      <c r="C260" s="1" t="n">
        <v>46036</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59598-2023</t>
        </is>
      </c>
      <c r="B261" s="1" t="n">
        <v>45254.62489583333</v>
      </c>
      <c r="C261" s="1" t="n">
        <v>46036</v>
      </c>
      <c r="D261" t="inlineStr">
        <is>
          <t>KALMAR LÄN</t>
        </is>
      </c>
      <c r="E261" t="inlineStr">
        <is>
          <t>VIMMERBY</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7944-2024</t>
        </is>
      </c>
      <c r="B262" s="1" t="n">
        <v>45350.53306712963</v>
      </c>
      <c r="C262" s="1" t="n">
        <v>46036</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49461-2022</t>
        </is>
      </c>
      <c r="B263" s="1" t="n">
        <v>44861</v>
      </c>
      <c r="C263" s="1" t="n">
        <v>46036</v>
      </c>
      <c r="D263" t="inlineStr">
        <is>
          <t>KALMAR LÄN</t>
        </is>
      </c>
      <c r="E263" t="inlineStr">
        <is>
          <t>VIMMERBY</t>
        </is>
      </c>
      <c r="G263" t="n">
        <v>3.2</v>
      </c>
      <c r="H263" t="n">
        <v>0</v>
      </c>
      <c r="I263" t="n">
        <v>0</v>
      </c>
      <c r="J263" t="n">
        <v>0</v>
      </c>
      <c r="K263" t="n">
        <v>0</v>
      </c>
      <c r="L263" t="n">
        <v>0</v>
      </c>
      <c r="M263" t="n">
        <v>0</v>
      </c>
      <c r="N263" t="n">
        <v>0</v>
      </c>
      <c r="O263" t="n">
        <v>0</v>
      </c>
      <c r="P263" t="n">
        <v>0</v>
      </c>
      <c r="Q263" t="n">
        <v>0</v>
      </c>
      <c r="R263" s="2" t="inlineStr"/>
    </row>
    <row r="264" ht="15" customHeight="1">
      <c r="A264" t="inlineStr">
        <is>
          <t>A 21496-2023</t>
        </is>
      </c>
      <c r="B264" s="1" t="n">
        <v>45063.49936342592</v>
      </c>
      <c r="C264" s="1" t="n">
        <v>46036</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694-2024</t>
        </is>
      </c>
      <c r="B265" s="1" t="n">
        <v>45300.3794212963</v>
      </c>
      <c r="C265" s="1" t="n">
        <v>46036</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35198-2023</t>
        </is>
      </c>
      <c r="B266" s="1" t="n">
        <v>45145</v>
      </c>
      <c r="C266" s="1" t="n">
        <v>46036</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43853-2023</t>
        </is>
      </c>
      <c r="B267" s="1" t="n">
        <v>45187.60813657408</v>
      </c>
      <c r="C267" s="1" t="n">
        <v>46036</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29783-2024</t>
        </is>
      </c>
      <c r="B268" s="1" t="n">
        <v>45485.45778935185</v>
      </c>
      <c r="C268" s="1" t="n">
        <v>46036</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38757-2023</t>
        </is>
      </c>
      <c r="B269" s="1" t="n">
        <v>45163.41376157408</v>
      </c>
      <c r="C269" s="1" t="n">
        <v>46036</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9511-2023</t>
        </is>
      </c>
      <c r="B270" s="1" t="n">
        <v>44981.64725694444</v>
      </c>
      <c r="C270" s="1" t="n">
        <v>46036</v>
      </c>
      <c r="D270" t="inlineStr">
        <is>
          <t>KALMAR LÄN</t>
        </is>
      </c>
      <c r="E270" t="inlineStr">
        <is>
          <t>VIMMERBY</t>
        </is>
      </c>
      <c r="G270" t="n">
        <v>3.5</v>
      </c>
      <c r="H270" t="n">
        <v>0</v>
      </c>
      <c r="I270" t="n">
        <v>0</v>
      </c>
      <c r="J270" t="n">
        <v>0</v>
      </c>
      <c r="K270" t="n">
        <v>0</v>
      </c>
      <c r="L270" t="n">
        <v>0</v>
      </c>
      <c r="M270" t="n">
        <v>0</v>
      </c>
      <c r="N270" t="n">
        <v>0</v>
      </c>
      <c r="O270" t="n">
        <v>0</v>
      </c>
      <c r="P270" t="n">
        <v>0</v>
      </c>
      <c r="Q270" t="n">
        <v>0</v>
      </c>
      <c r="R270" s="2" t="inlineStr"/>
    </row>
    <row r="271" ht="15" customHeight="1">
      <c r="A271" t="inlineStr">
        <is>
          <t>A 29973-2023</t>
        </is>
      </c>
      <c r="B271" s="1" t="n">
        <v>45108.703125</v>
      </c>
      <c r="C271" s="1" t="n">
        <v>46036</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50648-2023</t>
        </is>
      </c>
      <c r="B272" s="1" t="n">
        <v>45217.47834490741</v>
      </c>
      <c r="C272" s="1" t="n">
        <v>46036</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529-2022</t>
        </is>
      </c>
      <c r="B273" s="1" t="n">
        <v>44566</v>
      </c>
      <c r="C273" s="1" t="n">
        <v>46036</v>
      </c>
      <c r="D273" t="inlineStr">
        <is>
          <t>KALMAR LÄN</t>
        </is>
      </c>
      <c r="E273" t="inlineStr">
        <is>
          <t>VIMMERBY</t>
        </is>
      </c>
      <c r="G273" t="n">
        <v>1.5</v>
      </c>
      <c r="H273" t="n">
        <v>0</v>
      </c>
      <c r="I273" t="n">
        <v>0</v>
      </c>
      <c r="J273" t="n">
        <v>0</v>
      </c>
      <c r="K273" t="n">
        <v>0</v>
      </c>
      <c r="L273" t="n">
        <v>0</v>
      </c>
      <c r="M273" t="n">
        <v>0</v>
      </c>
      <c r="N273" t="n">
        <v>0</v>
      </c>
      <c r="O273" t="n">
        <v>0</v>
      </c>
      <c r="P273" t="n">
        <v>0</v>
      </c>
      <c r="Q273" t="n">
        <v>0</v>
      </c>
      <c r="R273" s="2" t="inlineStr"/>
    </row>
    <row r="274" ht="15" customHeight="1">
      <c r="A274" t="inlineStr">
        <is>
          <t>A 58318-2021</t>
        </is>
      </c>
      <c r="B274" s="1" t="n">
        <v>44488.35878472222</v>
      </c>
      <c r="C274" s="1" t="n">
        <v>46036</v>
      </c>
      <c r="D274" t="inlineStr">
        <is>
          <t>KALMAR LÄN</t>
        </is>
      </c>
      <c r="E274" t="inlineStr">
        <is>
          <t>VIMMERBY</t>
        </is>
      </c>
      <c r="G274" t="n">
        <v>4</v>
      </c>
      <c r="H274" t="n">
        <v>0</v>
      </c>
      <c r="I274" t="n">
        <v>0</v>
      </c>
      <c r="J274" t="n">
        <v>0</v>
      </c>
      <c r="K274" t="n">
        <v>0</v>
      </c>
      <c r="L274" t="n">
        <v>0</v>
      </c>
      <c r="M274" t="n">
        <v>0</v>
      </c>
      <c r="N274" t="n">
        <v>0</v>
      </c>
      <c r="O274" t="n">
        <v>0</v>
      </c>
      <c r="P274" t="n">
        <v>0</v>
      </c>
      <c r="Q274" t="n">
        <v>0</v>
      </c>
      <c r="R274" s="2" t="inlineStr"/>
    </row>
    <row r="275" ht="15" customHeight="1">
      <c r="A275" t="inlineStr">
        <is>
          <t>A 40076-2021</t>
        </is>
      </c>
      <c r="B275" s="1" t="n">
        <v>44418</v>
      </c>
      <c r="C275" s="1" t="n">
        <v>46036</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89-2023</t>
        </is>
      </c>
      <c r="B276" s="1" t="n">
        <v>44918</v>
      </c>
      <c r="C276" s="1" t="n">
        <v>46036</v>
      </c>
      <c r="D276" t="inlineStr">
        <is>
          <t>KALMAR LÄN</t>
        </is>
      </c>
      <c r="E276" t="inlineStr">
        <is>
          <t>VIMMERBY</t>
        </is>
      </c>
      <c r="G276" t="n">
        <v>16.1</v>
      </c>
      <c r="H276" t="n">
        <v>0</v>
      </c>
      <c r="I276" t="n">
        <v>0</v>
      </c>
      <c r="J276" t="n">
        <v>0</v>
      </c>
      <c r="K276" t="n">
        <v>0</v>
      </c>
      <c r="L276" t="n">
        <v>0</v>
      </c>
      <c r="M276" t="n">
        <v>0</v>
      </c>
      <c r="N276" t="n">
        <v>0</v>
      </c>
      <c r="O276" t="n">
        <v>0</v>
      </c>
      <c r="P276" t="n">
        <v>0</v>
      </c>
      <c r="Q276" t="n">
        <v>0</v>
      </c>
      <c r="R276" s="2" t="inlineStr"/>
    </row>
    <row r="277" ht="15" customHeight="1">
      <c r="A277" t="inlineStr">
        <is>
          <t>A 64143-2021</t>
        </is>
      </c>
      <c r="B277" s="1" t="n">
        <v>44510.52157407408</v>
      </c>
      <c r="C277" s="1" t="n">
        <v>46036</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23088-2024</t>
        </is>
      </c>
      <c r="B278" s="1" t="n">
        <v>45450.51092592593</v>
      </c>
      <c r="C278" s="1" t="n">
        <v>46036</v>
      </c>
      <c r="D278" t="inlineStr">
        <is>
          <t>KALMAR LÄN</t>
        </is>
      </c>
      <c r="E278" t="inlineStr">
        <is>
          <t>VIMMERBY</t>
        </is>
      </c>
      <c r="G278" t="n">
        <v>1.9</v>
      </c>
      <c r="H278" t="n">
        <v>0</v>
      </c>
      <c r="I278" t="n">
        <v>0</v>
      </c>
      <c r="J278" t="n">
        <v>0</v>
      </c>
      <c r="K278" t="n">
        <v>0</v>
      </c>
      <c r="L278" t="n">
        <v>0</v>
      </c>
      <c r="M278" t="n">
        <v>0</v>
      </c>
      <c r="N278" t="n">
        <v>0</v>
      </c>
      <c r="O278" t="n">
        <v>0</v>
      </c>
      <c r="P278" t="n">
        <v>0</v>
      </c>
      <c r="Q278" t="n">
        <v>0</v>
      </c>
      <c r="R278" s="2" t="inlineStr"/>
    </row>
    <row r="279" ht="15" customHeight="1">
      <c r="A279" t="inlineStr">
        <is>
          <t>A 73938-2021</t>
        </is>
      </c>
      <c r="B279" s="1" t="n">
        <v>44553</v>
      </c>
      <c r="C279" s="1" t="n">
        <v>46036</v>
      </c>
      <c r="D279" t="inlineStr">
        <is>
          <t>KALMAR LÄN</t>
        </is>
      </c>
      <c r="E279" t="inlineStr">
        <is>
          <t>VIMMERBY</t>
        </is>
      </c>
      <c r="G279" t="n">
        <v>3.2</v>
      </c>
      <c r="H279" t="n">
        <v>0</v>
      </c>
      <c r="I279" t="n">
        <v>0</v>
      </c>
      <c r="J279" t="n">
        <v>0</v>
      </c>
      <c r="K279" t="n">
        <v>0</v>
      </c>
      <c r="L279" t="n">
        <v>0</v>
      </c>
      <c r="M279" t="n">
        <v>0</v>
      </c>
      <c r="N279" t="n">
        <v>0</v>
      </c>
      <c r="O279" t="n">
        <v>0</v>
      </c>
      <c r="P279" t="n">
        <v>0</v>
      </c>
      <c r="Q279" t="n">
        <v>0</v>
      </c>
      <c r="R279" s="2" t="inlineStr"/>
    </row>
    <row r="280" ht="15" customHeight="1">
      <c r="A280" t="inlineStr">
        <is>
          <t>A 38851-2023</t>
        </is>
      </c>
      <c r="B280" s="1" t="n">
        <v>45163</v>
      </c>
      <c r="C280" s="1" t="n">
        <v>46036</v>
      </c>
      <c r="D280" t="inlineStr">
        <is>
          <t>KALMAR LÄN</t>
        </is>
      </c>
      <c r="E280" t="inlineStr">
        <is>
          <t>VIMMERBY</t>
        </is>
      </c>
      <c r="G280" t="n">
        <v>4.3</v>
      </c>
      <c r="H280" t="n">
        <v>0</v>
      </c>
      <c r="I280" t="n">
        <v>0</v>
      </c>
      <c r="J280" t="n">
        <v>0</v>
      </c>
      <c r="K280" t="n">
        <v>0</v>
      </c>
      <c r="L280" t="n">
        <v>0</v>
      </c>
      <c r="M280" t="n">
        <v>0</v>
      </c>
      <c r="N280" t="n">
        <v>0</v>
      </c>
      <c r="O280" t="n">
        <v>0</v>
      </c>
      <c r="P280" t="n">
        <v>0</v>
      </c>
      <c r="Q280" t="n">
        <v>0</v>
      </c>
      <c r="R280" s="2" t="inlineStr"/>
    </row>
    <row r="281" ht="15" customHeight="1">
      <c r="A281" t="inlineStr">
        <is>
          <t>A 63583-2023</t>
        </is>
      </c>
      <c r="B281" s="1" t="n">
        <v>45275.41833333333</v>
      </c>
      <c r="C281" s="1" t="n">
        <v>46036</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10759-2023</t>
        </is>
      </c>
      <c r="B282" s="1" t="n">
        <v>44988</v>
      </c>
      <c r="C282" s="1" t="n">
        <v>46036</v>
      </c>
      <c r="D282" t="inlineStr">
        <is>
          <t>KALMAR LÄN</t>
        </is>
      </c>
      <c r="E282" t="inlineStr">
        <is>
          <t>VIMMERBY</t>
        </is>
      </c>
      <c r="G282" t="n">
        <v>0.4</v>
      </c>
      <c r="H282" t="n">
        <v>0</v>
      </c>
      <c r="I282" t="n">
        <v>0</v>
      </c>
      <c r="J282" t="n">
        <v>0</v>
      </c>
      <c r="K282" t="n">
        <v>0</v>
      </c>
      <c r="L282" t="n">
        <v>0</v>
      </c>
      <c r="M282" t="n">
        <v>0</v>
      </c>
      <c r="N282" t="n">
        <v>0</v>
      </c>
      <c r="O282" t="n">
        <v>0</v>
      </c>
      <c r="P282" t="n">
        <v>0</v>
      </c>
      <c r="Q282" t="n">
        <v>0</v>
      </c>
      <c r="R282" s="2" t="inlineStr"/>
    </row>
    <row r="283" ht="15" customHeight="1">
      <c r="A283" t="inlineStr">
        <is>
          <t>A 39578-2024</t>
        </is>
      </c>
      <c r="B283" s="1" t="n">
        <v>45552.36484953704</v>
      </c>
      <c r="C283" s="1" t="n">
        <v>46036</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24707-2024</t>
        </is>
      </c>
      <c r="B284" s="1" t="n">
        <v>45460.62172453704</v>
      </c>
      <c r="C284" s="1" t="n">
        <v>46036</v>
      </c>
      <c r="D284" t="inlineStr">
        <is>
          <t>KALMAR LÄN</t>
        </is>
      </c>
      <c r="E284" t="inlineStr">
        <is>
          <t>VIMMERBY</t>
        </is>
      </c>
      <c r="G284" t="n">
        <v>1.7</v>
      </c>
      <c r="H284" t="n">
        <v>0</v>
      </c>
      <c r="I284" t="n">
        <v>0</v>
      </c>
      <c r="J284" t="n">
        <v>0</v>
      </c>
      <c r="K284" t="n">
        <v>0</v>
      </c>
      <c r="L284" t="n">
        <v>0</v>
      </c>
      <c r="M284" t="n">
        <v>0</v>
      </c>
      <c r="N284" t="n">
        <v>0</v>
      </c>
      <c r="O284" t="n">
        <v>0</v>
      </c>
      <c r="P284" t="n">
        <v>0</v>
      </c>
      <c r="Q284" t="n">
        <v>0</v>
      </c>
      <c r="R284" s="2" t="inlineStr"/>
    </row>
    <row r="285" ht="15" customHeight="1">
      <c r="A285" t="inlineStr">
        <is>
          <t>A 40079-2023</t>
        </is>
      </c>
      <c r="B285" s="1" t="n">
        <v>45168.89298611111</v>
      </c>
      <c r="C285" s="1" t="n">
        <v>46036</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43774-2023</t>
        </is>
      </c>
      <c r="B286" s="1" t="n">
        <v>45187</v>
      </c>
      <c r="C286" s="1" t="n">
        <v>46036</v>
      </c>
      <c r="D286" t="inlineStr">
        <is>
          <t>KALMAR LÄN</t>
        </is>
      </c>
      <c r="E286" t="inlineStr">
        <is>
          <t>VIMMERBY</t>
        </is>
      </c>
      <c r="G286" t="n">
        <v>3.4</v>
      </c>
      <c r="H286" t="n">
        <v>0</v>
      </c>
      <c r="I286" t="n">
        <v>0</v>
      </c>
      <c r="J286" t="n">
        <v>0</v>
      </c>
      <c r="K286" t="n">
        <v>0</v>
      </c>
      <c r="L286" t="n">
        <v>0</v>
      </c>
      <c r="M286" t="n">
        <v>0</v>
      </c>
      <c r="N286" t="n">
        <v>0</v>
      </c>
      <c r="O286" t="n">
        <v>0</v>
      </c>
      <c r="P286" t="n">
        <v>0</v>
      </c>
      <c r="Q286" t="n">
        <v>0</v>
      </c>
      <c r="R286" s="2" t="inlineStr"/>
    </row>
    <row r="287" ht="15" customHeight="1">
      <c r="A287" t="inlineStr">
        <is>
          <t>A 40828-2023</t>
        </is>
      </c>
      <c r="B287" s="1" t="n">
        <v>45171.96248842592</v>
      </c>
      <c r="C287" s="1" t="n">
        <v>46036</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29616-2022</t>
        </is>
      </c>
      <c r="B288" s="1" t="n">
        <v>44754</v>
      </c>
      <c r="C288" s="1" t="n">
        <v>46036</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61861-2024</t>
        </is>
      </c>
      <c r="B289" s="1" t="n">
        <v>45650.37370370371</v>
      </c>
      <c r="C289" s="1" t="n">
        <v>46036</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31056-2022</t>
        </is>
      </c>
      <c r="B290" s="1" t="n">
        <v>44769.45805555556</v>
      </c>
      <c r="C290" s="1" t="n">
        <v>46036</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8650-2022</t>
        </is>
      </c>
      <c r="B291" s="1" t="n">
        <v>44613</v>
      </c>
      <c r="C291" s="1" t="n">
        <v>46036</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33383-2023</t>
        </is>
      </c>
      <c r="B292" s="1" t="n">
        <v>45128.58414351852</v>
      </c>
      <c r="C292" s="1" t="n">
        <v>46036</v>
      </c>
      <c r="D292" t="inlineStr">
        <is>
          <t>KALMAR LÄN</t>
        </is>
      </c>
      <c r="E292" t="inlineStr">
        <is>
          <t>VIMMERBY</t>
        </is>
      </c>
      <c r="G292" t="n">
        <v>2.3</v>
      </c>
      <c r="H292" t="n">
        <v>0</v>
      </c>
      <c r="I292" t="n">
        <v>0</v>
      </c>
      <c r="J292" t="n">
        <v>0</v>
      </c>
      <c r="K292" t="n">
        <v>0</v>
      </c>
      <c r="L292" t="n">
        <v>0</v>
      </c>
      <c r="M292" t="n">
        <v>0</v>
      </c>
      <c r="N292" t="n">
        <v>0</v>
      </c>
      <c r="O292" t="n">
        <v>0</v>
      </c>
      <c r="P292" t="n">
        <v>0</v>
      </c>
      <c r="Q292" t="n">
        <v>0</v>
      </c>
      <c r="R292" s="2" t="inlineStr"/>
    </row>
    <row r="293" ht="15" customHeight="1">
      <c r="A293" t="inlineStr">
        <is>
          <t>A 33340-2023</t>
        </is>
      </c>
      <c r="B293" s="1" t="n">
        <v>45128.37305555555</v>
      </c>
      <c r="C293" s="1" t="n">
        <v>46036</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44423-2023</t>
        </is>
      </c>
      <c r="B294" s="1" t="n">
        <v>45189</v>
      </c>
      <c r="C294" s="1" t="n">
        <v>46036</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37323-2024</t>
        </is>
      </c>
      <c r="B295" s="1" t="n">
        <v>45540.50098379629</v>
      </c>
      <c r="C295" s="1" t="n">
        <v>46036</v>
      </c>
      <c r="D295" t="inlineStr">
        <is>
          <t>KALMAR LÄN</t>
        </is>
      </c>
      <c r="E295" t="inlineStr">
        <is>
          <t>VIMMERBY</t>
        </is>
      </c>
      <c r="G295" t="n">
        <v>1.2</v>
      </c>
      <c r="H295" t="n">
        <v>0</v>
      </c>
      <c r="I295" t="n">
        <v>0</v>
      </c>
      <c r="J295" t="n">
        <v>0</v>
      </c>
      <c r="K295" t="n">
        <v>0</v>
      </c>
      <c r="L295" t="n">
        <v>0</v>
      </c>
      <c r="M295" t="n">
        <v>0</v>
      </c>
      <c r="N295" t="n">
        <v>0</v>
      </c>
      <c r="O295" t="n">
        <v>0</v>
      </c>
      <c r="P295" t="n">
        <v>0</v>
      </c>
      <c r="Q295" t="n">
        <v>0</v>
      </c>
      <c r="R295" s="2" t="inlineStr"/>
    </row>
    <row r="296" ht="15" customHeight="1">
      <c r="A296" t="inlineStr">
        <is>
          <t>A 18501-2024</t>
        </is>
      </c>
      <c r="B296" s="1" t="n">
        <v>45425.57538194444</v>
      </c>
      <c r="C296" s="1" t="n">
        <v>46036</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27758-2024</t>
        </is>
      </c>
      <c r="B297" s="1" t="n">
        <v>45475.48303240741</v>
      </c>
      <c r="C297" s="1" t="n">
        <v>46036</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13307-2025</t>
        </is>
      </c>
      <c r="B298" s="1" t="n">
        <v>45735.58024305556</v>
      </c>
      <c r="C298" s="1" t="n">
        <v>46036</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38604-2025</t>
        </is>
      </c>
      <c r="B299" s="1" t="n">
        <v>45884.50613425926</v>
      </c>
      <c r="C299" s="1" t="n">
        <v>46036</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55716-2023</t>
        </is>
      </c>
      <c r="B300" s="1" t="n">
        <v>45232</v>
      </c>
      <c r="C300" s="1" t="n">
        <v>46036</v>
      </c>
      <c r="D300" t="inlineStr">
        <is>
          <t>KALMAR LÄN</t>
        </is>
      </c>
      <c r="E300" t="inlineStr">
        <is>
          <t>VIMMERBY</t>
        </is>
      </c>
      <c r="G300" t="n">
        <v>2.3</v>
      </c>
      <c r="H300" t="n">
        <v>0</v>
      </c>
      <c r="I300" t="n">
        <v>0</v>
      </c>
      <c r="J300" t="n">
        <v>0</v>
      </c>
      <c r="K300" t="n">
        <v>0</v>
      </c>
      <c r="L300" t="n">
        <v>0</v>
      </c>
      <c r="M300" t="n">
        <v>0</v>
      </c>
      <c r="N300" t="n">
        <v>0</v>
      </c>
      <c r="O300" t="n">
        <v>0</v>
      </c>
      <c r="P300" t="n">
        <v>0</v>
      </c>
      <c r="Q300" t="n">
        <v>0</v>
      </c>
      <c r="R300" s="2" t="inlineStr"/>
    </row>
    <row r="301" ht="15" customHeight="1">
      <c r="A301" t="inlineStr">
        <is>
          <t>A 18329-2023</t>
        </is>
      </c>
      <c r="B301" s="1" t="n">
        <v>45041.63380787037</v>
      </c>
      <c r="C301" s="1" t="n">
        <v>46036</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28286-2025</t>
        </is>
      </c>
      <c r="B302" s="1" t="n">
        <v>45818.58993055556</v>
      </c>
      <c r="C302" s="1" t="n">
        <v>46036</v>
      </c>
      <c r="D302" t="inlineStr">
        <is>
          <t>KALMAR LÄN</t>
        </is>
      </c>
      <c r="E302" t="inlineStr">
        <is>
          <t>VIMMERBY</t>
        </is>
      </c>
      <c r="F302" t="inlineStr">
        <is>
          <t>Sveaskog</t>
        </is>
      </c>
      <c r="G302" t="n">
        <v>8</v>
      </c>
      <c r="H302" t="n">
        <v>0</v>
      </c>
      <c r="I302" t="n">
        <v>0</v>
      </c>
      <c r="J302" t="n">
        <v>0</v>
      </c>
      <c r="K302" t="n">
        <v>0</v>
      </c>
      <c r="L302" t="n">
        <v>0</v>
      </c>
      <c r="M302" t="n">
        <v>0</v>
      </c>
      <c r="N302" t="n">
        <v>0</v>
      </c>
      <c r="O302" t="n">
        <v>0</v>
      </c>
      <c r="P302" t="n">
        <v>0</v>
      </c>
      <c r="Q302" t="n">
        <v>0</v>
      </c>
      <c r="R302" s="2" t="inlineStr"/>
    </row>
    <row r="303" ht="15" customHeight="1">
      <c r="A303" t="inlineStr">
        <is>
          <t>A 28282-2025</t>
        </is>
      </c>
      <c r="B303" s="1" t="n">
        <v>45818.58769675926</v>
      </c>
      <c r="C303" s="1" t="n">
        <v>46036</v>
      </c>
      <c r="D303" t="inlineStr">
        <is>
          <t>KALMAR LÄN</t>
        </is>
      </c>
      <c r="E303" t="inlineStr">
        <is>
          <t>VIMMERBY</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28294-2025</t>
        </is>
      </c>
      <c r="B304" s="1" t="n">
        <v>45818.595625</v>
      </c>
      <c r="C304" s="1" t="n">
        <v>46036</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28290-2025</t>
        </is>
      </c>
      <c r="B305" s="1" t="n">
        <v>45818.59261574074</v>
      </c>
      <c r="C305" s="1" t="n">
        <v>46036</v>
      </c>
      <c r="D305" t="inlineStr">
        <is>
          <t>KALMAR LÄN</t>
        </is>
      </c>
      <c r="E305" t="inlineStr">
        <is>
          <t>VIMMERBY</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28280-2025</t>
        </is>
      </c>
      <c r="B306" s="1" t="n">
        <v>45818.5862037037</v>
      </c>
      <c r="C306" s="1" t="n">
        <v>46036</v>
      </c>
      <c r="D306" t="inlineStr">
        <is>
          <t>KALMAR LÄN</t>
        </is>
      </c>
      <c r="E306" t="inlineStr">
        <is>
          <t>VIMMERBY</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13015-2023</t>
        </is>
      </c>
      <c r="B307" s="1" t="n">
        <v>45002</v>
      </c>
      <c r="C307" s="1" t="n">
        <v>46036</v>
      </c>
      <c r="D307" t="inlineStr">
        <is>
          <t>KALMAR LÄN</t>
        </is>
      </c>
      <c r="E307" t="inlineStr">
        <is>
          <t>VIMMERBY</t>
        </is>
      </c>
      <c r="G307" t="n">
        <v>3.2</v>
      </c>
      <c r="H307" t="n">
        <v>0</v>
      </c>
      <c r="I307" t="n">
        <v>0</v>
      </c>
      <c r="J307" t="n">
        <v>0</v>
      </c>
      <c r="K307" t="n">
        <v>0</v>
      </c>
      <c r="L307" t="n">
        <v>0</v>
      </c>
      <c r="M307" t="n">
        <v>0</v>
      </c>
      <c r="N307" t="n">
        <v>0</v>
      </c>
      <c r="O307" t="n">
        <v>0</v>
      </c>
      <c r="P307" t="n">
        <v>0</v>
      </c>
      <c r="Q307" t="n">
        <v>0</v>
      </c>
      <c r="R307" s="2" t="inlineStr"/>
    </row>
    <row r="308" ht="15" customHeight="1">
      <c r="A308" t="inlineStr">
        <is>
          <t>A 28620-2025</t>
        </is>
      </c>
      <c r="B308" s="1" t="n">
        <v>45819.61060185185</v>
      </c>
      <c r="C308" s="1" t="n">
        <v>46036</v>
      </c>
      <c r="D308" t="inlineStr">
        <is>
          <t>KALMAR LÄN</t>
        </is>
      </c>
      <c r="E308" t="inlineStr">
        <is>
          <t>VIMMERBY</t>
        </is>
      </c>
      <c r="G308" t="n">
        <v>5.6</v>
      </c>
      <c r="H308" t="n">
        <v>0</v>
      </c>
      <c r="I308" t="n">
        <v>0</v>
      </c>
      <c r="J308" t="n">
        <v>0</v>
      </c>
      <c r="K308" t="n">
        <v>0</v>
      </c>
      <c r="L308" t="n">
        <v>0</v>
      </c>
      <c r="M308" t="n">
        <v>0</v>
      </c>
      <c r="N308" t="n">
        <v>0</v>
      </c>
      <c r="O308" t="n">
        <v>0</v>
      </c>
      <c r="P308" t="n">
        <v>0</v>
      </c>
      <c r="Q308" t="n">
        <v>0</v>
      </c>
      <c r="R308" s="2" t="inlineStr"/>
    </row>
    <row r="309" ht="15" customHeight="1">
      <c r="A309" t="inlineStr">
        <is>
          <t>A 29186-2024</t>
        </is>
      </c>
      <c r="B309" s="1" t="n">
        <v>45482.54844907407</v>
      </c>
      <c r="C309" s="1" t="n">
        <v>46036</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50993-2022</t>
        </is>
      </c>
      <c r="B310" s="1" t="n">
        <v>44867</v>
      </c>
      <c r="C310" s="1" t="n">
        <v>46036</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28712-2025</t>
        </is>
      </c>
      <c r="B311" s="1" t="n">
        <v>45820.33708333333</v>
      </c>
      <c r="C311" s="1" t="n">
        <v>46036</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28714-2025</t>
        </is>
      </c>
      <c r="B312" s="1" t="n">
        <v>45820.34128472222</v>
      </c>
      <c r="C312" s="1" t="n">
        <v>46036</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29726-2025</t>
        </is>
      </c>
      <c r="B313" s="1" t="n">
        <v>45825.57805555555</v>
      </c>
      <c r="C313" s="1" t="n">
        <v>46036</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28713-2025</t>
        </is>
      </c>
      <c r="B314" s="1" t="n">
        <v>45820.33930555556</v>
      </c>
      <c r="C314" s="1" t="n">
        <v>46036</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54787-2023</t>
        </is>
      </c>
      <c r="B315" s="1" t="n">
        <v>45236</v>
      </c>
      <c r="C315" s="1" t="n">
        <v>46036</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32614-2023</t>
        </is>
      </c>
      <c r="B316" s="1" t="n">
        <v>45121</v>
      </c>
      <c r="C316" s="1" t="n">
        <v>46036</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6850-2023</t>
        </is>
      </c>
      <c r="B317" s="1" t="n">
        <v>44967.44255787037</v>
      </c>
      <c r="C317" s="1" t="n">
        <v>46036</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58750-2022</t>
        </is>
      </c>
      <c r="B318" s="1" t="n">
        <v>44903.33363425926</v>
      </c>
      <c r="C318" s="1" t="n">
        <v>46036</v>
      </c>
      <c r="D318" t="inlineStr">
        <is>
          <t>KALMAR LÄN</t>
        </is>
      </c>
      <c r="E318" t="inlineStr">
        <is>
          <t>VIMMERBY</t>
        </is>
      </c>
      <c r="G318" t="n">
        <v>3.3</v>
      </c>
      <c r="H318" t="n">
        <v>0</v>
      </c>
      <c r="I318" t="n">
        <v>0</v>
      </c>
      <c r="J318" t="n">
        <v>0</v>
      </c>
      <c r="K318" t="n">
        <v>0</v>
      </c>
      <c r="L318" t="n">
        <v>0</v>
      </c>
      <c r="M318" t="n">
        <v>0</v>
      </c>
      <c r="N318" t="n">
        <v>0</v>
      </c>
      <c r="O318" t="n">
        <v>0</v>
      </c>
      <c r="P318" t="n">
        <v>0</v>
      </c>
      <c r="Q318" t="n">
        <v>0</v>
      </c>
      <c r="R318" s="2" t="inlineStr"/>
    </row>
    <row r="319" ht="15" customHeight="1">
      <c r="A319" t="inlineStr">
        <is>
          <t>A 29737-2025</t>
        </is>
      </c>
      <c r="B319" s="1" t="n">
        <v>45825.58672453704</v>
      </c>
      <c r="C319" s="1" t="n">
        <v>46036</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41158-2023</t>
        </is>
      </c>
      <c r="B320" s="1" t="n">
        <v>45174.31395833333</v>
      </c>
      <c r="C320" s="1" t="n">
        <v>46036</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29727-2025</t>
        </is>
      </c>
      <c r="B321" s="1" t="n">
        <v>45825.5796875</v>
      </c>
      <c r="C321" s="1" t="n">
        <v>46036</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39801-2025</t>
        </is>
      </c>
      <c r="B322" s="1" t="n">
        <v>45891.50216435185</v>
      </c>
      <c r="C322" s="1" t="n">
        <v>46036</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2510-2023</t>
        </is>
      </c>
      <c r="B323" s="1" t="n">
        <v>44943.57309027778</v>
      </c>
      <c r="C323" s="1" t="n">
        <v>46036</v>
      </c>
      <c r="D323" t="inlineStr">
        <is>
          <t>KALMAR LÄN</t>
        </is>
      </c>
      <c r="E323" t="inlineStr">
        <is>
          <t>VIMMERBY</t>
        </is>
      </c>
      <c r="G323" t="n">
        <v>8.6</v>
      </c>
      <c r="H323" t="n">
        <v>0</v>
      </c>
      <c r="I323" t="n">
        <v>0</v>
      </c>
      <c r="J323" t="n">
        <v>0</v>
      </c>
      <c r="K323" t="n">
        <v>0</v>
      </c>
      <c r="L323" t="n">
        <v>0</v>
      </c>
      <c r="M323" t="n">
        <v>0</v>
      </c>
      <c r="N323" t="n">
        <v>0</v>
      </c>
      <c r="O323" t="n">
        <v>0</v>
      </c>
      <c r="P323" t="n">
        <v>0</v>
      </c>
      <c r="Q323" t="n">
        <v>0</v>
      </c>
      <c r="R323" s="2" t="inlineStr"/>
    </row>
    <row r="324" ht="15" customHeight="1">
      <c r="A324" t="inlineStr">
        <is>
          <t>A 39807-2025</t>
        </is>
      </c>
      <c r="B324" s="1" t="n">
        <v>45891.50986111111</v>
      </c>
      <c r="C324" s="1" t="n">
        <v>46036</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39736-2025</t>
        </is>
      </c>
      <c r="B325" s="1" t="n">
        <v>45891</v>
      </c>
      <c r="C325" s="1" t="n">
        <v>46036</v>
      </c>
      <c r="D325" t="inlineStr">
        <is>
          <t>KALMAR LÄN</t>
        </is>
      </c>
      <c r="E325" t="inlineStr">
        <is>
          <t>VIMMERBY</t>
        </is>
      </c>
      <c r="G325" t="n">
        <v>12.8</v>
      </c>
      <c r="H325" t="n">
        <v>0</v>
      </c>
      <c r="I325" t="n">
        <v>0</v>
      </c>
      <c r="J325" t="n">
        <v>0</v>
      </c>
      <c r="K325" t="n">
        <v>0</v>
      </c>
      <c r="L325" t="n">
        <v>0</v>
      </c>
      <c r="M325" t="n">
        <v>0</v>
      </c>
      <c r="N325" t="n">
        <v>0</v>
      </c>
      <c r="O325" t="n">
        <v>0</v>
      </c>
      <c r="P325" t="n">
        <v>0</v>
      </c>
      <c r="Q325" t="n">
        <v>0</v>
      </c>
      <c r="R325" s="2" t="inlineStr"/>
    </row>
    <row r="326" ht="15" customHeight="1">
      <c r="A326" t="inlineStr">
        <is>
          <t>A 3269-2024</t>
        </is>
      </c>
      <c r="B326" s="1" t="n">
        <v>45317.40372685185</v>
      </c>
      <c r="C326" s="1" t="n">
        <v>46036</v>
      </c>
      <c r="D326" t="inlineStr">
        <is>
          <t>KALMAR LÄN</t>
        </is>
      </c>
      <c r="E326" t="inlineStr">
        <is>
          <t>VIMMERBY</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48120-2022</t>
        </is>
      </c>
      <c r="B327" s="1" t="n">
        <v>44857.65989583333</v>
      </c>
      <c r="C327" s="1" t="n">
        <v>46036</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6368-2023</t>
        </is>
      </c>
      <c r="B328" s="1" t="n">
        <v>44965</v>
      </c>
      <c r="C328" s="1" t="n">
        <v>46036</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9416-2024</t>
        </is>
      </c>
      <c r="B329" s="1" t="n">
        <v>45359.44837962963</v>
      </c>
      <c r="C329" s="1" t="n">
        <v>46036</v>
      </c>
      <c r="D329" t="inlineStr">
        <is>
          <t>KALMAR LÄN</t>
        </is>
      </c>
      <c r="E329" t="inlineStr">
        <is>
          <t>VIMMERBY</t>
        </is>
      </c>
      <c r="G329" t="n">
        <v>3.2</v>
      </c>
      <c r="H329" t="n">
        <v>0</v>
      </c>
      <c r="I329" t="n">
        <v>0</v>
      </c>
      <c r="J329" t="n">
        <v>0</v>
      </c>
      <c r="K329" t="n">
        <v>0</v>
      </c>
      <c r="L329" t="n">
        <v>0</v>
      </c>
      <c r="M329" t="n">
        <v>0</v>
      </c>
      <c r="N329" t="n">
        <v>0</v>
      </c>
      <c r="O329" t="n">
        <v>0</v>
      </c>
      <c r="P329" t="n">
        <v>0</v>
      </c>
      <c r="Q329" t="n">
        <v>0</v>
      </c>
      <c r="R329" s="2" t="inlineStr"/>
    </row>
    <row r="330" ht="15" customHeight="1">
      <c r="A330" t="inlineStr">
        <is>
          <t>A 30293-2025</t>
        </is>
      </c>
      <c r="B330" s="1" t="n">
        <v>45827</v>
      </c>
      <c r="C330" s="1" t="n">
        <v>46036</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39803-2025</t>
        </is>
      </c>
      <c r="B331" s="1" t="n">
        <v>45891.50525462963</v>
      </c>
      <c r="C331" s="1" t="n">
        <v>46036</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30290-2025</t>
        </is>
      </c>
      <c r="B332" s="1" t="n">
        <v>45827</v>
      </c>
      <c r="C332" s="1" t="n">
        <v>46036</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2797-2023</t>
        </is>
      </c>
      <c r="B333" s="1" t="n">
        <v>44944.71386574074</v>
      </c>
      <c r="C333" s="1" t="n">
        <v>46036</v>
      </c>
      <c r="D333" t="inlineStr">
        <is>
          <t>KALMAR LÄN</t>
        </is>
      </c>
      <c r="E333" t="inlineStr">
        <is>
          <t>VIMMERBY</t>
        </is>
      </c>
      <c r="G333" t="n">
        <v>3.4</v>
      </c>
      <c r="H333" t="n">
        <v>0</v>
      </c>
      <c r="I333" t="n">
        <v>0</v>
      </c>
      <c r="J333" t="n">
        <v>0</v>
      </c>
      <c r="K333" t="n">
        <v>0</v>
      </c>
      <c r="L333" t="n">
        <v>0</v>
      </c>
      <c r="M333" t="n">
        <v>0</v>
      </c>
      <c r="N333" t="n">
        <v>0</v>
      </c>
      <c r="O333" t="n">
        <v>0</v>
      </c>
      <c r="P333" t="n">
        <v>0</v>
      </c>
      <c r="Q333" t="n">
        <v>0</v>
      </c>
      <c r="R333" s="2" t="inlineStr"/>
    </row>
    <row r="334" ht="15" customHeight="1">
      <c r="A334" t="inlineStr">
        <is>
          <t>A 2799-2023</t>
        </is>
      </c>
      <c r="B334" s="1" t="n">
        <v>44944.72100694444</v>
      </c>
      <c r="C334" s="1" t="n">
        <v>46036</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39889-2025</t>
        </is>
      </c>
      <c r="B335" s="1" t="n">
        <v>45891</v>
      </c>
      <c r="C335" s="1" t="n">
        <v>46036</v>
      </c>
      <c r="D335" t="inlineStr">
        <is>
          <t>KALMAR LÄN</t>
        </is>
      </c>
      <c r="E335" t="inlineStr">
        <is>
          <t>VIMMERBY</t>
        </is>
      </c>
      <c r="G335" t="n">
        <v>4.5</v>
      </c>
      <c r="H335" t="n">
        <v>0</v>
      </c>
      <c r="I335" t="n">
        <v>0</v>
      </c>
      <c r="J335" t="n">
        <v>0</v>
      </c>
      <c r="K335" t="n">
        <v>0</v>
      </c>
      <c r="L335" t="n">
        <v>0</v>
      </c>
      <c r="M335" t="n">
        <v>0</v>
      </c>
      <c r="N335" t="n">
        <v>0</v>
      </c>
      <c r="O335" t="n">
        <v>0</v>
      </c>
      <c r="P335" t="n">
        <v>0</v>
      </c>
      <c r="Q335" t="n">
        <v>0</v>
      </c>
      <c r="R335" s="2" t="inlineStr"/>
    </row>
    <row r="336" ht="15" customHeight="1">
      <c r="A336" t="inlineStr">
        <is>
          <t>A 25987-2024</t>
        </is>
      </c>
      <c r="B336" s="1" t="n">
        <v>45467.74417824074</v>
      </c>
      <c r="C336" s="1" t="n">
        <v>46036</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22194-2024</t>
        </is>
      </c>
      <c r="B337" s="1" t="n">
        <v>45446.36482638889</v>
      </c>
      <c r="C337" s="1" t="n">
        <v>46036</v>
      </c>
      <c r="D337" t="inlineStr">
        <is>
          <t>KALMAR LÄN</t>
        </is>
      </c>
      <c r="E337" t="inlineStr">
        <is>
          <t>VIMMERBY</t>
        </is>
      </c>
      <c r="F337" t="inlineStr">
        <is>
          <t>Sveaskog</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19865-2021</t>
        </is>
      </c>
      <c r="B338" s="1" t="n">
        <v>44312</v>
      </c>
      <c r="C338" s="1" t="n">
        <v>46036</v>
      </c>
      <c r="D338" t="inlineStr">
        <is>
          <t>KALMAR LÄN</t>
        </is>
      </c>
      <c r="E338" t="inlineStr">
        <is>
          <t>VIMMERBY</t>
        </is>
      </c>
      <c r="G338" t="n">
        <v>8.6</v>
      </c>
      <c r="H338" t="n">
        <v>0</v>
      </c>
      <c r="I338" t="n">
        <v>0</v>
      </c>
      <c r="J338" t="n">
        <v>0</v>
      </c>
      <c r="K338" t="n">
        <v>0</v>
      </c>
      <c r="L338" t="n">
        <v>0</v>
      </c>
      <c r="M338" t="n">
        <v>0</v>
      </c>
      <c r="N338" t="n">
        <v>0</v>
      </c>
      <c r="O338" t="n">
        <v>0</v>
      </c>
      <c r="P338" t="n">
        <v>0</v>
      </c>
      <c r="Q338" t="n">
        <v>0</v>
      </c>
      <c r="R338" s="2" t="inlineStr"/>
    </row>
    <row r="339" ht="15" customHeight="1">
      <c r="A339" t="inlineStr">
        <is>
          <t>A 30850-2025</t>
        </is>
      </c>
      <c r="B339" s="1" t="n">
        <v>45831</v>
      </c>
      <c r="C339" s="1" t="n">
        <v>46036</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12630-2023</t>
        </is>
      </c>
      <c r="B340" s="1" t="n">
        <v>45000.47998842593</v>
      </c>
      <c r="C340" s="1" t="n">
        <v>46036</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40925-2025</t>
        </is>
      </c>
      <c r="B341" s="1" t="n">
        <v>45897.64208333333</v>
      </c>
      <c r="C341" s="1" t="n">
        <v>46036</v>
      </c>
      <c r="D341" t="inlineStr">
        <is>
          <t>KALMAR LÄN</t>
        </is>
      </c>
      <c r="E341" t="inlineStr">
        <is>
          <t>VIMMERBY</t>
        </is>
      </c>
      <c r="G341" t="n">
        <v>1.9</v>
      </c>
      <c r="H341" t="n">
        <v>0</v>
      </c>
      <c r="I341" t="n">
        <v>0</v>
      </c>
      <c r="J341" t="n">
        <v>0</v>
      </c>
      <c r="K341" t="n">
        <v>0</v>
      </c>
      <c r="L341" t="n">
        <v>0</v>
      </c>
      <c r="M341" t="n">
        <v>0</v>
      </c>
      <c r="N341" t="n">
        <v>0</v>
      </c>
      <c r="O341" t="n">
        <v>0</v>
      </c>
      <c r="P341" t="n">
        <v>0</v>
      </c>
      <c r="Q341" t="n">
        <v>0</v>
      </c>
      <c r="R341" s="2" t="inlineStr"/>
    </row>
    <row r="342" ht="15" customHeight="1">
      <c r="A342" t="inlineStr">
        <is>
          <t>A 31552-2025</t>
        </is>
      </c>
      <c r="B342" s="1" t="n">
        <v>45833.64563657407</v>
      </c>
      <c r="C342" s="1" t="n">
        <v>46036</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31555-2025</t>
        </is>
      </c>
      <c r="B343" s="1" t="n">
        <v>45833.64814814815</v>
      </c>
      <c r="C343" s="1" t="n">
        <v>46036</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40921-2025</t>
        </is>
      </c>
      <c r="B344" s="1" t="n">
        <v>45897.63520833333</v>
      </c>
      <c r="C344" s="1" t="n">
        <v>46036</v>
      </c>
      <c r="D344" t="inlineStr">
        <is>
          <t>KALMAR LÄN</t>
        </is>
      </c>
      <c r="E344" t="inlineStr">
        <is>
          <t>VIMMERBY</t>
        </is>
      </c>
      <c r="G344" t="n">
        <v>4.2</v>
      </c>
      <c r="H344" t="n">
        <v>0</v>
      </c>
      <c r="I344" t="n">
        <v>0</v>
      </c>
      <c r="J344" t="n">
        <v>0</v>
      </c>
      <c r="K344" t="n">
        <v>0</v>
      </c>
      <c r="L344" t="n">
        <v>0</v>
      </c>
      <c r="M344" t="n">
        <v>0</v>
      </c>
      <c r="N344" t="n">
        <v>0</v>
      </c>
      <c r="O344" t="n">
        <v>0</v>
      </c>
      <c r="P344" t="n">
        <v>0</v>
      </c>
      <c r="Q344" t="n">
        <v>0</v>
      </c>
      <c r="R344" s="2" t="inlineStr"/>
    </row>
    <row r="345" ht="15" customHeight="1">
      <c r="A345" t="inlineStr">
        <is>
          <t>A 30971-2025</t>
        </is>
      </c>
      <c r="B345" s="1" t="n">
        <v>45832.46146990741</v>
      </c>
      <c r="C345" s="1" t="n">
        <v>46036</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21109-2024</t>
        </is>
      </c>
      <c r="B346" s="1" t="n">
        <v>45440.28329861111</v>
      </c>
      <c r="C346" s="1" t="n">
        <v>46036</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31551-2025</t>
        </is>
      </c>
      <c r="B347" s="1" t="n">
        <v>45833.64237268519</v>
      </c>
      <c r="C347" s="1" t="n">
        <v>46036</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30634-2024</t>
        </is>
      </c>
      <c r="B348" s="1" t="n">
        <v>45495</v>
      </c>
      <c r="C348" s="1" t="n">
        <v>46036</v>
      </c>
      <c r="D348" t="inlineStr">
        <is>
          <t>KALMAR LÄN</t>
        </is>
      </c>
      <c r="E348" t="inlineStr">
        <is>
          <t>VIMMERBY</t>
        </is>
      </c>
      <c r="G348" t="n">
        <v>1.2</v>
      </c>
      <c r="H348" t="n">
        <v>0</v>
      </c>
      <c r="I348" t="n">
        <v>0</v>
      </c>
      <c r="J348" t="n">
        <v>0</v>
      </c>
      <c r="K348" t="n">
        <v>0</v>
      </c>
      <c r="L348" t="n">
        <v>0</v>
      </c>
      <c r="M348" t="n">
        <v>0</v>
      </c>
      <c r="N348" t="n">
        <v>0</v>
      </c>
      <c r="O348" t="n">
        <v>0</v>
      </c>
      <c r="P348" t="n">
        <v>0</v>
      </c>
      <c r="Q348" t="n">
        <v>0</v>
      </c>
      <c r="R348" s="2" t="inlineStr"/>
    </row>
    <row r="349" ht="15" customHeight="1">
      <c r="A349" t="inlineStr">
        <is>
          <t>A 40260-2024</t>
        </is>
      </c>
      <c r="B349" s="1" t="n">
        <v>45554.63225694445</v>
      </c>
      <c r="C349" s="1" t="n">
        <v>46036</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30882-2025</t>
        </is>
      </c>
      <c r="B350" s="1" t="n">
        <v>45832.34540509259</v>
      </c>
      <c r="C350" s="1" t="n">
        <v>46036</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59943-2023</t>
        </is>
      </c>
      <c r="B351" s="1" t="n">
        <v>45257.67958333333</v>
      </c>
      <c r="C351" s="1" t="n">
        <v>46036</v>
      </c>
      <c r="D351" t="inlineStr">
        <is>
          <t>KALMAR LÄN</t>
        </is>
      </c>
      <c r="E351" t="inlineStr">
        <is>
          <t>VIMMERBY</t>
        </is>
      </c>
      <c r="G351" t="n">
        <v>6.4</v>
      </c>
      <c r="H351" t="n">
        <v>0</v>
      </c>
      <c r="I351" t="n">
        <v>0</v>
      </c>
      <c r="J351" t="n">
        <v>0</v>
      </c>
      <c r="K351" t="n">
        <v>0</v>
      </c>
      <c r="L351" t="n">
        <v>0</v>
      </c>
      <c r="M351" t="n">
        <v>0</v>
      </c>
      <c r="N351" t="n">
        <v>0</v>
      </c>
      <c r="O351" t="n">
        <v>0</v>
      </c>
      <c r="P351" t="n">
        <v>0</v>
      </c>
      <c r="Q351" t="n">
        <v>0</v>
      </c>
      <c r="R351" s="2" t="inlineStr"/>
    </row>
    <row r="352" ht="15" customHeight="1">
      <c r="A352" t="inlineStr">
        <is>
          <t>A 41224-2025</t>
        </is>
      </c>
      <c r="B352" s="1" t="n">
        <v>45898.58861111111</v>
      </c>
      <c r="C352" s="1" t="n">
        <v>46036</v>
      </c>
      <c r="D352" t="inlineStr">
        <is>
          <t>KALMAR LÄN</t>
        </is>
      </c>
      <c r="E352" t="inlineStr">
        <is>
          <t>VIMMERBY</t>
        </is>
      </c>
      <c r="G352" t="n">
        <v>4.4</v>
      </c>
      <c r="H352" t="n">
        <v>0</v>
      </c>
      <c r="I352" t="n">
        <v>0</v>
      </c>
      <c r="J352" t="n">
        <v>0</v>
      </c>
      <c r="K352" t="n">
        <v>0</v>
      </c>
      <c r="L352" t="n">
        <v>0</v>
      </c>
      <c r="M352" t="n">
        <v>0</v>
      </c>
      <c r="N352" t="n">
        <v>0</v>
      </c>
      <c r="O352" t="n">
        <v>0</v>
      </c>
      <c r="P352" t="n">
        <v>0</v>
      </c>
      <c r="Q352" t="n">
        <v>0</v>
      </c>
      <c r="R352" s="2" t="inlineStr"/>
    </row>
    <row r="353" ht="15" customHeight="1">
      <c r="A353" t="inlineStr">
        <is>
          <t>A 31872-2025</t>
        </is>
      </c>
      <c r="B353" s="1" t="n">
        <v>45834.65040509259</v>
      </c>
      <c r="C353" s="1" t="n">
        <v>46036</v>
      </c>
      <c r="D353" t="inlineStr">
        <is>
          <t>KALMAR LÄN</t>
        </is>
      </c>
      <c r="E353" t="inlineStr">
        <is>
          <t>VIMMERBY</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8559-2025</t>
        </is>
      </c>
      <c r="B354" s="1" t="n">
        <v>45709.62280092593</v>
      </c>
      <c r="C354" s="1" t="n">
        <v>46036</v>
      </c>
      <c r="D354" t="inlineStr">
        <is>
          <t>KALMAR LÄN</t>
        </is>
      </c>
      <c r="E354" t="inlineStr">
        <is>
          <t>VIMMERBY</t>
        </is>
      </c>
      <c r="G354" t="n">
        <v>8.9</v>
      </c>
      <c r="H354" t="n">
        <v>0</v>
      </c>
      <c r="I354" t="n">
        <v>0</v>
      </c>
      <c r="J354" t="n">
        <v>0</v>
      </c>
      <c r="K354" t="n">
        <v>0</v>
      </c>
      <c r="L354" t="n">
        <v>0</v>
      </c>
      <c r="M354" t="n">
        <v>0</v>
      </c>
      <c r="N354" t="n">
        <v>0</v>
      </c>
      <c r="O354" t="n">
        <v>0</v>
      </c>
      <c r="P354" t="n">
        <v>0</v>
      </c>
      <c r="Q354" t="n">
        <v>0</v>
      </c>
      <c r="R354" s="2" t="inlineStr"/>
    </row>
    <row r="355" ht="15" customHeight="1">
      <c r="A355" t="inlineStr">
        <is>
          <t>A 41591-2025</t>
        </is>
      </c>
      <c r="B355" s="1" t="n">
        <v>45901.6327662037</v>
      </c>
      <c r="C355" s="1" t="n">
        <v>46036</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40971-2025</t>
        </is>
      </c>
      <c r="B356" s="1" t="n">
        <v>45897.88836805556</v>
      </c>
      <c r="C356" s="1" t="n">
        <v>46036</v>
      </c>
      <c r="D356" t="inlineStr">
        <is>
          <t>KALMAR LÄN</t>
        </is>
      </c>
      <c r="E356" t="inlineStr">
        <is>
          <t>VIMMERBY</t>
        </is>
      </c>
      <c r="G356" t="n">
        <v>1.5</v>
      </c>
      <c r="H356" t="n">
        <v>0</v>
      </c>
      <c r="I356" t="n">
        <v>0</v>
      </c>
      <c r="J356" t="n">
        <v>0</v>
      </c>
      <c r="K356" t="n">
        <v>0</v>
      </c>
      <c r="L356" t="n">
        <v>0</v>
      </c>
      <c r="M356" t="n">
        <v>0</v>
      </c>
      <c r="N356" t="n">
        <v>0</v>
      </c>
      <c r="O356" t="n">
        <v>0</v>
      </c>
      <c r="P356" t="n">
        <v>0</v>
      </c>
      <c r="Q356" t="n">
        <v>0</v>
      </c>
      <c r="R356" s="2" t="inlineStr"/>
    </row>
    <row r="357" ht="15" customHeight="1">
      <c r="A357" t="inlineStr">
        <is>
          <t>A 5527-2022</t>
        </is>
      </c>
      <c r="B357" s="1" t="n">
        <v>44595.583125</v>
      </c>
      <c r="C357" s="1" t="n">
        <v>46036</v>
      </c>
      <c r="D357" t="inlineStr">
        <is>
          <t>KALMAR LÄN</t>
        </is>
      </c>
      <c r="E357" t="inlineStr">
        <is>
          <t>VIMMERBY</t>
        </is>
      </c>
      <c r="G357" t="n">
        <v>3.6</v>
      </c>
      <c r="H357" t="n">
        <v>0</v>
      </c>
      <c r="I357" t="n">
        <v>0</v>
      </c>
      <c r="J357" t="n">
        <v>0</v>
      </c>
      <c r="K357" t="n">
        <v>0</v>
      </c>
      <c r="L357" t="n">
        <v>0</v>
      </c>
      <c r="M357" t="n">
        <v>0</v>
      </c>
      <c r="N357" t="n">
        <v>0</v>
      </c>
      <c r="O357" t="n">
        <v>0</v>
      </c>
      <c r="P357" t="n">
        <v>0</v>
      </c>
      <c r="Q357" t="n">
        <v>0</v>
      </c>
      <c r="R357" s="2" t="inlineStr"/>
    </row>
    <row r="358" ht="15" customHeight="1">
      <c r="A358" t="inlineStr">
        <is>
          <t>A 32064-2025</t>
        </is>
      </c>
      <c r="B358" s="1" t="n">
        <v>45835.44709490741</v>
      </c>
      <c r="C358" s="1" t="n">
        <v>46036</v>
      </c>
      <c r="D358" t="inlineStr">
        <is>
          <t>KALMAR LÄN</t>
        </is>
      </c>
      <c r="E358" t="inlineStr">
        <is>
          <t>VIMMERBY</t>
        </is>
      </c>
      <c r="G358" t="n">
        <v>2.6</v>
      </c>
      <c r="H358" t="n">
        <v>0</v>
      </c>
      <c r="I358" t="n">
        <v>0</v>
      </c>
      <c r="J358" t="n">
        <v>0</v>
      </c>
      <c r="K358" t="n">
        <v>0</v>
      </c>
      <c r="L358" t="n">
        <v>0</v>
      </c>
      <c r="M358" t="n">
        <v>0</v>
      </c>
      <c r="N358" t="n">
        <v>0</v>
      </c>
      <c r="O358" t="n">
        <v>0</v>
      </c>
      <c r="P358" t="n">
        <v>0</v>
      </c>
      <c r="Q358" t="n">
        <v>0</v>
      </c>
      <c r="R358" s="2" t="inlineStr"/>
    </row>
    <row r="359" ht="15" customHeight="1">
      <c r="A359" t="inlineStr">
        <is>
          <t>A 41589-2025</t>
        </is>
      </c>
      <c r="B359" s="1" t="n">
        <v>45901.63219907408</v>
      </c>
      <c r="C359" s="1" t="n">
        <v>46036</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32109-2025</t>
        </is>
      </c>
      <c r="B360" s="1" t="n">
        <v>45835.48267361111</v>
      </c>
      <c r="C360" s="1" t="n">
        <v>46036</v>
      </c>
      <c r="D360" t="inlineStr">
        <is>
          <t>KALMAR LÄN</t>
        </is>
      </c>
      <c r="E360" t="inlineStr">
        <is>
          <t>VIMMERBY</t>
        </is>
      </c>
      <c r="G360" t="n">
        <v>2.5</v>
      </c>
      <c r="H360" t="n">
        <v>0</v>
      </c>
      <c r="I360" t="n">
        <v>0</v>
      </c>
      <c r="J360" t="n">
        <v>0</v>
      </c>
      <c r="K360" t="n">
        <v>0</v>
      </c>
      <c r="L360" t="n">
        <v>0</v>
      </c>
      <c r="M360" t="n">
        <v>0</v>
      </c>
      <c r="N360" t="n">
        <v>0</v>
      </c>
      <c r="O360" t="n">
        <v>0</v>
      </c>
      <c r="P360" t="n">
        <v>0</v>
      </c>
      <c r="Q360" t="n">
        <v>0</v>
      </c>
      <c r="R360" s="2" t="inlineStr"/>
    </row>
    <row r="361" ht="15" customHeight="1">
      <c r="A361" t="inlineStr">
        <is>
          <t>A 32113-2025</t>
        </is>
      </c>
      <c r="B361" s="1" t="n">
        <v>45835.48445601852</v>
      </c>
      <c r="C361" s="1" t="n">
        <v>46036</v>
      </c>
      <c r="D361" t="inlineStr">
        <is>
          <t>KALMAR LÄN</t>
        </is>
      </c>
      <c r="E361" t="inlineStr">
        <is>
          <t>VIMMERBY</t>
        </is>
      </c>
      <c r="G361" t="n">
        <v>3.5</v>
      </c>
      <c r="H361" t="n">
        <v>0</v>
      </c>
      <c r="I361" t="n">
        <v>0</v>
      </c>
      <c r="J361" t="n">
        <v>0</v>
      </c>
      <c r="K361" t="n">
        <v>0</v>
      </c>
      <c r="L361" t="n">
        <v>0</v>
      </c>
      <c r="M361" t="n">
        <v>0</v>
      </c>
      <c r="N361" t="n">
        <v>0</v>
      </c>
      <c r="O361" t="n">
        <v>0</v>
      </c>
      <c r="P361" t="n">
        <v>0</v>
      </c>
      <c r="Q361" t="n">
        <v>0</v>
      </c>
      <c r="R361" s="2" t="inlineStr"/>
    </row>
    <row r="362" ht="15" customHeight="1">
      <c r="A362" t="inlineStr">
        <is>
          <t>A 32116-2025</t>
        </is>
      </c>
      <c r="B362" s="1" t="n">
        <v>45835.48862268519</v>
      </c>
      <c r="C362" s="1" t="n">
        <v>46036</v>
      </c>
      <c r="D362" t="inlineStr">
        <is>
          <t>KALMAR LÄN</t>
        </is>
      </c>
      <c r="E362" t="inlineStr">
        <is>
          <t>VIMMERBY</t>
        </is>
      </c>
      <c r="G362" t="n">
        <v>0.9</v>
      </c>
      <c r="H362" t="n">
        <v>0</v>
      </c>
      <c r="I362" t="n">
        <v>0</v>
      </c>
      <c r="J362" t="n">
        <v>0</v>
      </c>
      <c r="K362" t="n">
        <v>0</v>
      </c>
      <c r="L362" t="n">
        <v>0</v>
      </c>
      <c r="M362" t="n">
        <v>0</v>
      </c>
      <c r="N362" t="n">
        <v>0</v>
      </c>
      <c r="O362" t="n">
        <v>0</v>
      </c>
      <c r="P362" t="n">
        <v>0</v>
      </c>
      <c r="Q362" t="n">
        <v>0</v>
      </c>
      <c r="R362" s="2" t="inlineStr"/>
    </row>
    <row r="363" ht="15" customHeight="1">
      <c r="A363" t="inlineStr">
        <is>
          <t>A 12325-2023</t>
        </is>
      </c>
      <c r="B363" s="1" t="n">
        <v>44999.35858796296</v>
      </c>
      <c r="C363" s="1" t="n">
        <v>46036</v>
      </c>
      <c r="D363" t="inlineStr">
        <is>
          <t>KALMAR LÄN</t>
        </is>
      </c>
      <c r="E363" t="inlineStr">
        <is>
          <t>VIMMERBY</t>
        </is>
      </c>
      <c r="G363" t="n">
        <v>3.4</v>
      </c>
      <c r="H363" t="n">
        <v>0</v>
      </c>
      <c r="I363" t="n">
        <v>0</v>
      </c>
      <c r="J363" t="n">
        <v>0</v>
      </c>
      <c r="K363" t="n">
        <v>0</v>
      </c>
      <c r="L363" t="n">
        <v>0</v>
      </c>
      <c r="M363" t="n">
        <v>0</v>
      </c>
      <c r="N363" t="n">
        <v>0</v>
      </c>
      <c r="O363" t="n">
        <v>0</v>
      </c>
      <c r="P363" t="n">
        <v>0</v>
      </c>
      <c r="Q363" t="n">
        <v>0</v>
      </c>
      <c r="R363" s="2" t="inlineStr"/>
    </row>
    <row r="364" ht="15" customHeight="1">
      <c r="A364" t="inlineStr">
        <is>
          <t>A 31870-2025</t>
        </is>
      </c>
      <c r="B364" s="1" t="n">
        <v>45834.64667824074</v>
      </c>
      <c r="C364" s="1" t="n">
        <v>46036</v>
      </c>
      <c r="D364" t="inlineStr">
        <is>
          <t>KALMAR LÄN</t>
        </is>
      </c>
      <c r="E364" t="inlineStr">
        <is>
          <t>VIMMERBY</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40970-2025</t>
        </is>
      </c>
      <c r="B365" s="1" t="n">
        <v>45897.88706018519</v>
      </c>
      <c r="C365" s="1" t="n">
        <v>46036</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40973-2025</t>
        </is>
      </c>
      <c r="B366" s="1" t="n">
        <v>45897.89737268518</v>
      </c>
      <c r="C366" s="1" t="n">
        <v>46036</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32065-2025</t>
        </is>
      </c>
      <c r="B367" s="1" t="n">
        <v>45835.44732638889</v>
      </c>
      <c r="C367" s="1" t="n">
        <v>46036</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1016-2024</t>
        </is>
      </c>
      <c r="B368" s="1" t="n">
        <v>45301</v>
      </c>
      <c r="C368" s="1" t="n">
        <v>46036</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31987-2025</t>
        </is>
      </c>
      <c r="B369" s="1" t="n">
        <v>45835.36229166666</v>
      </c>
      <c r="C369" s="1" t="n">
        <v>46036</v>
      </c>
      <c r="D369" t="inlineStr">
        <is>
          <t>KALMAR LÄN</t>
        </is>
      </c>
      <c r="E369" t="inlineStr">
        <is>
          <t>VIMMERBY</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32077-2025</t>
        </is>
      </c>
      <c r="B370" s="1" t="n">
        <v>45835.45099537037</v>
      </c>
      <c r="C370" s="1" t="n">
        <v>46036</v>
      </c>
      <c r="D370" t="inlineStr">
        <is>
          <t>KALMAR LÄN</t>
        </is>
      </c>
      <c r="E370" t="inlineStr">
        <is>
          <t>VIMMERBY</t>
        </is>
      </c>
      <c r="G370" t="n">
        <v>1.8</v>
      </c>
      <c r="H370" t="n">
        <v>0</v>
      </c>
      <c r="I370" t="n">
        <v>0</v>
      </c>
      <c r="J370" t="n">
        <v>0</v>
      </c>
      <c r="K370" t="n">
        <v>0</v>
      </c>
      <c r="L370" t="n">
        <v>0</v>
      </c>
      <c r="M370" t="n">
        <v>0</v>
      </c>
      <c r="N370" t="n">
        <v>0</v>
      </c>
      <c r="O370" t="n">
        <v>0</v>
      </c>
      <c r="P370" t="n">
        <v>0</v>
      </c>
      <c r="Q370" t="n">
        <v>0</v>
      </c>
      <c r="R370" s="2" t="inlineStr"/>
    </row>
    <row r="371" ht="15" customHeight="1">
      <c r="A371" t="inlineStr">
        <is>
          <t>A 32120-2025</t>
        </is>
      </c>
      <c r="B371" s="1" t="n">
        <v>45835.4924537037</v>
      </c>
      <c r="C371" s="1" t="n">
        <v>46036</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31876-2025</t>
        </is>
      </c>
      <c r="B372" s="1" t="n">
        <v>45834.65197916667</v>
      </c>
      <c r="C372" s="1" t="n">
        <v>46036</v>
      </c>
      <c r="D372" t="inlineStr">
        <is>
          <t>KALMAR LÄN</t>
        </is>
      </c>
      <c r="E372" t="inlineStr">
        <is>
          <t>VIMMERBY</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34090-2025</t>
        </is>
      </c>
      <c r="B373" s="1" t="n">
        <v>45845</v>
      </c>
      <c r="C373" s="1" t="n">
        <v>46036</v>
      </c>
      <c r="D373" t="inlineStr">
        <is>
          <t>KALMAR LÄN</t>
        </is>
      </c>
      <c r="E373" t="inlineStr">
        <is>
          <t>VIMMERBY</t>
        </is>
      </c>
      <c r="G373" t="n">
        <v>2.8</v>
      </c>
      <c r="H373" t="n">
        <v>0</v>
      </c>
      <c r="I373" t="n">
        <v>0</v>
      </c>
      <c r="J373" t="n">
        <v>0</v>
      </c>
      <c r="K373" t="n">
        <v>0</v>
      </c>
      <c r="L373" t="n">
        <v>0</v>
      </c>
      <c r="M373" t="n">
        <v>0</v>
      </c>
      <c r="N373" t="n">
        <v>0</v>
      </c>
      <c r="O373" t="n">
        <v>0</v>
      </c>
      <c r="P373" t="n">
        <v>0</v>
      </c>
      <c r="Q373" t="n">
        <v>0</v>
      </c>
      <c r="R373" s="2" t="inlineStr"/>
    </row>
    <row r="374" ht="15" customHeight="1">
      <c r="A374" t="inlineStr">
        <is>
          <t>A 33681-2022</t>
        </is>
      </c>
      <c r="B374" s="1" t="n">
        <v>44789</v>
      </c>
      <c r="C374" s="1" t="n">
        <v>46036</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41735-2025</t>
        </is>
      </c>
      <c r="B375" s="1" t="n">
        <v>45902.47164351852</v>
      </c>
      <c r="C375" s="1" t="n">
        <v>46036</v>
      </c>
      <c r="D375" t="inlineStr">
        <is>
          <t>KALMAR LÄN</t>
        </is>
      </c>
      <c r="E375" t="inlineStr">
        <is>
          <t>VIMMERBY</t>
        </is>
      </c>
      <c r="G375" t="n">
        <v>3</v>
      </c>
      <c r="H375" t="n">
        <v>0</v>
      </c>
      <c r="I375" t="n">
        <v>0</v>
      </c>
      <c r="J375" t="n">
        <v>0</v>
      </c>
      <c r="K375" t="n">
        <v>0</v>
      </c>
      <c r="L375" t="n">
        <v>0</v>
      </c>
      <c r="M375" t="n">
        <v>0</v>
      </c>
      <c r="N375" t="n">
        <v>0</v>
      </c>
      <c r="O375" t="n">
        <v>0</v>
      </c>
      <c r="P375" t="n">
        <v>0</v>
      </c>
      <c r="Q375" t="n">
        <v>0</v>
      </c>
      <c r="R375" s="2" t="inlineStr"/>
    </row>
    <row r="376" ht="15" customHeight="1">
      <c r="A376" t="inlineStr">
        <is>
          <t>A 5074-2023</t>
        </is>
      </c>
      <c r="B376" s="1" t="n">
        <v>44958.61047453704</v>
      </c>
      <c r="C376" s="1" t="n">
        <v>46036</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51187-2023</t>
        </is>
      </c>
      <c r="B377" s="1" t="n">
        <v>45219.40528935185</v>
      </c>
      <c r="C377" s="1" t="n">
        <v>46036</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32380-2025</t>
        </is>
      </c>
      <c r="B378" s="1" t="n">
        <v>45837.77701388889</v>
      </c>
      <c r="C378" s="1" t="n">
        <v>46036</v>
      </c>
      <c r="D378" t="inlineStr">
        <is>
          <t>KALMAR LÄN</t>
        </is>
      </c>
      <c r="E378" t="inlineStr">
        <is>
          <t>VIMMERBY</t>
        </is>
      </c>
      <c r="G378" t="n">
        <v>3.1</v>
      </c>
      <c r="H378" t="n">
        <v>0</v>
      </c>
      <c r="I378" t="n">
        <v>0</v>
      </c>
      <c r="J378" t="n">
        <v>0</v>
      </c>
      <c r="K378" t="n">
        <v>0</v>
      </c>
      <c r="L378" t="n">
        <v>0</v>
      </c>
      <c r="M378" t="n">
        <v>0</v>
      </c>
      <c r="N378" t="n">
        <v>0</v>
      </c>
      <c r="O378" t="n">
        <v>0</v>
      </c>
      <c r="P378" t="n">
        <v>0</v>
      </c>
      <c r="Q378" t="n">
        <v>0</v>
      </c>
      <c r="R378" s="2" t="inlineStr"/>
    </row>
    <row r="379" ht="15" customHeight="1">
      <c r="A379" t="inlineStr">
        <is>
          <t>A 33186-2025</t>
        </is>
      </c>
      <c r="B379" s="1" t="n">
        <v>45840.59474537037</v>
      </c>
      <c r="C379" s="1" t="n">
        <v>46036</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33695-2025</t>
        </is>
      </c>
      <c r="B380" s="1" t="n">
        <v>45841.70569444444</v>
      </c>
      <c r="C380" s="1" t="n">
        <v>46036</v>
      </c>
      <c r="D380" t="inlineStr">
        <is>
          <t>KALMAR LÄN</t>
        </is>
      </c>
      <c r="E380" t="inlineStr">
        <is>
          <t>VIMMERBY</t>
        </is>
      </c>
      <c r="G380" t="n">
        <v>2.7</v>
      </c>
      <c r="H380" t="n">
        <v>0</v>
      </c>
      <c r="I380" t="n">
        <v>0</v>
      </c>
      <c r="J380" t="n">
        <v>0</v>
      </c>
      <c r="K380" t="n">
        <v>0</v>
      </c>
      <c r="L380" t="n">
        <v>0</v>
      </c>
      <c r="M380" t="n">
        <v>0</v>
      </c>
      <c r="N380" t="n">
        <v>0</v>
      </c>
      <c r="O380" t="n">
        <v>0</v>
      </c>
      <c r="P380" t="n">
        <v>0</v>
      </c>
      <c r="Q380" t="n">
        <v>0</v>
      </c>
      <c r="R380" s="2" t="inlineStr"/>
    </row>
    <row r="381" ht="15" customHeight="1">
      <c r="A381" t="inlineStr">
        <is>
          <t>A 33698-2025</t>
        </is>
      </c>
      <c r="B381" s="1" t="n">
        <v>45841.70868055556</v>
      </c>
      <c r="C381" s="1" t="n">
        <v>46036</v>
      </c>
      <c r="D381" t="inlineStr">
        <is>
          <t>KALMAR LÄN</t>
        </is>
      </c>
      <c r="E381" t="inlineStr">
        <is>
          <t>VIMMERBY</t>
        </is>
      </c>
      <c r="G381" t="n">
        <v>3.7</v>
      </c>
      <c r="H381" t="n">
        <v>0</v>
      </c>
      <c r="I381" t="n">
        <v>0</v>
      </c>
      <c r="J381" t="n">
        <v>0</v>
      </c>
      <c r="K381" t="n">
        <v>0</v>
      </c>
      <c r="L381" t="n">
        <v>0</v>
      </c>
      <c r="M381" t="n">
        <v>0</v>
      </c>
      <c r="N381" t="n">
        <v>0</v>
      </c>
      <c r="O381" t="n">
        <v>0</v>
      </c>
      <c r="P381" t="n">
        <v>0</v>
      </c>
      <c r="Q381" t="n">
        <v>0</v>
      </c>
      <c r="R381" s="2" t="inlineStr"/>
    </row>
    <row r="382" ht="15" customHeight="1">
      <c r="A382" t="inlineStr">
        <is>
          <t>A 15715-2022</t>
        </is>
      </c>
      <c r="B382" s="1" t="n">
        <v>44663</v>
      </c>
      <c r="C382" s="1" t="n">
        <v>46036</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30977-2025</t>
        </is>
      </c>
      <c r="B383" s="1" t="n">
        <v>45832.46649305556</v>
      </c>
      <c r="C383" s="1" t="n">
        <v>46036</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43093-2024</t>
        </is>
      </c>
      <c r="B384" s="1" t="n">
        <v>45567</v>
      </c>
      <c r="C384" s="1" t="n">
        <v>46036</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56022-2024</t>
        </is>
      </c>
      <c r="B385" s="1" t="n">
        <v>45623.95947916667</v>
      </c>
      <c r="C385" s="1" t="n">
        <v>46036</v>
      </c>
      <c r="D385" t="inlineStr">
        <is>
          <t>KALMAR LÄN</t>
        </is>
      </c>
      <c r="E385" t="inlineStr">
        <is>
          <t>VIMMERBY</t>
        </is>
      </c>
      <c r="G385" t="n">
        <v>0.3</v>
      </c>
      <c r="H385" t="n">
        <v>0</v>
      </c>
      <c r="I385" t="n">
        <v>0</v>
      </c>
      <c r="J385" t="n">
        <v>0</v>
      </c>
      <c r="K385" t="n">
        <v>0</v>
      </c>
      <c r="L385" t="n">
        <v>0</v>
      </c>
      <c r="M385" t="n">
        <v>0</v>
      </c>
      <c r="N385" t="n">
        <v>0</v>
      </c>
      <c r="O385" t="n">
        <v>0</v>
      </c>
      <c r="P385" t="n">
        <v>0</v>
      </c>
      <c r="Q385" t="n">
        <v>0</v>
      </c>
      <c r="R385" s="2" t="inlineStr"/>
    </row>
    <row r="386" ht="15" customHeight="1">
      <c r="A386" t="inlineStr">
        <is>
          <t>A 33696-2025</t>
        </is>
      </c>
      <c r="B386" s="1" t="n">
        <v>45841.7072337963</v>
      </c>
      <c r="C386" s="1" t="n">
        <v>46036</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18330-2023</t>
        </is>
      </c>
      <c r="B387" s="1" t="n">
        <v>45041</v>
      </c>
      <c r="C387" s="1" t="n">
        <v>46036</v>
      </c>
      <c r="D387" t="inlineStr">
        <is>
          <t>KALMAR LÄN</t>
        </is>
      </c>
      <c r="E387" t="inlineStr">
        <is>
          <t>VIMMERBY</t>
        </is>
      </c>
      <c r="G387" t="n">
        <v>1.7</v>
      </c>
      <c r="H387" t="n">
        <v>0</v>
      </c>
      <c r="I387" t="n">
        <v>0</v>
      </c>
      <c r="J387" t="n">
        <v>0</v>
      </c>
      <c r="K387" t="n">
        <v>0</v>
      </c>
      <c r="L387" t="n">
        <v>0</v>
      </c>
      <c r="M387" t="n">
        <v>0</v>
      </c>
      <c r="N387" t="n">
        <v>0</v>
      </c>
      <c r="O387" t="n">
        <v>0</v>
      </c>
      <c r="P387" t="n">
        <v>0</v>
      </c>
      <c r="Q387" t="n">
        <v>0</v>
      </c>
      <c r="R387" s="2" t="inlineStr"/>
    </row>
    <row r="388" ht="15" customHeight="1">
      <c r="A388" t="inlineStr">
        <is>
          <t>A 26956-2025</t>
        </is>
      </c>
      <c r="B388" s="1" t="n">
        <v>45811.45460648148</v>
      </c>
      <c r="C388" s="1" t="n">
        <v>46036</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20126-2024</t>
        </is>
      </c>
      <c r="B389" s="1" t="n">
        <v>45434.55471064815</v>
      </c>
      <c r="C389" s="1" t="n">
        <v>46036</v>
      </c>
      <c r="D389" t="inlineStr">
        <is>
          <t>KALMAR LÄN</t>
        </is>
      </c>
      <c r="E389" t="inlineStr">
        <is>
          <t>VIMMERBY</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20136-2024</t>
        </is>
      </c>
      <c r="B390" s="1" t="n">
        <v>45434.56291666667</v>
      </c>
      <c r="C390" s="1" t="n">
        <v>46036</v>
      </c>
      <c r="D390" t="inlineStr">
        <is>
          <t>KALMAR LÄN</t>
        </is>
      </c>
      <c r="E390" t="inlineStr">
        <is>
          <t>VIMMERBY</t>
        </is>
      </c>
      <c r="F390" t="inlineStr">
        <is>
          <t>Sveaskog</t>
        </is>
      </c>
      <c r="G390" t="n">
        <v>8.4</v>
      </c>
      <c r="H390" t="n">
        <v>0</v>
      </c>
      <c r="I390" t="n">
        <v>0</v>
      </c>
      <c r="J390" t="n">
        <v>0</v>
      </c>
      <c r="K390" t="n">
        <v>0</v>
      </c>
      <c r="L390" t="n">
        <v>0</v>
      </c>
      <c r="M390" t="n">
        <v>0</v>
      </c>
      <c r="N390" t="n">
        <v>0</v>
      </c>
      <c r="O390" t="n">
        <v>0</v>
      </c>
      <c r="P390" t="n">
        <v>0</v>
      </c>
      <c r="Q390" t="n">
        <v>0</v>
      </c>
      <c r="R390" s="2" t="inlineStr"/>
    </row>
    <row r="391" ht="15" customHeight="1">
      <c r="A391" t="inlineStr">
        <is>
          <t>A 42828-2025</t>
        </is>
      </c>
      <c r="B391" s="1" t="n">
        <v>45908.57716435185</v>
      </c>
      <c r="C391" s="1" t="n">
        <v>46036</v>
      </c>
      <c r="D391" t="inlineStr">
        <is>
          <t>KALMAR LÄN</t>
        </is>
      </c>
      <c r="E391" t="inlineStr">
        <is>
          <t>VIMMERBY</t>
        </is>
      </c>
      <c r="G391" t="n">
        <v>5.2</v>
      </c>
      <c r="H391" t="n">
        <v>0</v>
      </c>
      <c r="I391" t="n">
        <v>0</v>
      </c>
      <c r="J391" t="n">
        <v>0</v>
      </c>
      <c r="K391" t="n">
        <v>0</v>
      </c>
      <c r="L391" t="n">
        <v>0</v>
      </c>
      <c r="M391" t="n">
        <v>0</v>
      </c>
      <c r="N391" t="n">
        <v>0</v>
      </c>
      <c r="O391" t="n">
        <v>0</v>
      </c>
      <c r="P391" t="n">
        <v>0</v>
      </c>
      <c r="Q391" t="n">
        <v>0</v>
      </c>
      <c r="R391" s="2" t="inlineStr"/>
    </row>
    <row r="392" ht="15" customHeight="1">
      <c r="A392" t="inlineStr">
        <is>
          <t>A 46921-2023</t>
        </is>
      </c>
      <c r="B392" s="1" t="n">
        <v>45201.39996527778</v>
      </c>
      <c r="C392" s="1" t="n">
        <v>46036</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42794-2025</t>
        </is>
      </c>
      <c r="B393" s="1" t="n">
        <v>45908</v>
      </c>
      <c r="C393" s="1" t="n">
        <v>46036</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42820-2025</t>
        </is>
      </c>
      <c r="B394" s="1" t="n">
        <v>45908</v>
      </c>
      <c r="C394" s="1" t="n">
        <v>46036</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34071-2025</t>
        </is>
      </c>
      <c r="B395" s="1" t="n">
        <v>45845.43803240741</v>
      </c>
      <c r="C395" s="1" t="n">
        <v>46036</v>
      </c>
      <c r="D395" t="inlineStr">
        <is>
          <t>KALMAR LÄN</t>
        </is>
      </c>
      <c r="E395" t="inlineStr">
        <is>
          <t>VIMMERBY</t>
        </is>
      </c>
      <c r="G395" t="n">
        <v>6.8</v>
      </c>
      <c r="H395" t="n">
        <v>0</v>
      </c>
      <c r="I395" t="n">
        <v>0</v>
      </c>
      <c r="J395" t="n">
        <v>0</v>
      </c>
      <c r="K395" t="n">
        <v>0</v>
      </c>
      <c r="L395" t="n">
        <v>0</v>
      </c>
      <c r="M395" t="n">
        <v>0</v>
      </c>
      <c r="N395" t="n">
        <v>0</v>
      </c>
      <c r="O395" t="n">
        <v>0</v>
      </c>
      <c r="P395" t="n">
        <v>0</v>
      </c>
      <c r="Q395" t="n">
        <v>0</v>
      </c>
      <c r="R395" s="2" t="inlineStr"/>
    </row>
    <row r="396" ht="15" customHeight="1">
      <c r="A396" t="inlineStr">
        <is>
          <t>A 34106-2025</t>
        </is>
      </c>
      <c r="B396" s="1" t="n">
        <v>45845.49414351852</v>
      </c>
      <c r="C396" s="1" t="n">
        <v>46036</v>
      </c>
      <c r="D396" t="inlineStr">
        <is>
          <t>KALMAR LÄN</t>
        </is>
      </c>
      <c r="E396" t="inlineStr">
        <is>
          <t>VIMMERBY</t>
        </is>
      </c>
      <c r="G396" t="n">
        <v>6</v>
      </c>
      <c r="H396" t="n">
        <v>0</v>
      </c>
      <c r="I396" t="n">
        <v>0</v>
      </c>
      <c r="J396" t="n">
        <v>0</v>
      </c>
      <c r="K396" t="n">
        <v>0</v>
      </c>
      <c r="L396" t="n">
        <v>0</v>
      </c>
      <c r="M396" t="n">
        <v>0</v>
      </c>
      <c r="N396" t="n">
        <v>0</v>
      </c>
      <c r="O396" t="n">
        <v>0</v>
      </c>
      <c r="P396" t="n">
        <v>0</v>
      </c>
      <c r="Q396" t="n">
        <v>0</v>
      </c>
      <c r="R396" s="2" t="inlineStr"/>
    </row>
    <row r="397" ht="15" customHeight="1">
      <c r="A397" t="inlineStr">
        <is>
          <t>A 25236-2023</t>
        </is>
      </c>
      <c r="B397" s="1" t="n">
        <v>45086.63334490741</v>
      </c>
      <c r="C397" s="1" t="n">
        <v>46036</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28702-2025</t>
        </is>
      </c>
      <c r="B398" s="1" t="n">
        <v>45820.03976851852</v>
      </c>
      <c r="C398" s="1" t="n">
        <v>46036</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34060-2025</t>
        </is>
      </c>
      <c r="B399" s="1" t="n">
        <v>45845.42015046296</v>
      </c>
      <c r="C399" s="1" t="n">
        <v>46036</v>
      </c>
      <c r="D399" t="inlineStr">
        <is>
          <t>KALMAR LÄN</t>
        </is>
      </c>
      <c r="E399" t="inlineStr">
        <is>
          <t>VIMMERBY</t>
        </is>
      </c>
      <c r="G399" t="n">
        <v>5.7</v>
      </c>
      <c r="H399" t="n">
        <v>0</v>
      </c>
      <c r="I399" t="n">
        <v>0</v>
      </c>
      <c r="J399" t="n">
        <v>0</v>
      </c>
      <c r="K399" t="n">
        <v>0</v>
      </c>
      <c r="L399" t="n">
        <v>0</v>
      </c>
      <c r="M399" t="n">
        <v>0</v>
      </c>
      <c r="N399" t="n">
        <v>0</v>
      </c>
      <c r="O399" t="n">
        <v>0</v>
      </c>
      <c r="P399" t="n">
        <v>0</v>
      </c>
      <c r="Q399" t="n">
        <v>0</v>
      </c>
      <c r="R399" s="2" t="inlineStr"/>
    </row>
    <row r="400" ht="15" customHeight="1">
      <c r="A400" t="inlineStr">
        <is>
          <t>A 6082-2022</t>
        </is>
      </c>
      <c r="B400" s="1" t="n">
        <v>44599</v>
      </c>
      <c r="C400" s="1" t="n">
        <v>46036</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43465-2025</t>
        </is>
      </c>
      <c r="B401" s="1" t="n">
        <v>45911.47138888889</v>
      </c>
      <c r="C401" s="1" t="n">
        <v>46036</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43617-2025</t>
        </is>
      </c>
      <c r="B402" s="1" t="n">
        <v>45911.67798611111</v>
      </c>
      <c r="C402" s="1" t="n">
        <v>46036</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2801-2023</t>
        </is>
      </c>
      <c r="B403" s="1" t="n">
        <v>44944.73487268519</v>
      </c>
      <c r="C403" s="1" t="n">
        <v>46036</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5146-2024</t>
        </is>
      </c>
      <c r="B404" s="1" t="n">
        <v>45330</v>
      </c>
      <c r="C404" s="1" t="n">
        <v>46036</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5148-2024</t>
        </is>
      </c>
      <c r="B405" s="1" t="n">
        <v>45330</v>
      </c>
      <c r="C405" s="1" t="n">
        <v>46036</v>
      </c>
      <c r="D405" t="inlineStr">
        <is>
          <t>KALMAR LÄN</t>
        </is>
      </c>
      <c r="E405" t="inlineStr">
        <is>
          <t>VIMMERBY</t>
        </is>
      </c>
      <c r="G405" t="n">
        <v>5.6</v>
      </c>
      <c r="H405" t="n">
        <v>0</v>
      </c>
      <c r="I405" t="n">
        <v>0</v>
      </c>
      <c r="J405" t="n">
        <v>0</v>
      </c>
      <c r="K405" t="n">
        <v>0</v>
      </c>
      <c r="L405" t="n">
        <v>0</v>
      </c>
      <c r="M405" t="n">
        <v>0</v>
      </c>
      <c r="N405" t="n">
        <v>0</v>
      </c>
      <c r="O405" t="n">
        <v>0</v>
      </c>
      <c r="P405" t="n">
        <v>0</v>
      </c>
      <c r="Q405" t="n">
        <v>0</v>
      </c>
      <c r="R405" s="2" t="inlineStr"/>
    </row>
    <row r="406" ht="15" customHeight="1">
      <c r="A406" t="inlineStr">
        <is>
          <t>A 34628-2025</t>
        </is>
      </c>
      <c r="B406" s="1" t="n">
        <v>45847.91280092593</v>
      </c>
      <c r="C406" s="1" t="n">
        <v>46036</v>
      </c>
      <c r="D406" t="inlineStr">
        <is>
          <t>KALMAR LÄN</t>
        </is>
      </c>
      <c r="E406" t="inlineStr">
        <is>
          <t>VIMMERBY</t>
        </is>
      </c>
      <c r="G406" t="n">
        <v>4.2</v>
      </c>
      <c r="H406" t="n">
        <v>0</v>
      </c>
      <c r="I406" t="n">
        <v>0</v>
      </c>
      <c r="J406" t="n">
        <v>0</v>
      </c>
      <c r="K406" t="n">
        <v>0</v>
      </c>
      <c r="L406" t="n">
        <v>0</v>
      </c>
      <c r="M406" t="n">
        <v>0</v>
      </c>
      <c r="N406" t="n">
        <v>0</v>
      </c>
      <c r="O406" t="n">
        <v>0</v>
      </c>
      <c r="P406" t="n">
        <v>0</v>
      </c>
      <c r="Q406" t="n">
        <v>0</v>
      </c>
      <c r="R406" s="2" t="inlineStr"/>
    </row>
    <row r="407" ht="15" customHeight="1">
      <c r="A407" t="inlineStr">
        <is>
          <t>A 58278-2023</t>
        </is>
      </c>
      <c r="B407" s="1" t="n">
        <v>45250.5278587963</v>
      </c>
      <c r="C407" s="1" t="n">
        <v>46036</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44095-2025</t>
        </is>
      </c>
      <c r="B408" s="1" t="n">
        <v>45915.56430555556</v>
      </c>
      <c r="C408" s="1" t="n">
        <v>46036</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22266-2023</t>
        </is>
      </c>
      <c r="B409" s="1" t="n">
        <v>45070</v>
      </c>
      <c r="C409" s="1" t="n">
        <v>46036</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52588-2023</t>
        </is>
      </c>
      <c r="B410" s="1" t="n">
        <v>45225.60192129629</v>
      </c>
      <c r="C410" s="1" t="n">
        <v>46036</v>
      </c>
      <c r="D410" t="inlineStr">
        <is>
          <t>KALMAR LÄN</t>
        </is>
      </c>
      <c r="E410" t="inlineStr">
        <is>
          <t>VIMMERBY</t>
        </is>
      </c>
      <c r="G410" t="n">
        <v>2.9</v>
      </c>
      <c r="H410" t="n">
        <v>0</v>
      </c>
      <c r="I410" t="n">
        <v>0</v>
      </c>
      <c r="J410" t="n">
        <v>0</v>
      </c>
      <c r="K410" t="n">
        <v>0</v>
      </c>
      <c r="L410" t="n">
        <v>0</v>
      </c>
      <c r="M410" t="n">
        <v>0</v>
      </c>
      <c r="N410" t="n">
        <v>0</v>
      </c>
      <c r="O410" t="n">
        <v>0</v>
      </c>
      <c r="P410" t="n">
        <v>0</v>
      </c>
      <c r="Q410" t="n">
        <v>0</v>
      </c>
      <c r="R410" s="2" t="inlineStr"/>
    </row>
    <row r="411" ht="15" customHeight="1">
      <c r="A411" t="inlineStr">
        <is>
          <t>A 6802-2025</t>
        </is>
      </c>
      <c r="B411" s="1" t="n">
        <v>45700.68289351852</v>
      </c>
      <c r="C411" s="1" t="n">
        <v>46036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71793-2021</t>
        </is>
      </c>
      <c r="B412" s="1" t="n">
        <v>44539</v>
      </c>
      <c r="C412" s="1" t="n">
        <v>46036</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44091-2025</t>
        </is>
      </c>
      <c r="B413" s="1" t="n">
        <v>45915.55950231481</v>
      </c>
      <c r="C413" s="1" t="n">
        <v>46036</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35270-2025</t>
        </is>
      </c>
      <c r="B414" s="1" t="n">
        <v>45853.87112268519</v>
      </c>
      <c r="C414" s="1" t="n">
        <v>46036</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527-2024</t>
        </is>
      </c>
      <c r="B415" s="1" t="n">
        <v>45299.47513888889</v>
      </c>
      <c r="C415" s="1" t="n">
        <v>46036</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35271-2025</t>
        </is>
      </c>
      <c r="B416" s="1" t="n">
        <v>45853.87599537037</v>
      </c>
      <c r="C416" s="1" t="n">
        <v>46036</v>
      </c>
      <c r="D416" t="inlineStr">
        <is>
          <t>KALMAR LÄN</t>
        </is>
      </c>
      <c r="E416" t="inlineStr">
        <is>
          <t>VIMMERBY</t>
        </is>
      </c>
      <c r="G416" t="n">
        <v>0.4</v>
      </c>
      <c r="H416" t="n">
        <v>0</v>
      </c>
      <c r="I416" t="n">
        <v>0</v>
      </c>
      <c r="J416" t="n">
        <v>0</v>
      </c>
      <c r="K416" t="n">
        <v>0</v>
      </c>
      <c r="L416" t="n">
        <v>0</v>
      </c>
      <c r="M416" t="n">
        <v>0</v>
      </c>
      <c r="N416" t="n">
        <v>0</v>
      </c>
      <c r="O416" t="n">
        <v>0</v>
      </c>
      <c r="P416" t="n">
        <v>0</v>
      </c>
      <c r="Q416" t="n">
        <v>0</v>
      </c>
      <c r="R416" s="2" t="inlineStr"/>
    </row>
    <row r="417" ht="15" customHeight="1">
      <c r="A417" t="inlineStr">
        <is>
          <t>A 35272-2025</t>
        </is>
      </c>
      <c r="B417" s="1" t="n">
        <v>45853.88070601852</v>
      </c>
      <c r="C417" s="1" t="n">
        <v>46036</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16953-2025</t>
        </is>
      </c>
      <c r="B418" s="1" t="n">
        <v>45755.44333333334</v>
      </c>
      <c r="C418" s="1" t="n">
        <v>46036</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35596-2025</t>
        </is>
      </c>
      <c r="B419" s="1" t="n">
        <v>45858.60641203704</v>
      </c>
      <c r="C419" s="1" t="n">
        <v>46036</v>
      </c>
      <c r="D419" t="inlineStr">
        <is>
          <t>KALMAR LÄN</t>
        </is>
      </c>
      <c r="E419" t="inlineStr">
        <is>
          <t>VIMMERBY</t>
        </is>
      </c>
      <c r="G419" t="n">
        <v>2.8</v>
      </c>
      <c r="H419" t="n">
        <v>0</v>
      </c>
      <c r="I419" t="n">
        <v>0</v>
      </c>
      <c r="J419" t="n">
        <v>0</v>
      </c>
      <c r="K419" t="n">
        <v>0</v>
      </c>
      <c r="L419" t="n">
        <v>0</v>
      </c>
      <c r="M419" t="n">
        <v>0</v>
      </c>
      <c r="N419" t="n">
        <v>0</v>
      </c>
      <c r="O419" t="n">
        <v>0</v>
      </c>
      <c r="P419" t="n">
        <v>0</v>
      </c>
      <c r="Q419" t="n">
        <v>0</v>
      </c>
      <c r="R419" s="2" t="inlineStr"/>
    </row>
    <row r="420" ht="15" customHeight="1">
      <c r="A420" t="inlineStr">
        <is>
          <t>A 60230-2022</t>
        </is>
      </c>
      <c r="B420" s="1" t="n">
        <v>44910</v>
      </c>
      <c r="C420" s="1" t="n">
        <v>46036</v>
      </c>
      <c r="D420" t="inlineStr">
        <is>
          <t>KALMAR LÄN</t>
        </is>
      </c>
      <c r="E420" t="inlineStr">
        <is>
          <t>VIMMERBY</t>
        </is>
      </c>
      <c r="G420" t="n">
        <v>11.3</v>
      </c>
      <c r="H420" t="n">
        <v>0</v>
      </c>
      <c r="I420" t="n">
        <v>0</v>
      </c>
      <c r="J420" t="n">
        <v>0</v>
      </c>
      <c r="K420" t="n">
        <v>0</v>
      </c>
      <c r="L420" t="n">
        <v>0</v>
      </c>
      <c r="M420" t="n">
        <v>0</v>
      </c>
      <c r="N420" t="n">
        <v>0</v>
      </c>
      <c r="O420" t="n">
        <v>0</v>
      </c>
      <c r="P420" t="n">
        <v>0</v>
      </c>
      <c r="Q420" t="n">
        <v>0</v>
      </c>
      <c r="R420" s="2" t="inlineStr"/>
    </row>
    <row r="421" ht="15" customHeight="1">
      <c r="A421" t="inlineStr">
        <is>
          <t>A 35597-2025</t>
        </is>
      </c>
      <c r="B421" s="1" t="n">
        <v>45858.66019675926</v>
      </c>
      <c r="C421" s="1" t="n">
        <v>46036</v>
      </c>
      <c r="D421" t="inlineStr">
        <is>
          <t>KALMAR LÄN</t>
        </is>
      </c>
      <c r="E421" t="inlineStr">
        <is>
          <t>VIMMERBY</t>
        </is>
      </c>
      <c r="G421" t="n">
        <v>6.4</v>
      </c>
      <c r="H421" t="n">
        <v>0</v>
      </c>
      <c r="I421" t="n">
        <v>0</v>
      </c>
      <c r="J421" t="n">
        <v>0</v>
      </c>
      <c r="K421" t="n">
        <v>0</v>
      </c>
      <c r="L421" t="n">
        <v>0</v>
      </c>
      <c r="M421" t="n">
        <v>0</v>
      </c>
      <c r="N421" t="n">
        <v>0</v>
      </c>
      <c r="O421" t="n">
        <v>0</v>
      </c>
      <c r="P421" t="n">
        <v>0</v>
      </c>
      <c r="Q421" t="n">
        <v>0</v>
      </c>
      <c r="R421" s="2" t="inlineStr"/>
    </row>
    <row r="422" ht="15" customHeight="1">
      <c r="A422" t="inlineStr">
        <is>
          <t>A 5925-2022</t>
        </is>
      </c>
      <c r="B422" s="1" t="n">
        <v>44598.7384837963</v>
      </c>
      <c r="C422" s="1" t="n">
        <v>46036</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44517-2025</t>
        </is>
      </c>
      <c r="B423" s="1" t="n">
        <v>45916.7103587963</v>
      </c>
      <c r="C423" s="1" t="n">
        <v>46036</v>
      </c>
      <c r="D423" t="inlineStr">
        <is>
          <t>KALMAR LÄN</t>
        </is>
      </c>
      <c r="E423" t="inlineStr">
        <is>
          <t>VIMMERBY</t>
        </is>
      </c>
      <c r="G423" t="n">
        <v>0.9</v>
      </c>
      <c r="H423" t="n">
        <v>0</v>
      </c>
      <c r="I423" t="n">
        <v>0</v>
      </c>
      <c r="J423" t="n">
        <v>0</v>
      </c>
      <c r="K423" t="n">
        <v>0</v>
      </c>
      <c r="L423" t="n">
        <v>0</v>
      </c>
      <c r="M423" t="n">
        <v>0</v>
      </c>
      <c r="N423" t="n">
        <v>0</v>
      </c>
      <c r="O423" t="n">
        <v>0</v>
      </c>
      <c r="P423" t="n">
        <v>0</v>
      </c>
      <c r="Q423" t="n">
        <v>0</v>
      </c>
      <c r="R423" s="2" t="inlineStr"/>
    </row>
    <row r="424" ht="15" customHeight="1">
      <c r="A424" t="inlineStr">
        <is>
          <t>A 44742-2025</t>
        </is>
      </c>
      <c r="B424" s="1" t="n">
        <v>45917.67054398148</v>
      </c>
      <c r="C424" s="1" t="n">
        <v>46036</v>
      </c>
      <c r="D424" t="inlineStr">
        <is>
          <t>KALMAR LÄN</t>
        </is>
      </c>
      <c r="E424" t="inlineStr">
        <is>
          <t>VIMMERBY</t>
        </is>
      </c>
      <c r="G424" t="n">
        <v>4.7</v>
      </c>
      <c r="H424" t="n">
        <v>0</v>
      </c>
      <c r="I424" t="n">
        <v>0</v>
      </c>
      <c r="J424" t="n">
        <v>0</v>
      </c>
      <c r="K424" t="n">
        <v>0</v>
      </c>
      <c r="L424" t="n">
        <v>0</v>
      </c>
      <c r="M424" t="n">
        <v>0</v>
      </c>
      <c r="N424" t="n">
        <v>0</v>
      </c>
      <c r="O424" t="n">
        <v>0</v>
      </c>
      <c r="P424" t="n">
        <v>0</v>
      </c>
      <c r="Q424" t="n">
        <v>0</v>
      </c>
      <c r="R424" s="2" t="inlineStr"/>
    </row>
    <row r="425" ht="15" customHeight="1">
      <c r="A425" t="inlineStr">
        <is>
          <t>A 44329-2025</t>
        </is>
      </c>
      <c r="B425" s="1" t="n">
        <v>45916.41019675926</v>
      </c>
      <c r="C425" s="1" t="n">
        <v>46036</v>
      </c>
      <c r="D425" t="inlineStr">
        <is>
          <t>KALMAR LÄN</t>
        </is>
      </c>
      <c r="E425" t="inlineStr">
        <is>
          <t>VIMMERBY</t>
        </is>
      </c>
      <c r="G425" t="n">
        <v>4.3</v>
      </c>
      <c r="H425" t="n">
        <v>0</v>
      </c>
      <c r="I425" t="n">
        <v>0</v>
      </c>
      <c r="J425" t="n">
        <v>0</v>
      </c>
      <c r="K425" t="n">
        <v>0</v>
      </c>
      <c r="L425" t="n">
        <v>0</v>
      </c>
      <c r="M425" t="n">
        <v>0</v>
      </c>
      <c r="N425" t="n">
        <v>0</v>
      </c>
      <c r="O425" t="n">
        <v>0</v>
      </c>
      <c r="P425" t="n">
        <v>0</v>
      </c>
      <c r="Q425" t="n">
        <v>0</v>
      </c>
      <c r="R425" s="2" t="inlineStr"/>
    </row>
    <row r="426" ht="15" customHeight="1">
      <c r="A426" t="inlineStr">
        <is>
          <t>A 41896-2025</t>
        </is>
      </c>
      <c r="B426" s="1" t="n">
        <v>45903.38800925926</v>
      </c>
      <c r="C426" s="1" t="n">
        <v>46036</v>
      </c>
      <c r="D426" t="inlineStr">
        <is>
          <t>KALMAR LÄN</t>
        </is>
      </c>
      <c r="E426" t="inlineStr">
        <is>
          <t>VIMMERBY</t>
        </is>
      </c>
      <c r="G426" t="n">
        <v>2.9</v>
      </c>
      <c r="H426" t="n">
        <v>0</v>
      </c>
      <c r="I426" t="n">
        <v>0</v>
      </c>
      <c r="J426" t="n">
        <v>0</v>
      </c>
      <c r="K426" t="n">
        <v>0</v>
      </c>
      <c r="L426" t="n">
        <v>0</v>
      </c>
      <c r="M426" t="n">
        <v>0</v>
      </c>
      <c r="N426" t="n">
        <v>0</v>
      </c>
      <c r="O426" t="n">
        <v>0</v>
      </c>
      <c r="P426" t="n">
        <v>0</v>
      </c>
      <c r="Q426" t="n">
        <v>0</v>
      </c>
      <c r="R426" s="2" t="inlineStr"/>
    </row>
    <row r="427" ht="15" customHeight="1">
      <c r="A427" t="inlineStr">
        <is>
          <t>A 46522-2022</t>
        </is>
      </c>
      <c r="B427" s="1" t="n">
        <v>44848.59133101852</v>
      </c>
      <c r="C427" s="1" t="n">
        <v>46036</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41066-2024</t>
        </is>
      </c>
      <c r="B428" s="1" t="n">
        <v>45559.38876157408</v>
      </c>
      <c r="C428" s="1" t="n">
        <v>46036</v>
      </c>
      <c r="D428" t="inlineStr">
        <is>
          <t>KALMAR LÄN</t>
        </is>
      </c>
      <c r="E428" t="inlineStr">
        <is>
          <t>VIMMERBY</t>
        </is>
      </c>
      <c r="G428" t="n">
        <v>2.4</v>
      </c>
      <c r="H428" t="n">
        <v>0</v>
      </c>
      <c r="I428" t="n">
        <v>0</v>
      </c>
      <c r="J428" t="n">
        <v>0</v>
      </c>
      <c r="K428" t="n">
        <v>0</v>
      </c>
      <c r="L428" t="n">
        <v>0</v>
      </c>
      <c r="M428" t="n">
        <v>0</v>
      </c>
      <c r="N428" t="n">
        <v>0</v>
      </c>
      <c r="O428" t="n">
        <v>0</v>
      </c>
      <c r="P428" t="n">
        <v>0</v>
      </c>
      <c r="Q428" t="n">
        <v>0</v>
      </c>
      <c r="R428" s="2" t="inlineStr"/>
    </row>
    <row r="429" ht="15" customHeight="1">
      <c r="A429" t="inlineStr">
        <is>
          <t>A 52279-2023</t>
        </is>
      </c>
      <c r="B429" s="1" t="n">
        <v>45224</v>
      </c>
      <c r="C429" s="1" t="n">
        <v>46036</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36226-2025</t>
        </is>
      </c>
      <c r="B430" s="1" t="n">
        <v>45867.51630787037</v>
      </c>
      <c r="C430" s="1" t="n">
        <v>46036</v>
      </c>
      <c r="D430" t="inlineStr">
        <is>
          <t>KALMAR LÄN</t>
        </is>
      </c>
      <c r="E430" t="inlineStr">
        <is>
          <t>VIMMERBY</t>
        </is>
      </c>
      <c r="G430" t="n">
        <v>3.1</v>
      </c>
      <c r="H430" t="n">
        <v>0</v>
      </c>
      <c r="I430" t="n">
        <v>0</v>
      </c>
      <c r="J430" t="n">
        <v>0</v>
      </c>
      <c r="K430" t="n">
        <v>0</v>
      </c>
      <c r="L430" t="n">
        <v>0</v>
      </c>
      <c r="M430" t="n">
        <v>0</v>
      </c>
      <c r="N430" t="n">
        <v>0</v>
      </c>
      <c r="O430" t="n">
        <v>0</v>
      </c>
      <c r="P430" t="n">
        <v>0</v>
      </c>
      <c r="Q430" t="n">
        <v>0</v>
      </c>
      <c r="R430" s="2" t="inlineStr"/>
    </row>
    <row r="431" ht="15" customHeight="1">
      <c r="A431" t="inlineStr">
        <is>
          <t>A 36273-2025</t>
        </is>
      </c>
      <c r="B431" s="1" t="n">
        <v>45867.63094907408</v>
      </c>
      <c r="C431" s="1" t="n">
        <v>46036</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36282-2025</t>
        </is>
      </c>
      <c r="B432" s="1" t="n">
        <v>45867.64663194444</v>
      </c>
      <c r="C432" s="1" t="n">
        <v>46036</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17486-2024</t>
        </is>
      </c>
      <c r="B433" s="1" t="n">
        <v>45415.48979166667</v>
      </c>
      <c r="C433" s="1" t="n">
        <v>46036</v>
      </c>
      <c r="D433" t="inlineStr">
        <is>
          <t>KALMAR LÄN</t>
        </is>
      </c>
      <c r="E433" t="inlineStr">
        <is>
          <t>VIMMERBY</t>
        </is>
      </c>
      <c r="G433" t="n">
        <v>2.6</v>
      </c>
      <c r="H433" t="n">
        <v>0</v>
      </c>
      <c r="I433" t="n">
        <v>0</v>
      </c>
      <c r="J433" t="n">
        <v>0</v>
      </c>
      <c r="K433" t="n">
        <v>0</v>
      </c>
      <c r="L433" t="n">
        <v>0</v>
      </c>
      <c r="M433" t="n">
        <v>0</v>
      </c>
      <c r="N433" t="n">
        <v>0</v>
      </c>
      <c r="O433" t="n">
        <v>0</v>
      </c>
      <c r="P433" t="n">
        <v>0</v>
      </c>
      <c r="Q433" t="n">
        <v>0</v>
      </c>
      <c r="R433" s="2" t="inlineStr"/>
    </row>
    <row r="434" ht="15" customHeight="1">
      <c r="A434" t="inlineStr">
        <is>
          <t>A 36246-2025</t>
        </is>
      </c>
      <c r="B434" s="1" t="n">
        <v>45867.56320601852</v>
      </c>
      <c r="C434" s="1" t="n">
        <v>46036</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36297-2025</t>
        </is>
      </c>
      <c r="B435" s="1" t="n">
        <v>45867.68625</v>
      </c>
      <c r="C435" s="1" t="n">
        <v>46036</v>
      </c>
      <c r="D435" t="inlineStr">
        <is>
          <t>KALMAR LÄN</t>
        </is>
      </c>
      <c r="E435" t="inlineStr">
        <is>
          <t>VIMMERBY</t>
        </is>
      </c>
      <c r="G435" t="n">
        <v>4.9</v>
      </c>
      <c r="H435" t="n">
        <v>0</v>
      </c>
      <c r="I435" t="n">
        <v>0</v>
      </c>
      <c r="J435" t="n">
        <v>0</v>
      </c>
      <c r="K435" t="n">
        <v>0</v>
      </c>
      <c r="L435" t="n">
        <v>0</v>
      </c>
      <c r="M435" t="n">
        <v>0</v>
      </c>
      <c r="N435" t="n">
        <v>0</v>
      </c>
      <c r="O435" t="n">
        <v>0</v>
      </c>
      <c r="P435" t="n">
        <v>0</v>
      </c>
      <c r="Q435" t="n">
        <v>0</v>
      </c>
      <c r="R435" s="2" t="inlineStr"/>
    </row>
    <row r="436" ht="15" customHeight="1">
      <c r="A436" t="inlineStr">
        <is>
          <t>A 36221-2025</t>
        </is>
      </c>
      <c r="B436" s="1" t="n">
        <v>45867.50792824074</v>
      </c>
      <c r="C436" s="1" t="n">
        <v>46036</v>
      </c>
      <c r="D436" t="inlineStr">
        <is>
          <t>KALMAR LÄN</t>
        </is>
      </c>
      <c r="E436" t="inlineStr">
        <is>
          <t>VIMMERBY</t>
        </is>
      </c>
      <c r="G436" t="n">
        <v>2.5</v>
      </c>
      <c r="H436" t="n">
        <v>0</v>
      </c>
      <c r="I436" t="n">
        <v>0</v>
      </c>
      <c r="J436" t="n">
        <v>0</v>
      </c>
      <c r="K436" t="n">
        <v>0</v>
      </c>
      <c r="L436" t="n">
        <v>0</v>
      </c>
      <c r="M436" t="n">
        <v>0</v>
      </c>
      <c r="N436" t="n">
        <v>0</v>
      </c>
      <c r="O436" t="n">
        <v>0</v>
      </c>
      <c r="P436" t="n">
        <v>0</v>
      </c>
      <c r="Q436" t="n">
        <v>0</v>
      </c>
      <c r="R436" s="2" t="inlineStr"/>
    </row>
    <row r="437" ht="15" customHeight="1">
      <c r="A437" t="inlineStr">
        <is>
          <t>A 19502-2025</t>
        </is>
      </c>
      <c r="B437" s="1" t="n">
        <v>45769</v>
      </c>
      <c r="C437" s="1" t="n">
        <v>46036</v>
      </c>
      <c r="D437" t="inlineStr">
        <is>
          <t>KALMAR LÄN</t>
        </is>
      </c>
      <c r="E437" t="inlineStr">
        <is>
          <t>VIMMERBY</t>
        </is>
      </c>
      <c r="G437" t="n">
        <v>1.9</v>
      </c>
      <c r="H437" t="n">
        <v>0</v>
      </c>
      <c r="I437" t="n">
        <v>0</v>
      </c>
      <c r="J437" t="n">
        <v>0</v>
      </c>
      <c r="K437" t="n">
        <v>0</v>
      </c>
      <c r="L437" t="n">
        <v>0</v>
      </c>
      <c r="M437" t="n">
        <v>0</v>
      </c>
      <c r="N437" t="n">
        <v>0</v>
      </c>
      <c r="O437" t="n">
        <v>0</v>
      </c>
      <c r="P437" t="n">
        <v>0</v>
      </c>
      <c r="Q437" t="n">
        <v>0</v>
      </c>
      <c r="R437" s="2" t="inlineStr"/>
    </row>
    <row r="438" ht="15" customHeight="1">
      <c r="A438" t="inlineStr">
        <is>
          <t>A 71631-2021</t>
        </is>
      </c>
      <c r="B438" s="1" t="n">
        <v>44542.90072916666</v>
      </c>
      <c r="C438" s="1" t="n">
        <v>46036</v>
      </c>
      <c r="D438" t="inlineStr">
        <is>
          <t>KALMAR LÄN</t>
        </is>
      </c>
      <c r="E438" t="inlineStr">
        <is>
          <t>VIMMERBY</t>
        </is>
      </c>
      <c r="G438" t="n">
        <v>0.9</v>
      </c>
      <c r="H438" t="n">
        <v>0</v>
      </c>
      <c r="I438" t="n">
        <v>0</v>
      </c>
      <c r="J438" t="n">
        <v>0</v>
      </c>
      <c r="K438" t="n">
        <v>0</v>
      </c>
      <c r="L438" t="n">
        <v>0</v>
      </c>
      <c r="M438" t="n">
        <v>0</v>
      </c>
      <c r="N438" t="n">
        <v>0</v>
      </c>
      <c r="O438" t="n">
        <v>0</v>
      </c>
      <c r="P438" t="n">
        <v>0</v>
      </c>
      <c r="Q438" t="n">
        <v>0</v>
      </c>
      <c r="R438" s="2" t="inlineStr"/>
    </row>
    <row r="439" ht="15" customHeight="1">
      <c r="A439" t="inlineStr">
        <is>
          <t>A 36299-2025</t>
        </is>
      </c>
      <c r="B439" s="1" t="n">
        <v>45867.69346064814</v>
      </c>
      <c r="C439" s="1" t="n">
        <v>46036</v>
      </c>
      <c r="D439" t="inlineStr">
        <is>
          <t>KALMAR LÄN</t>
        </is>
      </c>
      <c r="E439" t="inlineStr">
        <is>
          <t>VIMMERBY</t>
        </is>
      </c>
      <c r="G439" t="n">
        <v>7.6</v>
      </c>
      <c r="H439" t="n">
        <v>0</v>
      </c>
      <c r="I439" t="n">
        <v>0</v>
      </c>
      <c r="J439" t="n">
        <v>0</v>
      </c>
      <c r="K439" t="n">
        <v>0</v>
      </c>
      <c r="L439" t="n">
        <v>0</v>
      </c>
      <c r="M439" t="n">
        <v>0</v>
      </c>
      <c r="N439" t="n">
        <v>0</v>
      </c>
      <c r="O439" t="n">
        <v>0</v>
      </c>
      <c r="P439" t="n">
        <v>0</v>
      </c>
      <c r="Q439" t="n">
        <v>0</v>
      </c>
      <c r="R439" s="2" t="inlineStr"/>
    </row>
    <row r="440" ht="15" customHeight="1">
      <c r="A440" t="inlineStr">
        <is>
          <t>A 45114-2025</t>
        </is>
      </c>
      <c r="B440" s="1" t="n">
        <v>45919.42387731482</v>
      </c>
      <c r="C440" s="1" t="n">
        <v>46036</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36538-2025</t>
        </is>
      </c>
      <c r="B441" s="1" t="n">
        <v>45869.62276620371</v>
      </c>
      <c r="C441" s="1" t="n">
        <v>46036</v>
      </c>
      <c r="D441" t="inlineStr">
        <is>
          <t>KALMAR LÄN</t>
        </is>
      </c>
      <c r="E441" t="inlineStr">
        <is>
          <t>VIMMERBY</t>
        </is>
      </c>
      <c r="G441" t="n">
        <v>2.6</v>
      </c>
      <c r="H441" t="n">
        <v>0</v>
      </c>
      <c r="I441" t="n">
        <v>0</v>
      </c>
      <c r="J441" t="n">
        <v>0</v>
      </c>
      <c r="K441" t="n">
        <v>0</v>
      </c>
      <c r="L441" t="n">
        <v>0</v>
      </c>
      <c r="M441" t="n">
        <v>0</v>
      </c>
      <c r="N441" t="n">
        <v>0</v>
      </c>
      <c r="O441" t="n">
        <v>0</v>
      </c>
      <c r="P441" t="n">
        <v>0</v>
      </c>
      <c r="Q441" t="n">
        <v>0</v>
      </c>
      <c r="R441" s="2" t="inlineStr"/>
    </row>
    <row r="442" ht="15" customHeight="1">
      <c r="A442" t="inlineStr">
        <is>
          <t>A 45319-2025</t>
        </is>
      </c>
      <c r="B442" s="1" t="n">
        <v>45921.95611111111</v>
      </c>
      <c r="C442" s="1" t="n">
        <v>46036</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16015-2025</t>
        </is>
      </c>
      <c r="B443" s="1" t="n">
        <v>45749.60487268519</v>
      </c>
      <c r="C443" s="1" t="n">
        <v>46036</v>
      </c>
      <c r="D443" t="inlineStr">
        <is>
          <t>KALMAR LÄN</t>
        </is>
      </c>
      <c r="E443" t="inlineStr">
        <is>
          <t>VIMMERBY</t>
        </is>
      </c>
      <c r="F443" t="inlineStr">
        <is>
          <t>Kyrkan</t>
        </is>
      </c>
      <c r="G443" t="n">
        <v>2.7</v>
      </c>
      <c r="H443" t="n">
        <v>0</v>
      </c>
      <c r="I443" t="n">
        <v>0</v>
      </c>
      <c r="J443" t="n">
        <v>0</v>
      </c>
      <c r="K443" t="n">
        <v>0</v>
      </c>
      <c r="L443" t="n">
        <v>0</v>
      </c>
      <c r="M443" t="n">
        <v>0</v>
      </c>
      <c r="N443" t="n">
        <v>0</v>
      </c>
      <c r="O443" t="n">
        <v>0</v>
      </c>
      <c r="P443" t="n">
        <v>0</v>
      </c>
      <c r="Q443" t="n">
        <v>0</v>
      </c>
      <c r="R443" s="2" t="inlineStr"/>
    </row>
    <row r="444" ht="15" customHeight="1">
      <c r="A444" t="inlineStr">
        <is>
          <t>A 9694-2023</t>
        </is>
      </c>
      <c r="B444" s="1" t="n">
        <v>44984.45895833334</v>
      </c>
      <c r="C444" s="1" t="n">
        <v>46036</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45320-2025</t>
        </is>
      </c>
      <c r="B445" s="1" t="n">
        <v>45921.96395833333</v>
      </c>
      <c r="C445" s="1" t="n">
        <v>46036</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36598-2025</t>
        </is>
      </c>
      <c r="B446" s="1" t="n">
        <v>45870.51708333333</v>
      </c>
      <c r="C446" s="1" t="n">
        <v>46036</v>
      </c>
      <c r="D446" t="inlineStr">
        <is>
          <t>KALMAR LÄN</t>
        </is>
      </c>
      <c r="E446" t="inlineStr">
        <is>
          <t>VIMMERBY</t>
        </is>
      </c>
      <c r="G446" t="n">
        <v>3.7</v>
      </c>
      <c r="H446" t="n">
        <v>0</v>
      </c>
      <c r="I446" t="n">
        <v>0</v>
      </c>
      <c r="J446" t="n">
        <v>0</v>
      </c>
      <c r="K446" t="n">
        <v>0</v>
      </c>
      <c r="L446" t="n">
        <v>0</v>
      </c>
      <c r="M446" t="n">
        <v>0</v>
      </c>
      <c r="N446" t="n">
        <v>0</v>
      </c>
      <c r="O446" t="n">
        <v>0</v>
      </c>
      <c r="P446" t="n">
        <v>0</v>
      </c>
      <c r="Q446" t="n">
        <v>0</v>
      </c>
      <c r="R446" s="2" t="inlineStr"/>
    </row>
    <row r="447" ht="15" customHeight="1">
      <c r="A447" t="inlineStr">
        <is>
          <t>A 36602-2025</t>
        </is>
      </c>
      <c r="B447" s="1" t="n">
        <v>45870.52111111111</v>
      </c>
      <c r="C447" s="1" t="n">
        <v>46036</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22198-2024</t>
        </is>
      </c>
      <c r="B448" s="1" t="n">
        <v>45446.36865740741</v>
      </c>
      <c r="C448" s="1" t="n">
        <v>46036</v>
      </c>
      <c r="D448" t="inlineStr">
        <is>
          <t>KALMAR LÄN</t>
        </is>
      </c>
      <c r="E448" t="inlineStr">
        <is>
          <t>VIMMERBY</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57311-2023</t>
        </is>
      </c>
      <c r="B449" s="1" t="n">
        <v>45245.63574074074</v>
      </c>
      <c r="C449" s="1" t="n">
        <v>46036</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12588-2025</t>
        </is>
      </c>
      <c r="B450" s="1" t="n">
        <v>45732.76936342593</v>
      </c>
      <c r="C450" s="1" t="n">
        <v>46036</v>
      </c>
      <c r="D450" t="inlineStr">
        <is>
          <t>KALMAR LÄN</t>
        </is>
      </c>
      <c r="E450" t="inlineStr">
        <is>
          <t>VIMMERBY</t>
        </is>
      </c>
      <c r="G450" t="n">
        <v>1.6</v>
      </c>
      <c r="H450" t="n">
        <v>0</v>
      </c>
      <c r="I450" t="n">
        <v>0</v>
      </c>
      <c r="J450" t="n">
        <v>0</v>
      </c>
      <c r="K450" t="n">
        <v>0</v>
      </c>
      <c r="L450" t="n">
        <v>0</v>
      </c>
      <c r="M450" t="n">
        <v>0</v>
      </c>
      <c r="N450" t="n">
        <v>0</v>
      </c>
      <c r="O450" t="n">
        <v>0</v>
      </c>
      <c r="P450" t="n">
        <v>0</v>
      </c>
      <c r="Q450" t="n">
        <v>0</v>
      </c>
      <c r="R450" s="2" t="inlineStr"/>
    </row>
    <row r="451" ht="15" customHeight="1">
      <c r="A451" t="inlineStr">
        <is>
          <t>A 7932-2025</t>
        </is>
      </c>
      <c r="B451" s="1" t="n">
        <v>45707.3793287037</v>
      </c>
      <c r="C451" s="1" t="n">
        <v>46036</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46118-2025</t>
        </is>
      </c>
      <c r="B452" s="1" t="n">
        <v>45924.57697916667</v>
      </c>
      <c r="C452" s="1" t="n">
        <v>46036</v>
      </c>
      <c r="D452" t="inlineStr">
        <is>
          <t>KALMAR LÄN</t>
        </is>
      </c>
      <c r="E452" t="inlineStr">
        <is>
          <t>VIMMERBY</t>
        </is>
      </c>
      <c r="G452" t="n">
        <v>2.9</v>
      </c>
      <c r="H452" t="n">
        <v>0</v>
      </c>
      <c r="I452" t="n">
        <v>0</v>
      </c>
      <c r="J452" t="n">
        <v>0</v>
      </c>
      <c r="K452" t="n">
        <v>0</v>
      </c>
      <c r="L452" t="n">
        <v>0</v>
      </c>
      <c r="M452" t="n">
        <v>0</v>
      </c>
      <c r="N452" t="n">
        <v>0</v>
      </c>
      <c r="O452" t="n">
        <v>0</v>
      </c>
      <c r="P452" t="n">
        <v>0</v>
      </c>
      <c r="Q452" t="n">
        <v>0</v>
      </c>
      <c r="R452" s="2" t="inlineStr"/>
    </row>
    <row r="453" ht="15" customHeight="1">
      <c r="A453" t="inlineStr">
        <is>
          <t>A 46365-2025</t>
        </is>
      </c>
      <c r="B453" s="1" t="n">
        <v>45925.50075231482</v>
      </c>
      <c r="C453" s="1" t="n">
        <v>46036</v>
      </c>
      <c r="D453" t="inlineStr">
        <is>
          <t>KALMAR LÄN</t>
        </is>
      </c>
      <c r="E453" t="inlineStr">
        <is>
          <t>VIMMERBY</t>
        </is>
      </c>
      <c r="G453" t="n">
        <v>5.6</v>
      </c>
      <c r="H453" t="n">
        <v>0</v>
      </c>
      <c r="I453" t="n">
        <v>0</v>
      </c>
      <c r="J453" t="n">
        <v>0</v>
      </c>
      <c r="K453" t="n">
        <v>0</v>
      </c>
      <c r="L453" t="n">
        <v>0</v>
      </c>
      <c r="M453" t="n">
        <v>0</v>
      </c>
      <c r="N453" t="n">
        <v>0</v>
      </c>
      <c r="O453" t="n">
        <v>0</v>
      </c>
      <c r="P453" t="n">
        <v>0</v>
      </c>
      <c r="Q453" t="n">
        <v>0</v>
      </c>
      <c r="R453" s="2" t="inlineStr"/>
    </row>
    <row r="454" ht="15" customHeight="1">
      <c r="A454" t="inlineStr">
        <is>
          <t>A 36603-2025</t>
        </is>
      </c>
      <c r="B454" s="1" t="n">
        <v>45870.52142361111</v>
      </c>
      <c r="C454" s="1" t="n">
        <v>46036</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46361-2025</t>
        </is>
      </c>
      <c r="B455" s="1" t="n">
        <v>45925.49670138889</v>
      </c>
      <c r="C455" s="1" t="n">
        <v>46036</v>
      </c>
      <c r="D455" t="inlineStr">
        <is>
          <t>KALMAR LÄN</t>
        </is>
      </c>
      <c r="E455" t="inlineStr">
        <is>
          <t>VIMMERBY</t>
        </is>
      </c>
      <c r="G455" t="n">
        <v>4.2</v>
      </c>
      <c r="H455" t="n">
        <v>0</v>
      </c>
      <c r="I455" t="n">
        <v>0</v>
      </c>
      <c r="J455" t="n">
        <v>0</v>
      </c>
      <c r="K455" t="n">
        <v>0</v>
      </c>
      <c r="L455" t="n">
        <v>0</v>
      </c>
      <c r="M455" t="n">
        <v>0</v>
      </c>
      <c r="N455" t="n">
        <v>0</v>
      </c>
      <c r="O455" t="n">
        <v>0</v>
      </c>
      <c r="P455" t="n">
        <v>0</v>
      </c>
      <c r="Q455" t="n">
        <v>0</v>
      </c>
      <c r="R455" s="2" t="inlineStr"/>
    </row>
    <row r="456" ht="15" customHeight="1">
      <c r="A456" t="inlineStr">
        <is>
          <t>A 36600-2025</t>
        </is>
      </c>
      <c r="B456" s="1" t="n">
        <v>45870.51958333333</v>
      </c>
      <c r="C456" s="1" t="n">
        <v>46036</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36601-2025</t>
        </is>
      </c>
      <c r="B457" s="1" t="n">
        <v>45870.52005787037</v>
      </c>
      <c r="C457" s="1" t="n">
        <v>46036</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2121-2022</t>
        </is>
      </c>
      <c r="B458" s="1" t="n">
        <v>44578.32717592592</v>
      </c>
      <c r="C458" s="1" t="n">
        <v>46036</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37088-2025</t>
        </is>
      </c>
      <c r="B459" s="1" t="n">
        <v>45875.45716435185</v>
      </c>
      <c r="C459" s="1" t="n">
        <v>46036</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37102-2025</t>
        </is>
      </c>
      <c r="B460" s="1" t="n">
        <v>45875.47454861111</v>
      </c>
      <c r="C460" s="1" t="n">
        <v>46036</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34386-2024</t>
        </is>
      </c>
      <c r="B461" s="1" t="n">
        <v>45525.41762731481</v>
      </c>
      <c r="C461" s="1" t="n">
        <v>46036</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6069-2023</t>
        </is>
      </c>
      <c r="B462" s="1" t="n">
        <v>44964.5115162037</v>
      </c>
      <c r="C462" s="1" t="n">
        <v>46036</v>
      </c>
      <c r="D462" t="inlineStr">
        <is>
          <t>KALMAR LÄN</t>
        </is>
      </c>
      <c r="E462" t="inlineStr">
        <is>
          <t>VIMMERBY</t>
        </is>
      </c>
      <c r="G462" t="n">
        <v>1.1</v>
      </c>
      <c r="H462" t="n">
        <v>0</v>
      </c>
      <c r="I462" t="n">
        <v>0</v>
      </c>
      <c r="J462" t="n">
        <v>0</v>
      </c>
      <c r="K462" t="n">
        <v>0</v>
      </c>
      <c r="L462" t="n">
        <v>0</v>
      </c>
      <c r="M462" t="n">
        <v>0</v>
      </c>
      <c r="N462" t="n">
        <v>0</v>
      </c>
      <c r="O462" t="n">
        <v>0</v>
      </c>
      <c r="P462" t="n">
        <v>0</v>
      </c>
      <c r="Q462" t="n">
        <v>0</v>
      </c>
      <c r="R462" s="2" t="inlineStr"/>
    </row>
    <row r="463" ht="15" customHeight="1">
      <c r="A463" t="inlineStr">
        <is>
          <t>A 37079-2025</t>
        </is>
      </c>
      <c r="B463" s="1" t="n">
        <v>45875.42716435185</v>
      </c>
      <c r="C463" s="1" t="n">
        <v>46036</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46887-2025</t>
        </is>
      </c>
      <c r="B464" s="1" t="n">
        <v>45929.3672337963</v>
      </c>
      <c r="C464" s="1" t="n">
        <v>46036</v>
      </c>
      <c r="D464" t="inlineStr">
        <is>
          <t>KALMAR LÄN</t>
        </is>
      </c>
      <c r="E464" t="inlineStr">
        <is>
          <t>VIMMERBY</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45856-2025</t>
        </is>
      </c>
      <c r="B465" s="1" t="n">
        <v>45923</v>
      </c>
      <c r="C465" s="1" t="n">
        <v>46036</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36934-2025</t>
        </is>
      </c>
      <c r="B466" s="1" t="n">
        <v>45874.57109953704</v>
      </c>
      <c r="C466" s="1" t="n">
        <v>46036</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32633-2023</t>
        </is>
      </c>
      <c r="B467" s="1" t="n">
        <v>45121.58699074074</v>
      </c>
      <c r="C467" s="1" t="n">
        <v>46036</v>
      </c>
      <c r="D467" t="inlineStr">
        <is>
          <t>KALMAR LÄN</t>
        </is>
      </c>
      <c r="E467" t="inlineStr">
        <is>
          <t>VIMMERBY</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45854-2025</t>
        </is>
      </c>
      <c r="B468" s="1" t="n">
        <v>45923</v>
      </c>
      <c r="C468" s="1" t="n">
        <v>46036</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45855-2025</t>
        </is>
      </c>
      <c r="B469" s="1" t="n">
        <v>45923</v>
      </c>
      <c r="C469" s="1" t="n">
        <v>46036</v>
      </c>
      <c r="D469" t="inlineStr">
        <is>
          <t>KALMAR LÄN</t>
        </is>
      </c>
      <c r="E469" t="inlineStr">
        <is>
          <t>VIMMERBY</t>
        </is>
      </c>
      <c r="G469" t="n">
        <v>1.4</v>
      </c>
      <c r="H469" t="n">
        <v>0</v>
      </c>
      <c r="I469" t="n">
        <v>0</v>
      </c>
      <c r="J469" t="n">
        <v>0</v>
      </c>
      <c r="K469" t="n">
        <v>0</v>
      </c>
      <c r="L469" t="n">
        <v>0</v>
      </c>
      <c r="M469" t="n">
        <v>0</v>
      </c>
      <c r="N469" t="n">
        <v>0</v>
      </c>
      <c r="O469" t="n">
        <v>0</v>
      </c>
      <c r="P469" t="n">
        <v>0</v>
      </c>
      <c r="Q469" t="n">
        <v>0</v>
      </c>
      <c r="R469" s="2" t="inlineStr"/>
    </row>
    <row r="470" ht="15" customHeight="1">
      <c r="A470" t="inlineStr">
        <is>
          <t>A 49461-2023</t>
        </is>
      </c>
      <c r="B470" s="1" t="n">
        <v>45211.52642361111</v>
      </c>
      <c r="C470" s="1" t="n">
        <v>46036</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23095-2023</t>
        </is>
      </c>
      <c r="B471" s="1" t="n">
        <v>45075.43059027778</v>
      </c>
      <c r="C471" s="1" t="n">
        <v>46036</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11429-2022</t>
        </is>
      </c>
      <c r="B472" s="1" t="n">
        <v>44630</v>
      </c>
      <c r="C472" s="1" t="n">
        <v>46036</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37578-2025</t>
        </is>
      </c>
      <c r="B473" s="1" t="n">
        <v>45880.38380787037</v>
      </c>
      <c r="C473" s="1" t="n">
        <v>46036</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47227-2025</t>
        </is>
      </c>
      <c r="B474" s="1" t="n">
        <v>45930.39769675926</v>
      </c>
      <c r="C474" s="1" t="n">
        <v>46036</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37668-2025</t>
        </is>
      </c>
      <c r="B475" s="1" t="n">
        <v>45880.51550925926</v>
      </c>
      <c r="C475" s="1" t="n">
        <v>46036</v>
      </c>
      <c r="D475" t="inlineStr">
        <is>
          <t>KALMAR LÄN</t>
        </is>
      </c>
      <c r="E475" t="inlineStr">
        <is>
          <t>VIMMERBY</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48299-2025</t>
        </is>
      </c>
      <c r="B476" s="1" t="n">
        <v>45933.60982638889</v>
      </c>
      <c r="C476" s="1" t="n">
        <v>46036</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11141-2024</t>
        </is>
      </c>
      <c r="B477" s="1" t="n">
        <v>45371.45865740741</v>
      </c>
      <c r="C477" s="1" t="n">
        <v>46036</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28395-2023</t>
        </is>
      </c>
      <c r="B478" s="1" t="n">
        <v>45100.4062962963</v>
      </c>
      <c r="C478" s="1" t="n">
        <v>46036</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37939-2025</t>
        </is>
      </c>
      <c r="B479" s="1" t="n">
        <v>45881.59877314815</v>
      </c>
      <c r="C479" s="1" t="n">
        <v>46036</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37866-2025</t>
        </is>
      </c>
      <c r="B480" s="1" t="n">
        <v>45881</v>
      </c>
      <c r="C480" s="1" t="n">
        <v>46036</v>
      </c>
      <c r="D480" t="inlineStr">
        <is>
          <t>KALMAR LÄN</t>
        </is>
      </c>
      <c r="E480" t="inlineStr">
        <is>
          <t>VIMMERBY</t>
        </is>
      </c>
      <c r="G480" t="n">
        <v>3.4</v>
      </c>
      <c r="H480" t="n">
        <v>0</v>
      </c>
      <c r="I480" t="n">
        <v>0</v>
      </c>
      <c r="J480" t="n">
        <v>0</v>
      </c>
      <c r="K480" t="n">
        <v>0</v>
      </c>
      <c r="L480" t="n">
        <v>0</v>
      </c>
      <c r="M480" t="n">
        <v>0</v>
      </c>
      <c r="N480" t="n">
        <v>0</v>
      </c>
      <c r="O480" t="n">
        <v>0</v>
      </c>
      <c r="P480" t="n">
        <v>0</v>
      </c>
      <c r="Q480" t="n">
        <v>0</v>
      </c>
      <c r="R480" s="2" t="inlineStr"/>
    </row>
    <row r="481" ht="15" customHeight="1">
      <c r="A481" t="inlineStr">
        <is>
          <t>A 34597-2022</t>
        </is>
      </c>
      <c r="B481" s="1" t="n">
        <v>44795</v>
      </c>
      <c r="C481" s="1" t="n">
        <v>46036</v>
      </c>
      <c r="D481" t="inlineStr">
        <is>
          <t>KALMAR LÄN</t>
        </is>
      </c>
      <c r="E481" t="inlineStr">
        <is>
          <t>VIMMERBY</t>
        </is>
      </c>
      <c r="G481" t="n">
        <v>2.2</v>
      </c>
      <c r="H481" t="n">
        <v>0</v>
      </c>
      <c r="I481" t="n">
        <v>0</v>
      </c>
      <c r="J481" t="n">
        <v>0</v>
      </c>
      <c r="K481" t="n">
        <v>0</v>
      </c>
      <c r="L481" t="n">
        <v>0</v>
      </c>
      <c r="M481" t="n">
        <v>0</v>
      </c>
      <c r="N481" t="n">
        <v>0</v>
      </c>
      <c r="O481" t="n">
        <v>0</v>
      </c>
      <c r="P481" t="n">
        <v>0</v>
      </c>
      <c r="Q481" t="n">
        <v>0</v>
      </c>
      <c r="R481" s="2" t="inlineStr"/>
    </row>
    <row r="482" ht="15" customHeight="1">
      <c r="A482" t="inlineStr">
        <is>
          <t>A 47965-2025</t>
        </is>
      </c>
      <c r="B482" s="1" t="n">
        <v>45932.59597222223</v>
      </c>
      <c r="C482" s="1" t="n">
        <v>46036</v>
      </c>
      <c r="D482" t="inlineStr">
        <is>
          <t>KALMAR LÄN</t>
        </is>
      </c>
      <c r="E482" t="inlineStr">
        <is>
          <t>VIMMERBY</t>
        </is>
      </c>
      <c r="G482" t="n">
        <v>2.2</v>
      </c>
      <c r="H482" t="n">
        <v>0</v>
      </c>
      <c r="I482" t="n">
        <v>0</v>
      </c>
      <c r="J482" t="n">
        <v>0</v>
      </c>
      <c r="K482" t="n">
        <v>0</v>
      </c>
      <c r="L482" t="n">
        <v>0</v>
      </c>
      <c r="M482" t="n">
        <v>0</v>
      </c>
      <c r="N482" t="n">
        <v>0</v>
      </c>
      <c r="O482" t="n">
        <v>0</v>
      </c>
      <c r="P482" t="n">
        <v>0</v>
      </c>
      <c r="Q482" t="n">
        <v>0</v>
      </c>
      <c r="R482" s="2" t="inlineStr"/>
    </row>
    <row r="483" ht="15" customHeight="1">
      <c r="A483" t="inlineStr">
        <is>
          <t>A 64428-2023</t>
        </is>
      </c>
      <c r="B483" s="1" t="n">
        <v>45280.66769675926</v>
      </c>
      <c r="C483" s="1" t="n">
        <v>46036</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30588-2023</t>
        </is>
      </c>
      <c r="B484" s="1" t="n">
        <v>45112.33599537037</v>
      </c>
      <c r="C484" s="1" t="n">
        <v>46036</v>
      </c>
      <c r="D484" t="inlineStr">
        <is>
          <t>KALMAR LÄN</t>
        </is>
      </c>
      <c r="E484" t="inlineStr">
        <is>
          <t>VIMMERBY</t>
        </is>
      </c>
      <c r="G484" t="n">
        <v>2.7</v>
      </c>
      <c r="H484" t="n">
        <v>0</v>
      </c>
      <c r="I484" t="n">
        <v>0</v>
      </c>
      <c r="J484" t="n">
        <v>0</v>
      </c>
      <c r="K484" t="n">
        <v>0</v>
      </c>
      <c r="L484" t="n">
        <v>0</v>
      </c>
      <c r="M484" t="n">
        <v>0</v>
      </c>
      <c r="N484" t="n">
        <v>0</v>
      </c>
      <c r="O484" t="n">
        <v>0</v>
      </c>
      <c r="P484" t="n">
        <v>0</v>
      </c>
      <c r="Q484" t="n">
        <v>0</v>
      </c>
      <c r="R484" s="2" t="inlineStr"/>
    </row>
    <row r="485" ht="15" customHeight="1">
      <c r="A485" t="inlineStr">
        <is>
          <t>A 30503-2023</t>
        </is>
      </c>
      <c r="B485" s="1" t="n">
        <v>45111</v>
      </c>
      <c r="C485" s="1" t="n">
        <v>46036</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47955-2025</t>
        </is>
      </c>
      <c r="B486" s="1" t="n">
        <v>45932.58896990741</v>
      </c>
      <c r="C486" s="1" t="n">
        <v>46036</v>
      </c>
      <c r="D486" t="inlineStr">
        <is>
          <t>KALMAR LÄN</t>
        </is>
      </c>
      <c r="E486" t="inlineStr">
        <is>
          <t>VIMMERBY</t>
        </is>
      </c>
      <c r="G486" t="n">
        <v>3.4</v>
      </c>
      <c r="H486" t="n">
        <v>0</v>
      </c>
      <c r="I486" t="n">
        <v>0</v>
      </c>
      <c r="J486" t="n">
        <v>0</v>
      </c>
      <c r="K486" t="n">
        <v>0</v>
      </c>
      <c r="L486" t="n">
        <v>0</v>
      </c>
      <c r="M486" t="n">
        <v>0</v>
      </c>
      <c r="N486" t="n">
        <v>0</v>
      </c>
      <c r="O486" t="n">
        <v>0</v>
      </c>
      <c r="P486" t="n">
        <v>0</v>
      </c>
      <c r="Q486" t="n">
        <v>0</v>
      </c>
      <c r="R486" s="2" t="inlineStr"/>
    </row>
    <row r="487" ht="15" customHeight="1">
      <c r="A487" t="inlineStr">
        <is>
          <t>A 48723-2025</t>
        </is>
      </c>
      <c r="B487" s="1" t="n">
        <v>45936.65121527778</v>
      </c>
      <c r="C487" s="1" t="n">
        <v>46036</v>
      </c>
      <c r="D487" t="inlineStr">
        <is>
          <t>KALMAR LÄN</t>
        </is>
      </c>
      <c r="E487" t="inlineStr">
        <is>
          <t>VIMMERBY</t>
        </is>
      </c>
      <c r="G487" t="n">
        <v>3</v>
      </c>
      <c r="H487" t="n">
        <v>0</v>
      </c>
      <c r="I487" t="n">
        <v>0</v>
      </c>
      <c r="J487" t="n">
        <v>0</v>
      </c>
      <c r="K487" t="n">
        <v>0</v>
      </c>
      <c r="L487" t="n">
        <v>0</v>
      </c>
      <c r="M487" t="n">
        <v>0</v>
      </c>
      <c r="N487" t="n">
        <v>0</v>
      </c>
      <c r="O487" t="n">
        <v>0</v>
      </c>
      <c r="P487" t="n">
        <v>0</v>
      </c>
      <c r="Q487" t="n">
        <v>0</v>
      </c>
      <c r="R487" s="2" t="inlineStr"/>
    </row>
    <row r="488" ht="15" customHeight="1">
      <c r="A488" t="inlineStr">
        <is>
          <t>A 48712-2025</t>
        </is>
      </c>
      <c r="B488" s="1" t="n">
        <v>45936.63373842592</v>
      </c>
      <c r="C488" s="1" t="n">
        <v>46036</v>
      </c>
      <c r="D488" t="inlineStr">
        <is>
          <t>KALMAR LÄN</t>
        </is>
      </c>
      <c r="E488" t="inlineStr">
        <is>
          <t>VIMMERBY</t>
        </is>
      </c>
      <c r="G488" t="n">
        <v>3</v>
      </c>
      <c r="H488" t="n">
        <v>0</v>
      </c>
      <c r="I488" t="n">
        <v>0</v>
      </c>
      <c r="J488" t="n">
        <v>0</v>
      </c>
      <c r="K488" t="n">
        <v>0</v>
      </c>
      <c r="L488" t="n">
        <v>0</v>
      </c>
      <c r="M488" t="n">
        <v>0</v>
      </c>
      <c r="N488" t="n">
        <v>0</v>
      </c>
      <c r="O488" t="n">
        <v>0</v>
      </c>
      <c r="P488" t="n">
        <v>0</v>
      </c>
      <c r="Q488" t="n">
        <v>0</v>
      </c>
      <c r="R488" s="2" t="inlineStr"/>
    </row>
    <row r="489" ht="15" customHeight="1">
      <c r="A489" t="inlineStr">
        <is>
          <t>A 48408-2025</t>
        </is>
      </c>
      <c r="B489" s="1" t="n">
        <v>45934.40527777778</v>
      </c>
      <c r="C489" s="1" t="n">
        <v>46036</v>
      </c>
      <c r="D489" t="inlineStr">
        <is>
          <t>KALMAR LÄN</t>
        </is>
      </c>
      <c r="E489" t="inlineStr">
        <is>
          <t>VIMMERBY</t>
        </is>
      </c>
      <c r="G489" t="n">
        <v>2.4</v>
      </c>
      <c r="H489" t="n">
        <v>0</v>
      </c>
      <c r="I489" t="n">
        <v>0</v>
      </c>
      <c r="J489" t="n">
        <v>0</v>
      </c>
      <c r="K489" t="n">
        <v>0</v>
      </c>
      <c r="L489" t="n">
        <v>0</v>
      </c>
      <c r="M489" t="n">
        <v>0</v>
      </c>
      <c r="N489" t="n">
        <v>0</v>
      </c>
      <c r="O489" t="n">
        <v>0</v>
      </c>
      <c r="P489" t="n">
        <v>0</v>
      </c>
      <c r="Q489" t="n">
        <v>0</v>
      </c>
      <c r="R489" s="2" t="inlineStr"/>
    </row>
    <row r="490" ht="15" customHeight="1">
      <c r="A490" t="inlineStr">
        <is>
          <t>A 38964-2025</t>
        </is>
      </c>
      <c r="B490" s="1" t="n">
        <v>45887.68759259259</v>
      </c>
      <c r="C490" s="1" t="n">
        <v>46036</v>
      </c>
      <c r="D490" t="inlineStr">
        <is>
          <t>KALMAR LÄN</t>
        </is>
      </c>
      <c r="E490" t="inlineStr">
        <is>
          <t>VIMMERBY</t>
        </is>
      </c>
      <c r="G490" t="n">
        <v>7.5</v>
      </c>
      <c r="H490" t="n">
        <v>0</v>
      </c>
      <c r="I490" t="n">
        <v>0</v>
      </c>
      <c r="J490" t="n">
        <v>0</v>
      </c>
      <c r="K490" t="n">
        <v>0</v>
      </c>
      <c r="L490" t="n">
        <v>0</v>
      </c>
      <c r="M490" t="n">
        <v>0</v>
      </c>
      <c r="N490" t="n">
        <v>0</v>
      </c>
      <c r="O490" t="n">
        <v>0</v>
      </c>
      <c r="P490" t="n">
        <v>0</v>
      </c>
      <c r="Q490" t="n">
        <v>0</v>
      </c>
      <c r="R490" s="2" t="inlineStr"/>
    </row>
    <row r="491" ht="15" customHeight="1">
      <c r="A491" t="inlineStr">
        <is>
          <t>A 48409-2025</t>
        </is>
      </c>
      <c r="B491" s="1" t="n">
        <v>45934.41387731482</v>
      </c>
      <c r="C491" s="1" t="n">
        <v>46036</v>
      </c>
      <c r="D491" t="inlineStr">
        <is>
          <t>KALMAR LÄN</t>
        </is>
      </c>
      <c r="E491" t="inlineStr">
        <is>
          <t>VIMMERBY</t>
        </is>
      </c>
      <c r="G491" t="n">
        <v>1.2</v>
      </c>
      <c r="H491" t="n">
        <v>0</v>
      </c>
      <c r="I491" t="n">
        <v>0</v>
      </c>
      <c r="J491" t="n">
        <v>0</v>
      </c>
      <c r="K491" t="n">
        <v>0</v>
      </c>
      <c r="L491" t="n">
        <v>0</v>
      </c>
      <c r="M491" t="n">
        <v>0</v>
      </c>
      <c r="N491" t="n">
        <v>0</v>
      </c>
      <c r="O491" t="n">
        <v>0</v>
      </c>
      <c r="P491" t="n">
        <v>0</v>
      </c>
      <c r="Q491" t="n">
        <v>0</v>
      </c>
      <c r="R491" s="2" t="inlineStr"/>
    </row>
    <row r="492" ht="15" customHeight="1">
      <c r="A492" t="inlineStr">
        <is>
          <t>A 48600-2025</t>
        </is>
      </c>
      <c r="B492" s="1" t="n">
        <v>45935</v>
      </c>
      <c r="C492" s="1" t="n">
        <v>46036</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47263-2023</t>
        </is>
      </c>
      <c r="B493" s="1" t="n">
        <v>45202.4209837963</v>
      </c>
      <c r="C493" s="1" t="n">
        <v>46036</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58100-2024</t>
        </is>
      </c>
      <c r="B494" s="1" t="n">
        <v>45632.36706018518</v>
      </c>
      <c r="C494" s="1" t="n">
        <v>46036</v>
      </c>
      <c r="D494" t="inlineStr">
        <is>
          <t>KALMAR LÄN</t>
        </is>
      </c>
      <c r="E494" t="inlineStr">
        <is>
          <t>VIMMERBY</t>
        </is>
      </c>
      <c r="G494" t="n">
        <v>0.9</v>
      </c>
      <c r="H494" t="n">
        <v>0</v>
      </c>
      <c r="I494" t="n">
        <v>0</v>
      </c>
      <c r="J494" t="n">
        <v>0</v>
      </c>
      <c r="K494" t="n">
        <v>0</v>
      </c>
      <c r="L494" t="n">
        <v>0</v>
      </c>
      <c r="M494" t="n">
        <v>0</v>
      </c>
      <c r="N494" t="n">
        <v>0</v>
      </c>
      <c r="O494" t="n">
        <v>0</v>
      </c>
      <c r="P494" t="n">
        <v>0</v>
      </c>
      <c r="Q494" t="n">
        <v>0</v>
      </c>
      <c r="R494" s="2" t="inlineStr"/>
    </row>
    <row r="495" ht="15" customHeight="1">
      <c r="A495" t="inlineStr">
        <is>
          <t>A 58159-2024</t>
        </is>
      </c>
      <c r="B495" s="1" t="n">
        <v>45632.44886574074</v>
      </c>
      <c r="C495" s="1" t="n">
        <v>46036</v>
      </c>
      <c r="D495" t="inlineStr">
        <is>
          <t>KALMAR LÄN</t>
        </is>
      </c>
      <c r="E495" t="inlineStr">
        <is>
          <t>VIMMERBY</t>
        </is>
      </c>
      <c r="G495" t="n">
        <v>7.5</v>
      </c>
      <c r="H495" t="n">
        <v>0</v>
      </c>
      <c r="I495" t="n">
        <v>0</v>
      </c>
      <c r="J495" t="n">
        <v>0</v>
      </c>
      <c r="K495" t="n">
        <v>0</v>
      </c>
      <c r="L495" t="n">
        <v>0</v>
      </c>
      <c r="M495" t="n">
        <v>0</v>
      </c>
      <c r="N495" t="n">
        <v>0</v>
      </c>
      <c r="O495" t="n">
        <v>0</v>
      </c>
      <c r="P495" t="n">
        <v>0</v>
      </c>
      <c r="Q495" t="n">
        <v>0</v>
      </c>
      <c r="R495" s="2" t="inlineStr"/>
    </row>
    <row r="496" ht="15" customHeight="1">
      <c r="A496" t="inlineStr">
        <is>
          <t>A 57114-2023</t>
        </is>
      </c>
      <c r="B496" s="1" t="n">
        <v>45245.36174768519</v>
      </c>
      <c r="C496" s="1" t="n">
        <v>46036</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3423-2022</t>
        </is>
      </c>
      <c r="B497" s="1" t="n">
        <v>44585.50431712963</v>
      </c>
      <c r="C497" s="1" t="n">
        <v>46036</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40665-2023</t>
        </is>
      </c>
      <c r="B498" s="1" t="n">
        <v>45170</v>
      </c>
      <c r="C498" s="1" t="n">
        <v>46036</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50860-2022</t>
        </is>
      </c>
      <c r="B499" s="1" t="n">
        <v>44867</v>
      </c>
      <c r="C499" s="1" t="n">
        <v>46036</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25370-2022</t>
        </is>
      </c>
      <c r="B500" s="1" t="n">
        <v>44732.3659837963</v>
      </c>
      <c r="C500" s="1" t="n">
        <v>46036</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58577-2024</t>
        </is>
      </c>
      <c r="B501" s="1" t="n">
        <v>45635.4874537037</v>
      </c>
      <c r="C501" s="1" t="n">
        <v>46036</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29440-2024</t>
        </is>
      </c>
      <c r="B502" s="1" t="n">
        <v>45483.82479166667</v>
      </c>
      <c r="C502" s="1" t="n">
        <v>46036</v>
      </c>
      <c r="D502" t="inlineStr">
        <is>
          <t>KALMAR LÄN</t>
        </is>
      </c>
      <c r="E502" t="inlineStr">
        <is>
          <t>VIMMERBY</t>
        </is>
      </c>
      <c r="G502" t="n">
        <v>4.5</v>
      </c>
      <c r="H502" t="n">
        <v>0</v>
      </c>
      <c r="I502" t="n">
        <v>0</v>
      </c>
      <c r="J502" t="n">
        <v>0</v>
      </c>
      <c r="K502" t="n">
        <v>0</v>
      </c>
      <c r="L502" t="n">
        <v>0</v>
      </c>
      <c r="M502" t="n">
        <v>0</v>
      </c>
      <c r="N502" t="n">
        <v>0</v>
      </c>
      <c r="O502" t="n">
        <v>0</v>
      </c>
      <c r="P502" t="n">
        <v>0</v>
      </c>
      <c r="Q502" t="n">
        <v>0</v>
      </c>
      <c r="R502" s="2" t="inlineStr"/>
    </row>
    <row r="503" ht="15" customHeight="1">
      <c r="A503" t="inlineStr">
        <is>
          <t>A 49871-2025</t>
        </is>
      </c>
      <c r="B503" s="1" t="n">
        <v>45940.54104166666</v>
      </c>
      <c r="C503" s="1" t="n">
        <v>46036</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9129-2025</t>
        </is>
      </c>
      <c r="B504" s="1" t="n">
        <v>45713.92412037037</v>
      </c>
      <c r="C504" s="1" t="n">
        <v>46036</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22197-2024</t>
        </is>
      </c>
      <c r="B505" s="1" t="n">
        <v>45446.36774305555</v>
      </c>
      <c r="C505" s="1" t="n">
        <v>46036</v>
      </c>
      <c r="D505" t="inlineStr">
        <is>
          <t>KALMAR LÄN</t>
        </is>
      </c>
      <c r="E505" t="inlineStr">
        <is>
          <t>VIMMERBY</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53752-2024</t>
        </is>
      </c>
      <c r="B506" s="1" t="n">
        <v>45615.48927083334</v>
      </c>
      <c r="C506" s="1" t="n">
        <v>46036</v>
      </c>
      <c r="D506" t="inlineStr">
        <is>
          <t>KALMAR LÄN</t>
        </is>
      </c>
      <c r="E506" t="inlineStr">
        <is>
          <t>VIMMERBY</t>
        </is>
      </c>
      <c r="G506" t="n">
        <v>2.4</v>
      </c>
      <c r="H506" t="n">
        <v>0</v>
      </c>
      <c r="I506" t="n">
        <v>0</v>
      </c>
      <c r="J506" t="n">
        <v>0</v>
      </c>
      <c r="K506" t="n">
        <v>0</v>
      </c>
      <c r="L506" t="n">
        <v>0</v>
      </c>
      <c r="M506" t="n">
        <v>0</v>
      </c>
      <c r="N506" t="n">
        <v>0</v>
      </c>
      <c r="O506" t="n">
        <v>0</v>
      </c>
      <c r="P506" t="n">
        <v>0</v>
      </c>
      <c r="Q506" t="n">
        <v>0</v>
      </c>
      <c r="R506" s="2" t="inlineStr"/>
    </row>
    <row r="507" ht="15" customHeight="1">
      <c r="A507" t="inlineStr">
        <is>
          <t>A 50544-2025</t>
        </is>
      </c>
      <c r="B507" s="1" t="n">
        <v>45945.50736111111</v>
      </c>
      <c r="C507" s="1" t="n">
        <v>46036</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12121-2025</t>
        </is>
      </c>
      <c r="B508" s="1" t="n">
        <v>45729.36868055556</v>
      </c>
      <c r="C508" s="1" t="n">
        <v>46036</v>
      </c>
      <c r="D508" t="inlineStr">
        <is>
          <t>KALMAR LÄN</t>
        </is>
      </c>
      <c r="E508" t="inlineStr">
        <is>
          <t>VIMMERBY</t>
        </is>
      </c>
      <c r="G508" t="n">
        <v>4.3</v>
      </c>
      <c r="H508" t="n">
        <v>0</v>
      </c>
      <c r="I508" t="n">
        <v>0</v>
      </c>
      <c r="J508" t="n">
        <v>0</v>
      </c>
      <c r="K508" t="n">
        <v>0</v>
      </c>
      <c r="L508" t="n">
        <v>0</v>
      </c>
      <c r="M508" t="n">
        <v>0</v>
      </c>
      <c r="N508" t="n">
        <v>0</v>
      </c>
      <c r="O508" t="n">
        <v>0</v>
      </c>
      <c r="P508" t="n">
        <v>0</v>
      </c>
      <c r="Q508" t="n">
        <v>0</v>
      </c>
      <c r="R508" s="2" t="inlineStr"/>
    </row>
    <row r="509" ht="15" customHeight="1">
      <c r="A509" t="inlineStr">
        <is>
          <t>A 50324-2025</t>
        </is>
      </c>
      <c r="B509" s="1" t="n">
        <v>45944.45962962963</v>
      </c>
      <c r="C509" s="1" t="n">
        <v>46036</v>
      </c>
      <c r="D509" t="inlineStr">
        <is>
          <t>KALMAR LÄN</t>
        </is>
      </c>
      <c r="E509" t="inlineStr">
        <is>
          <t>VIMMERBY</t>
        </is>
      </c>
      <c r="G509" t="n">
        <v>2.1</v>
      </c>
      <c r="H509" t="n">
        <v>0</v>
      </c>
      <c r="I509" t="n">
        <v>0</v>
      </c>
      <c r="J509" t="n">
        <v>0</v>
      </c>
      <c r="K509" t="n">
        <v>0</v>
      </c>
      <c r="L509" t="n">
        <v>0</v>
      </c>
      <c r="M509" t="n">
        <v>0</v>
      </c>
      <c r="N509" t="n">
        <v>0</v>
      </c>
      <c r="O509" t="n">
        <v>0</v>
      </c>
      <c r="P509" t="n">
        <v>0</v>
      </c>
      <c r="Q509" t="n">
        <v>0</v>
      </c>
      <c r="R509" s="2" t="inlineStr"/>
    </row>
    <row r="510" ht="15" customHeight="1">
      <c r="A510" t="inlineStr">
        <is>
          <t>A 9710-2023</t>
        </is>
      </c>
      <c r="B510" s="1" t="n">
        <v>44984</v>
      </c>
      <c r="C510" s="1" t="n">
        <v>46036</v>
      </c>
      <c r="D510" t="inlineStr">
        <is>
          <t>KALMAR LÄN</t>
        </is>
      </c>
      <c r="E510" t="inlineStr">
        <is>
          <t>VIMMERBY</t>
        </is>
      </c>
      <c r="G510" t="n">
        <v>3.7</v>
      </c>
      <c r="H510" t="n">
        <v>0</v>
      </c>
      <c r="I510" t="n">
        <v>0</v>
      </c>
      <c r="J510" t="n">
        <v>0</v>
      </c>
      <c r="K510" t="n">
        <v>0</v>
      </c>
      <c r="L510" t="n">
        <v>0</v>
      </c>
      <c r="M510" t="n">
        <v>0</v>
      </c>
      <c r="N510" t="n">
        <v>0</v>
      </c>
      <c r="O510" t="n">
        <v>0</v>
      </c>
      <c r="P510" t="n">
        <v>0</v>
      </c>
      <c r="Q510" t="n">
        <v>0</v>
      </c>
      <c r="R510" s="2" t="inlineStr"/>
    </row>
    <row r="511" ht="15" customHeight="1">
      <c r="A511" t="inlineStr">
        <is>
          <t>A 9720-2023</t>
        </is>
      </c>
      <c r="B511" s="1" t="n">
        <v>44984</v>
      </c>
      <c r="C511" s="1" t="n">
        <v>46036</v>
      </c>
      <c r="D511" t="inlineStr">
        <is>
          <t>KALMAR LÄN</t>
        </is>
      </c>
      <c r="E511" t="inlineStr">
        <is>
          <t>VIMMERBY</t>
        </is>
      </c>
      <c r="G511" t="n">
        <v>4.4</v>
      </c>
      <c r="H511" t="n">
        <v>0</v>
      </c>
      <c r="I511" t="n">
        <v>0</v>
      </c>
      <c r="J511" t="n">
        <v>0</v>
      </c>
      <c r="K511" t="n">
        <v>0</v>
      </c>
      <c r="L511" t="n">
        <v>0</v>
      </c>
      <c r="M511" t="n">
        <v>0</v>
      </c>
      <c r="N511" t="n">
        <v>0</v>
      </c>
      <c r="O511" t="n">
        <v>0</v>
      </c>
      <c r="P511" t="n">
        <v>0</v>
      </c>
      <c r="Q511" t="n">
        <v>0</v>
      </c>
      <c r="R511" s="2" t="inlineStr"/>
    </row>
    <row r="512" ht="15" customHeight="1">
      <c r="A512" t="inlineStr">
        <is>
          <t>A 15493-2023</t>
        </is>
      </c>
      <c r="B512" s="1" t="n">
        <v>45018</v>
      </c>
      <c r="C512" s="1" t="n">
        <v>46036</v>
      </c>
      <c r="D512" t="inlineStr">
        <is>
          <t>KALMAR LÄN</t>
        </is>
      </c>
      <c r="E512" t="inlineStr">
        <is>
          <t>VIMMERBY</t>
        </is>
      </c>
      <c r="G512" t="n">
        <v>1</v>
      </c>
      <c r="H512" t="n">
        <v>0</v>
      </c>
      <c r="I512" t="n">
        <v>0</v>
      </c>
      <c r="J512" t="n">
        <v>0</v>
      </c>
      <c r="K512" t="n">
        <v>0</v>
      </c>
      <c r="L512" t="n">
        <v>0</v>
      </c>
      <c r="M512" t="n">
        <v>0</v>
      </c>
      <c r="N512" t="n">
        <v>0</v>
      </c>
      <c r="O512" t="n">
        <v>0</v>
      </c>
      <c r="P512" t="n">
        <v>0</v>
      </c>
      <c r="Q512" t="n">
        <v>0</v>
      </c>
      <c r="R512" s="2" t="inlineStr"/>
    </row>
    <row r="513" ht="15" customHeight="1">
      <c r="A513" t="inlineStr">
        <is>
          <t>A 51062-2025</t>
        </is>
      </c>
      <c r="B513" s="1" t="n">
        <v>45947.44685185186</v>
      </c>
      <c r="C513" s="1" t="n">
        <v>46036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29093-2023</t>
        </is>
      </c>
      <c r="B514" s="1" t="n">
        <v>45105</v>
      </c>
      <c r="C514" s="1" t="n">
        <v>46036</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33352-2022</t>
        </is>
      </c>
      <c r="B515" s="1" t="n">
        <v>44788</v>
      </c>
      <c r="C515" s="1" t="n">
        <v>46036</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10674-2021</t>
        </is>
      </c>
      <c r="B516" s="1" t="n">
        <v>44258</v>
      </c>
      <c r="C516" s="1" t="n">
        <v>46036</v>
      </c>
      <c r="D516" t="inlineStr">
        <is>
          <t>KALMAR LÄN</t>
        </is>
      </c>
      <c r="E516" t="inlineStr">
        <is>
          <t>VIMMERBY</t>
        </is>
      </c>
      <c r="G516" t="n">
        <v>8.4</v>
      </c>
      <c r="H516" t="n">
        <v>0</v>
      </c>
      <c r="I516" t="n">
        <v>0</v>
      </c>
      <c r="J516" t="n">
        <v>0</v>
      </c>
      <c r="K516" t="n">
        <v>0</v>
      </c>
      <c r="L516" t="n">
        <v>0</v>
      </c>
      <c r="M516" t="n">
        <v>0</v>
      </c>
      <c r="N516" t="n">
        <v>0</v>
      </c>
      <c r="O516" t="n">
        <v>0</v>
      </c>
      <c r="P516" t="n">
        <v>0</v>
      </c>
      <c r="Q516" t="n">
        <v>0</v>
      </c>
      <c r="R516" s="2" t="inlineStr"/>
    </row>
    <row r="517" ht="15" customHeight="1">
      <c r="A517" t="inlineStr">
        <is>
          <t>A 22264-2023</t>
        </is>
      </c>
      <c r="B517" s="1" t="n">
        <v>45070.3665625</v>
      </c>
      <c r="C517" s="1" t="n">
        <v>46036</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16676-2023</t>
        </is>
      </c>
      <c r="B518" s="1" t="n">
        <v>45028</v>
      </c>
      <c r="C518" s="1" t="n">
        <v>46036</v>
      </c>
      <c r="D518" t="inlineStr">
        <is>
          <t>KALMAR LÄN</t>
        </is>
      </c>
      <c r="E518" t="inlineStr">
        <is>
          <t>VIMMERBY</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6220-2025</t>
        </is>
      </c>
      <c r="B519" s="1" t="n">
        <v>45698.53725694444</v>
      </c>
      <c r="C519" s="1" t="n">
        <v>46036</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24096-2024</t>
        </is>
      </c>
      <c r="B520" s="1" t="n">
        <v>45456.59289351852</v>
      </c>
      <c r="C520" s="1" t="n">
        <v>46036</v>
      </c>
      <c r="D520" t="inlineStr">
        <is>
          <t>KALMAR LÄN</t>
        </is>
      </c>
      <c r="E520" t="inlineStr">
        <is>
          <t>VIMMERBY</t>
        </is>
      </c>
      <c r="G520" t="n">
        <v>2.3</v>
      </c>
      <c r="H520" t="n">
        <v>0</v>
      </c>
      <c r="I520" t="n">
        <v>0</v>
      </c>
      <c r="J520" t="n">
        <v>0</v>
      </c>
      <c r="K520" t="n">
        <v>0</v>
      </c>
      <c r="L520" t="n">
        <v>0</v>
      </c>
      <c r="M520" t="n">
        <v>0</v>
      </c>
      <c r="N520" t="n">
        <v>0</v>
      </c>
      <c r="O520" t="n">
        <v>0</v>
      </c>
      <c r="P520" t="n">
        <v>0</v>
      </c>
      <c r="Q520" t="n">
        <v>0</v>
      </c>
      <c r="R520" s="2" t="inlineStr"/>
    </row>
    <row r="521" ht="15" customHeight="1">
      <c r="A521" t="inlineStr">
        <is>
          <t>A 29013-2024</t>
        </is>
      </c>
      <c r="B521" s="1" t="n">
        <v>45481.55984953704</v>
      </c>
      <c r="C521" s="1" t="n">
        <v>46036</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6066-2023</t>
        </is>
      </c>
      <c r="B522" s="1" t="n">
        <v>44964.50894675926</v>
      </c>
      <c r="C522" s="1" t="n">
        <v>46036</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59955-2023</t>
        </is>
      </c>
      <c r="B523" s="1" t="n">
        <v>45257.70313657408</v>
      </c>
      <c r="C523" s="1" t="n">
        <v>46036</v>
      </c>
      <c r="D523" t="inlineStr">
        <is>
          <t>KALMAR LÄN</t>
        </is>
      </c>
      <c r="E523" t="inlineStr">
        <is>
          <t>VIMMERBY</t>
        </is>
      </c>
      <c r="G523" t="n">
        <v>13.8</v>
      </c>
      <c r="H523" t="n">
        <v>0</v>
      </c>
      <c r="I523" t="n">
        <v>0</v>
      </c>
      <c r="J523" t="n">
        <v>0</v>
      </c>
      <c r="K523" t="n">
        <v>0</v>
      </c>
      <c r="L523" t="n">
        <v>0</v>
      </c>
      <c r="M523" t="n">
        <v>0</v>
      </c>
      <c r="N523" t="n">
        <v>0</v>
      </c>
      <c r="O523" t="n">
        <v>0</v>
      </c>
      <c r="P523" t="n">
        <v>0</v>
      </c>
      <c r="Q523" t="n">
        <v>0</v>
      </c>
      <c r="R523" s="2" t="inlineStr"/>
    </row>
    <row r="524" ht="15" customHeight="1">
      <c r="A524" t="inlineStr">
        <is>
          <t>A 36040-2024</t>
        </is>
      </c>
      <c r="B524" s="1" t="n">
        <v>45533.60232638889</v>
      </c>
      <c r="C524" s="1" t="n">
        <v>46036</v>
      </c>
      <c r="D524" t="inlineStr">
        <is>
          <t>KALMAR LÄN</t>
        </is>
      </c>
      <c r="E524" t="inlineStr">
        <is>
          <t>VIMMERBY</t>
        </is>
      </c>
      <c r="F524" t="inlineStr">
        <is>
          <t>Kommuner</t>
        </is>
      </c>
      <c r="G524" t="n">
        <v>3.6</v>
      </c>
      <c r="H524" t="n">
        <v>0</v>
      </c>
      <c r="I524" t="n">
        <v>0</v>
      </c>
      <c r="J524" t="n">
        <v>0</v>
      </c>
      <c r="K524" t="n">
        <v>0</v>
      </c>
      <c r="L524" t="n">
        <v>0</v>
      </c>
      <c r="M524" t="n">
        <v>0</v>
      </c>
      <c r="N524" t="n">
        <v>0</v>
      </c>
      <c r="O524" t="n">
        <v>0</v>
      </c>
      <c r="P524" t="n">
        <v>0</v>
      </c>
      <c r="Q524" t="n">
        <v>0</v>
      </c>
      <c r="R524" s="2" t="inlineStr"/>
    </row>
    <row r="525" ht="15" customHeight="1">
      <c r="A525" t="inlineStr">
        <is>
          <t>A 36043-2024</t>
        </is>
      </c>
      <c r="B525" s="1" t="n">
        <v>45533.60770833334</v>
      </c>
      <c r="C525" s="1" t="n">
        <v>46036</v>
      </c>
      <c r="D525" t="inlineStr">
        <is>
          <t>KALMAR LÄN</t>
        </is>
      </c>
      <c r="E525" t="inlineStr">
        <is>
          <t>VIMMERBY</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12890-2023</t>
        </is>
      </c>
      <c r="B526" s="1" t="n">
        <v>45001.59209490741</v>
      </c>
      <c r="C526" s="1" t="n">
        <v>46036</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43594-2024</t>
        </is>
      </c>
      <c r="B527" s="1" t="n">
        <v>45569.44295138889</v>
      </c>
      <c r="C527" s="1" t="n">
        <v>46036</v>
      </c>
      <c r="D527" t="inlineStr">
        <is>
          <t>KALMAR LÄN</t>
        </is>
      </c>
      <c r="E527" t="inlineStr">
        <is>
          <t>VIMMERBY</t>
        </is>
      </c>
      <c r="G527" t="n">
        <v>3.9</v>
      </c>
      <c r="H527" t="n">
        <v>0</v>
      </c>
      <c r="I527" t="n">
        <v>0</v>
      </c>
      <c r="J527" t="n">
        <v>0</v>
      </c>
      <c r="K527" t="n">
        <v>0</v>
      </c>
      <c r="L527" t="n">
        <v>0</v>
      </c>
      <c r="M527" t="n">
        <v>0</v>
      </c>
      <c r="N527" t="n">
        <v>0</v>
      </c>
      <c r="O527" t="n">
        <v>0</v>
      </c>
      <c r="P527" t="n">
        <v>0</v>
      </c>
      <c r="Q527" t="n">
        <v>0</v>
      </c>
      <c r="R527" s="2" t="inlineStr"/>
    </row>
    <row r="528" ht="15" customHeight="1">
      <c r="A528" t="inlineStr">
        <is>
          <t>A 51990-2025</t>
        </is>
      </c>
      <c r="B528" s="1" t="n">
        <v>45952.58061342593</v>
      </c>
      <c r="C528" s="1" t="n">
        <v>46036</v>
      </c>
      <c r="D528" t="inlineStr">
        <is>
          <t>KALMAR LÄN</t>
        </is>
      </c>
      <c r="E528" t="inlineStr">
        <is>
          <t>VIMMERBY</t>
        </is>
      </c>
      <c r="G528" t="n">
        <v>2.4</v>
      </c>
      <c r="H528" t="n">
        <v>0</v>
      </c>
      <c r="I528" t="n">
        <v>0</v>
      </c>
      <c r="J528" t="n">
        <v>0</v>
      </c>
      <c r="K528" t="n">
        <v>0</v>
      </c>
      <c r="L528" t="n">
        <v>0</v>
      </c>
      <c r="M528" t="n">
        <v>0</v>
      </c>
      <c r="N528" t="n">
        <v>0</v>
      </c>
      <c r="O528" t="n">
        <v>0</v>
      </c>
      <c r="P528" t="n">
        <v>0</v>
      </c>
      <c r="Q528" t="n">
        <v>0</v>
      </c>
      <c r="R528" s="2" t="inlineStr"/>
    </row>
    <row r="529" ht="15" customHeight="1">
      <c r="A529" t="inlineStr">
        <is>
          <t>A 53482-2022</t>
        </is>
      </c>
      <c r="B529" s="1" t="n">
        <v>44879</v>
      </c>
      <c r="C529" s="1" t="n">
        <v>46036</v>
      </c>
      <c r="D529" t="inlineStr">
        <is>
          <t>KALMAR LÄN</t>
        </is>
      </c>
      <c r="E529" t="inlineStr">
        <is>
          <t>VIMMERBY</t>
        </is>
      </c>
      <c r="G529" t="n">
        <v>10.1</v>
      </c>
      <c r="H529" t="n">
        <v>0</v>
      </c>
      <c r="I529" t="n">
        <v>0</v>
      </c>
      <c r="J529" t="n">
        <v>0</v>
      </c>
      <c r="K529" t="n">
        <v>0</v>
      </c>
      <c r="L529" t="n">
        <v>0</v>
      </c>
      <c r="M529" t="n">
        <v>0</v>
      </c>
      <c r="N529" t="n">
        <v>0</v>
      </c>
      <c r="O529" t="n">
        <v>0</v>
      </c>
      <c r="P529" t="n">
        <v>0</v>
      </c>
      <c r="Q529" t="n">
        <v>0</v>
      </c>
      <c r="R529" s="2" t="inlineStr"/>
    </row>
    <row r="530" ht="15" customHeight="1">
      <c r="A530" t="inlineStr">
        <is>
          <t>A 60297-2025</t>
        </is>
      </c>
      <c r="B530" s="1" t="n">
        <v>45994</v>
      </c>
      <c r="C530" s="1" t="n">
        <v>46036</v>
      </c>
      <c r="D530" t="inlineStr">
        <is>
          <t>KALMAR LÄN</t>
        </is>
      </c>
      <c r="E530" t="inlineStr">
        <is>
          <t>VIMMERBY</t>
        </is>
      </c>
      <c r="G530" t="n">
        <v>4.2</v>
      </c>
      <c r="H530" t="n">
        <v>0</v>
      </c>
      <c r="I530" t="n">
        <v>0</v>
      </c>
      <c r="J530" t="n">
        <v>0</v>
      </c>
      <c r="K530" t="n">
        <v>0</v>
      </c>
      <c r="L530" t="n">
        <v>0</v>
      </c>
      <c r="M530" t="n">
        <v>0</v>
      </c>
      <c r="N530" t="n">
        <v>0</v>
      </c>
      <c r="O530" t="n">
        <v>0</v>
      </c>
      <c r="P530" t="n">
        <v>0</v>
      </c>
      <c r="Q530" t="n">
        <v>0</v>
      </c>
      <c r="R530" s="2" t="inlineStr"/>
    </row>
    <row r="531" ht="15" customHeight="1">
      <c r="A531" t="inlineStr">
        <is>
          <t>A 27761-2024</t>
        </is>
      </c>
      <c r="B531" s="1" t="n">
        <v>45475.49018518518</v>
      </c>
      <c r="C531" s="1" t="n">
        <v>46036</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64203-2021</t>
        </is>
      </c>
      <c r="B532" s="1" t="n">
        <v>44510.60921296296</v>
      </c>
      <c r="C532" s="1" t="n">
        <v>46036</v>
      </c>
      <c r="D532" t="inlineStr">
        <is>
          <t>KALMAR LÄN</t>
        </is>
      </c>
      <c r="E532" t="inlineStr">
        <is>
          <t>VIMMERBY</t>
        </is>
      </c>
      <c r="F532" t="inlineStr">
        <is>
          <t>Övriga Aktiebolag</t>
        </is>
      </c>
      <c r="G532" t="n">
        <v>5.4</v>
      </c>
      <c r="H532" t="n">
        <v>0</v>
      </c>
      <c r="I532" t="n">
        <v>0</v>
      </c>
      <c r="J532" t="n">
        <v>0</v>
      </c>
      <c r="K532" t="n">
        <v>0</v>
      </c>
      <c r="L532" t="n">
        <v>0</v>
      </c>
      <c r="M532" t="n">
        <v>0</v>
      </c>
      <c r="N532" t="n">
        <v>0</v>
      </c>
      <c r="O532" t="n">
        <v>0</v>
      </c>
      <c r="P532" t="n">
        <v>0</v>
      </c>
      <c r="Q532" t="n">
        <v>0</v>
      </c>
      <c r="R532" s="2" t="inlineStr"/>
    </row>
    <row r="533" ht="15" customHeight="1">
      <c r="A533" t="inlineStr">
        <is>
          <t>A 5720-2023</t>
        </is>
      </c>
      <c r="B533" s="1" t="n">
        <v>44961</v>
      </c>
      <c r="C533" s="1" t="n">
        <v>46036</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9643-2023</t>
        </is>
      </c>
      <c r="B534" s="1" t="n">
        <v>44984</v>
      </c>
      <c r="C534" s="1" t="n">
        <v>46036</v>
      </c>
      <c r="D534" t="inlineStr">
        <is>
          <t>KALMAR LÄN</t>
        </is>
      </c>
      <c r="E534" t="inlineStr">
        <is>
          <t>VIMMERBY</t>
        </is>
      </c>
      <c r="G534" t="n">
        <v>2</v>
      </c>
      <c r="H534" t="n">
        <v>0</v>
      </c>
      <c r="I534" t="n">
        <v>0</v>
      </c>
      <c r="J534" t="n">
        <v>0</v>
      </c>
      <c r="K534" t="n">
        <v>0</v>
      </c>
      <c r="L534" t="n">
        <v>0</v>
      </c>
      <c r="M534" t="n">
        <v>0</v>
      </c>
      <c r="N534" t="n">
        <v>0</v>
      </c>
      <c r="O534" t="n">
        <v>0</v>
      </c>
      <c r="P534" t="n">
        <v>0</v>
      </c>
      <c r="Q534" t="n">
        <v>0</v>
      </c>
      <c r="R534" s="2" t="inlineStr"/>
    </row>
    <row r="535" ht="15" customHeight="1">
      <c r="A535" t="inlineStr">
        <is>
          <t>A 51993-2025</t>
        </is>
      </c>
      <c r="B535" s="1" t="n">
        <v>45952.58194444444</v>
      </c>
      <c r="C535" s="1" t="n">
        <v>46036</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25728-2023</t>
        </is>
      </c>
      <c r="B536" s="1" t="n">
        <v>45090.38012731481</v>
      </c>
      <c r="C536" s="1" t="n">
        <v>46036</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60180-2025</t>
        </is>
      </c>
      <c r="B537" s="1" t="n">
        <v>45994.46428240741</v>
      </c>
      <c r="C537" s="1" t="n">
        <v>46036</v>
      </c>
      <c r="D537" t="inlineStr">
        <is>
          <t>KALMAR LÄN</t>
        </is>
      </c>
      <c r="E537" t="inlineStr">
        <is>
          <t>VIMMERBY</t>
        </is>
      </c>
      <c r="G537" t="n">
        <v>6.8</v>
      </c>
      <c r="H537" t="n">
        <v>0</v>
      </c>
      <c r="I537" t="n">
        <v>0</v>
      </c>
      <c r="J537" t="n">
        <v>0</v>
      </c>
      <c r="K537" t="n">
        <v>0</v>
      </c>
      <c r="L537" t="n">
        <v>0</v>
      </c>
      <c r="M537" t="n">
        <v>0</v>
      </c>
      <c r="N537" t="n">
        <v>0</v>
      </c>
      <c r="O537" t="n">
        <v>0</v>
      </c>
      <c r="P537" t="n">
        <v>0</v>
      </c>
      <c r="Q537" t="n">
        <v>0</v>
      </c>
      <c r="R537" s="2" t="inlineStr"/>
    </row>
    <row r="538" ht="15" customHeight="1">
      <c r="A538" t="inlineStr">
        <is>
          <t>A 52465-2025</t>
        </is>
      </c>
      <c r="B538" s="1" t="n">
        <v>45954.44543981482</v>
      </c>
      <c r="C538" s="1" t="n">
        <v>46036</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41311-2023</t>
        </is>
      </c>
      <c r="B539" s="1" t="n">
        <v>45174</v>
      </c>
      <c r="C539" s="1" t="n">
        <v>46036</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26318-2023</t>
        </is>
      </c>
      <c r="B540" s="1" t="n">
        <v>45091.67936342592</v>
      </c>
      <c r="C540" s="1" t="n">
        <v>46036</v>
      </c>
      <c r="D540" t="inlineStr">
        <is>
          <t>KALMAR LÄN</t>
        </is>
      </c>
      <c r="E540" t="inlineStr">
        <is>
          <t>VIMMERBY</t>
        </is>
      </c>
      <c r="G540" t="n">
        <v>3.8</v>
      </c>
      <c r="H540" t="n">
        <v>0</v>
      </c>
      <c r="I540" t="n">
        <v>0</v>
      </c>
      <c r="J540" t="n">
        <v>0</v>
      </c>
      <c r="K540" t="n">
        <v>0</v>
      </c>
      <c r="L540" t="n">
        <v>0</v>
      </c>
      <c r="M540" t="n">
        <v>0</v>
      </c>
      <c r="N540" t="n">
        <v>0</v>
      </c>
      <c r="O540" t="n">
        <v>0</v>
      </c>
      <c r="P540" t="n">
        <v>0</v>
      </c>
      <c r="Q540" t="n">
        <v>0</v>
      </c>
      <c r="R540" s="2" t="inlineStr"/>
    </row>
    <row r="541" ht="15" customHeight="1">
      <c r="A541" t="inlineStr">
        <is>
          <t>A 52451-2025</t>
        </is>
      </c>
      <c r="B541" s="1" t="n">
        <v>45954.42326388889</v>
      </c>
      <c r="C541" s="1" t="n">
        <v>46036</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52516-2025</t>
        </is>
      </c>
      <c r="B542" s="1" t="n">
        <v>45954.51412037037</v>
      </c>
      <c r="C542" s="1" t="n">
        <v>46036</v>
      </c>
      <c r="D542" t="inlineStr">
        <is>
          <t>KALMAR LÄN</t>
        </is>
      </c>
      <c r="E542" t="inlineStr">
        <is>
          <t>VIMMERBY</t>
        </is>
      </c>
      <c r="G542" t="n">
        <v>2.8</v>
      </c>
      <c r="H542" t="n">
        <v>0</v>
      </c>
      <c r="I542" t="n">
        <v>0</v>
      </c>
      <c r="J542" t="n">
        <v>0</v>
      </c>
      <c r="K542" t="n">
        <v>0</v>
      </c>
      <c r="L542" t="n">
        <v>0</v>
      </c>
      <c r="M542" t="n">
        <v>0</v>
      </c>
      <c r="N542" t="n">
        <v>0</v>
      </c>
      <c r="O542" t="n">
        <v>0</v>
      </c>
      <c r="P542" t="n">
        <v>0</v>
      </c>
      <c r="Q542" t="n">
        <v>0</v>
      </c>
      <c r="R542" s="2" t="inlineStr"/>
    </row>
    <row r="543" ht="15" customHeight="1">
      <c r="A543" t="inlineStr">
        <is>
          <t>A 52466-2025</t>
        </is>
      </c>
      <c r="B543" s="1" t="n">
        <v>45954.44707175926</v>
      </c>
      <c r="C543" s="1" t="n">
        <v>46036</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52473-2025</t>
        </is>
      </c>
      <c r="B544" s="1" t="n">
        <v>45954.45947916667</v>
      </c>
      <c r="C544" s="1" t="n">
        <v>46036</v>
      </c>
      <c r="D544" t="inlineStr">
        <is>
          <t>KALMAR LÄN</t>
        </is>
      </c>
      <c r="E544" t="inlineStr">
        <is>
          <t>VIMMERBY</t>
        </is>
      </c>
      <c r="G544" t="n">
        <v>2.4</v>
      </c>
      <c r="H544" t="n">
        <v>0</v>
      </c>
      <c r="I544" t="n">
        <v>0</v>
      </c>
      <c r="J544" t="n">
        <v>0</v>
      </c>
      <c r="K544" t="n">
        <v>0</v>
      </c>
      <c r="L544" t="n">
        <v>0</v>
      </c>
      <c r="M544" t="n">
        <v>0</v>
      </c>
      <c r="N544" t="n">
        <v>0</v>
      </c>
      <c r="O544" t="n">
        <v>0</v>
      </c>
      <c r="P544" t="n">
        <v>0</v>
      </c>
      <c r="Q544" t="n">
        <v>0</v>
      </c>
      <c r="R544" s="2" t="inlineStr"/>
    </row>
    <row r="545" ht="15" customHeight="1">
      <c r="A545" t="inlineStr">
        <is>
          <t>A 52480-2025</t>
        </is>
      </c>
      <c r="B545" s="1" t="n">
        <v>45954.47172453703</v>
      </c>
      <c r="C545" s="1" t="n">
        <v>46036</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61355-2024</t>
        </is>
      </c>
      <c r="B546" s="1" t="n">
        <v>45646.38200231481</v>
      </c>
      <c r="C546" s="1" t="n">
        <v>46036</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52475-2025</t>
        </is>
      </c>
      <c r="B547" s="1" t="n">
        <v>45954.468125</v>
      </c>
      <c r="C547" s="1" t="n">
        <v>46036</v>
      </c>
      <c r="D547" t="inlineStr">
        <is>
          <t>KALMAR LÄN</t>
        </is>
      </c>
      <c r="E547" t="inlineStr">
        <is>
          <t>VIMMERBY</t>
        </is>
      </c>
      <c r="G547" t="n">
        <v>1.5</v>
      </c>
      <c r="H547" t="n">
        <v>0</v>
      </c>
      <c r="I547" t="n">
        <v>0</v>
      </c>
      <c r="J547" t="n">
        <v>0</v>
      </c>
      <c r="K547" t="n">
        <v>0</v>
      </c>
      <c r="L547" t="n">
        <v>0</v>
      </c>
      <c r="M547" t="n">
        <v>0</v>
      </c>
      <c r="N547" t="n">
        <v>0</v>
      </c>
      <c r="O547" t="n">
        <v>0</v>
      </c>
      <c r="P547" t="n">
        <v>0</v>
      </c>
      <c r="Q547" t="n">
        <v>0</v>
      </c>
      <c r="R547" s="2" t="inlineStr"/>
    </row>
    <row r="548" ht="15" customHeight="1">
      <c r="A548" t="inlineStr">
        <is>
          <t>A 36802-2021</t>
        </is>
      </c>
      <c r="B548" s="1" t="n">
        <v>44392</v>
      </c>
      <c r="C548" s="1" t="n">
        <v>46036</v>
      </c>
      <c r="D548" t="inlineStr">
        <is>
          <t>KALMAR LÄN</t>
        </is>
      </c>
      <c r="E548" t="inlineStr">
        <is>
          <t>VIMMERBY</t>
        </is>
      </c>
      <c r="F548" t="inlineStr">
        <is>
          <t>Sveaskog</t>
        </is>
      </c>
      <c r="G548" t="n">
        <v>4.6</v>
      </c>
      <c r="H548" t="n">
        <v>0</v>
      </c>
      <c r="I548" t="n">
        <v>0</v>
      </c>
      <c r="J548" t="n">
        <v>0</v>
      </c>
      <c r="K548" t="n">
        <v>0</v>
      </c>
      <c r="L548" t="n">
        <v>0</v>
      </c>
      <c r="M548" t="n">
        <v>0</v>
      </c>
      <c r="N548" t="n">
        <v>0</v>
      </c>
      <c r="O548" t="n">
        <v>0</v>
      </c>
      <c r="P548" t="n">
        <v>0</v>
      </c>
      <c r="Q548" t="n">
        <v>0</v>
      </c>
      <c r="R548" s="2" t="inlineStr"/>
    </row>
    <row r="549" ht="15" customHeight="1">
      <c r="A549" t="inlineStr">
        <is>
          <t>A 53396-2025</t>
        </is>
      </c>
      <c r="B549" s="1" t="n">
        <v>45959.55577546296</v>
      </c>
      <c r="C549" s="1" t="n">
        <v>46036</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53416-2025</t>
        </is>
      </c>
      <c r="B550" s="1" t="n">
        <v>45959.58387731481</v>
      </c>
      <c r="C550" s="1" t="n">
        <v>46036</v>
      </c>
      <c r="D550" t="inlineStr">
        <is>
          <t>KALMAR LÄN</t>
        </is>
      </c>
      <c r="E550" t="inlineStr">
        <is>
          <t>VIMMERBY</t>
        </is>
      </c>
      <c r="G550" t="n">
        <v>4.4</v>
      </c>
      <c r="H550" t="n">
        <v>0</v>
      </c>
      <c r="I550" t="n">
        <v>0</v>
      </c>
      <c r="J550" t="n">
        <v>0</v>
      </c>
      <c r="K550" t="n">
        <v>0</v>
      </c>
      <c r="L550" t="n">
        <v>0</v>
      </c>
      <c r="M550" t="n">
        <v>0</v>
      </c>
      <c r="N550" t="n">
        <v>0</v>
      </c>
      <c r="O550" t="n">
        <v>0</v>
      </c>
      <c r="P550" t="n">
        <v>0</v>
      </c>
      <c r="Q550" t="n">
        <v>0</v>
      </c>
      <c r="R550" s="2" t="inlineStr"/>
    </row>
    <row r="551" ht="15" customHeight="1">
      <c r="A551" t="inlineStr">
        <is>
          <t>A 53398-2025</t>
        </is>
      </c>
      <c r="B551" s="1" t="n">
        <v>45959.56247685185</v>
      </c>
      <c r="C551" s="1" t="n">
        <v>46036</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53397-2025</t>
        </is>
      </c>
      <c r="B552" s="1" t="n">
        <v>45959.55918981481</v>
      </c>
      <c r="C552" s="1" t="n">
        <v>46036</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53220-2025</t>
        </is>
      </c>
      <c r="B553" s="1" t="n">
        <v>45958.60146990741</v>
      </c>
      <c r="C553" s="1" t="n">
        <v>46036</v>
      </c>
      <c r="D553" t="inlineStr">
        <is>
          <t>KALMAR LÄN</t>
        </is>
      </c>
      <c r="E553" t="inlineStr">
        <is>
          <t>VIMMERBY</t>
        </is>
      </c>
      <c r="G553" t="n">
        <v>2.2</v>
      </c>
      <c r="H553" t="n">
        <v>0</v>
      </c>
      <c r="I553" t="n">
        <v>0</v>
      </c>
      <c r="J553" t="n">
        <v>0</v>
      </c>
      <c r="K553" t="n">
        <v>0</v>
      </c>
      <c r="L553" t="n">
        <v>0</v>
      </c>
      <c r="M553" t="n">
        <v>0</v>
      </c>
      <c r="N553" t="n">
        <v>0</v>
      </c>
      <c r="O553" t="n">
        <v>0</v>
      </c>
      <c r="P553" t="n">
        <v>0</v>
      </c>
      <c r="Q553" t="n">
        <v>0</v>
      </c>
      <c r="R553" s="2" t="inlineStr"/>
    </row>
    <row r="554" ht="15" customHeight="1">
      <c r="A554" t="inlineStr">
        <is>
          <t>A 38198-2024</t>
        </is>
      </c>
      <c r="B554" s="1" t="n">
        <v>45545.49508101852</v>
      </c>
      <c r="C554" s="1" t="n">
        <v>46036</v>
      </c>
      <c r="D554" t="inlineStr">
        <is>
          <t>KALMAR LÄN</t>
        </is>
      </c>
      <c r="E554" t="inlineStr">
        <is>
          <t>VIMMERBY</t>
        </is>
      </c>
      <c r="G554" t="n">
        <v>7.9</v>
      </c>
      <c r="H554" t="n">
        <v>0</v>
      </c>
      <c r="I554" t="n">
        <v>0</v>
      </c>
      <c r="J554" t="n">
        <v>0</v>
      </c>
      <c r="K554" t="n">
        <v>0</v>
      </c>
      <c r="L554" t="n">
        <v>0</v>
      </c>
      <c r="M554" t="n">
        <v>0</v>
      </c>
      <c r="N554" t="n">
        <v>0</v>
      </c>
      <c r="O554" t="n">
        <v>0</v>
      </c>
      <c r="P554" t="n">
        <v>0</v>
      </c>
      <c r="Q554" t="n">
        <v>0</v>
      </c>
      <c r="R554" s="2" t="inlineStr"/>
    </row>
    <row r="555" ht="15" customHeight="1">
      <c r="A555" t="inlineStr">
        <is>
          <t>A 9623-2024</t>
        </is>
      </c>
      <c r="B555" s="1" t="n">
        <v>45361.87975694444</v>
      </c>
      <c r="C555" s="1" t="n">
        <v>46036</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58967-2022</t>
        </is>
      </c>
      <c r="B556" s="1" t="n">
        <v>44896</v>
      </c>
      <c r="C556" s="1" t="n">
        <v>46036</v>
      </c>
      <c r="D556" t="inlineStr">
        <is>
          <t>KALMAR LÄN</t>
        </is>
      </c>
      <c r="E556" t="inlineStr">
        <is>
          <t>VIMMERBY</t>
        </is>
      </c>
      <c r="G556" t="n">
        <v>5</v>
      </c>
      <c r="H556" t="n">
        <v>0</v>
      </c>
      <c r="I556" t="n">
        <v>0</v>
      </c>
      <c r="J556" t="n">
        <v>0</v>
      </c>
      <c r="K556" t="n">
        <v>0</v>
      </c>
      <c r="L556" t="n">
        <v>0</v>
      </c>
      <c r="M556" t="n">
        <v>0</v>
      </c>
      <c r="N556" t="n">
        <v>0</v>
      </c>
      <c r="O556" t="n">
        <v>0</v>
      </c>
      <c r="P556" t="n">
        <v>0</v>
      </c>
      <c r="Q556" t="n">
        <v>0</v>
      </c>
      <c r="R556" s="2" t="inlineStr"/>
    </row>
    <row r="557" ht="15" customHeight="1">
      <c r="A557" t="inlineStr">
        <is>
          <t>A 6399-2025</t>
        </is>
      </c>
      <c r="B557" s="1" t="n">
        <v>45699.44291666667</v>
      </c>
      <c r="C557" s="1" t="n">
        <v>46036</v>
      </c>
      <c r="D557" t="inlineStr">
        <is>
          <t>KALMAR LÄN</t>
        </is>
      </c>
      <c r="E557" t="inlineStr">
        <is>
          <t>VIMMERBY</t>
        </is>
      </c>
      <c r="G557" t="n">
        <v>3.1</v>
      </c>
      <c r="H557" t="n">
        <v>0</v>
      </c>
      <c r="I557" t="n">
        <v>0</v>
      </c>
      <c r="J557" t="n">
        <v>0</v>
      </c>
      <c r="K557" t="n">
        <v>0</v>
      </c>
      <c r="L557" t="n">
        <v>0</v>
      </c>
      <c r="M557" t="n">
        <v>0</v>
      </c>
      <c r="N557" t="n">
        <v>0</v>
      </c>
      <c r="O557" t="n">
        <v>0</v>
      </c>
      <c r="P557" t="n">
        <v>0</v>
      </c>
      <c r="Q557" t="n">
        <v>0</v>
      </c>
      <c r="R557" s="2" t="inlineStr"/>
    </row>
    <row r="558" ht="15" customHeight="1">
      <c r="A558" t="inlineStr">
        <is>
          <t>A 31355-2023</t>
        </is>
      </c>
      <c r="B558" s="1" t="n">
        <v>45114.49505787037</v>
      </c>
      <c r="C558" s="1" t="n">
        <v>46036</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53393-2025</t>
        </is>
      </c>
      <c r="B559" s="1" t="n">
        <v>45959.55284722222</v>
      </c>
      <c r="C559" s="1" t="n">
        <v>46036</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30400-2023</t>
        </is>
      </c>
      <c r="B560" s="1" t="n">
        <v>45111.48225694444</v>
      </c>
      <c r="C560" s="1" t="n">
        <v>46036</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30404-2023</t>
        </is>
      </c>
      <c r="B561" s="1" t="n">
        <v>45111.48636574074</v>
      </c>
      <c r="C561" s="1" t="n">
        <v>46036</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53413-2025</t>
        </is>
      </c>
      <c r="B562" s="1" t="n">
        <v>45959.5787037037</v>
      </c>
      <c r="C562" s="1" t="n">
        <v>46036</v>
      </c>
      <c r="D562" t="inlineStr">
        <is>
          <t>KALMAR LÄN</t>
        </is>
      </c>
      <c r="E562" t="inlineStr">
        <is>
          <t>VIMMERBY</t>
        </is>
      </c>
      <c r="G562" t="n">
        <v>4.3</v>
      </c>
      <c r="H562" t="n">
        <v>0</v>
      </c>
      <c r="I562" t="n">
        <v>0</v>
      </c>
      <c r="J562" t="n">
        <v>0</v>
      </c>
      <c r="K562" t="n">
        <v>0</v>
      </c>
      <c r="L562" t="n">
        <v>0</v>
      </c>
      <c r="M562" t="n">
        <v>0</v>
      </c>
      <c r="N562" t="n">
        <v>0</v>
      </c>
      <c r="O562" t="n">
        <v>0</v>
      </c>
      <c r="P562" t="n">
        <v>0</v>
      </c>
      <c r="Q562" t="n">
        <v>0</v>
      </c>
      <c r="R562" s="2" t="inlineStr"/>
    </row>
    <row r="563" ht="15" customHeight="1">
      <c r="A563" t="inlineStr">
        <is>
          <t>A 27705-2023</t>
        </is>
      </c>
      <c r="B563" s="1" t="n">
        <v>45098.30535879629</v>
      </c>
      <c r="C563" s="1" t="n">
        <v>46036</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53903-2025</t>
        </is>
      </c>
      <c r="B564" s="1" t="n">
        <v>45961.43738425926</v>
      </c>
      <c r="C564" s="1" t="n">
        <v>46036</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53920-2025</t>
        </is>
      </c>
      <c r="B565" s="1" t="n">
        <v>45961.44951388889</v>
      </c>
      <c r="C565" s="1" t="n">
        <v>46036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53927-2025</t>
        </is>
      </c>
      <c r="B566" s="1" t="n">
        <v>45961.46740740741</v>
      </c>
      <c r="C566" s="1" t="n">
        <v>46036</v>
      </c>
      <c r="D566" t="inlineStr">
        <is>
          <t>KALMAR LÄN</t>
        </is>
      </c>
      <c r="E566" t="inlineStr">
        <is>
          <t>VIMMERBY</t>
        </is>
      </c>
      <c r="G566" t="n">
        <v>2.5</v>
      </c>
      <c r="H566" t="n">
        <v>0</v>
      </c>
      <c r="I566" t="n">
        <v>0</v>
      </c>
      <c r="J566" t="n">
        <v>0</v>
      </c>
      <c r="K566" t="n">
        <v>0</v>
      </c>
      <c r="L566" t="n">
        <v>0</v>
      </c>
      <c r="M566" t="n">
        <v>0</v>
      </c>
      <c r="N566" t="n">
        <v>0</v>
      </c>
      <c r="O566" t="n">
        <v>0</v>
      </c>
      <c r="P566" t="n">
        <v>0</v>
      </c>
      <c r="Q566" t="n">
        <v>0</v>
      </c>
      <c r="R566" s="2" t="inlineStr"/>
    </row>
    <row r="567" ht="15" customHeight="1">
      <c r="A567" t="inlineStr">
        <is>
          <t>A 61725-2025</t>
        </is>
      </c>
      <c r="B567" s="1" t="n">
        <v>46002.58680555555</v>
      </c>
      <c r="C567" s="1" t="n">
        <v>46036</v>
      </c>
      <c r="D567" t="inlineStr">
        <is>
          <t>KALMAR LÄN</t>
        </is>
      </c>
      <c r="E567" t="inlineStr">
        <is>
          <t>VIMMERBY</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53789-2025</t>
        </is>
      </c>
      <c r="B568" s="1" t="n">
        <v>45960</v>
      </c>
      <c r="C568" s="1" t="n">
        <v>46036</v>
      </c>
      <c r="D568" t="inlineStr">
        <is>
          <t>KALMAR LÄN</t>
        </is>
      </c>
      <c r="E568" t="inlineStr">
        <is>
          <t>VIMMERBY</t>
        </is>
      </c>
      <c r="F568" t="inlineStr">
        <is>
          <t>Övriga statliga verk och myndigheter</t>
        </is>
      </c>
      <c r="G568" t="n">
        <v>1.6</v>
      </c>
      <c r="H568" t="n">
        <v>0</v>
      </c>
      <c r="I568" t="n">
        <v>0</v>
      </c>
      <c r="J568" t="n">
        <v>0</v>
      </c>
      <c r="K568" t="n">
        <v>0</v>
      </c>
      <c r="L568" t="n">
        <v>0</v>
      </c>
      <c r="M568" t="n">
        <v>0</v>
      </c>
      <c r="N568" t="n">
        <v>0</v>
      </c>
      <c r="O568" t="n">
        <v>0</v>
      </c>
      <c r="P568" t="n">
        <v>0</v>
      </c>
      <c r="Q568" t="n">
        <v>0</v>
      </c>
      <c r="R568" s="2" t="inlineStr"/>
    </row>
    <row r="569" ht="15" customHeight="1">
      <c r="A569" t="inlineStr">
        <is>
          <t>A 61726-2025</t>
        </is>
      </c>
      <c r="B569" s="1" t="n">
        <v>46002.58822916666</v>
      </c>
      <c r="C569" s="1" t="n">
        <v>46036</v>
      </c>
      <c r="D569" t="inlineStr">
        <is>
          <t>KALMAR LÄN</t>
        </is>
      </c>
      <c r="E569" t="inlineStr">
        <is>
          <t>VIMMERBY</t>
        </is>
      </c>
      <c r="F569" t="inlineStr">
        <is>
          <t>Sveaskog</t>
        </is>
      </c>
      <c r="G569" t="n">
        <v>0.2</v>
      </c>
      <c r="H569" t="n">
        <v>0</v>
      </c>
      <c r="I569" t="n">
        <v>0</v>
      </c>
      <c r="J569" t="n">
        <v>0</v>
      </c>
      <c r="K569" t="n">
        <v>0</v>
      </c>
      <c r="L569" t="n">
        <v>0</v>
      </c>
      <c r="M569" t="n">
        <v>0</v>
      </c>
      <c r="N569" t="n">
        <v>0</v>
      </c>
      <c r="O569" t="n">
        <v>0</v>
      </c>
      <c r="P569" t="n">
        <v>0</v>
      </c>
      <c r="Q569" t="n">
        <v>0</v>
      </c>
      <c r="R569" s="2" t="inlineStr"/>
    </row>
    <row r="570" ht="15" customHeight="1">
      <c r="A570" t="inlineStr">
        <is>
          <t>A 53923-2025</t>
        </is>
      </c>
      <c r="B570" s="1" t="n">
        <v>45961.4569212963</v>
      </c>
      <c r="C570" s="1" t="n">
        <v>46036</v>
      </c>
      <c r="D570" t="inlineStr">
        <is>
          <t>KALMAR LÄN</t>
        </is>
      </c>
      <c r="E570" t="inlineStr">
        <is>
          <t>VIMMERBY</t>
        </is>
      </c>
      <c r="G570" t="n">
        <v>2.4</v>
      </c>
      <c r="H570" t="n">
        <v>0</v>
      </c>
      <c r="I570" t="n">
        <v>0</v>
      </c>
      <c r="J570" t="n">
        <v>0</v>
      </c>
      <c r="K570" t="n">
        <v>0</v>
      </c>
      <c r="L570" t="n">
        <v>0</v>
      </c>
      <c r="M570" t="n">
        <v>0</v>
      </c>
      <c r="N570" t="n">
        <v>0</v>
      </c>
      <c r="O570" t="n">
        <v>0</v>
      </c>
      <c r="P570" t="n">
        <v>0</v>
      </c>
      <c r="Q570" t="n">
        <v>0</v>
      </c>
      <c r="R570" s="2" t="inlineStr"/>
    </row>
    <row r="571" ht="15" customHeight="1">
      <c r="A571" t="inlineStr">
        <is>
          <t>A 36843-2023</t>
        </is>
      </c>
      <c r="B571" s="1" t="n">
        <v>45154.49831018518</v>
      </c>
      <c r="C571" s="1" t="n">
        <v>46036</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10785-2025</t>
        </is>
      </c>
      <c r="B572" s="1" t="n">
        <v>45722.48634259259</v>
      </c>
      <c r="C572" s="1" t="n">
        <v>46036</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29017-2024</t>
        </is>
      </c>
      <c r="B573" s="1" t="n">
        <v>45481.56722222222</v>
      </c>
      <c r="C573" s="1" t="n">
        <v>46036</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61790-2025</t>
        </is>
      </c>
      <c r="B574" s="1" t="n">
        <v>46002.68768518518</v>
      </c>
      <c r="C574" s="1" t="n">
        <v>46036</v>
      </c>
      <c r="D574" t="inlineStr">
        <is>
          <t>KALMAR LÄN</t>
        </is>
      </c>
      <c r="E574" t="inlineStr">
        <is>
          <t>VIMMERBY</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23263-2024</t>
        </is>
      </c>
      <c r="B575" s="1" t="n">
        <v>45453.36854166666</v>
      </c>
      <c r="C575" s="1" t="n">
        <v>46036</v>
      </c>
      <c r="D575" t="inlineStr">
        <is>
          <t>KALMAR LÄN</t>
        </is>
      </c>
      <c r="E575" t="inlineStr">
        <is>
          <t>VIMMERBY</t>
        </is>
      </c>
      <c r="G575" t="n">
        <v>0.7</v>
      </c>
      <c r="H575" t="n">
        <v>0</v>
      </c>
      <c r="I575" t="n">
        <v>0</v>
      </c>
      <c r="J575" t="n">
        <v>0</v>
      </c>
      <c r="K575" t="n">
        <v>0</v>
      </c>
      <c r="L575" t="n">
        <v>0</v>
      </c>
      <c r="M575" t="n">
        <v>0</v>
      </c>
      <c r="N575" t="n">
        <v>0</v>
      </c>
      <c r="O575" t="n">
        <v>0</v>
      </c>
      <c r="P575" t="n">
        <v>0</v>
      </c>
      <c r="Q575" t="n">
        <v>0</v>
      </c>
      <c r="R575" s="2" t="inlineStr"/>
    </row>
    <row r="576" ht="15" customHeight="1">
      <c r="A576" t="inlineStr">
        <is>
          <t>A 11074-2023</t>
        </is>
      </c>
      <c r="B576" s="1" t="n">
        <v>44992.34151620371</v>
      </c>
      <c r="C576" s="1" t="n">
        <v>46036</v>
      </c>
      <c r="D576" t="inlineStr">
        <is>
          <t>KALMAR LÄN</t>
        </is>
      </c>
      <c r="E576" t="inlineStr">
        <is>
          <t>VIMMERBY</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61939-2021</t>
        </is>
      </c>
      <c r="B577" s="1" t="n">
        <v>44502</v>
      </c>
      <c r="C577" s="1" t="n">
        <v>46036</v>
      </c>
      <c r="D577" t="inlineStr">
        <is>
          <t>KALMAR LÄN</t>
        </is>
      </c>
      <c r="E577" t="inlineStr">
        <is>
          <t>VIMMERBY</t>
        </is>
      </c>
      <c r="G577" t="n">
        <v>2.7</v>
      </c>
      <c r="H577" t="n">
        <v>0</v>
      </c>
      <c r="I577" t="n">
        <v>0</v>
      </c>
      <c r="J577" t="n">
        <v>0</v>
      </c>
      <c r="K577" t="n">
        <v>0</v>
      </c>
      <c r="L577" t="n">
        <v>0</v>
      </c>
      <c r="M577" t="n">
        <v>0</v>
      </c>
      <c r="N577" t="n">
        <v>0</v>
      </c>
      <c r="O577" t="n">
        <v>0</v>
      </c>
      <c r="P577" t="n">
        <v>0</v>
      </c>
      <c r="Q577" t="n">
        <v>0</v>
      </c>
      <c r="R577" s="2" t="inlineStr"/>
    </row>
    <row r="578" ht="15" customHeight="1">
      <c r="A578" t="inlineStr">
        <is>
          <t>A 12215-2024</t>
        </is>
      </c>
      <c r="B578" s="1" t="n">
        <v>45378.32185185186</v>
      </c>
      <c r="C578" s="1" t="n">
        <v>46036</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53933-2025</t>
        </is>
      </c>
      <c r="B579" s="1" t="n">
        <v>45961.47650462963</v>
      </c>
      <c r="C579" s="1" t="n">
        <v>46036</v>
      </c>
      <c r="D579" t="inlineStr">
        <is>
          <t>KALMAR LÄN</t>
        </is>
      </c>
      <c r="E579" t="inlineStr">
        <is>
          <t>VIMMERBY</t>
        </is>
      </c>
      <c r="G579" t="n">
        <v>0.9</v>
      </c>
      <c r="H579" t="n">
        <v>0</v>
      </c>
      <c r="I579" t="n">
        <v>0</v>
      </c>
      <c r="J579" t="n">
        <v>0</v>
      </c>
      <c r="K579" t="n">
        <v>0</v>
      </c>
      <c r="L579" t="n">
        <v>0</v>
      </c>
      <c r="M579" t="n">
        <v>0</v>
      </c>
      <c r="N579" t="n">
        <v>0</v>
      </c>
      <c r="O579" t="n">
        <v>0</v>
      </c>
      <c r="P579" t="n">
        <v>0</v>
      </c>
      <c r="Q579" t="n">
        <v>0</v>
      </c>
      <c r="R579" s="2" t="inlineStr"/>
    </row>
    <row r="580" ht="15" customHeight="1">
      <c r="A580" t="inlineStr">
        <is>
          <t>A 11303-2025</t>
        </is>
      </c>
      <c r="B580" s="1" t="n">
        <v>45726.44471064815</v>
      </c>
      <c r="C580" s="1" t="n">
        <v>46036</v>
      </c>
      <c r="D580" t="inlineStr">
        <is>
          <t>KALMAR LÄN</t>
        </is>
      </c>
      <c r="E580" t="inlineStr">
        <is>
          <t>VIMMERBY</t>
        </is>
      </c>
      <c r="G580" t="n">
        <v>2.1</v>
      </c>
      <c r="H580" t="n">
        <v>0</v>
      </c>
      <c r="I580" t="n">
        <v>0</v>
      </c>
      <c r="J580" t="n">
        <v>0</v>
      </c>
      <c r="K580" t="n">
        <v>0</v>
      </c>
      <c r="L580" t="n">
        <v>0</v>
      </c>
      <c r="M580" t="n">
        <v>0</v>
      </c>
      <c r="N580" t="n">
        <v>0</v>
      </c>
      <c r="O580" t="n">
        <v>0</v>
      </c>
      <c r="P580" t="n">
        <v>0</v>
      </c>
      <c r="Q580" t="n">
        <v>0</v>
      </c>
      <c r="R580" s="2" t="inlineStr"/>
    </row>
    <row r="581" ht="15" customHeight="1">
      <c r="A581" t="inlineStr">
        <is>
          <t>A 12033-2024</t>
        </is>
      </c>
      <c r="B581" s="1" t="n">
        <v>45377.40043981482</v>
      </c>
      <c r="C581" s="1" t="n">
        <v>46036</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51408-2023</t>
        </is>
      </c>
      <c r="B582" s="1" t="n">
        <v>45219.69356481481</v>
      </c>
      <c r="C582" s="1" t="n">
        <v>46036</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53788-2025</t>
        </is>
      </c>
      <c r="B583" s="1" t="n">
        <v>45960</v>
      </c>
      <c r="C583" s="1" t="n">
        <v>46036</v>
      </c>
      <c r="D583" t="inlineStr">
        <is>
          <t>KALMAR LÄN</t>
        </is>
      </c>
      <c r="E583" t="inlineStr">
        <is>
          <t>VIMMERBY</t>
        </is>
      </c>
      <c r="F583" t="inlineStr">
        <is>
          <t>Övriga statliga verk och myndigheter</t>
        </is>
      </c>
      <c r="G583" t="n">
        <v>6.3</v>
      </c>
      <c r="H583" t="n">
        <v>0</v>
      </c>
      <c r="I583" t="n">
        <v>0</v>
      </c>
      <c r="J583" t="n">
        <v>0</v>
      </c>
      <c r="K583" t="n">
        <v>0</v>
      </c>
      <c r="L583" t="n">
        <v>0</v>
      </c>
      <c r="M583" t="n">
        <v>0</v>
      </c>
      <c r="N583" t="n">
        <v>0</v>
      </c>
      <c r="O583" t="n">
        <v>0</v>
      </c>
      <c r="P583" t="n">
        <v>0</v>
      </c>
      <c r="Q583" t="n">
        <v>0</v>
      </c>
      <c r="R583" s="2" t="inlineStr"/>
    </row>
    <row r="584" ht="15" customHeight="1">
      <c r="A584" t="inlineStr">
        <is>
          <t>A 49488-2023</t>
        </is>
      </c>
      <c r="B584" s="1" t="n">
        <v>45211.55472222222</v>
      </c>
      <c r="C584" s="1" t="n">
        <v>46036</v>
      </c>
      <c r="D584" t="inlineStr">
        <is>
          <t>KALMAR LÄN</t>
        </is>
      </c>
      <c r="E584" t="inlineStr">
        <is>
          <t>VIMMERBY</t>
        </is>
      </c>
      <c r="F584" t="inlineStr">
        <is>
          <t>Sveaskog</t>
        </is>
      </c>
      <c r="G584" t="n">
        <v>6.2</v>
      </c>
      <c r="H584" t="n">
        <v>0</v>
      </c>
      <c r="I584" t="n">
        <v>0</v>
      </c>
      <c r="J584" t="n">
        <v>0</v>
      </c>
      <c r="K584" t="n">
        <v>0</v>
      </c>
      <c r="L584" t="n">
        <v>0</v>
      </c>
      <c r="M584" t="n">
        <v>0</v>
      </c>
      <c r="N584" t="n">
        <v>0</v>
      </c>
      <c r="O584" t="n">
        <v>0</v>
      </c>
      <c r="P584" t="n">
        <v>0</v>
      </c>
      <c r="Q584" t="n">
        <v>0</v>
      </c>
      <c r="R584" s="2" t="inlineStr"/>
    </row>
    <row r="585" ht="15" customHeight="1">
      <c r="A585" t="inlineStr">
        <is>
          <t>A 54236-2025</t>
        </is>
      </c>
      <c r="B585" s="1" t="n">
        <v>45964.62671296296</v>
      </c>
      <c r="C585" s="1" t="n">
        <v>46036</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8410-2023</t>
        </is>
      </c>
      <c r="B586" s="1" t="n">
        <v>44977</v>
      </c>
      <c r="C586" s="1" t="n">
        <v>46036</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30920-2024</t>
        </is>
      </c>
      <c r="B587" s="1" t="n">
        <v>45498.673125</v>
      </c>
      <c r="C587" s="1" t="n">
        <v>46036</v>
      </c>
      <c r="D587" t="inlineStr">
        <is>
          <t>KALMAR LÄN</t>
        </is>
      </c>
      <c r="E587" t="inlineStr">
        <is>
          <t>VIMMERBY</t>
        </is>
      </c>
      <c r="G587" t="n">
        <v>1.3</v>
      </c>
      <c r="H587" t="n">
        <v>0</v>
      </c>
      <c r="I587" t="n">
        <v>0</v>
      </c>
      <c r="J587" t="n">
        <v>0</v>
      </c>
      <c r="K587" t="n">
        <v>0</v>
      </c>
      <c r="L587" t="n">
        <v>0</v>
      </c>
      <c r="M587" t="n">
        <v>0</v>
      </c>
      <c r="N587" t="n">
        <v>0</v>
      </c>
      <c r="O587" t="n">
        <v>0</v>
      </c>
      <c r="P587" t="n">
        <v>0</v>
      </c>
      <c r="Q587" t="n">
        <v>0</v>
      </c>
      <c r="R587" s="2" t="inlineStr"/>
    </row>
    <row r="588" ht="15" customHeight="1">
      <c r="A588" t="inlineStr">
        <is>
          <t>A 40929-2022</t>
        </is>
      </c>
      <c r="B588" s="1" t="n">
        <v>44825.4336574074</v>
      </c>
      <c r="C588" s="1" t="n">
        <v>46036</v>
      </c>
      <c r="D588" t="inlineStr">
        <is>
          <t>KALMAR LÄN</t>
        </is>
      </c>
      <c r="E588" t="inlineStr">
        <is>
          <t>VIMMERBY</t>
        </is>
      </c>
      <c r="G588" t="n">
        <v>2.5</v>
      </c>
      <c r="H588" t="n">
        <v>0</v>
      </c>
      <c r="I588" t="n">
        <v>0</v>
      </c>
      <c r="J588" t="n">
        <v>0</v>
      </c>
      <c r="K588" t="n">
        <v>0</v>
      </c>
      <c r="L588" t="n">
        <v>0</v>
      </c>
      <c r="M588" t="n">
        <v>0</v>
      </c>
      <c r="N588" t="n">
        <v>0</v>
      </c>
      <c r="O588" t="n">
        <v>0</v>
      </c>
      <c r="P588" t="n">
        <v>0</v>
      </c>
      <c r="Q588" t="n">
        <v>0</v>
      </c>
      <c r="R588" s="2" t="inlineStr"/>
    </row>
    <row r="589" ht="15" customHeight="1">
      <c r="A589" t="inlineStr">
        <is>
          <t>A 50091-2023</t>
        </is>
      </c>
      <c r="B589" s="1" t="n">
        <v>45215.60199074074</v>
      </c>
      <c r="C589" s="1" t="n">
        <v>46036</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36008-2024</t>
        </is>
      </c>
      <c r="B590" s="1" t="n">
        <v>45533.55362268518</v>
      </c>
      <c r="C590" s="1" t="n">
        <v>46036</v>
      </c>
      <c r="D590" t="inlineStr">
        <is>
          <t>KALMAR LÄN</t>
        </is>
      </c>
      <c r="E590" t="inlineStr">
        <is>
          <t>VIMMERBY</t>
        </is>
      </c>
      <c r="G590" t="n">
        <v>3.7</v>
      </c>
      <c r="H590" t="n">
        <v>0</v>
      </c>
      <c r="I590" t="n">
        <v>0</v>
      </c>
      <c r="J590" t="n">
        <v>0</v>
      </c>
      <c r="K590" t="n">
        <v>0</v>
      </c>
      <c r="L590" t="n">
        <v>0</v>
      </c>
      <c r="M590" t="n">
        <v>0</v>
      </c>
      <c r="N590" t="n">
        <v>0</v>
      </c>
      <c r="O590" t="n">
        <v>0</v>
      </c>
      <c r="P590" t="n">
        <v>0</v>
      </c>
      <c r="Q590" t="n">
        <v>0</v>
      </c>
      <c r="R590" s="2" t="inlineStr"/>
    </row>
    <row r="591" ht="15" customHeight="1">
      <c r="A591" t="inlineStr">
        <is>
          <t>A 16622-2025</t>
        </is>
      </c>
      <c r="B591" s="1" t="n">
        <v>45754.33641203704</v>
      </c>
      <c r="C591" s="1" t="n">
        <v>46036</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17511-2024</t>
        </is>
      </c>
      <c r="B592" s="1" t="n">
        <v>45415.57682870371</v>
      </c>
      <c r="C592" s="1" t="n">
        <v>46036</v>
      </c>
      <c r="D592" t="inlineStr">
        <is>
          <t>KALMAR LÄN</t>
        </is>
      </c>
      <c r="E592" t="inlineStr">
        <is>
          <t>VIMMERBY</t>
        </is>
      </c>
      <c r="G592" t="n">
        <v>5.3</v>
      </c>
      <c r="H592" t="n">
        <v>0</v>
      </c>
      <c r="I592" t="n">
        <v>0</v>
      </c>
      <c r="J592" t="n">
        <v>0</v>
      </c>
      <c r="K592" t="n">
        <v>0</v>
      </c>
      <c r="L592" t="n">
        <v>0</v>
      </c>
      <c r="M592" t="n">
        <v>0</v>
      </c>
      <c r="N592" t="n">
        <v>0</v>
      </c>
      <c r="O592" t="n">
        <v>0</v>
      </c>
      <c r="P592" t="n">
        <v>0</v>
      </c>
      <c r="Q592" t="n">
        <v>0</v>
      </c>
      <c r="R592" s="2" t="inlineStr"/>
    </row>
    <row r="593" ht="15" customHeight="1">
      <c r="A593" t="inlineStr">
        <is>
          <t>A 54234-2025</t>
        </is>
      </c>
      <c r="B593" s="1" t="n">
        <v>45964.62486111111</v>
      </c>
      <c r="C593" s="1" t="n">
        <v>46036</v>
      </c>
      <c r="D593" t="inlineStr">
        <is>
          <t>KALMAR LÄN</t>
        </is>
      </c>
      <c r="E593" t="inlineStr">
        <is>
          <t>VIMMERBY</t>
        </is>
      </c>
      <c r="G593" t="n">
        <v>4.1</v>
      </c>
      <c r="H593" t="n">
        <v>0</v>
      </c>
      <c r="I593" t="n">
        <v>0</v>
      </c>
      <c r="J593" t="n">
        <v>0</v>
      </c>
      <c r="K593" t="n">
        <v>0</v>
      </c>
      <c r="L593" t="n">
        <v>0</v>
      </c>
      <c r="M593" t="n">
        <v>0</v>
      </c>
      <c r="N593" t="n">
        <v>0</v>
      </c>
      <c r="O593" t="n">
        <v>0</v>
      </c>
      <c r="P593" t="n">
        <v>0</v>
      </c>
      <c r="Q593" t="n">
        <v>0</v>
      </c>
      <c r="R593" s="2" t="inlineStr"/>
    </row>
    <row r="594" ht="15" customHeight="1">
      <c r="A594" t="inlineStr">
        <is>
          <t>A 43705-2023</t>
        </is>
      </c>
      <c r="B594" s="1" t="n">
        <v>45187.42854166667</v>
      </c>
      <c r="C594" s="1" t="n">
        <v>46036</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55300-2021</t>
        </is>
      </c>
      <c r="B595" s="1" t="n">
        <v>44475</v>
      </c>
      <c r="C595" s="1" t="n">
        <v>46036</v>
      </c>
      <c r="D595" t="inlineStr">
        <is>
          <t>KALMAR LÄN</t>
        </is>
      </c>
      <c r="E595" t="inlineStr">
        <is>
          <t>VIMMERBY</t>
        </is>
      </c>
      <c r="G595" t="n">
        <v>3.4</v>
      </c>
      <c r="H595" t="n">
        <v>0</v>
      </c>
      <c r="I595" t="n">
        <v>0</v>
      </c>
      <c r="J595" t="n">
        <v>0</v>
      </c>
      <c r="K595" t="n">
        <v>0</v>
      </c>
      <c r="L595" t="n">
        <v>0</v>
      </c>
      <c r="M595" t="n">
        <v>0</v>
      </c>
      <c r="N595" t="n">
        <v>0</v>
      </c>
      <c r="O595" t="n">
        <v>0</v>
      </c>
      <c r="P595" t="n">
        <v>0</v>
      </c>
      <c r="Q595" t="n">
        <v>0</v>
      </c>
      <c r="R595" s="2" t="inlineStr"/>
    </row>
    <row r="596" ht="15" customHeight="1">
      <c r="A596" t="inlineStr">
        <is>
          <t>A 44179-2022</t>
        </is>
      </c>
      <c r="B596" s="1" t="n">
        <v>44839.4528125</v>
      </c>
      <c r="C596" s="1" t="n">
        <v>46036</v>
      </c>
      <c r="D596" t="inlineStr">
        <is>
          <t>KALMAR LÄN</t>
        </is>
      </c>
      <c r="E596" t="inlineStr">
        <is>
          <t>VIMMERBY</t>
        </is>
      </c>
      <c r="G596" t="n">
        <v>2.8</v>
      </c>
      <c r="H596" t="n">
        <v>0</v>
      </c>
      <c r="I596" t="n">
        <v>0</v>
      </c>
      <c r="J596" t="n">
        <v>0</v>
      </c>
      <c r="K596" t="n">
        <v>0</v>
      </c>
      <c r="L596" t="n">
        <v>0</v>
      </c>
      <c r="M596" t="n">
        <v>0</v>
      </c>
      <c r="N596" t="n">
        <v>0</v>
      </c>
      <c r="O596" t="n">
        <v>0</v>
      </c>
      <c r="P596" t="n">
        <v>0</v>
      </c>
      <c r="Q596" t="n">
        <v>0</v>
      </c>
      <c r="R596" s="2" t="inlineStr"/>
    </row>
    <row r="597" ht="15" customHeight="1">
      <c r="A597" t="inlineStr">
        <is>
          <t>A 52755-2022</t>
        </is>
      </c>
      <c r="B597" s="1" t="n">
        <v>44875.27736111111</v>
      </c>
      <c r="C597" s="1" t="n">
        <v>46036</v>
      </c>
      <c r="D597" t="inlineStr">
        <is>
          <t>KALMAR LÄN</t>
        </is>
      </c>
      <c r="E597" t="inlineStr">
        <is>
          <t>VIMMERBY</t>
        </is>
      </c>
      <c r="G597" t="n">
        <v>1.1</v>
      </c>
      <c r="H597" t="n">
        <v>0</v>
      </c>
      <c r="I597" t="n">
        <v>0</v>
      </c>
      <c r="J597" t="n">
        <v>0</v>
      </c>
      <c r="K597" t="n">
        <v>0</v>
      </c>
      <c r="L597" t="n">
        <v>0</v>
      </c>
      <c r="M597" t="n">
        <v>0</v>
      </c>
      <c r="N597" t="n">
        <v>0</v>
      </c>
      <c r="O597" t="n">
        <v>0</v>
      </c>
      <c r="P597" t="n">
        <v>0</v>
      </c>
      <c r="Q597" t="n">
        <v>0</v>
      </c>
      <c r="R597" s="2" t="inlineStr"/>
    </row>
    <row r="598" ht="15" customHeight="1">
      <c r="A598" t="inlineStr">
        <is>
          <t>A 35998-2024</t>
        </is>
      </c>
      <c r="B598" s="1" t="n">
        <v>45533.54429398148</v>
      </c>
      <c r="C598" s="1" t="n">
        <v>46036</v>
      </c>
      <c r="D598" t="inlineStr">
        <is>
          <t>KALMAR LÄN</t>
        </is>
      </c>
      <c r="E598" t="inlineStr">
        <is>
          <t>VIMMERBY</t>
        </is>
      </c>
      <c r="G598" t="n">
        <v>8.6</v>
      </c>
      <c r="H598" t="n">
        <v>0</v>
      </c>
      <c r="I598" t="n">
        <v>0</v>
      </c>
      <c r="J598" t="n">
        <v>0</v>
      </c>
      <c r="K598" t="n">
        <v>0</v>
      </c>
      <c r="L598" t="n">
        <v>0</v>
      </c>
      <c r="M598" t="n">
        <v>0</v>
      </c>
      <c r="N598" t="n">
        <v>0</v>
      </c>
      <c r="O598" t="n">
        <v>0</v>
      </c>
      <c r="P598" t="n">
        <v>0</v>
      </c>
      <c r="Q598" t="n">
        <v>0</v>
      </c>
      <c r="R598" s="2" t="inlineStr"/>
    </row>
    <row r="599" ht="15" customHeight="1">
      <c r="A599" t="inlineStr">
        <is>
          <t>A 54737-2025</t>
        </is>
      </c>
      <c r="B599" s="1" t="n">
        <v>45966.56826388889</v>
      </c>
      <c r="C599" s="1" t="n">
        <v>46036</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7797-2023</t>
        </is>
      </c>
      <c r="B600" s="1" t="n">
        <v>44973.43075231482</v>
      </c>
      <c r="C600" s="1" t="n">
        <v>46036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29351-2023</t>
        </is>
      </c>
      <c r="B601" s="1" t="n">
        <v>45106.2610300926</v>
      </c>
      <c r="C601" s="1" t="n">
        <v>46036</v>
      </c>
      <c r="D601" t="inlineStr">
        <is>
          <t>KALMAR LÄN</t>
        </is>
      </c>
      <c r="E601" t="inlineStr">
        <is>
          <t>VIMMERBY</t>
        </is>
      </c>
      <c r="G601" t="n">
        <v>0.4</v>
      </c>
      <c r="H601" t="n">
        <v>0</v>
      </c>
      <c r="I601" t="n">
        <v>0</v>
      </c>
      <c r="J601" t="n">
        <v>0</v>
      </c>
      <c r="K601" t="n">
        <v>0</v>
      </c>
      <c r="L601" t="n">
        <v>0</v>
      </c>
      <c r="M601" t="n">
        <v>0</v>
      </c>
      <c r="N601" t="n">
        <v>0</v>
      </c>
      <c r="O601" t="n">
        <v>0</v>
      </c>
      <c r="P601" t="n">
        <v>0</v>
      </c>
      <c r="Q601" t="n">
        <v>0</v>
      </c>
      <c r="R601" s="2" t="inlineStr"/>
    </row>
    <row r="602" ht="15" customHeight="1">
      <c r="A602" t="inlineStr">
        <is>
          <t>A 7630-2025</t>
        </is>
      </c>
      <c r="B602" s="1" t="n">
        <v>45705.74418981482</v>
      </c>
      <c r="C602" s="1" t="n">
        <v>46036</v>
      </c>
      <c r="D602" t="inlineStr">
        <is>
          <t>KALMAR LÄN</t>
        </is>
      </c>
      <c r="E602" t="inlineStr">
        <is>
          <t>VIMMERBY</t>
        </is>
      </c>
      <c r="G602" t="n">
        <v>2.5</v>
      </c>
      <c r="H602" t="n">
        <v>0</v>
      </c>
      <c r="I602" t="n">
        <v>0</v>
      </c>
      <c r="J602" t="n">
        <v>0</v>
      </c>
      <c r="K602" t="n">
        <v>0</v>
      </c>
      <c r="L602" t="n">
        <v>0</v>
      </c>
      <c r="M602" t="n">
        <v>0</v>
      </c>
      <c r="N602" t="n">
        <v>0</v>
      </c>
      <c r="O602" t="n">
        <v>0</v>
      </c>
      <c r="P602" t="n">
        <v>0</v>
      </c>
      <c r="Q602" t="n">
        <v>0</v>
      </c>
      <c r="R602" s="2" t="inlineStr"/>
    </row>
    <row r="603" ht="15" customHeight="1">
      <c r="A603" t="inlineStr">
        <is>
          <t>A 1024-2024</t>
        </is>
      </c>
      <c r="B603" s="1" t="n">
        <v>45301.68237268519</v>
      </c>
      <c r="C603" s="1" t="n">
        <v>46036</v>
      </c>
      <c r="D603" t="inlineStr">
        <is>
          <t>KALMAR LÄN</t>
        </is>
      </c>
      <c r="E603" t="inlineStr">
        <is>
          <t>VIMMERBY</t>
        </is>
      </c>
      <c r="G603" t="n">
        <v>13</v>
      </c>
      <c r="H603" t="n">
        <v>0</v>
      </c>
      <c r="I603" t="n">
        <v>0</v>
      </c>
      <c r="J603" t="n">
        <v>0</v>
      </c>
      <c r="K603" t="n">
        <v>0</v>
      </c>
      <c r="L603" t="n">
        <v>0</v>
      </c>
      <c r="M603" t="n">
        <v>0</v>
      </c>
      <c r="N603" t="n">
        <v>0</v>
      </c>
      <c r="O603" t="n">
        <v>0</v>
      </c>
      <c r="P603" t="n">
        <v>0</v>
      </c>
      <c r="Q603" t="n">
        <v>0</v>
      </c>
      <c r="R603" s="2" t="inlineStr"/>
    </row>
    <row r="604" ht="15" customHeight="1">
      <c r="A604" t="inlineStr">
        <is>
          <t>A 54813-2025</t>
        </is>
      </c>
      <c r="B604" s="1" t="n">
        <v>45966.64881944445</v>
      </c>
      <c r="C604" s="1" t="n">
        <v>46036</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10787-2025</t>
        </is>
      </c>
      <c r="B605" s="1" t="n">
        <v>45722.48915509259</v>
      </c>
      <c r="C605" s="1" t="n">
        <v>46036</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29350-2023</t>
        </is>
      </c>
      <c r="B606" s="1" t="n">
        <v>45106</v>
      </c>
      <c r="C606" s="1" t="n">
        <v>46036</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14855-2025</t>
        </is>
      </c>
      <c r="B607" s="1" t="n">
        <v>45743.41148148148</v>
      </c>
      <c r="C607" s="1" t="n">
        <v>46036</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55602-2025</t>
        </is>
      </c>
      <c r="B608" s="1" t="n">
        <v>45971</v>
      </c>
      <c r="C608" s="1" t="n">
        <v>46036</v>
      </c>
      <c r="D608" t="inlineStr">
        <is>
          <t>KALMAR LÄN</t>
        </is>
      </c>
      <c r="E608" t="inlineStr">
        <is>
          <t>VIMMERBY</t>
        </is>
      </c>
      <c r="G608" t="n">
        <v>2.7</v>
      </c>
      <c r="H608" t="n">
        <v>0</v>
      </c>
      <c r="I608" t="n">
        <v>0</v>
      </c>
      <c r="J608" t="n">
        <v>0</v>
      </c>
      <c r="K608" t="n">
        <v>0</v>
      </c>
      <c r="L608" t="n">
        <v>0</v>
      </c>
      <c r="M608" t="n">
        <v>0</v>
      </c>
      <c r="N608" t="n">
        <v>0</v>
      </c>
      <c r="O608" t="n">
        <v>0</v>
      </c>
      <c r="P608" t="n">
        <v>0</v>
      </c>
      <c r="Q608" t="n">
        <v>0</v>
      </c>
      <c r="R608" s="2" t="inlineStr"/>
    </row>
    <row r="609" ht="15" customHeight="1">
      <c r="A609" t="inlineStr">
        <is>
          <t>A 43601-2024</t>
        </is>
      </c>
      <c r="B609" s="1" t="n">
        <v>45569.44684027778</v>
      </c>
      <c r="C609" s="1" t="n">
        <v>46036</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35913-2023</t>
        </is>
      </c>
      <c r="B610" s="1" t="n">
        <v>45148</v>
      </c>
      <c r="C610" s="1" t="n">
        <v>46036</v>
      </c>
      <c r="D610" t="inlineStr">
        <is>
          <t>KALMAR LÄN</t>
        </is>
      </c>
      <c r="E610" t="inlineStr">
        <is>
          <t>VIMMERBY</t>
        </is>
      </c>
      <c r="G610" t="n">
        <v>6.9</v>
      </c>
      <c r="H610" t="n">
        <v>0</v>
      </c>
      <c r="I610" t="n">
        <v>0</v>
      </c>
      <c r="J610" t="n">
        <v>0</v>
      </c>
      <c r="K610" t="n">
        <v>0</v>
      </c>
      <c r="L610" t="n">
        <v>0</v>
      </c>
      <c r="M610" t="n">
        <v>0</v>
      </c>
      <c r="N610" t="n">
        <v>0</v>
      </c>
      <c r="O610" t="n">
        <v>0</v>
      </c>
      <c r="P610" t="n">
        <v>0</v>
      </c>
      <c r="Q610" t="n">
        <v>0</v>
      </c>
      <c r="R610" s="2" t="inlineStr"/>
    </row>
    <row r="611" ht="15" customHeight="1">
      <c r="A611" t="inlineStr">
        <is>
          <t>A 9624-2024</t>
        </is>
      </c>
      <c r="B611" s="1" t="n">
        <v>45361.90282407407</v>
      </c>
      <c r="C611" s="1" t="n">
        <v>46036</v>
      </c>
      <c r="D611" t="inlineStr">
        <is>
          <t>KALMAR LÄN</t>
        </is>
      </c>
      <c r="E611" t="inlineStr">
        <is>
          <t>VIMMERBY</t>
        </is>
      </c>
      <c r="G611" t="n">
        <v>3.8</v>
      </c>
      <c r="H611" t="n">
        <v>0</v>
      </c>
      <c r="I611" t="n">
        <v>0</v>
      </c>
      <c r="J611" t="n">
        <v>0</v>
      </c>
      <c r="K611" t="n">
        <v>0</v>
      </c>
      <c r="L611" t="n">
        <v>0</v>
      </c>
      <c r="M611" t="n">
        <v>0</v>
      </c>
      <c r="N611" t="n">
        <v>0</v>
      </c>
      <c r="O611" t="n">
        <v>0</v>
      </c>
      <c r="P611" t="n">
        <v>0</v>
      </c>
      <c r="Q611" t="n">
        <v>0</v>
      </c>
      <c r="R611" s="2" t="inlineStr"/>
    </row>
    <row r="612" ht="15" customHeight="1">
      <c r="A612" t="inlineStr">
        <is>
          <t>A 3938-2023</t>
        </is>
      </c>
      <c r="B612" s="1" t="n">
        <v>44952.35775462963</v>
      </c>
      <c r="C612" s="1" t="n">
        <v>46036</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39053-2024</t>
        </is>
      </c>
      <c r="B613" s="1" t="n">
        <v>45548</v>
      </c>
      <c r="C613" s="1" t="n">
        <v>46036</v>
      </c>
      <c r="D613" t="inlineStr">
        <is>
          <t>KALMAR LÄN</t>
        </is>
      </c>
      <c r="E613" t="inlineStr">
        <is>
          <t>VIMMERBY</t>
        </is>
      </c>
      <c r="G613" t="n">
        <v>5</v>
      </c>
      <c r="H613" t="n">
        <v>0</v>
      </c>
      <c r="I613" t="n">
        <v>0</v>
      </c>
      <c r="J613" t="n">
        <v>0</v>
      </c>
      <c r="K613" t="n">
        <v>0</v>
      </c>
      <c r="L613" t="n">
        <v>0</v>
      </c>
      <c r="M613" t="n">
        <v>0</v>
      </c>
      <c r="N613" t="n">
        <v>0</v>
      </c>
      <c r="O613" t="n">
        <v>0</v>
      </c>
      <c r="P613" t="n">
        <v>0</v>
      </c>
      <c r="Q613" t="n">
        <v>0</v>
      </c>
      <c r="R613" s="2" t="inlineStr"/>
    </row>
    <row r="614" ht="15" customHeight="1">
      <c r="A614" t="inlineStr">
        <is>
          <t>A 14451-2024</t>
        </is>
      </c>
      <c r="B614" s="1" t="n">
        <v>45394.50028935185</v>
      </c>
      <c r="C614" s="1" t="n">
        <v>46036</v>
      </c>
      <c r="D614" t="inlineStr">
        <is>
          <t>KALMAR LÄN</t>
        </is>
      </c>
      <c r="E614" t="inlineStr">
        <is>
          <t>VIMMERBY</t>
        </is>
      </c>
      <c r="G614" t="n">
        <v>1.9</v>
      </c>
      <c r="H614" t="n">
        <v>0</v>
      </c>
      <c r="I614" t="n">
        <v>0</v>
      </c>
      <c r="J614" t="n">
        <v>0</v>
      </c>
      <c r="K614" t="n">
        <v>0</v>
      </c>
      <c r="L614" t="n">
        <v>0</v>
      </c>
      <c r="M614" t="n">
        <v>0</v>
      </c>
      <c r="N614" t="n">
        <v>0</v>
      </c>
      <c r="O614" t="n">
        <v>0</v>
      </c>
      <c r="P614" t="n">
        <v>0</v>
      </c>
      <c r="Q614" t="n">
        <v>0</v>
      </c>
      <c r="R614" s="2" t="inlineStr"/>
    </row>
    <row r="615" ht="15" customHeight="1">
      <c r="A615" t="inlineStr">
        <is>
          <t>A 55603-2025</t>
        </is>
      </c>
      <c r="B615" s="1" t="n">
        <v>45971</v>
      </c>
      <c r="C615" s="1" t="n">
        <v>46036</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34205-2023</t>
        </is>
      </c>
      <c r="B616" s="1" t="n">
        <v>45138</v>
      </c>
      <c r="C616" s="1" t="n">
        <v>46036</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55605-2025</t>
        </is>
      </c>
      <c r="B617" s="1" t="n">
        <v>45971</v>
      </c>
      <c r="C617" s="1" t="n">
        <v>46036</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55385-2025</t>
        </is>
      </c>
      <c r="B618" s="1" t="n">
        <v>45971.43350694444</v>
      </c>
      <c r="C618" s="1" t="n">
        <v>46036</v>
      </c>
      <c r="D618" t="inlineStr">
        <is>
          <t>KALMAR LÄN</t>
        </is>
      </c>
      <c r="E618" t="inlineStr">
        <is>
          <t>VIMMERBY</t>
        </is>
      </c>
      <c r="G618" t="n">
        <v>5</v>
      </c>
      <c r="H618" t="n">
        <v>0</v>
      </c>
      <c r="I618" t="n">
        <v>0</v>
      </c>
      <c r="J618" t="n">
        <v>0</v>
      </c>
      <c r="K618" t="n">
        <v>0</v>
      </c>
      <c r="L618" t="n">
        <v>0</v>
      </c>
      <c r="M618" t="n">
        <v>0</v>
      </c>
      <c r="N618" t="n">
        <v>0</v>
      </c>
      <c r="O618" t="n">
        <v>0</v>
      </c>
      <c r="P618" t="n">
        <v>0</v>
      </c>
      <c r="Q618" t="n">
        <v>0</v>
      </c>
      <c r="R618" s="2" t="inlineStr"/>
    </row>
    <row r="619" ht="15" customHeight="1">
      <c r="A619" t="inlineStr">
        <is>
          <t>A 63711-2025</t>
        </is>
      </c>
      <c r="B619" s="1" t="n">
        <v>46014.62724537037</v>
      </c>
      <c r="C619" s="1" t="n">
        <v>46036</v>
      </c>
      <c r="D619" t="inlineStr">
        <is>
          <t>KALMAR LÄN</t>
        </is>
      </c>
      <c r="E619" t="inlineStr">
        <is>
          <t>VIMMERBY</t>
        </is>
      </c>
      <c r="G619" t="n">
        <v>2.1</v>
      </c>
      <c r="H619" t="n">
        <v>0</v>
      </c>
      <c r="I619" t="n">
        <v>0</v>
      </c>
      <c r="J619" t="n">
        <v>0</v>
      </c>
      <c r="K619" t="n">
        <v>0</v>
      </c>
      <c r="L619" t="n">
        <v>0</v>
      </c>
      <c r="M619" t="n">
        <v>0</v>
      </c>
      <c r="N619" t="n">
        <v>0</v>
      </c>
      <c r="O619" t="n">
        <v>0</v>
      </c>
      <c r="P619" t="n">
        <v>0</v>
      </c>
      <c r="Q619" t="n">
        <v>0</v>
      </c>
      <c r="R619" s="2" t="inlineStr"/>
    </row>
    <row r="620" ht="15" customHeight="1">
      <c r="A620" t="inlineStr">
        <is>
          <t>A 3268-2024</t>
        </is>
      </c>
      <c r="B620" s="1" t="n">
        <v>45317</v>
      </c>
      <c r="C620" s="1" t="n">
        <v>46036</v>
      </c>
      <c r="D620" t="inlineStr">
        <is>
          <t>KALMAR LÄN</t>
        </is>
      </c>
      <c r="E620" t="inlineStr">
        <is>
          <t>VIMMERBY</t>
        </is>
      </c>
      <c r="F620" t="inlineStr">
        <is>
          <t>Övriga Aktiebolag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12819-2024</t>
        </is>
      </c>
      <c r="B621" s="1" t="n">
        <v>45384.66917824074</v>
      </c>
      <c r="C621" s="1" t="n">
        <v>46036</v>
      </c>
      <c r="D621" t="inlineStr">
        <is>
          <t>KALMAR LÄN</t>
        </is>
      </c>
      <c r="E621" t="inlineStr">
        <is>
          <t>VIMMERBY</t>
        </is>
      </c>
      <c r="G621" t="n">
        <v>5.1</v>
      </c>
      <c r="H621" t="n">
        <v>0</v>
      </c>
      <c r="I621" t="n">
        <v>0</v>
      </c>
      <c r="J621" t="n">
        <v>0</v>
      </c>
      <c r="K621" t="n">
        <v>0</v>
      </c>
      <c r="L621" t="n">
        <v>0</v>
      </c>
      <c r="M621" t="n">
        <v>0</v>
      </c>
      <c r="N621" t="n">
        <v>0</v>
      </c>
      <c r="O621" t="n">
        <v>0</v>
      </c>
      <c r="P621" t="n">
        <v>0</v>
      </c>
      <c r="Q621" t="n">
        <v>0</v>
      </c>
      <c r="R621" s="2" t="inlineStr"/>
    </row>
    <row r="622" ht="15" customHeight="1">
      <c r="A622" t="inlineStr">
        <is>
          <t>A 63848-2025</t>
        </is>
      </c>
      <c r="B622" s="1" t="n">
        <v>46020.44902777778</v>
      </c>
      <c r="C622" s="1" t="n">
        <v>46036</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63839-2025</t>
        </is>
      </c>
      <c r="B623" s="1" t="n">
        <v>46020.41998842593</v>
      </c>
      <c r="C623" s="1" t="n">
        <v>46036</v>
      </c>
      <c r="D623" t="inlineStr">
        <is>
          <t>KALMAR LÄN</t>
        </is>
      </c>
      <c r="E623" t="inlineStr">
        <is>
          <t>VIMMERBY</t>
        </is>
      </c>
      <c r="G623" t="n">
        <v>2.9</v>
      </c>
      <c r="H623" t="n">
        <v>0</v>
      </c>
      <c r="I623" t="n">
        <v>0</v>
      </c>
      <c r="J623" t="n">
        <v>0</v>
      </c>
      <c r="K623" t="n">
        <v>0</v>
      </c>
      <c r="L623" t="n">
        <v>0</v>
      </c>
      <c r="M623" t="n">
        <v>0</v>
      </c>
      <c r="N623" t="n">
        <v>0</v>
      </c>
      <c r="O623" t="n">
        <v>0</v>
      </c>
      <c r="P623" t="n">
        <v>0</v>
      </c>
      <c r="Q623" t="n">
        <v>0</v>
      </c>
      <c r="R623" s="2" t="inlineStr"/>
    </row>
    <row r="624" ht="15" customHeight="1">
      <c r="A624" t="inlineStr">
        <is>
          <t>A 6214-2025</t>
        </is>
      </c>
      <c r="B624" s="1" t="n">
        <v>45698.51711805556</v>
      </c>
      <c r="C624" s="1" t="n">
        <v>46036</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32569-2024</t>
        </is>
      </c>
      <c r="B625" s="1" t="n">
        <v>45513.55840277778</v>
      </c>
      <c r="C625" s="1" t="n">
        <v>46036</v>
      </c>
      <c r="D625" t="inlineStr">
        <is>
          <t>KALMAR LÄN</t>
        </is>
      </c>
      <c r="E625" t="inlineStr">
        <is>
          <t>VIMMERBY</t>
        </is>
      </c>
      <c r="G625" t="n">
        <v>3.7</v>
      </c>
      <c r="H625" t="n">
        <v>0</v>
      </c>
      <c r="I625" t="n">
        <v>0</v>
      </c>
      <c r="J625" t="n">
        <v>0</v>
      </c>
      <c r="K625" t="n">
        <v>0</v>
      </c>
      <c r="L625" t="n">
        <v>0</v>
      </c>
      <c r="M625" t="n">
        <v>0</v>
      </c>
      <c r="N625" t="n">
        <v>0</v>
      </c>
      <c r="O625" t="n">
        <v>0</v>
      </c>
      <c r="P625" t="n">
        <v>0</v>
      </c>
      <c r="Q625" t="n">
        <v>0</v>
      </c>
      <c r="R625" s="2" t="inlineStr"/>
    </row>
    <row r="626" ht="15" customHeight="1">
      <c r="A626" t="inlineStr">
        <is>
          <t>A 63762-2025</t>
        </is>
      </c>
      <c r="B626" s="1" t="n">
        <v>46018.67197916667</v>
      </c>
      <c r="C626" s="1" t="n">
        <v>46036</v>
      </c>
      <c r="D626" t="inlineStr">
        <is>
          <t>KALMAR LÄN</t>
        </is>
      </c>
      <c r="E626" t="inlineStr">
        <is>
          <t>VIMMERBY</t>
        </is>
      </c>
      <c r="G626" t="n">
        <v>2.5</v>
      </c>
      <c r="H626" t="n">
        <v>0</v>
      </c>
      <c r="I626" t="n">
        <v>0</v>
      </c>
      <c r="J626" t="n">
        <v>0</v>
      </c>
      <c r="K626" t="n">
        <v>0</v>
      </c>
      <c r="L626" t="n">
        <v>0</v>
      </c>
      <c r="M626" t="n">
        <v>0</v>
      </c>
      <c r="N626" t="n">
        <v>0</v>
      </c>
      <c r="O626" t="n">
        <v>0</v>
      </c>
      <c r="P626" t="n">
        <v>0</v>
      </c>
      <c r="Q626" t="n">
        <v>0</v>
      </c>
      <c r="R626" s="2" t="inlineStr"/>
    </row>
    <row r="627" ht="15" customHeight="1">
      <c r="A627" t="inlineStr">
        <is>
          <t>A 32575-2024</t>
        </is>
      </c>
      <c r="B627" s="1" t="n">
        <v>45513.56527777778</v>
      </c>
      <c r="C627" s="1" t="n">
        <v>46036</v>
      </c>
      <c r="D627" t="inlineStr">
        <is>
          <t>KALMAR LÄN</t>
        </is>
      </c>
      <c r="E627" t="inlineStr">
        <is>
          <t>VIMMERBY</t>
        </is>
      </c>
      <c r="G627" t="n">
        <v>1.5</v>
      </c>
      <c r="H627" t="n">
        <v>0</v>
      </c>
      <c r="I627" t="n">
        <v>0</v>
      </c>
      <c r="J627" t="n">
        <v>0</v>
      </c>
      <c r="K627" t="n">
        <v>0</v>
      </c>
      <c r="L627" t="n">
        <v>0</v>
      </c>
      <c r="M627" t="n">
        <v>0</v>
      </c>
      <c r="N627" t="n">
        <v>0</v>
      </c>
      <c r="O627" t="n">
        <v>0</v>
      </c>
      <c r="P627" t="n">
        <v>0</v>
      </c>
      <c r="Q627" t="n">
        <v>0</v>
      </c>
      <c r="R627" s="2" t="inlineStr"/>
    </row>
    <row r="628" ht="15" customHeight="1">
      <c r="A628" t="inlineStr">
        <is>
          <t>A 63845-2025</t>
        </is>
      </c>
      <c r="B628" s="1" t="n">
        <v>46020.43715277778</v>
      </c>
      <c r="C628" s="1" t="n">
        <v>46036</v>
      </c>
      <c r="D628" t="inlineStr">
        <is>
          <t>KALMAR LÄN</t>
        </is>
      </c>
      <c r="E628" t="inlineStr">
        <is>
          <t>VIMMERBY</t>
        </is>
      </c>
      <c r="G628" t="n">
        <v>3.8</v>
      </c>
      <c r="H628" t="n">
        <v>0</v>
      </c>
      <c r="I628" t="n">
        <v>0</v>
      </c>
      <c r="J628" t="n">
        <v>0</v>
      </c>
      <c r="K628" t="n">
        <v>0</v>
      </c>
      <c r="L628" t="n">
        <v>0</v>
      </c>
      <c r="M628" t="n">
        <v>0</v>
      </c>
      <c r="N628" t="n">
        <v>0</v>
      </c>
      <c r="O628" t="n">
        <v>0</v>
      </c>
      <c r="P628" t="n">
        <v>0</v>
      </c>
      <c r="Q628" t="n">
        <v>0</v>
      </c>
      <c r="R628" s="2" t="inlineStr"/>
    </row>
    <row r="629" ht="15" customHeight="1">
      <c r="A629" t="inlineStr">
        <is>
          <t>A 63758-2025</t>
        </is>
      </c>
      <c r="B629" s="1" t="n">
        <v>46018.46483796297</v>
      </c>
      <c r="C629" s="1" t="n">
        <v>46036</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59300-2024</t>
        </is>
      </c>
      <c r="B630" s="1" t="n">
        <v>45637.66542824074</v>
      </c>
      <c r="C630" s="1" t="n">
        <v>46036</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59768-2024</t>
        </is>
      </c>
      <c r="B631" s="1" t="n">
        <v>45639.56185185185</v>
      </c>
      <c r="C631" s="1" t="n">
        <v>46036</v>
      </c>
      <c r="D631" t="inlineStr">
        <is>
          <t>KALMAR LÄN</t>
        </is>
      </c>
      <c r="E631" t="inlineStr">
        <is>
          <t>VIMMERBY</t>
        </is>
      </c>
      <c r="G631" t="n">
        <v>5.9</v>
      </c>
      <c r="H631" t="n">
        <v>0</v>
      </c>
      <c r="I631" t="n">
        <v>0</v>
      </c>
      <c r="J631" t="n">
        <v>0</v>
      </c>
      <c r="K631" t="n">
        <v>0</v>
      </c>
      <c r="L631" t="n">
        <v>0</v>
      </c>
      <c r="M631" t="n">
        <v>0</v>
      </c>
      <c r="N631" t="n">
        <v>0</v>
      </c>
      <c r="O631" t="n">
        <v>0</v>
      </c>
      <c r="P631" t="n">
        <v>0</v>
      </c>
      <c r="Q631" t="n">
        <v>0</v>
      </c>
      <c r="R631" s="2" t="inlineStr"/>
    </row>
    <row r="632" ht="15" customHeight="1">
      <c r="A632" t="inlineStr">
        <is>
          <t>A 36526-2023</t>
        </is>
      </c>
      <c r="B632" s="1" t="n">
        <v>45153.32778935185</v>
      </c>
      <c r="C632" s="1" t="n">
        <v>46036</v>
      </c>
      <c r="D632" t="inlineStr">
        <is>
          <t>KALMAR LÄN</t>
        </is>
      </c>
      <c r="E632" t="inlineStr">
        <is>
          <t>VIMMERBY</t>
        </is>
      </c>
      <c r="G632" t="n">
        <v>2.7</v>
      </c>
      <c r="H632" t="n">
        <v>0</v>
      </c>
      <c r="I632" t="n">
        <v>0</v>
      </c>
      <c r="J632" t="n">
        <v>0</v>
      </c>
      <c r="K632" t="n">
        <v>0</v>
      </c>
      <c r="L632" t="n">
        <v>0</v>
      </c>
      <c r="M632" t="n">
        <v>0</v>
      </c>
      <c r="N632" t="n">
        <v>0</v>
      </c>
      <c r="O632" t="n">
        <v>0</v>
      </c>
      <c r="P632" t="n">
        <v>0</v>
      </c>
      <c r="Q632" t="n">
        <v>0</v>
      </c>
      <c r="R632" s="2" t="inlineStr"/>
    </row>
    <row r="633" ht="15" customHeight="1">
      <c r="A633" t="inlineStr">
        <is>
          <t>A 57728-2025</t>
        </is>
      </c>
      <c r="B633" s="1" t="n">
        <v>45981</v>
      </c>
      <c r="C633" s="1" t="n">
        <v>46036</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58728-2024</t>
        </is>
      </c>
      <c r="B634" s="1" t="n">
        <v>45635.66695601852</v>
      </c>
      <c r="C634" s="1" t="n">
        <v>46036</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49474-2023</t>
        </is>
      </c>
      <c r="B635" s="1" t="n">
        <v>45211.541875</v>
      </c>
      <c r="C635" s="1" t="n">
        <v>46036</v>
      </c>
      <c r="D635" t="inlineStr">
        <is>
          <t>KALMAR LÄN</t>
        </is>
      </c>
      <c r="E635" t="inlineStr">
        <is>
          <t>VIMMERBY</t>
        </is>
      </c>
      <c r="G635" t="n">
        <v>3.6</v>
      </c>
      <c r="H635" t="n">
        <v>0</v>
      </c>
      <c r="I635" t="n">
        <v>0</v>
      </c>
      <c r="J635" t="n">
        <v>0</v>
      </c>
      <c r="K635" t="n">
        <v>0</v>
      </c>
      <c r="L635" t="n">
        <v>0</v>
      </c>
      <c r="M635" t="n">
        <v>0</v>
      </c>
      <c r="N635" t="n">
        <v>0</v>
      </c>
      <c r="O635" t="n">
        <v>0</v>
      </c>
      <c r="P635" t="n">
        <v>0</v>
      </c>
      <c r="Q635" t="n">
        <v>0</v>
      </c>
      <c r="R635" s="2" t="inlineStr"/>
    </row>
    <row r="636" ht="15" customHeight="1">
      <c r="A636" t="inlineStr">
        <is>
          <t>A 57682-2022</t>
        </is>
      </c>
      <c r="B636" s="1" t="n">
        <v>44890</v>
      </c>
      <c r="C636" s="1" t="n">
        <v>46036</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58503-2025</t>
        </is>
      </c>
      <c r="B637" s="1" t="n">
        <v>45985.69509259259</v>
      </c>
      <c r="C637" s="1" t="n">
        <v>46036</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14220-2021</t>
        </is>
      </c>
      <c r="B638" s="1" t="n">
        <v>44278.54855324074</v>
      </c>
      <c r="C638" s="1" t="n">
        <v>46036</v>
      </c>
      <c r="D638" t="inlineStr">
        <is>
          <t>KALMAR LÄN</t>
        </is>
      </c>
      <c r="E638" t="inlineStr">
        <is>
          <t>VIMMERBY</t>
        </is>
      </c>
      <c r="G638" t="n">
        <v>0.3</v>
      </c>
      <c r="H638" t="n">
        <v>0</v>
      </c>
      <c r="I638" t="n">
        <v>0</v>
      </c>
      <c r="J638" t="n">
        <v>0</v>
      </c>
      <c r="K638" t="n">
        <v>0</v>
      </c>
      <c r="L638" t="n">
        <v>0</v>
      </c>
      <c r="M638" t="n">
        <v>0</v>
      </c>
      <c r="N638" t="n">
        <v>0</v>
      </c>
      <c r="O638" t="n">
        <v>0</v>
      </c>
      <c r="P638" t="n">
        <v>0</v>
      </c>
      <c r="Q638" t="n">
        <v>0</v>
      </c>
      <c r="R638" s="2" t="inlineStr"/>
    </row>
    <row r="639" ht="15" customHeight="1">
      <c r="A639" t="inlineStr">
        <is>
          <t>A 58498-2025</t>
        </is>
      </c>
      <c r="B639" s="1" t="n">
        <v>45985.68671296296</v>
      </c>
      <c r="C639" s="1" t="n">
        <v>46036</v>
      </c>
      <c r="D639" t="inlineStr">
        <is>
          <t>KALMAR LÄN</t>
        </is>
      </c>
      <c r="E639" t="inlineStr">
        <is>
          <t>VIMMERBY</t>
        </is>
      </c>
      <c r="G639" t="n">
        <v>2.1</v>
      </c>
      <c r="H639" t="n">
        <v>0</v>
      </c>
      <c r="I639" t="n">
        <v>0</v>
      </c>
      <c r="J639" t="n">
        <v>0</v>
      </c>
      <c r="K639" t="n">
        <v>0</v>
      </c>
      <c r="L639" t="n">
        <v>0</v>
      </c>
      <c r="M639" t="n">
        <v>0</v>
      </c>
      <c r="N639" t="n">
        <v>0</v>
      </c>
      <c r="O639" t="n">
        <v>0</v>
      </c>
      <c r="P639" t="n">
        <v>0</v>
      </c>
      <c r="Q639" t="n">
        <v>0</v>
      </c>
      <c r="R639" s="2" t="inlineStr"/>
    </row>
    <row r="640" ht="15" customHeight="1">
      <c r="A640" t="inlineStr">
        <is>
          <t>A 58501-2025</t>
        </is>
      </c>
      <c r="B640" s="1" t="n">
        <v>45985.69153935185</v>
      </c>
      <c r="C640" s="1" t="n">
        <v>46036</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58514-2025</t>
        </is>
      </c>
      <c r="B641" s="1" t="n">
        <v>45985.70513888889</v>
      </c>
      <c r="C641" s="1" t="n">
        <v>46036</v>
      </c>
      <c r="D641" t="inlineStr">
        <is>
          <t>KALMAR LÄN</t>
        </is>
      </c>
      <c r="E641" t="inlineStr">
        <is>
          <t>VIMMERBY</t>
        </is>
      </c>
      <c r="G641" t="n">
        <v>3.7</v>
      </c>
      <c r="H641" t="n">
        <v>0</v>
      </c>
      <c r="I641" t="n">
        <v>0</v>
      </c>
      <c r="J641" t="n">
        <v>0</v>
      </c>
      <c r="K641" t="n">
        <v>0</v>
      </c>
      <c r="L641" t="n">
        <v>0</v>
      </c>
      <c r="M641" t="n">
        <v>0</v>
      </c>
      <c r="N641" t="n">
        <v>0</v>
      </c>
      <c r="O641" t="n">
        <v>0</v>
      </c>
      <c r="P641" t="n">
        <v>0</v>
      </c>
      <c r="Q641" t="n">
        <v>0</v>
      </c>
      <c r="R641" s="2" t="inlineStr"/>
    </row>
    <row r="642" ht="15" customHeight="1">
      <c r="A642" t="inlineStr">
        <is>
          <t>A 58442-2025</t>
        </is>
      </c>
      <c r="B642" s="1" t="n">
        <v>45985.61635416667</v>
      </c>
      <c r="C642" s="1" t="n">
        <v>46036</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63950-2023</t>
        </is>
      </c>
      <c r="B643" s="1" t="n">
        <v>45278</v>
      </c>
      <c r="C643" s="1" t="n">
        <v>46036</v>
      </c>
      <c r="D643" t="inlineStr">
        <is>
          <t>KALMAR LÄN</t>
        </is>
      </c>
      <c r="E643" t="inlineStr">
        <is>
          <t>VIMMERBY</t>
        </is>
      </c>
      <c r="F643" t="inlineStr">
        <is>
          <t>Kyrkan</t>
        </is>
      </c>
      <c r="G643" t="n">
        <v>2.7</v>
      </c>
      <c r="H643" t="n">
        <v>0</v>
      </c>
      <c r="I643" t="n">
        <v>0</v>
      </c>
      <c r="J643" t="n">
        <v>0</v>
      </c>
      <c r="K643" t="n">
        <v>0</v>
      </c>
      <c r="L643" t="n">
        <v>0</v>
      </c>
      <c r="M643" t="n">
        <v>0</v>
      </c>
      <c r="N643" t="n">
        <v>0</v>
      </c>
      <c r="O643" t="n">
        <v>0</v>
      </c>
      <c r="P643" t="n">
        <v>0</v>
      </c>
      <c r="Q643" t="n">
        <v>0</v>
      </c>
      <c r="R643" s="2" t="inlineStr"/>
    </row>
    <row r="644" ht="15" customHeight="1">
      <c r="A644" t="inlineStr">
        <is>
          <t>A 58435-2025</t>
        </is>
      </c>
      <c r="B644" s="1" t="n">
        <v>45985.61501157407</v>
      </c>
      <c r="C644" s="1" t="n">
        <v>46036</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58446-2025</t>
        </is>
      </c>
      <c r="B645" s="1" t="n">
        <v>45985.62168981481</v>
      </c>
      <c r="C645" s="1" t="n">
        <v>46036</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16516-2023</t>
        </is>
      </c>
      <c r="B646" s="1" t="n">
        <v>45029</v>
      </c>
      <c r="C646" s="1" t="n">
        <v>46036</v>
      </c>
      <c r="D646" t="inlineStr">
        <is>
          <t>KALMAR LÄN</t>
        </is>
      </c>
      <c r="E646" t="inlineStr">
        <is>
          <t>VIMMERBY</t>
        </is>
      </c>
      <c r="G646" t="n">
        <v>4.3</v>
      </c>
      <c r="H646" t="n">
        <v>0</v>
      </c>
      <c r="I646" t="n">
        <v>0</v>
      </c>
      <c r="J646" t="n">
        <v>0</v>
      </c>
      <c r="K646" t="n">
        <v>0</v>
      </c>
      <c r="L646" t="n">
        <v>0</v>
      </c>
      <c r="M646" t="n">
        <v>0</v>
      </c>
      <c r="N646" t="n">
        <v>0</v>
      </c>
      <c r="O646" t="n">
        <v>0</v>
      </c>
      <c r="P646" t="n">
        <v>0</v>
      </c>
      <c r="Q646" t="n">
        <v>0</v>
      </c>
      <c r="R646" s="2" t="inlineStr"/>
    </row>
    <row r="647" ht="15" customHeight="1">
      <c r="A647" t="inlineStr">
        <is>
          <t>A 47842-2024</t>
        </is>
      </c>
      <c r="B647" s="1" t="n">
        <v>45588.65545138889</v>
      </c>
      <c r="C647" s="1" t="n">
        <v>46036</v>
      </c>
      <c r="D647" t="inlineStr">
        <is>
          <t>KALMAR LÄN</t>
        </is>
      </c>
      <c r="E647" t="inlineStr">
        <is>
          <t>VIMMERBY</t>
        </is>
      </c>
      <c r="G647" t="n">
        <v>2.4</v>
      </c>
      <c r="H647" t="n">
        <v>0</v>
      </c>
      <c r="I647" t="n">
        <v>0</v>
      </c>
      <c r="J647" t="n">
        <v>0</v>
      </c>
      <c r="K647" t="n">
        <v>0</v>
      </c>
      <c r="L647" t="n">
        <v>0</v>
      </c>
      <c r="M647" t="n">
        <v>0</v>
      </c>
      <c r="N647" t="n">
        <v>0</v>
      </c>
      <c r="O647" t="n">
        <v>0</v>
      </c>
      <c r="P647" t="n">
        <v>0</v>
      </c>
      <c r="Q647" t="n">
        <v>0</v>
      </c>
      <c r="R647" s="2" t="inlineStr"/>
    </row>
    <row r="648" ht="15" customHeight="1">
      <c r="A648" t="inlineStr">
        <is>
          <t>A 6408-2025</t>
        </is>
      </c>
      <c r="B648" s="1" t="n">
        <v>45699.45671296296</v>
      </c>
      <c r="C648" s="1" t="n">
        <v>46036</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25109-2023</t>
        </is>
      </c>
      <c r="B649" s="1" t="n">
        <v>45086</v>
      </c>
      <c r="C649" s="1" t="n">
        <v>46036</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33380-2023</t>
        </is>
      </c>
      <c r="B650" s="1" t="n">
        <v>45128</v>
      </c>
      <c r="C650" s="1" t="n">
        <v>46036</v>
      </c>
      <c r="D650" t="inlineStr">
        <is>
          <t>KALMAR LÄN</t>
        </is>
      </c>
      <c r="E650" t="inlineStr">
        <is>
          <t>VIMMERBY</t>
        </is>
      </c>
      <c r="G650" t="n">
        <v>5.2</v>
      </c>
      <c r="H650" t="n">
        <v>0</v>
      </c>
      <c r="I650" t="n">
        <v>0</v>
      </c>
      <c r="J650" t="n">
        <v>0</v>
      </c>
      <c r="K650" t="n">
        <v>0</v>
      </c>
      <c r="L650" t="n">
        <v>0</v>
      </c>
      <c r="M650" t="n">
        <v>0</v>
      </c>
      <c r="N650" t="n">
        <v>0</v>
      </c>
      <c r="O650" t="n">
        <v>0</v>
      </c>
      <c r="P650" t="n">
        <v>0</v>
      </c>
      <c r="Q650" t="n">
        <v>0</v>
      </c>
      <c r="R650" s="2" t="inlineStr"/>
    </row>
    <row r="651" ht="15" customHeight="1">
      <c r="A651" t="inlineStr">
        <is>
          <t>A 58500-2025</t>
        </is>
      </c>
      <c r="B651" s="1" t="n">
        <v>45985.69008101852</v>
      </c>
      <c r="C651" s="1" t="n">
        <v>46036</v>
      </c>
      <c r="D651" t="inlineStr">
        <is>
          <t>KALMAR LÄN</t>
        </is>
      </c>
      <c r="E651" t="inlineStr">
        <is>
          <t>VIMMERBY</t>
        </is>
      </c>
      <c r="G651" t="n">
        <v>1.8</v>
      </c>
      <c r="H651" t="n">
        <v>0</v>
      </c>
      <c r="I651" t="n">
        <v>0</v>
      </c>
      <c r="J651" t="n">
        <v>0</v>
      </c>
      <c r="K651" t="n">
        <v>0</v>
      </c>
      <c r="L651" t="n">
        <v>0</v>
      </c>
      <c r="M651" t="n">
        <v>0</v>
      </c>
      <c r="N651" t="n">
        <v>0</v>
      </c>
      <c r="O651" t="n">
        <v>0</v>
      </c>
      <c r="P651" t="n">
        <v>0</v>
      </c>
      <c r="Q651" t="n">
        <v>0</v>
      </c>
      <c r="R651" s="2" t="inlineStr"/>
    </row>
    <row r="652" ht="15" customHeight="1">
      <c r="A652" t="inlineStr">
        <is>
          <t>A 32639-2023</t>
        </is>
      </c>
      <c r="B652" s="1" t="n">
        <v>45121.5965162037</v>
      </c>
      <c r="C652" s="1" t="n">
        <v>46036</v>
      </c>
      <c r="D652" t="inlineStr">
        <is>
          <t>KALMAR LÄN</t>
        </is>
      </c>
      <c r="E652" t="inlineStr">
        <is>
          <t>VIMMERBY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32642-2023</t>
        </is>
      </c>
      <c r="B653" s="1" t="n">
        <v>45121.59954861111</v>
      </c>
      <c r="C653" s="1" t="n">
        <v>46036</v>
      </c>
      <c r="D653" t="inlineStr">
        <is>
          <t>KALMAR LÄN</t>
        </is>
      </c>
      <c r="E653" t="inlineStr">
        <is>
          <t>VIMMERBY</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32651-2023</t>
        </is>
      </c>
      <c r="B654" s="1" t="n">
        <v>45121.6096875</v>
      </c>
      <c r="C654" s="1" t="n">
        <v>46036</v>
      </c>
      <c r="D654" t="inlineStr">
        <is>
          <t>KALMAR LÄN</t>
        </is>
      </c>
      <c r="E654" t="inlineStr">
        <is>
          <t>VIMMERBY</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11928-2022</t>
        </is>
      </c>
      <c r="B655" s="1" t="n">
        <v>44635</v>
      </c>
      <c r="C655" s="1" t="n">
        <v>46036</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409-2026</t>
        </is>
      </c>
      <c r="B656" s="1" t="n">
        <v>46028.69432870371</v>
      </c>
      <c r="C656" s="1" t="n">
        <v>46036</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58841-2025</t>
        </is>
      </c>
      <c r="B657" s="1" t="n">
        <v>45987.36275462963</v>
      </c>
      <c r="C657" s="1" t="n">
        <v>46036</v>
      </c>
      <c r="D657" t="inlineStr">
        <is>
          <t>KALMAR LÄN</t>
        </is>
      </c>
      <c r="E657" t="inlineStr">
        <is>
          <t>VIMMERBY</t>
        </is>
      </c>
      <c r="G657" t="n">
        <v>3.5</v>
      </c>
      <c r="H657" t="n">
        <v>0</v>
      </c>
      <c r="I657" t="n">
        <v>0</v>
      </c>
      <c r="J657" t="n">
        <v>0</v>
      </c>
      <c r="K657" t="n">
        <v>0</v>
      </c>
      <c r="L657" t="n">
        <v>0</v>
      </c>
      <c r="M657" t="n">
        <v>0</v>
      </c>
      <c r="N657" t="n">
        <v>0</v>
      </c>
      <c r="O657" t="n">
        <v>0</v>
      </c>
      <c r="P657" t="n">
        <v>0</v>
      </c>
      <c r="Q657" t="n">
        <v>0</v>
      </c>
      <c r="R657" s="2" t="inlineStr"/>
    </row>
    <row r="658" ht="15" customHeight="1">
      <c r="A658" t="inlineStr">
        <is>
          <t>A 406-2026</t>
        </is>
      </c>
      <c r="B658" s="1" t="n">
        <v>46028.68663194445</v>
      </c>
      <c r="C658" s="1" t="n">
        <v>46036</v>
      </c>
      <c r="D658" t="inlineStr">
        <is>
          <t>KALMAR LÄN</t>
        </is>
      </c>
      <c r="E658" t="inlineStr">
        <is>
          <t>VIMMERBY</t>
        </is>
      </c>
      <c r="G658" t="n">
        <v>1.8</v>
      </c>
      <c r="H658" t="n">
        <v>0</v>
      </c>
      <c r="I658" t="n">
        <v>0</v>
      </c>
      <c r="J658" t="n">
        <v>0</v>
      </c>
      <c r="K658" t="n">
        <v>0</v>
      </c>
      <c r="L658" t="n">
        <v>0</v>
      </c>
      <c r="M658" t="n">
        <v>0</v>
      </c>
      <c r="N658" t="n">
        <v>0</v>
      </c>
      <c r="O658" t="n">
        <v>0</v>
      </c>
      <c r="P658" t="n">
        <v>0</v>
      </c>
      <c r="Q658" t="n">
        <v>0</v>
      </c>
      <c r="R658" s="2" t="inlineStr"/>
    </row>
    <row r="659" ht="15" customHeight="1">
      <c r="A659" t="inlineStr">
        <is>
          <t>A 7068-2024</t>
        </is>
      </c>
      <c r="B659" s="1" t="n">
        <v>45343.68038194445</v>
      </c>
      <c r="C659" s="1" t="n">
        <v>46036</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58858-2025</t>
        </is>
      </c>
      <c r="B660" s="1" t="n">
        <v>45987.4243287037</v>
      </c>
      <c r="C660" s="1" t="n">
        <v>46036</v>
      </c>
      <c r="D660" t="inlineStr">
        <is>
          <t>KALMAR LÄN</t>
        </is>
      </c>
      <c r="E660" t="inlineStr">
        <is>
          <t>VIMMERBY</t>
        </is>
      </c>
      <c r="G660" t="n">
        <v>1.2</v>
      </c>
      <c r="H660" t="n">
        <v>0</v>
      </c>
      <c r="I660" t="n">
        <v>0</v>
      </c>
      <c r="J660" t="n">
        <v>0</v>
      </c>
      <c r="K660" t="n">
        <v>0</v>
      </c>
      <c r="L660" t="n">
        <v>0</v>
      </c>
      <c r="M660" t="n">
        <v>0</v>
      </c>
      <c r="N660" t="n">
        <v>0</v>
      </c>
      <c r="O660" t="n">
        <v>0</v>
      </c>
      <c r="P660" t="n">
        <v>0</v>
      </c>
      <c r="Q660" t="n">
        <v>0</v>
      </c>
      <c r="R660" s="2" t="inlineStr"/>
    </row>
    <row r="661" ht="15" customHeight="1">
      <c r="A661" t="inlineStr">
        <is>
          <t>A 46234-2024</t>
        </is>
      </c>
      <c r="B661" s="1" t="n">
        <v>45581.57958333333</v>
      </c>
      <c r="C661" s="1" t="n">
        <v>46036</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37187-2024</t>
        </is>
      </c>
      <c r="B662" s="1" t="n">
        <v>45539.65212962963</v>
      </c>
      <c r="C662" s="1" t="n">
        <v>46036</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579-2026</t>
        </is>
      </c>
      <c r="B663" s="1" t="n">
        <v>46029.47912037037</v>
      </c>
      <c r="C663" s="1" t="n">
        <v>46036</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1021-2024</t>
        </is>
      </c>
      <c r="B664" s="1" t="n">
        <v>45301.67736111111</v>
      </c>
      <c r="C664" s="1" t="n">
        <v>46036</v>
      </c>
      <c r="D664" t="inlineStr">
        <is>
          <t>KALMAR LÄN</t>
        </is>
      </c>
      <c r="E664" t="inlineStr">
        <is>
          <t>VIMMERBY</t>
        </is>
      </c>
      <c r="G664" t="n">
        <v>1</v>
      </c>
      <c r="H664" t="n">
        <v>0</v>
      </c>
      <c r="I664" t="n">
        <v>0</v>
      </c>
      <c r="J664" t="n">
        <v>0</v>
      </c>
      <c r="K664" t="n">
        <v>0</v>
      </c>
      <c r="L664" t="n">
        <v>0</v>
      </c>
      <c r="M664" t="n">
        <v>0</v>
      </c>
      <c r="N664" t="n">
        <v>0</v>
      </c>
      <c r="O664" t="n">
        <v>0</v>
      </c>
      <c r="P664" t="n">
        <v>0</v>
      </c>
      <c r="Q664" t="n">
        <v>0</v>
      </c>
      <c r="R664" s="2" t="inlineStr"/>
    </row>
    <row r="665" ht="15" customHeight="1">
      <c r="A665" t="inlineStr">
        <is>
          <t>A 72701-2021</t>
        </is>
      </c>
      <c r="B665" s="1" t="n">
        <v>44546</v>
      </c>
      <c r="C665" s="1" t="n">
        <v>46036</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19111-2025</t>
        </is>
      </c>
      <c r="B666" s="1" t="n">
        <v>45768.65611111111</v>
      </c>
      <c r="C666" s="1" t="n">
        <v>46036</v>
      </c>
      <c r="D666" t="inlineStr">
        <is>
          <t>KALMAR LÄN</t>
        </is>
      </c>
      <c r="E666" t="inlineStr">
        <is>
          <t>VIMMERBY</t>
        </is>
      </c>
      <c r="G666" t="n">
        <v>6.2</v>
      </c>
      <c r="H666" t="n">
        <v>0</v>
      </c>
      <c r="I666" t="n">
        <v>0</v>
      </c>
      <c r="J666" t="n">
        <v>0</v>
      </c>
      <c r="K666" t="n">
        <v>0</v>
      </c>
      <c r="L666" t="n">
        <v>0</v>
      </c>
      <c r="M666" t="n">
        <v>0</v>
      </c>
      <c r="N666" t="n">
        <v>0</v>
      </c>
      <c r="O666" t="n">
        <v>0</v>
      </c>
      <c r="P666" t="n">
        <v>0</v>
      </c>
      <c r="Q666" t="n">
        <v>0</v>
      </c>
      <c r="R666" s="2" t="inlineStr"/>
    </row>
    <row r="667" ht="15" customHeight="1">
      <c r="A667" t="inlineStr">
        <is>
          <t>A 33374-2021</t>
        </is>
      </c>
      <c r="B667" s="1" t="n">
        <v>44377</v>
      </c>
      <c r="C667" s="1" t="n">
        <v>46036</v>
      </c>
      <c r="D667" t="inlineStr">
        <is>
          <t>KALMAR LÄN</t>
        </is>
      </c>
      <c r="E667" t="inlineStr">
        <is>
          <t>VIMMERBY</t>
        </is>
      </c>
      <c r="G667" t="n">
        <v>3.3</v>
      </c>
      <c r="H667" t="n">
        <v>0</v>
      </c>
      <c r="I667" t="n">
        <v>0</v>
      </c>
      <c r="J667" t="n">
        <v>0</v>
      </c>
      <c r="K667" t="n">
        <v>0</v>
      </c>
      <c r="L667" t="n">
        <v>0</v>
      </c>
      <c r="M667" t="n">
        <v>0</v>
      </c>
      <c r="N667" t="n">
        <v>0</v>
      </c>
      <c r="O667" t="n">
        <v>0</v>
      </c>
      <c r="P667" t="n">
        <v>0</v>
      </c>
      <c r="Q667" t="n">
        <v>0</v>
      </c>
      <c r="R667" s="2" t="inlineStr"/>
    </row>
    <row r="668" ht="15" customHeight="1">
      <c r="A668" t="inlineStr">
        <is>
          <t>A 10807-2024</t>
        </is>
      </c>
      <c r="B668" s="1" t="n">
        <v>45369.62780092593</v>
      </c>
      <c r="C668" s="1" t="n">
        <v>46036</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33359-2021</t>
        </is>
      </c>
      <c r="B669" s="1" t="n">
        <v>44377.49684027778</v>
      </c>
      <c r="C669" s="1" t="n">
        <v>46036</v>
      </c>
      <c r="D669" t="inlineStr">
        <is>
          <t>KALMAR LÄN</t>
        </is>
      </c>
      <c r="E669" t="inlineStr">
        <is>
          <t>VIMMERBY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59039-2025</t>
        </is>
      </c>
      <c r="B670" s="1" t="n">
        <v>45988.36790509259</v>
      </c>
      <c r="C670" s="1" t="n">
        <v>46036</v>
      </c>
      <c r="D670" t="inlineStr">
        <is>
          <t>KALMAR LÄN</t>
        </is>
      </c>
      <c r="E670" t="inlineStr">
        <is>
          <t>VIMMERBY</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34588-2024</t>
        </is>
      </c>
      <c r="B671" s="1" t="n">
        <v>45526.3865625</v>
      </c>
      <c r="C671" s="1" t="n">
        <v>46036</v>
      </c>
      <c r="D671" t="inlineStr">
        <is>
          <t>KALMAR LÄN</t>
        </is>
      </c>
      <c r="E671" t="inlineStr">
        <is>
          <t>VIMMERBY</t>
        </is>
      </c>
      <c r="F671" t="inlineStr">
        <is>
          <t>Övriga Aktiebolag</t>
        </is>
      </c>
      <c r="G671" t="n">
        <v>3.3</v>
      </c>
      <c r="H671" t="n">
        <v>0</v>
      </c>
      <c r="I671" t="n">
        <v>0</v>
      </c>
      <c r="J671" t="n">
        <v>0</v>
      </c>
      <c r="K671" t="n">
        <v>0</v>
      </c>
      <c r="L671" t="n">
        <v>0</v>
      </c>
      <c r="M671" t="n">
        <v>0</v>
      </c>
      <c r="N671" t="n">
        <v>0</v>
      </c>
      <c r="O671" t="n">
        <v>0</v>
      </c>
      <c r="P671" t="n">
        <v>0</v>
      </c>
      <c r="Q671" t="n">
        <v>0</v>
      </c>
      <c r="R671" s="2" t="inlineStr"/>
    </row>
    <row r="672" ht="15" customHeight="1">
      <c r="A672" t="inlineStr">
        <is>
          <t>A 17084-2025</t>
        </is>
      </c>
      <c r="B672" s="1" t="n">
        <v>45755.64450231481</v>
      </c>
      <c r="C672" s="1" t="n">
        <v>46036</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842-2026</t>
        </is>
      </c>
      <c r="B673" s="1" t="n">
        <v>46030.380625</v>
      </c>
      <c r="C673" s="1" t="n">
        <v>46036</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61937-2025</t>
        </is>
      </c>
      <c r="B674" s="1" t="n">
        <v>46003</v>
      </c>
      <c r="C674" s="1" t="n">
        <v>46036</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33161-2024</t>
        </is>
      </c>
      <c r="B675" s="1" t="n">
        <v>45518.40657407408</v>
      </c>
      <c r="C675" s="1" t="n">
        <v>46036</v>
      </c>
      <c r="D675" t="inlineStr">
        <is>
          <t>KALMAR LÄN</t>
        </is>
      </c>
      <c r="E675" t="inlineStr">
        <is>
          <t>VIMMERBY</t>
        </is>
      </c>
      <c r="G675" t="n">
        <v>4.7</v>
      </c>
      <c r="H675" t="n">
        <v>0</v>
      </c>
      <c r="I675" t="n">
        <v>0</v>
      </c>
      <c r="J675" t="n">
        <v>0</v>
      </c>
      <c r="K675" t="n">
        <v>0</v>
      </c>
      <c r="L675" t="n">
        <v>0</v>
      </c>
      <c r="M675" t="n">
        <v>0</v>
      </c>
      <c r="N675" t="n">
        <v>0</v>
      </c>
      <c r="O675" t="n">
        <v>0</v>
      </c>
      <c r="P675" t="n">
        <v>0</v>
      </c>
      <c r="Q675" t="n">
        <v>0</v>
      </c>
      <c r="R675" s="2" t="inlineStr"/>
    </row>
    <row r="676" ht="15" customHeight="1">
      <c r="A676" t="inlineStr">
        <is>
          <t>A 59034-2025</t>
        </is>
      </c>
      <c r="B676" s="1" t="n">
        <v>45988.36243055556</v>
      </c>
      <c r="C676" s="1" t="n">
        <v>46036</v>
      </c>
      <c r="D676" t="inlineStr">
        <is>
          <t>KALMAR LÄN</t>
        </is>
      </c>
      <c r="E676" t="inlineStr">
        <is>
          <t>VIMMERBY</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14359-2025</t>
        </is>
      </c>
      <c r="B677" s="1" t="n">
        <v>45741.37270833334</v>
      </c>
      <c r="C677" s="1" t="n">
        <v>46036</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59037-2025</t>
        </is>
      </c>
      <c r="B678" s="1" t="n">
        <v>45988.36508101852</v>
      </c>
      <c r="C678" s="1" t="n">
        <v>46036</v>
      </c>
      <c r="D678" t="inlineStr">
        <is>
          <t>KALMAR LÄN</t>
        </is>
      </c>
      <c r="E678" t="inlineStr">
        <is>
          <t>VIMMERBY</t>
        </is>
      </c>
      <c r="F678" t="inlineStr">
        <is>
          <t>Sveaskog</t>
        </is>
      </c>
      <c r="G678" t="n">
        <v>4</v>
      </c>
      <c r="H678" t="n">
        <v>0</v>
      </c>
      <c r="I678" t="n">
        <v>0</v>
      </c>
      <c r="J678" t="n">
        <v>0</v>
      </c>
      <c r="K678" t="n">
        <v>0</v>
      </c>
      <c r="L678" t="n">
        <v>0</v>
      </c>
      <c r="M678" t="n">
        <v>0</v>
      </c>
      <c r="N678" t="n">
        <v>0</v>
      </c>
      <c r="O678" t="n">
        <v>0</v>
      </c>
      <c r="P678" t="n">
        <v>0</v>
      </c>
      <c r="Q678" t="n">
        <v>0</v>
      </c>
      <c r="R678" s="2" t="inlineStr"/>
    </row>
    <row r="679" ht="15" customHeight="1">
      <c r="A679" t="inlineStr">
        <is>
          <t>A 59068-2025</t>
        </is>
      </c>
      <c r="B679" s="1" t="n">
        <v>45988.41725694444</v>
      </c>
      <c r="C679" s="1" t="n">
        <v>46036</v>
      </c>
      <c r="D679" t="inlineStr">
        <is>
          <t>KALMAR LÄN</t>
        </is>
      </c>
      <c r="E679" t="inlineStr">
        <is>
          <t>VIMMERBY</t>
        </is>
      </c>
      <c r="G679" t="n">
        <v>1.3</v>
      </c>
      <c r="H679" t="n">
        <v>0</v>
      </c>
      <c r="I679" t="n">
        <v>0</v>
      </c>
      <c r="J679" t="n">
        <v>0</v>
      </c>
      <c r="K679" t="n">
        <v>0</v>
      </c>
      <c r="L679" t="n">
        <v>0</v>
      </c>
      <c r="M679" t="n">
        <v>0</v>
      </c>
      <c r="N679" t="n">
        <v>0</v>
      </c>
      <c r="O679" t="n">
        <v>0</v>
      </c>
      <c r="P679" t="n">
        <v>0</v>
      </c>
      <c r="Q679" t="n">
        <v>0</v>
      </c>
      <c r="R679" s="2" t="inlineStr"/>
    </row>
    <row r="680" ht="15" customHeight="1">
      <c r="A680" t="inlineStr">
        <is>
          <t>A 7075-2021</t>
        </is>
      </c>
      <c r="B680" s="1" t="n">
        <v>44237</v>
      </c>
      <c r="C680" s="1" t="n">
        <v>46036</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55605-2024</t>
        </is>
      </c>
      <c r="B681" s="1" t="n">
        <v>45622</v>
      </c>
      <c r="C681" s="1" t="n">
        <v>46036</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44464-2024</t>
        </is>
      </c>
      <c r="B682" s="1" t="n">
        <v>45574.35809027778</v>
      </c>
      <c r="C682" s="1" t="n">
        <v>46036</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36049-2024</t>
        </is>
      </c>
      <c r="B683" s="1" t="n">
        <v>45533.61996527778</v>
      </c>
      <c r="C683" s="1" t="n">
        <v>46036</v>
      </c>
      <c r="D683" t="inlineStr">
        <is>
          <t>KALMAR LÄN</t>
        </is>
      </c>
      <c r="E683" t="inlineStr">
        <is>
          <t>VIMMERBY</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4297-2022</t>
        </is>
      </c>
      <c r="B684" s="1" t="n">
        <v>44588</v>
      </c>
      <c r="C684" s="1" t="n">
        <v>46036</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1734-2026</t>
        </is>
      </c>
      <c r="B685" s="1" t="n">
        <v>46034</v>
      </c>
      <c r="C685" s="1" t="n">
        <v>46036</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59579-2025</t>
        </is>
      </c>
      <c r="B686" s="1" t="n">
        <v>45992.30569444445</v>
      </c>
      <c r="C686" s="1" t="n">
        <v>46036</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46399-2024</t>
        </is>
      </c>
      <c r="B687" s="1" t="n">
        <v>45582.41200231481</v>
      </c>
      <c r="C687" s="1" t="n">
        <v>46036</v>
      </c>
      <c r="D687" t="inlineStr">
        <is>
          <t>KALMAR LÄN</t>
        </is>
      </c>
      <c r="E687" t="inlineStr">
        <is>
          <t>VIMMERBY</t>
        </is>
      </c>
      <c r="G687" t="n">
        <v>4.6</v>
      </c>
      <c r="H687" t="n">
        <v>0</v>
      </c>
      <c r="I687" t="n">
        <v>0</v>
      </c>
      <c r="J687" t="n">
        <v>0</v>
      </c>
      <c r="K687" t="n">
        <v>0</v>
      </c>
      <c r="L687" t="n">
        <v>0</v>
      </c>
      <c r="M687" t="n">
        <v>0</v>
      </c>
      <c r="N687" t="n">
        <v>0</v>
      </c>
      <c r="O687" t="n">
        <v>0</v>
      </c>
      <c r="P687" t="n">
        <v>0</v>
      </c>
      <c r="Q687" t="n">
        <v>0</v>
      </c>
      <c r="R687" s="2" t="inlineStr"/>
    </row>
    <row r="688" ht="15" customHeight="1">
      <c r="A688" t="inlineStr">
        <is>
          <t>A 1743-2026</t>
        </is>
      </c>
      <c r="B688" s="1" t="n">
        <v>46034</v>
      </c>
      <c r="C688" s="1" t="n">
        <v>46036</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1748-2026</t>
        </is>
      </c>
      <c r="B689" s="1" t="n">
        <v>46034.65589120371</v>
      </c>
      <c r="C689" s="1" t="n">
        <v>46036</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13532-2025</t>
        </is>
      </c>
      <c r="B690" s="1" t="n">
        <v>45736.50743055555</v>
      </c>
      <c r="C690" s="1" t="n">
        <v>46036</v>
      </c>
      <c r="D690" t="inlineStr">
        <is>
          <t>KALMAR LÄN</t>
        </is>
      </c>
      <c r="E690" t="inlineStr">
        <is>
          <t>VIMMERBY</t>
        </is>
      </c>
      <c r="G690" t="n">
        <v>3.6</v>
      </c>
      <c r="H690" t="n">
        <v>0</v>
      </c>
      <c r="I690" t="n">
        <v>0</v>
      </c>
      <c r="J690" t="n">
        <v>0</v>
      </c>
      <c r="K690" t="n">
        <v>0</v>
      </c>
      <c r="L690" t="n">
        <v>0</v>
      </c>
      <c r="M690" t="n">
        <v>0</v>
      </c>
      <c r="N690" t="n">
        <v>0</v>
      </c>
      <c r="O690" t="n">
        <v>0</v>
      </c>
      <c r="P690" t="n">
        <v>0</v>
      </c>
      <c r="Q690" t="n">
        <v>0</v>
      </c>
      <c r="R690" s="2" t="inlineStr"/>
    </row>
    <row r="691" ht="15" customHeight="1">
      <c r="A691" t="inlineStr">
        <is>
          <t>A 43038-2022</t>
        </is>
      </c>
      <c r="B691" s="1" t="n">
        <v>44833.60123842592</v>
      </c>
      <c r="C691" s="1" t="n">
        <v>46036</v>
      </c>
      <c r="D691" t="inlineStr">
        <is>
          <t>KALMAR LÄN</t>
        </is>
      </c>
      <c r="E691" t="inlineStr">
        <is>
          <t>VIMMERBY</t>
        </is>
      </c>
      <c r="G691" t="n">
        <v>4.2</v>
      </c>
      <c r="H691" t="n">
        <v>0</v>
      </c>
      <c r="I691" t="n">
        <v>0</v>
      </c>
      <c r="J691" t="n">
        <v>0</v>
      </c>
      <c r="K691" t="n">
        <v>0</v>
      </c>
      <c r="L691" t="n">
        <v>0</v>
      </c>
      <c r="M691" t="n">
        <v>0</v>
      </c>
      <c r="N691" t="n">
        <v>0</v>
      </c>
      <c r="O691" t="n">
        <v>0</v>
      </c>
      <c r="P691" t="n">
        <v>0</v>
      </c>
      <c r="Q691" t="n">
        <v>0</v>
      </c>
      <c r="R691" s="2" t="inlineStr"/>
    </row>
    <row r="692" ht="15" customHeight="1">
      <c r="A692" t="inlineStr">
        <is>
          <t>A 1862-2026</t>
        </is>
      </c>
      <c r="B692" s="1" t="n">
        <v>46035.44689814815</v>
      </c>
      <c r="C692" s="1" t="n">
        <v>46036</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12596-2021</t>
        </is>
      </c>
      <c r="B693" s="1" t="n">
        <v>44270.39765046296</v>
      </c>
      <c r="C693" s="1" t="n">
        <v>46036</v>
      </c>
      <c r="D693" t="inlineStr">
        <is>
          <t>KALMAR LÄN</t>
        </is>
      </c>
      <c r="E693" t="inlineStr">
        <is>
          <t>VIMMERBY</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1069-2026</t>
        </is>
      </c>
      <c r="B694" s="1" t="n">
        <v>46030</v>
      </c>
      <c r="C694" s="1" t="n">
        <v>46036</v>
      </c>
      <c r="D694" t="inlineStr">
        <is>
          <t>KALMAR LÄN</t>
        </is>
      </c>
      <c r="E694" t="inlineStr">
        <is>
          <t>VIMMERBY</t>
        </is>
      </c>
      <c r="G694" t="n">
        <v>3.3</v>
      </c>
      <c r="H694" t="n">
        <v>0</v>
      </c>
      <c r="I694" t="n">
        <v>0</v>
      </c>
      <c r="J694" t="n">
        <v>0</v>
      </c>
      <c r="K694" t="n">
        <v>0</v>
      </c>
      <c r="L694" t="n">
        <v>0</v>
      </c>
      <c r="M694" t="n">
        <v>0</v>
      </c>
      <c r="N694" t="n">
        <v>0</v>
      </c>
      <c r="O694" t="n">
        <v>0</v>
      </c>
      <c r="P694" t="n">
        <v>0</v>
      </c>
      <c r="Q694" t="n">
        <v>0</v>
      </c>
      <c r="R694" s="2" t="inlineStr"/>
    </row>
    <row r="695" ht="15" customHeight="1">
      <c r="A695" t="inlineStr">
        <is>
          <t>A 57799-2022</t>
        </is>
      </c>
      <c r="B695" s="1" t="n">
        <v>44897</v>
      </c>
      <c r="C695" s="1" t="n">
        <v>46036</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30921-2024</t>
        </is>
      </c>
      <c r="B696" s="1" t="n">
        <v>45498</v>
      </c>
      <c r="C696" s="1" t="n">
        <v>46036</v>
      </c>
      <c r="D696" t="inlineStr">
        <is>
          <t>KALMAR LÄN</t>
        </is>
      </c>
      <c r="E696" t="inlineStr">
        <is>
          <t>VIMMERBY</t>
        </is>
      </c>
      <c r="G696" t="n">
        <v>1.6</v>
      </c>
      <c r="H696" t="n">
        <v>0</v>
      </c>
      <c r="I696" t="n">
        <v>0</v>
      </c>
      <c r="J696" t="n">
        <v>0</v>
      </c>
      <c r="K696" t="n">
        <v>0</v>
      </c>
      <c r="L696" t="n">
        <v>0</v>
      </c>
      <c r="M696" t="n">
        <v>0</v>
      </c>
      <c r="N696" t="n">
        <v>0</v>
      </c>
      <c r="O696" t="n">
        <v>0</v>
      </c>
      <c r="P696" t="n">
        <v>0</v>
      </c>
      <c r="Q696" t="n">
        <v>0</v>
      </c>
      <c r="R696" s="2" t="inlineStr"/>
    </row>
    <row r="697" ht="15" customHeight="1">
      <c r="A697" t="inlineStr">
        <is>
          <t>A 14137-2023</t>
        </is>
      </c>
      <c r="B697" s="1" t="n">
        <v>45009.4671875</v>
      </c>
      <c r="C697" s="1" t="n">
        <v>46036</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11152-2023</t>
        </is>
      </c>
      <c r="B698" s="1" t="n">
        <v>44992</v>
      </c>
      <c r="C698" s="1" t="n">
        <v>46036</v>
      </c>
      <c r="D698" t="inlineStr">
        <is>
          <t>KALMAR LÄN</t>
        </is>
      </c>
      <c r="E698" t="inlineStr">
        <is>
          <t>VIMMERBY</t>
        </is>
      </c>
      <c r="G698" t="n">
        <v>10.6</v>
      </c>
      <c r="H698" t="n">
        <v>0</v>
      </c>
      <c r="I698" t="n">
        <v>0</v>
      </c>
      <c r="J698" t="n">
        <v>0</v>
      </c>
      <c r="K698" t="n">
        <v>0</v>
      </c>
      <c r="L698" t="n">
        <v>0</v>
      </c>
      <c r="M698" t="n">
        <v>0</v>
      </c>
      <c r="N698" t="n">
        <v>0</v>
      </c>
      <c r="O698" t="n">
        <v>0</v>
      </c>
      <c r="P698" t="n">
        <v>0</v>
      </c>
      <c r="Q698" t="n">
        <v>0</v>
      </c>
      <c r="R698" s="2" t="inlineStr"/>
    </row>
    <row r="699" ht="15" customHeight="1">
      <c r="A699" t="inlineStr">
        <is>
          <t>A 12499-2023</t>
        </is>
      </c>
      <c r="B699" s="1" t="n">
        <v>44999.86172453704</v>
      </c>
      <c r="C699" s="1" t="n">
        <v>46036</v>
      </c>
      <c r="D699" t="inlineStr">
        <is>
          <t>KALMAR LÄN</t>
        </is>
      </c>
      <c r="E699" t="inlineStr">
        <is>
          <t>VIMMERBY</t>
        </is>
      </c>
      <c r="G699" t="n">
        <v>0.8</v>
      </c>
      <c r="H699" t="n">
        <v>0</v>
      </c>
      <c r="I699" t="n">
        <v>0</v>
      </c>
      <c r="J699" t="n">
        <v>0</v>
      </c>
      <c r="K699" t="n">
        <v>0</v>
      </c>
      <c r="L699" t="n">
        <v>0</v>
      </c>
      <c r="M699" t="n">
        <v>0</v>
      </c>
      <c r="N699" t="n">
        <v>0</v>
      </c>
      <c r="O699" t="n">
        <v>0</v>
      </c>
      <c r="P699" t="n">
        <v>0</v>
      </c>
      <c r="Q699" t="n">
        <v>0</v>
      </c>
      <c r="R699" s="2" t="inlineStr"/>
    </row>
    <row r="700" ht="15" customHeight="1">
      <c r="A700" t="inlineStr">
        <is>
          <t>A 12500-2023</t>
        </is>
      </c>
      <c r="B700" s="1" t="n">
        <v>44999.8625</v>
      </c>
      <c r="C700" s="1" t="n">
        <v>46036</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35846-2023</t>
        </is>
      </c>
      <c r="B701" s="1" t="n">
        <v>45148</v>
      </c>
      <c r="C701" s="1" t="n">
        <v>46036</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49039-2021</t>
        </is>
      </c>
      <c r="B702" s="1" t="n">
        <v>44453.56578703703</v>
      </c>
      <c r="C702" s="1" t="n">
        <v>46036</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46224-2024</t>
        </is>
      </c>
      <c r="B703" s="1" t="n">
        <v>45581.57016203704</v>
      </c>
      <c r="C703" s="1" t="n">
        <v>46036</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46238-2024</t>
        </is>
      </c>
      <c r="B704" s="1" t="n">
        <v>45581.58418981481</v>
      </c>
      <c r="C704" s="1" t="n">
        <v>46036</v>
      </c>
      <c r="D704" t="inlineStr">
        <is>
          <t>KALMAR LÄN</t>
        </is>
      </c>
      <c r="E704" t="inlineStr">
        <is>
          <t>VIMMERBY</t>
        </is>
      </c>
      <c r="G704" t="n">
        <v>2.1</v>
      </c>
      <c r="H704" t="n">
        <v>0</v>
      </c>
      <c r="I704" t="n">
        <v>0</v>
      </c>
      <c r="J704" t="n">
        <v>0</v>
      </c>
      <c r="K704" t="n">
        <v>0</v>
      </c>
      <c r="L704" t="n">
        <v>0</v>
      </c>
      <c r="M704" t="n">
        <v>0</v>
      </c>
      <c r="N704" t="n">
        <v>0</v>
      </c>
      <c r="O704" t="n">
        <v>0</v>
      </c>
      <c r="P704" t="n">
        <v>0</v>
      </c>
      <c r="Q704" t="n">
        <v>0</v>
      </c>
      <c r="R704" s="2" t="inlineStr"/>
    </row>
    <row r="705" ht="15" customHeight="1">
      <c r="A705" t="inlineStr">
        <is>
          <t>A 30633-2024</t>
        </is>
      </c>
      <c r="B705" s="1" t="n">
        <v>45495</v>
      </c>
      <c r="C705" s="1" t="n">
        <v>46036</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54838-2024</t>
        </is>
      </c>
      <c r="B706" s="1" t="n">
        <v>45618.56787037037</v>
      </c>
      <c r="C706" s="1" t="n">
        <v>46036</v>
      </c>
      <c r="D706" t="inlineStr">
        <is>
          <t>KALMAR LÄN</t>
        </is>
      </c>
      <c r="E706" t="inlineStr">
        <is>
          <t>VIMMERBY</t>
        </is>
      </c>
      <c r="G706" t="n">
        <v>3.3</v>
      </c>
      <c r="H706" t="n">
        <v>0</v>
      </c>
      <c r="I706" t="n">
        <v>0</v>
      </c>
      <c r="J706" t="n">
        <v>0</v>
      </c>
      <c r="K706" t="n">
        <v>0</v>
      </c>
      <c r="L706" t="n">
        <v>0</v>
      </c>
      <c r="M706" t="n">
        <v>0</v>
      </c>
      <c r="N706" t="n">
        <v>0</v>
      </c>
      <c r="O706" t="n">
        <v>0</v>
      </c>
      <c r="P706" t="n">
        <v>0</v>
      </c>
      <c r="Q706" t="n">
        <v>0</v>
      </c>
      <c r="R706" s="2" t="inlineStr"/>
    </row>
    <row r="707" ht="15" customHeight="1">
      <c r="A707" t="inlineStr">
        <is>
          <t>A 6405-2025</t>
        </is>
      </c>
      <c r="B707" s="1" t="n">
        <v>45699.45392361111</v>
      </c>
      <c r="C707" s="1" t="n">
        <v>46036</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60437-2023</t>
        </is>
      </c>
      <c r="B708" s="1" t="n">
        <v>45259.51916666667</v>
      </c>
      <c r="C708" s="1" t="n">
        <v>46036</v>
      </c>
      <c r="D708" t="inlineStr">
        <is>
          <t>KALMAR LÄN</t>
        </is>
      </c>
      <c r="E708" t="inlineStr">
        <is>
          <t>VIMMERBY</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60438-2023</t>
        </is>
      </c>
      <c r="B709" s="1" t="n">
        <v>45259.52020833334</v>
      </c>
      <c r="C709" s="1" t="n">
        <v>46036</v>
      </c>
      <c r="D709" t="inlineStr">
        <is>
          <t>KALMAR LÄN</t>
        </is>
      </c>
      <c r="E709" t="inlineStr">
        <is>
          <t>VIMMERBY</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42165-2024</t>
        </is>
      </c>
      <c r="B710" s="1" t="n">
        <v>45562.46342592593</v>
      </c>
      <c r="C710" s="1" t="n">
        <v>46036</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25244-2023</t>
        </is>
      </c>
      <c r="B711" s="1" t="n">
        <v>45086</v>
      </c>
      <c r="C711" s="1" t="n">
        <v>46036</v>
      </c>
      <c r="D711" t="inlineStr">
        <is>
          <t>KALMAR LÄN</t>
        </is>
      </c>
      <c r="E711" t="inlineStr">
        <is>
          <t>VIMMERBY</t>
        </is>
      </c>
      <c r="G711" t="n">
        <v>4.7</v>
      </c>
      <c r="H711" t="n">
        <v>0</v>
      </c>
      <c r="I711" t="n">
        <v>0</v>
      </c>
      <c r="J711" t="n">
        <v>0</v>
      </c>
      <c r="K711" t="n">
        <v>0</v>
      </c>
      <c r="L711" t="n">
        <v>0</v>
      </c>
      <c r="M711" t="n">
        <v>0</v>
      </c>
      <c r="N711" t="n">
        <v>0</v>
      </c>
      <c r="O711" t="n">
        <v>0</v>
      </c>
      <c r="P711" t="n">
        <v>0</v>
      </c>
      <c r="Q711" t="n">
        <v>0</v>
      </c>
      <c r="R711" s="2" t="inlineStr"/>
    </row>
    <row r="712" ht="15" customHeight="1">
      <c r="A712" t="inlineStr">
        <is>
          <t>A 66022-2021</t>
        </is>
      </c>
      <c r="B712" s="1" t="n">
        <v>44517</v>
      </c>
      <c r="C712" s="1" t="n">
        <v>46036</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35895-2024</t>
        </is>
      </c>
      <c r="B713" s="1" t="n">
        <v>45533.38870370371</v>
      </c>
      <c r="C713" s="1" t="n">
        <v>46036</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11073-2023</t>
        </is>
      </c>
      <c r="B714" s="1" t="n">
        <v>44992</v>
      </c>
      <c r="C714" s="1" t="n">
        <v>46036</v>
      </c>
      <c r="D714" t="inlineStr">
        <is>
          <t>KALMAR LÄN</t>
        </is>
      </c>
      <c r="E714" t="inlineStr">
        <is>
          <t>VIMMERBY</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17-2025</t>
        </is>
      </c>
      <c r="B715" s="1" t="n">
        <v>45658.78774305555</v>
      </c>
      <c r="C715" s="1" t="n">
        <v>46036</v>
      </c>
      <c r="D715" t="inlineStr">
        <is>
          <t>KALMAR LÄN</t>
        </is>
      </c>
      <c r="E715" t="inlineStr">
        <is>
          <t>VIMMERBY</t>
        </is>
      </c>
      <c r="G715" t="n">
        <v>4.4</v>
      </c>
      <c r="H715" t="n">
        <v>0</v>
      </c>
      <c r="I715" t="n">
        <v>0</v>
      </c>
      <c r="J715" t="n">
        <v>0</v>
      </c>
      <c r="K715" t="n">
        <v>0</v>
      </c>
      <c r="L715" t="n">
        <v>0</v>
      </c>
      <c r="M715" t="n">
        <v>0</v>
      </c>
      <c r="N715" t="n">
        <v>0</v>
      </c>
      <c r="O715" t="n">
        <v>0</v>
      </c>
      <c r="P715" t="n">
        <v>0</v>
      </c>
      <c r="Q715" t="n">
        <v>0</v>
      </c>
      <c r="R715" s="2" t="inlineStr"/>
    </row>
    <row r="716" ht="15" customHeight="1">
      <c r="A716" t="inlineStr">
        <is>
          <t>A 32655-2023</t>
        </is>
      </c>
      <c r="B716" s="1" t="n">
        <v>45121.61318287037</v>
      </c>
      <c r="C716" s="1" t="n">
        <v>46036</v>
      </c>
      <c r="D716" t="inlineStr">
        <is>
          <t>KALMAR LÄN</t>
        </is>
      </c>
      <c r="E716" t="inlineStr">
        <is>
          <t>VIMMERBY</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63541-2023</t>
        </is>
      </c>
      <c r="B717" s="1" t="n">
        <v>45275.32266203704</v>
      </c>
      <c r="C717" s="1" t="n">
        <v>46036</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28034-2022</t>
        </is>
      </c>
      <c r="B718" s="1" t="n">
        <v>44746.38834490741</v>
      </c>
      <c r="C718" s="1" t="n">
        <v>46036</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5938-2022</t>
        </is>
      </c>
      <c r="B719" s="1" t="n">
        <v>44598</v>
      </c>
      <c r="C719" s="1" t="n">
        <v>46036</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24283-2023</t>
        </is>
      </c>
      <c r="B720" s="1" t="n">
        <v>45079.87827546296</v>
      </c>
      <c r="C720" s="1" t="n">
        <v>46036</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2462-2022</t>
        </is>
      </c>
      <c r="B721" s="1" t="n">
        <v>44579.62225694444</v>
      </c>
      <c r="C721" s="1" t="n">
        <v>46036</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60228-2021</t>
        </is>
      </c>
      <c r="B722" s="1" t="n">
        <v>44495</v>
      </c>
      <c r="C722" s="1" t="n">
        <v>46036</v>
      </c>
      <c r="D722" t="inlineStr">
        <is>
          <t>KALMAR LÄN</t>
        </is>
      </c>
      <c r="E722" t="inlineStr">
        <is>
          <t>VIMMERBY</t>
        </is>
      </c>
      <c r="G722" t="n">
        <v>4.1</v>
      </c>
      <c r="H722" t="n">
        <v>0</v>
      </c>
      <c r="I722" t="n">
        <v>0</v>
      </c>
      <c r="J722" t="n">
        <v>0</v>
      </c>
      <c r="K722" t="n">
        <v>0</v>
      </c>
      <c r="L722" t="n">
        <v>0</v>
      </c>
      <c r="M722" t="n">
        <v>0</v>
      </c>
      <c r="N722" t="n">
        <v>0</v>
      </c>
      <c r="O722" t="n">
        <v>0</v>
      </c>
      <c r="P722" t="n">
        <v>0</v>
      </c>
      <c r="Q722" t="n">
        <v>0</v>
      </c>
      <c r="R722" s="2" t="inlineStr"/>
    </row>
    <row r="723" ht="15" customHeight="1">
      <c r="A723" t="inlineStr">
        <is>
          <t>A 25979-2023</t>
        </is>
      </c>
      <c r="B723" s="1" t="n">
        <v>45090.89653935185</v>
      </c>
      <c r="C723" s="1" t="n">
        <v>46036</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25980-2023</t>
        </is>
      </c>
      <c r="B724" s="1" t="n">
        <v>45090.89880787037</v>
      </c>
      <c r="C724" s="1" t="n">
        <v>46036</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12510-2022</t>
        </is>
      </c>
      <c r="B725" s="1" t="n">
        <v>44638.55256944444</v>
      </c>
      <c r="C725" s="1" t="n">
        <v>46036</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6358-2022</t>
        </is>
      </c>
      <c r="B726" s="1" t="n">
        <v>44600</v>
      </c>
      <c r="C726" s="1" t="n">
        <v>46036</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48373-2021</t>
        </is>
      </c>
      <c r="B727" s="1" t="n">
        <v>44451</v>
      </c>
      <c r="C727" s="1" t="n">
        <v>46036</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57256-2023</t>
        </is>
      </c>
      <c r="B728" s="1" t="n">
        <v>45245.5735300926</v>
      </c>
      <c r="C728" s="1" t="n">
        <v>46036</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17482-2024</t>
        </is>
      </c>
      <c r="B729" s="1" t="n">
        <v>45415.47848379629</v>
      </c>
      <c r="C729" s="1" t="n">
        <v>46036</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55123-2024</t>
        </is>
      </c>
      <c r="B730" s="1" t="n">
        <v>45621.46103009259</v>
      </c>
      <c r="C730" s="1" t="n">
        <v>46036</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49313-2022</t>
        </is>
      </c>
      <c r="B731" s="1" t="n">
        <v>44861.52505787037</v>
      </c>
      <c r="C731" s="1" t="n">
        <v>46036</v>
      </c>
      <c r="D731" t="inlineStr">
        <is>
          <t>KALMAR LÄN</t>
        </is>
      </c>
      <c r="E731" t="inlineStr">
        <is>
          <t>VIMMERBY</t>
        </is>
      </c>
      <c r="G731" t="n">
        <v>1.9</v>
      </c>
      <c r="H731" t="n">
        <v>0</v>
      </c>
      <c r="I731" t="n">
        <v>0</v>
      </c>
      <c r="J731" t="n">
        <v>0</v>
      </c>
      <c r="K731" t="n">
        <v>0</v>
      </c>
      <c r="L731" t="n">
        <v>0</v>
      </c>
      <c r="M731" t="n">
        <v>0</v>
      </c>
      <c r="N731" t="n">
        <v>0</v>
      </c>
      <c r="O731" t="n">
        <v>0</v>
      </c>
      <c r="P731" t="n">
        <v>0</v>
      </c>
      <c r="Q731" t="n">
        <v>0</v>
      </c>
      <c r="R731" s="2" t="inlineStr"/>
    </row>
    <row r="732" ht="15" customHeight="1">
      <c r="A732" t="inlineStr">
        <is>
          <t>A 1987-2024</t>
        </is>
      </c>
      <c r="B732" s="1" t="n">
        <v>45308.61152777778</v>
      </c>
      <c r="C732" s="1" t="n">
        <v>46036</v>
      </c>
      <c r="D732" t="inlineStr">
        <is>
          <t>KALMAR LÄN</t>
        </is>
      </c>
      <c r="E732" t="inlineStr">
        <is>
          <t>VIMMERBY</t>
        </is>
      </c>
      <c r="G732" t="n">
        <v>3</v>
      </c>
      <c r="H732" t="n">
        <v>0</v>
      </c>
      <c r="I732" t="n">
        <v>0</v>
      </c>
      <c r="J732" t="n">
        <v>0</v>
      </c>
      <c r="K732" t="n">
        <v>0</v>
      </c>
      <c r="L732" t="n">
        <v>0</v>
      </c>
      <c r="M732" t="n">
        <v>0</v>
      </c>
      <c r="N732" t="n">
        <v>0</v>
      </c>
      <c r="O732" t="n">
        <v>0</v>
      </c>
      <c r="P732" t="n">
        <v>0</v>
      </c>
      <c r="Q732" t="n">
        <v>0</v>
      </c>
      <c r="R732" s="2" t="inlineStr"/>
    </row>
    <row r="733" ht="15" customHeight="1">
      <c r="A733" t="inlineStr">
        <is>
          <t>A 21507-2023</t>
        </is>
      </c>
      <c r="B733" s="1" t="n">
        <v>45063.508125</v>
      </c>
      <c r="C733" s="1" t="n">
        <v>46036</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57189-2022</t>
        </is>
      </c>
      <c r="B734" s="1" t="n">
        <v>44895.62296296296</v>
      </c>
      <c r="C734" s="1" t="n">
        <v>46036</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48673-2021</t>
        </is>
      </c>
      <c r="B735" s="1" t="n">
        <v>44452</v>
      </c>
      <c r="C735" s="1" t="n">
        <v>46036</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14248-2023</t>
        </is>
      </c>
      <c r="B736" s="1" t="n">
        <v>45009</v>
      </c>
      <c r="C736" s="1" t="n">
        <v>46036</v>
      </c>
      <c r="D736" t="inlineStr">
        <is>
          <t>KALMAR LÄN</t>
        </is>
      </c>
      <c r="E736" t="inlineStr">
        <is>
          <t>VIMMERBY</t>
        </is>
      </c>
      <c r="G736" t="n">
        <v>2.6</v>
      </c>
      <c r="H736" t="n">
        <v>0</v>
      </c>
      <c r="I736" t="n">
        <v>0</v>
      </c>
      <c r="J736" t="n">
        <v>0</v>
      </c>
      <c r="K736" t="n">
        <v>0</v>
      </c>
      <c r="L736" t="n">
        <v>0</v>
      </c>
      <c r="M736" t="n">
        <v>0</v>
      </c>
      <c r="N736" t="n">
        <v>0</v>
      </c>
      <c r="O736" t="n">
        <v>0</v>
      </c>
      <c r="P736" t="n">
        <v>0</v>
      </c>
      <c r="Q736" t="n">
        <v>0</v>
      </c>
      <c r="R736" s="2" t="inlineStr"/>
    </row>
    <row r="737" ht="15" customHeight="1">
      <c r="A737" t="inlineStr">
        <is>
          <t>A 12480-2024</t>
        </is>
      </c>
      <c r="B737" s="1" t="n">
        <v>45379</v>
      </c>
      <c r="C737" s="1" t="n">
        <v>46036</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40095-2022</t>
        </is>
      </c>
      <c r="B738" s="1" t="n">
        <v>44820</v>
      </c>
      <c r="C738" s="1" t="n">
        <v>46036</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50085-2023</t>
        </is>
      </c>
      <c r="B739" s="1" t="n">
        <v>45215.5959375</v>
      </c>
      <c r="C739" s="1" t="n">
        <v>46036</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50087-2023</t>
        </is>
      </c>
      <c r="B740" s="1" t="n">
        <v>45215.59743055556</v>
      </c>
      <c r="C740" s="1" t="n">
        <v>46036</v>
      </c>
      <c r="D740" t="inlineStr">
        <is>
          <t>KALMAR LÄN</t>
        </is>
      </c>
      <c r="E740" t="inlineStr">
        <is>
          <t>VIMMERBY</t>
        </is>
      </c>
      <c r="G740" t="n">
        <v>0.9</v>
      </c>
      <c r="H740" t="n">
        <v>0</v>
      </c>
      <c r="I740" t="n">
        <v>0</v>
      </c>
      <c r="J740" t="n">
        <v>0</v>
      </c>
      <c r="K740" t="n">
        <v>0</v>
      </c>
      <c r="L740" t="n">
        <v>0</v>
      </c>
      <c r="M740" t="n">
        <v>0</v>
      </c>
      <c r="N740" t="n">
        <v>0</v>
      </c>
      <c r="O740" t="n">
        <v>0</v>
      </c>
      <c r="P740" t="n">
        <v>0</v>
      </c>
      <c r="Q740" t="n">
        <v>0</v>
      </c>
      <c r="R740" s="2" t="inlineStr"/>
    </row>
    <row r="741" ht="15" customHeight="1">
      <c r="A741" t="inlineStr">
        <is>
          <t>A 8167-2024</t>
        </is>
      </c>
      <c r="B741" s="1" t="n">
        <v>45351.6062962963</v>
      </c>
      <c r="C741" s="1" t="n">
        <v>46036</v>
      </c>
      <c r="D741" t="inlineStr">
        <is>
          <t>KALMAR LÄN</t>
        </is>
      </c>
      <c r="E741" t="inlineStr">
        <is>
          <t>VIMMERBY</t>
        </is>
      </c>
      <c r="G741" t="n">
        <v>3.8</v>
      </c>
      <c r="H741" t="n">
        <v>0</v>
      </c>
      <c r="I741" t="n">
        <v>0</v>
      </c>
      <c r="J741" t="n">
        <v>0</v>
      </c>
      <c r="K741" t="n">
        <v>0</v>
      </c>
      <c r="L741" t="n">
        <v>0</v>
      </c>
      <c r="M741" t="n">
        <v>0</v>
      </c>
      <c r="N741" t="n">
        <v>0</v>
      </c>
      <c r="O741" t="n">
        <v>0</v>
      </c>
      <c r="P741" t="n">
        <v>0</v>
      </c>
      <c r="Q741" t="n">
        <v>0</v>
      </c>
      <c r="R741" s="2" t="inlineStr"/>
    </row>
    <row r="742" ht="15" customHeight="1">
      <c r="A742" t="inlineStr">
        <is>
          <t>A 2604-2025</t>
        </is>
      </c>
      <c r="B742" s="1" t="n">
        <v>45674.74094907408</v>
      </c>
      <c r="C742" s="1" t="n">
        <v>46036</v>
      </c>
      <c r="D742" t="inlineStr">
        <is>
          <t>KALMAR LÄN</t>
        </is>
      </c>
      <c r="E742" t="inlineStr">
        <is>
          <t>VIMMERBY</t>
        </is>
      </c>
      <c r="G742" t="n">
        <v>7.6</v>
      </c>
      <c r="H742" t="n">
        <v>0</v>
      </c>
      <c r="I742" t="n">
        <v>0</v>
      </c>
      <c r="J742" t="n">
        <v>0</v>
      </c>
      <c r="K742" t="n">
        <v>0</v>
      </c>
      <c r="L742" t="n">
        <v>0</v>
      </c>
      <c r="M742" t="n">
        <v>0</v>
      </c>
      <c r="N742" t="n">
        <v>0</v>
      </c>
      <c r="O742" t="n">
        <v>0</v>
      </c>
      <c r="P742" t="n">
        <v>0</v>
      </c>
      <c r="Q742" t="n">
        <v>0</v>
      </c>
      <c r="R742" s="2" t="inlineStr"/>
    </row>
    <row r="743" ht="15" customHeight="1">
      <c r="A743" t="inlineStr">
        <is>
          <t>A 37192-2024</t>
        </is>
      </c>
      <c r="B743" s="1" t="n">
        <v>45539.66027777778</v>
      </c>
      <c r="C743" s="1" t="n">
        <v>46036</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42429-2024</t>
        </is>
      </c>
      <c r="B744" s="1" t="n">
        <v>45565.40657407408</v>
      </c>
      <c r="C744" s="1" t="n">
        <v>46036</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29180-2024</t>
        </is>
      </c>
      <c r="B745" s="1" t="n">
        <v>45482.54108796296</v>
      </c>
      <c r="C745" s="1" t="n">
        <v>46036</v>
      </c>
      <c r="D745" t="inlineStr">
        <is>
          <t>KALMAR LÄN</t>
        </is>
      </c>
      <c r="E745" t="inlineStr">
        <is>
          <t>VIMMERBY</t>
        </is>
      </c>
      <c r="G745" t="n">
        <v>3.8</v>
      </c>
      <c r="H745" t="n">
        <v>0</v>
      </c>
      <c r="I745" t="n">
        <v>0</v>
      </c>
      <c r="J745" t="n">
        <v>0</v>
      </c>
      <c r="K745" t="n">
        <v>0</v>
      </c>
      <c r="L745" t="n">
        <v>0</v>
      </c>
      <c r="M745" t="n">
        <v>0</v>
      </c>
      <c r="N745" t="n">
        <v>0</v>
      </c>
      <c r="O745" t="n">
        <v>0</v>
      </c>
      <c r="P745" t="n">
        <v>0</v>
      </c>
      <c r="Q745" t="n">
        <v>0</v>
      </c>
      <c r="R745" s="2" t="inlineStr"/>
    </row>
    <row r="746" ht="15" customHeight="1">
      <c r="A746" t="inlineStr">
        <is>
          <t>A 45846-2023</t>
        </is>
      </c>
      <c r="B746" s="1" t="n">
        <v>45195.58452546296</v>
      </c>
      <c r="C746" s="1" t="n">
        <v>46036</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16020-2023</t>
        </is>
      </c>
      <c r="B747" s="1" t="n">
        <v>45026.82216435186</v>
      </c>
      <c r="C747" s="1" t="n">
        <v>46036</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61820-2023</t>
        </is>
      </c>
      <c r="B748" s="1" t="n">
        <v>45266.32614583334</v>
      </c>
      <c r="C748" s="1" t="n">
        <v>46036</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45560-2021</t>
        </is>
      </c>
      <c r="B749" s="1" t="n">
        <v>44440</v>
      </c>
      <c r="C749" s="1" t="n">
        <v>46036</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40256-2024</t>
        </is>
      </c>
      <c r="B750" s="1" t="n">
        <v>45554.62944444444</v>
      </c>
      <c r="C750" s="1" t="n">
        <v>46036</v>
      </c>
      <c r="D750" t="inlineStr">
        <is>
          <t>KALMAR LÄN</t>
        </is>
      </c>
      <c r="E750" t="inlineStr">
        <is>
          <t>VIMMERBY</t>
        </is>
      </c>
      <c r="G750" t="n">
        <v>0.9</v>
      </c>
      <c r="H750" t="n">
        <v>0</v>
      </c>
      <c r="I750" t="n">
        <v>0</v>
      </c>
      <c r="J750" t="n">
        <v>0</v>
      </c>
      <c r="K750" t="n">
        <v>0</v>
      </c>
      <c r="L750" t="n">
        <v>0</v>
      </c>
      <c r="M750" t="n">
        <v>0</v>
      </c>
      <c r="N750" t="n">
        <v>0</v>
      </c>
      <c r="O750" t="n">
        <v>0</v>
      </c>
      <c r="P750" t="n">
        <v>0</v>
      </c>
      <c r="Q750" t="n">
        <v>0</v>
      </c>
      <c r="R750" s="2" t="inlineStr"/>
    </row>
    <row r="751" ht="15" customHeight="1">
      <c r="A751" t="inlineStr">
        <is>
          <t>A 58104-2024</t>
        </is>
      </c>
      <c r="B751" s="1" t="n">
        <v>45632.37459490741</v>
      </c>
      <c r="C751" s="1" t="n">
        <v>46036</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36259-2022</t>
        </is>
      </c>
      <c r="B752" s="1" t="n">
        <v>44803.59118055556</v>
      </c>
      <c r="C752" s="1" t="n">
        <v>46036</v>
      </c>
      <c r="D752" t="inlineStr">
        <is>
          <t>KALMAR LÄN</t>
        </is>
      </c>
      <c r="E752" t="inlineStr">
        <is>
          <t>VIMMERBY</t>
        </is>
      </c>
      <c r="G752" t="n">
        <v>3.9</v>
      </c>
      <c r="H752" t="n">
        <v>0</v>
      </c>
      <c r="I752" t="n">
        <v>0</v>
      </c>
      <c r="J752" t="n">
        <v>0</v>
      </c>
      <c r="K752" t="n">
        <v>0</v>
      </c>
      <c r="L752" t="n">
        <v>0</v>
      </c>
      <c r="M752" t="n">
        <v>0</v>
      </c>
      <c r="N752" t="n">
        <v>0</v>
      </c>
      <c r="O752" t="n">
        <v>0</v>
      </c>
      <c r="P752" t="n">
        <v>0</v>
      </c>
      <c r="Q752" t="n">
        <v>0</v>
      </c>
      <c r="R752" s="2" t="inlineStr"/>
    </row>
    <row r="753" ht="15" customHeight="1">
      <c r="A753" t="inlineStr">
        <is>
          <t>A 43034-2024</t>
        </is>
      </c>
      <c r="B753" s="1" t="n">
        <v>45567.42011574074</v>
      </c>
      <c r="C753" s="1" t="n">
        <v>46036</v>
      </c>
      <c r="D753" t="inlineStr">
        <is>
          <t>KALMAR LÄN</t>
        </is>
      </c>
      <c r="E753" t="inlineStr">
        <is>
          <t>VIMMERBY</t>
        </is>
      </c>
      <c r="G753" t="n">
        <v>1.8</v>
      </c>
      <c r="H753" t="n">
        <v>0</v>
      </c>
      <c r="I753" t="n">
        <v>0</v>
      </c>
      <c r="J753" t="n">
        <v>0</v>
      </c>
      <c r="K753" t="n">
        <v>0</v>
      </c>
      <c r="L753" t="n">
        <v>0</v>
      </c>
      <c r="M753" t="n">
        <v>0</v>
      </c>
      <c r="N753" t="n">
        <v>0</v>
      </c>
      <c r="O753" t="n">
        <v>0</v>
      </c>
      <c r="P753" t="n">
        <v>0</v>
      </c>
      <c r="Q753" t="n">
        <v>0</v>
      </c>
      <c r="R753" s="2" t="inlineStr"/>
    </row>
    <row r="754" ht="15" customHeight="1">
      <c r="A754" t="inlineStr">
        <is>
          <t>A 3902-2022</t>
        </is>
      </c>
      <c r="B754" s="1" t="n">
        <v>44587.48847222222</v>
      </c>
      <c r="C754" s="1" t="n">
        <v>46036</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30070-2023</t>
        </is>
      </c>
      <c r="B755" s="1" t="n">
        <v>45110.4275</v>
      </c>
      <c r="C755" s="1" t="n">
        <v>46036</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31209-2024</t>
        </is>
      </c>
      <c r="B756" s="1" t="n">
        <v>45503.5658912037</v>
      </c>
      <c r="C756" s="1" t="n">
        <v>46036</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4527-2023</t>
        </is>
      </c>
      <c r="B757" s="1" t="n">
        <v>44956</v>
      </c>
      <c r="C757" s="1" t="n">
        <v>46036</v>
      </c>
      <c r="D757" t="inlineStr">
        <is>
          <t>KALMAR LÄN</t>
        </is>
      </c>
      <c r="E757" t="inlineStr">
        <is>
          <t>VIMMERBY</t>
        </is>
      </c>
      <c r="F757" t="inlineStr">
        <is>
          <t>Kommuner</t>
        </is>
      </c>
      <c r="G757" t="n">
        <v>8.5</v>
      </c>
      <c r="H757" t="n">
        <v>0</v>
      </c>
      <c r="I757" t="n">
        <v>0</v>
      </c>
      <c r="J757" t="n">
        <v>0</v>
      </c>
      <c r="K757" t="n">
        <v>0</v>
      </c>
      <c r="L757" t="n">
        <v>0</v>
      </c>
      <c r="M757" t="n">
        <v>0</v>
      </c>
      <c r="N757" t="n">
        <v>0</v>
      </c>
      <c r="O757" t="n">
        <v>0</v>
      </c>
      <c r="P757" t="n">
        <v>0</v>
      </c>
      <c r="Q757" t="n">
        <v>0</v>
      </c>
      <c r="R757" s="2" t="inlineStr"/>
    </row>
    <row r="758" ht="15" customHeight="1">
      <c r="A758" t="inlineStr">
        <is>
          <t>A 12586-2021</t>
        </is>
      </c>
      <c r="B758" s="1" t="n">
        <v>44270.38002314815</v>
      </c>
      <c r="C758" s="1" t="n">
        <v>46036</v>
      </c>
      <c r="D758" t="inlineStr">
        <is>
          <t>KALMAR LÄN</t>
        </is>
      </c>
      <c r="E758" t="inlineStr">
        <is>
          <t>VIMMERBY</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5864-2022</t>
        </is>
      </c>
      <c r="B759" s="1" t="n">
        <v>44596</v>
      </c>
      <c r="C759" s="1" t="n">
        <v>46036</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30912-2023</t>
        </is>
      </c>
      <c r="B760" s="1" t="n">
        <v>45113.41633101852</v>
      </c>
      <c r="C760" s="1" t="n">
        <v>46036</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1146-2025</t>
        </is>
      </c>
      <c r="B761" s="1" t="n">
        <v>45666</v>
      </c>
      <c r="C761" s="1" t="n">
        <v>46036</v>
      </c>
      <c r="D761" t="inlineStr">
        <is>
          <t>KALMAR LÄN</t>
        </is>
      </c>
      <c r="E761" t="inlineStr">
        <is>
          <t>VIMMERBY</t>
        </is>
      </c>
      <c r="G761" t="n">
        <v>4</v>
      </c>
      <c r="H761" t="n">
        <v>0</v>
      </c>
      <c r="I761" t="n">
        <v>0</v>
      </c>
      <c r="J761" t="n">
        <v>0</v>
      </c>
      <c r="K761" t="n">
        <v>0</v>
      </c>
      <c r="L761" t="n">
        <v>0</v>
      </c>
      <c r="M761" t="n">
        <v>0</v>
      </c>
      <c r="N761" t="n">
        <v>0</v>
      </c>
      <c r="O761" t="n">
        <v>0</v>
      </c>
      <c r="P761" t="n">
        <v>0</v>
      </c>
      <c r="Q761" t="n">
        <v>0</v>
      </c>
      <c r="R761" s="2" t="inlineStr"/>
    </row>
    <row r="762" ht="15" customHeight="1">
      <c r="A762" t="inlineStr">
        <is>
          <t>A 62023-2022</t>
        </is>
      </c>
      <c r="B762" s="1" t="n">
        <v>44918.50106481482</v>
      </c>
      <c r="C762" s="1" t="n">
        <v>46036</v>
      </c>
      <c r="D762" t="inlineStr">
        <is>
          <t>KALMAR LÄN</t>
        </is>
      </c>
      <c r="E762" t="inlineStr">
        <is>
          <t>VIMMERBY</t>
        </is>
      </c>
      <c r="G762" t="n">
        <v>0.3</v>
      </c>
      <c r="H762" t="n">
        <v>0</v>
      </c>
      <c r="I762" t="n">
        <v>0</v>
      </c>
      <c r="J762" t="n">
        <v>0</v>
      </c>
      <c r="K762" t="n">
        <v>0</v>
      </c>
      <c r="L762" t="n">
        <v>0</v>
      </c>
      <c r="M762" t="n">
        <v>0</v>
      </c>
      <c r="N762" t="n">
        <v>0</v>
      </c>
      <c r="O762" t="n">
        <v>0</v>
      </c>
      <c r="P762" t="n">
        <v>0</v>
      </c>
      <c r="Q762" t="n">
        <v>0</v>
      </c>
      <c r="R762" s="2" t="inlineStr"/>
    </row>
    <row r="763" ht="15" customHeight="1">
      <c r="A763" t="inlineStr">
        <is>
          <t>A 16119-2023</t>
        </is>
      </c>
      <c r="B763" s="1" t="n">
        <v>45027.59450231482</v>
      </c>
      <c r="C763" s="1" t="n">
        <v>46036</v>
      </c>
      <c r="D763" t="inlineStr">
        <is>
          <t>KALMAR LÄN</t>
        </is>
      </c>
      <c r="E763" t="inlineStr">
        <is>
          <t>VIMMERBY</t>
        </is>
      </c>
      <c r="F763" t="inlineStr">
        <is>
          <t>Kommuner</t>
        </is>
      </c>
      <c r="G763" t="n">
        <v>4.4</v>
      </c>
      <c r="H763" t="n">
        <v>0</v>
      </c>
      <c r="I763" t="n">
        <v>0</v>
      </c>
      <c r="J763" t="n">
        <v>0</v>
      </c>
      <c r="K763" t="n">
        <v>0</v>
      </c>
      <c r="L763" t="n">
        <v>0</v>
      </c>
      <c r="M763" t="n">
        <v>0</v>
      </c>
      <c r="N763" t="n">
        <v>0</v>
      </c>
      <c r="O763" t="n">
        <v>0</v>
      </c>
      <c r="P763" t="n">
        <v>0</v>
      </c>
      <c r="Q763" t="n">
        <v>0</v>
      </c>
      <c r="R763" s="2" t="inlineStr"/>
    </row>
    <row r="764" ht="15" customHeight="1">
      <c r="A764" t="inlineStr">
        <is>
          <t>A 52327-2023</t>
        </is>
      </c>
      <c r="B764" s="1" t="n">
        <v>45224.6515162037</v>
      </c>
      <c r="C764" s="1" t="n">
        <v>46036</v>
      </c>
      <c r="D764" t="inlineStr">
        <is>
          <t>KALMAR LÄN</t>
        </is>
      </c>
      <c r="E764" t="inlineStr">
        <is>
          <t>VIMMERBY</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12075-2024</t>
        </is>
      </c>
      <c r="B765" s="1" t="n">
        <v>45377</v>
      </c>
      <c r="C765" s="1" t="n">
        <v>46036</v>
      </c>
      <c r="D765" t="inlineStr">
        <is>
          <t>KALMAR LÄN</t>
        </is>
      </c>
      <c r="E765" t="inlineStr">
        <is>
          <t>VIMMERBY</t>
        </is>
      </c>
      <c r="G765" t="n">
        <v>3.7</v>
      </c>
      <c r="H765" t="n">
        <v>0</v>
      </c>
      <c r="I765" t="n">
        <v>0</v>
      </c>
      <c r="J765" t="n">
        <v>0</v>
      </c>
      <c r="K765" t="n">
        <v>0</v>
      </c>
      <c r="L765" t="n">
        <v>0</v>
      </c>
      <c r="M765" t="n">
        <v>0</v>
      </c>
      <c r="N765" t="n">
        <v>0</v>
      </c>
      <c r="O765" t="n">
        <v>0</v>
      </c>
      <c r="P765" t="n">
        <v>0</v>
      </c>
      <c r="Q765" t="n">
        <v>0</v>
      </c>
      <c r="R765" s="2" t="inlineStr"/>
    </row>
    <row r="766" ht="15" customHeight="1">
      <c r="A766" t="inlineStr">
        <is>
          <t>A 29348-2023</t>
        </is>
      </c>
      <c r="B766" s="1" t="n">
        <v>45106.25025462963</v>
      </c>
      <c r="C766" s="1" t="n">
        <v>46036</v>
      </c>
      <c r="D766" t="inlineStr">
        <is>
          <t>KALMAR LÄN</t>
        </is>
      </c>
      <c r="E766" t="inlineStr">
        <is>
          <t>VIMMERBY</t>
        </is>
      </c>
      <c r="G766" t="n">
        <v>2.4</v>
      </c>
      <c r="H766" t="n">
        <v>0</v>
      </c>
      <c r="I766" t="n">
        <v>0</v>
      </c>
      <c r="J766" t="n">
        <v>0</v>
      </c>
      <c r="K766" t="n">
        <v>0</v>
      </c>
      <c r="L766" t="n">
        <v>0</v>
      </c>
      <c r="M766" t="n">
        <v>0</v>
      </c>
      <c r="N766" t="n">
        <v>0</v>
      </c>
      <c r="O766" t="n">
        <v>0</v>
      </c>
      <c r="P766" t="n">
        <v>0</v>
      </c>
      <c r="Q766" t="n">
        <v>0</v>
      </c>
      <c r="R766" s="2" t="inlineStr"/>
    </row>
    <row r="767" ht="15" customHeight="1">
      <c r="A767" t="inlineStr">
        <is>
          <t>A 31340-2023</t>
        </is>
      </c>
      <c r="B767" s="1" t="n">
        <v>45114.47895833333</v>
      </c>
      <c r="C767" s="1" t="n">
        <v>46036</v>
      </c>
      <c r="D767" t="inlineStr">
        <is>
          <t>KALMAR LÄN</t>
        </is>
      </c>
      <c r="E767" t="inlineStr">
        <is>
          <t>VIMMERBY</t>
        </is>
      </c>
      <c r="G767" t="n">
        <v>1.8</v>
      </c>
      <c r="H767" t="n">
        <v>0</v>
      </c>
      <c r="I767" t="n">
        <v>0</v>
      </c>
      <c r="J767" t="n">
        <v>0</v>
      </c>
      <c r="K767" t="n">
        <v>0</v>
      </c>
      <c r="L767" t="n">
        <v>0</v>
      </c>
      <c r="M767" t="n">
        <v>0</v>
      </c>
      <c r="N767" t="n">
        <v>0</v>
      </c>
      <c r="O767" t="n">
        <v>0</v>
      </c>
      <c r="P767" t="n">
        <v>0</v>
      </c>
      <c r="Q767" t="n">
        <v>0</v>
      </c>
      <c r="R767" s="2" t="inlineStr"/>
    </row>
    <row r="768" ht="15" customHeight="1">
      <c r="A768" t="inlineStr">
        <is>
          <t>A 7758-2024</t>
        </is>
      </c>
      <c r="B768" s="1" t="n">
        <v>45349.54434027777</v>
      </c>
      <c r="C768" s="1" t="n">
        <v>46036</v>
      </c>
      <c r="D768" t="inlineStr">
        <is>
          <t>KALMAR LÄN</t>
        </is>
      </c>
      <c r="E768" t="inlineStr">
        <is>
          <t>VIMMERBY</t>
        </is>
      </c>
      <c r="G768" t="n">
        <v>3.5</v>
      </c>
      <c r="H768" t="n">
        <v>0</v>
      </c>
      <c r="I768" t="n">
        <v>0</v>
      </c>
      <c r="J768" t="n">
        <v>0</v>
      </c>
      <c r="K768" t="n">
        <v>0</v>
      </c>
      <c r="L768" t="n">
        <v>0</v>
      </c>
      <c r="M768" t="n">
        <v>0</v>
      </c>
      <c r="N768" t="n">
        <v>0</v>
      </c>
      <c r="O768" t="n">
        <v>0</v>
      </c>
      <c r="P768" t="n">
        <v>0</v>
      </c>
      <c r="Q768" t="n">
        <v>0</v>
      </c>
      <c r="R768" s="2" t="inlineStr"/>
    </row>
    <row r="769" ht="15" customHeight="1">
      <c r="A769" t="inlineStr">
        <is>
          <t>A 5701-2024</t>
        </is>
      </c>
      <c r="B769" s="1" t="n">
        <v>45334.78826388889</v>
      </c>
      <c r="C769" s="1" t="n">
        <v>46036</v>
      </c>
      <c r="D769" t="inlineStr">
        <is>
          <t>KALMAR LÄN</t>
        </is>
      </c>
      <c r="E769" t="inlineStr">
        <is>
          <t>VIMMERBY</t>
        </is>
      </c>
      <c r="G769" t="n">
        <v>2.3</v>
      </c>
      <c r="H769" t="n">
        <v>0</v>
      </c>
      <c r="I769" t="n">
        <v>0</v>
      </c>
      <c r="J769" t="n">
        <v>0</v>
      </c>
      <c r="K769" t="n">
        <v>0</v>
      </c>
      <c r="L769" t="n">
        <v>0</v>
      </c>
      <c r="M769" t="n">
        <v>0</v>
      </c>
      <c r="N769" t="n">
        <v>0</v>
      </c>
      <c r="O769" t="n">
        <v>0</v>
      </c>
      <c r="P769" t="n">
        <v>0</v>
      </c>
      <c r="Q769" t="n">
        <v>0</v>
      </c>
      <c r="R769" s="2" t="inlineStr"/>
    </row>
    <row r="770" ht="15" customHeight="1">
      <c r="A770" t="inlineStr">
        <is>
          <t>A 31405-2023</t>
        </is>
      </c>
      <c r="B770" s="1" t="n">
        <v>45114.58148148148</v>
      </c>
      <c r="C770" s="1" t="n">
        <v>46036</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6355-2022</t>
        </is>
      </c>
      <c r="B771" s="1" t="n">
        <v>44600</v>
      </c>
      <c r="C771" s="1" t="n">
        <v>46036</v>
      </c>
      <c r="D771" t="inlineStr">
        <is>
          <t>KALMAR LÄN</t>
        </is>
      </c>
      <c r="E771" t="inlineStr">
        <is>
          <t>VIMMERBY</t>
        </is>
      </c>
      <c r="G771" t="n">
        <v>4.9</v>
      </c>
      <c r="H771" t="n">
        <v>0</v>
      </c>
      <c r="I771" t="n">
        <v>0</v>
      </c>
      <c r="J771" t="n">
        <v>0</v>
      </c>
      <c r="K771" t="n">
        <v>0</v>
      </c>
      <c r="L771" t="n">
        <v>0</v>
      </c>
      <c r="M771" t="n">
        <v>0</v>
      </c>
      <c r="N771" t="n">
        <v>0</v>
      </c>
      <c r="O771" t="n">
        <v>0</v>
      </c>
      <c r="P771" t="n">
        <v>0</v>
      </c>
      <c r="Q771" t="n">
        <v>0</v>
      </c>
      <c r="R771" s="2" t="inlineStr"/>
    </row>
    <row r="772" ht="15" customHeight="1">
      <c r="A772" t="inlineStr">
        <is>
          <t>A 46225-2024</t>
        </is>
      </c>
      <c r="B772" s="1" t="n">
        <v>45581.57333333333</v>
      </c>
      <c r="C772" s="1" t="n">
        <v>46036</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9418-2024</t>
        </is>
      </c>
      <c r="B773" s="1" t="n">
        <v>45359.45038194444</v>
      </c>
      <c r="C773" s="1" t="n">
        <v>46036</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57091-2022</t>
        </is>
      </c>
      <c r="B774" s="1" t="n">
        <v>44895.46524305556</v>
      </c>
      <c r="C774" s="1" t="n">
        <v>46036</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3816-2022</t>
        </is>
      </c>
      <c r="B775" s="1" t="n">
        <v>44587</v>
      </c>
      <c r="C775" s="1" t="n">
        <v>46036</v>
      </c>
      <c r="D775" t="inlineStr">
        <is>
          <t>KALMAR LÄN</t>
        </is>
      </c>
      <c r="E775" t="inlineStr">
        <is>
          <t>VIMMERBY</t>
        </is>
      </c>
      <c r="G775" t="n">
        <v>1.2</v>
      </c>
      <c r="H775" t="n">
        <v>0</v>
      </c>
      <c r="I775" t="n">
        <v>0</v>
      </c>
      <c r="J775" t="n">
        <v>0</v>
      </c>
      <c r="K775" t="n">
        <v>0</v>
      </c>
      <c r="L775" t="n">
        <v>0</v>
      </c>
      <c r="M775" t="n">
        <v>0</v>
      </c>
      <c r="N775" t="n">
        <v>0</v>
      </c>
      <c r="O775" t="n">
        <v>0</v>
      </c>
      <c r="P775" t="n">
        <v>0</v>
      </c>
      <c r="Q775" t="n">
        <v>0</v>
      </c>
      <c r="R775" s="2" t="inlineStr"/>
    </row>
    <row r="776" ht="15" customHeight="1">
      <c r="A776" t="inlineStr">
        <is>
          <t>A 43606-2024</t>
        </is>
      </c>
      <c r="B776" s="1" t="n">
        <v>45569.45017361111</v>
      </c>
      <c r="C776" s="1" t="n">
        <v>46036</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43617-2024</t>
        </is>
      </c>
      <c r="B777" s="1" t="n">
        <v>45569.47494212963</v>
      </c>
      <c r="C777" s="1" t="n">
        <v>46036</v>
      </c>
      <c r="D777" t="inlineStr">
        <is>
          <t>KALMAR LÄN</t>
        </is>
      </c>
      <c r="E777" t="inlineStr">
        <is>
          <t>VIMMERBY</t>
        </is>
      </c>
      <c r="G777" t="n">
        <v>2.7</v>
      </c>
      <c r="H777" t="n">
        <v>0</v>
      </c>
      <c r="I777" t="n">
        <v>0</v>
      </c>
      <c r="J777" t="n">
        <v>0</v>
      </c>
      <c r="K777" t="n">
        <v>0</v>
      </c>
      <c r="L777" t="n">
        <v>0</v>
      </c>
      <c r="M777" t="n">
        <v>0</v>
      </c>
      <c r="N777" t="n">
        <v>0</v>
      </c>
      <c r="O777" t="n">
        <v>0</v>
      </c>
      <c r="P777" t="n">
        <v>0</v>
      </c>
      <c r="Q777" t="n">
        <v>0</v>
      </c>
      <c r="R777" s="2" t="inlineStr"/>
    </row>
    <row r="778" ht="15" customHeight="1">
      <c r="A778" t="inlineStr">
        <is>
          <t>A 47859-2024</t>
        </is>
      </c>
      <c r="B778" s="1" t="n">
        <v>45588.67070601852</v>
      </c>
      <c r="C778" s="1" t="n">
        <v>46036</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8540-2024</t>
        </is>
      </c>
      <c r="B779" s="1" t="n">
        <v>45355.54138888889</v>
      </c>
      <c r="C779" s="1" t="n">
        <v>46036</v>
      </c>
      <c r="D779" t="inlineStr">
        <is>
          <t>KALMAR LÄN</t>
        </is>
      </c>
      <c r="E779" t="inlineStr">
        <is>
          <t>VIMMERBY</t>
        </is>
      </c>
      <c r="G779" t="n">
        <v>1.9</v>
      </c>
      <c r="H779" t="n">
        <v>0</v>
      </c>
      <c r="I779" t="n">
        <v>0</v>
      </c>
      <c r="J779" t="n">
        <v>0</v>
      </c>
      <c r="K779" t="n">
        <v>0</v>
      </c>
      <c r="L779" t="n">
        <v>0</v>
      </c>
      <c r="M779" t="n">
        <v>0</v>
      </c>
      <c r="N779" t="n">
        <v>0</v>
      </c>
      <c r="O779" t="n">
        <v>0</v>
      </c>
      <c r="P779" t="n">
        <v>0</v>
      </c>
      <c r="Q779" t="n">
        <v>0</v>
      </c>
      <c r="R779" s="2" t="inlineStr"/>
    </row>
    <row r="780" ht="15" customHeight="1">
      <c r="A780" t="inlineStr">
        <is>
          <t>A 3331-2023</t>
        </is>
      </c>
      <c r="B780" s="1" t="n">
        <v>44949</v>
      </c>
      <c r="C780" s="1" t="n">
        <v>46036</v>
      </c>
      <c r="D780" t="inlineStr">
        <is>
          <t>KALMAR LÄN</t>
        </is>
      </c>
      <c r="E780" t="inlineStr">
        <is>
          <t>VIMMERBY</t>
        </is>
      </c>
      <c r="G780" t="n">
        <v>6.2</v>
      </c>
      <c r="H780" t="n">
        <v>0</v>
      </c>
      <c r="I780" t="n">
        <v>0</v>
      </c>
      <c r="J780" t="n">
        <v>0</v>
      </c>
      <c r="K780" t="n">
        <v>0</v>
      </c>
      <c r="L780" t="n">
        <v>0</v>
      </c>
      <c r="M780" t="n">
        <v>0</v>
      </c>
      <c r="N780" t="n">
        <v>0</v>
      </c>
      <c r="O780" t="n">
        <v>0</v>
      </c>
      <c r="P780" t="n">
        <v>0</v>
      </c>
      <c r="Q780" t="n">
        <v>0</v>
      </c>
      <c r="R780" s="2" t="inlineStr"/>
    </row>
    <row r="781" ht="15" customHeight="1">
      <c r="A781" t="inlineStr">
        <is>
          <t>A 598-2025</t>
        </is>
      </c>
      <c r="B781" s="1" t="n">
        <v>45660</v>
      </c>
      <c r="C781" s="1" t="n">
        <v>46036</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25799-2023</t>
        </is>
      </c>
      <c r="B782" s="1" t="n">
        <v>45090</v>
      </c>
      <c r="C782" s="1" t="n">
        <v>46036</v>
      </c>
      <c r="D782" t="inlineStr">
        <is>
          <t>KALMAR LÄN</t>
        </is>
      </c>
      <c r="E782" t="inlineStr">
        <is>
          <t>VIMMERBY</t>
        </is>
      </c>
      <c r="G782" t="n">
        <v>7.7</v>
      </c>
      <c r="H782" t="n">
        <v>0</v>
      </c>
      <c r="I782" t="n">
        <v>0</v>
      </c>
      <c r="J782" t="n">
        <v>0</v>
      </c>
      <c r="K782" t="n">
        <v>0</v>
      </c>
      <c r="L782" t="n">
        <v>0</v>
      </c>
      <c r="M782" t="n">
        <v>0</v>
      </c>
      <c r="N782" t="n">
        <v>0</v>
      </c>
      <c r="O782" t="n">
        <v>0</v>
      </c>
      <c r="P782" t="n">
        <v>0</v>
      </c>
      <c r="Q782" t="n">
        <v>0</v>
      </c>
      <c r="R782" s="2" t="inlineStr"/>
    </row>
    <row r="783" ht="15" customHeight="1">
      <c r="A783" t="inlineStr">
        <is>
          <t>A 53083-2021</t>
        </is>
      </c>
      <c r="B783" s="1" t="n">
        <v>44467.83386574074</v>
      </c>
      <c r="C783" s="1" t="n">
        <v>46036</v>
      </c>
      <c r="D783" t="inlineStr">
        <is>
          <t>KALMAR LÄN</t>
        </is>
      </c>
      <c r="E783" t="inlineStr">
        <is>
          <t>VIMMERBY</t>
        </is>
      </c>
      <c r="G783" t="n">
        <v>6.8</v>
      </c>
      <c r="H783" t="n">
        <v>0</v>
      </c>
      <c r="I783" t="n">
        <v>0</v>
      </c>
      <c r="J783" t="n">
        <v>0</v>
      </c>
      <c r="K783" t="n">
        <v>0</v>
      </c>
      <c r="L783" t="n">
        <v>0</v>
      </c>
      <c r="M783" t="n">
        <v>0</v>
      </c>
      <c r="N783" t="n">
        <v>0</v>
      </c>
      <c r="O783" t="n">
        <v>0</v>
      </c>
      <c r="P783" t="n">
        <v>0</v>
      </c>
      <c r="Q783" t="n">
        <v>0</v>
      </c>
      <c r="R783" s="2" t="inlineStr"/>
    </row>
    <row r="784" ht="15" customHeight="1">
      <c r="A784" t="inlineStr">
        <is>
          <t>A 24655-2021</t>
        </is>
      </c>
      <c r="B784" s="1" t="n">
        <v>44340</v>
      </c>
      <c r="C784" s="1" t="n">
        <v>46036</v>
      </c>
      <c r="D784" t="inlineStr">
        <is>
          <t>KALMAR LÄN</t>
        </is>
      </c>
      <c r="E784" t="inlineStr">
        <is>
          <t>VIMMERBY</t>
        </is>
      </c>
      <c r="G784" t="n">
        <v>14.9</v>
      </c>
      <c r="H784" t="n">
        <v>0</v>
      </c>
      <c r="I784" t="n">
        <v>0</v>
      </c>
      <c r="J784" t="n">
        <v>0</v>
      </c>
      <c r="K784" t="n">
        <v>0</v>
      </c>
      <c r="L784" t="n">
        <v>0</v>
      </c>
      <c r="M784" t="n">
        <v>0</v>
      </c>
      <c r="N784" t="n">
        <v>0</v>
      </c>
      <c r="O784" t="n">
        <v>0</v>
      </c>
      <c r="P784" t="n">
        <v>0</v>
      </c>
      <c r="Q784" t="n">
        <v>0</v>
      </c>
      <c r="R784" s="2" t="inlineStr"/>
    </row>
    <row r="785" ht="15" customHeight="1">
      <c r="A785" t="inlineStr">
        <is>
          <t>A 33838-2022</t>
        </is>
      </c>
      <c r="B785" s="1" t="n">
        <v>44790.49040509259</v>
      </c>
      <c r="C785" s="1" t="n">
        <v>46036</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32835-2022</t>
        </is>
      </c>
      <c r="B786" s="1" t="n">
        <v>44784.42528935185</v>
      </c>
      <c r="C786" s="1" t="n">
        <v>46036</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1081-2023</t>
        </is>
      </c>
      <c r="B787" s="1" t="n">
        <v>44935</v>
      </c>
      <c r="C787" s="1" t="n">
        <v>46036</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47063-2022</t>
        </is>
      </c>
      <c r="B788" s="1" t="n">
        <v>44852</v>
      </c>
      <c r="C788" s="1" t="n">
        <v>46036</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28403-2023</t>
        </is>
      </c>
      <c r="B789" s="1" t="n">
        <v>45100.85270833333</v>
      </c>
      <c r="C789" s="1" t="n">
        <v>46036</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33103-2024</t>
        </is>
      </c>
      <c r="B790" s="1" t="n">
        <v>45517.8162037037</v>
      </c>
      <c r="C790" s="1" t="n">
        <v>46036</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2260-2022</t>
        </is>
      </c>
      <c r="B791" s="1" t="n">
        <v>44578.62943287037</v>
      </c>
      <c r="C791" s="1" t="n">
        <v>46036</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11661-2023</t>
        </is>
      </c>
      <c r="B792" s="1" t="n">
        <v>44994.46908564815</v>
      </c>
      <c r="C792" s="1" t="n">
        <v>46036</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58046-2022</t>
        </is>
      </c>
      <c r="B793" s="1" t="n">
        <v>44900.57393518519</v>
      </c>
      <c r="C793" s="1" t="n">
        <v>46036</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45528-2021</t>
        </is>
      </c>
      <c r="B794" s="1" t="n">
        <v>44440.60415509259</v>
      </c>
      <c r="C794" s="1" t="n">
        <v>46036</v>
      </c>
      <c r="D794" t="inlineStr">
        <is>
          <t>KALMAR LÄN</t>
        </is>
      </c>
      <c r="E794" t="inlineStr">
        <is>
          <t>VIMMERBY</t>
        </is>
      </c>
      <c r="G794" t="n">
        <v>2.2</v>
      </c>
      <c r="H794" t="n">
        <v>0</v>
      </c>
      <c r="I794" t="n">
        <v>0</v>
      </c>
      <c r="J794" t="n">
        <v>0</v>
      </c>
      <c r="K794" t="n">
        <v>0</v>
      </c>
      <c r="L794" t="n">
        <v>0</v>
      </c>
      <c r="M794" t="n">
        <v>0</v>
      </c>
      <c r="N794" t="n">
        <v>0</v>
      </c>
      <c r="O794" t="n">
        <v>0</v>
      </c>
      <c r="P794" t="n">
        <v>0</v>
      </c>
      <c r="Q794" t="n">
        <v>0</v>
      </c>
      <c r="R794" s="2" t="inlineStr"/>
    </row>
    <row r="795" ht="15" customHeight="1">
      <c r="A795" t="inlineStr">
        <is>
          <t>A 46979-2023</t>
        </is>
      </c>
      <c r="B795" s="1" t="n">
        <v>45201</v>
      </c>
      <c r="C795" s="1" t="n">
        <v>46036</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6574-2023</t>
        </is>
      </c>
      <c r="B796" s="1" t="n">
        <v>44966</v>
      </c>
      <c r="C796" s="1" t="n">
        <v>46036</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4058-2024</t>
        </is>
      </c>
      <c r="B797" s="1" t="n">
        <v>45323.53744212963</v>
      </c>
      <c r="C797" s="1" t="n">
        <v>46036</v>
      </c>
      <c r="D797" t="inlineStr">
        <is>
          <t>KALMAR LÄN</t>
        </is>
      </c>
      <c r="E797" t="inlineStr">
        <is>
          <t>VIMMERBY</t>
        </is>
      </c>
      <c r="G797" t="n">
        <v>6.5</v>
      </c>
      <c r="H797" t="n">
        <v>0</v>
      </c>
      <c r="I797" t="n">
        <v>0</v>
      </c>
      <c r="J797" t="n">
        <v>0</v>
      </c>
      <c r="K797" t="n">
        <v>0</v>
      </c>
      <c r="L797" t="n">
        <v>0</v>
      </c>
      <c r="M797" t="n">
        <v>0</v>
      </c>
      <c r="N797" t="n">
        <v>0</v>
      </c>
      <c r="O797" t="n">
        <v>0</v>
      </c>
      <c r="P797" t="n">
        <v>0</v>
      </c>
      <c r="Q797" t="n">
        <v>0</v>
      </c>
      <c r="R797" s="2" t="inlineStr"/>
    </row>
    <row r="798" ht="15" customHeight="1">
      <c r="A798" t="inlineStr">
        <is>
          <t>A 1978-2024</t>
        </is>
      </c>
      <c r="B798" s="1" t="n">
        <v>45308.59001157407</v>
      </c>
      <c r="C798" s="1" t="n">
        <v>46036</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30318-2023</t>
        </is>
      </c>
      <c r="B799" s="1" t="n">
        <v>45111.30824074074</v>
      </c>
      <c r="C799" s="1" t="n">
        <v>46036</v>
      </c>
      <c r="D799" t="inlineStr">
        <is>
          <t>KALMAR LÄN</t>
        </is>
      </c>
      <c r="E799" t="inlineStr">
        <is>
          <t>VIMMERBY</t>
        </is>
      </c>
      <c r="G799" t="n">
        <v>2.6</v>
      </c>
      <c r="H799" t="n">
        <v>0</v>
      </c>
      <c r="I799" t="n">
        <v>0</v>
      </c>
      <c r="J799" t="n">
        <v>0</v>
      </c>
      <c r="K799" t="n">
        <v>0</v>
      </c>
      <c r="L799" t="n">
        <v>0</v>
      </c>
      <c r="M799" t="n">
        <v>0</v>
      </c>
      <c r="N799" t="n">
        <v>0</v>
      </c>
      <c r="O799" t="n">
        <v>0</v>
      </c>
      <c r="P799" t="n">
        <v>0</v>
      </c>
      <c r="Q799" t="n">
        <v>0</v>
      </c>
      <c r="R799" s="2" t="inlineStr"/>
    </row>
    <row r="800" ht="15" customHeight="1">
      <c r="A800" t="inlineStr">
        <is>
          <t>A 25234-2023</t>
        </is>
      </c>
      <c r="B800" s="1" t="n">
        <v>45086.63194444445</v>
      </c>
      <c r="C800" s="1" t="n">
        <v>46036</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46078-2023</t>
        </is>
      </c>
      <c r="B801" s="1" t="n">
        <v>45196</v>
      </c>
      <c r="C801" s="1" t="n">
        <v>46036</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3609-2024</t>
        </is>
      </c>
      <c r="B802" s="1" t="n">
        <v>45320.89128472222</v>
      </c>
      <c r="C802" s="1" t="n">
        <v>46036</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44987.54104166666</v>
      </c>
      <c r="C803" s="1" t="n">
        <v>46036</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49382-2023</t>
        </is>
      </c>
      <c r="B804" s="1" t="n">
        <v>45208</v>
      </c>
      <c r="C804" s="1" t="n">
        <v>46036</v>
      </c>
      <c r="D804" t="inlineStr">
        <is>
          <t>KALMAR LÄN</t>
        </is>
      </c>
      <c r="E804" t="inlineStr">
        <is>
          <t>VIMMERBY</t>
        </is>
      </c>
      <c r="G804" t="n">
        <v>2.2</v>
      </c>
      <c r="H804" t="n">
        <v>0</v>
      </c>
      <c r="I804" t="n">
        <v>0</v>
      </c>
      <c r="J804" t="n">
        <v>0</v>
      </c>
      <c r="K804" t="n">
        <v>0</v>
      </c>
      <c r="L804" t="n">
        <v>0</v>
      </c>
      <c r="M804" t="n">
        <v>0</v>
      </c>
      <c r="N804" t="n">
        <v>0</v>
      </c>
      <c r="O804" t="n">
        <v>0</v>
      </c>
      <c r="P804" t="n">
        <v>0</v>
      </c>
      <c r="Q804" t="n">
        <v>0</v>
      </c>
      <c r="R804" s="2" t="inlineStr"/>
    </row>
    <row r="805" ht="15" customHeight="1">
      <c r="A805" t="inlineStr">
        <is>
          <t>A 12810-2023</t>
        </is>
      </c>
      <c r="B805" s="1" t="n">
        <v>45001.43854166667</v>
      </c>
      <c r="C805" s="1" t="n">
        <v>46036</v>
      </c>
      <c r="D805" t="inlineStr">
        <is>
          <t>KALMAR LÄN</t>
        </is>
      </c>
      <c r="E805" t="inlineStr">
        <is>
          <t>VIMMERBY</t>
        </is>
      </c>
      <c r="G805" t="n">
        <v>1.5</v>
      </c>
      <c r="H805" t="n">
        <v>0</v>
      </c>
      <c r="I805" t="n">
        <v>0</v>
      </c>
      <c r="J805" t="n">
        <v>0</v>
      </c>
      <c r="K805" t="n">
        <v>0</v>
      </c>
      <c r="L805" t="n">
        <v>0</v>
      </c>
      <c r="M805" t="n">
        <v>0</v>
      </c>
      <c r="N805" t="n">
        <v>0</v>
      </c>
      <c r="O805" t="n">
        <v>0</v>
      </c>
      <c r="P805" t="n">
        <v>0</v>
      </c>
      <c r="Q805" t="n">
        <v>0</v>
      </c>
      <c r="R805" s="2" t="inlineStr"/>
    </row>
    <row r="806" ht="15" customHeight="1">
      <c r="A806" t="inlineStr">
        <is>
          <t>A 3425-2022</t>
        </is>
      </c>
      <c r="B806" s="1" t="n">
        <v>44585.51060185185</v>
      </c>
      <c r="C806" s="1" t="n">
        <v>46036</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60675-2023</t>
        </is>
      </c>
      <c r="B807" s="1" t="n">
        <v>45260.4716550926</v>
      </c>
      <c r="C807" s="1" t="n">
        <v>46036</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2536-2023</t>
        </is>
      </c>
      <c r="B808" s="1" t="n">
        <v>44943.62954861111</v>
      </c>
      <c r="C808" s="1" t="n">
        <v>46036</v>
      </c>
      <c r="D808" t="inlineStr">
        <is>
          <t>KALMAR LÄN</t>
        </is>
      </c>
      <c r="E808" t="inlineStr">
        <is>
          <t>VIMMERBY</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11111-2024</t>
        </is>
      </c>
      <c r="B809" s="1" t="n">
        <v>45371.36359953704</v>
      </c>
      <c r="C809" s="1" t="n">
        <v>46036</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1687-2023</t>
        </is>
      </c>
      <c r="B810" s="1" t="n">
        <v>44938</v>
      </c>
      <c r="C810" s="1" t="n">
        <v>46036</v>
      </c>
      <c r="D810" t="inlineStr">
        <is>
          <t>KALMAR LÄN</t>
        </is>
      </c>
      <c r="E810" t="inlineStr">
        <is>
          <t>VIMMERBY</t>
        </is>
      </c>
      <c r="F810" t="inlineStr">
        <is>
          <t>Kommuner</t>
        </is>
      </c>
      <c r="G810" t="n">
        <v>2.5</v>
      </c>
      <c r="H810" t="n">
        <v>0</v>
      </c>
      <c r="I810" t="n">
        <v>0</v>
      </c>
      <c r="J810" t="n">
        <v>0</v>
      </c>
      <c r="K810" t="n">
        <v>0</v>
      </c>
      <c r="L810" t="n">
        <v>0</v>
      </c>
      <c r="M810" t="n">
        <v>0</v>
      </c>
      <c r="N810" t="n">
        <v>0</v>
      </c>
      <c r="O810" t="n">
        <v>0</v>
      </c>
      <c r="P810" t="n">
        <v>0</v>
      </c>
      <c r="Q810" t="n">
        <v>0</v>
      </c>
      <c r="R810" s="2" t="inlineStr"/>
    </row>
    <row r="811" ht="15" customHeight="1">
      <c r="A811" t="inlineStr">
        <is>
          <t>A 3494-2023</t>
        </is>
      </c>
      <c r="B811" s="1" t="n">
        <v>44949</v>
      </c>
      <c r="C811" s="1" t="n">
        <v>46036</v>
      </c>
      <c r="D811" t="inlineStr">
        <is>
          <t>KALMAR LÄN</t>
        </is>
      </c>
      <c r="E811" t="inlineStr">
        <is>
          <t>VIMMERBY</t>
        </is>
      </c>
      <c r="F811" t="inlineStr">
        <is>
          <t>Kyrkan</t>
        </is>
      </c>
      <c r="G811" t="n">
        <v>0.8</v>
      </c>
      <c r="H811" t="n">
        <v>0</v>
      </c>
      <c r="I811" t="n">
        <v>0</v>
      </c>
      <c r="J811" t="n">
        <v>0</v>
      </c>
      <c r="K811" t="n">
        <v>0</v>
      </c>
      <c r="L811" t="n">
        <v>0</v>
      </c>
      <c r="M811" t="n">
        <v>0</v>
      </c>
      <c r="N811" t="n">
        <v>0</v>
      </c>
      <c r="O811" t="n">
        <v>0</v>
      </c>
      <c r="P811" t="n">
        <v>0</v>
      </c>
      <c r="Q811" t="n">
        <v>0</v>
      </c>
      <c r="R811" s="2" t="inlineStr"/>
    </row>
    <row r="812" ht="15" customHeight="1">
      <c r="A812" t="inlineStr">
        <is>
          <t>A 15449-2023</t>
        </is>
      </c>
      <c r="B812" s="1" t="n">
        <v>45020</v>
      </c>
      <c r="C812" s="1" t="n">
        <v>46036</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43242-2024</t>
        </is>
      </c>
      <c r="B813" s="1" t="n">
        <v>45568.30189814815</v>
      </c>
      <c r="C813" s="1" t="n">
        <v>46036</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56853-2022</t>
        </is>
      </c>
      <c r="B814" s="1" t="n">
        <v>44894.49538194444</v>
      </c>
      <c r="C814" s="1" t="n">
        <v>46036</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33815-2022</t>
        </is>
      </c>
      <c r="B815" s="1" t="n">
        <v>44790.45876157407</v>
      </c>
      <c r="C815" s="1" t="n">
        <v>46036</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33842-2022</t>
        </is>
      </c>
      <c r="B816" s="1" t="n">
        <v>44790.49523148148</v>
      </c>
      <c r="C816" s="1" t="n">
        <v>46036</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49408-2023</t>
        </is>
      </c>
      <c r="B817" s="1" t="n">
        <v>45211.43555555555</v>
      </c>
      <c r="C817" s="1" t="n">
        <v>46036</v>
      </c>
      <c r="D817" t="inlineStr">
        <is>
          <t>KALMAR LÄN</t>
        </is>
      </c>
      <c r="E817" t="inlineStr">
        <is>
          <t>VIMMERBY</t>
        </is>
      </c>
      <c r="G817" t="n">
        <v>13.1</v>
      </c>
      <c r="H817" t="n">
        <v>0</v>
      </c>
      <c r="I817" t="n">
        <v>0</v>
      </c>
      <c r="J817" t="n">
        <v>0</v>
      </c>
      <c r="K817" t="n">
        <v>0</v>
      </c>
      <c r="L817" t="n">
        <v>0</v>
      </c>
      <c r="M817" t="n">
        <v>0</v>
      </c>
      <c r="N817" t="n">
        <v>0</v>
      </c>
      <c r="O817" t="n">
        <v>0</v>
      </c>
      <c r="P817" t="n">
        <v>0</v>
      </c>
      <c r="Q817" t="n">
        <v>0</v>
      </c>
      <c r="R817" s="2" t="inlineStr"/>
    </row>
    <row r="818" ht="15" customHeight="1">
      <c r="A818" t="inlineStr">
        <is>
          <t>A 56536-2022</t>
        </is>
      </c>
      <c r="B818" s="1" t="n">
        <v>44893</v>
      </c>
      <c r="C818" s="1" t="n">
        <v>46036</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41199-2023</t>
        </is>
      </c>
      <c r="B819" s="1" t="n">
        <v>45174.40454861111</v>
      </c>
      <c r="C819" s="1" t="n">
        <v>46036</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8945-2025</t>
        </is>
      </c>
      <c r="B820" s="1" t="n">
        <v>45713.45311342592</v>
      </c>
      <c r="C820" s="1" t="n">
        <v>46036</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44994.42113425926</v>
      </c>
      <c r="C821" s="1" t="n">
        <v>46036</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41896-2023</t>
        </is>
      </c>
      <c r="B822" s="1" t="n">
        <v>45176.72427083334</v>
      </c>
      <c r="C822" s="1" t="n">
        <v>46036</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17926-2025</t>
        </is>
      </c>
      <c r="B823" s="1" t="n">
        <v>45759.38987268518</v>
      </c>
      <c r="C823" s="1" t="n">
        <v>46036</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21028-2023</t>
        </is>
      </c>
      <c r="B824" s="1" t="n">
        <v>45061</v>
      </c>
      <c r="C824" s="1" t="n">
        <v>46036</v>
      </c>
      <c r="D824" t="inlineStr">
        <is>
          <t>KALMAR LÄN</t>
        </is>
      </c>
      <c r="E824" t="inlineStr">
        <is>
          <t>VIMMERBY</t>
        </is>
      </c>
      <c r="F824" t="inlineStr">
        <is>
          <t>Övriga Aktiebolag</t>
        </is>
      </c>
      <c r="G824" t="n">
        <v>0.7</v>
      </c>
      <c r="H824" t="n">
        <v>0</v>
      </c>
      <c r="I824" t="n">
        <v>0</v>
      </c>
      <c r="J824" t="n">
        <v>0</v>
      </c>
      <c r="K824" t="n">
        <v>0</v>
      </c>
      <c r="L824" t="n">
        <v>0</v>
      </c>
      <c r="M824" t="n">
        <v>0</v>
      </c>
      <c r="N824" t="n">
        <v>0</v>
      </c>
      <c r="O824" t="n">
        <v>0</v>
      </c>
      <c r="P824" t="n">
        <v>0</v>
      </c>
      <c r="Q824" t="n">
        <v>0</v>
      </c>
      <c r="R824" s="2" t="inlineStr"/>
    </row>
    <row r="825" ht="15" customHeight="1">
      <c r="A825" t="inlineStr">
        <is>
          <t>A 19445-2021</t>
        </is>
      </c>
      <c r="B825" s="1" t="n">
        <v>44310</v>
      </c>
      <c r="C825" s="1" t="n">
        <v>46036</v>
      </c>
      <c r="D825" t="inlineStr">
        <is>
          <t>KALMAR LÄN</t>
        </is>
      </c>
      <c r="E825" t="inlineStr">
        <is>
          <t>VIMMERBY</t>
        </is>
      </c>
      <c r="G825" t="n">
        <v>6.8</v>
      </c>
      <c r="H825" t="n">
        <v>0</v>
      </c>
      <c r="I825" t="n">
        <v>0</v>
      </c>
      <c r="J825" t="n">
        <v>0</v>
      </c>
      <c r="K825" t="n">
        <v>0</v>
      </c>
      <c r="L825" t="n">
        <v>0</v>
      </c>
      <c r="M825" t="n">
        <v>0</v>
      </c>
      <c r="N825" t="n">
        <v>0</v>
      </c>
      <c r="O825" t="n">
        <v>0</v>
      </c>
      <c r="P825" t="n">
        <v>0</v>
      </c>
      <c r="Q825" t="n">
        <v>0</v>
      </c>
      <c r="R825" s="2" t="inlineStr"/>
    </row>
    <row r="826" ht="15" customHeight="1">
      <c r="A826" t="inlineStr">
        <is>
          <t>A 27122-2023</t>
        </is>
      </c>
      <c r="B826" s="1" t="n">
        <v>45096.45247685185</v>
      </c>
      <c r="C826" s="1" t="n">
        <v>46036</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13813-2024</t>
        </is>
      </c>
      <c r="B827" s="1" t="n">
        <v>45391.41310185185</v>
      </c>
      <c r="C827" s="1" t="n">
        <v>46036</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38969-2023</t>
        </is>
      </c>
      <c r="B828" s="1" t="n">
        <v>45163.63621527778</v>
      </c>
      <c r="C828" s="1" t="n">
        <v>46036</v>
      </c>
      <c r="D828" t="inlineStr">
        <is>
          <t>KALMAR LÄN</t>
        </is>
      </c>
      <c r="E828" t="inlineStr">
        <is>
          <t>VIMMERBY</t>
        </is>
      </c>
      <c r="F828" t="inlineStr">
        <is>
          <t>Sveaskog</t>
        </is>
      </c>
      <c r="G828" t="n">
        <v>2.4</v>
      </c>
      <c r="H828" t="n">
        <v>0</v>
      </c>
      <c r="I828" t="n">
        <v>0</v>
      </c>
      <c r="J828" t="n">
        <v>0</v>
      </c>
      <c r="K828" t="n">
        <v>0</v>
      </c>
      <c r="L828" t="n">
        <v>0</v>
      </c>
      <c r="M828" t="n">
        <v>0</v>
      </c>
      <c r="N828" t="n">
        <v>0</v>
      </c>
      <c r="O828" t="n">
        <v>0</v>
      </c>
      <c r="P828" t="n">
        <v>0</v>
      </c>
      <c r="Q828" t="n">
        <v>0</v>
      </c>
      <c r="R828" s="2" t="inlineStr"/>
    </row>
    <row r="829" ht="15" customHeight="1">
      <c r="A829" t="inlineStr">
        <is>
          <t>A 26937-2023</t>
        </is>
      </c>
      <c r="B829" s="1" t="n">
        <v>45093.62777777778</v>
      </c>
      <c r="C829" s="1" t="n">
        <v>46036</v>
      </c>
      <c r="D829" t="inlineStr">
        <is>
          <t>KALMAR LÄN</t>
        </is>
      </c>
      <c r="E829" t="inlineStr">
        <is>
          <t>VIMMERBY</t>
        </is>
      </c>
      <c r="F829" t="inlineStr">
        <is>
          <t>Sveaskog</t>
        </is>
      </c>
      <c r="G829" t="n">
        <v>14.5</v>
      </c>
      <c r="H829" t="n">
        <v>0</v>
      </c>
      <c r="I829" t="n">
        <v>0</v>
      </c>
      <c r="J829" t="n">
        <v>0</v>
      </c>
      <c r="K829" t="n">
        <v>0</v>
      </c>
      <c r="L829" t="n">
        <v>0</v>
      </c>
      <c r="M829" t="n">
        <v>0</v>
      </c>
      <c r="N829" t="n">
        <v>0</v>
      </c>
      <c r="O829" t="n">
        <v>0</v>
      </c>
      <c r="P829" t="n">
        <v>0</v>
      </c>
      <c r="Q829" t="n">
        <v>0</v>
      </c>
      <c r="R829" s="2" t="inlineStr"/>
    </row>
    <row r="830" ht="15" customHeight="1">
      <c r="A830" t="inlineStr">
        <is>
          <t>A 57486-2024</t>
        </is>
      </c>
      <c r="B830" s="1" t="n">
        <v>45630.35827546296</v>
      </c>
      <c r="C830" s="1" t="n">
        <v>46036</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43186-2021</t>
        </is>
      </c>
      <c r="B831" s="1" t="n">
        <v>44431.84840277778</v>
      </c>
      <c r="C831" s="1" t="n">
        <v>46036</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1799-2025</t>
        </is>
      </c>
      <c r="B832" s="1" t="n">
        <v>45671.46746527778</v>
      </c>
      <c r="C832" s="1" t="n">
        <v>46036</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30063-2023</t>
        </is>
      </c>
      <c r="B833" s="1" t="n">
        <v>45110.4184375</v>
      </c>
      <c r="C833" s="1" t="n">
        <v>46036</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43068-2023</t>
        </is>
      </c>
      <c r="B834" s="1" t="n">
        <v>45182.78834490741</v>
      </c>
      <c r="C834" s="1" t="n">
        <v>46036</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18020-2025</t>
        </is>
      </c>
      <c r="B835" s="1" t="n">
        <v>45761.4437962963</v>
      </c>
      <c r="C835" s="1" t="n">
        <v>46036</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33424-2023</t>
        </is>
      </c>
      <c r="B836" s="1" t="n">
        <v>45128.9325</v>
      </c>
      <c r="C836" s="1" t="n">
        <v>46036</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33425-2023</t>
        </is>
      </c>
      <c r="B837" s="1" t="n">
        <v>45128.93540509259</v>
      </c>
      <c r="C837" s="1" t="n">
        <v>46036</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44999.36081018519</v>
      </c>
      <c r="C838" s="1" t="n">
        <v>46036</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43092-2024</t>
        </is>
      </c>
      <c r="B839" s="1" t="n">
        <v>45567</v>
      </c>
      <c r="C839" s="1" t="n">
        <v>46036</v>
      </c>
      <c r="D839" t="inlineStr">
        <is>
          <t>KALMAR LÄN</t>
        </is>
      </c>
      <c r="E839" t="inlineStr">
        <is>
          <t>VIMMERBY</t>
        </is>
      </c>
      <c r="G839" t="n">
        <v>2.7</v>
      </c>
      <c r="H839" t="n">
        <v>0</v>
      </c>
      <c r="I839" t="n">
        <v>0</v>
      </c>
      <c r="J839" t="n">
        <v>0</v>
      </c>
      <c r="K839" t="n">
        <v>0</v>
      </c>
      <c r="L839" t="n">
        <v>0</v>
      </c>
      <c r="M839" t="n">
        <v>0</v>
      </c>
      <c r="N839" t="n">
        <v>0</v>
      </c>
      <c r="O839" t="n">
        <v>0</v>
      </c>
      <c r="P839" t="n">
        <v>0</v>
      </c>
      <c r="Q839" t="n">
        <v>0</v>
      </c>
      <c r="R839" s="2" t="inlineStr"/>
    </row>
    <row r="840" ht="15" customHeight="1">
      <c r="A840" t="inlineStr">
        <is>
          <t>A 52435-2021</t>
        </is>
      </c>
      <c r="B840" s="1" t="n">
        <v>44466.34962962963</v>
      </c>
      <c r="C840" s="1" t="n">
        <v>46036</v>
      </c>
      <c r="D840" t="inlineStr">
        <is>
          <t>KALMAR LÄN</t>
        </is>
      </c>
      <c r="E840" t="inlineStr">
        <is>
          <t>VIMMERBY</t>
        </is>
      </c>
      <c r="G840" t="n">
        <v>2.8</v>
      </c>
      <c r="H840" t="n">
        <v>0</v>
      </c>
      <c r="I840" t="n">
        <v>0</v>
      </c>
      <c r="J840" t="n">
        <v>0</v>
      </c>
      <c r="K840" t="n">
        <v>0</v>
      </c>
      <c r="L840" t="n">
        <v>0</v>
      </c>
      <c r="M840" t="n">
        <v>0</v>
      </c>
      <c r="N840" t="n">
        <v>0</v>
      </c>
      <c r="O840" t="n">
        <v>0</v>
      </c>
      <c r="P840" t="n">
        <v>0</v>
      </c>
      <c r="Q840" t="n">
        <v>0</v>
      </c>
      <c r="R840" s="2" t="inlineStr"/>
    </row>
    <row r="841" ht="15" customHeight="1">
      <c r="A841" t="inlineStr">
        <is>
          <t>A 35127-2024</t>
        </is>
      </c>
      <c r="B841" s="1" t="n">
        <v>45530.33202546297</v>
      </c>
      <c r="C841" s="1" t="n">
        <v>46036</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60215-2022</t>
        </is>
      </c>
      <c r="B842" s="1" t="n">
        <v>44910.41346064815</v>
      </c>
      <c r="C842" s="1" t="n">
        <v>46036</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29441-2024</t>
        </is>
      </c>
      <c r="B843" s="1" t="n">
        <v>45483.82834490741</v>
      </c>
      <c r="C843" s="1" t="n">
        <v>46036</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6216-2025</t>
        </is>
      </c>
      <c r="B844" s="1" t="n">
        <v>45698.52806712963</v>
      </c>
      <c r="C844" s="1" t="n">
        <v>46036</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62779-2023</t>
        </is>
      </c>
      <c r="B845" s="1" t="n">
        <v>45271.66576388889</v>
      </c>
      <c r="C845" s="1" t="n">
        <v>46036</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52294-2023</t>
        </is>
      </c>
      <c r="B846" s="1" t="n">
        <v>45224.60075231481</v>
      </c>
      <c r="C846" s="1" t="n">
        <v>46036</v>
      </c>
      <c r="D846" t="inlineStr">
        <is>
          <t>KALMAR LÄN</t>
        </is>
      </c>
      <c r="E846" t="inlineStr">
        <is>
          <t>VIMMERBY</t>
        </is>
      </c>
      <c r="F846" t="inlineStr">
        <is>
          <t>Sveaskog</t>
        </is>
      </c>
      <c r="G846" t="n">
        <v>2.5</v>
      </c>
      <c r="H846" t="n">
        <v>0</v>
      </c>
      <c r="I846" t="n">
        <v>0</v>
      </c>
      <c r="J846" t="n">
        <v>0</v>
      </c>
      <c r="K846" t="n">
        <v>0</v>
      </c>
      <c r="L846" t="n">
        <v>0</v>
      </c>
      <c r="M846" t="n">
        <v>0</v>
      </c>
      <c r="N846" t="n">
        <v>0</v>
      </c>
      <c r="O846" t="n">
        <v>0</v>
      </c>
      <c r="P846" t="n">
        <v>0</v>
      </c>
      <c r="Q846" t="n">
        <v>0</v>
      </c>
      <c r="R846" s="2" t="inlineStr"/>
    </row>
    <row r="847" ht="15" customHeight="1">
      <c r="A847" t="inlineStr">
        <is>
          <t>A 31013-2023</t>
        </is>
      </c>
      <c r="B847" s="1" t="n">
        <v>45113.56574074074</v>
      </c>
      <c r="C847" s="1" t="n">
        <v>46036</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72067-2021</t>
        </is>
      </c>
      <c r="B848" s="1" t="n">
        <v>44540</v>
      </c>
      <c r="C848" s="1" t="n">
        <v>46036</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61538-2022</t>
        </is>
      </c>
      <c r="B849" s="1" t="n">
        <v>44916.55414351852</v>
      </c>
      <c r="C849" s="1" t="n">
        <v>46036</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36155-2023</t>
        </is>
      </c>
      <c r="B850" s="1" t="n">
        <v>45149.60917824074</v>
      </c>
      <c r="C850" s="1" t="n">
        <v>46036</v>
      </c>
      <c r="D850" t="inlineStr">
        <is>
          <t>KALMAR LÄN</t>
        </is>
      </c>
      <c r="E850" t="inlineStr">
        <is>
          <t>VIMMERBY</t>
        </is>
      </c>
      <c r="G850" t="n">
        <v>5</v>
      </c>
      <c r="H850" t="n">
        <v>0</v>
      </c>
      <c r="I850" t="n">
        <v>0</v>
      </c>
      <c r="J850" t="n">
        <v>0</v>
      </c>
      <c r="K850" t="n">
        <v>0</v>
      </c>
      <c r="L850" t="n">
        <v>0</v>
      </c>
      <c r="M850" t="n">
        <v>0</v>
      </c>
      <c r="N850" t="n">
        <v>0</v>
      </c>
      <c r="O850" t="n">
        <v>0</v>
      </c>
      <c r="P850" t="n">
        <v>0</v>
      </c>
      <c r="Q850" t="n">
        <v>0</v>
      </c>
      <c r="R850" s="2" t="inlineStr"/>
    </row>
    <row r="851" ht="15" customHeight="1">
      <c r="A851" t="inlineStr">
        <is>
          <t>A 29173-2024</t>
        </is>
      </c>
      <c r="B851" s="1" t="n">
        <v>45482.52887731481</v>
      </c>
      <c r="C851" s="1" t="n">
        <v>46036</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53542-2022</t>
        </is>
      </c>
      <c r="B852" s="1" t="n">
        <v>44879.62173611111</v>
      </c>
      <c r="C852" s="1" t="n">
        <v>46036</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6807-2025</t>
        </is>
      </c>
      <c r="B853" s="1" t="n">
        <v>45700.68672453704</v>
      </c>
      <c r="C853" s="1" t="n">
        <v>46036</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7047-2022</t>
        </is>
      </c>
      <c r="B854" s="1" t="n">
        <v>44603</v>
      </c>
      <c r="C854" s="1" t="n">
        <v>46036</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35711-2023</t>
        </is>
      </c>
      <c r="B855" s="1" t="n">
        <v>45147.67172453704</v>
      </c>
      <c r="C855" s="1" t="n">
        <v>46036</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5382-2023</t>
        </is>
      </c>
      <c r="B856" s="1" t="n">
        <v>44959.66407407408</v>
      </c>
      <c r="C856" s="1" t="n">
        <v>46036</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40823-2023</t>
        </is>
      </c>
      <c r="B857" s="1" t="n">
        <v>45171.77335648148</v>
      </c>
      <c r="C857" s="1" t="n">
        <v>46036</v>
      </c>
      <c r="D857" t="inlineStr">
        <is>
          <t>KALMAR LÄN</t>
        </is>
      </c>
      <c r="E857" t="inlineStr">
        <is>
          <t>VIMMERBY</t>
        </is>
      </c>
      <c r="G857" t="n">
        <v>2.7</v>
      </c>
      <c r="H857" t="n">
        <v>0</v>
      </c>
      <c r="I857" t="n">
        <v>0</v>
      </c>
      <c r="J857" t="n">
        <v>0</v>
      </c>
      <c r="K857" t="n">
        <v>0</v>
      </c>
      <c r="L857" t="n">
        <v>0</v>
      </c>
      <c r="M857" t="n">
        <v>0</v>
      </c>
      <c r="N857" t="n">
        <v>0</v>
      </c>
      <c r="O857" t="n">
        <v>0</v>
      </c>
      <c r="P857" t="n">
        <v>0</v>
      </c>
      <c r="Q857" t="n">
        <v>0</v>
      </c>
      <c r="R857" s="2" t="inlineStr"/>
    </row>
    <row r="858" ht="15" customHeight="1">
      <c r="A858" t="inlineStr">
        <is>
          <t>A 6218-2025</t>
        </is>
      </c>
      <c r="B858" s="1" t="n">
        <v>45698.53336805556</v>
      </c>
      <c r="C858" s="1" t="n">
        <v>46036</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30920-2023</t>
        </is>
      </c>
      <c r="B859" s="1" t="n">
        <v>45113.43921296296</v>
      </c>
      <c r="C859" s="1" t="n">
        <v>46036</v>
      </c>
      <c r="D859" t="inlineStr">
        <is>
          <t>KALMAR LÄN</t>
        </is>
      </c>
      <c r="E859" t="inlineStr">
        <is>
          <t>VIMMERBY</t>
        </is>
      </c>
      <c r="G859" t="n">
        <v>3.1</v>
      </c>
      <c r="H859" t="n">
        <v>0</v>
      </c>
      <c r="I859" t="n">
        <v>0</v>
      </c>
      <c r="J859" t="n">
        <v>0</v>
      </c>
      <c r="K859" t="n">
        <v>0</v>
      </c>
      <c r="L859" t="n">
        <v>0</v>
      </c>
      <c r="M859" t="n">
        <v>0</v>
      </c>
      <c r="N859" t="n">
        <v>0</v>
      </c>
      <c r="O859" t="n">
        <v>0</v>
      </c>
      <c r="P859" t="n">
        <v>0</v>
      </c>
      <c r="Q859" t="n">
        <v>0</v>
      </c>
      <c r="R859" s="2" t="inlineStr"/>
    </row>
    <row r="860" ht="15" customHeight="1">
      <c r="A860" t="inlineStr">
        <is>
          <t>A 6857-2023</t>
        </is>
      </c>
      <c r="B860" s="1" t="n">
        <v>44967.45122685185</v>
      </c>
      <c r="C860" s="1" t="n">
        <v>46036</v>
      </c>
      <c r="D860" t="inlineStr">
        <is>
          <t>KALMAR LÄN</t>
        </is>
      </c>
      <c r="E860" t="inlineStr">
        <is>
          <t>VIMMERBY</t>
        </is>
      </c>
      <c r="G860" t="n">
        <v>2.1</v>
      </c>
      <c r="H860" t="n">
        <v>0</v>
      </c>
      <c r="I860" t="n">
        <v>0</v>
      </c>
      <c r="J860" t="n">
        <v>0</v>
      </c>
      <c r="K860" t="n">
        <v>0</v>
      </c>
      <c r="L860" t="n">
        <v>0</v>
      </c>
      <c r="M860" t="n">
        <v>0</v>
      </c>
      <c r="N860" t="n">
        <v>0</v>
      </c>
      <c r="O860" t="n">
        <v>0</v>
      </c>
      <c r="P860" t="n">
        <v>0</v>
      </c>
      <c r="Q860" t="n">
        <v>0</v>
      </c>
      <c r="R860" s="2" t="inlineStr"/>
    </row>
    <row r="861" ht="15" customHeight="1">
      <c r="A861" t="inlineStr">
        <is>
          <t>A 5792-2023</t>
        </is>
      </c>
      <c r="B861" s="1" t="n">
        <v>44963.44769675926</v>
      </c>
      <c r="C861" s="1" t="n">
        <v>46036</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10303-2025</t>
        </is>
      </c>
      <c r="B862" s="1" t="n">
        <v>45720.44217592593</v>
      </c>
      <c r="C862" s="1" t="n">
        <v>46036</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60110-2022</t>
        </is>
      </c>
      <c r="B863" s="1" t="n">
        <v>44909</v>
      </c>
      <c r="C863" s="1" t="n">
        <v>46036</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15394-2025</t>
        </is>
      </c>
      <c r="B864" s="1" t="n">
        <v>45747.43196759259</v>
      </c>
      <c r="C864" s="1" t="n">
        <v>46036</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15388-2025</t>
        </is>
      </c>
      <c r="B865" s="1" t="n">
        <v>45747.42633101852</v>
      </c>
      <c r="C865" s="1" t="n">
        <v>46036</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15391-2025</t>
        </is>
      </c>
      <c r="B866" s="1" t="n">
        <v>45747.42958333333</v>
      </c>
      <c r="C866" s="1" t="n">
        <v>46036</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6474-2025</t>
        </is>
      </c>
      <c r="B867" s="1" t="n">
        <v>45699.60055555555</v>
      </c>
      <c r="C867" s="1" t="n">
        <v>46036</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32919-2022</t>
        </is>
      </c>
      <c r="B868" s="1" t="n">
        <v>44784.62724537037</v>
      </c>
      <c r="C868" s="1" t="n">
        <v>46036</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56659-2023</t>
        </is>
      </c>
      <c r="B869" s="1" t="n">
        <v>45243.84869212963</v>
      </c>
      <c r="C869" s="1" t="n">
        <v>46036</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13015-2022</t>
        </is>
      </c>
      <c r="B870" s="1" t="n">
        <v>44643</v>
      </c>
      <c r="C870" s="1" t="n">
        <v>46036</v>
      </c>
      <c r="D870" t="inlineStr">
        <is>
          <t>KALMAR LÄN</t>
        </is>
      </c>
      <c r="E870" t="inlineStr">
        <is>
          <t>VIMMERBY</t>
        </is>
      </c>
      <c r="G870" t="n">
        <v>2.4</v>
      </c>
      <c r="H870" t="n">
        <v>0</v>
      </c>
      <c r="I870" t="n">
        <v>0</v>
      </c>
      <c r="J870" t="n">
        <v>0</v>
      </c>
      <c r="K870" t="n">
        <v>0</v>
      </c>
      <c r="L870" t="n">
        <v>0</v>
      </c>
      <c r="M870" t="n">
        <v>0</v>
      </c>
      <c r="N870" t="n">
        <v>0</v>
      </c>
      <c r="O870" t="n">
        <v>0</v>
      </c>
      <c r="P870" t="n">
        <v>0</v>
      </c>
      <c r="Q870" t="n">
        <v>0</v>
      </c>
      <c r="R870" s="2" t="inlineStr"/>
    </row>
    <row r="871" ht="15" customHeight="1">
      <c r="A871" t="inlineStr">
        <is>
          <t>A 17968-2025</t>
        </is>
      </c>
      <c r="B871" s="1" t="n">
        <v>45761.35990740741</v>
      </c>
      <c r="C871" s="1" t="n">
        <v>46036</v>
      </c>
      <c r="D871" t="inlineStr">
        <is>
          <t>KALMAR LÄN</t>
        </is>
      </c>
      <c r="E871" t="inlineStr">
        <is>
          <t>VIMMERBY</t>
        </is>
      </c>
      <c r="G871" t="n">
        <v>3.3</v>
      </c>
      <c r="H871" t="n">
        <v>0</v>
      </c>
      <c r="I871" t="n">
        <v>0</v>
      </c>
      <c r="J871" t="n">
        <v>0</v>
      </c>
      <c r="K871" t="n">
        <v>0</v>
      </c>
      <c r="L871" t="n">
        <v>0</v>
      </c>
      <c r="M871" t="n">
        <v>0</v>
      </c>
      <c r="N871" t="n">
        <v>0</v>
      </c>
      <c r="O871" t="n">
        <v>0</v>
      </c>
      <c r="P871" t="n">
        <v>0</v>
      </c>
      <c r="Q871" t="n">
        <v>0</v>
      </c>
      <c r="R871" s="2" t="inlineStr"/>
    </row>
    <row r="872" ht="15" customHeight="1">
      <c r="A872" t="inlineStr">
        <is>
          <t>A 6028-2023</t>
        </is>
      </c>
      <c r="B872" s="1" t="n">
        <v>44964.44356481481</v>
      </c>
      <c r="C872" s="1" t="n">
        <v>46036</v>
      </c>
      <c r="D872" t="inlineStr">
        <is>
          <t>KALMAR LÄN</t>
        </is>
      </c>
      <c r="E872" t="inlineStr">
        <is>
          <t>VIMMERBY</t>
        </is>
      </c>
      <c r="G872" t="n">
        <v>2.5</v>
      </c>
      <c r="H872" t="n">
        <v>0</v>
      </c>
      <c r="I872" t="n">
        <v>0</v>
      </c>
      <c r="J872" t="n">
        <v>0</v>
      </c>
      <c r="K872" t="n">
        <v>0</v>
      </c>
      <c r="L872" t="n">
        <v>0</v>
      </c>
      <c r="M872" t="n">
        <v>0</v>
      </c>
      <c r="N872" t="n">
        <v>0</v>
      </c>
      <c r="O872" t="n">
        <v>0</v>
      </c>
      <c r="P872" t="n">
        <v>0</v>
      </c>
      <c r="Q872" t="n">
        <v>0</v>
      </c>
      <c r="R872" s="2" t="inlineStr"/>
    </row>
    <row r="873" ht="15" customHeight="1">
      <c r="A873" t="inlineStr">
        <is>
          <t>A 55436-2023</t>
        </is>
      </c>
      <c r="B873" s="1" t="n">
        <v>45238.4328587963</v>
      </c>
      <c r="C873" s="1" t="n">
        <v>46036</v>
      </c>
      <c r="D873" t="inlineStr">
        <is>
          <t>KALMAR LÄN</t>
        </is>
      </c>
      <c r="E873" t="inlineStr">
        <is>
          <t>VIMMERBY</t>
        </is>
      </c>
      <c r="G873" t="n">
        <v>5.6</v>
      </c>
      <c r="H873" t="n">
        <v>0</v>
      </c>
      <c r="I873" t="n">
        <v>0</v>
      </c>
      <c r="J873" t="n">
        <v>0</v>
      </c>
      <c r="K873" t="n">
        <v>0</v>
      </c>
      <c r="L873" t="n">
        <v>0</v>
      </c>
      <c r="M873" t="n">
        <v>0</v>
      </c>
      <c r="N873" t="n">
        <v>0</v>
      </c>
      <c r="O873" t="n">
        <v>0</v>
      </c>
      <c r="P873" t="n">
        <v>0</v>
      </c>
      <c r="Q873" t="n">
        <v>0</v>
      </c>
      <c r="R873" s="2" t="inlineStr"/>
    </row>
    <row r="874" ht="15" customHeight="1">
      <c r="A874" t="inlineStr">
        <is>
          <t>A 56582-2022</t>
        </is>
      </c>
      <c r="B874" s="1" t="n">
        <v>44893</v>
      </c>
      <c r="C874" s="1" t="n">
        <v>46036</v>
      </c>
      <c r="D874" t="inlineStr">
        <is>
          <t>KALMAR LÄN</t>
        </is>
      </c>
      <c r="E874" t="inlineStr">
        <is>
          <t>VIMMERBY</t>
        </is>
      </c>
      <c r="G874" t="n">
        <v>2.2</v>
      </c>
      <c r="H874" t="n">
        <v>0</v>
      </c>
      <c r="I874" t="n">
        <v>0</v>
      </c>
      <c r="J874" t="n">
        <v>0</v>
      </c>
      <c r="K874" t="n">
        <v>0</v>
      </c>
      <c r="L874" t="n">
        <v>0</v>
      </c>
      <c r="M874" t="n">
        <v>0</v>
      </c>
      <c r="N874" t="n">
        <v>0</v>
      </c>
      <c r="O874" t="n">
        <v>0</v>
      </c>
      <c r="P874" t="n">
        <v>0</v>
      </c>
      <c r="Q874" t="n">
        <v>0</v>
      </c>
      <c r="R874" s="2" t="inlineStr"/>
    </row>
    <row r="875" ht="15" customHeight="1">
      <c r="A875" t="inlineStr">
        <is>
          <t>A 20-2025</t>
        </is>
      </c>
      <c r="B875" s="1" t="n">
        <v>45658.80232638889</v>
      </c>
      <c r="C875" s="1" t="n">
        <v>46036</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23-2025</t>
        </is>
      </c>
      <c r="B876" s="1" t="n">
        <v>45658.80827546296</v>
      </c>
      <c r="C876" s="1" t="n">
        <v>46036</v>
      </c>
      <c r="D876" t="inlineStr">
        <is>
          <t>KALMAR LÄN</t>
        </is>
      </c>
      <c r="E876" t="inlineStr">
        <is>
          <t>VIMMERBY</t>
        </is>
      </c>
      <c r="G876" t="n">
        <v>1.8</v>
      </c>
      <c r="H876" t="n">
        <v>0</v>
      </c>
      <c r="I876" t="n">
        <v>0</v>
      </c>
      <c r="J876" t="n">
        <v>0</v>
      </c>
      <c r="K876" t="n">
        <v>0</v>
      </c>
      <c r="L876" t="n">
        <v>0</v>
      </c>
      <c r="M876" t="n">
        <v>0</v>
      </c>
      <c r="N876" t="n">
        <v>0</v>
      </c>
      <c r="O876" t="n">
        <v>0</v>
      </c>
      <c r="P876" t="n">
        <v>0</v>
      </c>
      <c r="Q876" t="n">
        <v>0</v>
      </c>
      <c r="R876" s="2" t="inlineStr"/>
    </row>
    <row r="877" ht="15" customHeight="1">
      <c r="A877" t="inlineStr">
        <is>
          <t>A 43962-2024</t>
        </is>
      </c>
      <c r="B877" s="1" t="n">
        <v>45572.48293981481</v>
      </c>
      <c r="C877" s="1" t="n">
        <v>46036</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35713-2023</t>
        </is>
      </c>
      <c r="B878" s="1" t="n">
        <v>45147</v>
      </c>
      <c r="C878" s="1" t="n">
        <v>46036</v>
      </c>
      <c r="D878" t="inlineStr">
        <is>
          <t>KALMAR LÄN</t>
        </is>
      </c>
      <c r="E878" t="inlineStr">
        <is>
          <t>VIMMERBY</t>
        </is>
      </c>
      <c r="G878" t="n">
        <v>1.6</v>
      </c>
      <c r="H878" t="n">
        <v>0</v>
      </c>
      <c r="I878" t="n">
        <v>0</v>
      </c>
      <c r="J878" t="n">
        <v>0</v>
      </c>
      <c r="K878" t="n">
        <v>0</v>
      </c>
      <c r="L878" t="n">
        <v>0</v>
      </c>
      <c r="M878" t="n">
        <v>0</v>
      </c>
      <c r="N878" t="n">
        <v>0</v>
      </c>
      <c r="O878" t="n">
        <v>0</v>
      </c>
      <c r="P878" t="n">
        <v>0</v>
      </c>
      <c r="Q878" t="n">
        <v>0</v>
      </c>
      <c r="R878" s="2" t="inlineStr"/>
    </row>
    <row r="879" ht="15" customHeight="1">
      <c r="A879" t="inlineStr">
        <is>
          <t>A 40147-2023</t>
        </is>
      </c>
      <c r="B879" s="1" t="n">
        <v>45169</v>
      </c>
      <c r="C879" s="1" t="n">
        <v>46036</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50995-2022</t>
        </is>
      </c>
      <c r="B880" s="1" t="n">
        <v>44867</v>
      </c>
      <c r="C880" s="1" t="n">
        <v>46036</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27993-2022</t>
        </is>
      </c>
      <c r="B881" s="1" t="n">
        <v>44745.84396990741</v>
      </c>
      <c r="C881" s="1" t="n">
        <v>46036</v>
      </c>
      <c r="D881" t="inlineStr">
        <is>
          <t>KALMAR LÄN</t>
        </is>
      </c>
      <c r="E881" t="inlineStr">
        <is>
          <t>VIMMERBY</t>
        </is>
      </c>
      <c r="G881" t="n">
        <v>2.8</v>
      </c>
      <c r="H881" t="n">
        <v>0</v>
      </c>
      <c r="I881" t="n">
        <v>0</v>
      </c>
      <c r="J881" t="n">
        <v>0</v>
      </c>
      <c r="K881" t="n">
        <v>0</v>
      </c>
      <c r="L881" t="n">
        <v>0</v>
      </c>
      <c r="M881" t="n">
        <v>0</v>
      </c>
      <c r="N881" t="n">
        <v>0</v>
      </c>
      <c r="O881" t="n">
        <v>0</v>
      </c>
      <c r="P881" t="n">
        <v>0</v>
      </c>
      <c r="Q881" t="n">
        <v>0</v>
      </c>
      <c r="R881" s="2" t="inlineStr"/>
    </row>
    <row r="882" ht="15" customHeight="1">
      <c r="A882" t="inlineStr">
        <is>
          <t>A 57555-2024</t>
        </is>
      </c>
      <c r="B882" s="1" t="n">
        <v>45630.45069444444</v>
      </c>
      <c r="C882" s="1" t="n">
        <v>46036</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36014-2024</t>
        </is>
      </c>
      <c r="B883" s="1" t="n">
        <v>45533.56108796296</v>
      </c>
      <c r="C883" s="1" t="n">
        <v>46036</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36030-2024</t>
        </is>
      </c>
      <c r="B884" s="1" t="n">
        <v>45533.58302083334</v>
      </c>
      <c r="C884" s="1" t="n">
        <v>46036</v>
      </c>
      <c r="D884" t="inlineStr">
        <is>
          <t>KALMAR LÄN</t>
        </is>
      </c>
      <c r="E884" t="inlineStr">
        <is>
          <t>VIMMERBY</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32865-2023</t>
        </is>
      </c>
      <c r="B885" s="1" t="n">
        <v>45124</v>
      </c>
      <c r="C885" s="1" t="n">
        <v>46036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42918-2021</t>
        </is>
      </c>
      <c r="B886" s="1" t="n">
        <v>44431</v>
      </c>
      <c r="C886" s="1" t="n">
        <v>46036</v>
      </c>
      <c r="D886" t="inlineStr">
        <is>
          <t>KALMAR LÄN</t>
        </is>
      </c>
      <c r="E886" t="inlineStr">
        <is>
          <t>VIMMERBY</t>
        </is>
      </c>
      <c r="G886" t="n">
        <v>1.6</v>
      </c>
      <c r="H886" t="n">
        <v>0</v>
      </c>
      <c r="I886" t="n">
        <v>0</v>
      </c>
      <c r="J886" t="n">
        <v>0</v>
      </c>
      <c r="K886" t="n">
        <v>0</v>
      </c>
      <c r="L886" t="n">
        <v>0</v>
      </c>
      <c r="M886" t="n">
        <v>0</v>
      </c>
      <c r="N886" t="n">
        <v>0</v>
      </c>
      <c r="O886" t="n">
        <v>0</v>
      </c>
      <c r="P886" t="n">
        <v>0</v>
      </c>
      <c r="Q886" t="n">
        <v>0</v>
      </c>
      <c r="R886" s="2" t="inlineStr"/>
    </row>
    <row r="887" ht="15" customHeight="1">
      <c r="A887" t="inlineStr">
        <is>
          <t>A 22643-2023</t>
        </is>
      </c>
      <c r="B887" s="1" t="n">
        <v>45071</v>
      </c>
      <c r="C887" s="1" t="n">
        <v>46036</v>
      </c>
      <c r="D887" t="inlineStr">
        <is>
          <t>KALMAR LÄN</t>
        </is>
      </c>
      <c r="E887" t="inlineStr">
        <is>
          <t>VIMMERBY</t>
        </is>
      </c>
      <c r="G887" t="n">
        <v>3.9</v>
      </c>
      <c r="H887" t="n">
        <v>0</v>
      </c>
      <c r="I887" t="n">
        <v>0</v>
      </c>
      <c r="J887" t="n">
        <v>0</v>
      </c>
      <c r="K887" t="n">
        <v>0</v>
      </c>
      <c r="L887" t="n">
        <v>0</v>
      </c>
      <c r="M887" t="n">
        <v>0</v>
      </c>
      <c r="N887" t="n">
        <v>0</v>
      </c>
      <c r="O887" t="n">
        <v>0</v>
      </c>
      <c r="P887" t="n">
        <v>0</v>
      </c>
      <c r="Q887" t="n">
        <v>0</v>
      </c>
      <c r="R887" s="2" t="inlineStr"/>
    </row>
    <row r="888" ht="15" customHeight="1">
      <c r="A888" t="inlineStr">
        <is>
          <t>A 18669-2025</t>
        </is>
      </c>
      <c r="B888" s="1" t="n">
        <v>45763.59436342592</v>
      </c>
      <c r="C888" s="1" t="n">
        <v>46036</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38780-2021</t>
        </is>
      </c>
      <c r="B889" s="1" t="n">
        <v>44410</v>
      </c>
      <c r="C889" s="1" t="n">
        <v>46036</v>
      </c>
      <c r="D889" t="inlineStr">
        <is>
          <t>KALMAR LÄN</t>
        </is>
      </c>
      <c r="E889" t="inlineStr">
        <is>
          <t>VIMMERBY</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29020-2024</t>
        </is>
      </c>
      <c r="B890" s="1" t="n">
        <v>45481.58048611111</v>
      </c>
      <c r="C890" s="1" t="n">
        <v>46036</v>
      </c>
      <c r="D890" t="inlineStr">
        <is>
          <t>KALMAR LÄN</t>
        </is>
      </c>
      <c r="E890" t="inlineStr">
        <is>
          <t>VIMMERBY</t>
        </is>
      </c>
      <c r="G890" t="n">
        <v>2.3</v>
      </c>
      <c r="H890" t="n">
        <v>0</v>
      </c>
      <c r="I890" t="n">
        <v>0</v>
      </c>
      <c r="J890" t="n">
        <v>0</v>
      </c>
      <c r="K890" t="n">
        <v>0</v>
      </c>
      <c r="L890" t="n">
        <v>0</v>
      </c>
      <c r="M890" t="n">
        <v>0</v>
      </c>
      <c r="N890" t="n">
        <v>0</v>
      </c>
      <c r="O890" t="n">
        <v>0</v>
      </c>
      <c r="P890" t="n">
        <v>0</v>
      </c>
      <c r="Q890" t="n">
        <v>0</v>
      </c>
      <c r="R890" s="2" t="inlineStr"/>
    </row>
    <row r="891" ht="15" customHeight="1">
      <c r="A891" t="inlineStr">
        <is>
          <t>A 30406-2023</t>
        </is>
      </c>
      <c r="B891" s="1" t="n">
        <v>45111.48787037037</v>
      </c>
      <c r="C891" s="1" t="n">
        <v>46036</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13817-2024</t>
        </is>
      </c>
      <c r="B892" s="1" t="n">
        <v>45391.41976851852</v>
      </c>
      <c r="C892" s="1" t="n">
        <v>46036</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22399-2025</t>
        </is>
      </c>
      <c r="B893" s="1" t="n">
        <v>45786.52996527778</v>
      </c>
      <c r="C893" s="1" t="n">
        <v>46036</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22397-2025</t>
        </is>
      </c>
      <c r="B894" s="1" t="n">
        <v>45786.52878472222</v>
      </c>
      <c r="C894" s="1" t="n">
        <v>46036</v>
      </c>
      <c r="D894" t="inlineStr">
        <is>
          <t>KALMAR LÄN</t>
        </is>
      </c>
      <c r="E894" t="inlineStr">
        <is>
          <t>VIMMERBY</t>
        </is>
      </c>
      <c r="G894" t="n">
        <v>0.8</v>
      </c>
      <c r="H894" t="n">
        <v>0</v>
      </c>
      <c r="I894" t="n">
        <v>0</v>
      </c>
      <c r="J894" t="n">
        <v>0</v>
      </c>
      <c r="K894" t="n">
        <v>0</v>
      </c>
      <c r="L894" t="n">
        <v>0</v>
      </c>
      <c r="M894" t="n">
        <v>0</v>
      </c>
      <c r="N894" t="n">
        <v>0</v>
      </c>
      <c r="O894" t="n">
        <v>0</v>
      </c>
      <c r="P894" t="n">
        <v>0</v>
      </c>
      <c r="Q894" t="n">
        <v>0</v>
      </c>
      <c r="R894" s="2" t="inlineStr"/>
    </row>
    <row r="895" ht="15" customHeight="1">
      <c r="A895" t="inlineStr">
        <is>
          <t>A 25582-2024</t>
        </is>
      </c>
      <c r="B895" s="1" t="n">
        <v>45463</v>
      </c>
      <c r="C895" s="1" t="n">
        <v>46036</v>
      </c>
      <c r="D895" t="inlineStr">
        <is>
          <t>KALMAR LÄN</t>
        </is>
      </c>
      <c r="E895" t="inlineStr">
        <is>
          <t>VIMMERBY</t>
        </is>
      </c>
      <c r="G895" t="n">
        <v>1.4</v>
      </c>
      <c r="H895" t="n">
        <v>0</v>
      </c>
      <c r="I895" t="n">
        <v>0</v>
      </c>
      <c r="J895" t="n">
        <v>0</v>
      </c>
      <c r="K895" t="n">
        <v>0</v>
      </c>
      <c r="L895" t="n">
        <v>0</v>
      </c>
      <c r="M895" t="n">
        <v>0</v>
      </c>
      <c r="N895" t="n">
        <v>0</v>
      </c>
      <c r="O895" t="n">
        <v>0</v>
      </c>
      <c r="P895" t="n">
        <v>0</v>
      </c>
      <c r="Q895" t="n">
        <v>0</v>
      </c>
      <c r="R895" s="2" t="inlineStr"/>
    </row>
    <row r="896" ht="15" customHeight="1">
      <c r="A896" t="inlineStr">
        <is>
          <t>A 57578-2024</t>
        </is>
      </c>
      <c r="B896" s="1" t="n">
        <v>45630.47564814815</v>
      </c>
      <c r="C896" s="1" t="n">
        <v>46036</v>
      </c>
      <c r="D896" t="inlineStr">
        <is>
          <t>KALMAR LÄN</t>
        </is>
      </c>
      <c r="E896" t="inlineStr">
        <is>
          <t>VIMMERBY</t>
        </is>
      </c>
      <c r="G896" t="n">
        <v>2.6</v>
      </c>
      <c r="H896" t="n">
        <v>0</v>
      </c>
      <c r="I896" t="n">
        <v>0</v>
      </c>
      <c r="J896" t="n">
        <v>0</v>
      </c>
      <c r="K896" t="n">
        <v>0</v>
      </c>
      <c r="L896" t="n">
        <v>0</v>
      </c>
      <c r="M896" t="n">
        <v>0</v>
      </c>
      <c r="N896" t="n">
        <v>0</v>
      </c>
      <c r="O896" t="n">
        <v>0</v>
      </c>
      <c r="P896" t="n">
        <v>0</v>
      </c>
      <c r="Q896" t="n">
        <v>0</v>
      </c>
      <c r="R896" s="2" t="inlineStr"/>
    </row>
    <row r="897" ht="15" customHeight="1">
      <c r="A897" t="inlineStr">
        <is>
          <t>A 6307-2025</t>
        </is>
      </c>
      <c r="B897" s="1" t="n">
        <v>45698.69016203703</v>
      </c>
      <c r="C897" s="1" t="n">
        <v>46036</v>
      </c>
      <c r="D897" t="inlineStr">
        <is>
          <t>KALMAR LÄN</t>
        </is>
      </c>
      <c r="E897" t="inlineStr">
        <is>
          <t>VIMMERBY</t>
        </is>
      </c>
      <c r="G897" t="n">
        <v>3</v>
      </c>
      <c r="H897" t="n">
        <v>0</v>
      </c>
      <c r="I897" t="n">
        <v>0</v>
      </c>
      <c r="J897" t="n">
        <v>0</v>
      </c>
      <c r="K897" t="n">
        <v>0</v>
      </c>
      <c r="L897" t="n">
        <v>0</v>
      </c>
      <c r="M897" t="n">
        <v>0</v>
      </c>
      <c r="N897" t="n">
        <v>0</v>
      </c>
      <c r="O897" t="n">
        <v>0</v>
      </c>
      <c r="P897" t="n">
        <v>0</v>
      </c>
      <c r="Q897" t="n">
        <v>0</v>
      </c>
      <c r="R897" s="2" t="inlineStr"/>
    </row>
    <row r="898" ht="15" customHeight="1">
      <c r="A898" t="inlineStr">
        <is>
          <t>A 11442-2025</t>
        </is>
      </c>
      <c r="B898" s="1" t="n">
        <v>45726.62721064815</v>
      </c>
      <c r="C898" s="1" t="n">
        <v>46036</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23394-2025</t>
        </is>
      </c>
      <c r="B899" s="1" t="n">
        <v>45791.89865740741</v>
      </c>
      <c r="C899" s="1" t="n">
        <v>46036</v>
      </c>
      <c r="D899" t="inlineStr">
        <is>
          <t>KALMAR LÄN</t>
        </is>
      </c>
      <c r="E899" t="inlineStr">
        <is>
          <t>VIMMERBY</t>
        </is>
      </c>
      <c r="G899" t="n">
        <v>3.1</v>
      </c>
      <c r="H899" t="n">
        <v>0</v>
      </c>
      <c r="I899" t="n">
        <v>0</v>
      </c>
      <c r="J899" t="n">
        <v>0</v>
      </c>
      <c r="K899" t="n">
        <v>0</v>
      </c>
      <c r="L899" t="n">
        <v>0</v>
      </c>
      <c r="M899" t="n">
        <v>0</v>
      </c>
      <c r="N899" t="n">
        <v>0</v>
      </c>
      <c r="O899" t="n">
        <v>0</v>
      </c>
      <c r="P899" t="n">
        <v>0</v>
      </c>
      <c r="Q899" t="n">
        <v>0</v>
      </c>
      <c r="R899" s="2" t="inlineStr"/>
    </row>
    <row r="900" ht="15" customHeight="1">
      <c r="A900" t="inlineStr">
        <is>
          <t>A 23984-2025</t>
        </is>
      </c>
      <c r="B900" s="1" t="n">
        <v>45796</v>
      </c>
      <c r="C900" s="1" t="n">
        <v>46036</v>
      </c>
      <c r="D900" t="inlineStr">
        <is>
          <t>KALMAR LÄN</t>
        </is>
      </c>
      <c r="E900" t="inlineStr">
        <is>
          <t>VIMMERBY</t>
        </is>
      </c>
      <c r="G900" t="n">
        <v>1.4</v>
      </c>
      <c r="H900" t="n">
        <v>0</v>
      </c>
      <c r="I900" t="n">
        <v>0</v>
      </c>
      <c r="J900" t="n">
        <v>0</v>
      </c>
      <c r="K900" t="n">
        <v>0</v>
      </c>
      <c r="L900" t="n">
        <v>0</v>
      </c>
      <c r="M900" t="n">
        <v>0</v>
      </c>
      <c r="N900" t="n">
        <v>0</v>
      </c>
      <c r="O900" t="n">
        <v>0</v>
      </c>
      <c r="P900" t="n">
        <v>0</v>
      </c>
      <c r="Q900" t="n">
        <v>0</v>
      </c>
      <c r="R900" s="2" t="inlineStr"/>
    </row>
    <row r="901" ht="15" customHeight="1">
      <c r="A901" t="inlineStr">
        <is>
          <t>A 35082-2024</t>
        </is>
      </c>
      <c r="B901" s="1" t="n">
        <v>45527.68784722222</v>
      </c>
      <c r="C901" s="1" t="n">
        <v>46036</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51278-2024</t>
        </is>
      </c>
      <c r="B902" s="1" t="n">
        <v>45603.74959490741</v>
      </c>
      <c r="C902" s="1" t="n">
        <v>46036</v>
      </c>
      <c r="D902" t="inlineStr">
        <is>
          <t>KALMAR LÄN</t>
        </is>
      </c>
      <c r="E902" t="inlineStr">
        <is>
          <t>VIMMERBY</t>
        </is>
      </c>
      <c r="G902" t="n">
        <v>3.4</v>
      </c>
      <c r="H902" t="n">
        <v>0</v>
      </c>
      <c r="I902" t="n">
        <v>0</v>
      </c>
      <c r="J902" t="n">
        <v>0</v>
      </c>
      <c r="K902" t="n">
        <v>0</v>
      </c>
      <c r="L902" t="n">
        <v>0</v>
      </c>
      <c r="M902" t="n">
        <v>0</v>
      </c>
      <c r="N902" t="n">
        <v>0</v>
      </c>
      <c r="O902" t="n">
        <v>0</v>
      </c>
      <c r="P902" t="n">
        <v>0</v>
      </c>
      <c r="Q902" t="n">
        <v>0</v>
      </c>
      <c r="R902" s="2" t="inlineStr"/>
    </row>
    <row r="903" ht="15" customHeight="1">
      <c r="A903" t="inlineStr">
        <is>
          <t>A 9456-2025</t>
        </is>
      </c>
      <c r="B903" s="1" t="n">
        <v>45715.44159722222</v>
      </c>
      <c r="C903" s="1" t="n">
        <v>46036</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11111-2023</t>
        </is>
      </c>
      <c r="B904" s="1" t="n">
        <v>44992.4255787037</v>
      </c>
      <c r="C904" s="1" t="n">
        <v>46036</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44582-2024</t>
        </is>
      </c>
      <c r="B905" s="1" t="n">
        <v>45574.49298611111</v>
      </c>
      <c r="C905" s="1" t="n">
        <v>46036</v>
      </c>
      <c r="D905" t="inlineStr">
        <is>
          <t>KALMAR LÄN</t>
        </is>
      </c>
      <c r="E905" t="inlineStr">
        <is>
          <t>VIMMERBY</t>
        </is>
      </c>
      <c r="G905" t="n">
        <v>1.1</v>
      </c>
      <c r="H905" t="n">
        <v>0</v>
      </c>
      <c r="I905" t="n">
        <v>0</v>
      </c>
      <c r="J905" t="n">
        <v>0</v>
      </c>
      <c r="K905" t="n">
        <v>0</v>
      </c>
      <c r="L905" t="n">
        <v>0</v>
      </c>
      <c r="M905" t="n">
        <v>0</v>
      </c>
      <c r="N905" t="n">
        <v>0</v>
      </c>
      <c r="O905" t="n">
        <v>0</v>
      </c>
      <c r="P905" t="n">
        <v>0</v>
      </c>
      <c r="Q905" t="n">
        <v>0</v>
      </c>
      <c r="R905" s="2" t="inlineStr"/>
    </row>
    <row r="906" ht="15" customHeight="1">
      <c r="A906" t="inlineStr">
        <is>
          <t>A 15494-2024</t>
        </is>
      </c>
      <c r="B906" s="1" t="n">
        <v>45401.53033564815</v>
      </c>
      <c r="C906" s="1" t="n">
        <v>46036</v>
      </c>
      <c r="D906" t="inlineStr">
        <is>
          <t>KALMAR LÄN</t>
        </is>
      </c>
      <c r="E906" t="inlineStr">
        <is>
          <t>VIMMERBY</t>
        </is>
      </c>
      <c r="G906" t="n">
        <v>3.2</v>
      </c>
      <c r="H906" t="n">
        <v>0</v>
      </c>
      <c r="I906" t="n">
        <v>0</v>
      </c>
      <c r="J906" t="n">
        <v>0</v>
      </c>
      <c r="K906" t="n">
        <v>0</v>
      </c>
      <c r="L906" t="n">
        <v>0</v>
      </c>
      <c r="M906" t="n">
        <v>0</v>
      </c>
      <c r="N906" t="n">
        <v>0</v>
      </c>
      <c r="O906" t="n">
        <v>0</v>
      </c>
      <c r="P906" t="n">
        <v>0</v>
      </c>
      <c r="Q906" t="n">
        <v>0</v>
      </c>
      <c r="R906" s="2" t="inlineStr"/>
    </row>
    <row r="907" ht="15" customHeight="1">
      <c r="A907" t="inlineStr">
        <is>
          <t>A 58724-2024</t>
        </is>
      </c>
      <c r="B907" s="1" t="n">
        <v>45635.66409722222</v>
      </c>
      <c r="C907" s="1" t="n">
        <v>46036</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25792-2025</t>
        </is>
      </c>
      <c r="B908" s="1" t="n">
        <v>45804.39141203704</v>
      </c>
      <c r="C908" s="1" t="n">
        <v>46036</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26039-2025</t>
        </is>
      </c>
      <c r="B909" s="1" t="n">
        <v>45804.6953587963</v>
      </c>
      <c r="C909" s="1" t="n">
        <v>46036</v>
      </c>
      <c r="D909" t="inlineStr">
        <is>
          <t>KALMAR LÄN</t>
        </is>
      </c>
      <c r="E909" t="inlineStr">
        <is>
          <t>VIMMERBY</t>
        </is>
      </c>
      <c r="F909" t="inlineStr">
        <is>
          <t>Sveaskog</t>
        </is>
      </c>
      <c r="G909" t="n">
        <v>5.2</v>
      </c>
      <c r="H909" t="n">
        <v>0</v>
      </c>
      <c r="I909" t="n">
        <v>0</v>
      </c>
      <c r="J909" t="n">
        <v>0</v>
      </c>
      <c r="K909" t="n">
        <v>0</v>
      </c>
      <c r="L909" t="n">
        <v>0</v>
      </c>
      <c r="M909" t="n">
        <v>0</v>
      </c>
      <c r="N909" t="n">
        <v>0</v>
      </c>
      <c r="O909" t="n">
        <v>0</v>
      </c>
      <c r="P909" t="n">
        <v>0</v>
      </c>
      <c r="Q909" t="n">
        <v>0</v>
      </c>
      <c r="R909" s="2" t="inlineStr"/>
    </row>
    <row r="910" ht="15" customHeight="1">
      <c r="A910" t="inlineStr">
        <is>
          <t>A 26046-2025</t>
        </is>
      </c>
      <c r="B910" s="1" t="n">
        <v>45804.708125</v>
      </c>
      <c r="C910" s="1" t="n">
        <v>46036</v>
      </c>
      <c r="D910" t="inlineStr">
        <is>
          <t>KALMAR LÄN</t>
        </is>
      </c>
      <c r="E910" t="inlineStr">
        <is>
          <t>VIMMERBY</t>
        </is>
      </c>
      <c r="F910" t="inlineStr">
        <is>
          <t>Sveaskog</t>
        </is>
      </c>
      <c r="G910" t="n">
        <v>5.1</v>
      </c>
      <c r="H910" t="n">
        <v>0</v>
      </c>
      <c r="I910" t="n">
        <v>0</v>
      </c>
      <c r="J910" t="n">
        <v>0</v>
      </c>
      <c r="K910" t="n">
        <v>0</v>
      </c>
      <c r="L910" t="n">
        <v>0</v>
      </c>
      <c r="M910" t="n">
        <v>0</v>
      </c>
      <c r="N910" t="n">
        <v>0</v>
      </c>
      <c r="O910" t="n">
        <v>0</v>
      </c>
      <c r="P910" t="n">
        <v>0</v>
      </c>
      <c r="Q910" t="n">
        <v>0</v>
      </c>
      <c r="R910" s="2" t="inlineStr"/>
    </row>
    <row r="911" ht="15" customHeight="1">
      <c r="A911" t="inlineStr">
        <is>
          <t>A 26124-2025</t>
        </is>
      </c>
      <c r="B911" s="1" t="n">
        <v>45805.39247685186</v>
      </c>
      <c r="C911" s="1" t="n">
        <v>46036</v>
      </c>
      <c r="D911" t="inlineStr">
        <is>
          <t>KALMAR LÄN</t>
        </is>
      </c>
      <c r="E911" t="inlineStr">
        <is>
          <t>VIMMERBY</t>
        </is>
      </c>
      <c r="G911" t="n">
        <v>6.6</v>
      </c>
      <c r="H911" t="n">
        <v>0</v>
      </c>
      <c r="I911" t="n">
        <v>0</v>
      </c>
      <c r="J911" t="n">
        <v>0</v>
      </c>
      <c r="K911" t="n">
        <v>0</v>
      </c>
      <c r="L911" t="n">
        <v>0</v>
      </c>
      <c r="M911" t="n">
        <v>0</v>
      </c>
      <c r="N911" t="n">
        <v>0</v>
      </c>
      <c r="O911" t="n">
        <v>0</v>
      </c>
      <c r="P911" t="n">
        <v>0</v>
      </c>
      <c r="Q911" t="n">
        <v>0</v>
      </c>
      <c r="R911" s="2" t="inlineStr"/>
    </row>
    <row r="912" ht="15" customHeight="1">
      <c r="A912" t="inlineStr">
        <is>
          <t>A 26207-2025</t>
        </is>
      </c>
      <c r="B912" s="1" t="n">
        <v>45805.52983796296</v>
      </c>
      <c r="C912" s="1" t="n">
        <v>46036</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25830-2025</t>
        </is>
      </c>
      <c r="B913" s="1" t="n">
        <v>45804.44519675926</v>
      </c>
      <c r="C913" s="1" t="n">
        <v>46036</v>
      </c>
      <c r="D913" t="inlineStr">
        <is>
          <t>KALMAR LÄN</t>
        </is>
      </c>
      <c r="E913" t="inlineStr">
        <is>
          <t>VIMMERBY</t>
        </is>
      </c>
      <c r="G913" t="n">
        <v>4.9</v>
      </c>
      <c r="H913" t="n">
        <v>0</v>
      </c>
      <c r="I913" t="n">
        <v>0</v>
      </c>
      <c r="J913" t="n">
        <v>0</v>
      </c>
      <c r="K913" t="n">
        <v>0</v>
      </c>
      <c r="L913" t="n">
        <v>0</v>
      </c>
      <c r="M913" t="n">
        <v>0</v>
      </c>
      <c r="N913" t="n">
        <v>0</v>
      </c>
      <c r="O913" t="n">
        <v>0</v>
      </c>
      <c r="P913" t="n">
        <v>0</v>
      </c>
      <c r="Q913" t="n">
        <v>0</v>
      </c>
      <c r="R913" s="2" t="inlineStr"/>
    </row>
    <row r="914">
      <c r="A914" t="inlineStr">
        <is>
          <t>A 26254-2025</t>
        </is>
      </c>
      <c r="B914" s="1" t="n">
        <v>45805</v>
      </c>
      <c r="C914" s="1" t="n">
        <v>46036</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2026-01-14T10:55:15Z</dcterms:created>
  <dcterms:modified xmlns:dcterms="http://purl.org/dc/terms/" xmlns:xsi="http://www.w3.org/2001/XMLSchema-instance" xsi:type="dcterms:W3CDTF">2026-01-14T10:55:16Z</dcterms:modified>
</cp:coreProperties>
</file>