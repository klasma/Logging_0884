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45891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45891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45891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45891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45891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45891</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45891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45891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45891</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45891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45891</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29112-2025</t>
        </is>
      </c>
      <c r="B14" s="1" t="n">
        <v>45821</v>
      </c>
      <c r="C14" s="1" t="n">
        <v>45891</v>
      </c>
      <c r="D14" t="inlineStr">
        <is>
          <t>KALMAR LÄN</t>
        </is>
      </c>
      <c r="E14" t="inlineStr">
        <is>
          <t>VIMMERBY</t>
        </is>
      </c>
      <c r="G14" t="n">
        <v>10.4</v>
      </c>
      <c r="H14" t="n">
        <v>2</v>
      </c>
      <c r="I14" t="n">
        <v>2</v>
      </c>
      <c r="J14" t="n">
        <v>0</v>
      </c>
      <c r="K14" t="n">
        <v>1</v>
      </c>
      <c r="L14" t="n">
        <v>0</v>
      </c>
      <c r="M14" t="n">
        <v>0</v>
      </c>
      <c r="N14" t="n">
        <v>0</v>
      </c>
      <c r="O14" t="n">
        <v>1</v>
      </c>
      <c r="P14" t="n">
        <v>1</v>
      </c>
      <c r="Q14" t="n">
        <v>4</v>
      </c>
      <c r="R14" s="2" t="inlineStr">
        <is>
          <t>Knärot
Grovticka
Grönpyrola
Åkergroda</t>
        </is>
      </c>
      <c r="S14">
        <f>HYPERLINK("https://klasma.github.io/Logging_0884/artfynd/A 29112-2025 artfynd.xlsx", "A 29112-2025")</f>
        <v/>
      </c>
      <c r="T14">
        <f>HYPERLINK("https://klasma.github.io/Logging_0884/kartor/A 29112-2025 karta.png", "A 29112-2025")</f>
        <v/>
      </c>
      <c r="U14">
        <f>HYPERLINK("https://klasma.github.io/Logging_0884/knärot/A 29112-2025 karta knärot.png", "A 29112-2025")</f>
        <v/>
      </c>
      <c r="V14">
        <f>HYPERLINK("https://klasma.github.io/Logging_0884/klagomål/A 29112-2025 FSC-klagomål.docx", "A 29112-2025")</f>
        <v/>
      </c>
      <c r="W14">
        <f>HYPERLINK("https://klasma.github.io/Logging_0884/klagomålsmail/A 29112-2025 FSC-klagomål mail.docx", "A 29112-2025")</f>
        <v/>
      </c>
      <c r="X14">
        <f>HYPERLINK("https://klasma.github.io/Logging_0884/tillsyn/A 29112-2025 tillsynsbegäran.docx", "A 29112-2025")</f>
        <v/>
      </c>
      <c r="Y14">
        <f>HYPERLINK("https://klasma.github.io/Logging_0884/tillsynsmail/A 29112-2025 tillsynsbegäran mail.docx", "A 29112-2025")</f>
        <v/>
      </c>
    </row>
    <row r="15" ht="15" customHeight="1">
      <c r="A15" t="inlineStr">
        <is>
          <t>A 8411-2021</t>
        </is>
      </c>
      <c r="B15" s="1" t="n">
        <v>44245</v>
      </c>
      <c r="C15" s="1" t="n">
        <v>45891</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45891</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45891</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56985-2024</t>
        </is>
      </c>
      <c r="B18" s="1" t="n">
        <v>45628</v>
      </c>
      <c r="C18" s="1" t="n">
        <v>45891</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14584-2025</t>
        </is>
      </c>
      <c r="B19" s="1" t="n">
        <v>45742</v>
      </c>
      <c r="C19" s="1" t="n">
        <v>45891</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45891</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45891</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45891</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19158-2023</t>
        </is>
      </c>
      <c r="B23" s="1" t="n">
        <v>45048</v>
      </c>
      <c r="C23" s="1" t="n">
        <v>45891</v>
      </c>
      <c r="D23" t="inlineStr">
        <is>
          <t>KALMAR LÄN</t>
        </is>
      </c>
      <c r="E23" t="inlineStr">
        <is>
          <t>VIMMERBY</t>
        </is>
      </c>
      <c r="G23" t="n">
        <v>2.2</v>
      </c>
      <c r="H23" t="n">
        <v>2</v>
      </c>
      <c r="I23" t="n">
        <v>0</v>
      </c>
      <c r="J23" t="n">
        <v>0</v>
      </c>
      <c r="K23" t="n">
        <v>1</v>
      </c>
      <c r="L23" t="n">
        <v>0</v>
      </c>
      <c r="M23" t="n">
        <v>0</v>
      </c>
      <c r="N23" t="n">
        <v>0</v>
      </c>
      <c r="O23" t="n">
        <v>1</v>
      </c>
      <c r="P23" t="n">
        <v>1</v>
      </c>
      <c r="Q23" t="n">
        <v>2</v>
      </c>
      <c r="R23" s="2" t="inlineStr">
        <is>
          <t>Knärot
Blåsippa</t>
        </is>
      </c>
      <c r="S23">
        <f>HYPERLINK("https://klasma.github.io/Logging_0884/artfynd/A 19158-2023 artfynd.xlsx", "A 19158-2023")</f>
        <v/>
      </c>
      <c r="T23">
        <f>HYPERLINK("https://klasma.github.io/Logging_0884/kartor/A 19158-2023 karta.png", "A 19158-2023")</f>
        <v/>
      </c>
      <c r="U23">
        <f>HYPERLINK("https://klasma.github.io/Logging_0884/knärot/A 19158-2023 karta knärot.png", "A 19158-2023")</f>
        <v/>
      </c>
      <c r="V23">
        <f>HYPERLINK("https://klasma.github.io/Logging_0884/klagomål/A 19158-2023 FSC-klagomål.docx", "A 19158-2023")</f>
        <v/>
      </c>
      <c r="W23">
        <f>HYPERLINK("https://klasma.github.io/Logging_0884/klagomålsmail/A 19158-2023 FSC-klagomål mail.docx", "A 19158-2023")</f>
        <v/>
      </c>
      <c r="X23">
        <f>HYPERLINK("https://klasma.github.io/Logging_0884/tillsyn/A 19158-2023 tillsynsbegäran.docx", "A 19158-2023")</f>
        <v/>
      </c>
      <c r="Y23">
        <f>HYPERLINK("https://klasma.github.io/Logging_0884/tillsynsmail/A 19158-2023 tillsynsbegäran mail.docx", "A 19158-2023")</f>
        <v/>
      </c>
    </row>
    <row r="24" ht="15" customHeight="1">
      <c r="A24" t="inlineStr">
        <is>
          <t>A 14024-2023</t>
        </is>
      </c>
      <c r="B24" s="1" t="n">
        <v>45008.60878472222</v>
      </c>
      <c r="C24" s="1" t="n">
        <v>45891</v>
      </c>
      <c r="D24" t="inlineStr">
        <is>
          <t>KALMAR LÄN</t>
        </is>
      </c>
      <c r="E24" t="inlineStr">
        <is>
          <t>VIMMERBY</t>
        </is>
      </c>
      <c r="G24" t="n">
        <v>3.2</v>
      </c>
      <c r="H24" t="n">
        <v>1</v>
      </c>
      <c r="I24" t="n">
        <v>1</v>
      </c>
      <c r="J24" t="n">
        <v>0</v>
      </c>
      <c r="K24" t="n">
        <v>0</v>
      </c>
      <c r="L24" t="n">
        <v>1</v>
      </c>
      <c r="M24" t="n">
        <v>0</v>
      </c>
      <c r="N24" t="n">
        <v>0</v>
      </c>
      <c r="O24" t="n">
        <v>1</v>
      </c>
      <c r="P24" t="n">
        <v>1</v>
      </c>
      <c r="Q24" t="n">
        <v>2</v>
      </c>
      <c r="R24" s="2" t="inlineStr">
        <is>
          <t>Ryl
Purpurknipprot</t>
        </is>
      </c>
      <c r="S24">
        <f>HYPERLINK("https://klasma.github.io/Logging_0884/artfynd/A 14024-2023 artfynd.xlsx", "A 14024-2023")</f>
        <v/>
      </c>
      <c r="T24">
        <f>HYPERLINK("https://klasma.github.io/Logging_0884/kartor/A 14024-2023 karta.png", "A 14024-2023")</f>
        <v/>
      </c>
      <c r="V24">
        <f>HYPERLINK("https://klasma.github.io/Logging_0884/klagomål/A 14024-2023 FSC-klagomål.docx", "A 14024-2023")</f>
        <v/>
      </c>
      <c r="W24">
        <f>HYPERLINK("https://klasma.github.io/Logging_0884/klagomålsmail/A 14024-2023 FSC-klagomål mail.docx", "A 14024-2023")</f>
        <v/>
      </c>
      <c r="X24">
        <f>HYPERLINK("https://klasma.github.io/Logging_0884/tillsyn/A 14024-2023 tillsynsbegäran.docx", "A 14024-2023")</f>
        <v/>
      </c>
      <c r="Y24">
        <f>HYPERLINK("https://klasma.github.io/Logging_0884/tillsynsmail/A 14024-2023 tillsynsbegäran mail.docx", "A 14024-2023")</f>
        <v/>
      </c>
    </row>
    <row r="25" ht="15" customHeight="1">
      <c r="A25" t="inlineStr">
        <is>
          <t>A 22396-2025</t>
        </is>
      </c>
      <c r="B25" s="1" t="n">
        <v>45786.52827546297</v>
      </c>
      <c r="C25" s="1" t="n">
        <v>45891</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2518-2023</t>
        </is>
      </c>
      <c r="B26" s="1" t="n">
        <v>44943</v>
      </c>
      <c r="C26" s="1" t="n">
        <v>45891</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45891</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22825-2023</t>
        </is>
      </c>
      <c r="B28" s="1" t="n">
        <v>45072</v>
      </c>
      <c r="C28" s="1" t="n">
        <v>45891</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32396-2021</t>
        </is>
      </c>
      <c r="B29" s="1" t="n">
        <v>44371</v>
      </c>
      <c r="C29" s="1" t="n">
        <v>45891</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23602-2023</t>
        </is>
      </c>
      <c r="B30" s="1" t="n">
        <v>45077</v>
      </c>
      <c r="C30" s="1" t="n">
        <v>45891</v>
      </c>
      <c r="D30" t="inlineStr">
        <is>
          <t>KALMAR LÄN</t>
        </is>
      </c>
      <c r="E30" t="inlineStr">
        <is>
          <t>VIMMERBY</t>
        </is>
      </c>
      <c r="G30" t="n">
        <v>1.6</v>
      </c>
      <c r="H30" t="n">
        <v>0</v>
      </c>
      <c r="I30" t="n">
        <v>0</v>
      </c>
      <c r="J30" t="n">
        <v>1</v>
      </c>
      <c r="K30" t="n">
        <v>0</v>
      </c>
      <c r="L30" t="n">
        <v>0</v>
      </c>
      <c r="M30" t="n">
        <v>0</v>
      </c>
      <c r="N30" t="n">
        <v>0</v>
      </c>
      <c r="O30" t="n">
        <v>1</v>
      </c>
      <c r="P30" t="n">
        <v>0</v>
      </c>
      <c r="Q30" t="n">
        <v>1</v>
      </c>
      <c r="R30" s="2" t="inlineStr">
        <is>
          <t>Vedtrappmossa</t>
        </is>
      </c>
      <c r="S30">
        <f>HYPERLINK("https://klasma.github.io/Logging_0884/artfynd/A 23602-2023 artfynd.xlsx", "A 23602-2023")</f>
        <v/>
      </c>
      <c r="T30">
        <f>HYPERLINK("https://klasma.github.io/Logging_0884/kartor/A 23602-2023 karta.png", "A 23602-2023")</f>
        <v/>
      </c>
      <c r="V30">
        <f>HYPERLINK("https://klasma.github.io/Logging_0884/klagomål/A 23602-2023 FSC-klagomål.docx", "A 23602-2023")</f>
        <v/>
      </c>
      <c r="W30">
        <f>HYPERLINK("https://klasma.github.io/Logging_0884/klagomålsmail/A 23602-2023 FSC-klagomål mail.docx", "A 23602-2023")</f>
        <v/>
      </c>
      <c r="X30">
        <f>HYPERLINK("https://klasma.github.io/Logging_0884/tillsyn/A 23602-2023 tillsynsbegäran.docx", "A 23602-2023")</f>
        <v/>
      </c>
      <c r="Y30">
        <f>HYPERLINK("https://klasma.github.io/Logging_0884/tillsynsmail/A 23602-2023 tillsynsbegäran mail.docx", "A 23602-2023")</f>
        <v/>
      </c>
    </row>
    <row r="31" ht="15" customHeight="1">
      <c r="A31" t="inlineStr">
        <is>
          <t>A 52301-2023</t>
        </is>
      </c>
      <c r="B31" s="1" t="n">
        <v>45224</v>
      </c>
      <c r="C31" s="1" t="n">
        <v>45891</v>
      </c>
      <c r="D31" t="inlineStr">
        <is>
          <t>KALMAR LÄN</t>
        </is>
      </c>
      <c r="E31" t="inlineStr">
        <is>
          <t>VIMMERBY</t>
        </is>
      </c>
      <c r="G31" t="n">
        <v>5.3</v>
      </c>
      <c r="H31" t="n">
        <v>0</v>
      </c>
      <c r="I31" t="n">
        <v>0</v>
      </c>
      <c r="J31" t="n">
        <v>0</v>
      </c>
      <c r="K31" t="n">
        <v>0</v>
      </c>
      <c r="L31" t="n">
        <v>1</v>
      </c>
      <c r="M31" t="n">
        <v>0</v>
      </c>
      <c r="N31" t="n">
        <v>0</v>
      </c>
      <c r="O31" t="n">
        <v>1</v>
      </c>
      <c r="P31" t="n">
        <v>1</v>
      </c>
      <c r="Q31" t="n">
        <v>1</v>
      </c>
      <c r="R31" s="2" t="inlineStr">
        <is>
          <t>Ask</t>
        </is>
      </c>
      <c r="S31">
        <f>HYPERLINK("https://klasma.github.io/Logging_0884/artfynd/A 52301-2023 artfynd.xlsx", "A 52301-2023")</f>
        <v/>
      </c>
      <c r="T31">
        <f>HYPERLINK("https://klasma.github.io/Logging_0884/kartor/A 52301-2023 karta.png", "A 52301-2023")</f>
        <v/>
      </c>
      <c r="V31">
        <f>HYPERLINK("https://klasma.github.io/Logging_0884/klagomål/A 52301-2023 FSC-klagomål.docx", "A 52301-2023")</f>
        <v/>
      </c>
      <c r="W31">
        <f>HYPERLINK("https://klasma.github.io/Logging_0884/klagomålsmail/A 52301-2023 FSC-klagomål mail.docx", "A 52301-2023")</f>
        <v/>
      </c>
      <c r="X31">
        <f>HYPERLINK("https://klasma.github.io/Logging_0884/tillsyn/A 52301-2023 tillsynsbegäran.docx", "A 52301-2023")</f>
        <v/>
      </c>
      <c r="Y31">
        <f>HYPERLINK("https://klasma.github.io/Logging_0884/tillsynsmail/A 52301-2023 tillsynsbegäran mail.docx", "A 52301-2023")</f>
        <v/>
      </c>
    </row>
    <row r="32" ht="15" customHeight="1">
      <c r="A32" t="inlineStr">
        <is>
          <t>A 37930-2021</t>
        </is>
      </c>
      <c r="B32" s="1" t="n">
        <v>44403</v>
      </c>
      <c r="C32" s="1" t="n">
        <v>45891</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33436-2021</t>
        </is>
      </c>
      <c r="B33" s="1" t="n">
        <v>44377.61104166666</v>
      </c>
      <c r="C33" s="1" t="n">
        <v>45891</v>
      </c>
      <c r="D33" t="inlineStr">
        <is>
          <t>KALMAR LÄN</t>
        </is>
      </c>
      <c r="E33" t="inlineStr">
        <is>
          <t>VIMMERBY</t>
        </is>
      </c>
      <c r="G33" t="n">
        <v>11.8</v>
      </c>
      <c r="H33" t="n">
        <v>1</v>
      </c>
      <c r="I33" t="n">
        <v>0</v>
      </c>
      <c r="J33" t="n">
        <v>0</v>
      </c>
      <c r="K33" t="n">
        <v>1</v>
      </c>
      <c r="L33" t="n">
        <v>0</v>
      </c>
      <c r="M33" t="n">
        <v>0</v>
      </c>
      <c r="N33" t="n">
        <v>0</v>
      </c>
      <c r="O33" t="n">
        <v>1</v>
      </c>
      <c r="P33" t="n">
        <v>1</v>
      </c>
      <c r="Q33" t="n">
        <v>1</v>
      </c>
      <c r="R33" s="2" t="inlineStr">
        <is>
          <t>Knärot</t>
        </is>
      </c>
      <c r="S33">
        <f>HYPERLINK("https://klasma.github.io/Logging_0884/artfynd/A 33436-2021 artfynd.xlsx", "A 33436-2021")</f>
        <v/>
      </c>
      <c r="T33">
        <f>HYPERLINK("https://klasma.github.io/Logging_0884/kartor/A 33436-2021 karta.png", "A 33436-2021")</f>
        <v/>
      </c>
      <c r="U33">
        <f>HYPERLINK("https://klasma.github.io/Logging_0884/knärot/A 33436-2021 karta knärot.png", "A 33436-2021")</f>
        <v/>
      </c>
      <c r="V33">
        <f>HYPERLINK("https://klasma.github.io/Logging_0884/klagomål/A 33436-2021 FSC-klagomål.docx", "A 33436-2021")</f>
        <v/>
      </c>
      <c r="W33">
        <f>HYPERLINK("https://klasma.github.io/Logging_0884/klagomålsmail/A 33436-2021 FSC-klagomål mail.docx", "A 33436-2021")</f>
        <v/>
      </c>
      <c r="X33">
        <f>HYPERLINK("https://klasma.github.io/Logging_0884/tillsyn/A 33436-2021 tillsynsbegäran.docx", "A 33436-2021")</f>
        <v/>
      </c>
      <c r="Y33">
        <f>HYPERLINK("https://klasma.github.io/Logging_0884/tillsynsmail/A 33436-2021 tillsynsbegäran mail.docx", "A 33436-2021")</f>
        <v/>
      </c>
    </row>
    <row r="34" ht="15" customHeight="1">
      <c r="A34" t="inlineStr">
        <is>
          <t>A 44306-2020</t>
        </is>
      </c>
      <c r="B34" s="1" t="n">
        <v>44082</v>
      </c>
      <c r="C34" s="1" t="n">
        <v>45891</v>
      </c>
      <c r="D34" t="inlineStr">
        <is>
          <t>KALMAR LÄN</t>
        </is>
      </c>
      <c r="E34" t="inlineStr">
        <is>
          <t>VIMMERBY</t>
        </is>
      </c>
      <c r="G34" t="n">
        <v>16.4</v>
      </c>
      <c r="H34" t="n">
        <v>1</v>
      </c>
      <c r="I34" t="n">
        <v>1</v>
      </c>
      <c r="J34" t="n">
        <v>0</v>
      </c>
      <c r="K34" t="n">
        <v>0</v>
      </c>
      <c r="L34" t="n">
        <v>0</v>
      </c>
      <c r="M34" t="n">
        <v>0</v>
      </c>
      <c r="N34" t="n">
        <v>0</v>
      </c>
      <c r="O34" t="n">
        <v>0</v>
      </c>
      <c r="P34" t="n">
        <v>0</v>
      </c>
      <c r="Q34" t="n">
        <v>1</v>
      </c>
      <c r="R34" s="2" t="inlineStr">
        <is>
          <t>Plattlummer</t>
        </is>
      </c>
      <c r="S34">
        <f>HYPERLINK("https://klasma.github.io/Logging_0884/artfynd/A 44306-2020 artfynd.xlsx", "A 44306-2020")</f>
        <v/>
      </c>
      <c r="T34">
        <f>HYPERLINK("https://klasma.github.io/Logging_0884/kartor/A 44306-2020 karta.png", "A 44306-2020")</f>
        <v/>
      </c>
      <c r="V34">
        <f>HYPERLINK("https://klasma.github.io/Logging_0884/klagomål/A 44306-2020 FSC-klagomål.docx", "A 44306-2020")</f>
        <v/>
      </c>
      <c r="W34">
        <f>HYPERLINK("https://klasma.github.io/Logging_0884/klagomålsmail/A 44306-2020 FSC-klagomål mail.docx", "A 44306-2020")</f>
        <v/>
      </c>
      <c r="X34">
        <f>HYPERLINK("https://klasma.github.io/Logging_0884/tillsyn/A 44306-2020 tillsynsbegäran.docx", "A 44306-2020")</f>
        <v/>
      </c>
      <c r="Y34">
        <f>HYPERLINK("https://klasma.github.io/Logging_0884/tillsynsmail/A 44306-2020 tillsynsbegäran mail.docx", "A 44306-2020")</f>
        <v/>
      </c>
    </row>
    <row r="35" ht="15" customHeight="1">
      <c r="A35" t="inlineStr">
        <is>
          <t>A 15122-2024</t>
        </is>
      </c>
      <c r="B35" s="1" t="n">
        <v>45399.71412037037</v>
      </c>
      <c r="C35" s="1" t="n">
        <v>45891</v>
      </c>
      <c r="D35" t="inlineStr">
        <is>
          <t>KALMAR LÄN</t>
        </is>
      </c>
      <c r="E35" t="inlineStr">
        <is>
          <t>VIMMERBY</t>
        </is>
      </c>
      <c r="G35" t="n">
        <v>1.7</v>
      </c>
      <c r="H35" t="n">
        <v>0</v>
      </c>
      <c r="I35" t="n">
        <v>0</v>
      </c>
      <c r="J35" t="n">
        <v>0</v>
      </c>
      <c r="K35" t="n">
        <v>1</v>
      </c>
      <c r="L35" t="n">
        <v>0</v>
      </c>
      <c r="M35" t="n">
        <v>0</v>
      </c>
      <c r="N35" t="n">
        <v>0</v>
      </c>
      <c r="O35" t="n">
        <v>1</v>
      </c>
      <c r="P35" t="n">
        <v>1</v>
      </c>
      <c r="Q35" t="n">
        <v>1</v>
      </c>
      <c r="R35" s="2" t="inlineStr">
        <is>
          <t>Sågfibbla</t>
        </is>
      </c>
      <c r="S35">
        <f>HYPERLINK("https://klasma.github.io/Logging_0884/artfynd/A 15122-2024 artfynd.xlsx", "A 15122-2024")</f>
        <v/>
      </c>
      <c r="T35">
        <f>HYPERLINK("https://klasma.github.io/Logging_0884/kartor/A 15122-2024 karta.png", "A 15122-2024")</f>
        <v/>
      </c>
      <c r="V35">
        <f>HYPERLINK("https://klasma.github.io/Logging_0884/klagomål/A 15122-2024 FSC-klagomål.docx", "A 15122-2024")</f>
        <v/>
      </c>
      <c r="W35">
        <f>HYPERLINK("https://klasma.github.io/Logging_0884/klagomålsmail/A 15122-2024 FSC-klagomål mail.docx", "A 15122-2024")</f>
        <v/>
      </c>
      <c r="X35">
        <f>HYPERLINK("https://klasma.github.io/Logging_0884/tillsyn/A 15122-2024 tillsynsbegäran.docx", "A 15122-2024")</f>
        <v/>
      </c>
      <c r="Y35">
        <f>HYPERLINK("https://klasma.github.io/Logging_0884/tillsynsmail/A 15122-2024 tillsynsbegäran mail.docx", "A 15122-2024")</f>
        <v/>
      </c>
    </row>
    <row r="36" ht="15" customHeight="1">
      <c r="A36" t="inlineStr">
        <is>
          <t>A 32985-2023</t>
        </is>
      </c>
      <c r="B36" s="1" t="n">
        <v>45125</v>
      </c>
      <c r="C36" s="1" t="n">
        <v>45891</v>
      </c>
      <c r="D36" t="inlineStr">
        <is>
          <t>KALMAR LÄN</t>
        </is>
      </c>
      <c r="E36" t="inlineStr">
        <is>
          <t>VIMMERBY</t>
        </is>
      </c>
      <c r="G36" t="n">
        <v>1.9</v>
      </c>
      <c r="H36" t="n">
        <v>0</v>
      </c>
      <c r="I36" t="n">
        <v>0</v>
      </c>
      <c r="J36" t="n">
        <v>0</v>
      </c>
      <c r="K36" t="n">
        <v>0</v>
      </c>
      <c r="L36" t="n">
        <v>1</v>
      </c>
      <c r="M36" t="n">
        <v>0</v>
      </c>
      <c r="N36" t="n">
        <v>0</v>
      </c>
      <c r="O36" t="n">
        <v>1</v>
      </c>
      <c r="P36" t="n">
        <v>1</v>
      </c>
      <c r="Q36" t="n">
        <v>1</v>
      </c>
      <c r="R36" s="2" t="inlineStr">
        <is>
          <t>Ryl</t>
        </is>
      </c>
      <c r="S36">
        <f>HYPERLINK("https://klasma.github.io/Logging_0884/artfynd/A 32985-2023 artfynd.xlsx", "A 32985-2023")</f>
        <v/>
      </c>
      <c r="T36">
        <f>HYPERLINK("https://klasma.github.io/Logging_0884/kartor/A 32985-2023 karta.png", "A 32985-2023")</f>
        <v/>
      </c>
      <c r="V36">
        <f>HYPERLINK("https://klasma.github.io/Logging_0884/klagomål/A 32985-2023 FSC-klagomål.docx", "A 32985-2023")</f>
        <v/>
      </c>
      <c r="W36">
        <f>HYPERLINK("https://klasma.github.io/Logging_0884/klagomålsmail/A 32985-2023 FSC-klagomål mail.docx", "A 32985-2023")</f>
        <v/>
      </c>
      <c r="X36">
        <f>HYPERLINK("https://klasma.github.io/Logging_0884/tillsyn/A 32985-2023 tillsynsbegäran.docx", "A 32985-2023")</f>
        <v/>
      </c>
      <c r="Y36">
        <f>HYPERLINK("https://klasma.github.io/Logging_0884/tillsynsmail/A 32985-2023 tillsynsbegäran mail.docx", "A 32985-2023")</f>
        <v/>
      </c>
    </row>
    <row r="37" ht="15" customHeight="1">
      <c r="A37" t="inlineStr">
        <is>
          <t>A 28852-2023</t>
        </is>
      </c>
      <c r="B37" s="1" t="n">
        <v>45104</v>
      </c>
      <c r="C37" s="1" t="n">
        <v>45891</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44515-2024</t>
        </is>
      </c>
      <c r="B38" s="1" t="n">
        <v>45574.42767361111</v>
      </c>
      <c r="C38" s="1" t="n">
        <v>45891</v>
      </c>
      <c r="D38" t="inlineStr">
        <is>
          <t>KALMAR LÄN</t>
        </is>
      </c>
      <c r="E38" t="inlineStr">
        <is>
          <t>VIMMERBY</t>
        </is>
      </c>
      <c r="G38" t="n">
        <v>1.4</v>
      </c>
      <c r="H38" t="n">
        <v>1</v>
      </c>
      <c r="I38" t="n">
        <v>0</v>
      </c>
      <c r="J38" t="n">
        <v>0</v>
      </c>
      <c r="K38" t="n">
        <v>1</v>
      </c>
      <c r="L38" t="n">
        <v>0</v>
      </c>
      <c r="M38" t="n">
        <v>0</v>
      </c>
      <c r="N38" t="n">
        <v>0</v>
      </c>
      <c r="O38" t="n">
        <v>1</v>
      </c>
      <c r="P38" t="n">
        <v>1</v>
      </c>
      <c r="Q38" t="n">
        <v>1</v>
      </c>
      <c r="R38" s="2" t="inlineStr">
        <is>
          <t>Knärot</t>
        </is>
      </c>
      <c r="S38">
        <f>HYPERLINK("https://klasma.github.io/Logging_0884/artfynd/A 44515-2024 artfynd.xlsx", "A 44515-2024")</f>
        <v/>
      </c>
      <c r="T38">
        <f>HYPERLINK("https://klasma.github.io/Logging_0884/kartor/A 44515-2024 karta.png", "A 44515-2024")</f>
        <v/>
      </c>
      <c r="U38">
        <f>HYPERLINK("https://klasma.github.io/Logging_0884/knärot/A 44515-2024 karta knärot.png", "A 44515-2024")</f>
        <v/>
      </c>
      <c r="V38">
        <f>HYPERLINK("https://klasma.github.io/Logging_0884/klagomål/A 44515-2024 FSC-klagomål.docx", "A 44515-2024")</f>
        <v/>
      </c>
      <c r="W38">
        <f>HYPERLINK("https://klasma.github.io/Logging_0884/klagomålsmail/A 44515-2024 FSC-klagomål mail.docx", "A 44515-2024")</f>
        <v/>
      </c>
      <c r="X38">
        <f>HYPERLINK("https://klasma.github.io/Logging_0884/tillsyn/A 44515-2024 tillsynsbegäran.docx", "A 44515-2024")</f>
        <v/>
      </c>
      <c r="Y38">
        <f>HYPERLINK("https://klasma.github.io/Logging_0884/tillsynsmail/A 44515-2024 tillsynsbegäran mail.docx", "A 44515-2024")</f>
        <v/>
      </c>
    </row>
    <row r="39" ht="15" customHeight="1">
      <c r="A39" t="inlineStr">
        <is>
          <t>A 40083-2023</t>
        </is>
      </c>
      <c r="B39" s="1" t="n">
        <v>45168</v>
      </c>
      <c r="C39" s="1" t="n">
        <v>45891</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45891</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1201-2025</t>
        </is>
      </c>
      <c r="B41" s="1" t="n">
        <v>45667</v>
      </c>
      <c r="C41" s="1" t="n">
        <v>45891</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6841-2021</t>
        </is>
      </c>
      <c r="B42" s="1" t="n">
        <v>44236</v>
      </c>
      <c r="C42" s="1" t="n">
        <v>45891</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61860-2024</t>
        </is>
      </c>
      <c r="B43" s="1" t="n">
        <v>45649</v>
      </c>
      <c r="C43" s="1" t="n">
        <v>45891</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29183-2025</t>
        </is>
      </c>
      <c r="B44" s="1" t="n">
        <v>45821</v>
      </c>
      <c r="C44" s="1" t="n">
        <v>45891</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29736-2025</t>
        </is>
      </c>
      <c r="B45" s="1" t="n">
        <v>45825.58484953704</v>
      </c>
      <c r="C45" s="1" t="n">
        <v>45891</v>
      </c>
      <c r="D45" t="inlineStr">
        <is>
          <t>KALMAR LÄN</t>
        </is>
      </c>
      <c r="E45" t="inlineStr">
        <is>
          <t>VIMMERBY</t>
        </is>
      </c>
      <c r="G45" t="n">
        <v>7.3</v>
      </c>
      <c r="H45" t="n">
        <v>1</v>
      </c>
      <c r="I45" t="n">
        <v>0</v>
      </c>
      <c r="J45" t="n">
        <v>1</v>
      </c>
      <c r="K45" t="n">
        <v>0</v>
      </c>
      <c r="L45" t="n">
        <v>0</v>
      </c>
      <c r="M45" t="n">
        <v>0</v>
      </c>
      <c r="N45" t="n">
        <v>0</v>
      </c>
      <c r="O45" t="n">
        <v>1</v>
      </c>
      <c r="P45" t="n">
        <v>0</v>
      </c>
      <c r="Q45" t="n">
        <v>1</v>
      </c>
      <c r="R45" s="2" t="inlineStr">
        <is>
          <t>Spillkråka</t>
        </is>
      </c>
      <c r="S45">
        <f>HYPERLINK("https://klasma.github.io/Logging_0884/artfynd/A 29736-2025 artfynd.xlsx", "A 29736-2025")</f>
        <v/>
      </c>
      <c r="T45">
        <f>HYPERLINK("https://klasma.github.io/Logging_0884/kartor/A 29736-2025 karta.png", "A 29736-2025")</f>
        <v/>
      </c>
      <c r="V45">
        <f>HYPERLINK("https://klasma.github.io/Logging_0884/klagomål/A 29736-2025 FSC-klagomål.docx", "A 29736-2025")</f>
        <v/>
      </c>
      <c r="W45">
        <f>HYPERLINK("https://klasma.github.io/Logging_0884/klagomålsmail/A 29736-2025 FSC-klagomål mail.docx", "A 29736-2025")</f>
        <v/>
      </c>
      <c r="X45">
        <f>HYPERLINK("https://klasma.github.io/Logging_0884/tillsyn/A 29736-2025 tillsynsbegäran.docx", "A 29736-2025")</f>
        <v/>
      </c>
      <c r="Y45">
        <f>HYPERLINK("https://klasma.github.io/Logging_0884/tillsynsmail/A 29736-2025 tillsynsbegäran mail.docx", "A 29736-2025")</f>
        <v/>
      </c>
      <c r="Z45">
        <f>HYPERLINK("https://klasma.github.io/Logging_0884/fåglar/A 29736-2025 prioriterade fågelarter.docx", "A 29736-2025")</f>
        <v/>
      </c>
    </row>
    <row r="46" ht="15" customHeight="1">
      <c r="A46" t="inlineStr">
        <is>
          <t>A 9067-2025</t>
        </is>
      </c>
      <c r="B46" s="1" t="n">
        <v>45713</v>
      </c>
      <c r="C46" s="1" t="n">
        <v>45891</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42097-2020</t>
        </is>
      </c>
      <c r="B47" s="1" t="n">
        <v>44075</v>
      </c>
      <c r="C47" s="1" t="n">
        <v>45891</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40239-2020</t>
        </is>
      </c>
      <c r="B48" s="1" t="n">
        <v>44068</v>
      </c>
      <c r="C48" s="1" t="n">
        <v>45891</v>
      </c>
      <c r="D48" t="inlineStr">
        <is>
          <t>KALMAR LÄN</t>
        </is>
      </c>
      <c r="E48" t="inlineStr">
        <is>
          <t>VIMMERBY</t>
        </is>
      </c>
      <c r="G48" t="n">
        <v>0.5</v>
      </c>
      <c r="H48" t="n">
        <v>0</v>
      </c>
      <c r="I48" t="n">
        <v>0</v>
      </c>
      <c r="J48" t="n">
        <v>0</v>
      </c>
      <c r="K48" t="n">
        <v>0</v>
      </c>
      <c r="L48" t="n">
        <v>0</v>
      </c>
      <c r="M48" t="n">
        <v>0</v>
      </c>
      <c r="N48" t="n">
        <v>0</v>
      </c>
      <c r="O48" t="n">
        <v>0</v>
      </c>
      <c r="P48" t="n">
        <v>0</v>
      </c>
      <c r="Q48" t="n">
        <v>0</v>
      </c>
      <c r="R48" s="2" t="inlineStr"/>
    </row>
    <row r="49" ht="15" customHeight="1">
      <c r="A49" t="inlineStr">
        <is>
          <t>A 44000-2020</t>
        </is>
      </c>
      <c r="B49" s="1" t="n">
        <v>44083</v>
      </c>
      <c r="C49" s="1" t="n">
        <v>45891</v>
      </c>
      <c r="D49" t="inlineStr">
        <is>
          <t>KALMAR LÄN</t>
        </is>
      </c>
      <c r="E49" t="inlineStr">
        <is>
          <t>VIMMERBY</t>
        </is>
      </c>
      <c r="G49" t="n">
        <v>0.8</v>
      </c>
      <c r="H49" t="n">
        <v>0</v>
      </c>
      <c r="I49" t="n">
        <v>0</v>
      </c>
      <c r="J49" t="n">
        <v>0</v>
      </c>
      <c r="K49" t="n">
        <v>0</v>
      </c>
      <c r="L49" t="n">
        <v>0</v>
      </c>
      <c r="M49" t="n">
        <v>0</v>
      </c>
      <c r="N49" t="n">
        <v>0</v>
      </c>
      <c r="O49" t="n">
        <v>0</v>
      </c>
      <c r="P49" t="n">
        <v>0</v>
      </c>
      <c r="Q49" t="n">
        <v>0</v>
      </c>
      <c r="R49" s="2" t="inlineStr"/>
    </row>
    <row r="50" ht="15" customHeight="1">
      <c r="A50" t="inlineStr">
        <is>
          <t>A 49059-2020</t>
        </is>
      </c>
      <c r="B50" s="1" t="n">
        <v>44102</v>
      </c>
      <c r="C50" s="1" t="n">
        <v>45891</v>
      </c>
      <c r="D50" t="inlineStr">
        <is>
          <t>KALMAR LÄN</t>
        </is>
      </c>
      <c r="E50" t="inlineStr">
        <is>
          <t>VIMMERBY</t>
        </is>
      </c>
      <c r="G50" t="n">
        <v>5.8</v>
      </c>
      <c r="H50" t="n">
        <v>0</v>
      </c>
      <c r="I50" t="n">
        <v>0</v>
      </c>
      <c r="J50" t="n">
        <v>0</v>
      </c>
      <c r="K50" t="n">
        <v>0</v>
      </c>
      <c r="L50" t="n">
        <v>0</v>
      </c>
      <c r="M50" t="n">
        <v>0</v>
      </c>
      <c r="N50" t="n">
        <v>0</v>
      </c>
      <c r="O50" t="n">
        <v>0</v>
      </c>
      <c r="P50" t="n">
        <v>0</v>
      </c>
      <c r="Q50" t="n">
        <v>0</v>
      </c>
      <c r="R50" s="2" t="inlineStr"/>
    </row>
    <row r="51" ht="15" customHeight="1">
      <c r="A51" t="inlineStr">
        <is>
          <t>A 55053-2020</t>
        </is>
      </c>
      <c r="B51" s="1" t="n">
        <v>44130</v>
      </c>
      <c r="C51" s="1" t="n">
        <v>45891</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45891</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15092-2021</t>
        </is>
      </c>
      <c r="B53" s="1" t="n">
        <v>44281.79269675926</v>
      </c>
      <c r="C53" s="1" t="n">
        <v>45891</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45891</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45891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45891</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45891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45891</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45891</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45891</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45891</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45891</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45891</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45891</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40808-2020</t>
        </is>
      </c>
      <c r="B65" s="1" t="n">
        <v>44070.39203703704</v>
      </c>
      <c r="C65" s="1" t="n">
        <v>45891</v>
      </c>
      <c r="D65" t="inlineStr">
        <is>
          <t>KALMAR LÄN</t>
        </is>
      </c>
      <c r="E65" t="inlineStr">
        <is>
          <t>VIMMERBY</t>
        </is>
      </c>
      <c r="G65" t="n">
        <v>2.8</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45891</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45891</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49186-2020</t>
        </is>
      </c>
      <c r="B68" s="1" t="n">
        <v>44105</v>
      </c>
      <c r="C68" s="1" t="n">
        <v>45891</v>
      </c>
      <c r="D68" t="inlineStr">
        <is>
          <t>KALMAR LÄN</t>
        </is>
      </c>
      <c r="E68" t="inlineStr">
        <is>
          <t>VIMMERBY</t>
        </is>
      </c>
      <c r="F68" t="inlineStr">
        <is>
          <t>Sveaskog</t>
        </is>
      </c>
      <c r="G68" t="n">
        <v>3.8</v>
      </c>
      <c r="H68" t="n">
        <v>0</v>
      </c>
      <c r="I68" t="n">
        <v>0</v>
      </c>
      <c r="J68" t="n">
        <v>0</v>
      </c>
      <c r="K68" t="n">
        <v>0</v>
      </c>
      <c r="L68" t="n">
        <v>0</v>
      </c>
      <c r="M68" t="n">
        <v>0</v>
      </c>
      <c r="N68" t="n">
        <v>0</v>
      </c>
      <c r="O68" t="n">
        <v>0</v>
      </c>
      <c r="P68" t="n">
        <v>0</v>
      </c>
      <c r="Q68" t="n">
        <v>0</v>
      </c>
      <c r="R68" s="2" t="inlineStr"/>
    </row>
    <row r="69" ht="15" customHeight="1">
      <c r="A69" t="inlineStr">
        <is>
          <t>A 4762-2021</t>
        </is>
      </c>
      <c r="B69" s="1" t="n">
        <v>44225</v>
      </c>
      <c r="C69" s="1" t="n">
        <v>45891</v>
      </c>
      <c r="D69" t="inlineStr">
        <is>
          <t>KALMAR LÄN</t>
        </is>
      </c>
      <c r="E69" t="inlineStr">
        <is>
          <t>VIMMERBY</t>
        </is>
      </c>
      <c r="G69" t="n">
        <v>5.3</v>
      </c>
      <c r="H69" t="n">
        <v>0</v>
      </c>
      <c r="I69" t="n">
        <v>0</v>
      </c>
      <c r="J69" t="n">
        <v>0</v>
      </c>
      <c r="K69" t="n">
        <v>0</v>
      </c>
      <c r="L69" t="n">
        <v>0</v>
      </c>
      <c r="M69" t="n">
        <v>0</v>
      </c>
      <c r="N69" t="n">
        <v>0</v>
      </c>
      <c r="O69" t="n">
        <v>0</v>
      </c>
      <c r="P69" t="n">
        <v>0</v>
      </c>
      <c r="Q69" t="n">
        <v>0</v>
      </c>
      <c r="R69" s="2" t="inlineStr"/>
    </row>
    <row r="70" ht="15" customHeight="1">
      <c r="A70" t="inlineStr">
        <is>
          <t>A 40812-2020</t>
        </is>
      </c>
      <c r="B70" s="1" t="n">
        <v>44070</v>
      </c>
      <c r="C70" s="1" t="n">
        <v>45891</v>
      </c>
      <c r="D70" t="inlineStr">
        <is>
          <t>KALMAR LÄN</t>
        </is>
      </c>
      <c r="E70" t="inlineStr">
        <is>
          <t>VIMMERBY</t>
        </is>
      </c>
      <c r="G70" t="n">
        <v>4.9</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45891</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45891</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63926-2021</t>
        </is>
      </c>
      <c r="B73" s="1" t="n">
        <v>44509</v>
      </c>
      <c r="C73" s="1" t="n">
        <v>45891</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45891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45891</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45891</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45891</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45891</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45891</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45891</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2183-2022</t>
        </is>
      </c>
      <c r="B81" s="1" t="n">
        <v>44578.47597222222</v>
      </c>
      <c r="C81" s="1" t="n">
        <v>45891</v>
      </c>
      <c r="D81" t="inlineStr">
        <is>
          <t>KALMAR LÄN</t>
        </is>
      </c>
      <c r="E81" t="inlineStr">
        <is>
          <t>VIMMERBY</t>
        </is>
      </c>
      <c r="G81" t="n">
        <v>4.8</v>
      </c>
      <c r="H81" t="n">
        <v>0</v>
      </c>
      <c r="I81" t="n">
        <v>0</v>
      </c>
      <c r="J81" t="n">
        <v>0</v>
      </c>
      <c r="K81" t="n">
        <v>0</v>
      </c>
      <c r="L81" t="n">
        <v>0</v>
      </c>
      <c r="M81" t="n">
        <v>0</v>
      </c>
      <c r="N81" t="n">
        <v>0</v>
      </c>
      <c r="O81" t="n">
        <v>0</v>
      </c>
      <c r="P81" t="n">
        <v>0</v>
      </c>
      <c r="Q81" t="n">
        <v>0</v>
      </c>
      <c r="R81" s="2" t="inlineStr"/>
    </row>
    <row r="82" ht="15" customHeight="1">
      <c r="A82" t="inlineStr">
        <is>
          <t>A 41438-2022</t>
        </is>
      </c>
      <c r="B82" s="1" t="n">
        <v>44826.68010416667</v>
      </c>
      <c r="C82" s="1" t="n">
        <v>45891</v>
      </c>
      <c r="D82" t="inlineStr">
        <is>
          <t>KALMAR LÄN</t>
        </is>
      </c>
      <c r="E82" t="inlineStr">
        <is>
          <t>VIMMERBY</t>
        </is>
      </c>
      <c r="G82" t="n">
        <v>3.1</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45891</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45891</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45891</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45891</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45891</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45891</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45891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45891</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64923-2021</t>
        </is>
      </c>
      <c r="B91" s="1" t="n">
        <v>44512.70245370371</v>
      </c>
      <c r="C91" s="1" t="n">
        <v>45891</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27762-2021</t>
        </is>
      </c>
      <c r="B92" s="1" t="n">
        <v>44354</v>
      </c>
      <c r="C92" s="1" t="n">
        <v>45891</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45678-2020</t>
        </is>
      </c>
      <c r="B93" s="1" t="n">
        <v>44090</v>
      </c>
      <c r="C93" s="1" t="n">
        <v>45891</v>
      </c>
      <c r="D93" t="inlineStr">
        <is>
          <t>KALMAR LÄN</t>
        </is>
      </c>
      <c r="E93" t="inlineStr">
        <is>
          <t>VIMMERBY</t>
        </is>
      </c>
      <c r="G93" t="n">
        <v>4.3</v>
      </c>
      <c r="H93" t="n">
        <v>0</v>
      </c>
      <c r="I93" t="n">
        <v>0</v>
      </c>
      <c r="J93" t="n">
        <v>0</v>
      </c>
      <c r="K93" t="n">
        <v>0</v>
      </c>
      <c r="L93" t="n">
        <v>0</v>
      </c>
      <c r="M93" t="n">
        <v>0</v>
      </c>
      <c r="N93" t="n">
        <v>0</v>
      </c>
      <c r="O93" t="n">
        <v>0</v>
      </c>
      <c r="P93" t="n">
        <v>0</v>
      </c>
      <c r="Q93" t="n">
        <v>0</v>
      </c>
      <c r="R93" s="2" t="inlineStr"/>
    </row>
    <row r="94" ht="15" customHeight="1">
      <c r="A94" t="inlineStr">
        <is>
          <t>A 33829-2022</t>
        </is>
      </c>
      <c r="B94" s="1" t="n">
        <v>44790</v>
      </c>
      <c r="C94" s="1" t="n">
        <v>45891</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3621-2021</t>
        </is>
      </c>
      <c r="B95" s="1" t="n">
        <v>44221.39408564815</v>
      </c>
      <c r="C95" s="1" t="n">
        <v>45891</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45891</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11145-2021</t>
        </is>
      </c>
      <c r="B97" s="1" t="n">
        <v>44261</v>
      </c>
      <c r="C97" s="1" t="n">
        <v>45891</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4118-2022</t>
        </is>
      </c>
      <c r="B98" s="1" t="n">
        <v>44588</v>
      </c>
      <c r="C98" s="1" t="n">
        <v>45891</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4126-2022</t>
        </is>
      </c>
      <c r="B99" s="1" t="n">
        <v>44588</v>
      </c>
      <c r="C99" s="1" t="n">
        <v>45891</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33820-2022</t>
        </is>
      </c>
      <c r="B100" s="1" t="n">
        <v>44790</v>
      </c>
      <c r="C100" s="1" t="n">
        <v>45891</v>
      </c>
      <c r="D100" t="inlineStr">
        <is>
          <t>KALMAR LÄN</t>
        </is>
      </c>
      <c r="E100" t="inlineStr">
        <is>
          <t>VIMMERBY</t>
        </is>
      </c>
      <c r="G100" t="n">
        <v>3</v>
      </c>
      <c r="H100" t="n">
        <v>0</v>
      </c>
      <c r="I100" t="n">
        <v>0</v>
      </c>
      <c r="J100" t="n">
        <v>0</v>
      </c>
      <c r="K100" t="n">
        <v>0</v>
      </c>
      <c r="L100" t="n">
        <v>0</v>
      </c>
      <c r="M100" t="n">
        <v>0</v>
      </c>
      <c r="N100" t="n">
        <v>0</v>
      </c>
      <c r="O100" t="n">
        <v>0</v>
      </c>
      <c r="P100" t="n">
        <v>0</v>
      </c>
      <c r="Q100" t="n">
        <v>0</v>
      </c>
      <c r="R100" s="2" t="inlineStr"/>
    </row>
    <row r="101" ht="15" customHeight="1">
      <c r="A101" t="inlineStr">
        <is>
          <t>A 33824-2022</t>
        </is>
      </c>
      <c r="B101" s="1" t="n">
        <v>44790.47628472222</v>
      </c>
      <c r="C101" s="1" t="n">
        <v>45891</v>
      </c>
      <c r="D101" t="inlineStr">
        <is>
          <t>KALMAR LÄN</t>
        </is>
      </c>
      <c r="E101" t="inlineStr">
        <is>
          <t>VIMMERBY</t>
        </is>
      </c>
      <c r="G101" t="n">
        <v>2.3</v>
      </c>
      <c r="H101" t="n">
        <v>0</v>
      </c>
      <c r="I101" t="n">
        <v>0</v>
      </c>
      <c r="J101" t="n">
        <v>0</v>
      </c>
      <c r="K101" t="n">
        <v>0</v>
      </c>
      <c r="L101" t="n">
        <v>0</v>
      </c>
      <c r="M101" t="n">
        <v>0</v>
      </c>
      <c r="N101" t="n">
        <v>0</v>
      </c>
      <c r="O101" t="n">
        <v>0</v>
      </c>
      <c r="P101" t="n">
        <v>0</v>
      </c>
      <c r="Q101" t="n">
        <v>0</v>
      </c>
      <c r="R101" s="2" t="inlineStr"/>
    </row>
    <row r="102" ht="15" customHeight="1">
      <c r="A102" t="inlineStr">
        <is>
          <t>A 65952-2020</t>
        </is>
      </c>
      <c r="B102" s="1" t="n">
        <v>44175.3815625</v>
      </c>
      <c r="C102" s="1" t="n">
        <v>45891</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65973-2020</t>
        </is>
      </c>
      <c r="B103" s="1" t="n">
        <v>44175.40881944444</v>
      </c>
      <c r="C103" s="1" t="n">
        <v>45891</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19863-2021</t>
        </is>
      </c>
      <c r="B104" s="1" t="n">
        <v>44312</v>
      </c>
      <c r="C104" s="1" t="n">
        <v>45891</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55297-2021</t>
        </is>
      </c>
      <c r="B105" s="1" t="n">
        <v>44475</v>
      </c>
      <c r="C105" s="1" t="n">
        <v>45891</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35531-2021</t>
        </is>
      </c>
      <c r="B106" s="1" t="n">
        <v>44385</v>
      </c>
      <c r="C106" s="1" t="n">
        <v>45891</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53711-2020</t>
        </is>
      </c>
      <c r="B107" s="1" t="n">
        <v>44124.59795138889</v>
      </c>
      <c r="C107" s="1" t="n">
        <v>45891</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7072-2021</t>
        </is>
      </c>
      <c r="B108" s="1" t="n">
        <v>44237.8550925926</v>
      </c>
      <c r="C108" s="1" t="n">
        <v>45891</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38789-2021</t>
        </is>
      </c>
      <c r="B109" s="1" t="n">
        <v>44410.71038194445</v>
      </c>
      <c r="C109" s="1" t="n">
        <v>45891</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66913-2020</t>
        </is>
      </c>
      <c r="B110" s="1" t="n">
        <v>44175</v>
      </c>
      <c r="C110" s="1" t="n">
        <v>45891</v>
      </c>
      <c r="D110" t="inlineStr">
        <is>
          <t>KALMAR LÄN</t>
        </is>
      </c>
      <c r="E110" t="inlineStr">
        <is>
          <t>VIMMERBY</t>
        </is>
      </c>
      <c r="G110" t="n">
        <v>5.6</v>
      </c>
      <c r="H110" t="n">
        <v>0</v>
      </c>
      <c r="I110" t="n">
        <v>0</v>
      </c>
      <c r="J110" t="n">
        <v>0</v>
      </c>
      <c r="K110" t="n">
        <v>0</v>
      </c>
      <c r="L110" t="n">
        <v>0</v>
      </c>
      <c r="M110" t="n">
        <v>0</v>
      </c>
      <c r="N110" t="n">
        <v>0</v>
      </c>
      <c r="O110" t="n">
        <v>0</v>
      </c>
      <c r="P110" t="n">
        <v>0</v>
      </c>
      <c r="Q110" t="n">
        <v>0</v>
      </c>
      <c r="R110" s="2" t="inlineStr"/>
    </row>
    <row r="111" ht="15" customHeight="1">
      <c r="A111" t="inlineStr">
        <is>
          <t>A 16290-2022</t>
        </is>
      </c>
      <c r="B111" s="1" t="n">
        <v>44670</v>
      </c>
      <c r="C111" s="1" t="n">
        <v>45891</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14347-2021</t>
        </is>
      </c>
      <c r="B112" s="1" t="n">
        <v>44279.33400462963</v>
      </c>
      <c r="C112" s="1" t="n">
        <v>45891</v>
      </c>
      <c r="D112" t="inlineStr">
        <is>
          <t>KALMAR LÄN</t>
        </is>
      </c>
      <c r="E112" t="inlineStr">
        <is>
          <t>VIMMERBY</t>
        </is>
      </c>
      <c r="G112" t="n">
        <v>6.4</v>
      </c>
      <c r="H112" t="n">
        <v>0</v>
      </c>
      <c r="I112" t="n">
        <v>0</v>
      </c>
      <c r="J112" t="n">
        <v>0</v>
      </c>
      <c r="K112" t="n">
        <v>0</v>
      </c>
      <c r="L112" t="n">
        <v>0</v>
      </c>
      <c r="M112" t="n">
        <v>0</v>
      </c>
      <c r="N112" t="n">
        <v>0</v>
      </c>
      <c r="O112" t="n">
        <v>0</v>
      </c>
      <c r="P112" t="n">
        <v>0</v>
      </c>
      <c r="Q112" t="n">
        <v>0</v>
      </c>
      <c r="R112" s="2" t="inlineStr"/>
    </row>
    <row r="113" ht="15" customHeight="1">
      <c r="A113" t="inlineStr">
        <is>
          <t>A 30682-2021</t>
        </is>
      </c>
      <c r="B113" s="1" t="n">
        <v>44365</v>
      </c>
      <c r="C113" s="1" t="n">
        <v>45891</v>
      </c>
      <c r="D113" t="inlineStr">
        <is>
          <t>KALMAR LÄN</t>
        </is>
      </c>
      <c r="E113" t="inlineStr">
        <is>
          <t>VIMMERBY</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64707-2020</t>
        </is>
      </c>
      <c r="B114" s="1" t="n">
        <v>44169</v>
      </c>
      <c r="C114" s="1" t="n">
        <v>45891</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13492-2021</t>
        </is>
      </c>
      <c r="B115" s="1" t="n">
        <v>44273</v>
      </c>
      <c r="C115" s="1" t="n">
        <v>45891</v>
      </c>
      <c r="D115" t="inlineStr">
        <is>
          <t>KALMAR LÄN</t>
        </is>
      </c>
      <c r="E115" t="inlineStr">
        <is>
          <t>VIMMERBY</t>
        </is>
      </c>
      <c r="G115" t="n">
        <v>3.1</v>
      </c>
      <c r="H115" t="n">
        <v>0</v>
      </c>
      <c r="I115" t="n">
        <v>0</v>
      </c>
      <c r="J115" t="n">
        <v>0</v>
      </c>
      <c r="K115" t="n">
        <v>0</v>
      </c>
      <c r="L115" t="n">
        <v>0</v>
      </c>
      <c r="M115" t="n">
        <v>0</v>
      </c>
      <c r="N115" t="n">
        <v>0</v>
      </c>
      <c r="O115" t="n">
        <v>0</v>
      </c>
      <c r="P115" t="n">
        <v>0</v>
      </c>
      <c r="Q115" t="n">
        <v>0</v>
      </c>
      <c r="R115" s="2" t="inlineStr"/>
    </row>
    <row r="116" ht="15" customHeight="1">
      <c r="A116" t="inlineStr">
        <is>
          <t>A 17869-2021</t>
        </is>
      </c>
      <c r="B116" s="1" t="n">
        <v>44301.36048611111</v>
      </c>
      <c r="C116" s="1" t="n">
        <v>45891</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25049-2022</t>
        </is>
      </c>
      <c r="B117" s="1" t="n">
        <v>44729.28226851852</v>
      </c>
      <c r="C117" s="1" t="n">
        <v>45891</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12848-2021</t>
        </is>
      </c>
      <c r="B118" s="1" t="n">
        <v>44271.37226851852</v>
      </c>
      <c r="C118" s="1" t="n">
        <v>45891</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24723-2021</t>
        </is>
      </c>
      <c r="B119" s="1" t="n">
        <v>44340.54472222222</v>
      </c>
      <c r="C119" s="1" t="n">
        <v>45891</v>
      </c>
      <c r="D119" t="inlineStr">
        <is>
          <t>KALMAR LÄN</t>
        </is>
      </c>
      <c r="E119" t="inlineStr">
        <is>
          <t>VIMMERBY</t>
        </is>
      </c>
      <c r="G119" t="n">
        <v>3.3</v>
      </c>
      <c r="H119" t="n">
        <v>0</v>
      </c>
      <c r="I119" t="n">
        <v>0</v>
      </c>
      <c r="J119" t="n">
        <v>0</v>
      </c>
      <c r="K119" t="n">
        <v>0</v>
      </c>
      <c r="L119" t="n">
        <v>0</v>
      </c>
      <c r="M119" t="n">
        <v>0</v>
      </c>
      <c r="N119" t="n">
        <v>0</v>
      </c>
      <c r="O119" t="n">
        <v>0</v>
      </c>
      <c r="P119" t="n">
        <v>0</v>
      </c>
      <c r="Q119" t="n">
        <v>0</v>
      </c>
      <c r="R119" s="2" t="inlineStr"/>
    </row>
    <row r="120" ht="15" customHeight="1">
      <c r="A120" t="inlineStr">
        <is>
          <t>A 24752-2021</t>
        </is>
      </c>
      <c r="B120" s="1" t="n">
        <v>44340</v>
      </c>
      <c r="C120" s="1" t="n">
        <v>45891</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31533-2022</t>
        </is>
      </c>
      <c r="B121" s="1" t="n">
        <v>44774</v>
      </c>
      <c r="C121" s="1" t="n">
        <v>45891</v>
      </c>
      <c r="D121" t="inlineStr">
        <is>
          <t>KALMAR LÄN</t>
        </is>
      </c>
      <c r="E121" t="inlineStr">
        <is>
          <t>VIMMERBY</t>
        </is>
      </c>
      <c r="G121" t="n">
        <v>2.5</v>
      </c>
      <c r="H121" t="n">
        <v>0</v>
      </c>
      <c r="I121" t="n">
        <v>0</v>
      </c>
      <c r="J121" t="n">
        <v>0</v>
      </c>
      <c r="K121" t="n">
        <v>0</v>
      </c>
      <c r="L121" t="n">
        <v>0</v>
      </c>
      <c r="M121" t="n">
        <v>0</v>
      </c>
      <c r="N121" t="n">
        <v>0</v>
      </c>
      <c r="O121" t="n">
        <v>0</v>
      </c>
      <c r="P121" t="n">
        <v>0</v>
      </c>
      <c r="Q121" t="n">
        <v>0</v>
      </c>
      <c r="R121" s="2" t="inlineStr"/>
    </row>
    <row r="122" ht="15" customHeight="1">
      <c r="A122" t="inlineStr">
        <is>
          <t>A 25859-2022</t>
        </is>
      </c>
      <c r="B122" s="1" t="n">
        <v>44733</v>
      </c>
      <c r="C122" s="1" t="n">
        <v>45891</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25868-2022</t>
        </is>
      </c>
      <c r="B123" s="1" t="n">
        <v>44733</v>
      </c>
      <c r="C123" s="1" t="n">
        <v>45891</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60810-2020</t>
        </is>
      </c>
      <c r="B124" s="1" t="n">
        <v>44154</v>
      </c>
      <c r="C124" s="1" t="n">
        <v>45891</v>
      </c>
      <c r="D124" t="inlineStr">
        <is>
          <t>KALMAR LÄN</t>
        </is>
      </c>
      <c r="E124" t="inlineStr">
        <is>
          <t>VIMMERBY</t>
        </is>
      </c>
      <c r="G124" t="n">
        <v>0.8</v>
      </c>
      <c r="H124" t="n">
        <v>0</v>
      </c>
      <c r="I124" t="n">
        <v>0</v>
      </c>
      <c r="J124" t="n">
        <v>0</v>
      </c>
      <c r="K124" t="n">
        <v>0</v>
      </c>
      <c r="L124" t="n">
        <v>0</v>
      </c>
      <c r="M124" t="n">
        <v>0</v>
      </c>
      <c r="N124" t="n">
        <v>0</v>
      </c>
      <c r="O124" t="n">
        <v>0</v>
      </c>
      <c r="P124" t="n">
        <v>0</v>
      </c>
      <c r="Q124" t="n">
        <v>0</v>
      </c>
      <c r="R124" s="2" t="inlineStr"/>
    </row>
    <row r="125" ht="15" customHeight="1">
      <c r="A125" t="inlineStr">
        <is>
          <t>A 32386-2021</t>
        </is>
      </c>
      <c r="B125" s="1" t="n">
        <v>44371.62743055556</v>
      </c>
      <c r="C125" s="1" t="n">
        <v>45891</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35633-2021</t>
        </is>
      </c>
      <c r="B126" s="1" t="n">
        <v>44386.40783564815</v>
      </c>
      <c r="C126" s="1" t="n">
        <v>45891</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56343-2021</t>
        </is>
      </c>
      <c r="B127" s="1" t="n">
        <v>44480</v>
      </c>
      <c r="C127" s="1" t="n">
        <v>45891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8415-2021</t>
        </is>
      </c>
      <c r="B128" s="1" t="n">
        <v>44245</v>
      </c>
      <c r="C128" s="1" t="n">
        <v>45891</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40818-2020</t>
        </is>
      </c>
      <c r="B129" s="1" t="n">
        <v>44070.40998842593</v>
      </c>
      <c r="C129" s="1" t="n">
        <v>45891</v>
      </c>
      <c r="D129" t="inlineStr">
        <is>
          <t>KALMAR LÄN</t>
        </is>
      </c>
      <c r="E129" t="inlineStr">
        <is>
          <t>VIMMERBY</t>
        </is>
      </c>
      <c r="G129" t="n">
        <v>2.2</v>
      </c>
      <c r="H129" t="n">
        <v>0</v>
      </c>
      <c r="I129" t="n">
        <v>0</v>
      </c>
      <c r="J129" t="n">
        <v>0</v>
      </c>
      <c r="K129" t="n">
        <v>0</v>
      </c>
      <c r="L129" t="n">
        <v>0</v>
      </c>
      <c r="M129" t="n">
        <v>0</v>
      </c>
      <c r="N129" t="n">
        <v>0</v>
      </c>
      <c r="O129" t="n">
        <v>0</v>
      </c>
      <c r="P129" t="n">
        <v>0</v>
      </c>
      <c r="Q129" t="n">
        <v>0</v>
      </c>
      <c r="R129" s="2" t="inlineStr"/>
    </row>
    <row r="130" ht="15" customHeight="1">
      <c r="A130" t="inlineStr">
        <is>
          <t>A 24369-2021</t>
        </is>
      </c>
      <c r="B130" s="1" t="n">
        <v>44337</v>
      </c>
      <c r="C130" s="1" t="n">
        <v>45891</v>
      </c>
      <c r="D130" t="inlineStr">
        <is>
          <t>KALMAR LÄN</t>
        </is>
      </c>
      <c r="E130" t="inlineStr">
        <is>
          <t>VIMMERBY</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48949-2020</t>
        </is>
      </c>
      <c r="B131" s="1" t="n">
        <v>44102</v>
      </c>
      <c r="C131" s="1" t="n">
        <v>45891</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51972-2021</t>
        </is>
      </c>
      <c r="B132" s="1" t="n">
        <v>44463.29439814815</v>
      </c>
      <c r="C132" s="1" t="n">
        <v>45891</v>
      </c>
      <c r="D132" t="inlineStr">
        <is>
          <t>KALMAR LÄN</t>
        </is>
      </c>
      <c r="E132" t="inlineStr">
        <is>
          <t>VIMMERBY</t>
        </is>
      </c>
      <c r="G132" t="n">
        <v>4.5</v>
      </c>
      <c r="H132" t="n">
        <v>0</v>
      </c>
      <c r="I132" t="n">
        <v>0</v>
      </c>
      <c r="J132" t="n">
        <v>0</v>
      </c>
      <c r="K132" t="n">
        <v>0</v>
      </c>
      <c r="L132" t="n">
        <v>0</v>
      </c>
      <c r="M132" t="n">
        <v>0</v>
      </c>
      <c r="N132" t="n">
        <v>0</v>
      </c>
      <c r="O132" t="n">
        <v>0</v>
      </c>
      <c r="P132" t="n">
        <v>0</v>
      </c>
      <c r="Q132" t="n">
        <v>0</v>
      </c>
      <c r="R132" s="2" t="inlineStr"/>
    </row>
    <row r="133" ht="15" customHeight="1">
      <c r="A133" t="inlineStr">
        <is>
          <t>A 4042-2022</t>
        </is>
      </c>
      <c r="B133" s="1" t="n">
        <v>44588</v>
      </c>
      <c r="C133" s="1" t="n">
        <v>45891</v>
      </c>
      <c r="D133" t="inlineStr">
        <is>
          <t>KALMAR LÄN</t>
        </is>
      </c>
      <c r="E133" t="inlineStr">
        <is>
          <t>VIMMERBY</t>
        </is>
      </c>
      <c r="G133" t="n">
        <v>4.7</v>
      </c>
      <c r="H133" t="n">
        <v>0</v>
      </c>
      <c r="I133" t="n">
        <v>0</v>
      </c>
      <c r="J133" t="n">
        <v>0</v>
      </c>
      <c r="K133" t="n">
        <v>0</v>
      </c>
      <c r="L133" t="n">
        <v>0</v>
      </c>
      <c r="M133" t="n">
        <v>0</v>
      </c>
      <c r="N133" t="n">
        <v>0</v>
      </c>
      <c r="O133" t="n">
        <v>0</v>
      </c>
      <c r="P133" t="n">
        <v>0</v>
      </c>
      <c r="Q133" t="n">
        <v>0</v>
      </c>
      <c r="R133" s="2" t="inlineStr"/>
    </row>
    <row r="134" ht="15" customHeight="1">
      <c r="A134" t="inlineStr">
        <is>
          <t>A 33690-2022</t>
        </is>
      </c>
      <c r="B134" s="1" t="n">
        <v>44789</v>
      </c>
      <c r="C134" s="1" t="n">
        <v>45891</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52073-2020</t>
        </is>
      </c>
      <c r="B135" s="1" t="n">
        <v>44117</v>
      </c>
      <c r="C135" s="1" t="n">
        <v>45891</v>
      </c>
      <c r="D135" t="inlineStr">
        <is>
          <t>KALMAR LÄN</t>
        </is>
      </c>
      <c r="E135" t="inlineStr">
        <is>
          <t>VIMMERBY</t>
        </is>
      </c>
      <c r="G135" t="n">
        <v>2.3</v>
      </c>
      <c r="H135" t="n">
        <v>0</v>
      </c>
      <c r="I135" t="n">
        <v>0</v>
      </c>
      <c r="J135" t="n">
        <v>0</v>
      </c>
      <c r="K135" t="n">
        <v>0</v>
      </c>
      <c r="L135" t="n">
        <v>0</v>
      </c>
      <c r="M135" t="n">
        <v>0</v>
      </c>
      <c r="N135" t="n">
        <v>0</v>
      </c>
      <c r="O135" t="n">
        <v>0</v>
      </c>
      <c r="P135" t="n">
        <v>0</v>
      </c>
      <c r="Q135" t="n">
        <v>0</v>
      </c>
      <c r="R135" s="2" t="inlineStr"/>
    </row>
    <row r="136" ht="15" customHeight="1">
      <c r="A136" t="inlineStr">
        <is>
          <t>A 35198-2021</t>
        </is>
      </c>
      <c r="B136" s="1" t="n">
        <v>44377</v>
      </c>
      <c r="C136" s="1" t="n">
        <v>45891</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34036-2021</t>
        </is>
      </c>
      <c r="B137" s="1" t="n">
        <v>44379</v>
      </c>
      <c r="C137" s="1" t="n">
        <v>45891</v>
      </c>
      <c r="D137" t="inlineStr">
        <is>
          <t>KALMAR LÄN</t>
        </is>
      </c>
      <c r="E137" t="inlineStr">
        <is>
          <t>VIMMERBY</t>
        </is>
      </c>
      <c r="F137" t="inlineStr">
        <is>
          <t>Sveaskog</t>
        </is>
      </c>
      <c r="G137" t="n">
        <v>7</v>
      </c>
      <c r="H137" t="n">
        <v>0</v>
      </c>
      <c r="I137" t="n">
        <v>0</v>
      </c>
      <c r="J137" t="n">
        <v>0</v>
      </c>
      <c r="K137" t="n">
        <v>0</v>
      </c>
      <c r="L137" t="n">
        <v>0</v>
      </c>
      <c r="M137" t="n">
        <v>0</v>
      </c>
      <c r="N137" t="n">
        <v>0</v>
      </c>
      <c r="O137" t="n">
        <v>0</v>
      </c>
      <c r="P137" t="n">
        <v>0</v>
      </c>
      <c r="Q137" t="n">
        <v>0</v>
      </c>
      <c r="R137" s="2" t="inlineStr"/>
    </row>
    <row r="138" ht="15" customHeight="1">
      <c r="A138" t="inlineStr">
        <is>
          <t>A 63244-2021</t>
        </is>
      </c>
      <c r="B138" s="1" t="n">
        <v>44508</v>
      </c>
      <c r="C138" s="1" t="n">
        <v>45891</v>
      </c>
      <c r="D138" t="inlineStr">
        <is>
          <t>KALMAR LÄN</t>
        </is>
      </c>
      <c r="E138" t="inlineStr">
        <is>
          <t>VIMMERBY</t>
        </is>
      </c>
      <c r="F138" t="inlineStr">
        <is>
          <t>Övriga statliga verk och myndigheter</t>
        </is>
      </c>
      <c r="G138" t="n">
        <v>0.6</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45891</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45891</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45891</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7167-2022</t>
        </is>
      </c>
      <c r="B142" s="1" t="n">
        <v>44604</v>
      </c>
      <c r="C142" s="1" t="n">
        <v>45891</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46964-2022</t>
        </is>
      </c>
      <c r="B143" s="1" t="n">
        <v>44851.95016203704</v>
      </c>
      <c r="C143" s="1" t="n">
        <v>45891</v>
      </c>
      <c r="D143" t="inlineStr">
        <is>
          <t>KALMAR LÄN</t>
        </is>
      </c>
      <c r="E143" t="inlineStr">
        <is>
          <t>VIMMERBY</t>
        </is>
      </c>
      <c r="G143" t="n">
        <v>0.2</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45891</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46085-2020</t>
        </is>
      </c>
      <c r="B145" s="1" t="n">
        <v>44091</v>
      </c>
      <c r="C145" s="1" t="n">
        <v>45891</v>
      </c>
      <c r="D145" t="inlineStr">
        <is>
          <t>KALMAR LÄN</t>
        </is>
      </c>
      <c r="E145" t="inlineStr">
        <is>
          <t>VIMMERBY</t>
        </is>
      </c>
      <c r="G145" t="n">
        <v>6.1</v>
      </c>
      <c r="H145" t="n">
        <v>0</v>
      </c>
      <c r="I145" t="n">
        <v>0</v>
      </c>
      <c r="J145" t="n">
        <v>0</v>
      </c>
      <c r="K145" t="n">
        <v>0</v>
      </c>
      <c r="L145" t="n">
        <v>0</v>
      </c>
      <c r="M145" t="n">
        <v>0</v>
      </c>
      <c r="N145" t="n">
        <v>0</v>
      </c>
      <c r="O145" t="n">
        <v>0</v>
      </c>
      <c r="P145" t="n">
        <v>0</v>
      </c>
      <c r="Q145" t="n">
        <v>0</v>
      </c>
      <c r="R145" s="2" t="inlineStr"/>
    </row>
    <row r="146" ht="15" customHeight="1">
      <c r="A146" t="inlineStr">
        <is>
          <t>A 11814-2022</t>
        </is>
      </c>
      <c r="B146" s="1" t="n">
        <v>44634.69703703704</v>
      </c>
      <c r="C146" s="1" t="n">
        <v>45891</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13180-2022</t>
        </is>
      </c>
      <c r="B147" s="1" t="n">
        <v>44644</v>
      </c>
      <c r="C147" s="1" t="n">
        <v>45891</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56385-2021</t>
        </is>
      </c>
      <c r="B148" s="1" t="n">
        <v>44480</v>
      </c>
      <c r="C148" s="1" t="n">
        <v>45891</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31053-2022</t>
        </is>
      </c>
      <c r="B149" s="1" t="n">
        <v>44769.45422453704</v>
      </c>
      <c r="C149" s="1" t="n">
        <v>45891</v>
      </c>
      <c r="D149" t="inlineStr">
        <is>
          <t>KALMAR LÄN</t>
        </is>
      </c>
      <c r="E149" t="inlineStr">
        <is>
          <t>VIMMERBY</t>
        </is>
      </c>
      <c r="G149" t="n">
        <v>1.9</v>
      </c>
      <c r="H149" t="n">
        <v>0</v>
      </c>
      <c r="I149" t="n">
        <v>0</v>
      </c>
      <c r="J149" t="n">
        <v>0</v>
      </c>
      <c r="K149" t="n">
        <v>0</v>
      </c>
      <c r="L149" t="n">
        <v>0</v>
      </c>
      <c r="M149" t="n">
        <v>0</v>
      </c>
      <c r="N149" t="n">
        <v>0</v>
      </c>
      <c r="O149" t="n">
        <v>0</v>
      </c>
      <c r="P149" t="n">
        <v>0</v>
      </c>
      <c r="Q149" t="n">
        <v>0</v>
      </c>
      <c r="R149" s="2" t="inlineStr"/>
    </row>
    <row r="150" ht="15" customHeight="1">
      <c r="A150" t="inlineStr">
        <is>
          <t>A 24738-2021</t>
        </is>
      </c>
      <c r="B150" s="1" t="n">
        <v>44340.58002314815</v>
      </c>
      <c r="C150" s="1" t="n">
        <v>45891</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44605-2020</t>
        </is>
      </c>
      <c r="B151" s="1" t="n">
        <v>44085</v>
      </c>
      <c r="C151" s="1" t="n">
        <v>45891</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57948-2020</t>
        </is>
      </c>
      <c r="B152" s="1" t="n">
        <v>44142</v>
      </c>
      <c r="C152" s="1" t="n">
        <v>45891</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35001-2021</t>
        </is>
      </c>
      <c r="B153" s="1" t="n">
        <v>44383</v>
      </c>
      <c r="C153" s="1" t="n">
        <v>45891</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46461-2020</t>
        </is>
      </c>
      <c r="B154" s="1" t="n">
        <v>44092</v>
      </c>
      <c r="C154" s="1" t="n">
        <v>45891</v>
      </c>
      <c r="D154" t="inlineStr">
        <is>
          <t>KALMAR LÄN</t>
        </is>
      </c>
      <c r="E154" t="inlineStr">
        <is>
          <t>VIMMERBY</t>
        </is>
      </c>
      <c r="G154" t="n">
        <v>2.4</v>
      </c>
      <c r="H154" t="n">
        <v>0</v>
      </c>
      <c r="I154" t="n">
        <v>0</v>
      </c>
      <c r="J154" t="n">
        <v>0</v>
      </c>
      <c r="K154" t="n">
        <v>0</v>
      </c>
      <c r="L154" t="n">
        <v>0</v>
      </c>
      <c r="M154" t="n">
        <v>0</v>
      </c>
      <c r="N154" t="n">
        <v>0</v>
      </c>
      <c r="O154" t="n">
        <v>0</v>
      </c>
      <c r="P154" t="n">
        <v>0</v>
      </c>
      <c r="Q154" t="n">
        <v>0</v>
      </c>
      <c r="R154" s="2" t="inlineStr"/>
    </row>
    <row r="155" ht="15" customHeight="1">
      <c r="A155" t="inlineStr">
        <is>
          <t>A 8454-2022</t>
        </is>
      </c>
      <c r="B155" s="1" t="n">
        <v>44612.86762731482</v>
      </c>
      <c r="C155" s="1" t="n">
        <v>45891</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45891</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18276-2021</t>
        </is>
      </c>
      <c r="B157" s="1" t="n">
        <v>44305.40046296296</v>
      </c>
      <c r="C157" s="1" t="n">
        <v>45891</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40077-2021</t>
        </is>
      </c>
      <c r="B158" s="1" t="n">
        <v>44418</v>
      </c>
      <c r="C158" s="1" t="n">
        <v>45891</v>
      </c>
      <c r="D158" t="inlineStr">
        <is>
          <t>KALMAR LÄN</t>
        </is>
      </c>
      <c r="E158" t="inlineStr">
        <is>
          <t>VIMMERBY</t>
        </is>
      </c>
      <c r="G158" t="n">
        <v>2.9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45891</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47769-2022</t>
        </is>
      </c>
      <c r="B160" s="1" t="n">
        <v>44854</v>
      </c>
      <c r="C160" s="1" t="n">
        <v>45891</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65887-2021</t>
        </is>
      </c>
      <c r="B161" s="1" t="n">
        <v>44517</v>
      </c>
      <c r="C161" s="1" t="n">
        <v>45891</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42850-2022</t>
        </is>
      </c>
      <c r="B162" s="1" t="n">
        <v>44832.67608796297</v>
      </c>
      <c r="C162" s="1" t="n">
        <v>45891</v>
      </c>
      <c r="D162" t="inlineStr">
        <is>
          <t>KALMAR LÄN</t>
        </is>
      </c>
      <c r="E162" t="inlineStr">
        <is>
          <t>VIMMERBY</t>
        </is>
      </c>
      <c r="G162" t="n">
        <v>5.9</v>
      </c>
      <c r="H162" t="n">
        <v>0</v>
      </c>
      <c r="I162" t="n">
        <v>0</v>
      </c>
      <c r="J162" t="n">
        <v>0</v>
      </c>
      <c r="K162" t="n">
        <v>0</v>
      </c>
      <c r="L162" t="n">
        <v>0</v>
      </c>
      <c r="M162" t="n">
        <v>0</v>
      </c>
      <c r="N162" t="n">
        <v>0</v>
      </c>
      <c r="O162" t="n">
        <v>0</v>
      </c>
      <c r="P162" t="n">
        <v>0</v>
      </c>
      <c r="Q162" t="n">
        <v>0</v>
      </c>
      <c r="R162" s="2" t="inlineStr"/>
    </row>
    <row r="163" ht="15" customHeight="1">
      <c r="A163" t="inlineStr">
        <is>
          <t>A 39959-2022</t>
        </is>
      </c>
      <c r="B163" s="1" t="n">
        <v>44819</v>
      </c>
      <c r="C163" s="1" t="n">
        <v>45891</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41056-2022</t>
        </is>
      </c>
      <c r="B164" s="1" t="n">
        <v>44824</v>
      </c>
      <c r="C164" s="1" t="n">
        <v>45891</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31660-2021</t>
        </is>
      </c>
      <c r="B165" s="1" t="n">
        <v>44369</v>
      </c>
      <c r="C165" s="1" t="n">
        <v>45891</v>
      </c>
      <c r="D165" t="inlineStr">
        <is>
          <t>KALMAR LÄN</t>
        </is>
      </c>
      <c r="E165" t="inlineStr">
        <is>
          <t>VIMMERBY</t>
        </is>
      </c>
      <c r="G165" t="n">
        <v>4.2</v>
      </c>
      <c r="H165" t="n">
        <v>0</v>
      </c>
      <c r="I165" t="n">
        <v>0</v>
      </c>
      <c r="J165" t="n">
        <v>0</v>
      </c>
      <c r="K165" t="n">
        <v>0</v>
      </c>
      <c r="L165" t="n">
        <v>0</v>
      </c>
      <c r="M165" t="n">
        <v>0</v>
      </c>
      <c r="N165" t="n">
        <v>0</v>
      </c>
      <c r="O165" t="n">
        <v>0</v>
      </c>
      <c r="P165" t="n">
        <v>0</v>
      </c>
      <c r="Q165" t="n">
        <v>0</v>
      </c>
      <c r="R165" s="2" t="inlineStr"/>
    </row>
    <row r="166" ht="15" customHeight="1">
      <c r="A166" t="inlineStr">
        <is>
          <t>A 27455-2022</t>
        </is>
      </c>
      <c r="B166" s="1" t="n">
        <v>44742</v>
      </c>
      <c r="C166" s="1" t="n">
        <v>45891</v>
      </c>
      <c r="D166" t="inlineStr">
        <is>
          <t>KALMAR LÄN</t>
        </is>
      </c>
      <c r="E166" t="inlineStr">
        <is>
          <t>VIMMERBY</t>
        </is>
      </c>
      <c r="G166" t="n">
        <v>1.6</v>
      </c>
      <c r="H166" t="n">
        <v>0</v>
      </c>
      <c r="I166" t="n">
        <v>0</v>
      </c>
      <c r="J166" t="n">
        <v>0</v>
      </c>
      <c r="K166" t="n">
        <v>0</v>
      </c>
      <c r="L166" t="n">
        <v>0</v>
      </c>
      <c r="M166" t="n">
        <v>0</v>
      </c>
      <c r="N166" t="n">
        <v>0</v>
      </c>
      <c r="O166" t="n">
        <v>0</v>
      </c>
      <c r="P166" t="n">
        <v>0</v>
      </c>
      <c r="Q166" t="n">
        <v>0</v>
      </c>
      <c r="R166" s="2" t="inlineStr"/>
    </row>
    <row r="167" ht="15" customHeight="1">
      <c r="A167" t="inlineStr">
        <is>
          <t>A 10086-2022</t>
        </is>
      </c>
      <c r="B167" s="1" t="n">
        <v>44621</v>
      </c>
      <c r="C167" s="1" t="n">
        <v>45891</v>
      </c>
      <c r="D167" t="inlineStr">
        <is>
          <t>KALMAR LÄN</t>
        </is>
      </c>
      <c r="E167" t="inlineStr">
        <is>
          <t>VIMMERBY</t>
        </is>
      </c>
      <c r="G167" t="n">
        <v>1.2</v>
      </c>
      <c r="H167" t="n">
        <v>0</v>
      </c>
      <c r="I167" t="n">
        <v>0</v>
      </c>
      <c r="J167" t="n">
        <v>0</v>
      </c>
      <c r="K167" t="n">
        <v>0</v>
      </c>
      <c r="L167" t="n">
        <v>0</v>
      </c>
      <c r="M167" t="n">
        <v>0</v>
      </c>
      <c r="N167" t="n">
        <v>0</v>
      </c>
      <c r="O167" t="n">
        <v>0</v>
      </c>
      <c r="P167" t="n">
        <v>0</v>
      </c>
      <c r="Q167" t="n">
        <v>0</v>
      </c>
      <c r="R167" s="2" t="inlineStr"/>
    </row>
    <row r="168" ht="15" customHeight="1">
      <c r="A168" t="inlineStr">
        <is>
          <t>A 65564-2020</t>
        </is>
      </c>
      <c r="B168" s="1" t="n">
        <v>44172</v>
      </c>
      <c r="C168" s="1" t="n">
        <v>45891</v>
      </c>
      <c r="D168" t="inlineStr">
        <is>
          <t>KALMAR LÄN</t>
        </is>
      </c>
      <c r="E168" t="inlineStr">
        <is>
          <t>VIMMERBY</t>
        </is>
      </c>
      <c r="G168" t="n">
        <v>4.1</v>
      </c>
      <c r="H168" t="n">
        <v>0</v>
      </c>
      <c r="I168" t="n">
        <v>0</v>
      </c>
      <c r="J168" t="n">
        <v>0</v>
      </c>
      <c r="K168" t="n">
        <v>0</v>
      </c>
      <c r="L168" t="n">
        <v>0</v>
      </c>
      <c r="M168" t="n">
        <v>0</v>
      </c>
      <c r="N168" t="n">
        <v>0</v>
      </c>
      <c r="O168" t="n">
        <v>0</v>
      </c>
      <c r="P168" t="n">
        <v>0</v>
      </c>
      <c r="Q168" t="n">
        <v>0</v>
      </c>
      <c r="R168" s="2" t="inlineStr"/>
    </row>
    <row r="169" ht="15" customHeight="1">
      <c r="A169" t="inlineStr">
        <is>
          <t>A 48377-2021</t>
        </is>
      </c>
      <c r="B169" s="1" t="n">
        <v>44451.8375</v>
      </c>
      <c r="C169" s="1" t="n">
        <v>45891</v>
      </c>
      <c r="D169" t="inlineStr">
        <is>
          <t>KALMAR LÄN</t>
        </is>
      </c>
      <c r="E169" t="inlineStr">
        <is>
          <t>VIMMERBY</t>
        </is>
      </c>
      <c r="G169" t="n">
        <v>0.4</v>
      </c>
      <c r="H169" t="n">
        <v>0</v>
      </c>
      <c r="I169" t="n">
        <v>0</v>
      </c>
      <c r="J169" t="n">
        <v>0</v>
      </c>
      <c r="K169" t="n">
        <v>0</v>
      </c>
      <c r="L169" t="n">
        <v>0</v>
      </c>
      <c r="M169" t="n">
        <v>0</v>
      </c>
      <c r="N169" t="n">
        <v>0</v>
      </c>
      <c r="O169" t="n">
        <v>0</v>
      </c>
      <c r="P169" t="n">
        <v>0</v>
      </c>
      <c r="Q169" t="n">
        <v>0</v>
      </c>
      <c r="R169" s="2" t="inlineStr"/>
    </row>
    <row r="170" ht="15" customHeight="1">
      <c r="A170" t="inlineStr">
        <is>
          <t>A 40472-2022</t>
        </is>
      </c>
      <c r="B170" s="1" t="n">
        <v>44823</v>
      </c>
      <c r="C170" s="1" t="n">
        <v>45891</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12661-2021</t>
        </is>
      </c>
      <c r="B171" s="1" t="n">
        <v>44270</v>
      </c>
      <c r="C171" s="1" t="n">
        <v>45891</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24999-2021</t>
        </is>
      </c>
      <c r="B172" s="1" t="n">
        <v>44341</v>
      </c>
      <c r="C172" s="1" t="n">
        <v>45891</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40889-2020</t>
        </is>
      </c>
      <c r="B173" s="1" t="n">
        <v>44070</v>
      </c>
      <c r="C173" s="1" t="n">
        <v>45891</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7917-2022</t>
        </is>
      </c>
      <c r="B174" s="1" t="n">
        <v>44608</v>
      </c>
      <c r="C174" s="1" t="n">
        <v>45891</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47208-2021</t>
        </is>
      </c>
      <c r="B175" s="1" t="n">
        <v>44447.34237268518</v>
      </c>
      <c r="C175" s="1" t="n">
        <v>45891</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53145-2022</t>
        </is>
      </c>
      <c r="B176" s="1" t="n">
        <v>44876.48346064815</v>
      </c>
      <c r="C176" s="1" t="n">
        <v>45891</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25738-2022</t>
        </is>
      </c>
      <c r="B177" s="1" t="n">
        <v>44733.43092592592</v>
      </c>
      <c r="C177" s="1" t="n">
        <v>45891</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35316-2021</t>
        </is>
      </c>
      <c r="B178" s="1" t="n">
        <v>44384</v>
      </c>
      <c r="C178" s="1" t="n">
        <v>45891</v>
      </c>
      <c r="D178" t="inlineStr">
        <is>
          <t>KALMAR LÄN</t>
        </is>
      </c>
      <c r="E178" t="inlineStr">
        <is>
          <t>VIMMERBY</t>
        </is>
      </c>
      <c r="G178" t="n">
        <v>3.5</v>
      </c>
      <c r="H178" t="n">
        <v>0</v>
      </c>
      <c r="I178" t="n">
        <v>0</v>
      </c>
      <c r="J178" t="n">
        <v>0</v>
      </c>
      <c r="K178" t="n">
        <v>0</v>
      </c>
      <c r="L178" t="n">
        <v>0</v>
      </c>
      <c r="M178" t="n">
        <v>0</v>
      </c>
      <c r="N178" t="n">
        <v>0</v>
      </c>
      <c r="O178" t="n">
        <v>0</v>
      </c>
      <c r="P178" t="n">
        <v>0</v>
      </c>
      <c r="Q178" t="n">
        <v>0</v>
      </c>
      <c r="R178" s="2" t="inlineStr"/>
    </row>
    <row r="179" ht="15" customHeight="1">
      <c r="A179" t="inlineStr">
        <is>
          <t>A 33831-2022</t>
        </is>
      </c>
      <c r="B179" s="1" t="n">
        <v>44790.48503472222</v>
      </c>
      <c r="C179" s="1" t="n">
        <v>45891</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3330-2021</t>
        </is>
      </c>
      <c r="B180" s="1" t="n">
        <v>44217.79856481482</v>
      </c>
      <c r="C180" s="1" t="n">
        <v>45891</v>
      </c>
      <c r="D180" t="inlineStr">
        <is>
          <t>KALMAR LÄN</t>
        </is>
      </c>
      <c r="E180" t="inlineStr">
        <is>
          <t>VIMMERBY</t>
        </is>
      </c>
      <c r="G180" t="n">
        <v>11.1</v>
      </c>
      <c r="H180" t="n">
        <v>0</v>
      </c>
      <c r="I180" t="n">
        <v>0</v>
      </c>
      <c r="J180" t="n">
        <v>0</v>
      </c>
      <c r="K180" t="n">
        <v>0</v>
      </c>
      <c r="L180" t="n">
        <v>0</v>
      </c>
      <c r="M180" t="n">
        <v>0</v>
      </c>
      <c r="N180" t="n">
        <v>0</v>
      </c>
      <c r="O180" t="n">
        <v>0</v>
      </c>
      <c r="P180" t="n">
        <v>0</v>
      </c>
      <c r="Q180" t="n">
        <v>0</v>
      </c>
      <c r="R180" s="2" t="inlineStr"/>
    </row>
    <row r="181" ht="15" customHeight="1">
      <c r="A181" t="inlineStr">
        <is>
          <t>A 47708-2022</t>
        </is>
      </c>
      <c r="B181" s="1" t="n">
        <v>44854.59157407407</v>
      </c>
      <c r="C181" s="1" t="n">
        <v>45891</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16705-2021</t>
        </is>
      </c>
      <c r="B182" s="1" t="n">
        <v>44294</v>
      </c>
      <c r="C182" s="1" t="n">
        <v>45891</v>
      </c>
      <c r="D182" t="inlineStr">
        <is>
          <t>KALMAR LÄN</t>
        </is>
      </c>
      <c r="E182" t="inlineStr">
        <is>
          <t>VIMMERBY</t>
        </is>
      </c>
      <c r="G182" t="n">
        <v>2.6</v>
      </c>
      <c r="H182" t="n">
        <v>0</v>
      </c>
      <c r="I182" t="n">
        <v>0</v>
      </c>
      <c r="J182" t="n">
        <v>0</v>
      </c>
      <c r="K182" t="n">
        <v>0</v>
      </c>
      <c r="L182" t="n">
        <v>0</v>
      </c>
      <c r="M182" t="n">
        <v>0</v>
      </c>
      <c r="N182" t="n">
        <v>0</v>
      </c>
      <c r="O182" t="n">
        <v>0</v>
      </c>
      <c r="P182" t="n">
        <v>0</v>
      </c>
      <c r="Q182" t="n">
        <v>0</v>
      </c>
      <c r="R182" s="2" t="inlineStr"/>
    </row>
    <row r="183" ht="15" customHeight="1">
      <c r="A183" t="inlineStr">
        <is>
          <t>A 51977-2020</t>
        </is>
      </c>
      <c r="B183" s="1" t="n">
        <v>44116</v>
      </c>
      <c r="C183" s="1" t="n">
        <v>45891</v>
      </c>
      <c r="D183" t="inlineStr">
        <is>
          <t>KALMAR LÄN</t>
        </is>
      </c>
      <c r="E183" t="inlineStr">
        <is>
          <t>VIMMERBY</t>
        </is>
      </c>
      <c r="G183" t="n">
        <v>1.5</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45891</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15191-2021</t>
        </is>
      </c>
      <c r="B185" s="1" t="n">
        <v>44284.42348379629</v>
      </c>
      <c r="C185" s="1" t="n">
        <v>45891</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45050-2020</t>
        </is>
      </c>
      <c r="B186" s="1" t="n">
        <v>44088</v>
      </c>
      <c r="C186" s="1" t="n">
        <v>45891</v>
      </c>
      <c r="D186" t="inlineStr">
        <is>
          <t>KALMAR LÄN</t>
        </is>
      </c>
      <c r="E186" t="inlineStr">
        <is>
          <t>VIMMERBY</t>
        </is>
      </c>
      <c r="G186" t="n">
        <v>1.7</v>
      </c>
      <c r="H186" t="n">
        <v>0</v>
      </c>
      <c r="I186" t="n">
        <v>0</v>
      </c>
      <c r="J186" t="n">
        <v>0</v>
      </c>
      <c r="K186" t="n">
        <v>0</v>
      </c>
      <c r="L186" t="n">
        <v>0</v>
      </c>
      <c r="M186" t="n">
        <v>0</v>
      </c>
      <c r="N186" t="n">
        <v>0</v>
      </c>
      <c r="O186" t="n">
        <v>0</v>
      </c>
      <c r="P186" t="n">
        <v>0</v>
      </c>
      <c r="Q186" t="n">
        <v>0</v>
      </c>
      <c r="R186" s="2" t="inlineStr"/>
    </row>
    <row r="187" ht="15" customHeight="1">
      <c r="A187" t="inlineStr">
        <is>
          <t>A 9918-2022</t>
        </is>
      </c>
      <c r="B187" s="1" t="n">
        <v>44620</v>
      </c>
      <c r="C187" s="1" t="n">
        <v>45891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45054-2020</t>
        </is>
      </c>
      <c r="B188" s="1" t="n">
        <v>44088</v>
      </c>
      <c r="C188" s="1" t="n">
        <v>45891</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40971-2021</t>
        </is>
      </c>
      <c r="B189" s="1" t="n">
        <v>44421</v>
      </c>
      <c r="C189" s="1" t="n">
        <v>45891</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68744-2020</t>
        </is>
      </c>
      <c r="B190" s="1" t="n">
        <v>44186</v>
      </c>
      <c r="C190" s="1" t="n">
        <v>45891</v>
      </c>
      <c r="D190" t="inlineStr">
        <is>
          <t>KALMAR LÄN</t>
        </is>
      </c>
      <c r="E190" t="inlineStr">
        <is>
          <t>VIMMERBY</t>
        </is>
      </c>
      <c r="G190" t="n">
        <v>2.5</v>
      </c>
      <c r="H190" t="n">
        <v>0</v>
      </c>
      <c r="I190" t="n">
        <v>0</v>
      </c>
      <c r="J190" t="n">
        <v>0</v>
      </c>
      <c r="K190" t="n">
        <v>0</v>
      </c>
      <c r="L190" t="n">
        <v>0</v>
      </c>
      <c r="M190" t="n">
        <v>0</v>
      </c>
      <c r="N190" t="n">
        <v>0</v>
      </c>
      <c r="O190" t="n">
        <v>0</v>
      </c>
      <c r="P190" t="n">
        <v>0</v>
      </c>
      <c r="Q190" t="n">
        <v>0</v>
      </c>
      <c r="R190" s="2" t="inlineStr"/>
    </row>
    <row r="191" ht="15" customHeight="1">
      <c r="A191" t="inlineStr">
        <is>
          <t>A 13457-2021</t>
        </is>
      </c>
      <c r="B191" s="1" t="n">
        <v>44273</v>
      </c>
      <c r="C191" s="1" t="n">
        <v>45891</v>
      </c>
      <c r="D191" t="inlineStr">
        <is>
          <t>KALMAR LÄN</t>
        </is>
      </c>
      <c r="E191" t="inlineStr">
        <is>
          <t>VIMMERBY</t>
        </is>
      </c>
      <c r="G191" t="n">
        <v>1.4</v>
      </c>
      <c r="H191" t="n">
        <v>0</v>
      </c>
      <c r="I191" t="n">
        <v>0</v>
      </c>
      <c r="J191" t="n">
        <v>0</v>
      </c>
      <c r="K191" t="n">
        <v>0</v>
      </c>
      <c r="L191" t="n">
        <v>0</v>
      </c>
      <c r="M191" t="n">
        <v>0</v>
      </c>
      <c r="N191" t="n">
        <v>0</v>
      </c>
      <c r="O191" t="n">
        <v>0</v>
      </c>
      <c r="P191" t="n">
        <v>0</v>
      </c>
      <c r="Q191" t="n">
        <v>0</v>
      </c>
      <c r="R191" s="2" t="inlineStr"/>
    </row>
    <row r="192" ht="15" customHeight="1">
      <c r="A192" t="inlineStr">
        <is>
          <t>A 14278-2021</t>
        </is>
      </c>
      <c r="B192" s="1" t="n">
        <v>44278.63479166666</v>
      </c>
      <c r="C192" s="1" t="n">
        <v>45891</v>
      </c>
      <c r="D192" t="inlineStr">
        <is>
          <t>KALMAR LÄN</t>
        </is>
      </c>
      <c r="E192" t="inlineStr">
        <is>
          <t>VIMMERBY</t>
        </is>
      </c>
      <c r="F192" t="inlineStr">
        <is>
          <t>Övriga statliga verk och myndigheter</t>
        </is>
      </c>
      <c r="G192" t="n">
        <v>0.8</v>
      </c>
      <c r="H192" t="n">
        <v>0</v>
      </c>
      <c r="I192" t="n">
        <v>0</v>
      </c>
      <c r="J192" t="n">
        <v>0</v>
      </c>
      <c r="K192" t="n">
        <v>0</v>
      </c>
      <c r="L192" t="n">
        <v>0</v>
      </c>
      <c r="M192" t="n">
        <v>0</v>
      </c>
      <c r="N192" t="n">
        <v>0</v>
      </c>
      <c r="O192" t="n">
        <v>0</v>
      </c>
      <c r="P192" t="n">
        <v>0</v>
      </c>
      <c r="Q192" t="n">
        <v>0</v>
      </c>
      <c r="R192" s="2" t="inlineStr"/>
    </row>
    <row r="193" ht="15" customHeight="1">
      <c r="A193" t="inlineStr">
        <is>
          <t>A 56389-2021</t>
        </is>
      </c>
      <c r="B193" s="1" t="n">
        <v>44480</v>
      </c>
      <c r="C193" s="1" t="n">
        <v>45891</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8453-2022</t>
        </is>
      </c>
      <c r="B194" s="1" t="n">
        <v>44612.86554398148</v>
      </c>
      <c r="C194" s="1" t="n">
        <v>45891</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52433-2021</t>
        </is>
      </c>
      <c r="B195" s="1" t="n">
        <v>44466.34726851852</v>
      </c>
      <c r="C195" s="1" t="n">
        <v>45891</v>
      </c>
      <c r="D195" t="inlineStr">
        <is>
          <t>KALMAR LÄN</t>
        </is>
      </c>
      <c r="E195" t="inlineStr">
        <is>
          <t>VIMMERBY</t>
        </is>
      </c>
      <c r="G195" t="n">
        <v>3.5</v>
      </c>
      <c r="H195" t="n">
        <v>0</v>
      </c>
      <c r="I195" t="n">
        <v>0</v>
      </c>
      <c r="J195" t="n">
        <v>0</v>
      </c>
      <c r="K195" t="n">
        <v>0</v>
      </c>
      <c r="L195" t="n">
        <v>0</v>
      </c>
      <c r="M195" t="n">
        <v>0</v>
      </c>
      <c r="N195" t="n">
        <v>0</v>
      </c>
      <c r="O195" t="n">
        <v>0</v>
      </c>
      <c r="P195" t="n">
        <v>0</v>
      </c>
      <c r="Q195" t="n">
        <v>0</v>
      </c>
      <c r="R195" s="2" t="inlineStr"/>
    </row>
    <row r="196" ht="15" customHeight="1">
      <c r="A196" t="inlineStr">
        <is>
          <t>A 618-2021</t>
        </is>
      </c>
      <c r="B196" s="1" t="n">
        <v>44203</v>
      </c>
      <c r="C196" s="1" t="n">
        <v>45891</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50621-2022</t>
        </is>
      </c>
      <c r="B197" s="1" t="n">
        <v>44866.81100694444</v>
      </c>
      <c r="C197" s="1" t="n">
        <v>45891</v>
      </c>
      <c r="D197" t="inlineStr">
        <is>
          <t>KALMAR LÄN</t>
        </is>
      </c>
      <c r="E197" t="inlineStr">
        <is>
          <t>VIMMERBY</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45528-2020</t>
        </is>
      </c>
      <c r="B198" s="1" t="n">
        <v>44089.78633101852</v>
      </c>
      <c r="C198" s="1" t="n">
        <v>45891</v>
      </c>
      <c r="D198" t="inlineStr">
        <is>
          <t>KALMAR LÄN</t>
        </is>
      </c>
      <c r="E198" t="inlineStr">
        <is>
          <t>VIMMERBY</t>
        </is>
      </c>
      <c r="G198" t="n">
        <v>3.8</v>
      </c>
      <c r="H198" t="n">
        <v>0</v>
      </c>
      <c r="I198" t="n">
        <v>0</v>
      </c>
      <c r="J198" t="n">
        <v>0</v>
      </c>
      <c r="K198" t="n">
        <v>0</v>
      </c>
      <c r="L198" t="n">
        <v>0</v>
      </c>
      <c r="M198" t="n">
        <v>0</v>
      </c>
      <c r="N198" t="n">
        <v>0</v>
      </c>
      <c r="O198" t="n">
        <v>0</v>
      </c>
      <c r="P198" t="n">
        <v>0</v>
      </c>
      <c r="Q198" t="n">
        <v>0</v>
      </c>
      <c r="R198" s="2" t="inlineStr"/>
    </row>
    <row r="199" ht="15" customHeight="1">
      <c r="A199" t="inlineStr">
        <is>
          <t>A 54065-2021</t>
        </is>
      </c>
      <c r="B199" s="1" t="n">
        <v>44470.44232638889</v>
      </c>
      <c r="C199" s="1" t="n">
        <v>45891</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31824-2022</t>
        </is>
      </c>
      <c r="B200" s="1" t="n">
        <v>44776</v>
      </c>
      <c r="C200" s="1" t="n">
        <v>45891</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11733-2022</t>
        </is>
      </c>
      <c r="B201" s="1" t="n">
        <v>44634</v>
      </c>
      <c r="C201" s="1" t="n">
        <v>45891</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40890-2020</t>
        </is>
      </c>
      <c r="B202" s="1" t="n">
        <v>44070</v>
      </c>
      <c r="C202" s="1" t="n">
        <v>45891</v>
      </c>
      <c r="D202" t="inlineStr">
        <is>
          <t>KALMAR LÄN</t>
        </is>
      </c>
      <c r="E202" t="inlineStr">
        <is>
          <t>VIMMERBY</t>
        </is>
      </c>
      <c r="G202" t="n">
        <v>1.6</v>
      </c>
      <c r="H202" t="n">
        <v>0</v>
      </c>
      <c r="I202" t="n">
        <v>0</v>
      </c>
      <c r="J202" t="n">
        <v>0</v>
      </c>
      <c r="K202" t="n">
        <v>0</v>
      </c>
      <c r="L202" t="n">
        <v>0</v>
      </c>
      <c r="M202" t="n">
        <v>0</v>
      </c>
      <c r="N202" t="n">
        <v>0</v>
      </c>
      <c r="O202" t="n">
        <v>0</v>
      </c>
      <c r="P202" t="n">
        <v>0</v>
      </c>
      <c r="Q202" t="n">
        <v>0</v>
      </c>
      <c r="R202" s="2" t="inlineStr"/>
    </row>
    <row r="203" ht="15" customHeight="1">
      <c r="A203" t="inlineStr">
        <is>
          <t>A 12241-2021</t>
        </is>
      </c>
      <c r="B203" s="1" t="n">
        <v>44266.7240625</v>
      </c>
      <c r="C203" s="1" t="n">
        <v>45891</v>
      </c>
      <c r="D203" t="inlineStr">
        <is>
          <t>KALMAR LÄN</t>
        </is>
      </c>
      <c r="E203" t="inlineStr">
        <is>
          <t>VIMMERBY</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67952-2021</t>
        </is>
      </c>
      <c r="B204" s="1" t="n">
        <v>44525.63913194444</v>
      </c>
      <c r="C204" s="1" t="n">
        <v>45891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12662-2021</t>
        </is>
      </c>
      <c r="B205" s="1" t="n">
        <v>44270.49743055556</v>
      </c>
      <c r="C205" s="1" t="n">
        <v>45891</v>
      </c>
      <c r="D205" t="inlineStr">
        <is>
          <t>KALMAR LÄN</t>
        </is>
      </c>
      <c r="E205" t="inlineStr">
        <is>
          <t>VIMMERBY</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14521-2021</t>
        </is>
      </c>
      <c r="B206" s="1" t="n">
        <v>44279.64934027778</v>
      </c>
      <c r="C206" s="1" t="n">
        <v>45891</v>
      </c>
      <c r="D206" t="inlineStr">
        <is>
          <t>KALMAR LÄN</t>
        </is>
      </c>
      <c r="E206" t="inlineStr">
        <is>
          <t>VIMMERBY</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15533-2022</t>
        </is>
      </c>
      <c r="B207" s="1" t="n">
        <v>44662</v>
      </c>
      <c r="C207" s="1" t="n">
        <v>45891</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46527-2020</t>
        </is>
      </c>
      <c r="B208" s="1" t="n">
        <v>44095</v>
      </c>
      <c r="C208" s="1" t="n">
        <v>45891</v>
      </c>
      <c r="D208" t="inlineStr">
        <is>
          <t>KALMAR LÄN</t>
        </is>
      </c>
      <c r="E208" t="inlineStr">
        <is>
          <t>VIMMERBY</t>
        </is>
      </c>
      <c r="F208" t="inlineStr">
        <is>
          <t>Sveaskog</t>
        </is>
      </c>
      <c r="G208" t="n">
        <v>2.7</v>
      </c>
      <c r="H208" t="n">
        <v>0</v>
      </c>
      <c r="I208" t="n">
        <v>0</v>
      </c>
      <c r="J208" t="n">
        <v>0</v>
      </c>
      <c r="K208" t="n">
        <v>0</v>
      </c>
      <c r="L208" t="n">
        <v>0</v>
      </c>
      <c r="M208" t="n">
        <v>0</v>
      </c>
      <c r="N208" t="n">
        <v>0</v>
      </c>
      <c r="O208" t="n">
        <v>0</v>
      </c>
      <c r="P208" t="n">
        <v>0</v>
      </c>
      <c r="Q208" t="n">
        <v>0</v>
      </c>
      <c r="R208" s="2" t="inlineStr"/>
    </row>
    <row r="209" ht="15" customHeight="1">
      <c r="A209" t="inlineStr">
        <is>
          <t>A 7804-2022</t>
        </is>
      </c>
      <c r="B209" s="1" t="n">
        <v>44608.50458333334</v>
      </c>
      <c r="C209" s="1" t="n">
        <v>45891</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39042-2022</t>
        </is>
      </c>
      <c r="B210" s="1" t="n">
        <v>44817</v>
      </c>
      <c r="C210" s="1" t="n">
        <v>45891</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165-2022</t>
        </is>
      </c>
      <c r="B211" s="1" t="n">
        <v>44564</v>
      </c>
      <c r="C211" s="1" t="n">
        <v>45891</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23825-2022</t>
        </is>
      </c>
      <c r="B212" s="1" t="n">
        <v>44722.48768518519</v>
      </c>
      <c r="C212" s="1" t="n">
        <v>45891</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32603-2021</t>
        </is>
      </c>
      <c r="B213" s="1" t="n">
        <v>44375.38789351852</v>
      </c>
      <c r="C213" s="1" t="n">
        <v>45891</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16288-2021</t>
        </is>
      </c>
      <c r="B214" s="1" t="n">
        <v>44292</v>
      </c>
      <c r="C214" s="1" t="n">
        <v>45891</v>
      </c>
      <c r="D214" t="inlineStr">
        <is>
          <t>KALMAR LÄN</t>
        </is>
      </c>
      <c r="E214" t="inlineStr">
        <is>
          <t>VIMMERBY</t>
        </is>
      </c>
      <c r="F214" t="inlineStr">
        <is>
          <t>Övriga Aktiebolag</t>
        </is>
      </c>
      <c r="G214" t="n">
        <v>27.6</v>
      </c>
      <c r="H214" t="n">
        <v>0</v>
      </c>
      <c r="I214" t="n">
        <v>0</v>
      </c>
      <c r="J214" t="n">
        <v>0</v>
      </c>
      <c r="K214" t="n">
        <v>0</v>
      </c>
      <c r="L214" t="n">
        <v>0</v>
      </c>
      <c r="M214" t="n">
        <v>0</v>
      </c>
      <c r="N214" t="n">
        <v>0</v>
      </c>
      <c r="O214" t="n">
        <v>0</v>
      </c>
      <c r="P214" t="n">
        <v>0</v>
      </c>
      <c r="Q214" t="n">
        <v>0</v>
      </c>
      <c r="R214" s="2" t="inlineStr"/>
    </row>
    <row r="215" ht="15" customHeight="1">
      <c r="A215" t="inlineStr">
        <is>
          <t>A 29441-2024</t>
        </is>
      </c>
      <c r="B215" s="1" t="n">
        <v>45483.82834490741</v>
      </c>
      <c r="C215" s="1" t="n">
        <v>45891</v>
      </c>
      <c r="D215" t="inlineStr">
        <is>
          <t>KALMAR LÄN</t>
        </is>
      </c>
      <c r="E215" t="inlineStr">
        <is>
          <t>VIMMERBY</t>
        </is>
      </c>
      <c r="G215" t="n">
        <v>1.3</v>
      </c>
      <c r="H215" t="n">
        <v>0</v>
      </c>
      <c r="I215" t="n">
        <v>0</v>
      </c>
      <c r="J215" t="n">
        <v>0</v>
      </c>
      <c r="K215" t="n">
        <v>0</v>
      </c>
      <c r="L215" t="n">
        <v>0</v>
      </c>
      <c r="M215" t="n">
        <v>0</v>
      </c>
      <c r="N215" t="n">
        <v>0</v>
      </c>
      <c r="O215" t="n">
        <v>0</v>
      </c>
      <c r="P215" t="n">
        <v>0</v>
      </c>
      <c r="Q215" t="n">
        <v>0</v>
      </c>
      <c r="R215" s="2" t="inlineStr"/>
    </row>
    <row r="216" ht="15" customHeight="1">
      <c r="A216" t="inlineStr">
        <is>
          <t>A 36117-2021</t>
        </is>
      </c>
      <c r="B216" s="1" t="n">
        <v>44386</v>
      </c>
      <c r="C216" s="1" t="n">
        <v>45891</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25728-2023</t>
        </is>
      </c>
      <c r="B217" s="1" t="n">
        <v>45090.38012731481</v>
      </c>
      <c r="C217" s="1" t="n">
        <v>45891</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42521-2021</t>
        </is>
      </c>
      <c r="B218" s="1" t="n">
        <v>44427</v>
      </c>
      <c r="C218" s="1" t="n">
        <v>45891</v>
      </c>
      <c r="D218" t="inlineStr">
        <is>
          <t>KALMAR LÄN</t>
        </is>
      </c>
      <c r="E218" t="inlineStr">
        <is>
          <t>VIMMERBY</t>
        </is>
      </c>
      <c r="G218" t="n">
        <v>5.4</v>
      </c>
      <c r="H218" t="n">
        <v>0</v>
      </c>
      <c r="I218" t="n">
        <v>0</v>
      </c>
      <c r="J218" t="n">
        <v>0</v>
      </c>
      <c r="K218" t="n">
        <v>0</v>
      </c>
      <c r="L218" t="n">
        <v>0</v>
      </c>
      <c r="M218" t="n">
        <v>0</v>
      </c>
      <c r="N218" t="n">
        <v>0</v>
      </c>
      <c r="O218" t="n">
        <v>0</v>
      </c>
      <c r="P218" t="n">
        <v>0</v>
      </c>
      <c r="Q218" t="n">
        <v>0</v>
      </c>
      <c r="R218" s="2" t="inlineStr"/>
    </row>
    <row r="219" ht="15" customHeight="1">
      <c r="A219" t="inlineStr">
        <is>
          <t>A 34040-2021</t>
        </is>
      </c>
      <c r="B219" s="1" t="n">
        <v>44379</v>
      </c>
      <c r="C219" s="1" t="n">
        <v>45891</v>
      </c>
      <c r="D219" t="inlineStr">
        <is>
          <t>KALMAR LÄN</t>
        </is>
      </c>
      <c r="E219" t="inlineStr">
        <is>
          <t>VIMMERBY</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15200-2021</t>
        </is>
      </c>
      <c r="B220" s="1" t="n">
        <v>44284.44574074074</v>
      </c>
      <c r="C220" s="1" t="n">
        <v>45891</v>
      </c>
      <c r="D220" t="inlineStr">
        <is>
          <t>KALMAR LÄN</t>
        </is>
      </c>
      <c r="E220" t="inlineStr">
        <is>
          <t>VIMMERBY</t>
        </is>
      </c>
      <c r="G220" t="n">
        <v>1.2</v>
      </c>
      <c r="H220" t="n">
        <v>0</v>
      </c>
      <c r="I220" t="n">
        <v>0</v>
      </c>
      <c r="J220" t="n">
        <v>0</v>
      </c>
      <c r="K220" t="n">
        <v>0</v>
      </c>
      <c r="L220" t="n">
        <v>0</v>
      </c>
      <c r="M220" t="n">
        <v>0</v>
      </c>
      <c r="N220" t="n">
        <v>0</v>
      </c>
      <c r="O220" t="n">
        <v>0</v>
      </c>
      <c r="P220" t="n">
        <v>0</v>
      </c>
      <c r="Q220" t="n">
        <v>0</v>
      </c>
      <c r="R220" s="2" t="inlineStr"/>
    </row>
    <row r="221" ht="15" customHeight="1">
      <c r="A221" t="inlineStr">
        <is>
          <t>A 46921-2023</t>
        </is>
      </c>
      <c r="B221" s="1" t="n">
        <v>45201.39996527778</v>
      </c>
      <c r="C221" s="1" t="n">
        <v>45891</v>
      </c>
      <c r="D221" t="inlineStr">
        <is>
          <t>KALMAR LÄN</t>
        </is>
      </c>
      <c r="E221" t="inlineStr">
        <is>
          <t>VIMMERBY</t>
        </is>
      </c>
      <c r="G221" t="n">
        <v>2.6</v>
      </c>
      <c r="H221" t="n">
        <v>0</v>
      </c>
      <c r="I221" t="n">
        <v>0</v>
      </c>
      <c r="J221" t="n">
        <v>0</v>
      </c>
      <c r="K221" t="n">
        <v>0</v>
      </c>
      <c r="L221" t="n">
        <v>0</v>
      </c>
      <c r="M221" t="n">
        <v>0</v>
      </c>
      <c r="N221" t="n">
        <v>0</v>
      </c>
      <c r="O221" t="n">
        <v>0</v>
      </c>
      <c r="P221" t="n">
        <v>0</v>
      </c>
      <c r="Q221" t="n">
        <v>0</v>
      </c>
      <c r="R221" s="2" t="inlineStr"/>
    </row>
    <row r="222" ht="15" customHeight="1">
      <c r="A222" t="inlineStr">
        <is>
          <t>A 10837-2023</t>
        </is>
      </c>
      <c r="B222" s="1" t="n">
        <v>44991.30547453704</v>
      </c>
      <c r="C222" s="1" t="n">
        <v>45891</v>
      </c>
      <c r="D222" t="inlineStr">
        <is>
          <t>KALMAR LÄN</t>
        </is>
      </c>
      <c r="E222" t="inlineStr">
        <is>
          <t>VIMMERBY</t>
        </is>
      </c>
      <c r="G222" t="n">
        <v>7.3</v>
      </c>
      <c r="H222" t="n">
        <v>0</v>
      </c>
      <c r="I222" t="n">
        <v>0</v>
      </c>
      <c r="J222" t="n">
        <v>0</v>
      </c>
      <c r="K222" t="n">
        <v>0</v>
      </c>
      <c r="L222" t="n">
        <v>0</v>
      </c>
      <c r="M222" t="n">
        <v>0</v>
      </c>
      <c r="N222" t="n">
        <v>0</v>
      </c>
      <c r="O222" t="n">
        <v>0</v>
      </c>
      <c r="P222" t="n">
        <v>0</v>
      </c>
      <c r="Q222" t="n">
        <v>0</v>
      </c>
      <c r="R222" s="2" t="inlineStr"/>
    </row>
    <row r="223" ht="15" customHeight="1">
      <c r="A223" t="inlineStr">
        <is>
          <t>A 10838-2023</t>
        </is>
      </c>
      <c r="B223" s="1" t="n">
        <v>44991</v>
      </c>
      <c r="C223" s="1" t="n">
        <v>45891</v>
      </c>
      <c r="D223" t="inlineStr">
        <is>
          <t>KALMAR LÄN</t>
        </is>
      </c>
      <c r="E223" t="inlineStr">
        <is>
          <t>VIMMERBY</t>
        </is>
      </c>
      <c r="G223" t="n">
        <v>5.1</v>
      </c>
      <c r="H223" t="n">
        <v>0</v>
      </c>
      <c r="I223" t="n">
        <v>0</v>
      </c>
      <c r="J223" t="n">
        <v>0</v>
      </c>
      <c r="K223" t="n">
        <v>0</v>
      </c>
      <c r="L223" t="n">
        <v>0</v>
      </c>
      <c r="M223" t="n">
        <v>0</v>
      </c>
      <c r="N223" t="n">
        <v>0</v>
      </c>
      <c r="O223" t="n">
        <v>0</v>
      </c>
      <c r="P223" t="n">
        <v>0</v>
      </c>
      <c r="Q223" t="n">
        <v>0</v>
      </c>
      <c r="R223" s="2" t="inlineStr"/>
    </row>
    <row r="224" ht="15" customHeight="1">
      <c r="A224" t="inlineStr">
        <is>
          <t>A 30912-2023</t>
        </is>
      </c>
      <c r="B224" s="1" t="n">
        <v>45113.41633101852</v>
      </c>
      <c r="C224" s="1" t="n">
        <v>45891</v>
      </c>
      <c r="D224" t="inlineStr">
        <is>
          <t>KALMAR LÄN</t>
        </is>
      </c>
      <c r="E224" t="inlineStr">
        <is>
          <t>VIMMERBY</t>
        </is>
      </c>
      <c r="G224" t="n">
        <v>5</v>
      </c>
      <c r="H224" t="n">
        <v>0</v>
      </c>
      <c r="I224" t="n">
        <v>0</v>
      </c>
      <c r="J224" t="n">
        <v>0</v>
      </c>
      <c r="K224" t="n">
        <v>0</v>
      </c>
      <c r="L224" t="n">
        <v>0</v>
      </c>
      <c r="M224" t="n">
        <v>0</v>
      </c>
      <c r="N224" t="n">
        <v>0</v>
      </c>
      <c r="O224" t="n">
        <v>0</v>
      </c>
      <c r="P224" t="n">
        <v>0</v>
      </c>
      <c r="Q224" t="n">
        <v>0</v>
      </c>
      <c r="R224" s="2" t="inlineStr"/>
    </row>
    <row r="225" ht="15" customHeight="1">
      <c r="A225" t="inlineStr">
        <is>
          <t>A 55436-2023</t>
        </is>
      </c>
      <c r="B225" s="1" t="n">
        <v>45238.4328587963</v>
      </c>
      <c r="C225" s="1" t="n">
        <v>45891</v>
      </c>
      <c r="D225" t="inlineStr">
        <is>
          <t>KALMAR LÄN</t>
        </is>
      </c>
      <c r="E225" t="inlineStr">
        <is>
          <t>VIMMERBY</t>
        </is>
      </c>
      <c r="G225" t="n">
        <v>5.6</v>
      </c>
      <c r="H225" t="n">
        <v>0</v>
      </c>
      <c r="I225" t="n">
        <v>0</v>
      </c>
      <c r="J225" t="n">
        <v>0</v>
      </c>
      <c r="K225" t="n">
        <v>0</v>
      </c>
      <c r="L225" t="n">
        <v>0</v>
      </c>
      <c r="M225" t="n">
        <v>0</v>
      </c>
      <c r="N225" t="n">
        <v>0</v>
      </c>
      <c r="O225" t="n">
        <v>0</v>
      </c>
      <c r="P225" t="n">
        <v>0</v>
      </c>
      <c r="Q225" t="n">
        <v>0</v>
      </c>
      <c r="R225" s="2" t="inlineStr"/>
    </row>
    <row r="226" ht="15" customHeight="1">
      <c r="A226" t="inlineStr">
        <is>
          <t>A 12107-2022</t>
        </is>
      </c>
      <c r="B226" s="1" t="n">
        <v>44636</v>
      </c>
      <c r="C226" s="1" t="n">
        <v>45891</v>
      </c>
      <c r="D226" t="inlineStr">
        <is>
          <t>KALMAR LÄN</t>
        </is>
      </c>
      <c r="E226" t="inlineStr">
        <is>
          <t>VIMMERBY</t>
        </is>
      </c>
      <c r="G226" t="n">
        <v>1.8</v>
      </c>
      <c r="H226" t="n">
        <v>0</v>
      </c>
      <c r="I226" t="n">
        <v>0</v>
      </c>
      <c r="J226" t="n">
        <v>0</v>
      </c>
      <c r="K226" t="n">
        <v>0</v>
      </c>
      <c r="L226" t="n">
        <v>0</v>
      </c>
      <c r="M226" t="n">
        <v>0</v>
      </c>
      <c r="N226" t="n">
        <v>0</v>
      </c>
      <c r="O226" t="n">
        <v>0</v>
      </c>
      <c r="P226" t="n">
        <v>0</v>
      </c>
      <c r="Q226" t="n">
        <v>0</v>
      </c>
      <c r="R226" s="2" t="inlineStr"/>
    </row>
    <row r="227" ht="15" customHeight="1">
      <c r="A227" t="inlineStr">
        <is>
          <t>A 21507-2023</t>
        </is>
      </c>
      <c r="B227" s="1" t="n">
        <v>45063.508125</v>
      </c>
      <c r="C227" s="1" t="n">
        <v>45891</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51187-2023</t>
        </is>
      </c>
      <c r="B228" s="1" t="n">
        <v>45219.40528935185</v>
      </c>
      <c r="C228" s="1" t="n">
        <v>45891</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39225-2022</t>
        </is>
      </c>
      <c r="B229" s="1" t="n">
        <v>44817.57988425926</v>
      </c>
      <c r="C229" s="1" t="n">
        <v>45891</v>
      </c>
      <c r="D229" t="inlineStr">
        <is>
          <t>KALMAR LÄN</t>
        </is>
      </c>
      <c r="E229" t="inlineStr">
        <is>
          <t>VIMMERBY</t>
        </is>
      </c>
      <c r="G229" t="n">
        <v>2.2</v>
      </c>
      <c r="H229" t="n">
        <v>0</v>
      </c>
      <c r="I229" t="n">
        <v>0</v>
      </c>
      <c r="J229" t="n">
        <v>0</v>
      </c>
      <c r="K229" t="n">
        <v>0</v>
      </c>
      <c r="L229" t="n">
        <v>0</v>
      </c>
      <c r="M229" t="n">
        <v>0</v>
      </c>
      <c r="N229" t="n">
        <v>0</v>
      </c>
      <c r="O229" t="n">
        <v>0</v>
      </c>
      <c r="P229" t="n">
        <v>0</v>
      </c>
      <c r="Q229" t="n">
        <v>0</v>
      </c>
      <c r="R229" s="2" t="inlineStr"/>
    </row>
    <row r="230" ht="15" customHeight="1">
      <c r="A230" t="inlineStr">
        <is>
          <t>A 13290-2025</t>
        </is>
      </c>
      <c r="B230" s="1" t="n">
        <v>45735.56751157407</v>
      </c>
      <c r="C230" s="1" t="n">
        <v>45891</v>
      </c>
      <c r="D230" t="inlineStr">
        <is>
          <t>KALMAR LÄN</t>
        </is>
      </c>
      <c r="E230" t="inlineStr">
        <is>
          <t>VIMMERBY</t>
        </is>
      </c>
      <c r="G230" t="n">
        <v>0.8</v>
      </c>
      <c r="H230" t="n">
        <v>0</v>
      </c>
      <c r="I230" t="n">
        <v>0</v>
      </c>
      <c r="J230" t="n">
        <v>0</v>
      </c>
      <c r="K230" t="n">
        <v>0</v>
      </c>
      <c r="L230" t="n">
        <v>0</v>
      </c>
      <c r="M230" t="n">
        <v>0</v>
      </c>
      <c r="N230" t="n">
        <v>0</v>
      </c>
      <c r="O230" t="n">
        <v>0</v>
      </c>
      <c r="P230" t="n">
        <v>0</v>
      </c>
      <c r="Q230" t="n">
        <v>0</v>
      </c>
      <c r="R230" s="2" t="inlineStr"/>
    </row>
    <row r="231" ht="15" customHeight="1">
      <c r="A231" t="inlineStr">
        <is>
          <t>A 45560-2021</t>
        </is>
      </c>
      <c r="B231" s="1" t="n">
        <v>44440</v>
      </c>
      <c r="C231" s="1" t="n">
        <v>45891</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16622-2025</t>
        </is>
      </c>
      <c r="B232" s="1" t="n">
        <v>45754.33641203704</v>
      </c>
      <c r="C232" s="1" t="n">
        <v>45891</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34205-2023</t>
        </is>
      </c>
      <c r="B233" s="1" t="n">
        <v>45138</v>
      </c>
      <c r="C233" s="1" t="n">
        <v>45891</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57091-2022</t>
        </is>
      </c>
      <c r="B234" s="1" t="n">
        <v>44895.46524305556</v>
      </c>
      <c r="C234" s="1" t="n">
        <v>45891</v>
      </c>
      <c r="D234" t="inlineStr">
        <is>
          <t>KALMAR LÄN</t>
        </is>
      </c>
      <c r="E234" t="inlineStr">
        <is>
          <t>VIMMERBY</t>
        </is>
      </c>
      <c r="G234" t="n">
        <v>2.6</v>
      </c>
      <c r="H234" t="n">
        <v>0</v>
      </c>
      <c r="I234" t="n">
        <v>0</v>
      </c>
      <c r="J234" t="n">
        <v>0</v>
      </c>
      <c r="K234" t="n">
        <v>0</v>
      </c>
      <c r="L234" t="n">
        <v>0</v>
      </c>
      <c r="M234" t="n">
        <v>0</v>
      </c>
      <c r="N234" t="n">
        <v>0</v>
      </c>
      <c r="O234" t="n">
        <v>0</v>
      </c>
      <c r="P234" t="n">
        <v>0</v>
      </c>
      <c r="Q234" t="n">
        <v>0</v>
      </c>
      <c r="R234" s="2" t="inlineStr"/>
    </row>
    <row r="235" ht="15" customHeight="1">
      <c r="A235" t="inlineStr">
        <is>
          <t>A 2604-2025</t>
        </is>
      </c>
      <c r="B235" s="1" t="n">
        <v>45674.74094907408</v>
      </c>
      <c r="C235" s="1" t="n">
        <v>45891</v>
      </c>
      <c r="D235" t="inlineStr">
        <is>
          <t>KALMAR LÄN</t>
        </is>
      </c>
      <c r="E235" t="inlineStr">
        <is>
          <t>VIMMERBY</t>
        </is>
      </c>
      <c r="G235" t="n">
        <v>7.6</v>
      </c>
      <c r="H235" t="n">
        <v>0</v>
      </c>
      <c r="I235" t="n">
        <v>0</v>
      </c>
      <c r="J235" t="n">
        <v>0</v>
      </c>
      <c r="K235" t="n">
        <v>0</v>
      </c>
      <c r="L235" t="n">
        <v>0</v>
      </c>
      <c r="M235" t="n">
        <v>0</v>
      </c>
      <c r="N235" t="n">
        <v>0</v>
      </c>
      <c r="O235" t="n">
        <v>0</v>
      </c>
      <c r="P235" t="n">
        <v>0</v>
      </c>
      <c r="Q235" t="n">
        <v>0</v>
      </c>
      <c r="R235" s="2" t="inlineStr"/>
    </row>
    <row r="236" ht="15" customHeight="1">
      <c r="A236" t="inlineStr">
        <is>
          <t>A 6807-2025</t>
        </is>
      </c>
      <c r="B236" s="1" t="n">
        <v>45700.68672453704</v>
      </c>
      <c r="C236" s="1" t="n">
        <v>45891</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31340-2023</t>
        </is>
      </c>
      <c r="B237" s="1" t="n">
        <v>45114.47895833333</v>
      </c>
      <c r="C237" s="1" t="n">
        <v>45891</v>
      </c>
      <c r="D237" t="inlineStr">
        <is>
          <t>KALMAR LÄN</t>
        </is>
      </c>
      <c r="E237" t="inlineStr">
        <is>
          <t>VIMMERBY</t>
        </is>
      </c>
      <c r="G237" t="n">
        <v>1.8</v>
      </c>
      <c r="H237" t="n">
        <v>0</v>
      </c>
      <c r="I237" t="n">
        <v>0</v>
      </c>
      <c r="J237" t="n">
        <v>0</v>
      </c>
      <c r="K237" t="n">
        <v>0</v>
      </c>
      <c r="L237" t="n">
        <v>0</v>
      </c>
      <c r="M237" t="n">
        <v>0</v>
      </c>
      <c r="N237" t="n">
        <v>0</v>
      </c>
      <c r="O237" t="n">
        <v>0</v>
      </c>
      <c r="P237" t="n">
        <v>0</v>
      </c>
      <c r="Q237" t="n">
        <v>0</v>
      </c>
      <c r="R237" s="2" t="inlineStr"/>
    </row>
    <row r="238" ht="15" customHeight="1">
      <c r="A238" t="inlineStr">
        <is>
          <t>A 29168-2024</t>
        </is>
      </c>
      <c r="B238" s="1" t="n">
        <v>45482.49870370371</v>
      </c>
      <c r="C238" s="1" t="n">
        <v>45891</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29186-2024</t>
        </is>
      </c>
      <c r="B239" s="1" t="n">
        <v>45482.54844907407</v>
      </c>
      <c r="C239" s="1" t="n">
        <v>45891</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35895-2024</t>
        </is>
      </c>
      <c r="B240" s="1" t="n">
        <v>45533.38870370371</v>
      </c>
      <c r="C240" s="1" t="n">
        <v>45891</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12590-2025</t>
        </is>
      </c>
      <c r="B241" s="1" t="n">
        <v>45732.79925925926</v>
      </c>
      <c r="C241" s="1" t="n">
        <v>45891</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38851-2023</t>
        </is>
      </c>
      <c r="B242" s="1" t="n">
        <v>45163</v>
      </c>
      <c r="C242" s="1" t="n">
        <v>45891</v>
      </c>
      <c r="D242" t="inlineStr">
        <is>
          <t>KALMAR LÄN</t>
        </is>
      </c>
      <c r="E242" t="inlineStr">
        <is>
          <t>VIMMERBY</t>
        </is>
      </c>
      <c r="G242" t="n">
        <v>4.3</v>
      </c>
      <c r="H242" t="n">
        <v>0</v>
      </c>
      <c r="I242" t="n">
        <v>0</v>
      </c>
      <c r="J242" t="n">
        <v>0</v>
      </c>
      <c r="K242" t="n">
        <v>0</v>
      </c>
      <c r="L242" t="n">
        <v>0</v>
      </c>
      <c r="M242" t="n">
        <v>0</v>
      </c>
      <c r="N242" t="n">
        <v>0</v>
      </c>
      <c r="O242" t="n">
        <v>0</v>
      </c>
      <c r="P242" t="n">
        <v>0</v>
      </c>
      <c r="Q242" t="n">
        <v>0</v>
      </c>
      <c r="R242" s="2" t="inlineStr"/>
    </row>
    <row r="243" ht="15" customHeight="1">
      <c r="A243" t="inlineStr">
        <is>
          <t>A 30318-2023</t>
        </is>
      </c>
      <c r="B243" s="1" t="n">
        <v>45111.30824074074</v>
      </c>
      <c r="C243" s="1" t="n">
        <v>45891</v>
      </c>
      <c r="D243" t="inlineStr">
        <is>
          <t>KALMAR LÄN</t>
        </is>
      </c>
      <c r="E243" t="inlineStr">
        <is>
          <t>VIMMERBY</t>
        </is>
      </c>
      <c r="G243" t="n">
        <v>2.6</v>
      </c>
      <c r="H243" t="n">
        <v>0</v>
      </c>
      <c r="I243" t="n">
        <v>0</v>
      </c>
      <c r="J243" t="n">
        <v>0</v>
      </c>
      <c r="K243" t="n">
        <v>0</v>
      </c>
      <c r="L243" t="n">
        <v>0</v>
      </c>
      <c r="M243" t="n">
        <v>0</v>
      </c>
      <c r="N243" t="n">
        <v>0</v>
      </c>
      <c r="O243" t="n">
        <v>0</v>
      </c>
      <c r="P243" t="n">
        <v>0</v>
      </c>
      <c r="Q243" t="n">
        <v>0</v>
      </c>
      <c r="R243" s="2" t="inlineStr"/>
    </row>
    <row r="244" ht="15" customHeight="1">
      <c r="A244" t="inlineStr">
        <is>
          <t>A 52435-2021</t>
        </is>
      </c>
      <c r="B244" s="1" t="n">
        <v>44466.34962962963</v>
      </c>
      <c r="C244" s="1" t="n">
        <v>45891</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29093-2023</t>
        </is>
      </c>
      <c r="B245" s="1" t="n">
        <v>45105</v>
      </c>
      <c r="C245" s="1" t="n">
        <v>45891</v>
      </c>
      <c r="D245" t="inlineStr">
        <is>
          <t>KALMAR LÄN</t>
        </is>
      </c>
      <c r="E245" t="inlineStr">
        <is>
          <t>VIMMERBY</t>
        </is>
      </c>
      <c r="G245" t="n">
        <v>2.9</v>
      </c>
      <c r="H245" t="n">
        <v>0</v>
      </c>
      <c r="I245" t="n">
        <v>0</v>
      </c>
      <c r="J245" t="n">
        <v>0</v>
      </c>
      <c r="K245" t="n">
        <v>0</v>
      </c>
      <c r="L245" t="n">
        <v>0</v>
      </c>
      <c r="M245" t="n">
        <v>0</v>
      </c>
      <c r="N245" t="n">
        <v>0</v>
      </c>
      <c r="O245" t="n">
        <v>0</v>
      </c>
      <c r="P245" t="n">
        <v>0</v>
      </c>
      <c r="Q245" t="n">
        <v>0</v>
      </c>
      <c r="R245" s="2" t="inlineStr"/>
    </row>
    <row r="246" ht="15" customHeight="1">
      <c r="A246" t="inlineStr">
        <is>
          <t>A 14220-2021</t>
        </is>
      </c>
      <c r="B246" s="1" t="n">
        <v>44278.54855324074</v>
      </c>
      <c r="C246" s="1" t="n">
        <v>45891</v>
      </c>
      <c r="D246" t="inlineStr">
        <is>
          <t>KALMAR LÄN</t>
        </is>
      </c>
      <c r="E246" t="inlineStr">
        <is>
          <t>VIMMERBY</t>
        </is>
      </c>
      <c r="G246" t="n">
        <v>0.3</v>
      </c>
      <c r="H246" t="n">
        <v>0</v>
      </c>
      <c r="I246" t="n">
        <v>0</v>
      </c>
      <c r="J246" t="n">
        <v>0</v>
      </c>
      <c r="K246" t="n">
        <v>0</v>
      </c>
      <c r="L246" t="n">
        <v>0</v>
      </c>
      <c r="M246" t="n">
        <v>0</v>
      </c>
      <c r="N246" t="n">
        <v>0</v>
      </c>
      <c r="O246" t="n">
        <v>0</v>
      </c>
      <c r="P246" t="n">
        <v>0</v>
      </c>
      <c r="Q246" t="n">
        <v>0</v>
      </c>
      <c r="R246" s="2" t="inlineStr"/>
    </row>
    <row r="247" ht="15" customHeight="1">
      <c r="A247" t="inlineStr">
        <is>
          <t>A 23252-2024</t>
        </is>
      </c>
      <c r="B247" s="1" t="n">
        <v>45453.36067129629</v>
      </c>
      <c r="C247" s="1" t="n">
        <v>45891</v>
      </c>
      <c r="D247" t="inlineStr">
        <is>
          <t>KALMAR LÄN</t>
        </is>
      </c>
      <c r="E247" t="inlineStr">
        <is>
          <t>VIMMERBY</t>
        </is>
      </c>
      <c r="G247" t="n">
        <v>0.7</v>
      </c>
      <c r="H247" t="n">
        <v>0</v>
      </c>
      <c r="I247" t="n">
        <v>0</v>
      </c>
      <c r="J247" t="n">
        <v>0</v>
      </c>
      <c r="K247" t="n">
        <v>0</v>
      </c>
      <c r="L247" t="n">
        <v>0</v>
      </c>
      <c r="M247" t="n">
        <v>0</v>
      </c>
      <c r="N247" t="n">
        <v>0</v>
      </c>
      <c r="O247" t="n">
        <v>0</v>
      </c>
      <c r="P247" t="n">
        <v>0</v>
      </c>
      <c r="Q247" t="n">
        <v>0</v>
      </c>
      <c r="R247" s="2" t="inlineStr"/>
    </row>
    <row r="248" ht="15" customHeight="1">
      <c r="A248" t="inlineStr">
        <is>
          <t>A 33359-2021</t>
        </is>
      </c>
      <c r="B248" s="1" t="n">
        <v>44377.49684027778</v>
      </c>
      <c r="C248" s="1" t="n">
        <v>45891</v>
      </c>
      <c r="D248" t="inlineStr">
        <is>
          <t>KALMAR LÄN</t>
        </is>
      </c>
      <c r="E248" t="inlineStr">
        <is>
          <t>VIMMERBY</t>
        </is>
      </c>
      <c r="F248" t="inlineStr">
        <is>
          <t>Kommuner</t>
        </is>
      </c>
      <c r="G248" t="n">
        <v>8</v>
      </c>
      <c r="H248" t="n">
        <v>0</v>
      </c>
      <c r="I248" t="n">
        <v>0</v>
      </c>
      <c r="J248" t="n">
        <v>0</v>
      </c>
      <c r="K248" t="n">
        <v>0</v>
      </c>
      <c r="L248" t="n">
        <v>0</v>
      </c>
      <c r="M248" t="n">
        <v>0</v>
      </c>
      <c r="N248" t="n">
        <v>0</v>
      </c>
      <c r="O248" t="n">
        <v>0</v>
      </c>
      <c r="P248" t="n">
        <v>0</v>
      </c>
      <c r="Q248" t="n">
        <v>0</v>
      </c>
      <c r="R248" s="2" t="inlineStr"/>
    </row>
    <row r="249" ht="15" customHeight="1">
      <c r="A249" t="inlineStr">
        <is>
          <t>A 5792-2023</t>
        </is>
      </c>
      <c r="B249" s="1" t="n">
        <v>44963.44769675926</v>
      </c>
      <c r="C249" s="1" t="n">
        <v>45891</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2797-2023</t>
        </is>
      </c>
      <c r="B250" s="1" t="n">
        <v>44944.71386574074</v>
      </c>
      <c r="C250" s="1" t="n">
        <v>45891</v>
      </c>
      <c r="D250" t="inlineStr">
        <is>
          <t>KALMAR LÄN</t>
        </is>
      </c>
      <c r="E250" t="inlineStr">
        <is>
          <t>VIMMERBY</t>
        </is>
      </c>
      <c r="G250" t="n">
        <v>3.4</v>
      </c>
      <c r="H250" t="n">
        <v>0</v>
      </c>
      <c r="I250" t="n">
        <v>0</v>
      </c>
      <c r="J250" t="n">
        <v>0</v>
      </c>
      <c r="K250" t="n">
        <v>0</v>
      </c>
      <c r="L250" t="n">
        <v>0</v>
      </c>
      <c r="M250" t="n">
        <v>0</v>
      </c>
      <c r="N250" t="n">
        <v>0</v>
      </c>
      <c r="O250" t="n">
        <v>0</v>
      </c>
      <c r="P250" t="n">
        <v>0</v>
      </c>
      <c r="Q250" t="n">
        <v>0</v>
      </c>
      <c r="R250" s="2" t="inlineStr"/>
    </row>
    <row r="251" ht="15" customHeight="1">
      <c r="A251" t="inlineStr">
        <is>
          <t>A 2799-2023</t>
        </is>
      </c>
      <c r="B251" s="1" t="n">
        <v>44944.72100694444</v>
      </c>
      <c r="C251" s="1" t="n">
        <v>45891</v>
      </c>
      <c r="D251" t="inlineStr">
        <is>
          <t>KALMAR LÄN</t>
        </is>
      </c>
      <c r="E251" t="inlineStr">
        <is>
          <t>VIMMERBY</t>
        </is>
      </c>
      <c r="G251" t="n">
        <v>1.3</v>
      </c>
      <c r="H251" t="n">
        <v>0</v>
      </c>
      <c r="I251" t="n">
        <v>0</v>
      </c>
      <c r="J251" t="n">
        <v>0</v>
      </c>
      <c r="K251" t="n">
        <v>0</v>
      </c>
      <c r="L251" t="n">
        <v>0</v>
      </c>
      <c r="M251" t="n">
        <v>0</v>
      </c>
      <c r="N251" t="n">
        <v>0</v>
      </c>
      <c r="O251" t="n">
        <v>0</v>
      </c>
      <c r="P251" t="n">
        <v>0</v>
      </c>
      <c r="Q251" t="n">
        <v>0</v>
      </c>
      <c r="R251" s="2" t="inlineStr"/>
    </row>
    <row r="252" ht="15" customHeight="1">
      <c r="A252" t="inlineStr">
        <is>
          <t>A 43186-2021</t>
        </is>
      </c>
      <c r="B252" s="1" t="n">
        <v>44431.84840277778</v>
      </c>
      <c r="C252" s="1" t="n">
        <v>45891</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6220-2025</t>
        </is>
      </c>
      <c r="B253" s="1" t="n">
        <v>45698.53725694444</v>
      </c>
      <c r="C253" s="1" t="n">
        <v>45891</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60215-2022</t>
        </is>
      </c>
      <c r="B254" s="1" t="n">
        <v>44910.41346064815</v>
      </c>
      <c r="C254" s="1" t="n">
        <v>45891</v>
      </c>
      <c r="D254" t="inlineStr">
        <is>
          <t>KALMAR LÄN</t>
        </is>
      </c>
      <c r="E254" t="inlineStr">
        <is>
          <t>VIMMERBY</t>
        </is>
      </c>
      <c r="G254" t="n">
        <v>1.1</v>
      </c>
      <c r="H254" t="n">
        <v>0</v>
      </c>
      <c r="I254" t="n">
        <v>0</v>
      </c>
      <c r="J254" t="n">
        <v>0</v>
      </c>
      <c r="K254" t="n">
        <v>0</v>
      </c>
      <c r="L254" t="n">
        <v>0</v>
      </c>
      <c r="M254" t="n">
        <v>0</v>
      </c>
      <c r="N254" t="n">
        <v>0</v>
      </c>
      <c r="O254" t="n">
        <v>0</v>
      </c>
      <c r="P254" t="n">
        <v>0</v>
      </c>
      <c r="Q254" t="n">
        <v>0</v>
      </c>
      <c r="R254" s="2" t="inlineStr"/>
    </row>
    <row r="255" ht="15" customHeight="1">
      <c r="A255" t="inlineStr">
        <is>
          <t>A 60230-2022</t>
        </is>
      </c>
      <c r="B255" s="1" t="n">
        <v>44910</v>
      </c>
      <c r="C255" s="1" t="n">
        <v>45891</v>
      </c>
      <c r="D255" t="inlineStr">
        <is>
          <t>KALMAR LÄN</t>
        </is>
      </c>
      <c r="E255" t="inlineStr">
        <is>
          <t>VIMMERBY</t>
        </is>
      </c>
      <c r="G255" t="n">
        <v>11.3</v>
      </c>
      <c r="H255" t="n">
        <v>0</v>
      </c>
      <c r="I255" t="n">
        <v>0</v>
      </c>
      <c r="J255" t="n">
        <v>0</v>
      </c>
      <c r="K255" t="n">
        <v>0</v>
      </c>
      <c r="L255" t="n">
        <v>0</v>
      </c>
      <c r="M255" t="n">
        <v>0</v>
      </c>
      <c r="N255" t="n">
        <v>0</v>
      </c>
      <c r="O255" t="n">
        <v>0</v>
      </c>
      <c r="P255" t="n">
        <v>0</v>
      </c>
      <c r="Q255" t="n">
        <v>0</v>
      </c>
      <c r="R255" s="2" t="inlineStr"/>
    </row>
    <row r="256" ht="15" customHeight="1">
      <c r="A256" t="inlineStr">
        <is>
          <t>A 43038-2022</t>
        </is>
      </c>
      <c r="B256" s="1" t="n">
        <v>44833.60123842592</v>
      </c>
      <c r="C256" s="1" t="n">
        <v>45891</v>
      </c>
      <c r="D256" t="inlineStr">
        <is>
          <t>KALMAR LÄN</t>
        </is>
      </c>
      <c r="E256" t="inlineStr">
        <is>
          <t>VIMMERBY</t>
        </is>
      </c>
      <c r="G256" t="n">
        <v>4.2</v>
      </c>
      <c r="H256" t="n">
        <v>0</v>
      </c>
      <c r="I256" t="n">
        <v>0</v>
      </c>
      <c r="J256" t="n">
        <v>0</v>
      </c>
      <c r="K256" t="n">
        <v>0</v>
      </c>
      <c r="L256" t="n">
        <v>0</v>
      </c>
      <c r="M256" t="n">
        <v>0</v>
      </c>
      <c r="N256" t="n">
        <v>0</v>
      </c>
      <c r="O256" t="n">
        <v>0</v>
      </c>
      <c r="P256" t="n">
        <v>0</v>
      </c>
      <c r="Q256" t="n">
        <v>0</v>
      </c>
      <c r="R256" s="2" t="inlineStr"/>
    </row>
    <row r="257" ht="15" customHeight="1">
      <c r="A257" t="inlineStr">
        <is>
          <t>A 5925-2022</t>
        </is>
      </c>
      <c r="B257" s="1" t="n">
        <v>44598.7384837963</v>
      </c>
      <c r="C257" s="1" t="n">
        <v>45891</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845-2023</t>
        </is>
      </c>
      <c r="B258" s="1" t="n">
        <v>44931</v>
      </c>
      <c r="C258" s="1" t="n">
        <v>45891</v>
      </c>
      <c r="D258" t="inlineStr">
        <is>
          <t>KALMAR LÄN</t>
        </is>
      </c>
      <c r="E258" t="inlineStr">
        <is>
          <t>VIMMERBY</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50087-2023</t>
        </is>
      </c>
      <c r="B259" s="1" t="n">
        <v>45215.59743055556</v>
      </c>
      <c r="C259" s="1" t="n">
        <v>45891</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33681-2022</t>
        </is>
      </c>
      <c r="B260" s="1" t="n">
        <v>44789</v>
      </c>
      <c r="C260" s="1" t="n">
        <v>45891</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16119-2023</t>
        </is>
      </c>
      <c r="B261" s="1" t="n">
        <v>45027.59450231482</v>
      </c>
      <c r="C261" s="1" t="n">
        <v>45891</v>
      </c>
      <c r="D261" t="inlineStr">
        <is>
          <t>KALMAR LÄN</t>
        </is>
      </c>
      <c r="E261" t="inlineStr">
        <is>
          <t>VIMMERBY</t>
        </is>
      </c>
      <c r="F261" t="inlineStr">
        <is>
          <t>Kommuner</t>
        </is>
      </c>
      <c r="G261" t="n">
        <v>4.4</v>
      </c>
      <c r="H261" t="n">
        <v>0</v>
      </c>
      <c r="I261" t="n">
        <v>0</v>
      </c>
      <c r="J261" t="n">
        <v>0</v>
      </c>
      <c r="K261" t="n">
        <v>0</v>
      </c>
      <c r="L261" t="n">
        <v>0</v>
      </c>
      <c r="M261" t="n">
        <v>0</v>
      </c>
      <c r="N261" t="n">
        <v>0</v>
      </c>
      <c r="O261" t="n">
        <v>0</v>
      </c>
      <c r="P261" t="n">
        <v>0</v>
      </c>
      <c r="Q261" t="n">
        <v>0</v>
      </c>
      <c r="R261" s="2" t="inlineStr"/>
    </row>
    <row r="262" ht="15" customHeight="1">
      <c r="A262" t="inlineStr">
        <is>
          <t>A 30588-2023</t>
        </is>
      </c>
      <c r="B262" s="1" t="n">
        <v>45112.33599537037</v>
      </c>
      <c r="C262" s="1" t="n">
        <v>45891</v>
      </c>
      <c r="D262" t="inlineStr">
        <is>
          <t>KALMAR LÄN</t>
        </is>
      </c>
      <c r="E262" t="inlineStr">
        <is>
          <t>VIMMERBY</t>
        </is>
      </c>
      <c r="G262" t="n">
        <v>2.7</v>
      </c>
      <c r="H262" t="n">
        <v>0</v>
      </c>
      <c r="I262" t="n">
        <v>0</v>
      </c>
      <c r="J262" t="n">
        <v>0</v>
      </c>
      <c r="K262" t="n">
        <v>0</v>
      </c>
      <c r="L262" t="n">
        <v>0</v>
      </c>
      <c r="M262" t="n">
        <v>0</v>
      </c>
      <c r="N262" t="n">
        <v>0</v>
      </c>
      <c r="O262" t="n">
        <v>0</v>
      </c>
      <c r="P262" t="n">
        <v>0</v>
      </c>
      <c r="Q262" t="n">
        <v>0</v>
      </c>
      <c r="R262" s="2" t="inlineStr"/>
    </row>
    <row r="263" ht="15" customHeight="1">
      <c r="A263" t="inlineStr">
        <is>
          <t>A 58278-2023</t>
        </is>
      </c>
      <c r="B263" s="1" t="n">
        <v>45250.5278587963</v>
      </c>
      <c r="C263" s="1" t="n">
        <v>45891</v>
      </c>
      <c r="D263" t="inlineStr">
        <is>
          <t>KALMAR LÄN</t>
        </is>
      </c>
      <c r="E263" t="inlineStr">
        <is>
          <t>VIMMERBY</t>
        </is>
      </c>
      <c r="G263" t="n">
        <v>1.8</v>
      </c>
      <c r="H263" t="n">
        <v>0</v>
      </c>
      <c r="I263" t="n">
        <v>0</v>
      </c>
      <c r="J263" t="n">
        <v>0</v>
      </c>
      <c r="K263" t="n">
        <v>0</v>
      </c>
      <c r="L263" t="n">
        <v>0</v>
      </c>
      <c r="M263" t="n">
        <v>0</v>
      </c>
      <c r="N263" t="n">
        <v>0</v>
      </c>
      <c r="O263" t="n">
        <v>0</v>
      </c>
      <c r="P263" t="n">
        <v>0</v>
      </c>
      <c r="Q263" t="n">
        <v>0</v>
      </c>
      <c r="R263" s="2" t="inlineStr"/>
    </row>
    <row r="264" ht="15" customHeight="1">
      <c r="A264" t="inlineStr">
        <is>
          <t>A 36259-2022</t>
        </is>
      </c>
      <c r="B264" s="1" t="n">
        <v>44803.59118055556</v>
      </c>
      <c r="C264" s="1" t="n">
        <v>45891</v>
      </c>
      <c r="D264" t="inlineStr">
        <is>
          <t>KALMAR LÄN</t>
        </is>
      </c>
      <c r="E264" t="inlineStr">
        <is>
          <t>VIMMERBY</t>
        </is>
      </c>
      <c r="G264" t="n">
        <v>3.9</v>
      </c>
      <c r="H264" t="n">
        <v>0</v>
      </c>
      <c r="I264" t="n">
        <v>0</v>
      </c>
      <c r="J264" t="n">
        <v>0</v>
      </c>
      <c r="K264" t="n">
        <v>0</v>
      </c>
      <c r="L264" t="n">
        <v>0</v>
      </c>
      <c r="M264" t="n">
        <v>0</v>
      </c>
      <c r="N264" t="n">
        <v>0</v>
      </c>
      <c r="O264" t="n">
        <v>0</v>
      </c>
      <c r="P264" t="n">
        <v>0</v>
      </c>
      <c r="Q264" t="n">
        <v>0</v>
      </c>
      <c r="R264" s="2" t="inlineStr"/>
    </row>
    <row r="265" ht="15" customHeight="1">
      <c r="A265" t="inlineStr">
        <is>
          <t>A 50764-2020</t>
        </is>
      </c>
      <c r="B265" s="1" t="n">
        <v>44111</v>
      </c>
      <c r="C265" s="1" t="n">
        <v>45891</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45528-2021</t>
        </is>
      </c>
      <c r="B266" s="1" t="n">
        <v>44440.60415509259</v>
      </c>
      <c r="C266" s="1" t="n">
        <v>45891</v>
      </c>
      <c r="D266" t="inlineStr">
        <is>
          <t>KALMAR LÄN</t>
        </is>
      </c>
      <c r="E266" t="inlineStr">
        <is>
          <t>VIMMERBY</t>
        </is>
      </c>
      <c r="G266" t="n">
        <v>2.2</v>
      </c>
      <c r="H266" t="n">
        <v>0</v>
      </c>
      <c r="I266" t="n">
        <v>0</v>
      </c>
      <c r="J266" t="n">
        <v>0</v>
      </c>
      <c r="K266" t="n">
        <v>0</v>
      </c>
      <c r="L266" t="n">
        <v>0</v>
      </c>
      <c r="M266" t="n">
        <v>0</v>
      </c>
      <c r="N266" t="n">
        <v>0</v>
      </c>
      <c r="O266" t="n">
        <v>0</v>
      </c>
      <c r="P266" t="n">
        <v>0</v>
      </c>
      <c r="Q266" t="n">
        <v>0</v>
      </c>
      <c r="R266" s="2" t="inlineStr"/>
    </row>
    <row r="267" ht="15" customHeight="1">
      <c r="A267" t="inlineStr">
        <is>
          <t>A 36526-2023</t>
        </is>
      </c>
      <c r="B267" s="1" t="n">
        <v>45153.32778935185</v>
      </c>
      <c r="C267" s="1" t="n">
        <v>45891</v>
      </c>
      <c r="D267" t="inlineStr">
        <is>
          <t>KALMAR LÄN</t>
        </is>
      </c>
      <c r="E267" t="inlineStr">
        <is>
          <t>VIMMERBY</t>
        </is>
      </c>
      <c r="G267" t="n">
        <v>2.7</v>
      </c>
      <c r="H267" t="n">
        <v>0</v>
      </c>
      <c r="I267" t="n">
        <v>0</v>
      </c>
      <c r="J267" t="n">
        <v>0</v>
      </c>
      <c r="K267" t="n">
        <v>0</v>
      </c>
      <c r="L267" t="n">
        <v>0</v>
      </c>
      <c r="M267" t="n">
        <v>0</v>
      </c>
      <c r="N267" t="n">
        <v>0</v>
      </c>
      <c r="O267" t="n">
        <v>0</v>
      </c>
      <c r="P267" t="n">
        <v>0</v>
      </c>
      <c r="Q267" t="n">
        <v>0</v>
      </c>
      <c r="R267" s="2" t="inlineStr"/>
    </row>
    <row r="268" ht="15" customHeight="1">
      <c r="A268" t="inlineStr">
        <is>
          <t>A 17988-2025</t>
        </is>
      </c>
      <c r="B268" s="1" t="n">
        <v>45761.39600694444</v>
      </c>
      <c r="C268" s="1" t="n">
        <v>45891</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16825-2024</t>
        </is>
      </c>
      <c r="B269" s="1" t="n">
        <v>45411.47335648148</v>
      </c>
      <c r="C269" s="1" t="n">
        <v>45891</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29350-2023</t>
        </is>
      </c>
      <c r="B270" s="1" t="n">
        <v>45106</v>
      </c>
      <c r="C270" s="1" t="n">
        <v>45891</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29351-2023</t>
        </is>
      </c>
      <c r="B271" s="1" t="n">
        <v>45106.2610300926</v>
      </c>
      <c r="C271" s="1" t="n">
        <v>45891</v>
      </c>
      <c r="D271" t="inlineStr">
        <is>
          <t>KALMAR LÄN</t>
        </is>
      </c>
      <c r="E271" t="inlineStr">
        <is>
          <t>VIMMERBY</t>
        </is>
      </c>
      <c r="G271" t="n">
        <v>0.4</v>
      </c>
      <c r="H271" t="n">
        <v>0</v>
      </c>
      <c r="I271" t="n">
        <v>0</v>
      </c>
      <c r="J271" t="n">
        <v>0</v>
      </c>
      <c r="K271" t="n">
        <v>0</v>
      </c>
      <c r="L271" t="n">
        <v>0</v>
      </c>
      <c r="M271" t="n">
        <v>0</v>
      </c>
      <c r="N271" t="n">
        <v>0</v>
      </c>
      <c r="O271" t="n">
        <v>0</v>
      </c>
      <c r="P271" t="n">
        <v>0</v>
      </c>
      <c r="Q271" t="n">
        <v>0</v>
      </c>
      <c r="R271" s="2" t="inlineStr"/>
    </row>
    <row r="272" ht="15" customHeight="1">
      <c r="A272" t="inlineStr">
        <is>
          <t>A 6474-2025</t>
        </is>
      </c>
      <c r="B272" s="1" t="n">
        <v>45699.60055555555</v>
      </c>
      <c r="C272" s="1" t="n">
        <v>45891</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12033-2024</t>
        </is>
      </c>
      <c r="B273" s="1" t="n">
        <v>45377.40043981482</v>
      </c>
      <c r="C273" s="1" t="n">
        <v>45891</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16516-2023</t>
        </is>
      </c>
      <c r="B274" s="1" t="n">
        <v>45029</v>
      </c>
      <c r="C274" s="1" t="n">
        <v>45891</v>
      </c>
      <c r="D274" t="inlineStr">
        <is>
          <t>KALMAR LÄN</t>
        </is>
      </c>
      <c r="E274" t="inlineStr">
        <is>
          <t>VIMMERBY</t>
        </is>
      </c>
      <c r="G274" t="n">
        <v>4.3</v>
      </c>
      <c r="H274" t="n">
        <v>0</v>
      </c>
      <c r="I274" t="n">
        <v>0</v>
      </c>
      <c r="J274" t="n">
        <v>0</v>
      </c>
      <c r="K274" t="n">
        <v>0</v>
      </c>
      <c r="L274" t="n">
        <v>0</v>
      </c>
      <c r="M274" t="n">
        <v>0</v>
      </c>
      <c r="N274" t="n">
        <v>0</v>
      </c>
      <c r="O274" t="n">
        <v>0</v>
      </c>
      <c r="P274" t="n">
        <v>0</v>
      </c>
      <c r="Q274" t="n">
        <v>0</v>
      </c>
      <c r="R274" s="2" t="inlineStr"/>
    </row>
    <row r="275" ht="15" customHeight="1">
      <c r="A275" t="inlineStr">
        <is>
          <t>A 6214-2025</t>
        </is>
      </c>
      <c r="B275" s="1" t="n">
        <v>45698.51711805556</v>
      </c>
      <c r="C275" s="1" t="n">
        <v>45891</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2510-2023</t>
        </is>
      </c>
      <c r="B276" s="1" t="n">
        <v>44943.57309027778</v>
      </c>
      <c r="C276" s="1" t="n">
        <v>45891</v>
      </c>
      <c r="D276" t="inlineStr">
        <is>
          <t>KALMAR LÄN</t>
        </is>
      </c>
      <c r="E276" t="inlineStr">
        <is>
          <t>VIMMERBY</t>
        </is>
      </c>
      <c r="G276" t="n">
        <v>8.6</v>
      </c>
      <c r="H276" t="n">
        <v>0</v>
      </c>
      <c r="I276" t="n">
        <v>0</v>
      </c>
      <c r="J276" t="n">
        <v>0</v>
      </c>
      <c r="K276" t="n">
        <v>0</v>
      </c>
      <c r="L276" t="n">
        <v>0</v>
      </c>
      <c r="M276" t="n">
        <v>0</v>
      </c>
      <c r="N276" t="n">
        <v>0</v>
      </c>
      <c r="O276" t="n">
        <v>0</v>
      </c>
      <c r="P276" t="n">
        <v>0</v>
      </c>
      <c r="Q276" t="n">
        <v>0</v>
      </c>
      <c r="R276" s="2" t="inlineStr"/>
    </row>
    <row r="277" ht="15" customHeight="1">
      <c r="A277" t="inlineStr">
        <is>
          <t>A 49408-2023</t>
        </is>
      </c>
      <c r="B277" s="1" t="n">
        <v>45211.43555555555</v>
      </c>
      <c r="C277" s="1" t="n">
        <v>45891</v>
      </c>
      <c r="D277" t="inlineStr">
        <is>
          <t>KALMAR LÄN</t>
        </is>
      </c>
      <c r="E277" t="inlineStr">
        <is>
          <t>VIMMERBY</t>
        </is>
      </c>
      <c r="G277" t="n">
        <v>13.1</v>
      </c>
      <c r="H277" t="n">
        <v>0</v>
      </c>
      <c r="I277" t="n">
        <v>0</v>
      </c>
      <c r="J277" t="n">
        <v>0</v>
      </c>
      <c r="K277" t="n">
        <v>0</v>
      </c>
      <c r="L277" t="n">
        <v>0</v>
      </c>
      <c r="M277" t="n">
        <v>0</v>
      </c>
      <c r="N277" t="n">
        <v>0</v>
      </c>
      <c r="O277" t="n">
        <v>0</v>
      </c>
      <c r="P277" t="n">
        <v>0</v>
      </c>
      <c r="Q277" t="n">
        <v>0</v>
      </c>
      <c r="R277" s="2" t="inlineStr"/>
    </row>
    <row r="278" ht="15" customHeight="1">
      <c r="A278" t="inlineStr">
        <is>
          <t>A 27443-2023</t>
        </is>
      </c>
      <c r="B278" s="1" t="n">
        <v>45097.40524305555</v>
      </c>
      <c r="C278" s="1" t="n">
        <v>45891</v>
      </c>
      <c r="D278" t="inlineStr">
        <is>
          <t>KALMAR LÄN</t>
        </is>
      </c>
      <c r="E278" t="inlineStr">
        <is>
          <t>VIMMERBY</t>
        </is>
      </c>
      <c r="F278" t="inlineStr">
        <is>
          <t>Övriga Aktiebolag</t>
        </is>
      </c>
      <c r="G278" t="n">
        <v>2.3</v>
      </c>
      <c r="H278" t="n">
        <v>0</v>
      </c>
      <c r="I278" t="n">
        <v>0</v>
      </c>
      <c r="J278" t="n">
        <v>0</v>
      </c>
      <c r="K278" t="n">
        <v>0</v>
      </c>
      <c r="L278" t="n">
        <v>0</v>
      </c>
      <c r="M278" t="n">
        <v>0</v>
      </c>
      <c r="N278" t="n">
        <v>0</v>
      </c>
      <c r="O278" t="n">
        <v>0</v>
      </c>
      <c r="P278" t="n">
        <v>0</v>
      </c>
      <c r="Q278" t="n">
        <v>0</v>
      </c>
      <c r="R278" s="2" t="inlineStr"/>
    </row>
    <row r="279" ht="15" customHeight="1">
      <c r="A279" t="inlineStr">
        <is>
          <t>A 28395-2023</t>
        </is>
      </c>
      <c r="B279" s="1" t="n">
        <v>45100.4062962963</v>
      </c>
      <c r="C279" s="1" t="n">
        <v>45891</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17-2025</t>
        </is>
      </c>
      <c r="B280" s="1" t="n">
        <v>45658.78774305555</v>
      </c>
      <c r="C280" s="1" t="n">
        <v>45891</v>
      </c>
      <c r="D280" t="inlineStr">
        <is>
          <t>KALMAR LÄN</t>
        </is>
      </c>
      <c r="E280" t="inlineStr">
        <is>
          <t>VIMMERBY</t>
        </is>
      </c>
      <c r="G280" t="n">
        <v>4.4</v>
      </c>
      <c r="H280" t="n">
        <v>0</v>
      </c>
      <c r="I280" t="n">
        <v>0</v>
      </c>
      <c r="J280" t="n">
        <v>0</v>
      </c>
      <c r="K280" t="n">
        <v>0</v>
      </c>
      <c r="L280" t="n">
        <v>0</v>
      </c>
      <c r="M280" t="n">
        <v>0</v>
      </c>
      <c r="N280" t="n">
        <v>0</v>
      </c>
      <c r="O280" t="n">
        <v>0</v>
      </c>
      <c r="P280" t="n">
        <v>0</v>
      </c>
      <c r="Q280" t="n">
        <v>0</v>
      </c>
      <c r="R280" s="2" t="inlineStr"/>
    </row>
    <row r="281" ht="15" customHeight="1">
      <c r="A281" t="inlineStr">
        <is>
          <t>A 57555-2024</t>
        </is>
      </c>
      <c r="B281" s="1" t="n">
        <v>45630.45069444444</v>
      </c>
      <c r="C281" s="1" t="n">
        <v>45891</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48373-2021</t>
        </is>
      </c>
      <c r="B282" s="1" t="n">
        <v>44451</v>
      </c>
      <c r="C282" s="1" t="n">
        <v>45891</v>
      </c>
      <c r="D282" t="inlineStr">
        <is>
          <t>KALMAR LÄN</t>
        </is>
      </c>
      <c r="E282" t="inlineStr">
        <is>
          <t>VIMMERBY</t>
        </is>
      </c>
      <c r="G282" t="n">
        <v>2.2</v>
      </c>
      <c r="H282" t="n">
        <v>0</v>
      </c>
      <c r="I282" t="n">
        <v>0</v>
      </c>
      <c r="J282" t="n">
        <v>0</v>
      </c>
      <c r="K282" t="n">
        <v>0</v>
      </c>
      <c r="L282" t="n">
        <v>0</v>
      </c>
      <c r="M282" t="n">
        <v>0</v>
      </c>
      <c r="N282" t="n">
        <v>0</v>
      </c>
      <c r="O282" t="n">
        <v>0</v>
      </c>
      <c r="P282" t="n">
        <v>0</v>
      </c>
      <c r="Q282" t="n">
        <v>0</v>
      </c>
      <c r="R282" s="2" t="inlineStr"/>
    </row>
    <row r="283" ht="15" customHeight="1">
      <c r="A283" t="inlineStr">
        <is>
          <t>A 18501-2024</t>
        </is>
      </c>
      <c r="B283" s="1" t="n">
        <v>45425.57538194444</v>
      </c>
      <c r="C283" s="1" t="n">
        <v>45891</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18411-2021</t>
        </is>
      </c>
      <c r="B284" s="1" t="n">
        <v>44302</v>
      </c>
      <c r="C284" s="1" t="n">
        <v>45891</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52279-2023</t>
        </is>
      </c>
      <c r="B285" s="1" t="n">
        <v>45224</v>
      </c>
      <c r="C285" s="1" t="n">
        <v>45891</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52324-2023</t>
        </is>
      </c>
      <c r="B286" s="1" t="n">
        <v>45224.64659722222</v>
      </c>
      <c r="C286" s="1" t="n">
        <v>45891</v>
      </c>
      <c r="D286" t="inlineStr">
        <is>
          <t>KALMAR LÄN</t>
        </is>
      </c>
      <c r="E286" t="inlineStr">
        <is>
          <t>VIMMERBY</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7485-2024</t>
        </is>
      </c>
      <c r="B287" s="1" t="n">
        <v>45346.67184027778</v>
      </c>
      <c r="C287" s="1" t="n">
        <v>45891</v>
      </c>
      <c r="D287" t="inlineStr">
        <is>
          <t>KALMAR LÄN</t>
        </is>
      </c>
      <c r="E287" t="inlineStr">
        <is>
          <t>VIMMERBY</t>
        </is>
      </c>
      <c r="G287" t="n">
        <v>1.9</v>
      </c>
      <c r="H287" t="n">
        <v>0</v>
      </c>
      <c r="I287" t="n">
        <v>0</v>
      </c>
      <c r="J287" t="n">
        <v>0</v>
      </c>
      <c r="K287" t="n">
        <v>0</v>
      </c>
      <c r="L287" t="n">
        <v>0</v>
      </c>
      <c r="M287" t="n">
        <v>0</v>
      </c>
      <c r="N287" t="n">
        <v>0</v>
      </c>
      <c r="O287" t="n">
        <v>0</v>
      </c>
      <c r="P287" t="n">
        <v>0</v>
      </c>
      <c r="Q287" t="n">
        <v>0</v>
      </c>
      <c r="R287" s="2" t="inlineStr"/>
    </row>
    <row r="288" ht="15" customHeight="1">
      <c r="A288" t="inlineStr">
        <is>
          <t>A 25799-2023</t>
        </is>
      </c>
      <c r="B288" s="1" t="n">
        <v>45090</v>
      </c>
      <c r="C288" s="1" t="n">
        <v>45891</v>
      </c>
      <c r="D288" t="inlineStr">
        <is>
          <t>KALMAR LÄN</t>
        </is>
      </c>
      <c r="E288" t="inlineStr">
        <is>
          <t>VIMMERBY</t>
        </is>
      </c>
      <c r="G288" t="n">
        <v>7.7</v>
      </c>
      <c r="H288" t="n">
        <v>0</v>
      </c>
      <c r="I288" t="n">
        <v>0</v>
      </c>
      <c r="J288" t="n">
        <v>0</v>
      </c>
      <c r="K288" t="n">
        <v>0</v>
      </c>
      <c r="L288" t="n">
        <v>0</v>
      </c>
      <c r="M288" t="n">
        <v>0</v>
      </c>
      <c r="N288" t="n">
        <v>0</v>
      </c>
      <c r="O288" t="n">
        <v>0</v>
      </c>
      <c r="P288" t="n">
        <v>0</v>
      </c>
      <c r="Q288" t="n">
        <v>0</v>
      </c>
      <c r="R288" s="2" t="inlineStr"/>
    </row>
    <row r="289" ht="15" customHeight="1">
      <c r="A289" t="inlineStr">
        <is>
          <t>A 16015-2025</t>
        </is>
      </c>
      <c r="B289" s="1" t="n">
        <v>45749.60487268519</v>
      </c>
      <c r="C289" s="1" t="n">
        <v>45891</v>
      </c>
      <c r="D289" t="inlineStr">
        <is>
          <t>KALMAR LÄN</t>
        </is>
      </c>
      <c r="E289" t="inlineStr">
        <is>
          <t>VIMMERBY</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57256-2023</t>
        </is>
      </c>
      <c r="B290" s="1" t="n">
        <v>45245.5735300926</v>
      </c>
      <c r="C290" s="1" t="n">
        <v>45891</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23088-2024</t>
        </is>
      </c>
      <c r="B291" s="1" t="n">
        <v>45450.51092592593</v>
      </c>
      <c r="C291" s="1" t="n">
        <v>45891</v>
      </c>
      <c r="D291" t="inlineStr">
        <is>
          <t>KALMAR LÄN</t>
        </is>
      </c>
      <c r="E291" t="inlineStr">
        <is>
          <t>VIMMERBY</t>
        </is>
      </c>
      <c r="G291" t="n">
        <v>1.9</v>
      </c>
      <c r="H291" t="n">
        <v>0</v>
      </c>
      <c r="I291" t="n">
        <v>0</v>
      </c>
      <c r="J291" t="n">
        <v>0</v>
      </c>
      <c r="K291" t="n">
        <v>0</v>
      </c>
      <c r="L291" t="n">
        <v>0</v>
      </c>
      <c r="M291" t="n">
        <v>0</v>
      </c>
      <c r="N291" t="n">
        <v>0</v>
      </c>
      <c r="O291" t="n">
        <v>0</v>
      </c>
      <c r="P291" t="n">
        <v>0</v>
      </c>
      <c r="Q291" t="n">
        <v>0</v>
      </c>
      <c r="R291" s="2" t="inlineStr"/>
    </row>
    <row r="292" ht="15" customHeight="1">
      <c r="A292" t="inlineStr">
        <is>
          <t>A 6574-2023</t>
        </is>
      </c>
      <c r="B292" s="1" t="n">
        <v>44966</v>
      </c>
      <c r="C292" s="1" t="n">
        <v>45891</v>
      </c>
      <c r="D292" t="inlineStr">
        <is>
          <t>KALMAR LÄN</t>
        </is>
      </c>
      <c r="E292" t="inlineStr">
        <is>
          <t>VIMMERBY</t>
        </is>
      </c>
      <c r="G292" t="n">
        <v>2.5</v>
      </c>
      <c r="H292" t="n">
        <v>0</v>
      </c>
      <c r="I292" t="n">
        <v>0</v>
      </c>
      <c r="J292" t="n">
        <v>0</v>
      </c>
      <c r="K292" t="n">
        <v>0</v>
      </c>
      <c r="L292" t="n">
        <v>0</v>
      </c>
      <c r="M292" t="n">
        <v>0</v>
      </c>
      <c r="N292" t="n">
        <v>0</v>
      </c>
      <c r="O292" t="n">
        <v>0</v>
      </c>
      <c r="P292" t="n">
        <v>0</v>
      </c>
      <c r="Q292" t="n">
        <v>0</v>
      </c>
      <c r="R292" s="2" t="inlineStr"/>
    </row>
    <row r="293" ht="15" customHeight="1">
      <c r="A293" t="inlineStr">
        <is>
          <t>A 57189-2022</t>
        </is>
      </c>
      <c r="B293" s="1" t="n">
        <v>44895.62296296296</v>
      </c>
      <c r="C293" s="1" t="n">
        <v>45891</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32639-2023</t>
        </is>
      </c>
      <c r="B294" s="1" t="n">
        <v>45121.5965162037</v>
      </c>
      <c r="C294" s="1" t="n">
        <v>45891</v>
      </c>
      <c r="D294" t="inlineStr">
        <is>
          <t>KALMAR LÄN</t>
        </is>
      </c>
      <c r="E294" t="inlineStr">
        <is>
          <t>VIMMERBY</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32642-2023</t>
        </is>
      </c>
      <c r="B295" s="1" t="n">
        <v>45121.59954861111</v>
      </c>
      <c r="C295" s="1" t="n">
        <v>45891</v>
      </c>
      <c r="D295" t="inlineStr">
        <is>
          <t>KALMAR LÄN</t>
        </is>
      </c>
      <c r="E295" t="inlineStr">
        <is>
          <t>VIMMERBY</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32651-2023</t>
        </is>
      </c>
      <c r="B296" s="1" t="n">
        <v>45121.6096875</v>
      </c>
      <c r="C296" s="1" t="n">
        <v>45891</v>
      </c>
      <c r="D296" t="inlineStr">
        <is>
          <t>KALMAR LÄN</t>
        </is>
      </c>
      <c r="E296" t="inlineStr">
        <is>
          <t>VIMMERBY</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40730-2024</t>
        </is>
      </c>
      <c r="B297" s="1" t="n">
        <v>45558.44914351852</v>
      </c>
      <c r="C297" s="1" t="n">
        <v>45891</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20054-2023</t>
        </is>
      </c>
      <c r="B298" s="1" t="n">
        <v>45054.6750462963</v>
      </c>
      <c r="C298" s="1" t="n">
        <v>45891</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1987-2024</t>
        </is>
      </c>
      <c r="B299" s="1" t="n">
        <v>45308.61152777778</v>
      </c>
      <c r="C299" s="1" t="n">
        <v>45891</v>
      </c>
      <c r="D299" t="inlineStr">
        <is>
          <t>KALMAR LÄN</t>
        </is>
      </c>
      <c r="E299" t="inlineStr">
        <is>
          <t>VIMMERBY</t>
        </is>
      </c>
      <c r="G299" t="n">
        <v>3</v>
      </c>
      <c r="H299" t="n">
        <v>0</v>
      </c>
      <c r="I299" t="n">
        <v>0</v>
      </c>
      <c r="J299" t="n">
        <v>0</v>
      </c>
      <c r="K299" t="n">
        <v>0</v>
      </c>
      <c r="L299" t="n">
        <v>0</v>
      </c>
      <c r="M299" t="n">
        <v>0</v>
      </c>
      <c r="N299" t="n">
        <v>0</v>
      </c>
      <c r="O299" t="n">
        <v>0</v>
      </c>
      <c r="P299" t="n">
        <v>0</v>
      </c>
      <c r="Q299" t="n">
        <v>0</v>
      </c>
      <c r="R299" s="2" t="inlineStr"/>
    </row>
    <row r="300" ht="15" customHeight="1">
      <c r="A300" t="inlineStr">
        <is>
          <t>A 527-2024</t>
        </is>
      </c>
      <c r="B300" s="1" t="n">
        <v>45299.47513888889</v>
      </c>
      <c r="C300" s="1" t="n">
        <v>45891</v>
      </c>
      <c r="D300" t="inlineStr">
        <is>
          <t>KALMAR LÄN</t>
        </is>
      </c>
      <c r="E300" t="inlineStr">
        <is>
          <t>VIMMERBY</t>
        </is>
      </c>
      <c r="G300" t="n">
        <v>2.2</v>
      </c>
      <c r="H300" t="n">
        <v>0</v>
      </c>
      <c r="I300" t="n">
        <v>0</v>
      </c>
      <c r="J300" t="n">
        <v>0</v>
      </c>
      <c r="K300" t="n">
        <v>0</v>
      </c>
      <c r="L300" t="n">
        <v>0</v>
      </c>
      <c r="M300" t="n">
        <v>0</v>
      </c>
      <c r="N300" t="n">
        <v>0</v>
      </c>
      <c r="O300" t="n">
        <v>0</v>
      </c>
      <c r="P300" t="n">
        <v>0</v>
      </c>
      <c r="Q300" t="n">
        <v>0</v>
      </c>
      <c r="R300" s="2" t="inlineStr"/>
    </row>
    <row r="301" ht="15" customHeight="1">
      <c r="A301" t="inlineStr">
        <is>
          <t>A 58750-2022</t>
        </is>
      </c>
      <c r="B301" s="1" t="n">
        <v>44903.33363425926</v>
      </c>
      <c r="C301" s="1" t="n">
        <v>45891</v>
      </c>
      <c r="D301" t="inlineStr">
        <is>
          <t>KALMAR LÄN</t>
        </is>
      </c>
      <c r="E301" t="inlineStr">
        <is>
          <t>VIMMERBY</t>
        </is>
      </c>
      <c r="G301" t="n">
        <v>3.3</v>
      </c>
      <c r="H301" t="n">
        <v>0</v>
      </c>
      <c r="I301" t="n">
        <v>0</v>
      </c>
      <c r="J301" t="n">
        <v>0</v>
      </c>
      <c r="K301" t="n">
        <v>0</v>
      </c>
      <c r="L301" t="n">
        <v>0</v>
      </c>
      <c r="M301" t="n">
        <v>0</v>
      </c>
      <c r="N301" t="n">
        <v>0</v>
      </c>
      <c r="O301" t="n">
        <v>0</v>
      </c>
      <c r="P301" t="n">
        <v>0</v>
      </c>
      <c r="Q301" t="n">
        <v>0</v>
      </c>
      <c r="R301" s="2" t="inlineStr"/>
    </row>
    <row r="302" ht="15" customHeight="1">
      <c r="A302" t="inlineStr">
        <is>
          <t>A 9643-2023</t>
        </is>
      </c>
      <c r="B302" s="1" t="n">
        <v>44984</v>
      </c>
      <c r="C302" s="1" t="n">
        <v>45891</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56213-2024</t>
        </is>
      </c>
      <c r="B303" s="1" t="n">
        <v>45624.60141203704</v>
      </c>
      <c r="C303" s="1" t="n">
        <v>45891</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20126-2024</t>
        </is>
      </c>
      <c r="B304" s="1" t="n">
        <v>45434.55471064815</v>
      </c>
      <c r="C304" s="1" t="n">
        <v>45891</v>
      </c>
      <c r="D304" t="inlineStr">
        <is>
          <t>KALMAR LÄN</t>
        </is>
      </c>
      <c r="E304" t="inlineStr">
        <is>
          <t>VIMMERBY</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19865-2021</t>
        </is>
      </c>
      <c r="B305" s="1" t="n">
        <v>44312</v>
      </c>
      <c r="C305" s="1" t="n">
        <v>45891</v>
      </c>
      <c r="D305" t="inlineStr">
        <is>
          <t>KALMAR LÄN</t>
        </is>
      </c>
      <c r="E305" t="inlineStr">
        <is>
          <t>VIMMERBY</t>
        </is>
      </c>
      <c r="G305" t="n">
        <v>8.6</v>
      </c>
      <c r="H305" t="n">
        <v>0</v>
      </c>
      <c r="I305" t="n">
        <v>0</v>
      </c>
      <c r="J305" t="n">
        <v>0</v>
      </c>
      <c r="K305" t="n">
        <v>0</v>
      </c>
      <c r="L305" t="n">
        <v>0</v>
      </c>
      <c r="M305" t="n">
        <v>0</v>
      </c>
      <c r="N305" t="n">
        <v>0</v>
      </c>
      <c r="O305" t="n">
        <v>0</v>
      </c>
      <c r="P305" t="n">
        <v>0</v>
      </c>
      <c r="Q305" t="n">
        <v>0</v>
      </c>
      <c r="R305" s="2" t="inlineStr"/>
    </row>
    <row r="306" ht="15" customHeight="1">
      <c r="A306" t="inlineStr">
        <is>
          <t>A 9694-2023</t>
        </is>
      </c>
      <c r="B306" s="1" t="n">
        <v>44984.45895833334</v>
      </c>
      <c r="C306" s="1" t="n">
        <v>45891</v>
      </c>
      <c r="D306" t="inlineStr">
        <is>
          <t>KALMAR LÄN</t>
        </is>
      </c>
      <c r="E306" t="inlineStr">
        <is>
          <t>VIMMERBY</t>
        </is>
      </c>
      <c r="G306" t="n">
        <v>2.1</v>
      </c>
      <c r="H306" t="n">
        <v>0</v>
      </c>
      <c r="I306" t="n">
        <v>0</v>
      </c>
      <c r="J306" t="n">
        <v>0</v>
      </c>
      <c r="K306" t="n">
        <v>0</v>
      </c>
      <c r="L306" t="n">
        <v>0</v>
      </c>
      <c r="M306" t="n">
        <v>0</v>
      </c>
      <c r="N306" t="n">
        <v>0</v>
      </c>
      <c r="O306" t="n">
        <v>0</v>
      </c>
      <c r="P306" t="n">
        <v>0</v>
      </c>
      <c r="Q306" t="n">
        <v>0</v>
      </c>
      <c r="R306" s="2" t="inlineStr"/>
    </row>
    <row r="307" ht="15" customHeight="1">
      <c r="A307" t="inlineStr">
        <is>
          <t>A 9710-2023</t>
        </is>
      </c>
      <c r="B307" s="1" t="n">
        <v>44984</v>
      </c>
      <c r="C307" s="1" t="n">
        <v>45891</v>
      </c>
      <c r="D307" t="inlineStr">
        <is>
          <t>KALMAR LÄN</t>
        </is>
      </c>
      <c r="E307" t="inlineStr">
        <is>
          <t>VIMMERBY</t>
        </is>
      </c>
      <c r="G307" t="n">
        <v>3.7</v>
      </c>
      <c r="H307" t="n">
        <v>0</v>
      </c>
      <c r="I307" t="n">
        <v>0</v>
      </c>
      <c r="J307" t="n">
        <v>0</v>
      </c>
      <c r="K307" t="n">
        <v>0</v>
      </c>
      <c r="L307" t="n">
        <v>0</v>
      </c>
      <c r="M307" t="n">
        <v>0</v>
      </c>
      <c r="N307" t="n">
        <v>0</v>
      </c>
      <c r="O307" t="n">
        <v>0</v>
      </c>
      <c r="P307" t="n">
        <v>0</v>
      </c>
      <c r="Q307" t="n">
        <v>0</v>
      </c>
      <c r="R307" s="2" t="inlineStr"/>
    </row>
    <row r="308" ht="15" customHeight="1">
      <c r="A308" t="inlineStr">
        <is>
          <t>A 6216-2025</t>
        </is>
      </c>
      <c r="B308" s="1" t="n">
        <v>45698.52806712963</v>
      </c>
      <c r="C308" s="1" t="n">
        <v>45891</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37192-2024</t>
        </is>
      </c>
      <c r="B309" s="1" t="n">
        <v>45539.66027777778</v>
      </c>
      <c r="C309" s="1" t="n">
        <v>45891</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2260-2022</t>
        </is>
      </c>
      <c r="B310" s="1" t="n">
        <v>44578.62943287037</v>
      </c>
      <c r="C310" s="1" t="n">
        <v>45891</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50860-2022</t>
        </is>
      </c>
      <c r="B311" s="1" t="n">
        <v>44867</v>
      </c>
      <c r="C311" s="1" t="n">
        <v>45891</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53483-2022</t>
        </is>
      </c>
      <c r="B312" s="1" t="n">
        <v>44879.55940972222</v>
      </c>
      <c r="C312" s="1" t="n">
        <v>45891</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58962-2022</t>
        </is>
      </c>
      <c r="B313" s="1" t="n">
        <v>44903</v>
      </c>
      <c r="C313" s="1" t="n">
        <v>45891</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47063-2022</t>
        </is>
      </c>
      <c r="B314" s="1" t="n">
        <v>44852</v>
      </c>
      <c r="C314" s="1" t="n">
        <v>45891</v>
      </c>
      <c r="D314" t="inlineStr">
        <is>
          <t>KALMAR LÄN</t>
        </is>
      </c>
      <c r="E314" t="inlineStr">
        <is>
          <t>VIMMERBY</t>
        </is>
      </c>
      <c r="G314" t="n">
        <v>2.5</v>
      </c>
      <c r="H314" t="n">
        <v>0</v>
      </c>
      <c r="I314" t="n">
        <v>0</v>
      </c>
      <c r="J314" t="n">
        <v>0</v>
      </c>
      <c r="K314" t="n">
        <v>0</v>
      </c>
      <c r="L314" t="n">
        <v>0</v>
      </c>
      <c r="M314" t="n">
        <v>0</v>
      </c>
      <c r="N314" t="n">
        <v>0</v>
      </c>
      <c r="O314" t="n">
        <v>0</v>
      </c>
      <c r="P314" t="n">
        <v>0</v>
      </c>
      <c r="Q314" t="n">
        <v>0</v>
      </c>
      <c r="R314" s="2" t="inlineStr"/>
    </row>
    <row r="315" ht="15" customHeight="1">
      <c r="A315" t="inlineStr">
        <is>
          <t>A 58967-2022</t>
        </is>
      </c>
      <c r="B315" s="1" t="n">
        <v>44896</v>
      </c>
      <c r="C315" s="1" t="n">
        <v>45891</v>
      </c>
      <c r="D315" t="inlineStr">
        <is>
          <t>KALMAR LÄN</t>
        </is>
      </c>
      <c r="E315" t="inlineStr">
        <is>
          <t>VIMMERBY</t>
        </is>
      </c>
      <c r="G315" t="n">
        <v>5</v>
      </c>
      <c r="H315" t="n">
        <v>0</v>
      </c>
      <c r="I315" t="n">
        <v>0</v>
      </c>
      <c r="J315" t="n">
        <v>0</v>
      </c>
      <c r="K315" t="n">
        <v>0</v>
      </c>
      <c r="L315" t="n">
        <v>0</v>
      </c>
      <c r="M315" t="n">
        <v>0</v>
      </c>
      <c r="N315" t="n">
        <v>0</v>
      </c>
      <c r="O315" t="n">
        <v>0</v>
      </c>
      <c r="P315" t="n">
        <v>0</v>
      </c>
      <c r="Q315" t="n">
        <v>0</v>
      </c>
      <c r="R315" s="2" t="inlineStr"/>
    </row>
    <row r="316" ht="15" customHeight="1">
      <c r="A316" t="inlineStr">
        <is>
          <t>A 57682-2022</t>
        </is>
      </c>
      <c r="B316" s="1" t="n">
        <v>44890</v>
      </c>
      <c r="C316" s="1" t="n">
        <v>45891</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12819-2024</t>
        </is>
      </c>
      <c r="B317" s="1" t="n">
        <v>45384.66917824074</v>
      </c>
      <c r="C317" s="1" t="n">
        <v>45891</v>
      </c>
      <c r="D317" t="inlineStr">
        <is>
          <t>KALMAR LÄN</t>
        </is>
      </c>
      <c r="E317" t="inlineStr">
        <is>
          <t>VIMMERBY</t>
        </is>
      </c>
      <c r="G317" t="n">
        <v>5.1</v>
      </c>
      <c r="H317" t="n">
        <v>0</v>
      </c>
      <c r="I317" t="n">
        <v>0</v>
      </c>
      <c r="J317" t="n">
        <v>0</v>
      </c>
      <c r="K317" t="n">
        <v>0</v>
      </c>
      <c r="L317" t="n">
        <v>0</v>
      </c>
      <c r="M317" t="n">
        <v>0</v>
      </c>
      <c r="N317" t="n">
        <v>0</v>
      </c>
      <c r="O317" t="n">
        <v>0</v>
      </c>
      <c r="P317" t="n">
        <v>0</v>
      </c>
      <c r="Q317" t="n">
        <v>0</v>
      </c>
      <c r="R317" s="2" t="inlineStr"/>
    </row>
    <row r="318" ht="15" customHeight="1">
      <c r="A318" t="inlineStr">
        <is>
          <t>A 7944-2024</t>
        </is>
      </c>
      <c r="B318" s="1" t="n">
        <v>45350.53306712963</v>
      </c>
      <c r="C318" s="1" t="n">
        <v>45891</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598-2025</t>
        </is>
      </c>
      <c r="B319" s="1" t="n">
        <v>45660</v>
      </c>
      <c r="C319" s="1" t="n">
        <v>45891</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4076-2022</t>
        </is>
      </c>
      <c r="B320" s="1" t="n">
        <v>44588.37998842593</v>
      </c>
      <c r="C320" s="1" t="n">
        <v>45891</v>
      </c>
      <c r="D320" t="inlineStr">
        <is>
          <t>KALMAR LÄN</t>
        </is>
      </c>
      <c r="E320" t="inlineStr">
        <is>
          <t>VIMMERBY</t>
        </is>
      </c>
      <c r="G320" t="n">
        <v>3</v>
      </c>
      <c r="H320" t="n">
        <v>0</v>
      </c>
      <c r="I320" t="n">
        <v>0</v>
      </c>
      <c r="J320" t="n">
        <v>0</v>
      </c>
      <c r="K320" t="n">
        <v>0</v>
      </c>
      <c r="L320" t="n">
        <v>0</v>
      </c>
      <c r="M320" t="n">
        <v>0</v>
      </c>
      <c r="N320" t="n">
        <v>0</v>
      </c>
      <c r="O320" t="n">
        <v>0</v>
      </c>
      <c r="P320" t="n">
        <v>0</v>
      </c>
      <c r="Q320" t="n">
        <v>0</v>
      </c>
      <c r="R320" s="2" t="inlineStr"/>
    </row>
    <row r="321" ht="15" customHeight="1">
      <c r="A321" t="inlineStr">
        <is>
          <t>A 4122-2022</t>
        </is>
      </c>
      <c r="B321" s="1" t="n">
        <v>44588</v>
      </c>
      <c r="C321" s="1" t="n">
        <v>45891</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10674-2021</t>
        </is>
      </c>
      <c r="B322" s="1" t="n">
        <v>44258</v>
      </c>
      <c r="C322" s="1" t="n">
        <v>45891</v>
      </c>
      <c r="D322" t="inlineStr">
        <is>
          <t>KALMAR LÄN</t>
        </is>
      </c>
      <c r="E322" t="inlineStr">
        <is>
          <t>VIMMERBY</t>
        </is>
      </c>
      <c r="G322" t="n">
        <v>8.4</v>
      </c>
      <c r="H322" t="n">
        <v>0</v>
      </c>
      <c r="I322" t="n">
        <v>0</v>
      </c>
      <c r="J322" t="n">
        <v>0</v>
      </c>
      <c r="K322" t="n">
        <v>0</v>
      </c>
      <c r="L322" t="n">
        <v>0</v>
      </c>
      <c r="M322" t="n">
        <v>0</v>
      </c>
      <c r="N322" t="n">
        <v>0</v>
      </c>
      <c r="O322" t="n">
        <v>0</v>
      </c>
      <c r="P322" t="n">
        <v>0</v>
      </c>
      <c r="Q322" t="n">
        <v>0</v>
      </c>
      <c r="R322" s="2" t="inlineStr"/>
    </row>
    <row r="323" ht="15" customHeight="1">
      <c r="A323" t="inlineStr">
        <is>
          <t>A 31382-2023</t>
        </is>
      </c>
      <c r="B323" s="1" t="n">
        <v>45114.55136574074</v>
      </c>
      <c r="C323" s="1" t="n">
        <v>45891</v>
      </c>
      <c r="D323" t="inlineStr">
        <is>
          <t>KALMAR LÄN</t>
        </is>
      </c>
      <c r="E323" t="inlineStr">
        <is>
          <t>VIMMERBY</t>
        </is>
      </c>
      <c r="G323" t="n">
        <v>3.7</v>
      </c>
      <c r="H323" t="n">
        <v>0</v>
      </c>
      <c r="I323" t="n">
        <v>0</v>
      </c>
      <c r="J323" t="n">
        <v>0</v>
      </c>
      <c r="K323" t="n">
        <v>0</v>
      </c>
      <c r="L323" t="n">
        <v>0</v>
      </c>
      <c r="M323" t="n">
        <v>0</v>
      </c>
      <c r="N323" t="n">
        <v>0</v>
      </c>
      <c r="O323" t="n">
        <v>0</v>
      </c>
      <c r="P323" t="n">
        <v>0</v>
      </c>
      <c r="Q323" t="n">
        <v>0</v>
      </c>
      <c r="R323" s="2" t="inlineStr"/>
    </row>
    <row r="324" ht="15" customHeight="1">
      <c r="A324" t="inlineStr">
        <is>
          <t>A 11073-2023</t>
        </is>
      </c>
      <c r="B324" s="1" t="n">
        <v>44992</v>
      </c>
      <c r="C324" s="1" t="n">
        <v>45891</v>
      </c>
      <c r="D324" t="inlineStr">
        <is>
          <t>KALMAR LÄN</t>
        </is>
      </c>
      <c r="E324" t="inlineStr">
        <is>
          <t>VIMMERBY</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65961-2020</t>
        </is>
      </c>
      <c r="B325" s="1" t="n">
        <v>44175.39748842592</v>
      </c>
      <c r="C325" s="1" t="n">
        <v>45891</v>
      </c>
      <c r="D325" t="inlineStr">
        <is>
          <t>KALMAR LÄN</t>
        </is>
      </c>
      <c r="E325" t="inlineStr">
        <is>
          <t>VIMMERBY</t>
        </is>
      </c>
      <c r="G325" t="n">
        <v>2.6</v>
      </c>
      <c r="H325" t="n">
        <v>0</v>
      </c>
      <c r="I325" t="n">
        <v>0</v>
      </c>
      <c r="J325" t="n">
        <v>0</v>
      </c>
      <c r="K325" t="n">
        <v>0</v>
      </c>
      <c r="L325" t="n">
        <v>0</v>
      </c>
      <c r="M325" t="n">
        <v>0</v>
      </c>
      <c r="N325" t="n">
        <v>0</v>
      </c>
      <c r="O325" t="n">
        <v>0</v>
      </c>
      <c r="P325" t="n">
        <v>0</v>
      </c>
      <c r="Q325" t="n">
        <v>0</v>
      </c>
      <c r="R325" s="2" t="inlineStr"/>
    </row>
    <row r="326" ht="15" customHeight="1">
      <c r="A326" t="inlineStr">
        <is>
          <t>A 10807-2024</t>
        </is>
      </c>
      <c r="B326" s="1" t="n">
        <v>45369.62780092593</v>
      </c>
      <c r="C326" s="1" t="n">
        <v>45891</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40260-2024</t>
        </is>
      </c>
      <c r="B327" s="1" t="n">
        <v>45554.63225694445</v>
      </c>
      <c r="C327" s="1" t="n">
        <v>45891</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10787-2025</t>
        </is>
      </c>
      <c r="B328" s="1" t="n">
        <v>45722.48915509259</v>
      </c>
      <c r="C328" s="1" t="n">
        <v>45891</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58577-2024</t>
        </is>
      </c>
      <c r="B329" s="1" t="n">
        <v>45635.4874537037</v>
      </c>
      <c r="C329" s="1" t="n">
        <v>45891</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9624-2024</t>
        </is>
      </c>
      <c r="B330" s="1" t="n">
        <v>45361.90282407407</v>
      </c>
      <c r="C330" s="1" t="n">
        <v>45891</v>
      </c>
      <c r="D330" t="inlineStr">
        <is>
          <t>KALMAR LÄN</t>
        </is>
      </c>
      <c r="E330" t="inlineStr">
        <is>
          <t>VIMMERBY</t>
        </is>
      </c>
      <c r="G330" t="n">
        <v>3.8</v>
      </c>
      <c r="H330" t="n">
        <v>0</v>
      </c>
      <c r="I330" t="n">
        <v>0</v>
      </c>
      <c r="J330" t="n">
        <v>0</v>
      </c>
      <c r="K330" t="n">
        <v>0</v>
      </c>
      <c r="L330" t="n">
        <v>0</v>
      </c>
      <c r="M330" t="n">
        <v>0</v>
      </c>
      <c r="N330" t="n">
        <v>0</v>
      </c>
      <c r="O330" t="n">
        <v>0</v>
      </c>
      <c r="P330" t="n">
        <v>0</v>
      </c>
      <c r="Q330" t="n">
        <v>0</v>
      </c>
      <c r="R330" s="2" t="inlineStr"/>
    </row>
    <row r="331" ht="15" customHeight="1">
      <c r="A331" t="inlineStr">
        <is>
          <t>A 38198-2024</t>
        </is>
      </c>
      <c r="B331" s="1" t="n">
        <v>45545.49508101852</v>
      </c>
      <c r="C331" s="1" t="n">
        <v>45891</v>
      </c>
      <c r="D331" t="inlineStr">
        <is>
          <t>KALMAR LÄN</t>
        </is>
      </c>
      <c r="E331" t="inlineStr">
        <is>
          <t>VIMMERBY</t>
        </is>
      </c>
      <c r="G331" t="n">
        <v>7.9</v>
      </c>
      <c r="H331" t="n">
        <v>0</v>
      </c>
      <c r="I331" t="n">
        <v>0</v>
      </c>
      <c r="J331" t="n">
        <v>0</v>
      </c>
      <c r="K331" t="n">
        <v>0</v>
      </c>
      <c r="L331" t="n">
        <v>0</v>
      </c>
      <c r="M331" t="n">
        <v>0</v>
      </c>
      <c r="N331" t="n">
        <v>0</v>
      </c>
      <c r="O331" t="n">
        <v>0</v>
      </c>
      <c r="P331" t="n">
        <v>0</v>
      </c>
      <c r="Q331" t="n">
        <v>0</v>
      </c>
      <c r="R331" s="2" t="inlineStr"/>
    </row>
    <row r="332" ht="15" customHeight="1">
      <c r="A332" t="inlineStr">
        <is>
          <t>A 52327-2023</t>
        </is>
      </c>
      <c r="B332" s="1" t="n">
        <v>45224.6515162037</v>
      </c>
      <c r="C332" s="1" t="n">
        <v>45891</v>
      </c>
      <c r="D332" t="inlineStr">
        <is>
          <t>KALMAR LÄN</t>
        </is>
      </c>
      <c r="E332" t="inlineStr">
        <is>
          <t>VIMMERBY</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43617-2024</t>
        </is>
      </c>
      <c r="B333" s="1" t="n">
        <v>45569.47494212963</v>
      </c>
      <c r="C333" s="1" t="n">
        <v>45891</v>
      </c>
      <c r="D333" t="inlineStr">
        <is>
          <t>KALMAR LÄN</t>
        </is>
      </c>
      <c r="E333" t="inlineStr">
        <is>
          <t>VIMMERBY</t>
        </is>
      </c>
      <c r="G333" t="n">
        <v>2.7</v>
      </c>
      <c r="H333" t="n">
        <v>0</v>
      </c>
      <c r="I333" t="n">
        <v>0</v>
      </c>
      <c r="J333" t="n">
        <v>0</v>
      </c>
      <c r="K333" t="n">
        <v>0</v>
      </c>
      <c r="L333" t="n">
        <v>0</v>
      </c>
      <c r="M333" t="n">
        <v>0</v>
      </c>
      <c r="N333" t="n">
        <v>0</v>
      </c>
      <c r="O333" t="n">
        <v>0</v>
      </c>
      <c r="P333" t="n">
        <v>0</v>
      </c>
      <c r="Q333" t="n">
        <v>0</v>
      </c>
      <c r="R333" s="2" t="inlineStr"/>
    </row>
    <row r="334" ht="15" customHeight="1">
      <c r="A334" t="inlineStr">
        <is>
          <t>A 59955-2023</t>
        </is>
      </c>
      <c r="B334" s="1" t="n">
        <v>45257.70313657408</v>
      </c>
      <c r="C334" s="1" t="n">
        <v>45891</v>
      </c>
      <c r="D334" t="inlineStr">
        <is>
          <t>KALMAR LÄN</t>
        </is>
      </c>
      <c r="E334" t="inlineStr">
        <is>
          <t>VIMMERBY</t>
        </is>
      </c>
      <c r="G334" t="n">
        <v>13.8</v>
      </c>
      <c r="H334" t="n">
        <v>0</v>
      </c>
      <c r="I334" t="n">
        <v>0</v>
      </c>
      <c r="J334" t="n">
        <v>0</v>
      </c>
      <c r="K334" t="n">
        <v>0</v>
      </c>
      <c r="L334" t="n">
        <v>0</v>
      </c>
      <c r="M334" t="n">
        <v>0</v>
      </c>
      <c r="N334" t="n">
        <v>0</v>
      </c>
      <c r="O334" t="n">
        <v>0</v>
      </c>
      <c r="P334" t="n">
        <v>0</v>
      </c>
      <c r="Q334" t="n">
        <v>0</v>
      </c>
      <c r="R334" s="2" t="inlineStr"/>
    </row>
    <row r="335" ht="15" customHeight="1">
      <c r="A335" t="inlineStr">
        <is>
          <t>A 29616-2022</t>
        </is>
      </c>
      <c r="B335" s="1" t="n">
        <v>44754</v>
      </c>
      <c r="C335" s="1" t="n">
        <v>45891</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29348-2023</t>
        </is>
      </c>
      <c r="B336" s="1" t="n">
        <v>45106.25025462963</v>
      </c>
      <c r="C336" s="1" t="n">
        <v>45891</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28403-2023</t>
        </is>
      </c>
      <c r="B337" s="1" t="n">
        <v>45100.85270833333</v>
      </c>
      <c r="C337" s="1" t="n">
        <v>45891</v>
      </c>
      <c r="D337" t="inlineStr">
        <is>
          <t>KALMAR LÄN</t>
        </is>
      </c>
      <c r="E337" t="inlineStr">
        <is>
          <t>VIMMERBY</t>
        </is>
      </c>
      <c r="G337" t="n">
        <v>1.8</v>
      </c>
      <c r="H337" t="n">
        <v>0</v>
      </c>
      <c r="I337" t="n">
        <v>0</v>
      </c>
      <c r="J337" t="n">
        <v>0</v>
      </c>
      <c r="K337" t="n">
        <v>0</v>
      </c>
      <c r="L337" t="n">
        <v>0</v>
      </c>
      <c r="M337" t="n">
        <v>0</v>
      </c>
      <c r="N337" t="n">
        <v>0</v>
      </c>
      <c r="O337" t="n">
        <v>0</v>
      </c>
      <c r="P337" t="n">
        <v>0</v>
      </c>
      <c r="Q337" t="n">
        <v>0</v>
      </c>
      <c r="R337" s="2" t="inlineStr"/>
    </row>
    <row r="338" ht="15" customHeight="1">
      <c r="A338" t="inlineStr">
        <is>
          <t>A 22264-2023</t>
        </is>
      </c>
      <c r="B338" s="1" t="n">
        <v>45070.3665625</v>
      </c>
      <c r="C338" s="1" t="n">
        <v>45891</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22266-2023</t>
        </is>
      </c>
      <c r="B339" s="1" t="n">
        <v>45070</v>
      </c>
      <c r="C339" s="1" t="n">
        <v>45891</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36802-2021</t>
        </is>
      </c>
      <c r="B340" s="1" t="n">
        <v>44392</v>
      </c>
      <c r="C340" s="1" t="n">
        <v>45891</v>
      </c>
      <c r="D340" t="inlineStr">
        <is>
          <t>KALMAR LÄN</t>
        </is>
      </c>
      <c r="E340" t="inlineStr">
        <is>
          <t>VIMMERBY</t>
        </is>
      </c>
      <c r="F340" t="inlineStr">
        <is>
          <t>Sveaskog</t>
        </is>
      </c>
      <c r="G340" t="n">
        <v>4.6</v>
      </c>
      <c r="H340" t="n">
        <v>0</v>
      </c>
      <c r="I340" t="n">
        <v>0</v>
      </c>
      <c r="J340" t="n">
        <v>0</v>
      </c>
      <c r="K340" t="n">
        <v>0</v>
      </c>
      <c r="L340" t="n">
        <v>0</v>
      </c>
      <c r="M340" t="n">
        <v>0</v>
      </c>
      <c r="N340" t="n">
        <v>0</v>
      </c>
      <c r="O340" t="n">
        <v>0</v>
      </c>
      <c r="P340" t="n">
        <v>0</v>
      </c>
      <c r="Q340" t="n">
        <v>0</v>
      </c>
      <c r="R340" s="2" t="inlineStr"/>
    </row>
    <row r="341" ht="15" customHeight="1">
      <c r="A341" t="inlineStr">
        <is>
          <t>A 17511-2024</t>
        </is>
      </c>
      <c r="B341" s="1" t="n">
        <v>45415.57682870371</v>
      </c>
      <c r="C341" s="1" t="n">
        <v>45891</v>
      </c>
      <c r="D341" t="inlineStr">
        <is>
          <t>KALMAR LÄN</t>
        </is>
      </c>
      <c r="E341" t="inlineStr">
        <is>
          <t>VIMMERBY</t>
        </is>
      </c>
      <c r="G341" t="n">
        <v>5.3</v>
      </c>
      <c r="H341" t="n">
        <v>0</v>
      </c>
      <c r="I341" t="n">
        <v>0</v>
      </c>
      <c r="J341" t="n">
        <v>0</v>
      </c>
      <c r="K341" t="n">
        <v>0</v>
      </c>
      <c r="L341" t="n">
        <v>0</v>
      </c>
      <c r="M341" t="n">
        <v>0</v>
      </c>
      <c r="N341" t="n">
        <v>0</v>
      </c>
      <c r="O341" t="n">
        <v>0</v>
      </c>
      <c r="P341" t="n">
        <v>0</v>
      </c>
      <c r="Q341" t="n">
        <v>0</v>
      </c>
      <c r="R341" s="2" t="inlineStr"/>
    </row>
    <row r="342" ht="15" customHeight="1">
      <c r="A342" t="inlineStr">
        <is>
          <t>A 50091-2023</t>
        </is>
      </c>
      <c r="B342" s="1" t="n">
        <v>45215.60199074074</v>
      </c>
      <c r="C342" s="1" t="n">
        <v>45891</v>
      </c>
      <c r="D342" t="inlineStr">
        <is>
          <t>KALMAR LÄN</t>
        </is>
      </c>
      <c r="E342" t="inlineStr">
        <is>
          <t>VIMMERBY</t>
        </is>
      </c>
      <c r="G342" t="n">
        <v>1.7</v>
      </c>
      <c r="H342" t="n">
        <v>0</v>
      </c>
      <c r="I342" t="n">
        <v>0</v>
      </c>
      <c r="J342" t="n">
        <v>0</v>
      </c>
      <c r="K342" t="n">
        <v>0</v>
      </c>
      <c r="L342" t="n">
        <v>0</v>
      </c>
      <c r="M342" t="n">
        <v>0</v>
      </c>
      <c r="N342" t="n">
        <v>0</v>
      </c>
      <c r="O342" t="n">
        <v>0</v>
      </c>
      <c r="P342" t="n">
        <v>0</v>
      </c>
      <c r="Q342" t="n">
        <v>0</v>
      </c>
      <c r="R342" s="2" t="inlineStr"/>
    </row>
    <row r="343" ht="15" customHeight="1">
      <c r="A343" t="inlineStr">
        <is>
          <t>A 10303-2025</t>
        </is>
      </c>
      <c r="B343" s="1" t="n">
        <v>45720.44217592593</v>
      </c>
      <c r="C343" s="1" t="n">
        <v>45891</v>
      </c>
      <c r="D343" t="inlineStr">
        <is>
          <t>KALMAR LÄN</t>
        </is>
      </c>
      <c r="E343" t="inlineStr">
        <is>
          <t>VIMMERBY</t>
        </is>
      </c>
      <c r="G343" t="n">
        <v>0.9</v>
      </c>
      <c r="H343" t="n">
        <v>0</v>
      </c>
      <c r="I343" t="n">
        <v>0</v>
      </c>
      <c r="J343" t="n">
        <v>0</v>
      </c>
      <c r="K343" t="n">
        <v>0</v>
      </c>
      <c r="L343" t="n">
        <v>0</v>
      </c>
      <c r="M343" t="n">
        <v>0</v>
      </c>
      <c r="N343" t="n">
        <v>0</v>
      </c>
      <c r="O343" t="n">
        <v>0</v>
      </c>
      <c r="P343" t="n">
        <v>0</v>
      </c>
      <c r="Q343" t="n">
        <v>0</v>
      </c>
      <c r="R343" s="2" t="inlineStr"/>
    </row>
    <row r="344" ht="15" customHeight="1">
      <c r="A344" t="inlineStr">
        <is>
          <t>A 11027-2023</t>
        </is>
      </c>
      <c r="B344" s="1" t="n">
        <v>44991.89657407408</v>
      </c>
      <c r="C344" s="1" t="n">
        <v>45891</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61820-2023</t>
        </is>
      </c>
      <c r="B345" s="1" t="n">
        <v>45266.32614583334</v>
      </c>
      <c r="C345" s="1" t="n">
        <v>45891</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3269-2024</t>
        </is>
      </c>
      <c r="B346" s="1" t="n">
        <v>45317.40372685185</v>
      </c>
      <c r="C346" s="1" t="n">
        <v>45891</v>
      </c>
      <c r="D346" t="inlineStr">
        <is>
          <t>KALMAR LÄN</t>
        </is>
      </c>
      <c r="E346" t="inlineStr">
        <is>
          <t>VIMMERBY</t>
        </is>
      </c>
      <c r="F346" t="inlineStr">
        <is>
          <t>Övriga Aktiebolag</t>
        </is>
      </c>
      <c r="G346" t="n">
        <v>1.7</v>
      </c>
      <c r="H346" t="n">
        <v>0</v>
      </c>
      <c r="I346" t="n">
        <v>0</v>
      </c>
      <c r="J346" t="n">
        <v>0</v>
      </c>
      <c r="K346" t="n">
        <v>0</v>
      </c>
      <c r="L346" t="n">
        <v>0</v>
      </c>
      <c r="M346" t="n">
        <v>0</v>
      </c>
      <c r="N346" t="n">
        <v>0</v>
      </c>
      <c r="O346" t="n">
        <v>0</v>
      </c>
      <c r="P346" t="n">
        <v>0</v>
      </c>
      <c r="Q346" t="n">
        <v>0</v>
      </c>
      <c r="R346" s="2" t="inlineStr"/>
    </row>
    <row r="347" ht="15" customHeight="1">
      <c r="A347" t="inlineStr">
        <is>
          <t>A 2157-2024</t>
        </is>
      </c>
      <c r="B347" s="1" t="n">
        <v>45309.59487268519</v>
      </c>
      <c r="C347" s="1" t="n">
        <v>45891</v>
      </c>
      <c r="D347" t="inlineStr">
        <is>
          <t>KALMAR LÄN</t>
        </is>
      </c>
      <c r="E347" t="inlineStr">
        <is>
          <t>VIMMERBY</t>
        </is>
      </c>
      <c r="G347" t="n">
        <v>0.7</v>
      </c>
      <c r="H347" t="n">
        <v>0</v>
      </c>
      <c r="I347" t="n">
        <v>0</v>
      </c>
      <c r="J347" t="n">
        <v>0</v>
      </c>
      <c r="K347" t="n">
        <v>0</v>
      </c>
      <c r="L347" t="n">
        <v>0</v>
      </c>
      <c r="M347" t="n">
        <v>0</v>
      </c>
      <c r="N347" t="n">
        <v>0</v>
      </c>
      <c r="O347" t="n">
        <v>0</v>
      </c>
      <c r="P347" t="n">
        <v>0</v>
      </c>
      <c r="Q347" t="n">
        <v>0</v>
      </c>
      <c r="R347" s="2" t="inlineStr"/>
    </row>
    <row r="348" ht="15" customHeight="1">
      <c r="A348" t="inlineStr">
        <is>
          <t>A 66022-2021</t>
        </is>
      </c>
      <c r="B348" s="1" t="n">
        <v>44517</v>
      </c>
      <c r="C348" s="1" t="n">
        <v>45891</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29973-2023</t>
        </is>
      </c>
      <c r="B349" s="1" t="n">
        <v>45108.703125</v>
      </c>
      <c r="C349" s="1" t="n">
        <v>45891</v>
      </c>
      <c r="D349" t="inlineStr">
        <is>
          <t>KALMAR LÄN</t>
        </is>
      </c>
      <c r="E349" t="inlineStr">
        <is>
          <t>VIMMERBY</t>
        </is>
      </c>
      <c r="G349" t="n">
        <v>4</v>
      </c>
      <c r="H349" t="n">
        <v>0</v>
      </c>
      <c r="I349" t="n">
        <v>0</v>
      </c>
      <c r="J349" t="n">
        <v>0</v>
      </c>
      <c r="K349" t="n">
        <v>0</v>
      </c>
      <c r="L349" t="n">
        <v>0</v>
      </c>
      <c r="M349" t="n">
        <v>0</v>
      </c>
      <c r="N349" t="n">
        <v>0</v>
      </c>
      <c r="O349" t="n">
        <v>0</v>
      </c>
      <c r="P349" t="n">
        <v>0</v>
      </c>
      <c r="Q349" t="n">
        <v>0</v>
      </c>
      <c r="R349" s="2" t="inlineStr"/>
    </row>
    <row r="350" ht="15" customHeight="1">
      <c r="A350" t="inlineStr">
        <is>
          <t>A 9416-2024</t>
        </is>
      </c>
      <c r="B350" s="1" t="n">
        <v>45359.44837962963</v>
      </c>
      <c r="C350" s="1" t="n">
        <v>45891</v>
      </c>
      <c r="D350" t="inlineStr">
        <is>
          <t>KALMAR LÄN</t>
        </is>
      </c>
      <c r="E350" t="inlineStr">
        <is>
          <t>VIMMERBY</t>
        </is>
      </c>
      <c r="G350" t="n">
        <v>3.2</v>
      </c>
      <c r="H350" t="n">
        <v>0</v>
      </c>
      <c r="I350" t="n">
        <v>0</v>
      </c>
      <c r="J350" t="n">
        <v>0</v>
      </c>
      <c r="K350" t="n">
        <v>0</v>
      </c>
      <c r="L350" t="n">
        <v>0</v>
      </c>
      <c r="M350" t="n">
        <v>0</v>
      </c>
      <c r="N350" t="n">
        <v>0</v>
      </c>
      <c r="O350" t="n">
        <v>0</v>
      </c>
      <c r="P350" t="n">
        <v>0</v>
      </c>
      <c r="Q350" t="n">
        <v>0</v>
      </c>
      <c r="R350" s="2" t="inlineStr"/>
    </row>
    <row r="351" ht="15" customHeight="1">
      <c r="A351" t="inlineStr">
        <is>
          <t>A 58318-2021</t>
        </is>
      </c>
      <c r="B351" s="1" t="n">
        <v>44488.35878472222</v>
      </c>
      <c r="C351" s="1" t="n">
        <v>45891</v>
      </c>
      <c r="D351" t="inlineStr">
        <is>
          <t>KALMAR LÄN</t>
        </is>
      </c>
      <c r="E351" t="inlineStr">
        <is>
          <t>VIMMERBY</t>
        </is>
      </c>
      <c r="G351" t="n">
        <v>4</v>
      </c>
      <c r="H351" t="n">
        <v>0</v>
      </c>
      <c r="I351" t="n">
        <v>0</v>
      </c>
      <c r="J351" t="n">
        <v>0</v>
      </c>
      <c r="K351" t="n">
        <v>0</v>
      </c>
      <c r="L351" t="n">
        <v>0</v>
      </c>
      <c r="M351" t="n">
        <v>0</v>
      </c>
      <c r="N351" t="n">
        <v>0</v>
      </c>
      <c r="O351" t="n">
        <v>0</v>
      </c>
      <c r="P351" t="n">
        <v>0</v>
      </c>
      <c r="Q351" t="n">
        <v>0</v>
      </c>
      <c r="R351" s="2" t="inlineStr"/>
    </row>
    <row r="352" ht="15" customHeight="1">
      <c r="A352" t="inlineStr">
        <is>
          <t>A 11661-2023</t>
        </is>
      </c>
      <c r="B352" s="1" t="n">
        <v>44994.46908564815</v>
      </c>
      <c r="C352" s="1" t="n">
        <v>45891</v>
      </c>
      <c r="D352" t="inlineStr">
        <is>
          <t>KALMAR LÄN</t>
        </is>
      </c>
      <c r="E352" t="inlineStr">
        <is>
          <t>VIMMERBY</t>
        </is>
      </c>
      <c r="G352" t="n">
        <v>2.7</v>
      </c>
      <c r="H352" t="n">
        <v>0</v>
      </c>
      <c r="I352" t="n">
        <v>0</v>
      </c>
      <c r="J352" t="n">
        <v>0</v>
      </c>
      <c r="K352" t="n">
        <v>0</v>
      </c>
      <c r="L352" t="n">
        <v>0</v>
      </c>
      <c r="M352" t="n">
        <v>0</v>
      </c>
      <c r="N352" t="n">
        <v>0</v>
      </c>
      <c r="O352" t="n">
        <v>0</v>
      </c>
      <c r="P352" t="n">
        <v>0</v>
      </c>
      <c r="Q352" t="n">
        <v>0</v>
      </c>
      <c r="R352" s="2" t="inlineStr"/>
    </row>
    <row r="353" ht="15" customHeight="1">
      <c r="A353" t="inlineStr">
        <is>
          <t>A 53083-2021</t>
        </is>
      </c>
      <c r="B353" s="1" t="n">
        <v>44467.83386574074</v>
      </c>
      <c r="C353" s="1" t="n">
        <v>45891</v>
      </c>
      <c r="D353" t="inlineStr">
        <is>
          <t>KALMAR LÄN</t>
        </is>
      </c>
      <c r="E353" t="inlineStr">
        <is>
          <t>VIMMERBY</t>
        </is>
      </c>
      <c r="G353" t="n">
        <v>6.8</v>
      </c>
      <c r="H353" t="n">
        <v>0</v>
      </c>
      <c r="I353" t="n">
        <v>0</v>
      </c>
      <c r="J353" t="n">
        <v>0</v>
      </c>
      <c r="K353" t="n">
        <v>0</v>
      </c>
      <c r="L353" t="n">
        <v>0</v>
      </c>
      <c r="M353" t="n">
        <v>0</v>
      </c>
      <c r="N353" t="n">
        <v>0</v>
      </c>
      <c r="O353" t="n">
        <v>0</v>
      </c>
      <c r="P353" t="n">
        <v>0</v>
      </c>
      <c r="Q353" t="n">
        <v>0</v>
      </c>
      <c r="R353" s="2" t="inlineStr"/>
    </row>
    <row r="354" ht="15" customHeight="1">
      <c r="A354" t="inlineStr">
        <is>
          <t>A 36155-2023</t>
        </is>
      </c>
      <c r="B354" s="1" t="n">
        <v>45149.60917824074</v>
      </c>
      <c r="C354" s="1" t="n">
        <v>45891</v>
      </c>
      <c r="D354" t="inlineStr">
        <is>
          <t>KALMAR LÄN</t>
        </is>
      </c>
      <c r="E354" t="inlineStr">
        <is>
          <t>VIMMERBY</t>
        </is>
      </c>
      <c r="G354" t="n">
        <v>5</v>
      </c>
      <c r="H354" t="n">
        <v>0</v>
      </c>
      <c r="I354" t="n">
        <v>0</v>
      </c>
      <c r="J354" t="n">
        <v>0</v>
      </c>
      <c r="K354" t="n">
        <v>0</v>
      </c>
      <c r="L354" t="n">
        <v>0</v>
      </c>
      <c r="M354" t="n">
        <v>0</v>
      </c>
      <c r="N354" t="n">
        <v>0</v>
      </c>
      <c r="O354" t="n">
        <v>0</v>
      </c>
      <c r="P354" t="n">
        <v>0</v>
      </c>
      <c r="Q354" t="n">
        <v>0</v>
      </c>
      <c r="R354" s="2" t="inlineStr"/>
    </row>
    <row r="355" ht="15" customHeight="1">
      <c r="A355" t="inlineStr">
        <is>
          <t>A 29173-2024</t>
        </is>
      </c>
      <c r="B355" s="1" t="n">
        <v>45482.52887731481</v>
      </c>
      <c r="C355" s="1" t="n">
        <v>45891</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30070-2023</t>
        </is>
      </c>
      <c r="B356" s="1" t="n">
        <v>45110.4275</v>
      </c>
      <c r="C356" s="1" t="n">
        <v>45891</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40147-2023</t>
        </is>
      </c>
      <c r="B357" s="1" t="n">
        <v>45169</v>
      </c>
      <c r="C357" s="1" t="n">
        <v>45891</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11111-2024</t>
        </is>
      </c>
      <c r="B358" s="1" t="n">
        <v>45371.36359953704</v>
      </c>
      <c r="C358" s="1" t="n">
        <v>45891</v>
      </c>
      <c r="D358" t="inlineStr">
        <is>
          <t>KALMAR LÄN</t>
        </is>
      </c>
      <c r="E358" t="inlineStr">
        <is>
          <t>VIMMERBY</t>
        </is>
      </c>
      <c r="G358" t="n">
        <v>1.4</v>
      </c>
      <c r="H358" t="n">
        <v>0</v>
      </c>
      <c r="I358" t="n">
        <v>0</v>
      </c>
      <c r="J358" t="n">
        <v>0</v>
      </c>
      <c r="K358" t="n">
        <v>0</v>
      </c>
      <c r="L358" t="n">
        <v>0</v>
      </c>
      <c r="M358" t="n">
        <v>0</v>
      </c>
      <c r="N358" t="n">
        <v>0</v>
      </c>
      <c r="O358" t="n">
        <v>0</v>
      </c>
      <c r="P358" t="n">
        <v>0</v>
      </c>
      <c r="Q358" t="n">
        <v>0</v>
      </c>
      <c r="R358" s="2" t="inlineStr"/>
    </row>
    <row r="359" ht="15" customHeight="1">
      <c r="A359" t="inlineStr">
        <is>
          <t>A 11141-2024</t>
        </is>
      </c>
      <c r="B359" s="1" t="n">
        <v>45371.45865740741</v>
      </c>
      <c r="C359" s="1" t="n">
        <v>45891</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9418-2024</t>
        </is>
      </c>
      <c r="B360" s="1" t="n">
        <v>45359.45038194444</v>
      </c>
      <c r="C360" s="1" t="n">
        <v>45891</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63950-2023</t>
        </is>
      </c>
      <c r="B361" s="1" t="n">
        <v>45278</v>
      </c>
      <c r="C361" s="1" t="n">
        <v>45891</v>
      </c>
      <c r="D361" t="inlineStr">
        <is>
          <t>KALMAR LÄN</t>
        </is>
      </c>
      <c r="E361" t="inlineStr">
        <is>
          <t>VIMMERBY</t>
        </is>
      </c>
      <c r="F361" t="inlineStr">
        <is>
          <t>Kyrkan</t>
        </is>
      </c>
      <c r="G361" t="n">
        <v>2.7</v>
      </c>
      <c r="H361" t="n">
        <v>0</v>
      </c>
      <c r="I361" t="n">
        <v>0</v>
      </c>
      <c r="J361" t="n">
        <v>0</v>
      </c>
      <c r="K361" t="n">
        <v>0</v>
      </c>
      <c r="L361" t="n">
        <v>0</v>
      </c>
      <c r="M361" t="n">
        <v>0</v>
      </c>
      <c r="N361" t="n">
        <v>0</v>
      </c>
      <c r="O361" t="n">
        <v>0</v>
      </c>
      <c r="P361" t="n">
        <v>0</v>
      </c>
      <c r="Q361" t="n">
        <v>0</v>
      </c>
      <c r="R361" s="2" t="inlineStr"/>
    </row>
    <row r="362" ht="15" customHeight="1">
      <c r="A362" t="inlineStr">
        <is>
          <t>A 24096-2024</t>
        </is>
      </c>
      <c r="B362" s="1" t="n">
        <v>45456.59289351852</v>
      </c>
      <c r="C362" s="1" t="n">
        <v>45891</v>
      </c>
      <c r="D362" t="inlineStr">
        <is>
          <t>KALMAR LÄN</t>
        </is>
      </c>
      <c r="E362" t="inlineStr">
        <is>
          <t>VIMMERBY</t>
        </is>
      </c>
      <c r="G362" t="n">
        <v>2.3</v>
      </c>
      <c r="H362" t="n">
        <v>0</v>
      </c>
      <c r="I362" t="n">
        <v>0</v>
      </c>
      <c r="J362" t="n">
        <v>0</v>
      </c>
      <c r="K362" t="n">
        <v>0</v>
      </c>
      <c r="L362" t="n">
        <v>0</v>
      </c>
      <c r="M362" t="n">
        <v>0</v>
      </c>
      <c r="N362" t="n">
        <v>0</v>
      </c>
      <c r="O362" t="n">
        <v>0</v>
      </c>
      <c r="P362" t="n">
        <v>0</v>
      </c>
      <c r="Q362" t="n">
        <v>0</v>
      </c>
      <c r="R362" s="2" t="inlineStr"/>
    </row>
    <row r="363" ht="15" customHeight="1">
      <c r="A363" t="inlineStr">
        <is>
          <t>A 46078-2023</t>
        </is>
      </c>
      <c r="B363" s="1" t="n">
        <v>45196</v>
      </c>
      <c r="C363" s="1" t="n">
        <v>45891</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49313-2022</t>
        </is>
      </c>
      <c r="B364" s="1" t="n">
        <v>44861.52505787037</v>
      </c>
      <c r="C364" s="1" t="n">
        <v>45891</v>
      </c>
      <c r="D364" t="inlineStr">
        <is>
          <t>KALMAR LÄN</t>
        </is>
      </c>
      <c r="E364" t="inlineStr">
        <is>
          <t>VIMMERBY</t>
        </is>
      </c>
      <c r="G364" t="n">
        <v>1.9</v>
      </c>
      <c r="H364" t="n">
        <v>0</v>
      </c>
      <c r="I364" t="n">
        <v>0</v>
      </c>
      <c r="J364" t="n">
        <v>0</v>
      </c>
      <c r="K364" t="n">
        <v>0</v>
      </c>
      <c r="L364" t="n">
        <v>0</v>
      </c>
      <c r="M364" t="n">
        <v>0</v>
      </c>
      <c r="N364" t="n">
        <v>0</v>
      </c>
      <c r="O364" t="n">
        <v>0</v>
      </c>
      <c r="P364" t="n">
        <v>0</v>
      </c>
      <c r="Q364" t="n">
        <v>0</v>
      </c>
      <c r="R364" s="2" t="inlineStr"/>
    </row>
    <row r="365" ht="15" customHeight="1">
      <c r="A365" t="inlineStr">
        <is>
          <t>A 7643-2022</t>
        </is>
      </c>
      <c r="B365" s="1" t="n">
        <v>44607</v>
      </c>
      <c r="C365" s="1" t="n">
        <v>45891</v>
      </c>
      <c r="D365" t="inlineStr">
        <is>
          <t>KALMAR LÄN</t>
        </is>
      </c>
      <c r="E365" t="inlineStr">
        <is>
          <t>VIMMERBY</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35998-2024</t>
        </is>
      </c>
      <c r="B366" s="1" t="n">
        <v>45533.54429398148</v>
      </c>
      <c r="C366" s="1" t="n">
        <v>45891</v>
      </c>
      <c r="D366" t="inlineStr">
        <is>
          <t>KALMAR LÄN</t>
        </is>
      </c>
      <c r="E366" t="inlineStr">
        <is>
          <t>VIMMERBY</t>
        </is>
      </c>
      <c r="G366" t="n">
        <v>8.6</v>
      </c>
      <c r="H366" t="n">
        <v>0</v>
      </c>
      <c r="I366" t="n">
        <v>0</v>
      </c>
      <c r="J366" t="n">
        <v>0</v>
      </c>
      <c r="K366" t="n">
        <v>0</v>
      </c>
      <c r="L366" t="n">
        <v>0</v>
      </c>
      <c r="M366" t="n">
        <v>0</v>
      </c>
      <c r="N366" t="n">
        <v>0</v>
      </c>
      <c r="O366" t="n">
        <v>0</v>
      </c>
      <c r="P366" t="n">
        <v>0</v>
      </c>
      <c r="Q366" t="n">
        <v>0</v>
      </c>
      <c r="R366" s="2" t="inlineStr"/>
    </row>
    <row r="367" ht="15" customHeight="1">
      <c r="A367" t="inlineStr">
        <is>
          <t>A 36040-2024</t>
        </is>
      </c>
      <c r="B367" s="1" t="n">
        <v>45533.60232638889</v>
      </c>
      <c r="C367" s="1" t="n">
        <v>45891</v>
      </c>
      <c r="D367" t="inlineStr">
        <is>
          <t>KALMAR LÄN</t>
        </is>
      </c>
      <c r="E367" t="inlineStr">
        <is>
          <t>VIMMERBY</t>
        </is>
      </c>
      <c r="F367" t="inlineStr">
        <is>
          <t>Kommuner</t>
        </is>
      </c>
      <c r="G367" t="n">
        <v>3.6</v>
      </c>
      <c r="H367" t="n">
        <v>0</v>
      </c>
      <c r="I367" t="n">
        <v>0</v>
      </c>
      <c r="J367" t="n">
        <v>0</v>
      </c>
      <c r="K367" t="n">
        <v>0</v>
      </c>
      <c r="L367" t="n">
        <v>0</v>
      </c>
      <c r="M367" t="n">
        <v>0</v>
      </c>
      <c r="N367" t="n">
        <v>0</v>
      </c>
      <c r="O367" t="n">
        <v>0</v>
      </c>
      <c r="P367" t="n">
        <v>0</v>
      </c>
      <c r="Q367" t="n">
        <v>0</v>
      </c>
      <c r="R367" s="2" t="inlineStr"/>
    </row>
    <row r="368" ht="15" customHeight="1">
      <c r="A368" t="inlineStr">
        <is>
          <t>A 36043-2024</t>
        </is>
      </c>
      <c r="B368" s="1" t="n">
        <v>45533.60770833334</v>
      </c>
      <c r="C368" s="1" t="n">
        <v>45891</v>
      </c>
      <c r="D368" t="inlineStr">
        <is>
          <t>KALMAR LÄN</t>
        </is>
      </c>
      <c r="E368" t="inlineStr">
        <is>
          <t>VIMMERBY</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3494-2023</t>
        </is>
      </c>
      <c r="B369" s="1" t="n">
        <v>44949</v>
      </c>
      <c r="C369" s="1" t="n">
        <v>45891</v>
      </c>
      <c r="D369" t="inlineStr">
        <is>
          <t>KALMAR LÄN</t>
        </is>
      </c>
      <c r="E369" t="inlineStr">
        <is>
          <t>VIMMERBY</t>
        </is>
      </c>
      <c r="F369" t="inlineStr">
        <is>
          <t>Kyrkan</t>
        </is>
      </c>
      <c r="G369" t="n">
        <v>0.8</v>
      </c>
      <c r="H369" t="n">
        <v>0</v>
      </c>
      <c r="I369" t="n">
        <v>0</v>
      </c>
      <c r="J369" t="n">
        <v>0</v>
      </c>
      <c r="K369" t="n">
        <v>0</v>
      </c>
      <c r="L369" t="n">
        <v>0</v>
      </c>
      <c r="M369" t="n">
        <v>0</v>
      </c>
      <c r="N369" t="n">
        <v>0</v>
      </c>
      <c r="O369" t="n">
        <v>0</v>
      </c>
      <c r="P369" t="n">
        <v>0</v>
      </c>
      <c r="Q369" t="n">
        <v>0</v>
      </c>
      <c r="R369" s="2" t="inlineStr"/>
    </row>
    <row r="370" ht="15" customHeight="1">
      <c r="A370" t="inlineStr">
        <is>
          <t>A 13015-2023</t>
        </is>
      </c>
      <c r="B370" s="1" t="n">
        <v>45002</v>
      </c>
      <c r="C370" s="1" t="n">
        <v>45891</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32633-2023</t>
        </is>
      </c>
      <c r="B371" s="1" t="n">
        <v>45121.58699074074</v>
      </c>
      <c r="C371" s="1" t="n">
        <v>45891</v>
      </c>
      <c r="D371" t="inlineStr">
        <is>
          <t>KALMAR LÄN</t>
        </is>
      </c>
      <c r="E371" t="inlineStr">
        <is>
          <t>VIMMERBY</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43601-2024</t>
        </is>
      </c>
      <c r="B372" s="1" t="n">
        <v>45569.44684027778</v>
      </c>
      <c r="C372" s="1" t="n">
        <v>45891</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22197-2024</t>
        </is>
      </c>
      <c r="B373" s="1" t="n">
        <v>45446.36774305555</v>
      </c>
      <c r="C373" s="1" t="n">
        <v>45891</v>
      </c>
      <c r="D373" t="inlineStr">
        <is>
          <t>KALMAR LÄN</t>
        </is>
      </c>
      <c r="E373" t="inlineStr">
        <is>
          <t>VIMMERBY</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41199-2023</t>
        </is>
      </c>
      <c r="B374" s="1" t="n">
        <v>45174.40454861111</v>
      </c>
      <c r="C374" s="1" t="n">
        <v>45891</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36014-2024</t>
        </is>
      </c>
      <c r="B375" s="1" t="n">
        <v>45533.56108796296</v>
      </c>
      <c r="C375" s="1" t="n">
        <v>45891</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36030-2024</t>
        </is>
      </c>
      <c r="B376" s="1" t="n">
        <v>45533.58302083334</v>
      </c>
      <c r="C376" s="1" t="n">
        <v>45891</v>
      </c>
      <c r="D376" t="inlineStr">
        <is>
          <t>KALMAR LÄN</t>
        </is>
      </c>
      <c r="E376" t="inlineStr">
        <is>
          <t>VIMMERBY</t>
        </is>
      </c>
      <c r="F376" t="inlineStr">
        <is>
          <t>Kommuner</t>
        </is>
      </c>
      <c r="G376" t="n">
        <v>4</v>
      </c>
      <c r="H376" t="n">
        <v>0</v>
      </c>
      <c r="I376" t="n">
        <v>0</v>
      </c>
      <c r="J376" t="n">
        <v>0</v>
      </c>
      <c r="K376" t="n">
        <v>0</v>
      </c>
      <c r="L376" t="n">
        <v>0</v>
      </c>
      <c r="M376" t="n">
        <v>0</v>
      </c>
      <c r="N376" t="n">
        <v>0</v>
      </c>
      <c r="O376" t="n">
        <v>0</v>
      </c>
      <c r="P376" t="n">
        <v>0</v>
      </c>
      <c r="Q376" t="n">
        <v>0</v>
      </c>
      <c r="R376" s="2" t="inlineStr"/>
    </row>
    <row r="377" ht="15" customHeight="1">
      <c r="A377" t="inlineStr">
        <is>
          <t>A 35710-2023</t>
        </is>
      </c>
      <c r="B377" s="1" t="n">
        <v>45147.67096064815</v>
      </c>
      <c r="C377" s="1" t="n">
        <v>45891</v>
      </c>
      <c r="D377" t="inlineStr">
        <is>
          <t>KALMAR LÄN</t>
        </is>
      </c>
      <c r="E377" t="inlineStr">
        <is>
          <t>VIMMERBY</t>
        </is>
      </c>
      <c r="G377" t="n">
        <v>3.1</v>
      </c>
      <c r="H377" t="n">
        <v>0</v>
      </c>
      <c r="I377" t="n">
        <v>0</v>
      </c>
      <c r="J377" t="n">
        <v>0</v>
      </c>
      <c r="K377" t="n">
        <v>0</v>
      </c>
      <c r="L377" t="n">
        <v>0</v>
      </c>
      <c r="M377" t="n">
        <v>0</v>
      </c>
      <c r="N377" t="n">
        <v>0</v>
      </c>
      <c r="O377" t="n">
        <v>0</v>
      </c>
      <c r="P377" t="n">
        <v>0</v>
      </c>
      <c r="Q377" t="n">
        <v>0</v>
      </c>
      <c r="R377" s="2" t="inlineStr"/>
    </row>
    <row r="378" ht="15" customHeight="1">
      <c r="A378" t="inlineStr">
        <is>
          <t>A 13813-2024</t>
        </is>
      </c>
      <c r="B378" s="1" t="n">
        <v>45391.41310185185</v>
      </c>
      <c r="C378" s="1" t="n">
        <v>45891</v>
      </c>
      <c r="D378" t="inlineStr">
        <is>
          <t>KALMAR LÄN</t>
        </is>
      </c>
      <c r="E378" t="inlineStr">
        <is>
          <t>VIMMERBY</t>
        </is>
      </c>
      <c r="G378" t="n">
        <v>0.4</v>
      </c>
      <c r="H378" t="n">
        <v>0</v>
      </c>
      <c r="I378" t="n">
        <v>0</v>
      </c>
      <c r="J378" t="n">
        <v>0</v>
      </c>
      <c r="K378" t="n">
        <v>0</v>
      </c>
      <c r="L378" t="n">
        <v>0</v>
      </c>
      <c r="M378" t="n">
        <v>0</v>
      </c>
      <c r="N378" t="n">
        <v>0</v>
      </c>
      <c r="O378" t="n">
        <v>0</v>
      </c>
      <c r="P378" t="n">
        <v>0</v>
      </c>
      <c r="Q378" t="n">
        <v>0</v>
      </c>
      <c r="R378" s="2" t="inlineStr"/>
    </row>
    <row r="379" ht="15" customHeight="1">
      <c r="A379" t="inlineStr">
        <is>
          <t>A 35711-2023</t>
        </is>
      </c>
      <c r="B379" s="1" t="n">
        <v>45147.67172453704</v>
      </c>
      <c r="C379" s="1" t="n">
        <v>45891</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25234-2023</t>
        </is>
      </c>
      <c r="B380" s="1" t="n">
        <v>45086.63194444445</v>
      </c>
      <c r="C380" s="1" t="n">
        <v>45891</v>
      </c>
      <c r="D380" t="inlineStr">
        <is>
          <t>KALMAR LÄN</t>
        </is>
      </c>
      <c r="E380" t="inlineStr">
        <is>
          <t>VIMMERBY</t>
        </is>
      </c>
      <c r="G380" t="n">
        <v>2.1</v>
      </c>
      <c r="H380" t="n">
        <v>0</v>
      </c>
      <c r="I380" t="n">
        <v>0</v>
      </c>
      <c r="J380" t="n">
        <v>0</v>
      </c>
      <c r="K380" t="n">
        <v>0</v>
      </c>
      <c r="L380" t="n">
        <v>0</v>
      </c>
      <c r="M380" t="n">
        <v>0</v>
      </c>
      <c r="N380" t="n">
        <v>0</v>
      </c>
      <c r="O380" t="n">
        <v>0</v>
      </c>
      <c r="P380" t="n">
        <v>0</v>
      </c>
      <c r="Q380" t="n">
        <v>0</v>
      </c>
      <c r="R380" s="2" t="inlineStr"/>
    </row>
    <row r="381" ht="15" customHeight="1">
      <c r="A381" t="inlineStr">
        <is>
          <t>A 25236-2023</t>
        </is>
      </c>
      <c r="B381" s="1" t="n">
        <v>45086.63334490741</v>
      </c>
      <c r="C381" s="1" t="n">
        <v>45891</v>
      </c>
      <c r="D381" t="inlineStr">
        <is>
          <t>KALMAR LÄN</t>
        </is>
      </c>
      <c r="E381" t="inlineStr">
        <is>
          <t>VIMMERBY</t>
        </is>
      </c>
      <c r="G381" t="n">
        <v>0.9</v>
      </c>
      <c r="H381" t="n">
        <v>0</v>
      </c>
      <c r="I381" t="n">
        <v>0</v>
      </c>
      <c r="J381" t="n">
        <v>0</v>
      </c>
      <c r="K381" t="n">
        <v>0</v>
      </c>
      <c r="L381" t="n">
        <v>0</v>
      </c>
      <c r="M381" t="n">
        <v>0</v>
      </c>
      <c r="N381" t="n">
        <v>0</v>
      </c>
      <c r="O381" t="n">
        <v>0</v>
      </c>
      <c r="P381" t="n">
        <v>0</v>
      </c>
      <c r="Q381" t="n">
        <v>0</v>
      </c>
      <c r="R381" s="2" t="inlineStr"/>
    </row>
    <row r="382" ht="15" customHeight="1">
      <c r="A382" t="inlineStr">
        <is>
          <t>A 7627-2025</t>
        </is>
      </c>
      <c r="B382" s="1" t="n">
        <v>45705.73300925926</v>
      </c>
      <c r="C382" s="1" t="n">
        <v>45891</v>
      </c>
      <c r="D382" t="inlineStr">
        <is>
          <t>KALMAR LÄN</t>
        </is>
      </c>
      <c r="E382" t="inlineStr">
        <is>
          <t>VIMMERBY</t>
        </is>
      </c>
      <c r="G382" t="n">
        <v>2.1</v>
      </c>
      <c r="H382" t="n">
        <v>0</v>
      </c>
      <c r="I382" t="n">
        <v>0</v>
      </c>
      <c r="J382" t="n">
        <v>0</v>
      </c>
      <c r="K382" t="n">
        <v>0</v>
      </c>
      <c r="L382" t="n">
        <v>0</v>
      </c>
      <c r="M382" t="n">
        <v>0</v>
      </c>
      <c r="N382" t="n">
        <v>0</v>
      </c>
      <c r="O382" t="n">
        <v>0</v>
      </c>
      <c r="P382" t="n">
        <v>0</v>
      </c>
      <c r="Q382" t="n">
        <v>0</v>
      </c>
      <c r="R382" s="2" t="inlineStr"/>
    </row>
    <row r="383" ht="15" customHeight="1">
      <c r="A383" t="inlineStr">
        <is>
          <t>A 6321-2023</t>
        </is>
      </c>
      <c r="B383" s="1" t="n">
        <v>44965.4815162037</v>
      </c>
      <c r="C383" s="1" t="n">
        <v>45891</v>
      </c>
      <c r="D383" t="inlineStr">
        <is>
          <t>KALMAR LÄN</t>
        </is>
      </c>
      <c r="E383" t="inlineStr">
        <is>
          <t>VIMMERBY</t>
        </is>
      </c>
      <c r="G383" t="n">
        <v>1.8</v>
      </c>
      <c r="H383" t="n">
        <v>0</v>
      </c>
      <c r="I383" t="n">
        <v>0</v>
      </c>
      <c r="J383" t="n">
        <v>0</v>
      </c>
      <c r="K383" t="n">
        <v>0</v>
      </c>
      <c r="L383" t="n">
        <v>0</v>
      </c>
      <c r="M383" t="n">
        <v>0</v>
      </c>
      <c r="N383" t="n">
        <v>0</v>
      </c>
      <c r="O383" t="n">
        <v>0</v>
      </c>
      <c r="P383" t="n">
        <v>0</v>
      </c>
      <c r="Q383" t="n">
        <v>0</v>
      </c>
      <c r="R383" s="2" t="inlineStr"/>
    </row>
    <row r="384" ht="15" customHeight="1">
      <c r="A384" t="inlineStr">
        <is>
          <t>A 25244-2023</t>
        </is>
      </c>
      <c r="B384" s="1" t="n">
        <v>45086</v>
      </c>
      <c r="C384" s="1" t="n">
        <v>45891</v>
      </c>
      <c r="D384" t="inlineStr">
        <is>
          <t>KALMAR LÄN</t>
        </is>
      </c>
      <c r="E384" t="inlineStr">
        <is>
          <t>VIMMERBY</t>
        </is>
      </c>
      <c r="G384" t="n">
        <v>4.7</v>
      </c>
      <c r="H384" t="n">
        <v>0</v>
      </c>
      <c r="I384" t="n">
        <v>0</v>
      </c>
      <c r="J384" t="n">
        <v>0</v>
      </c>
      <c r="K384" t="n">
        <v>0</v>
      </c>
      <c r="L384" t="n">
        <v>0</v>
      </c>
      <c r="M384" t="n">
        <v>0</v>
      </c>
      <c r="N384" t="n">
        <v>0</v>
      </c>
      <c r="O384" t="n">
        <v>0</v>
      </c>
      <c r="P384" t="n">
        <v>0</v>
      </c>
      <c r="Q384" t="n">
        <v>0</v>
      </c>
      <c r="R384" s="2" t="inlineStr"/>
    </row>
    <row r="385" ht="15" customHeight="1">
      <c r="A385" t="inlineStr">
        <is>
          <t>A 23341-2022</t>
        </is>
      </c>
      <c r="B385" s="1" t="n">
        <v>44720.53898148148</v>
      </c>
      <c r="C385" s="1" t="n">
        <v>45891</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8086-2021</t>
        </is>
      </c>
      <c r="B386" s="1" t="n">
        <v>44243</v>
      </c>
      <c r="C386" s="1" t="n">
        <v>45891</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52755-2022</t>
        </is>
      </c>
      <c r="B387" s="1" t="n">
        <v>44875.27736111111</v>
      </c>
      <c r="C387" s="1" t="n">
        <v>45891</v>
      </c>
      <c r="D387" t="inlineStr">
        <is>
          <t>KALMAR LÄN</t>
        </is>
      </c>
      <c r="E387" t="inlineStr">
        <is>
          <t>VIMMERBY</t>
        </is>
      </c>
      <c r="G387" t="n">
        <v>1.1</v>
      </c>
      <c r="H387" t="n">
        <v>0</v>
      </c>
      <c r="I387" t="n">
        <v>0</v>
      </c>
      <c r="J387" t="n">
        <v>0</v>
      </c>
      <c r="K387" t="n">
        <v>0</v>
      </c>
      <c r="L387" t="n">
        <v>0</v>
      </c>
      <c r="M387" t="n">
        <v>0</v>
      </c>
      <c r="N387" t="n">
        <v>0</v>
      </c>
      <c r="O387" t="n">
        <v>0</v>
      </c>
      <c r="P387" t="n">
        <v>0</v>
      </c>
      <c r="Q387" t="n">
        <v>0</v>
      </c>
      <c r="R387" s="2" t="inlineStr"/>
    </row>
    <row r="388" ht="15" customHeight="1">
      <c r="A388" t="inlineStr">
        <is>
          <t>A 71793-2021</t>
        </is>
      </c>
      <c r="B388" s="1" t="n">
        <v>44539</v>
      </c>
      <c r="C388" s="1" t="n">
        <v>45891</v>
      </c>
      <c r="D388" t="inlineStr">
        <is>
          <t>KALMAR LÄN</t>
        </is>
      </c>
      <c r="E388" t="inlineStr">
        <is>
          <t>VIMMERBY</t>
        </is>
      </c>
      <c r="G388" t="n">
        <v>2.7</v>
      </c>
      <c r="H388" t="n">
        <v>0</v>
      </c>
      <c r="I388" t="n">
        <v>0</v>
      </c>
      <c r="J388" t="n">
        <v>0</v>
      </c>
      <c r="K388" t="n">
        <v>0</v>
      </c>
      <c r="L388" t="n">
        <v>0</v>
      </c>
      <c r="M388" t="n">
        <v>0</v>
      </c>
      <c r="N388" t="n">
        <v>0</v>
      </c>
      <c r="O388" t="n">
        <v>0</v>
      </c>
      <c r="P388" t="n">
        <v>0</v>
      </c>
      <c r="Q388" t="n">
        <v>0</v>
      </c>
      <c r="R388" s="2" t="inlineStr"/>
    </row>
    <row r="389" ht="15" customHeight="1">
      <c r="A389" t="inlineStr">
        <is>
          <t>A 40823-2023</t>
        </is>
      </c>
      <c r="B389" s="1" t="n">
        <v>45171.77335648148</v>
      </c>
      <c r="C389" s="1" t="n">
        <v>45891</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73938-2021</t>
        </is>
      </c>
      <c r="B390" s="1" t="n">
        <v>44553</v>
      </c>
      <c r="C390" s="1" t="n">
        <v>45891</v>
      </c>
      <c r="D390" t="inlineStr">
        <is>
          <t>KALMAR LÄN</t>
        </is>
      </c>
      <c r="E390" t="inlineStr">
        <is>
          <t>VIMMERBY</t>
        </is>
      </c>
      <c r="G390" t="n">
        <v>3.2</v>
      </c>
      <c r="H390" t="n">
        <v>0</v>
      </c>
      <c r="I390" t="n">
        <v>0</v>
      </c>
      <c r="J390" t="n">
        <v>0</v>
      </c>
      <c r="K390" t="n">
        <v>0</v>
      </c>
      <c r="L390" t="n">
        <v>0</v>
      </c>
      <c r="M390" t="n">
        <v>0</v>
      </c>
      <c r="N390" t="n">
        <v>0</v>
      </c>
      <c r="O390" t="n">
        <v>0</v>
      </c>
      <c r="P390" t="n">
        <v>0</v>
      </c>
      <c r="Q390" t="n">
        <v>0</v>
      </c>
      <c r="R390" s="2" t="inlineStr"/>
    </row>
    <row r="391" ht="15" customHeight="1">
      <c r="A391" t="inlineStr">
        <is>
          <t>A 6069-2023</t>
        </is>
      </c>
      <c r="B391" s="1" t="n">
        <v>44964.5115162037</v>
      </c>
      <c r="C391" s="1" t="n">
        <v>45891</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27761-2024</t>
        </is>
      </c>
      <c r="B392" s="1" t="n">
        <v>45475.49018518518</v>
      </c>
      <c r="C392" s="1" t="n">
        <v>45891</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21028-2023</t>
        </is>
      </c>
      <c r="B393" s="1" t="n">
        <v>45061</v>
      </c>
      <c r="C393" s="1" t="n">
        <v>45891</v>
      </c>
      <c r="D393" t="inlineStr">
        <is>
          <t>KALMAR LÄN</t>
        </is>
      </c>
      <c r="E393" t="inlineStr">
        <is>
          <t>VIMMERBY</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64203-2021</t>
        </is>
      </c>
      <c r="B394" s="1" t="n">
        <v>44510.60921296296</v>
      </c>
      <c r="C394" s="1" t="n">
        <v>45891</v>
      </c>
      <c r="D394" t="inlineStr">
        <is>
          <t>KALMAR LÄN</t>
        </is>
      </c>
      <c r="E394" t="inlineStr">
        <is>
          <t>VIMMERBY</t>
        </is>
      </c>
      <c r="F394" t="inlineStr">
        <is>
          <t>Övriga Aktiebolag</t>
        </is>
      </c>
      <c r="G394" t="n">
        <v>5.4</v>
      </c>
      <c r="H394" t="n">
        <v>0</v>
      </c>
      <c r="I394" t="n">
        <v>0</v>
      </c>
      <c r="J394" t="n">
        <v>0</v>
      </c>
      <c r="K394" t="n">
        <v>0</v>
      </c>
      <c r="L394" t="n">
        <v>0</v>
      </c>
      <c r="M394" t="n">
        <v>0</v>
      </c>
      <c r="N394" t="n">
        <v>0</v>
      </c>
      <c r="O394" t="n">
        <v>0</v>
      </c>
      <c r="P394" t="n">
        <v>0</v>
      </c>
      <c r="Q394" t="n">
        <v>0</v>
      </c>
      <c r="R394" s="2" t="inlineStr"/>
    </row>
    <row r="395" ht="15" customHeight="1">
      <c r="A395" t="inlineStr">
        <is>
          <t>A 34588-2024</t>
        </is>
      </c>
      <c r="B395" s="1" t="n">
        <v>45526.3865625</v>
      </c>
      <c r="C395" s="1" t="n">
        <v>45891</v>
      </c>
      <c r="D395" t="inlineStr">
        <is>
          <t>KALMAR LÄN</t>
        </is>
      </c>
      <c r="E395" t="inlineStr">
        <is>
          <t>VIMMERBY</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1016-2024</t>
        </is>
      </c>
      <c r="B396" s="1" t="n">
        <v>45301</v>
      </c>
      <c r="C396" s="1" t="n">
        <v>45891</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1024-2024</t>
        </is>
      </c>
      <c r="B397" s="1" t="n">
        <v>45301.68237268519</v>
      </c>
      <c r="C397" s="1" t="n">
        <v>45891</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27758-2024</t>
        </is>
      </c>
      <c r="B398" s="1" t="n">
        <v>45475.48303240741</v>
      </c>
      <c r="C398" s="1" t="n">
        <v>45891</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56659-2023</t>
        </is>
      </c>
      <c r="B399" s="1" t="n">
        <v>45243.84869212963</v>
      </c>
      <c r="C399" s="1" t="n">
        <v>45891</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50995-2022</t>
        </is>
      </c>
      <c r="B400" s="1" t="n">
        <v>44867</v>
      </c>
      <c r="C400" s="1" t="n">
        <v>45891</v>
      </c>
      <c r="D400" t="inlineStr">
        <is>
          <t>KALMAR LÄN</t>
        </is>
      </c>
      <c r="E400" t="inlineStr">
        <is>
          <t>VIMMERBY</t>
        </is>
      </c>
      <c r="G400" t="n">
        <v>2.4</v>
      </c>
      <c r="H400" t="n">
        <v>0</v>
      </c>
      <c r="I400" t="n">
        <v>0</v>
      </c>
      <c r="J400" t="n">
        <v>0</v>
      </c>
      <c r="K400" t="n">
        <v>0</v>
      </c>
      <c r="L400" t="n">
        <v>0</v>
      </c>
      <c r="M400" t="n">
        <v>0</v>
      </c>
      <c r="N400" t="n">
        <v>0</v>
      </c>
      <c r="O400" t="n">
        <v>0</v>
      </c>
      <c r="P400" t="n">
        <v>0</v>
      </c>
      <c r="Q400" t="n">
        <v>0</v>
      </c>
      <c r="R400" s="2" t="inlineStr"/>
    </row>
    <row r="401" ht="15" customHeight="1">
      <c r="A401" t="inlineStr">
        <is>
          <t>A 32865-2023</t>
        </is>
      </c>
      <c r="B401" s="1" t="n">
        <v>45124</v>
      </c>
      <c r="C401" s="1" t="n">
        <v>45891</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22194-2024</t>
        </is>
      </c>
      <c r="B402" s="1" t="n">
        <v>45446.36482638889</v>
      </c>
      <c r="C402" s="1" t="n">
        <v>45891</v>
      </c>
      <c r="D402" t="inlineStr">
        <is>
          <t>KALMAR LÄN</t>
        </is>
      </c>
      <c r="E402" t="inlineStr">
        <is>
          <t>VIMMERBY</t>
        </is>
      </c>
      <c r="F402" t="inlineStr">
        <is>
          <t>Sveaskog</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17926-2025</t>
        </is>
      </c>
      <c r="B403" s="1" t="n">
        <v>45759.38987268518</v>
      </c>
      <c r="C403" s="1" t="n">
        <v>45891</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16953-2025</t>
        </is>
      </c>
      <c r="B404" s="1" t="n">
        <v>45755.44333333334</v>
      </c>
      <c r="C404" s="1" t="n">
        <v>45891</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27122-2023</t>
        </is>
      </c>
      <c r="B405" s="1" t="n">
        <v>45096.45247685185</v>
      </c>
      <c r="C405" s="1" t="n">
        <v>45891</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35127-2024</t>
        </is>
      </c>
      <c r="B406" s="1" t="n">
        <v>45530.33202546297</v>
      </c>
      <c r="C406" s="1" t="n">
        <v>45891</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30402-2023</t>
        </is>
      </c>
      <c r="B407" s="1" t="n">
        <v>45111.48395833333</v>
      </c>
      <c r="C407" s="1" t="n">
        <v>45891</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1206-2025</t>
        </is>
      </c>
      <c r="B408" s="1" t="n">
        <v>45667.39670138889</v>
      </c>
      <c r="C408" s="1" t="n">
        <v>45891</v>
      </c>
      <c r="D408" t="inlineStr">
        <is>
          <t>KALMAR LÄN</t>
        </is>
      </c>
      <c r="E408" t="inlineStr">
        <is>
          <t>VIMMERBY</t>
        </is>
      </c>
      <c r="G408" t="n">
        <v>3.5</v>
      </c>
      <c r="H408" t="n">
        <v>0</v>
      </c>
      <c r="I408" t="n">
        <v>0</v>
      </c>
      <c r="J408" t="n">
        <v>0</v>
      </c>
      <c r="K408" t="n">
        <v>0</v>
      </c>
      <c r="L408" t="n">
        <v>0</v>
      </c>
      <c r="M408" t="n">
        <v>0</v>
      </c>
      <c r="N408" t="n">
        <v>0</v>
      </c>
      <c r="O408" t="n">
        <v>0</v>
      </c>
      <c r="P408" t="n">
        <v>0</v>
      </c>
      <c r="Q408" t="n">
        <v>0</v>
      </c>
      <c r="R408" s="2" t="inlineStr"/>
    </row>
    <row r="409" ht="15" customHeight="1">
      <c r="A409" t="inlineStr">
        <is>
          <t>A 33383-2023</t>
        </is>
      </c>
      <c r="B409" s="1" t="n">
        <v>45128.58414351852</v>
      </c>
      <c r="C409" s="1" t="n">
        <v>45891</v>
      </c>
      <c r="D409" t="inlineStr">
        <is>
          <t>KALMAR LÄN</t>
        </is>
      </c>
      <c r="E409" t="inlineStr">
        <is>
          <t>VIMMERBY</t>
        </is>
      </c>
      <c r="G409" t="n">
        <v>2.3</v>
      </c>
      <c r="H409" t="n">
        <v>0</v>
      </c>
      <c r="I409" t="n">
        <v>0</v>
      </c>
      <c r="J409" t="n">
        <v>0</v>
      </c>
      <c r="K409" t="n">
        <v>0</v>
      </c>
      <c r="L409" t="n">
        <v>0</v>
      </c>
      <c r="M409" t="n">
        <v>0</v>
      </c>
      <c r="N409" t="n">
        <v>0</v>
      </c>
      <c r="O409" t="n">
        <v>0</v>
      </c>
      <c r="P409" t="n">
        <v>0</v>
      </c>
      <c r="Q409" t="n">
        <v>0</v>
      </c>
      <c r="R409" s="2" t="inlineStr"/>
    </row>
    <row r="410" ht="15" customHeight="1">
      <c r="A410" t="inlineStr">
        <is>
          <t>A 43998-2020</t>
        </is>
      </c>
      <c r="B410" s="1" t="n">
        <v>44083</v>
      </c>
      <c r="C410" s="1" t="n">
        <v>45891</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4297-2022</t>
        </is>
      </c>
      <c r="B411" s="1" t="n">
        <v>44588</v>
      </c>
      <c r="C411" s="1" t="n">
        <v>45891</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3331-2023</t>
        </is>
      </c>
      <c r="B412" s="1" t="n">
        <v>44949</v>
      </c>
      <c r="C412" s="1" t="n">
        <v>45891</v>
      </c>
      <c r="D412" t="inlineStr">
        <is>
          <t>KALMAR LÄN</t>
        </is>
      </c>
      <c r="E412" t="inlineStr">
        <is>
          <t>VIMMERBY</t>
        </is>
      </c>
      <c r="G412" t="n">
        <v>6.2</v>
      </c>
      <c r="H412" t="n">
        <v>0</v>
      </c>
      <c r="I412" t="n">
        <v>0</v>
      </c>
      <c r="J412" t="n">
        <v>0</v>
      </c>
      <c r="K412" t="n">
        <v>0</v>
      </c>
      <c r="L412" t="n">
        <v>0</v>
      </c>
      <c r="M412" t="n">
        <v>0</v>
      </c>
      <c r="N412" t="n">
        <v>0</v>
      </c>
      <c r="O412" t="n">
        <v>0</v>
      </c>
      <c r="P412" t="n">
        <v>0</v>
      </c>
      <c r="Q412" t="n">
        <v>0</v>
      </c>
      <c r="R412" s="2" t="inlineStr"/>
    </row>
    <row r="413" ht="15" customHeight="1">
      <c r="A413" t="inlineStr">
        <is>
          <t>A 47842-2024</t>
        </is>
      </c>
      <c r="B413" s="1" t="n">
        <v>45588.65545138889</v>
      </c>
      <c r="C413" s="1" t="n">
        <v>45891</v>
      </c>
      <c r="D413" t="inlineStr">
        <is>
          <t>KALMAR LÄN</t>
        </is>
      </c>
      <c r="E413" t="inlineStr">
        <is>
          <t>VIMMERBY</t>
        </is>
      </c>
      <c r="G413" t="n">
        <v>2.4</v>
      </c>
      <c r="H413" t="n">
        <v>0</v>
      </c>
      <c r="I413" t="n">
        <v>0</v>
      </c>
      <c r="J413" t="n">
        <v>0</v>
      </c>
      <c r="K413" t="n">
        <v>0</v>
      </c>
      <c r="L413" t="n">
        <v>0</v>
      </c>
      <c r="M413" t="n">
        <v>0</v>
      </c>
      <c r="N413" t="n">
        <v>0</v>
      </c>
      <c r="O413" t="n">
        <v>0</v>
      </c>
      <c r="P413" t="n">
        <v>0</v>
      </c>
      <c r="Q413" t="n">
        <v>0</v>
      </c>
      <c r="R413" s="2" t="inlineStr"/>
    </row>
    <row r="414" ht="15" customHeight="1">
      <c r="A414" t="inlineStr">
        <is>
          <t>A 6857-2023</t>
        </is>
      </c>
      <c r="B414" s="1" t="n">
        <v>44967.45122685185</v>
      </c>
      <c r="C414" s="1" t="n">
        <v>45891</v>
      </c>
      <c r="D414" t="inlineStr">
        <is>
          <t>KALMAR LÄN</t>
        </is>
      </c>
      <c r="E414" t="inlineStr">
        <is>
          <t>VIMMERBY</t>
        </is>
      </c>
      <c r="G414" t="n">
        <v>2.1</v>
      </c>
      <c r="H414" t="n">
        <v>0</v>
      </c>
      <c r="I414" t="n">
        <v>0</v>
      </c>
      <c r="J414" t="n">
        <v>0</v>
      </c>
      <c r="K414" t="n">
        <v>0</v>
      </c>
      <c r="L414" t="n">
        <v>0</v>
      </c>
      <c r="M414" t="n">
        <v>0</v>
      </c>
      <c r="N414" t="n">
        <v>0</v>
      </c>
      <c r="O414" t="n">
        <v>0</v>
      </c>
      <c r="P414" t="n">
        <v>0</v>
      </c>
      <c r="Q414" t="n">
        <v>0</v>
      </c>
      <c r="R414" s="2" t="inlineStr"/>
    </row>
    <row r="415" ht="15" customHeight="1">
      <c r="A415" t="inlineStr">
        <is>
          <t>A 40828-2023</t>
        </is>
      </c>
      <c r="B415" s="1" t="n">
        <v>45171.96248842592</v>
      </c>
      <c r="C415" s="1" t="n">
        <v>45891</v>
      </c>
      <c r="D415" t="inlineStr">
        <is>
          <t>KALMAR LÄN</t>
        </is>
      </c>
      <c r="E415" t="inlineStr">
        <is>
          <t>VIMMERBY</t>
        </is>
      </c>
      <c r="G415" t="n">
        <v>0.6</v>
      </c>
      <c r="H415" t="n">
        <v>0</v>
      </c>
      <c r="I415" t="n">
        <v>0</v>
      </c>
      <c r="J415" t="n">
        <v>0</v>
      </c>
      <c r="K415" t="n">
        <v>0</v>
      </c>
      <c r="L415" t="n">
        <v>0</v>
      </c>
      <c r="M415" t="n">
        <v>0</v>
      </c>
      <c r="N415" t="n">
        <v>0</v>
      </c>
      <c r="O415" t="n">
        <v>0</v>
      </c>
      <c r="P415" t="n">
        <v>0</v>
      </c>
      <c r="Q415" t="n">
        <v>0</v>
      </c>
      <c r="R415" s="2" t="inlineStr"/>
    </row>
    <row r="416" ht="15" customHeight="1">
      <c r="A416" t="inlineStr">
        <is>
          <t>A 55716-2023</t>
        </is>
      </c>
      <c r="B416" s="1" t="n">
        <v>45232</v>
      </c>
      <c r="C416" s="1" t="n">
        <v>45891</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34386-2024</t>
        </is>
      </c>
      <c r="B417" s="1" t="n">
        <v>45525.41762731481</v>
      </c>
      <c r="C417" s="1" t="n">
        <v>45891</v>
      </c>
      <c r="D417" t="inlineStr">
        <is>
          <t>KALMAR LÄN</t>
        </is>
      </c>
      <c r="E417" t="inlineStr">
        <is>
          <t>VIMMERBY</t>
        </is>
      </c>
      <c r="G417" t="n">
        <v>0.3</v>
      </c>
      <c r="H417" t="n">
        <v>0</v>
      </c>
      <c r="I417" t="n">
        <v>0</v>
      </c>
      <c r="J417" t="n">
        <v>0</v>
      </c>
      <c r="K417" t="n">
        <v>0</v>
      </c>
      <c r="L417" t="n">
        <v>0</v>
      </c>
      <c r="M417" t="n">
        <v>0</v>
      </c>
      <c r="N417" t="n">
        <v>0</v>
      </c>
      <c r="O417" t="n">
        <v>0</v>
      </c>
      <c r="P417" t="n">
        <v>0</v>
      </c>
      <c r="Q417" t="n">
        <v>0</v>
      </c>
      <c r="R417" s="2" t="inlineStr"/>
    </row>
    <row r="418" ht="15" customHeight="1">
      <c r="A418" t="inlineStr">
        <is>
          <t>A 42429-2024</t>
        </is>
      </c>
      <c r="B418" s="1" t="n">
        <v>45565.40657407408</v>
      </c>
      <c r="C418" s="1" t="n">
        <v>45891</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16734-2023</t>
        </is>
      </c>
      <c r="B419" s="1" t="n">
        <v>45030.71012731481</v>
      </c>
      <c r="C419" s="1" t="n">
        <v>45891</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11946-2025</t>
        </is>
      </c>
      <c r="B420" s="1" t="n">
        <v>45728.54832175926</v>
      </c>
      <c r="C420" s="1" t="n">
        <v>45891</v>
      </c>
      <c r="D420" t="inlineStr">
        <is>
          <t>KALMAR LÄN</t>
        </is>
      </c>
      <c r="E420" t="inlineStr">
        <is>
          <t>VIMMERBY</t>
        </is>
      </c>
      <c r="G420" t="n">
        <v>0.4</v>
      </c>
      <c r="H420" t="n">
        <v>0</v>
      </c>
      <c r="I420" t="n">
        <v>0</v>
      </c>
      <c r="J420" t="n">
        <v>0</v>
      </c>
      <c r="K420" t="n">
        <v>0</v>
      </c>
      <c r="L420" t="n">
        <v>0</v>
      </c>
      <c r="M420" t="n">
        <v>0</v>
      </c>
      <c r="N420" t="n">
        <v>0</v>
      </c>
      <c r="O420" t="n">
        <v>0</v>
      </c>
      <c r="P420" t="n">
        <v>0</v>
      </c>
      <c r="Q420" t="n">
        <v>0</v>
      </c>
      <c r="R420" s="2" t="inlineStr"/>
    </row>
    <row r="421" ht="15" customHeight="1">
      <c r="A421" t="inlineStr">
        <is>
          <t>A 46224-2024</t>
        </is>
      </c>
      <c r="B421" s="1" t="n">
        <v>45581.57016203704</v>
      </c>
      <c r="C421" s="1" t="n">
        <v>45891</v>
      </c>
      <c r="D421" t="inlineStr">
        <is>
          <t>KALMAR LÄN</t>
        </is>
      </c>
      <c r="E421" t="inlineStr">
        <is>
          <t>VIMMERBY</t>
        </is>
      </c>
      <c r="G421" t="n">
        <v>3.1</v>
      </c>
      <c r="H421" t="n">
        <v>0</v>
      </c>
      <c r="I421" t="n">
        <v>0</v>
      </c>
      <c r="J421" t="n">
        <v>0</v>
      </c>
      <c r="K421" t="n">
        <v>0</v>
      </c>
      <c r="L421" t="n">
        <v>0</v>
      </c>
      <c r="M421" t="n">
        <v>0</v>
      </c>
      <c r="N421" t="n">
        <v>0</v>
      </c>
      <c r="O421" t="n">
        <v>0</v>
      </c>
      <c r="P421" t="n">
        <v>0</v>
      </c>
      <c r="Q421" t="n">
        <v>0</v>
      </c>
      <c r="R421" s="2" t="inlineStr"/>
    </row>
    <row r="422" ht="15" customHeight="1">
      <c r="A422" t="inlineStr">
        <is>
          <t>A 64143-2021</t>
        </is>
      </c>
      <c r="B422" s="1" t="n">
        <v>44510.52157407408</v>
      </c>
      <c r="C422" s="1" t="n">
        <v>45891</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9720-2023</t>
        </is>
      </c>
      <c r="B423" s="1" t="n">
        <v>44984</v>
      </c>
      <c r="C423" s="1" t="n">
        <v>45891</v>
      </c>
      <c r="D423" t="inlineStr">
        <is>
          <t>KALMAR LÄN</t>
        </is>
      </c>
      <c r="E423" t="inlineStr">
        <is>
          <t>VIMMERBY</t>
        </is>
      </c>
      <c r="G423" t="n">
        <v>4.4</v>
      </c>
      <c r="H423" t="n">
        <v>0</v>
      </c>
      <c r="I423" t="n">
        <v>0</v>
      </c>
      <c r="J423" t="n">
        <v>0</v>
      </c>
      <c r="K423" t="n">
        <v>0</v>
      </c>
      <c r="L423" t="n">
        <v>0</v>
      </c>
      <c r="M423" t="n">
        <v>0</v>
      </c>
      <c r="N423" t="n">
        <v>0</v>
      </c>
      <c r="O423" t="n">
        <v>0</v>
      </c>
      <c r="P423" t="n">
        <v>0</v>
      </c>
      <c r="Q423" t="n">
        <v>0</v>
      </c>
      <c r="R423" s="2" t="inlineStr"/>
    </row>
    <row r="424" ht="15" customHeight="1">
      <c r="A424" t="inlineStr">
        <is>
          <t>A 5938-2022</t>
        </is>
      </c>
      <c r="B424" s="1" t="n">
        <v>44598</v>
      </c>
      <c r="C424" s="1" t="n">
        <v>45891</v>
      </c>
      <c r="D424" t="inlineStr">
        <is>
          <t>KALMAR LÄN</t>
        </is>
      </c>
      <c r="E424" t="inlineStr">
        <is>
          <t>VIMMERBY</t>
        </is>
      </c>
      <c r="G424" t="n">
        <v>2.4</v>
      </c>
      <c r="H424" t="n">
        <v>0</v>
      </c>
      <c r="I424" t="n">
        <v>0</v>
      </c>
      <c r="J424" t="n">
        <v>0</v>
      </c>
      <c r="K424" t="n">
        <v>0</v>
      </c>
      <c r="L424" t="n">
        <v>0</v>
      </c>
      <c r="M424" t="n">
        <v>0</v>
      </c>
      <c r="N424" t="n">
        <v>0</v>
      </c>
      <c r="O424" t="n">
        <v>0</v>
      </c>
      <c r="P424" t="n">
        <v>0</v>
      </c>
      <c r="Q424" t="n">
        <v>0</v>
      </c>
      <c r="R424" s="2" t="inlineStr"/>
    </row>
    <row r="425" ht="15" customHeight="1">
      <c r="A425" t="inlineStr">
        <is>
          <t>A 1687-2023</t>
        </is>
      </c>
      <c r="B425" s="1" t="n">
        <v>44938</v>
      </c>
      <c r="C425" s="1" t="n">
        <v>45891</v>
      </c>
      <c r="D425" t="inlineStr">
        <is>
          <t>KALMAR LÄN</t>
        </is>
      </c>
      <c r="E425" t="inlineStr">
        <is>
          <t>VIMMERBY</t>
        </is>
      </c>
      <c r="F425" t="inlineStr">
        <is>
          <t>Kommuner</t>
        </is>
      </c>
      <c r="G425" t="n">
        <v>2.5</v>
      </c>
      <c r="H425" t="n">
        <v>0</v>
      </c>
      <c r="I425" t="n">
        <v>0</v>
      </c>
      <c r="J425" t="n">
        <v>0</v>
      </c>
      <c r="K425" t="n">
        <v>0</v>
      </c>
      <c r="L425" t="n">
        <v>0</v>
      </c>
      <c r="M425" t="n">
        <v>0</v>
      </c>
      <c r="N425" t="n">
        <v>0</v>
      </c>
      <c r="O425" t="n">
        <v>0</v>
      </c>
      <c r="P425" t="n">
        <v>0</v>
      </c>
      <c r="Q425" t="n">
        <v>0</v>
      </c>
      <c r="R425" s="2" t="inlineStr"/>
    </row>
    <row r="426" ht="15" customHeight="1">
      <c r="A426" t="inlineStr">
        <is>
          <t>A 59943-2023</t>
        </is>
      </c>
      <c r="B426" s="1" t="n">
        <v>45257.67958333333</v>
      </c>
      <c r="C426" s="1" t="n">
        <v>45891</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29013-2024</t>
        </is>
      </c>
      <c r="B427" s="1" t="n">
        <v>45481.55984953704</v>
      </c>
      <c r="C427" s="1" t="n">
        <v>45891</v>
      </c>
      <c r="D427" t="inlineStr">
        <is>
          <t>KALMAR LÄN</t>
        </is>
      </c>
      <c r="E427" t="inlineStr">
        <is>
          <t>VIMMERBY</t>
        </is>
      </c>
      <c r="G427" t="n">
        <v>3.4</v>
      </c>
      <c r="H427" t="n">
        <v>0</v>
      </c>
      <c r="I427" t="n">
        <v>0</v>
      </c>
      <c r="J427" t="n">
        <v>0</v>
      </c>
      <c r="K427" t="n">
        <v>0</v>
      </c>
      <c r="L427" t="n">
        <v>0</v>
      </c>
      <c r="M427" t="n">
        <v>0</v>
      </c>
      <c r="N427" t="n">
        <v>0</v>
      </c>
      <c r="O427" t="n">
        <v>0</v>
      </c>
      <c r="P427" t="n">
        <v>0</v>
      </c>
      <c r="Q427" t="n">
        <v>0</v>
      </c>
      <c r="R427" s="2" t="inlineStr"/>
    </row>
    <row r="428" ht="15" customHeight="1">
      <c r="A428" t="inlineStr">
        <is>
          <t>A 29440-2024</t>
        </is>
      </c>
      <c r="B428" s="1" t="n">
        <v>45483.82479166667</v>
      </c>
      <c r="C428" s="1" t="n">
        <v>45891</v>
      </c>
      <c r="D428" t="inlineStr">
        <is>
          <t>KALMAR LÄN</t>
        </is>
      </c>
      <c r="E428" t="inlineStr">
        <is>
          <t>VIMMERBY</t>
        </is>
      </c>
      <c r="G428" t="n">
        <v>4.5</v>
      </c>
      <c r="H428" t="n">
        <v>0</v>
      </c>
      <c r="I428" t="n">
        <v>0</v>
      </c>
      <c r="J428" t="n">
        <v>0</v>
      </c>
      <c r="K428" t="n">
        <v>0</v>
      </c>
      <c r="L428" t="n">
        <v>0</v>
      </c>
      <c r="M428" t="n">
        <v>0</v>
      </c>
      <c r="N428" t="n">
        <v>0</v>
      </c>
      <c r="O428" t="n">
        <v>0</v>
      </c>
      <c r="P428" t="n">
        <v>0</v>
      </c>
      <c r="Q428" t="n">
        <v>0</v>
      </c>
      <c r="R428" s="2" t="inlineStr"/>
    </row>
    <row r="429" ht="15" customHeight="1">
      <c r="A429" t="inlineStr">
        <is>
          <t>A 30921-2024</t>
        </is>
      </c>
      <c r="B429" s="1" t="n">
        <v>45498</v>
      </c>
      <c r="C429" s="1" t="n">
        <v>45891</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15493-2023</t>
        </is>
      </c>
      <c r="B430" s="1" t="n">
        <v>45018</v>
      </c>
      <c r="C430" s="1" t="n">
        <v>45891</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51881-2024</t>
        </is>
      </c>
      <c r="B431" s="1" t="n">
        <v>45607.56773148148</v>
      </c>
      <c r="C431" s="1" t="n">
        <v>45891</v>
      </c>
      <c r="D431" t="inlineStr">
        <is>
          <t>KALMAR LÄN</t>
        </is>
      </c>
      <c r="E431" t="inlineStr">
        <is>
          <t>VIMMERBY</t>
        </is>
      </c>
      <c r="G431" t="n">
        <v>3.4</v>
      </c>
      <c r="H431" t="n">
        <v>0</v>
      </c>
      <c r="I431" t="n">
        <v>0</v>
      </c>
      <c r="J431" t="n">
        <v>0</v>
      </c>
      <c r="K431" t="n">
        <v>0</v>
      </c>
      <c r="L431" t="n">
        <v>0</v>
      </c>
      <c r="M431" t="n">
        <v>0</v>
      </c>
      <c r="N431" t="n">
        <v>0</v>
      </c>
      <c r="O431" t="n">
        <v>0</v>
      </c>
      <c r="P431" t="n">
        <v>0</v>
      </c>
      <c r="Q431" t="n">
        <v>0</v>
      </c>
      <c r="R431" s="2" t="inlineStr"/>
    </row>
    <row r="432" ht="15" customHeight="1">
      <c r="A432" t="inlineStr">
        <is>
          <t>A 53482-2022</t>
        </is>
      </c>
      <c r="B432" s="1" t="n">
        <v>44879</v>
      </c>
      <c r="C432" s="1" t="n">
        <v>45891</v>
      </c>
      <c r="D432" t="inlineStr">
        <is>
          <t>KALMAR LÄN</t>
        </is>
      </c>
      <c r="E432" t="inlineStr">
        <is>
          <t>VIMMERBY</t>
        </is>
      </c>
      <c r="G432" t="n">
        <v>10.1</v>
      </c>
      <c r="H432" t="n">
        <v>0</v>
      </c>
      <c r="I432" t="n">
        <v>0</v>
      </c>
      <c r="J432" t="n">
        <v>0</v>
      </c>
      <c r="K432" t="n">
        <v>0</v>
      </c>
      <c r="L432" t="n">
        <v>0</v>
      </c>
      <c r="M432" t="n">
        <v>0</v>
      </c>
      <c r="N432" t="n">
        <v>0</v>
      </c>
      <c r="O432" t="n">
        <v>0</v>
      </c>
      <c r="P432" t="n">
        <v>0</v>
      </c>
      <c r="Q432" t="n">
        <v>0</v>
      </c>
      <c r="R432" s="2" t="inlineStr"/>
    </row>
    <row r="433" ht="15" customHeight="1">
      <c r="A433" t="inlineStr">
        <is>
          <t>A 1021-2024</t>
        </is>
      </c>
      <c r="B433" s="1" t="n">
        <v>45301.67736111111</v>
      </c>
      <c r="C433" s="1" t="n">
        <v>45891</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37028-2024</t>
        </is>
      </c>
      <c r="B434" s="1" t="n">
        <v>45539.38744212963</v>
      </c>
      <c r="C434" s="1" t="n">
        <v>45891</v>
      </c>
      <c r="D434" t="inlineStr">
        <is>
          <t>KALMAR LÄN</t>
        </is>
      </c>
      <c r="E434" t="inlineStr">
        <is>
          <t>VIMMERBY</t>
        </is>
      </c>
      <c r="G434" t="n">
        <v>5.2</v>
      </c>
      <c r="H434" t="n">
        <v>0</v>
      </c>
      <c r="I434" t="n">
        <v>0</v>
      </c>
      <c r="J434" t="n">
        <v>0</v>
      </c>
      <c r="K434" t="n">
        <v>0</v>
      </c>
      <c r="L434" t="n">
        <v>0</v>
      </c>
      <c r="M434" t="n">
        <v>0</v>
      </c>
      <c r="N434" t="n">
        <v>0</v>
      </c>
      <c r="O434" t="n">
        <v>0</v>
      </c>
      <c r="P434" t="n">
        <v>0</v>
      </c>
      <c r="Q434" t="n">
        <v>0</v>
      </c>
      <c r="R434" s="2" t="inlineStr"/>
    </row>
    <row r="435" ht="15" customHeight="1">
      <c r="A435" t="inlineStr">
        <is>
          <t>A 32569-2024</t>
        </is>
      </c>
      <c r="B435" s="1" t="n">
        <v>45513.55840277778</v>
      </c>
      <c r="C435" s="1" t="n">
        <v>45891</v>
      </c>
      <c r="D435" t="inlineStr">
        <is>
          <t>KALMAR LÄN</t>
        </is>
      </c>
      <c r="E435" t="inlineStr">
        <is>
          <t>VIMMERBY</t>
        </is>
      </c>
      <c r="G435" t="n">
        <v>3.7</v>
      </c>
      <c r="H435" t="n">
        <v>0</v>
      </c>
      <c r="I435" t="n">
        <v>0</v>
      </c>
      <c r="J435" t="n">
        <v>0</v>
      </c>
      <c r="K435" t="n">
        <v>0</v>
      </c>
      <c r="L435" t="n">
        <v>0</v>
      </c>
      <c r="M435" t="n">
        <v>0</v>
      </c>
      <c r="N435" t="n">
        <v>0</v>
      </c>
      <c r="O435" t="n">
        <v>0</v>
      </c>
      <c r="P435" t="n">
        <v>0</v>
      </c>
      <c r="Q435" t="n">
        <v>0</v>
      </c>
      <c r="R435" s="2" t="inlineStr"/>
    </row>
    <row r="436" ht="15" customHeight="1">
      <c r="A436" t="inlineStr">
        <is>
          <t>A 32575-2024</t>
        </is>
      </c>
      <c r="B436" s="1" t="n">
        <v>45513.56527777778</v>
      </c>
      <c r="C436" s="1" t="n">
        <v>45891</v>
      </c>
      <c r="D436" t="inlineStr">
        <is>
          <t>KALMAR LÄN</t>
        </is>
      </c>
      <c r="E436" t="inlineStr">
        <is>
          <t>VIMMERBY</t>
        </is>
      </c>
      <c r="G436" t="n">
        <v>1.5</v>
      </c>
      <c r="H436" t="n">
        <v>0</v>
      </c>
      <c r="I436" t="n">
        <v>0</v>
      </c>
      <c r="J436" t="n">
        <v>0</v>
      </c>
      <c r="K436" t="n">
        <v>0</v>
      </c>
      <c r="L436" t="n">
        <v>0</v>
      </c>
      <c r="M436" t="n">
        <v>0</v>
      </c>
      <c r="N436" t="n">
        <v>0</v>
      </c>
      <c r="O436" t="n">
        <v>0</v>
      </c>
      <c r="P436" t="n">
        <v>0</v>
      </c>
      <c r="Q436" t="n">
        <v>0</v>
      </c>
      <c r="R436" s="2" t="inlineStr"/>
    </row>
    <row r="437" ht="15" customHeight="1">
      <c r="A437" t="inlineStr">
        <is>
          <t>A 30063-2023</t>
        </is>
      </c>
      <c r="B437" s="1" t="n">
        <v>45110.4184375</v>
      </c>
      <c r="C437" s="1" t="n">
        <v>45891</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17482-2024</t>
        </is>
      </c>
      <c r="B438" s="1" t="n">
        <v>45415.47848379629</v>
      </c>
      <c r="C438" s="1" t="n">
        <v>45891</v>
      </c>
      <c r="D438" t="inlineStr">
        <is>
          <t>KALMAR LÄN</t>
        </is>
      </c>
      <c r="E438" t="inlineStr">
        <is>
          <t>VIMMERBY</t>
        </is>
      </c>
      <c r="G438" t="n">
        <v>1.7</v>
      </c>
      <c r="H438" t="n">
        <v>0</v>
      </c>
      <c r="I438" t="n">
        <v>0</v>
      </c>
      <c r="J438" t="n">
        <v>0</v>
      </c>
      <c r="K438" t="n">
        <v>0</v>
      </c>
      <c r="L438" t="n">
        <v>0</v>
      </c>
      <c r="M438" t="n">
        <v>0</v>
      </c>
      <c r="N438" t="n">
        <v>0</v>
      </c>
      <c r="O438" t="n">
        <v>0</v>
      </c>
      <c r="P438" t="n">
        <v>0</v>
      </c>
      <c r="Q438" t="n">
        <v>0</v>
      </c>
      <c r="R438" s="2" t="inlineStr"/>
    </row>
    <row r="439" ht="15" customHeight="1">
      <c r="A439" t="inlineStr">
        <is>
          <t>A 37187-2024</t>
        </is>
      </c>
      <c r="B439" s="1" t="n">
        <v>45539.65212962963</v>
      </c>
      <c r="C439" s="1" t="n">
        <v>45891</v>
      </c>
      <c r="D439" t="inlineStr">
        <is>
          <t>KALMAR LÄN</t>
        </is>
      </c>
      <c r="E439" t="inlineStr">
        <is>
          <t>VIMMERBY</t>
        </is>
      </c>
      <c r="G439" t="n">
        <v>2.7</v>
      </c>
      <c r="H439" t="n">
        <v>0</v>
      </c>
      <c r="I439" t="n">
        <v>0</v>
      </c>
      <c r="J439" t="n">
        <v>0</v>
      </c>
      <c r="K439" t="n">
        <v>0</v>
      </c>
      <c r="L439" t="n">
        <v>0</v>
      </c>
      <c r="M439" t="n">
        <v>0</v>
      </c>
      <c r="N439" t="n">
        <v>0</v>
      </c>
      <c r="O439" t="n">
        <v>0</v>
      </c>
      <c r="P439" t="n">
        <v>0</v>
      </c>
      <c r="Q439" t="n">
        <v>0</v>
      </c>
      <c r="R439" s="2" t="inlineStr"/>
    </row>
    <row r="440" ht="15" customHeight="1">
      <c r="A440" t="inlineStr">
        <is>
          <t>A 13817-2024</t>
        </is>
      </c>
      <c r="B440" s="1" t="n">
        <v>45391.41976851852</v>
      </c>
      <c r="C440" s="1" t="n">
        <v>45891</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30406-2023</t>
        </is>
      </c>
      <c r="B441" s="1" t="n">
        <v>45111.48787037037</v>
      </c>
      <c r="C441" s="1" t="n">
        <v>45891</v>
      </c>
      <c r="D441" t="inlineStr">
        <is>
          <t>KALMAR LÄN</t>
        </is>
      </c>
      <c r="E441" t="inlineStr">
        <is>
          <t>VIMMERBY</t>
        </is>
      </c>
      <c r="G441" t="n">
        <v>2.4</v>
      </c>
      <c r="H441" t="n">
        <v>0</v>
      </c>
      <c r="I441" t="n">
        <v>0</v>
      </c>
      <c r="J441" t="n">
        <v>0</v>
      </c>
      <c r="K441" t="n">
        <v>0</v>
      </c>
      <c r="L441" t="n">
        <v>0</v>
      </c>
      <c r="M441" t="n">
        <v>0</v>
      </c>
      <c r="N441" t="n">
        <v>0</v>
      </c>
      <c r="O441" t="n">
        <v>0</v>
      </c>
      <c r="P441" t="n">
        <v>0</v>
      </c>
      <c r="Q441" t="n">
        <v>0</v>
      </c>
      <c r="R441" s="2" t="inlineStr"/>
    </row>
    <row r="442" ht="15" customHeight="1">
      <c r="A442" t="inlineStr">
        <is>
          <t>A 29180-2024</t>
        </is>
      </c>
      <c r="B442" s="1" t="n">
        <v>45482.54108796296</v>
      </c>
      <c r="C442" s="1" t="n">
        <v>45891</v>
      </c>
      <c r="D442" t="inlineStr">
        <is>
          <t>KALMAR LÄN</t>
        </is>
      </c>
      <c r="E442" t="inlineStr">
        <is>
          <t>VIMMERBY</t>
        </is>
      </c>
      <c r="G442" t="n">
        <v>3.8</v>
      </c>
      <c r="H442" t="n">
        <v>0</v>
      </c>
      <c r="I442" t="n">
        <v>0</v>
      </c>
      <c r="J442" t="n">
        <v>0</v>
      </c>
      <c r="K442" t="n">
        <v>0</v>
      </c>
      <c r="L442" t="n">
        <v>0</v>
      </c>
      <c r="M442" t="n">
        <v>0</v>
      </c>
      <c r="N442" t="n">
        <v>0</v>
      </c>
      <c r="O442" t="n">
        <v>0</v>
      </c>
      <c r="P442" t="n">
        <v>0</v>
      </c>
      <c r="Q442" t="n">
        <v>0</v>
      </c>
      <c r="R442" s="2" t="inlineStr"/>
    </row>
    <row r="443" ht="15" customHeight="1">
      <c r="A443" t="inlineStr">
        <is>
          <t>A 29020-2024</t>
        </is>
      </c>
      <c r="B443" s="1" t="n">
        <v>45481.58048611111</v>
      </c>
      <c r="C443" s="1" t="n">
        <v>45891</v>
      </c>
      <c r="D443" t="inlineStr">
        <is>
          <t>KALMAR LÄN</t>
        </is>
      </c>
      <c r="E443" t="inlineStr">
        <is>
          <t>VIMMERBY</t>
        </is>
      </c>
      <c r="G443" t="n">
        <v>2.3</v>
      </c>
      <c r="H443" t="n">
        <v>0</v>
      </c>
      <c r="I443" t="n">
        <v>0</v>
      </c>
      <c r="J443" t="n">
        <v>0</v>
      </c>
      <c r="K443" t="n">
        <v>0</v>
      </c>
      <c r="L443" t="n">
        <v>0</v>
      </c>
      <c r="M443" t="n">
        <v>0</v>
      </c>
      <c r="N443" t="n">
        <v>0</v>
      </c>
      <c r="O443" t="n">
        <v>0</v>
      </c>
      <c r="P443" t="n">
        <v>0</v>
      </c>
      <c r="Q443" t="n">
        <v>0</v>
      </c>
      <c r="R443" s="2" t="inlineStr"/>
    </row>
    <row r="444" ht="15" customHeight="1">
      <c r="A444" t="inlineStr">
        <is>
          <t>A 12630-2023</t>
        </is>
      </c>
      <c r="B444" s="1" t="n">
        <v>45000.47998842593</v>
      </c>
      <c r="C444" s="1" t="n">
        <v>45891</v>
      </c>
      <c r="D444" t="inlineStr">
        <is>
          <t>KALMAR LÄN</t>
        </is>
      </c>
      <c r="E444" t="inlineStr">
        <is>
          <t>VIMMERBY</t>
        </is>
      </c>
      <c r="G444" t="n">
        <v>2.1</v>
      </c>
      <c r="H444" t="n">
        <v>0</v>
      </c>
      <c r="I444" t="n">
        <v>0</v>
      </c>
      <c r="J444" t="n">
        <v>0</v>
      </c>
      <c r="K444" t="n">
        <v>0</v>
      </c>
      <c r="L444" t="n">
        <v>0</v>
      </c>
      <c r="M444" t="n">
        <v>0</v>
      </c>
      <c r="N444" t="n">
        <v>0</v>
      </c>
      <c r="O444" t="n">
        <v>0</v>
      </c>
      <c r="P444" t="n">
        <v>0</v>
      </c>
      <c r="Q444" t="n">
        <v>0</v>
      </c>
      <c r="R444" s="2" t="inlineStr"/>
    </row>
    <row r="445" ht="15" customHeight="1">
      <c r="A445" t="inlineStr">
        <is>
          <t>A 39584-2024</t>
        </is>
      </c>
      <c r="B445" s="1" t="n">
        <v>45552.36759259259</v>
      </c>
      <c r="C445" s="1" t="n">
        <v>45891</v>
      </c>
      <c r="D445" t="inlineStr">
        <is>
          <t>KALMAR LÄN</t>
        </is>
      </c>
      <c r="E445" t="inlineStr">
        <is>
          <t>VIMMERBY</t>
        </is>
      </c>
      <c r="G445" t="n">
        <v>1.9</v>
      </c>
      <c r="H445" t="n">
        <v>0</v>
      </c>
      <c r="I445" t="n">
        <v>0</v>
      </c>
      <c r="J445" t="n">
        <v>0</v>
      </c>
      <c r="K445" t="n">
        <v>0</v>
      </c>
      <c r="L445" t="n">
        <v>0</v>
      </c>
      <c r="M445" t="n">
        <v>0</v>
      </c>
      <c r="N445" t="n">
        <v>0</v>
      </c>
      <c r="O445" t="n">
        <v>0</v>
      </c>
      <c r="P445" t="n">
        <v>0</v>
      </c>
      <c r="Q445" t="n">
        <v>0</v>
      </c>
      <c r="R445" s="2" t="inlineStr"/>
    </row>
    <row r="446" ht="15" customHeight="1">
      <c r="A446" t="inlineStr">
        <is>
          <t>A 27705-2023</t>
        </is>
      </c>
      <c r="B446" s="1" t="n">
        <v>45098.30535879629</v>
      </c>
      <c r="C446" s="1" t="n">
        <v>45891</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29783-2024</t>
        </is>
      </c>
      <c r="B447" s="1" t="n">
        <v>45485.45778935185</v>
      </c>
      <c r="C447" s="1" t="n">
        <v>45891</v>
      </c>
      <c r="D447" t="inlineStr">
        <is>
          <t>KALMAR LÄN</t>
        </is>
      </c>
      <c r="E447" t="inlineStr">
        <is>
          <t>VIMMERBY</t>
        </is>
      </c>
      <c r="G447" t="n">
        <v>3.1</v>
      </c>
      <c r="H447" t="n">
        <v>0</v>
      </c>
      <c r="I447" t="n">
        <v>0</v>
      </c>
      <c r="J447" t="n">
        <v>0</v>
      </c>
      <c r="K447" t="n">
        <v>0</v>
      </c>
      <c r="L447" t="n">
        <v>0</v>
      </c>
      <c r="M447" t="n">
        <v>0</v>
      </c>
      <c r="N447" t="n">
        <v>0</v>
      </c>
      <c r="O447" t="n">
        <v>0</v>
      </c>
      <c r="P447" t="n">
        <v>0</v>
      </c>
      <c r="Q447" t="n">
        <v>0</v>
      </c>
      <c r="R447" s="2" t="inlineStr"/>
    </row>
    <row r="448" ht="15" customHeight="1">
      <c r="A448" t="inlineStr">
        <is>
          <t>A 31013-2023</t>
        </is>
      </c>
      <c r="B448" s="1" t="n">
        <v>45113.56574074074</v>
      </c>
      <c r="C448" s="1" t="n">
        <v>45891</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54838-2024</t>
        </is>
      </c>
      <c r="B449" s="1" t="n">
        <v>45618.56787037037</v>
      </c>
      <c r="C449" s="1" t="n">
        <v>45891</v>
      </c>
      <c r="D449" t="inlineStr">
        <is>
          <t>KALMAR LÄN</t>
        </is>
      </c>
      <c r="E449" t="inlineStr">
        <is>
          <t>VIMMERBY</t>
        </is>
      </c>
      <c r="G449" t="n">
        <v>3.3</v>
      </c>
      <c r="H449" t="n">
        <v>0</v>
      </c>
      <c r="I449" t="n">
        <v>0</v>
      </c>
      <c r="J449" t="n">
        <v>0</v>
      </c>
      <c r="K449" t="n">
        <v>0</v>
      </c>
      <c r="L449" t="n">
        <v>0</v>
      </c>
      <c r="M449" t="n">
        <v>0</v>
      </c>
      <c r="N449" t="n">
        <v>0</v>
      </c>
      <c r="O449" t="n">
        <v>0</v>
      </c>
      <c r="P449" t="n">
        <v>0</v>
      </c>
      <c r="Q449" t="n">
        <v>0</v>
      </c>
      <c r="R449" s="2" t="inlineStr"/>
    </row>
    <row r="450" ht="15" customHeight="1">
      <c r="A450" t="inlineStr">
        <is>
          <t>A 15388-2025</t>
        </is>
      </c>
      <c r="B450" s="1" t="n">
        <v>45747.42633101852</v>
      </c>
      <c r="C450" s="1" t="n">
        <v>45891</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15391-2025</t>
        </is>
      </c>
      <c r="B451" s="1" t="n">
        <v>45747.42958333333</v>
      </c>
      <c r="C451" s="1" t="n">
        <v>45891</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11303-2025</t>
        </is>
      </c>
      <c r="B452" s="1" t="n">
        <v>45726.44471064815</v>
      </c>
      <c r="C452" s="1" t="n">
        <v>45891</v>
      </c>
      <c r="D452" t="inlineStr">
        <is>
          <t>KALMAR LÄN</t>
        </is>
      </c>
      <c r="E452" t="inlineStr">
        <is>
          <t>VIMMERBY</t>
        </is>
      </c>
      <c r="G452" t="n">
        <v>2.1</v>
      </c>
      <c r="H452" t="n">
        <v>0</v>
      </c>
      <c r="I452" t="n">
        <v>0</v>
      </c>
      <c r="J452" t="n">
        <v>0</v>
      </c>
      <c r="K452" t="n">
        <v>0</v>
      </c>
      <c r="L452" t="n">
        <v>0</v>
      </c>
      <c r="M452" t="n">
        <v>0</v>
      </c>
      <c r="N452" t="n">
        <v>0</v>
      </c>
      <c r="O452" t="n">
        <v>0</v>
      </c>
      <c r="P452" t="n">
        <v>0</v>
      </c>
      <c r="Q452" t="n">
        <v>0</v>
      </c>
      <c r="R452" s="2" t="inlineStr"/>
    </row>
    <row r="453" ht="15" customHeight="1">
      <c r="A453" t="inlineStr">
        <is>
          <t>A 25987-2024</t>
        </is>
      </c>
      <c r="B453" s="1" t="n">
        <v>45467.74417824074</v>
      </c>
      <c r="C453" s="1" t="n">
        <v>45891</v>
      </c>
      <c r="D453" t="inlineStr">
        <is>
          <t>KALMAR LÄN</t>
        </is>
      </c>
      <c r="E453" t="inlineStr">
        <is>
          <t>VIMMERBY</t>
        </is>
      </c>
      <c r="G453" t="n">
        <v>0.8</v>
      </c>
      <c r="H453" t="n">
        <v>0</v>
      </c>
      <c r="I453" t="n">
        <v>0</v>
      </c>
      <c r="J453" t="n">
        <v>0</v>
      </c>
      <c r="K453" t="n">
        <v>0</v>
      </c>
      <c r="L453" t="n">
        <v>0</v>
      </c>
      <c r="M453" t="n">
        <v>0</v>
      </c>
      <c r="N453" t="n">
        <v>0</v>
      </c>
      <c r="O453" t="n">
        <v>0</v>
      </c>
      <c r="P453" t="n">
        <v>0</v>
      </c>
      <c r="Q453" t="n">
        <v>0</v>
      </c>
      <c r="R453" s="2" t="inlineStr"/>
    </row>
    <row r="454" ht="15" customHeight="1">
      <c r="A454" t="inlineStr">
        <is>
          <t>A 25109-2023</t>
        </is>
      </c>
      <c r="B454" s="1" t="n">
        <v>45086</v>
      </c>
      <c r="C454" s="1" t="n">
        <v>45891</v>
      </c>
      <c r="D454" t="inlineStr">
        <is>
          <t>KALMAR LÄN</t>
        </is>
      </c>
      <c r="E454" t="inlineStr">
        <is>
          <t>VIMMERBY</t>
        </is>
      </c>
      <c r="G454" t="n">
        <v>1.5</v>
      </c>
      <c r="H454" t="n">
        <v>0</v>
      </c>
      <c r="I454" t="n">
        <v>0</v>
      </c>
      <c r="J454" t="n">
        <v>0</v>
      </c>
      <c r="K454" t="n">
        <v>0</v>
      </c>
      <c r="L454" t="n">
        <v>0</v>
      </c>
      <c r="M454" t="n">
        <v>0</v>
      </c>
      <c r="N454" t="n">
        <v>0</v>
      </c>
      <c r="O454" t="n">
        <v>0</v>
      </c>
      <c r="P454" t="n">
        <v>0</v>
      </c>
      <c r="Q454" t="n">
        <v>0</v>
      </c>
      <c r="R454" s="2" t="inlineStr"/>
    </row>
    <row r="455" ht="15" customHeight="1">
      <c r="A455" t="inlineStr">
        <is>
          <t>A 61878-2020</t>
        </is>
      </c>
      <c r="B455" s="1" t="n">
        <v>44159</v>
      </c>
      <c r="C455" s="1" t="n">
        <v>45891</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33352-2022</t>
        </is>
      </c>
      <c r="B456" s="1" t="n">
        <v>44788</v>
      </c>
      <c r="C456" s="1" t="n">
        <v>45891</v>
      </c>
      <c r="D456" t="inlineStr">
        <is>
          <t>KALMAR LÄN</t>
        </is>
      </c>
      <c r="E456" t="inlineStr">
        <is>
          <t>VIMMERBY</t>
        </is>
      </c>
      <c r="G456" t="n">
        <v>0.8</v>
      </c>
      <c r="H456" t="n">
        <v>0</v>
      </c>
      <c r="I456" t="n">
        <v>0</v>
      </c>
      <c r="J456" t="n">
        <v>0</v>
      </c>
      <c r="K456" t="n">
        <v>0</v>
      </c>
      <c r="L456" t="n">
        <v>0</v>
      </c>
      <c r="M456" t="n">
        <v>0</v>
      </c>
      <c r="N456" t="n">
        <v>0</v>
      </c>
      <c r="O456" t="n">
        <v>0</v>
      </c>
      <c r="P456" t="n">
        <v>0</v>
      </c>
      <c r="Q456" t="n">
        <v>0</v>
      </c>
      <c r="R456" s="2" t="inlineStr"/>
    </row>
    <row r="457" ht="15" customHeight="1">
      <c r="A457" t="inlineStr">
        <is>
          <t>A 62023-2022</t>
        </is>
      </c>
      <c r="B457" s="1" t="n">
        <v>44918.50106481482</v>
      </c>
      <c r="C457" s="1" t="n">
        <v>45891</v>
      </c>
      <c r="D457" t="inlineStr">
        <is>
          <t>KALMAR LÄN</t>
        </is>
      </c>
      <c r="E457" t="inlineStr">
        <is>
          <t>VIMMERBY</t>
        </is>
      </c>
      <c r="G457" t="n">
        <v>0.3</v>
      </c>
      <c r="H457" t="n">
        <v>0</v>
      </c>
      <c r="I457" t="n">
        <v>0</v>
      </c>
      <c r="J457" t="n">
        <v>0</v>
      </c>
      <c r="K457" t="n">
        <v>0</v>
      </c>
      <c r="L457" t="n">
        <v>0</v>
      </c>
      <c r="M457" t="n">
        <v>0</v>
      </c>
      <c r="N457" t="n">
        <v>0</v>
      </c>
      <c r="O457" t="n">
        <v>0</v>
      </c>
      <c r="P457" t="n">
        <v>0</v>
      </c>
      <c r="Q457" t="n">
        <v>0</v>
      </c>
      <c r="R457" s="2" t="inlineStr"/>
    </row>
    <row r="458" ht="15" customHeight="1">
      <c r="A458" t="inlineStr">
        <is>
          <t>A 58104-2024</t>
        </is>
      </c>
      <c r="B458" s="1" t="n">
        <v>45632.37459490741</v>
      </c>
      <c r="C458" s="1" t="n">
        <v>45891</v>
      </c>
      <c r="D458" t="inlineStr">
        <is>
          <t>KALMAR LÄN</t>
        </is>
      </c>
      <c r="E458" t="inlineStr">
        <is>
          <t>VIMMERBY</t>
        </is>
      </c>
      <c r="G458" t="n">
        <v>5</v>
      </c>
      <c r="H458" t="n">
        <v>0</v>
      </c>
      <c r="I458" t="n">
        <v>0</v>
      </c>
      <c r="J458" t="n">
        <v>0</v>
      </c>
      <c r="K458" t="n">
        <v>0</v>
      </c>
      <c r="L458" t="n">
        <v>0</v>
      </c>
      <c r="M458" t="n">
        <v>0</v>
      </c>
      <c r="N458" t="n">
        <v>0</v>
      </c>
      <c r="O458" t="n">
        <v>0</v>
      </c>
      <c r="P458" t="n">
        <v>0</v>
      </c>
      <c r="Q458" t="n">
        <v>0</v>
      </c>
      <c r="R458" s="2" t="inlineStr"/>
    </row>
    <row r="459" ht="15" customHeight="1">
      <c r="A459" t="inlineStr">
        <is>
          <t>A 46234-2024</t>
        </is>
      </c>
      <c r="B459" s="1" t="n">
        <v>45581.57958333333</v>
      </c>
      <c r="C459" s="1" t="n">
        <v>45891</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39053-2024</t>
        </is>
      </c>
      <c r="B460" s="1" t="n">
        <v>45548</v>
      </c>
      <c r="C460" s="1" t="n">
        <v>45891</v>
      </c>
      <c r="D460" t="inlineStr">
        <is>
          <t>KALMAR LÄN</t>
        </is>
      </c>
      <c r="E460" t="inlineStr">
        <is>
          <t>VIMMERBY</t>
        </is>
      </c>
      <c r="G460" t="n">
        <v>5</v>
      </c>
      <c r="H460" t="n">
        <v>0</v>
      </c>
      <c r="I460" t="n">
        <v>0</v>
      </c>
      <c r="J460" t="n">
        <v>0</v>
      </c>
      <c r="K460" t="n">
        <v>0</v>
      </c>
      <c r="L460" t="n">
        <v>0</v>
      </c>
      <c r="M460" t="n">
        <v>0</v>
      </c>
      <c r="N460" t="n">
        <v>0</v>
      </c>
      <c r="O460" t="n">
        <v>0</v>
      </c>
      <c r="P460" t="n">
        <v>0</v>
      </c>
      <c r="Q460" t="n">
        <v>0</v>
      </c>
      <c r="R460" s="2" t="inlineStr"/>
    </row>
    <row r="461" ht="15" customHeight="1">
      <c r="A461" t="inlineStr">
        <is>
          <t>A 12215-2024</t>
        </is>
      </c>
      <c r="B461" s="1" t="n">
        <v>45378.32185185186</v>
      </c>
      <c r="C461" s="1" t="n">
        <v>45891</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30920-2024</t>
        </is>
      </c>
      <c r="B462" s="1" t="n">
        <v>45498.673125</v>
      </c>
      <c r="C462" s="1" t="n">
        <v>45891</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56536-2022</t>
        </is>
      </c>
      <c r="B463" s="1" t="n">
        <v>44893</v>
      </c>
      <c r="C463" s="1" t="n">
        <v>45891</v>
      </c>
      <c r="D463" t="inlineStr">
        <is>
          <t>KALMAR LÄN</t>
        </is>
      </c>
      <c r="E463" t="inlineStr">
        <is>
          <t>VIMMERBY</t>
        </is>
      </c>
      <c r="G463" t="n">
        <v>3.2</v>
      </c>
      <c r="H463" t="n">
        <v>0</v>
      </c>
      <c r="I463" t="n">
        <v>0</v>
      </c>
      <c r="J463" t="n">
        <v>0</v>
      </c>
      <c r="K463" t="n">
        <v>0</v>
      </c>
      <c r="L463" t="n">
        <v>0</v>
      </c>
      <c r="M463" t="n">
        <v>0</v>
      </c>
      <c r="N463" t="n">
        <v>0</v>
      </c>
      <c r="O463" t="n">
        <v>0</v>
      </c>
      <c r="P463" t="n">
        <v>0</v>
      </c>
      <c r="Q463" t="n">
        <v>0</v>
      </c>
      <c r="R463" s="2" t="inlineStr"/>
    </row>
    <row r="464" ht="15" customHeight="1">
      <c r="A464" t="inlineStr">
        <is>
          <t>A 63541-2023</t>
        </is>
      </c>
      <c r="B464" s="1" t="n">
        <v>45275.32266203704</v>
      </c>
      <c r="C464" s="1" t="n">
        <v>45891</v>
      </c>
      <c r="D464" t="inlineStr">
        <is>
          <t>KALMAR LÄN</t>
        </is>
      </c>
      <c r="E464" t="inlineStr">
        <is>
          <t>VIMMERBY</t>
        </is>
      </c>
      <c r="G464" t="n">
        <v>1.1</v>
      </c>
      <c r="H464" t="n">
        <v>0</v>
      </c>
      <c r="I464" t="n">
        <v>0</v>
      </c>
      <c r="J464" t="n">
        <v>0</v>
      </c>
      <c r="K464" t="n">
        <v>0</v>
      </c>
      <c r="L464" t="n">
        <v>0</v>
      </c>
      <c r="M464" t="n">
        <v>0</v>
      </c>
      <c r="N464" t="n">
        <v>0</v>
      </c>
      <c r="O464" t="n">
        <v>0</v>
      </c>
      <c r="P464" t="n">
        <v>0</v>
      </c>
      <c r="Q464" t="n">
        <v>0</v>
      </c>
      <c r="R464" s="2" t="inlineStr"/>
    </row>
    <row r="465" ht="15" customHeight="1">
      <c r="A465" t="inlineStr">
        <is>
          <t>A 15449-2023</t>
        </is>
      </c>
      <c r="B465" s="1" t="n">
        <v>45020</v>
      </c>
      <c r="C465" s="1" t="n">
        <v>45891</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37323-2024</t>
        </is>
      </c>
      <c r="B466" s="1" t="n">
        <v>45540.50098379629</v>
      </c>
      <c r="C466" s="1" t="n">
        <v>45891</v>
      </c>
      <c r="D466" t="inlineStr">
        <is>
          <t>KALMAR LÄN</t>
        </is>
      </c>
      <c r="E466" t="inlineStr">
        <is>
          <t>VIMMERBY</t>
        </is>
      </c>
      <c r="G466" t="n">
        <v>1.2</v>
      </c>
      <c r="H466" t="n">
        <v>0</v>
      </c>
      <c r="I466" t="n">
        <v>0</v>
      </c>
      <c r="J466" t="n">
        <v>0</v>
      </c>
      <c r="K466" t="n">
        <v>0</v>
      </c>
      <c r="L466" t="n">
        <v>0</v>
      </c>
      <c r="M466" t="n">
        <v>0</v>
      </c>
      <c r="N466" t="n">
        <v>0</v>
      </c>
      <c r="O466" t="n">
        <v>0</v>
      </c>
      <c r="P466" t="n">
        <v>0</v>
      </c>
      <c r="Q466" t="n">
        <v>0</v>
      </c>
      <c r="R466" s="2" t="inlineStr"/>
    </row>
    <row r="467" ht="15" customHeight="1">
      <c r="A467" t="inlineStr">
        <is>
          <t>A 43594-2024</t>
        </is>
      </c>
      <c r="B467" s="1" t="n">
        <v>45569.44295138889</v>
      </c>
      <c r="C467" s="1" t="n">
        <v>45891</v>
      </c>
      <c r="D467" t="inlineStr">
        <is>
          <t>KALMAR LÄN</t>
        </is>
      </c>
      <c r="E467" t="inlineStr">
        <is>
          <t>VIMMERBY</t>
        </is>
      </c>
      <c r="G467" t="n">
        <v>3.9</v>
      </c>
      <c r="H467" t="n">
        <v>0</v>
      </c>
      <c r="I467" t="n">
        <v>0</v>
      </c>
      <c r="J467" t="n">
        <v>0</v>
      </c>
      <c r="K467" t="n">
        <v>0</v>
      </c>
      <c r="L467" t="n">
        <v>0</v>
      </c>
      <c r="M467" t="n">
        <v>0</v>
      </c>
      <c r="N467" t="n">
        <v>0</v>
      </c>
      <c r="O467" t="n">
        <v>0</v>
      </c>
      <c r="P467" t="n">
        <v>0</v>
      </c>
      <c r="Q467" t="n">
        <v>0</v>
      </c>
      <c r="R467" s="2" t="inlineStr"/>
    </row>
    <row r="468" ht="15" customHeight="1">
      <c r="A468" t="inlineStr">
        <is>
          <t>A 22014-2025</t>
        </is>
      </c>
      <c r="B468" s="1" t="n">
        <v>45784.74996527778</v>
      </c>
      <c r="C468" s="1" t="n">
        <v>45891</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17486-2024</t>
        </is>
      </c>
      <c r="B469" s="1" t="n">
        <v>45415.48979166667</v>
      </c>
      <c r="C469" s="1" t="n">
        <v>45891</v>
      </c>
      <c r="D469" t="inlineStr">
        <is>
          <t>KALMAR LÄN</t>
        </is>
      </c>
      <c r="E469" t="inlineStr">
        <is>
          <t>VIMMERBY</t>
        </is>
      </c>
      <c r="G469" t="n">
        <v>2.6</v>
      </c>
      <c r="H469" t="n">
        <v>0</v>
      </c>
      <c r="I469" t="n">
        <v>0</v>
      </c>
      <c r="J469" t="n">
        <v>0</v>
      </c>
      <c r="K469" t="n">
        <v>0</v>
      </c>
      <c r="L469" t="n">
        <v>0</v>
      </c>
      <c r="M469" t="n">
        <v>0</v>
      </c>
      <c r="N469" t="n">
        <v>0</v>
      </c>
      <c r="O469" t="n">
        <v>0</v>
      </c>
      <c r="P469" t="n">
        <v>0</v>
      </c>
      <c r="Q469" t="n">
        <v>0</v>
      </c>
      <c r="R469" s="2" t="inlineStr"/>
    </row>
    <row r="470" ht="15" customHeight="1">
      <c r="A470" t="inlineStr">
        <is>
          <t>A 14248-2023</t>
        </is>
      </c>
      <c r="B470" s="1" t="n">
        <v>45009</v>
      </c>
      <c r="C470" s="1" t="n">
        <v>45891</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25582-2024</t>
        </is>
      </c>
      <c r="B471" s="1" t="n">
        <v>45463</v>
      </c>
      <c r="C471" s="1" t="n">
        <v>45891</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54917-2020</t>
        </is>
      </c>
      <c r="B472" s="1" t="n">
        <v>44127</v>
      </c>
      <c r="C472" s="1" t="n">
        <v>45891</v>
      </c>
      <c r="D472" t="inlineStr">
        <is>
          <t>KALMAR LÄN</t>
        </is>
      </c>
      <c r="E472" t="inlineStr">
        <is>
          <t>VIMMERBY</t>
        </is>
      </c>
      <c r="G472" t="n">
        <v>9.5</v>
      </c>
      <c r="H472" t="n">
        <v>0</v>
      </c>
      <c r="I472" t="n">
        <v>0</v>
      </c>
      <c r="J472" t="n">
        <v>0</v>
      </c>
      <c r="K472" t="n">
        <v>0</v>
      </c>
      <c r="L472" t="n">
        <v>0</v>
      </c>
      <c r="M472" t="n">
        <v>0</v>
      </c>
      <c r="N472" t="n">
        <v>0</v>
      </c>
      <c r="O472" t="n">
        <v>0</v>
      </c>
      <c r="P472" t="n">
        <v>0</v>
      </c>
      <c r="Q472" t="n">
        <v>0</v>
      </c>
      <c r="R472" s="2" t="inlineStr"/>
    </row>
    <row r="473" ht="15" customHeight="1">
      <c r="A473" t="inlineStr">
        <is>
          <t>A 57578-2024</t>
        </is>
      </c>
      <c r="B473" s="1" t="n">
        <v>45630.47564814815</v>
      </c>
      <c r="C473" s="1" t="n">
        <v>45891</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30400-2023</t>
        </is>
      </c>
      <c r="B474" s="1" t="n">
        <v>45111.48225694444</v>
      </c>
      <c r="C474" s="1" t="n">
        <v>45891</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30404-2023</t>
        </is>
      </c>
      <c r="B475" s="1" t="n">
        <v>45111.48636574074</v>
      </c>
      <c r="C475" s="1" t="n">
        <v>45891</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11429-2022</t>
        </is>
      </c>
      <c r="B476" s="1" t="n">
        <v>44630</v>
      </c>
      <c r="C476" s="1" t="n">
        <v>45891</v>
      </c>
      <c r="D476" t="inlineStr">
        <is>
          <t>KALMAR LÄN</t>
        </is>
      </c>
      <c r="E476" t="inlineStr">
        <is>
          <t>VIMMERBY</t>
        </is>
      </c>
      <c r="G476" t="n">
        <v>2.6</v>
      </c>
      <c r="H476" t="n">
        <v>0</v>
      </c>
      <c r="I476" t="n">
        <v>0</v>
      </c>
      <c r="J476" t="n">
        <v>0</v>
      </c>
      <c r="K476" t="n">
        <v>0</v>
      </c>
      <c r="L476" t="n">
        <v>0</v>
      </c>
      <c r="M476" t="n">
        <v>0</v>
      </c>
      <c r="N476" t="n">
        <v>0</v>
      </c>
      <c r="O476" t="n">
        <v>0</v>
      </c>
      <c r="P476" t="n">
        <v>0</v>
      </c>
      <c r="Q476" t="n">
        <v>0</v>
      </c>
      <c r="R476" s="2" t="inlineStr"/>
    </row>
    <row r="477" ht="15" customHeight="1">
      <c r="A477" t="inlineStr">
        <is>
          <t>A 55123-2024</t>
        </is>
      </c>
      <c r="B477" s="1" t="n">
        <v>45621.46103009259</v>
      </c>
      <c r="C477" s="1" t="n">
        <v>45891</v>
      </c>
      <c r="D477" t="inlineStr">
        <is>
          <t>KALMAR LÄN</t>
        </is>
      </c>
      <c r="E477" t="inlineStr">
        <is>
          <t>VIMMERBY</t>
        </is>
      </c>
      <c r="G477" t="n">
        <v>3.1</v>
      </c>
      <c r="H477" t="n">
        <v>0</v>
      </c>
      <c r="I477" t="n">
        <v>0</v>
      </c>
      <c r="J477" t="n">
        <v>0</v>
      </c>
      <c r="K477" t="n">
        <v>0</v>
      </c>
      <c r="L477" t="n">
        <v>0</v>
      </c>
      <c r="M477" t="n">
        <v>0</v>
      </c>
      <c r="N477" t="n">
        <v>0</v>
      </c>
      <c r="O477" t="n">
        <v>0</v>
      </c>
      <c r="P477" t="n">
        <v>0</v>
      </c>
      <c r="Q477" t="n">
        <v>0</v>
      </c>
      <c r="R477" s="2" t="inlineStr"/>
    </row>
    <row r="478" ht="15" customHeight="1">
      <c r="A478" t="inlineStr">
        <is>
          <t>A 31405-2023</t>
        </is>
      </c>
      <c r="B478" s="1" t="n">
        <v>45114.58148148148</v>
      </c>
      <c r="C478" s="1" t="n">
        <v>45891</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56582-2022</t>
        </is>
      </c>
      <c r="B479" s="1" t="n">
        <v>44893</v>
      </c>
      <c r="C479" s="1" t="n">
        <v>45891</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24707-2024</t>
        </is>
      </c>
      <c r="B480" s="1" t="n">
        <v>45460.62172453704</v>
      </c>
      <c r="C480" s="1" t="n">
        <v>45891</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6408-2025</t>
        </is>
      </c>
      <c r="B481" s="1" t="n">
        <v>45699.45671296296</v>
      </c>
      <c r="C481" s="1" t="n">
        <v>45891</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11609-2023</t>
        </is>
      </c>
      <c r="B482" s="1" t="n">
        <v>44994.40635416667</v>
      </c>
      <c r="C482" s="1" t="n">
        <v>45891</v>
      </c>
      <c r="D482" t="inlineStr">
        <is>
          <t>KALMAR LÄN</t>
        </is>
      </c>
      <c r="E482" t="inlineStr">
        <is>
          <t>VIMMERBY</t>
        </is>
      </c>
      <c r="G482" t="n">
        <v>4.9</v>
      </c>
      <c r="H482" t="n">
        <v>0</v>
      </c>
      <c r="I482" t="n">
        <v>0</v>
      </c>
      <c r="J482" t="n">
        <v>0</v>
      </c>
      <c r="K482" t="n">
        <v>0</v>
      </c>
      <c r="L482" t="n">
        <v>0</v>
      </c>
      <c r="M482" t="n">
        <v>0</v>
      </c>
      <c r="N482" t="n">
        <v>0</v>
      </c>
      <c r="O482" t="n">
        <v>0</v>
      </c>
      <c r="P482" t="n">
        <v>0</v>
      </c>
      <c r="Q482" t="n">
        <v>0</v>
      </c>
      <c r="R482" s="2" t="inlineStr"/>
    </row>
    <row r="483" ht="15" customHeight="1">
      <c r="A483" t="inlineStr">
        <is>
          <t>A 36049-2024</t>
        </is>
      </c>
      <c r="B483" s="1" t="n">
        <v>45533.61996527778</v>
      </c>
      <c r="C483" s="1" t="n">
        <v>45891</v>
      </c>
      <c r="D483" t="inlineStr">
        <is>
          <t>KALMAR LÄN</t>
        </is>
      </c>
      <c r="E483" t="inlineStr">
        <is>
          <t>VIMMERBY</t>
        </is>
      </c>
      <c r="F483" t="inlineStr">
        <is>
          <t>Kommuner</t>
        </is>
      </c>
      <c r="G483" t="n">
        <v>2.6</v>
      </c>
      <c r="H483" t="n">
        <v>0</v>
      </c>
      <c r="I483" t="n">
        <v>0</v>
      </c>
      <c r="J483" t="n">
        <v>0</v>
      </c>
      <c r="K483" t="n">
        <v>0</v>
      </c>
      <c r="L483" t="n">
        <v>0</v>
      </c>
      <c r="M483" t="n">
        <v>0</v>
      </c>
      <c r="N483" t="n">
        <v>0</v>
      </c>
      <c r="O483" t="n">
        <v>0</v>
      </c>
      <c r="P483" t="n">
        <v>0</v>
      </c>
      <c r="Q483" t="n">
        <v>0</v>
      </c>
      <c r="R483" s="2" t="inlineStr"/>
    </row>
    <row r="484" ht="15" customHeight="1">
      <c r="A484" t="inlineStr">
        <is>
          <t>A 44464-2024</t>
        </is>
      </c>
      <c r="B484" s="1" t="n">
        <v>45574.35809027778</v>
      </c>
      <c r="C484" s="1" t="n">
        <v>45891</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41066-2024</t>
        </is>
      </c>
      <c r="B485" s="1" t="n">
        <v>45559.38876157408</v>
      </c>
      <c r="C485" s="1" t="n">
        <v>45891</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22398-2025</t>
        </is>
      </c>
      <c r="B486" s="1" t="n">
        <v>45786.52931712963</v>
      </c>
      <c r="C486" s="1" t="n">
        <v>45891</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22399-2025</t>
        </is>
      </c>
      <c r="B487" s="1" t="n">
        <v>45786.52996527778</v>
      </c>
      <c r="C487" s="1" t="n">
        <v>45891</v>
      </c>
      <c r="D487" t="inlineStr">
        <is>
          <t>KALMAR LÄN</t>
        </is>
      </c>
      <c r="E487" t="inlineStr">
        <is>
          <t>VIMMERBY</t>
        </is>
      </c>
      <c r="G487" t="n">
        <v>2.1</v>
      </c>
      <c r="H487" t="n">
        <v>0</v>
      </c>
      <c r="I487" t="n">
        <v>0</v>
      </c>
      <c r="J487" t="n">
        <v>0</v>
      </c>
      <c r="K487" t="n">
        <v>0</v>
      </c>
      <c r="L487" t="n">
        <v>0</v>
      </c>
      <c r="M487" t="n">
        <v>0</v>
      </c>
      <c r="N487" t="n">
        <v>0</v>
      </c>
      <c r="O487" t="n">
        <v>0</v>
      </c>
      <c r="P487" t="n">
        <v>0</v>
      </c>
      <c r="Q487" t="n">
        <v>0</v>
      </c>
      <c r="R487" s="2" t="inlineStr"/>
    </row>
    <row r="488" ht="15" customHeight="1">
      <c r="A488" t="inlineStr">
        <is>
          <t>A 58159-2024</t>
        </is>
      </c>
      <c r="B488" s="1" t="n">
        <v>45632.44886574074</v>
      </c>
      <c r="C488" s="1" t="n">
        <v>45891</v>
      </c>
      <c r="D488" t="inlineStr">
        <is>
          <t>KALMAR LÄN</t>
        </is>
      </c>
      <c r="E488" t="inlineStr">
        <is>
          <t>VIMMERBY</t>
        </is>
      </c>
      <c r="G488" t="n">
        <v>7.5</v>
      </c>
      <c r="H488" t="n">
        <v>0</v>
      </c>
      <c r="I488" t="n">
        <v>0</v>
      </c>
      <c r="J488" t="n">
        <v>0</v>
      </c>
      <c r="K488" t="n">
        <v>0</v>
      </c>
      <c r="L488" t="n">
        <v>0</v>
      </c>
      <c r="M488" t="n">
        <v>0</v>
      </c>
      <c r="N488" t="n">
        <v>0</v>
      </c>
      <c r="O488" t="n">
        <v>0</v>
      </c>
      <c r="P488" t="n">
        <v>0</v>
      </c>
      <c r="Q488" t="n">
        <v>0</v>
      </c>
      <c r="R488" s="2" t="inlineStr"/>
    </row>
    <row r="489" ht="15" customHeight="1">
      <c r="A489" t="inlineStr">
        <is>
          <t>A 14359-2025</t>
        </is>
      </c>
      <c r="B489" s="1" t="n">
        <v>45741.37270833334</v>
      </c>
      <c r="C489" s="1" t="n">
        <v>45891</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3816-2022</t>
        </is>
      </c>
      <c r="B490" s="1" t="n">
        <v>44587</v>
      </c>
      <c r="C490" s="1" t="n">
        <v>45891</v>
      </c>
      <c r="D490" t="inlineStr">
        <is>
          <t>KALMAR LÄN</t>
        </is>
      </c>
      <c r="E490" t="inlineStr">
        <is>
          <t>VIMMERBY</t>
        </is>
      </c>
      <c r="G490" t="n">
        <v>1.2</v>
      </c>
      <c r="H490" t="n">
        <v>0</v>
      </c>
      <c r="I490" t="n">
        <v>0</v>
      </c>
      <c r="J490" t="n">
        <v>0</v>
      </c>
      <c r="K490" t="n">
        <v>0</v>
      </c>
      <c r="L490" t="n">
        <v>0</v>
      </c>
      <c r="M490" t="n">
        <v>0</v>
      </c>
      <c r="N490" t="n">
        <v>0</v>
      </c>
      <c r="O490" t="n">
        <v>0</v>
      </c>
      <c r="P490" t="n">
        <v>0</v>
      </c>
      <c r="Q490" t="n">
        <v>0</v>
      </c>
      <c r="R490" s="2" t="inlineStr"/>
    </row>
    <row r="491" ht="15" customHeight="1">
      <c r="A491" t="inlineStr">
        <is>
          <t>A 39578-2024</t>
        </is>
      </c>
      <c r="B491" s="1" t="n">
        <v>45552.36484953704</v>
      </c>
      <c r="C491" s="1" t="n">
        <v>45891</v>
      </c>
      <c r="D491" t="inlineStr">
        <is>
          <t>KALMAR LÄN</t>
        </is>
      </c>
      <c r="E491" t="inlineStr">
        <is>
          <t>VIMMERBY</t>
        </is>
      </c>
      <c r="G491" t="n">
        <v>1.5</v>
      </c>
      <c r="H491" t="n">
        <v>0</v>
      </c>
      <c r="I491" t="n">
        <v>0</v>
      </c>
      <c r="J491" t="n">
        <v>0</v>
      </c>
      <c r="K491" t="n">
        <v>0</v>
      </c>
      <c r="L491" t="n">
        <v>0</v>
      </c>
      <c r="M491" t="n">
        <v>0</v>
      </c>
      <c r="N491" t="n">
        <v>0</v>
      </c>
      <c r="O491" t="n">
        <v>0</v>
      </c>
      <c r="P491" t="n">
        <v>0</v>
      </c>
      <c r="Q491" t="n">
        <v>0</v>
      </c>
      <c r="R491" s="2" t="inlineStr"/>
    </row>
    <row r="492" ht="15" customHeight="1">
      <c r="A492" t="inlineStr">
        <is>
          <t>A 1081-2023</t>
        </is>
      </c>
      <c r="B492" s="1" t="n">
        <v>44935</v>
      </c>
      <c r="C492" s="1" t="n">
        <v>45891</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7047-2022</t>
        </is>
      </c>
      <c r="B493" s="1" t="n">
        <v>44603</v>
      </c>
      <c r="C493" s="1" t="n">
        <v>45891</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12499-2023</t>
        </is>
      </c>
      <c r="B494" s="1" t="n">
        <v>44999.86172453704</v>
      </c>
      <c r="C494" s="1" t="n">
        <v>45891</v>
      </c>
      <c r="D494" t="inlineStr">
        <is>
          <t>KALMAR LÄN</t>
        </is>
      </c>
      <c r="E494" t="inlineStr">
        <is>
          <t>VIMMERBY</t>
        </is>
      </c>
      <c r="G494" t="n">
        <v>0.8</v>
      </c>
      <c r="H494" t="n">
        <v>0</v>
      </c>
      <c r="I494" t="n">
        <v>0</v>
      </c>
      <c r="J494" t="n">
        <v>0</v>
      </c>
      <c r="K494" t="n">
        <v>0</v>
      </c>
      <c r="L494" t="n">
        <v>0</v>
      </c>
      <c r="M494" t="n">
        <v>0</v>
      </c>
      <c r="N494" t="n">
        <v>0</v>
      </c>
      <c r="O494" t="n">
        <v>0</v>
      </c>
      <c r="P494" t="n">
        <v>0</v>
      </c>
      <c r="Q494" t="n">
        <v>0</v>
      </c>
      <c r="R494" s="2" t="inlineStr"/>
    </row>
    <row r="495" ht="15" customHeight="1">
      <c r="A495" t="inlineStr">
        <is>
          <t>A 12500-2023</t>
        </is>
      </c>
      <c r="B495" s="1" t="n">
        <v>44999.8625</v>
      </c>
      <c r="C495" s="1" t="n">
        <v>45891</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62779-2023</t>
        </is>
      </c>
      <c r="B496" s="1" t="n">
        <v>45271.66576388889</v>
      </c>
      <c r="C496" s="1" t="n">
        <v>45891</v>
      </c>
      <c r="D496" t="inlineStr">
        <is>
          <t>KALMAR LÄN</t>
        </is>
      </c>
      <c r="E496" t="inlineStr">
        <is>
          <t>VIMMERBY</t>
        </is>
      </c>
      <c r="G496" t="n">
        <v>1.1</v>
      </c>
      <c r="H496" t="n">
        <v>0</v>
      </c>
      <c r="I496" t="n">
        <v>0</v>
      </c>
      <c r="J496" t="n">
        <v>0</v>
      </c>
      <c r="K496" t="n">
        <v>0</v>
      </c>
      <c r="L496" t="n">
        <v>0</v>
      </c>
      <c r="M496" t="n">
        <v>0</v>
      </c>
      <c r="N496" t="n">
        <v>0</v>
      </c>
      <c r="O496" t="n">
        <v>0</v>
      </c>
      <c r="P496" t="n">
        <v>0</v>
      </c>
      <c r="Q496" t="n">
        <v>0</v>
      </c>
      <c r="R496" s="2" t="inlineStr"/>
    </row>
    <row r="497" ht="15" customHeight="1">
      <c r="A497" t="inlineStr">
        <is>
          <t>A 6066-2023</t>
        </is>
      </c>
      <c r="B497" s="1" t="n">
        <v>44964.50894675926</v>
      </c>
      <c r="C497" s="1" t="n">
        <v>45891</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22397-2025</t>
        </is>
      </c>
      <c r="B498" s="1" t="n">
        <v>45786.52878472222</v>
      </c>
      <c r="C498" s="1" t="n">
        <v>45891</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33103-2024</t>
        </is>
      </c>
      <c r="B499" s="1" t="n">
        <v>45517.8162037037</v>
      </c>
      <c r="C499" s="1" t="n">
        <v>45891</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33161-2024</t>
        </is>
      </c>
      <c r="B500" s="1" t="n">
        <v>45518.40657407408</v>
      </c>
      <c r="C500" s="1" t="n">
        <v>45891</v>
      </c>
      <c r="D500" t="inlineStr">
        <is>
          <t>KALMAR LÄN</t>
        </is>
      </c>
      <c r="E500" t="inlineStr">
        <is>
          <t>VIMMERBY</t>
        </is>
      </c>
      <c r="G500" t="n">
        <v>4.7</v>
      </c>
      <c r="H500" t="n">
        <v>0</v>
      </c>
      <c r="I500" t="n">
        <v>0</v>
      </c>
      <c r="J500" t="n">
        <v>0</v>
      </c>
      <c r="K500" t="n">
        <v>0</v>
      </c>
      <c r="L500" t="n">
        <v>0</v>
      </c>
      <c r="M500" t="n">
        <v>0</v>
      </c>
      <c r="N500" t="n">
        <v>0</v>
      </c>
      <c r="O500" t="n">
        <v>0</v>
      </c>
      <c r="P500" t="n">
        <v>0</v>
      </c>
      <c r="Q500" t="n">
        <v>0</v>
      </c>
      <c r="R500" s="2" t="inlineStr"/>
    </row>
    <row r="501" ht="15" customHeight="1">
      <c r="A501" t="inlineStr">
        <is>
          <t>A 12510-2022</t>
        </is>
      </c>
      <c r="B501" s="1" t="n">
        <v>44638.55256944444</v>
      </c>
      <c r="C501" s="1" t="n">
        <v>45891</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46399-2024</t>
        </is>
      </c>
      <c r="B502" s="1" t="n">
        <v>45582.41200231481</v>
      </c>
      <c r="C502" s="1" t="n">
        <v>45891</v>
      </c>
      <c r="D502" t="inlineStr">
        <is>
          <t>KALMAR LÄN</t>
        </is>
      </c>
      <c r="E502" t="inlineStr">
        <is>
          <t>VIMMERBY</t>
        </is>
      </c>
      <c r="G502" t="n">
        <v>4.6</v>
      </c>
      <c r="H502" t="n">
        <v>0</v>
      </c>
      <c r="I502" t="n">
        <v>0</v>
      </c>
      <c r="J502" t="n">
        <v>0</v>
      </c>
      <c r="K502" t="n">
        <v>0</v>
      </c>
      <c r="L502" t="n">
        <v>0</v>
      </c>
      <c r="M502" t="n">
        <v>0</v>
      </c>
      <c r="N502" t="n">
        <v>0</v>
      </c>
      <c r="O502" t="n">
        <v>0</v>
      </c>
      <c r="P502" t="n">
        <v>0</v>
      </c>
      <c r="Q502" t="n">
        <v>0</v>
      </c>
      <c r="R502" s="2" t="inlineStr"/>
    </row>
    <row r="503" ht="15" customHeight="1">
      <c r="A503" t="inlineStr">
        <is>
          <t>A 3425-2022</t>
        </is>
      </c>
      <c r="B503" s="1" t="n">
        <v>44585.51060185185</v>
      </c>
      <c r="C503" s="1" t="n">
        <v>45891</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43962-2024</t>
        </is>
      </c>
      <c r="B504" s="1" t="n">
        <v>45572.48293981481</v>
      </c>
      <c r="C504" s="1" t="n">
        <v>45891</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12810-2023</t>
        </is>
      </c>
      <c r="B505" s="1" t="n">
        <v>45001.43854166667</v>
      </c>
      <c r="C505" s="1" t="n">
        <v>45891</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1146-2025</t>
        </is>
      </c>
      <c r="B506" s="1" t="n">
        <v>45666</v>
      </c>
      <c r="C506" s="1" t="n">
        <v>45891</v>
      </c>
      <c r="D506" t="inlineStr">
        <is>
          <t>KALMAR LÄN</t>
        </is>
      </c>
      <c r="E506" t="inlineStr">
        <is>
          <t>VIMMERBY</t>
        </is>
      </c>
      <c r="G506" t="n">
        <v>4</v>
      </c>
      <c r="H506" t="n">
        <v>0</v>
      </c>
      <c r="I506" t="n">
        <v>0</v>
      </c>
      <c r="J506" t="n">
        <v>0</v>
      </c>
      <c r="K506" t="n">
        <v>0</v>
      </c>
      <c r="L506" t="n">
        <v>0</v>
      </c>
      <c r="M506" t="n">
        <v>0</v>
      </c>
      <c r="N506" t="n">
        <v>0</v>
      </c>
      <c r="O506" t="n">
        <v>0</v>
      </c>
      <c r="P506" t="n">
        <v>0</v>
      </c>
      <c r="Q506" t="n">
        <v>0</v>
      </c>
      <c r="R506" s="2" t="inlineStr"/>
    </row>
    <row r="507" ht="15" customHeight="1">
      <c r="A507" t="inlineStr">
        <is>
          <t>A 43068-2023</t>
        </is>
      </c>
      <c r="B507" s="1" t="n">
        <v>45182.78834490741</v>
      </c>
      <c r="C507" s="1" t="n">
        <v>45891</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12890-2023</t>
        </is>
      </c>
      <c r="B508" s="1" t="n">
        <v>45001.59209490741</v>
      </c>
      <c r="C508" s="1" t="n">
        <v>45891</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3902-2022</t>
        </is>
      </c>
      <c r="B509" s="1" t="n">
        <v>44587.48847222222</v>
      </c>
      <c r="C509" s="1" t="n">
        <v>45891</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12075-2024</t>
        </is>
      </c>
      <c r="B510" s="1" t="n">
        <v>45377</v>
      </c>
      <c r="C510" s="1" t="n">
        <v>45891</v>
      </c>
      <c r="D510" t="inlineStr">
        <is>
          <t>KALMAR LÄN</t>
        </is>
      </c>
      <c r="E510" t="inlineStr">
        <is>
          <t>VIMMERBY</t>
        </is>
      </c>
      <c r="G510" t="n">
        <v>3.7</v>
      </c>
      <c r="H510" t="n">
        <v>0</v>
      </c>
      <c r="I510" t="n">
        <v>0</v>
      </c>
      <c r="J510" t="n">
        <v>0</v>
      </c>
      <c r="K510" t="n">
        <v>0</v>
      </c>
      <c r="L510" t="n">
        <v>0</v>
      </c>
      <c r="M510" t="n">
        <v>0</v>
      </c>
      <c r="N510" t="n">
        <v>0</v>
      </c>
      <c r="O510" t="n">
        <v>0</v>
      </c>
      <c r="P510" t="n">
        <v>0</v>
      </c>
      <c r="Q510" t="n">
        <v>0</v>
      </c>
      <c r="R510" s="2" t="inlineStr"/>
    </row>
    <row r="511" ht="15" customHeight="1">
      <c r="A511" t="inlineStr">
        <is>
          <t>A 89-2023</t>
        </is>
      </c>
      <c r="B511" s="1" t="n">
        <v>44918</v>
      </c>
      <c r="C511" s="1" t="n">
        <v>45891</v>
      </c>
      <c r="D511" t="inlineStr">
        <is>
          <t>KALMAR LÄN</t>
        </is>
      </c>
      <c r="E511" t="inlineStr">
        <is>
          <t>VIMMERBY</t>
        </is>
      </c>
      <c r="G511" t="n">
        <v>16.1</v>
      </c>
      <c r="H511" t="n">
        <v>0</v>
      </c>
      <c r="I511" t="n">
        <v>0</v>
      </c>
      <c r="J511" t="n">
        <v>0</v>
      </c>
      <c r="K511" t="n">
        <v>0</v>
      </c>
      <c r="L511" t="n">
        <v>0</v>
      </c>
      <c r="M511" t="n">
        <v>0</v>
      </c>
      <c r="N511" t="n">
        <v>0</v>
      </c>
      <c r="O511" t="n">
        <v>0</v>
      </c>
      <c r="P511" t="n">
        <v>0</v>
      </c>
      <c r="Q511" t="n">
        <v>0</v>
      </c>
      <c r="R511" s="2" t="inlineStr"/>
    </row>
    <row r="512" ht="15" customHeight="1">
      <c r="A512" t="inlineStr">
        <is>
          <t>A 5382-2023</t>
        </is>
      </c>
      <c r="B512" s="1" t="n">
        <v>44959.66407407408</v>
      </c>
      <c r="C512" s="1" t="n">
        <v>45891</v>
      </c>
      <c r="D512" t="inlineStr">
        <is>
          <t>KALMAR LÄN</t>
        </is>
      </c>
      <c r="E512" t="inlineStr">
        <is>
          <t>VIMMERBY</t>
        </is>
      </c>
      <c r="G512" t="n">
        <v>1</v>
      </c>
      <c r="H512" t="n">
        <v>0</v>
      </c>
      <c r="I512" t="n">
        <v>0</v>
      </c>
      <c r="J512" t="n">
        <v>0</v>
      </c>
      <c r="K512" t="n">
        <v>0</v>
      </c>
      <c r="L512" t="n">
        <v>0</v>
      </c>
      <c r="M512" t="n">
        <v>0</v>
      </c>
      <c r="N512" t="n">
        <v>0</v>
      </c>
      <c r="O512" t="n">
        <v>0</v>
      </c>
      <c r="P512" t="n">
        <v>0</v>
      </c>
      <c r="Q512" t="n">
        <v>0</v>
      </c>
      <c r="R512" s="2" t="inlineStr"/>
    </row>
    <row r="513" ht="15" customHeight="1">
      <c r="A513" t="inlineStr">
        <is>
          <t>A 6668-2023</t>
        </is>
      </c>
      <c r="B513" s="1" t="n">
        <v>44966</v>
      </c>
      <c r="C513" s="1" t="n">
        <v>45891</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172-2022</t>
        </is>
      </c>
      <c r="B514" s="1" t="n">
        <v>44564.62598379629</v>
      </c>
      <c r="C514" s="1" t="n">
        <v>45891</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11442-2025</t>
        </is>
      </c>
      <c r="B515" s="1" t="n">
        <v>45726.62721064815</v>
      </c>
      <c r="C515" s="1" t="n">
        <v>45891</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1799-2025</t>
        </is>
      </c>
      <c r="B516" s="1" t="n">
        <v>45671.46746527778</v>
      </c>
      <c r="C516" s="1" t="n">
        <v>45891</v>
      </c>
      <c r="D516" t="inlineStr">
        <is>
          <t>KALMAR LÄN</t>
        </is>
      </c>
      <c r="E516" t="inlineStr">
        <is>
          <t>VIMMERBY</t>
        </is>
      </c>
      <c r="G516" t="n">
        <v>3.3</v>
      </c>
      <c r="H516" t="n">
        <v>0</v>
      </c>
      <c r="I516" t="n">
        <v>0</v>
      </c>
      <c r="J516" t="n">
        <v>0</v>
      </c>
      <c r="K516" t="n">
        <v>0</v>
      </c>
      <c r="L516" t="n">
        <v>0</v>
      </c>
      <c r="M516" t="n">
        <v>0</v>
      </c>
      <c r="N516" t="n">
        <v>0</v>
      </c>
      <c r="O516" t="n">
        <v>0</v>
      </c>
      <c r="P516" t="n">
        <v>0</v>
      </c>
      <c r="Q516" t="n">
        <v>0</v>
      </c>
      <c r="R516" s="2" t="inlineStr"/>
    </row>
    <row r="517" ht="15" customHeight="1">
      <c r="A517" t="inlineStr">
        <is>
          <t>A 30634-2024</t>
        </is>
      </c>
      <c r="B517" s="1" t="n">
        <v>45495</v>
      </c>
      <c r="C517" s="1" t="n">
        <v>45891</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6307-2025</t>
        </is>
      </c>
      <c r="B518" s="1" t="n">
        <v>45698.69016203703</v>
      </c>
      <c r="C518" s="1" t="n">
        <v>45891</v>
      </c>
      <c r="D518" t="inlineStr">
        <is>
          <t>KALMAR LÄN</t>
        </is>
      </c>
      <c r="E518" t="inlineStr">
        <is>
          <t>VIMMERBY</t>
        </is>
      </c>
      <c r="G518" t="n">
        <v>3</v>
      </c>
      <c r="H518" t="n">
        <v>0</v>
      </c>
      <c r="I518" t="n">
        <v>0</v>
      </c>
      <c r="J518" t="n">
        <v>0</v>
      </c>
      <c r="K518" t="n">
        <v>0</v>
      </c>
      <c r="L518" t="n">
        <v>0</v>
      </c>
      <c r="M518" t="n">
        <v>0</v>
      </c>
      <c r="N518" t="n">
        <v>0</v>
      </c>
      <c r="O518" t="n">
        <v>0</v>
      </c>
      <c r="P518" t="n">
        <v>0</v>
      </c>
      <c r="Q518" t="n">
        <v>0</v>
      </c>
      <c r="R518" s="2" t="inlineStr"/>
    </row>
    <row r="519" ht="15" customHeight="1">
      <c r="A519" t="inlineStr">
        <is>
          <t>A 6355-2022</t>
        </is>
      </c>
      <c r="B519" s="1" t="n">
        <v>44600</v>
      </c>
      <c r="C519" s="1" t="n">
        <v>45891</v>
      </c>
      <c r="D519" t="inlineStr">
        <is>
          <t>KALMAR LÄN</t>
        </is>
      </c>
      <c r="E519" t="inlineStr">
        <is>
          <t>VIMMERBY</t>
        </is>
      </c>
      <c r="G519" t="n">
        <v>4.9</v>
      </c>
      <c r="H519" t="n">
        <v>0</v>
      </c>
      <c r="I519" t="n">
        <v>0</v>
      </c>
      <c r="J519" t="n">
        <v>0</v>
      </c>
      <c r="K519" t="n">
        <v>0</v>
      </c>
      <c r="L519" t="n">
        <v>0</v>
      </c>
      <c r="M519" t="n">
        <v>0</v>
      </c>
      <c r="N519" t="n">
        <v>0</v>
      </c>
      <c r="O519" t="n">
        <v>0</v>
      </c>
      <c r="P519" t="n">
        <v>0</v>
      </c>
      <c r="Q519" t="n">
        <v>0</v>
      </c>
      <c r="R519" s="2" t="inlineStr"/>
    </row>
    <row r="520" ht="15" customHeight="1">
      <c r="A520" t="inlineStr">
        <is>
          <t>A 2462-2022</t>
        </is>
      </c>
      <c r="B520" s="1" t="n">
        <v>44579.62225694444</v>
      </c>
      <c r="C520" s="1" t="n">
        <v>45891</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16020-2023</t>
        </is>
      </c>
      <c r="B521" s="1" t="n">
        <v>45026.82216435186</v>
      </c>
      <c r="C521" s="1" t="n">
        <v>45891</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60292-2022</t>
        </is>
      </c>
      <c r="B522" s="1" t="n">
        <v>44910.54231481482</v>
      </c>
      <c r="C522" s="1" t="n">
        <v>45891</v>
      </c>
      <c r="D522" t="inlineStr">
        <is>
          <t>KALMAR LÄN</t>
        </is>
      </c>
      <c r="E522" t="inlineStr">
        <is>
          <t>VIMMERBY</t>
        </is>
      </c>
      <c r="G522" t="n">
        <v>4.4</v>
      </c>
      <c r="H522" t="n">
        <v>0</v>
      </c>
      <c r="I522" t="n">
        <v>0</v>
      </c>
      <c r="J522" t="n">
        <v>0</v>
      </c>
      <c r="K522" t="n">
        <v>0</v>
      </c>
      <c r="L522" t="n">
        <v>0</v>
      </c>
      <c r="M522" t="n">
        <v>0</v>
      </c>
      <c r="N522" t="n">
        <v>0</v>
      </c>
      <c r="O522" t="n">
        <v>0</v>
      </c>
      <c r="P522" t="n">
        <v>0</v>
      </c>
      <c r="Q522" t="n">
        <v>0</v>
      </c>
      <c r="R522" s="2" t="inlineStr"/>
    </row>
    <row r="523" ht="15" customHeight="1">
      <c r="A523" t="inlineStr">
        <is>
          <t>A 43034-2024</t>
        </is>
      </c>
      <c r="B523" s="1" t="n">
        <v>45567.42011574074</v>
      </c>
      <c r="C523" s="1" t="n">
        <v>45891</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40256-2024</t>
        </is>
      </c>
      <c r="B524" s="1" t="n">
        <v>45554.62944444444</v>
      </c>
      <c r="C524" s="1" t="n">
        <v>45891</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13015-2022</t>
        </is>
      </c>
      <c r="B525" s="1" t="n">
        <v>44643</v>
      </c>
      <c r="C525" s="1" t="n">
        <v>45891</v>
      </c>
      <c r="D525" t="inlineStr">
        <is>
          <t>KALMAR LÄN</t>
        </is>
      </c>
      <c r="E525" t="inlineStr">
        <is>
          <t>VIMMERBY</t>
        </is>
      </c>
      <c r="G525" t="n">
        <v>2.4</v>
      </c>
      <c r="H525" t="n">
        <v>0</v>
      </c>
      <c r="I525" t="n">
        <v>0</v>
      </c>
      <c r="J525" t="n">
        <v>0</v>
      </c>
      <c r="K525" t="n">
        <v>0</v>
      </c>
      <c r="L525" t="n">
        <v>0</v>
      </c>
      <c r="M525" t="n">
        <v>0</v>
      </c>
      <c r="N525" t="n">
        <v>0</v>
      </c>
      <c r="O525" t="n">
        <v>0</v>
      </c>
      <c r="P525" t="n">
        <v>0</v>
      </c>
      <c r="Q525" t="n">
        <v>0</v>
      </c>
      <c r="R525" s="2" t="inlineStr"/>
    </row>
    <row r="526" ht="15" customHeight="1">
      <c r="A526" t="inlineStr">
        <is>
          <t>A 23394-2025</t>
        </is>
      </c>
      <c r="B526" s="1" t="n">
        <v>45791.89865740741</v>
      </c>
      <c r="C526" s="1" t="n">
        <v>45891</v>
      </c>
      <c r="D526" t="inlineStr">
        <is>
          <t>KALMAR LÄN</t>
        </is>
      </c>
      <c r="E526" t="inlineStr">
        <is>
          <t>VIMMERBY</t>
        </is>
      </c>
      <c r="G526" t="n">
        <v>3.1</v>
      </c>
      <c r="H526" t="n">
        <v>0</v>
      </c>
      <c r="I526" t="n">
        <v>0</v>
      </c>
      <c r="J526" t="n">
        <v>0</v>
      </c>
      <c r="K526" t="n">
        <v>0</v>
      </c>
      <c r="L526" t="n">
        <v>0</v>
      </c>
      <c r="M526" t="n">
        <v>0</v>
      </c>
      <c r="N526" t="n">
        <v>0</v>
      </c>
      <c r="O526" t="n">
        <v>0</v>
      </c>
      <c r="P526" t="n">
        <v>0</v>
      </c>
      <c r="Q526" t="n">
        <v>0</v>
      </c>
      <c r="R526" s="2" t="inlineStr"/>
    </row>
    <row r="527" ht="15" customHeight="1">
      <c r="A527" t="inlineStr">
        <is>
          <t>A 4624-2024</t>
        </is>
      </c>
      <c r="B527" s="1" t="n">
        <v>45328.38755787037</v>
      </c>
      <c r="C527" s="1" t="n">
        <v>45891</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9129-2025</t>
        </is>
      </c>
      <c r="B528" s="1" t="n">
        <v>45713.92412037037</v>
      </c>
      <c r="C528" s="1" t="n">
        <v>45891</v>
      </c>
      <c r="D528" t="inlineStr">
        <is>
          <t>KALMAR LÄN</t>
        </is>
      </c>
      <c r="E528" t="inlineStr">
        <is>
          <t>VIMMERBY</t>
        </is>
      </c>
      <c r="G528" t="n">
        <v>2.8</v>
      </c>
      <c r="H528" t="n">
        <v>0</v>
      </c>
      <c r="I528" t="n">
        <v>0</v>
      </c>
      <c r="J528" t="n">
        <v>0</v>
      </c>
      <c r="K528" t="n">
        <v>0</v>
      </c>
      <c r="L528" t="n">
        <v>0</v>
      </c>
      <c r="M528" t="n">
        <v>0</v>
      </c>
      <c r="N528" t="n">
        <v>0</v>
      </c>
      <c r="O528" t="n">
        <v>0</v>
      </c>
      <c r="P528" t="n">
        <v>0</v>
      </c>
      <c r="Q528" t="n">
        <v>0</v>
      </c>
      <c r="R528" s="2" t="inlineStr"/>
    </row>
    <row r="529" ht="15" customHeight="1">
      <c r="A529" t="inlineStr">
        <is>
          <t>A 22643-2023</t>
        </is>
      </c>
      <c r="B529" s="1" t="n">
        <v>45071</v>
      </c>
      <c r="C529" s="1" t="n">
        <v>45891</v>
      </c>
      <c r="D529" t="inlineStr">
        <is>
          <t>KALMAR LÄN</t>
        </is>
      </c>
      <c r="E529" t="inlineStr">
        <is>
          <t>VIMMERBY</t>
        </is>
      </c>
      <c r="G529" t="n">
        <v>3.9</v>
      </c>
      <c r="H529" t="n">
        <v>0</v>
      </c>
      <c r="I529" t="n">
        <v>0</v>
      </c>
      <c r="J529" t="n">
        <v>0</v>
      </c>
      <c r="K529" t="n">
        <v>0</v>
      </c>
      <c r="L529" t="n">
        <v>0</v>
      </c>
      <c r="M529" t="n">
        <v>0</v>
      </c>
      <c r="N529" t="n">
        <v>0</v>
      </c>
      <c r="O529" t="n">
        <v>0</v>
      </c>
      <c r="P529" t="n">
        <v>0</v>
      </c>
      <c r="Q529" t="n">
        <v>0</v>
      </c>
      <c r="R529" s="2" t="inlineStr"/>
    </row>
    <row r="530" ht="15" customHeight="1">
      <c r="A530" t="inlineStr">
        <is>
          <t>A 43093-2024</t>
        </is>
      </c>
      <c r="B530" s="1" t="n">
        <v>45567</v>
      </c>
      <c r="C530" s="1" t="n">
        <v>45891</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35198-2023</t>
        </is>
      </c>
      <c r="B531" s="1" t="n">
        <v>45145</v>
      </c>
      <c r="C531" s="1" t="n">
        <v>45891</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34597-2022</t>
        </is>
      </c>
      <c r="B532" s="1" t="n">
        <v>44795</v>
      </c>
      <c r="C532" s="1" t="n">
        <v>45891</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23984-2025</t>
        </is>
      </c>
      <c r="B533" s="1" t="n">
        <v>45796</v>
      </c>
      <c r="C533" s="1" t="n">
        <v>45891</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40079-2023</t>
        </is>
      </c>
      <c r="B534" s="1" t="n">
        <v>45168.89298611111</v>
      </c>
      <c r="C534" s="1" t="n">
        <v>45891</v>
      </c>
      <c r="D534" t="inlineStr">
        <is>
          <t>KALMAR LÄN</t>
        </is>
      </c>
      <c r="E534" t="inlineStr">
        <is>
          <t>VIMMERBY</t>
        </is>
      </c>
      <c r="G534" t="n">
        <v>1.2</v>
      </c>
      <c r="H534" t="n">
        <v>0</v>
      </c>
      <c r="I534" t="n">
        <v>0</v>
      </c>
      <c r="J534" t="n">
        <v>0</v>
      </c>
      <c r="K534" t="n">
        <v>0</v>
      </c>
      <c r="L534" t="n">
        <v>0</v>
      </c>
      <c r="M534" t="n">
        <v>0</v>
      </c>
      <c r="N534" t="n">
        <v>0</v>
      </c>
      <c r="O534" t="n">
        <v>0</v>
      </c>
      <c r="P534" t="n">
        <v>0</v>
      </c>
      <c r="Q534" t="n">
        <v>0</v>
      </c>
      <c r="R534" s="2" t="inlineStr"/>
    </row>
    <row r="535" ht="15" customHeight="1">
      <c r="A535" t="inlineStr">
        <is>
          <t>A 19833-2023</t>
        </is>
      </c>
      <c r="B535" s="1" t="n">
        <v>45052</v>
      </c>
      <c r="C535" s="1" t="n">
        <v>45891</v>
      </c>
      <c r="D535" t="inlineStr">
        <is>
          <t>KALMAR LÄN</t>
        </is>
      </c>
      <c r="E535" t="inlineStr">
        <is>
          <t>VIMMERBY</t>
        </is>
      </c>
      <c r="G535" t="n">
        <v>6.7</v>
      </c>
      <c r="H535" t="n">
        <v>0</v>
      </c>
      <c r="I535" t="n">
        <v>0</v>
      </c>
      <c r="J535" t="n">
        <v>0</v>
      </c>
      <c r="K535" t="n">
        <v>0</v>
      </c>
      <c r="L535" t="n">
        <v>0</v>
      </c>
      <c r="M535" t="n">
        <v>0</v>
      </c>
      <c r="N535" t="n">
        <v>0</v>
      </c>
      <c r="O535" t="n">
        <v>0</v>
      </c>
      <c r="P535" t="n">
        <v>0</v>
      </c>
      <c r="Q535" t="n">
        <v>0</v>
      </c>
      <c r="R535" s="2" t="inlineStr"/>
    </row>
    <row r="536" ht="15" customHeight="1">
      <c r="A536" t="inlineStr">
        <is>
          <t>A 58374-2024</t>
        </is>
      </c>
      <c r="B536" s="1" t="n">
        <v>45632.72635416667</v>
      </c>
      <c r="C536" s="1" t="n">
        <v>45891</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55300-2021</t>
        </is>
      </c>
      <c r="B537" s="1" t="n">
        <v>44475</v>
      </c>
      <c r="C537" s="1" t="n">
        <v>45891</v>
      </c>
      <c r="D537" t="inlineStr">
        <is>
          <t>KALMAR LÄN</t>
        </is>
      </c>
      <c r="E537" t="inlineStr">
        <is>
          <t>VIMMERBY</t>
        </is>
      </c>
      <c r="G537" t="n">
        <v>3.4</v>
      </c>
      <c r="H537" t="n">
        <v>0</v>
      </c>
      <c r="I537" t="n">
        <v>0</v>
      </c>
      <c r="J537" t="n">
        <v>0</v>
      </c>
      <c r="K537" t="n">
        <v>0</v>
      </c>
      <c r="L537" t="n">
        <v>0</v>
      </c>
      <c r="M537" t="n">
        <v>0</v>
      </c>
      <c r="N537" t="n">
        <v>0</v>
      </c>
      <c r="O537" t="n">
        <v>0</v>
      </c>
      <c r="P537" t="n">
        <v>0</v>
      </c>
      <c r="Q537" t="n">
        <v>0</v>
      </c>
      <c r="R537" s="2" t="inlineStr"/>
    </row>
    <row r="538" ht="15" customHeight="1">
      <c r="A538" t="inlineStr">
        <is>
          <t>A 47263-2023</t>
        </is>
      </c>
      <c r="B538" s="1" t="n">
        <v>45202.4209837963</v>
      </c>
      <c r="C538" s="1" t="n">
        <v>45891</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17084-2025</t>
        </is>
      </c>
      <c r="B539" s="1" t="n">
        <v>45755.64450231481</v>
      </c>
      <c r="C539" s="1" t="n">
        <v>45891</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56022-2024</t>
        </is>
      </c>
      <c r="B540" s="1" t="n">
        <v>45623.95947916667</v>
      </c>
      <c r="C540" s="1" t="n">
        <v>45891</v>
      </c>
      <c r="D540" t="inlineStr">
        <is>
          <t>KALMAR LÄN</t>
        </is>
      </c>
      <c r="E540" t="inlineStr">
        <is>
          <t>VIMMERBY</t>
        </is>
      </c>
      <c r="G540" t="n">
        <v>0.3</v>
      </c>
      <c r="H540" t="n">
        <v>0</v>
      </c>
      <c r="I540" t="n">
        <v>0</v>
      </c>
      <c r="J540" t="n">
        <v>0</v>
      </c>
      <c r="K540" t="n">
        <v>0</v>
      </c>
      <c r="L540" t="n">
        <v>0</v>
      </c>
      <c r="M540" t="n">
        <v>0</v>
      </c>
      <c r="N540" t="n">
        <v>0</v>
      </c>
      <c r="O540" t="n">
        <v>0</v>
      </c>
      <c r="P540" t="n">
        <v>0</v>
      </c>
      <c r="Q540" t="n">
        <v>0</v>
      </c>
      <c r="R540" s="2" t="inlineStr"/>
    </row>
    <row r="541" ht="15" customHeight="1">
      <c r="A541" t="inlineStr">
        <is>
          <t>A 11928-2022</t>
        </is>
      </c>
      <c r="B541" s="1" t="n">
        <v>44635</v>
      </c>
      <c r="C541" s="1" t="n">
        <v>45891</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2536-2023</t>
        </is>
      </c>
      <c r="B542" s="1" t="n">
        <v>44943.62954861111</v>
      </c>
      <c r="C542" s="1" t="n">
        <v>45891</v>
      </c>
      <c r="D542" t="inlineStr">
        <is>
          <t>KALMAR LÄN</t>
        </is>
      </c>
      <c r="E542" t="inlineStr">
        <is>
          <t>VIMMERBY</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2801-2023</t>
        </is>
      </c>
      <c r="B543" s="1" t="n">
        <v>44944.73487268519</v>
      </c>
      <c r="C543" s="1" t="n">
        <v>45891</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17968-2025</t>
        </is>
      </c>
      <c r="B544" s="1" t="n">
        <v>45761.35990740741</v>
      </c>
      <c r="C544" s="1" t="n">
        <v>45891</v>
      </c>
      <c r="D544" t="inlineStr">
        <is>
          <t>KALMAR LÄN</t>
        </is>
      </c>
      <c r="E544" t="inlineStr">
        <is>
          <t>VIMMERBY</t>
        </is>
      </c>
      <c r="G544" t="n">
        <v>3.3</v>
      </c>
      <c r="H544" t="n">
        <v>0</v>
      </c>
      <c r="I544" t="n">
        <v>0</v>
      </c>
      <c r="J544" t="n">
        <v>0</v>
      </c>
      <c r="K544" t="n">
        <v>0</v>
      </c>
      <c r="L544" t="n">
        <v>0</v>
      </c>
      <c r="M544" t="n">
        <v>0</v>
      </c>
      <c r="N544" t="n">
        <v>0</v>
      </c>
      <c r="O544" t="n">
        <v>0</v>
      </c>
      <c r="P544" t="n">
        <v>0</v>
      </c>
      <c r="Q544" t="n">
        <v>0</v>
      </c>
      <c r="R544" s="2" t="inlineStr"/>
    </row>
    <row r="545" ht="15" customHeight="1">
      <c r="A545" t="inlineStr">
        <is>
          <t>A 5527-2022</t>
        </is>
      </c>
      <c r="B545" s="1" t="n">
        <v>44595.583125</v>
      </c>
      <c r="C545" s="1" t="n">
        <v>45891</v>
      </c>
      <c r="D545" t="inlineStr">
        <is>
          <t>KALMAR LÄN</t>
        </is>
      </c>
      <c r="E545" t="inlineStr">
        <is>
          <t>VIMMERBY</t>
        </is>
      </c>
      <c r="G545" t="n">
        <v>3.6</v>
      </c>
      <c r="H545" t="n">
        <v>0</v>
      </c>
      <c r="I545" t="n">
        <v>0</v>
      </c>
      <c r="J545" t="n">
        <v>0</v>
      </c>
      <c r="K545" t="n">
        <v>0</v>
      </c>
      <c r="L545" t="n">
        <v>0</v>
      </c>
      <c r="M545" t="n">
        <v>0</v>
      </c>
      <c r="N545" t="n">
        <v>0</v>
      </c>
      <c r="O545" t="n">
        <v>0</v>
      </c>
      <c r="P545" t="n">
        <v>0</v>
      </c>
      <c r="Q545" t="n">
        <v>0</v>
      </c>
      <c r="R545" s="2" t="inlineStr"/>
    </row>
    <row r="546" ht="15" customHeight="1">
      <c r="A546" t="inlineStr">
        <is>
          <t>A 49461-2023</t>
        </is>
      </c>
      <c r="B546" s="1" t="n">
        <v>45211.52642361111</v>
      </c>
      <c r="C546" s="1" t="n">
        <v>45891</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49474-2023</t>
        </is>
      </c>
      <c r="B547" s="1" t="n">
        <v>45211.541875</v>
      </c>
      <c r="C547" s="1" t="n">
        <v>45891</v>
      </c>
      <c r="D547" t="inlineStr">
        <is>
          <t>KALMAR LÄN</t>
        </is>
      </c>
      <c r="E547" t="inlineStr">
        <is>
          <t>VIMMERBY</t>
        </is>
      </c>
      <c r="G547" t="n">
        <v>3.6</v>
      </c>
      <c r="H547" t="n">
        <v>0</v>
      </c>
      <c r="I547" t="n">
        <v>0</v>
      </c>
      <c r="J547" t="n">
        <v>0</v>
      </c>
      <c r="K547" t="n">
        <v>0</v>
      </c>
      <c r="L547" t="n">
        <v>0</v>
      </c>
      <c r="M547" t="n">
        <v>0</v>
      </c>
      <c r="N547" t="n">
        <v>0</v>
      </c>
      <c r="O547" t="n">
        <v>0</v>
      </c>
      <c r="P547" t="n">
        <v>0</v>
      </c>
      <c r="Q547" t="n">
        <v>0</v>
      </c>
      <c r="R547" s="2" t="inlineStr"/>
    </row>
    <row r="548" ht="15" customHeight="1">
      <c r="A548" t="inlineStr">
        <is>
          <t>A 51278-2024</t>
        </is>
      </c>
      <c r="B548" s="1" t="n">
        <v>45603.74959490741</v>
      </c>
      <c r="C548" s="1" t="n">
        <v>45891</v>
      </c>
      <c r="D548" t="inlineStr">
        <is>
          <t>KALMAR LÄN</t>
        </is>
      </c>
      <c r="E548" t="inlineStr">
        <is>
          <t>VIMMERBY</t>
        </is>
      </c>
      <c r="G548" t="n">
        <v>3.4</v>
      </c>
      <c r="H548" t="n">
        <v>0</v>
      </c>
      <c r="I548" t="n">
        <v>0</v>
      </c>
      <c r="J548" t="n">
        <v>0</v>
      </c>
      <c r="K548" t="n">
        <v>0</v>
      </c>
      <c r="L548" t="n">
        <v>0</v>
      </c>
      <c r="M548" t="n">
        <v>0</v>
      </c>
      <c r="N548" t="n">
        <v>0</v>
      </c>
      <c r="O548" t="n">
        <v>0</v>
      </c>
      <c r="P548" t="n">
        <v>0</v>
      </c>
      <c r="Q548" t="n">
        <v>0</v>
      </c>
      <c r="R548" s="2" t="inlineStr"/>
    </row>
    <row r="549" ht="15" customHeight="1">
      <c r="A549" t="inlineStr">
        <is>
          <t>A 14451-2024</t>
        </is>
      </c>
      <c r="B549" s="1" t="n">
        <v>45394.50028935185</v>
      </c>
      <c r="C549" s="1" t="n">
        <v>45891</v>
      </c>
      <c r="D549" t="inlineStr">
        <is>
          <t>KALMAR LÄN</t>
        </is>
      </c>
      <c r="E549" t="inlineStr">
        <is>
          <t>VIMMERBY</t>
        </is>
      </c>
      <c r="G549" t="n">
        <v>1.9</v>
      </c>
      <c r="H549" t="n">
        <v>0</v>
      </c>
      <c r="I549" t="n">
        <v>0</v>
      </c>
      <c r="J549" t="n">
        <v>0</v>
      </c>
      <c r="K549" t="n">
        <v>0</v>
      </c>
      <c r="L549" t="n">
        <v>0</v>
      </c>
      <c r="M549" t="n">
        <v>0</v>
      </c>
      <c r="N549" t="n">
        <v>0</v>
      </c>
      <c r="O549" t="n">
        <v>0</v>
      </c>
      <c r="P549" t="n">
        <v>0</v>
      </c>
      <c r="Q549" t="n">
        <v>0</v>
      </c>
      <c r="R549" s="2" t="inlineStr"/>
    </row>
    <row r="550" ht="15" customHeight="1">
      <c r="A550" t="inlineStr">
        <is>
          <t>A 61861-2024</t>
        </is>
      </c>
      <c r="B550" s="1" t="n">
        <v>45650.37370370371</v>
      </c>
      <c r="C550" s="1" t="n">
        <v>45891</v>
      </c>
      <c r="D550" t="inlineStr">
        <is>
          <t>KALMAR LÄN</t>
        </is>
      </c>
      <c r="E550" t="inlineStr">
        <is>
          <t>VIMMERBY</t>
        </is>
      </c>
      <c r="G550" t="n">
        <v>1</v>
      </c>
      <c r="H550" t="n">
        <v>0</v>
      </c>
      <c r="I550" t="n">
        <v>0</v>
      </c>
      <c r="J550" t="n">
        <v>0</v>
      </c>
      <c r="K550" t="n">
        <v>0</v>
      </c>
      <c r="L550" t="n">
        <v>0</v>
      </c>
      <c r="M550" t="n">
        <v>0</v>
      </c>
      <c r="N550" t="n">
        <v>0</v>
      </c>
      <c r="O550" t="n">
        <v>0</v>
      </c>
      <c r="P550" t="n">
        <v>0</v>
      </c>
      <c r="Q550" t="n">
        <v>0</v>
      </c>
      <c r="R550" s="2" t="inlineStr"/>
    </row>
    <row r="551" ht="15" customHeight="1">
      <c r="A551" t="inlineStr">
        <is>
          <t>A 46238-2024</t>
        </is>
      </c>
      <c r="B551" s="1" t="n">
        <v>45581.58418981481</v>
      </c>
      <c r="C551" s="1" t="n">
        <v>45891</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50993-2022</t>
        </is>
      </c>
      <c r="B552" s="1" t="n">
        <v>44867</v>
      </c>
      <c r="C552" s="1" t="n">
        <v>45891</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46225-2024</t>
        </is>
      </c>
      <c r="B553" s="1" t="n">
        <v>45581.57333333333</v>
      </c>
      <c r="C553" s="1" t="n">
        <v>45891</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36055-2024</t>
        </is>
      </c>
      <c r="B554" s="1" t="n">
        <v>45533.63056712963</v>
      </c>
      <c r="C554" s="1" t="n">
        <v>45891</v>
      </c>
      <c r="D554" t="inlineStr">
        <is>
          <t>KALMAR LÄN</t>
        </is>
      </c>
      <c r="E554" t="inlineStr">
        <is>
          <t>VIMMERBY</t>
        </is>
      </c>
      <c r="F554" t="inlineStr">
        <is>
          <t>Kommuner</t>
        </is>
      </c>
      <c r="G554" t="n">
        <v>1.9</v>
      </c>
      <c r="H554" t="n">
        <v>0</v>
      </c>
      <c r="I554" t="n">
        <v>0</v>
      </c>
      <c r="J554" t="n">
        <v>0</v>
      </c>
      <c r="K554" t="n">
        <v>0</v>
      </c>
      <c r="L554" t="n">
        <v>0</v>
      </c>
      <c r="M554" t="n">
        <v>0</v>
      </c>
      <c r="N554" t="n">
        <v>0</v>
      </c>
      <c r="O554" t="n">
        <v>0</v>
      </c>
      <c r="P554" t="n">
        <v>0</v>
      </c>
      <c r="Q554" t="n">
        <v>0</v>
      </c>
      <c r="R554" s="2" t="inlineStr"/>
    </row>
    <row r="555" ht="15" customHeight="1">
      <c r="A555" t="inlineStr">
        <is>
          <t>A 47859-2024</t>
        </is>
      </c>
      <c r="B555" s="1" t="n">
        <v>45588.67070601852</v>
      </c>
      <c r="C555" s="1" t="n">
        <v>45891</v>
      </c>
      <c r="D555" t="inlineStr">
        <is>
          <t>KALMAR LÄN</t>
        </is>
      </c>
      <c r="E555" t="inlineStr">
        <is>
          <t>VIMMERBY</t>
        </is>
      </c>
      <c r="G555" t="n">
        <v>1.7</v>
      </c>
      <c r="H555" t="n">
        <v>0</v>
      </c>
      <c r="I555" t="n">
        <v>0</v>
      </c>
      <c r="J555" t="n">
        <v>0</v>
      </c>
      <c r="K555" t="n">
        <v>0</v>
      </c>
      <c r="L555" t="n">
        <v>0</v>
      </c>
      <c r="M555" t="n">
        <v>0</v>
      </c>
      <c r="N555" t="n">
        <v>0</v>
      </c>
      <c r="O555" t="n">
        <v>0</v>
      </c>
      <c r="P555" t="n">
        <v>0</v>
      </c>
      <c r="Q555" t="n">
        <v>0</v>
      </c>
      <c r="R555" s="2" t="inlineStr"/>
    </row>
    <row r="556" ht="15" customHeight="1">
      <c r="A556" t="inlineStr">
        <is>
          <t>A 35082-2024</t>
        </is>
      </c>
      <c r="B556" s="1" t="n">
        <v>45527.68784722222</v>
      </c>
      <c r="C556" s="1" t="n">
        <v>45891</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32835-2022</t>
        </is>
      </c>
      <c r="B557" s="1" t="n">
        <v>44784.42528935185</v>
      </c>
      <c r="C557" s="1" t="n">
        <v>45891</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45846-2023</t>
        </is>
      </c>
      <c r="B558" s="1" t="n">
        <v>45195.58452546296</v>
      </c>
      <c r="C558" s="1" t="n">
        <v>45891</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44582-2024</t>
        </is>
      </c>
      <c r="B559" s="1" t="n">
        <v>45574.49298611111</v>
      </c>
      <c r="C559" s="1" t="n">
        <v>45891</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9456-2025</t>
        </is>
      </c>
      <c r="B560" s="1" t="n">
        <v>45715.44159722222</v>
      </c>
      <c r="C560" s="1" t="n">
        <v>45891</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8167-2024</t>
        </is>
      </c>
      <c r="B561" s="1" t="n">
        <v>45351.6062962963</v>
      </c>
      <c r="C561" s="1" t="n">
        <v>45891</v>
      </c>
      <c r="D561" t="inlineStr">
        <is>
          <t>KALMAR LÄN</t>
        </is>
      </c>
      <c r="E561" t="inlineStr">
        <is>
          <t>VIMMERBY</t>
        </is>
      </c>
      <c r="G561" t="n">
        <v>3.8</v>
      </c>
      <c r="H561" t="n">
        <v>0</v>
      </c>
      <c r="I561" t="n">
        <v>0</v>
      </c>
      <c r="J561" t="n">
        <v>0</v>
      </c>
      <c r="K561" t="n">
        <v>0</v>
      </c>
      <c r="L561" t="n">
        <v>0</v>
      </c>
      <c r="M561" t="n">
        <v>0</v>
      </c>
      <c r="N561" t="n">
        <v>0</v>
      </c>
      <c r="O561" t="n">
        <v>0</v>
      </c>
      <c r="P561" t="n">
        <v>0</v>
      </c>
      <c r="Q561" t="n">
        <v>0</v>
      </c>
      <c r="R561" s="2" t="inlineStr"/>
    </row>
    <row r="562" ht="15" customHeight="1">
      <c r="A562" t="inlineStr">
        <is>
          <t>A 41896-2023</t>
        </is>
      </c>
      <c r="B562" s="1" t="n">
        <v>45176.72427083334</v>
      </c>
      <c r="C562" s="1" t="n">
        <v>45891</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11111-2023</t>
        </is>
      </c>
      <c r="B563" s="1" t="n">
        <v>44992.4255787037</v>
      </c>
      <c r="C563" s="1" t="n">
        <v>45891</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49382-2023</t>
        </is>
      </c>
      <c r="B564" s="1" t="n">
        <v>45208</v>
      </c>
      <c r="C564" s="1" t="n">
        <v>45891</v>
      </c>
      <c r="D564" t="inlineStr">
        <is>
          <t>KALMAR LÄN</t>
        </is>
      </c>
      <c r="E564" t="inlineStr">
        <is>
          <t>VIMMERBY</t>
        </is>
      </c>
      <c r="G564" t="n">
        <v>2.2</v>
      </c>
      <c r="H564" t="n">
        <v>0</v>
      </c>
      <c r="I564" t="n">
        <v>0</v>
      </c>
      <c r="J564" t="n">
        <v>0</v>
      </c>
      <c r="K564" t="n">
        <v>0</v>
      </c>
      <c r="L564" t="n">
        <v>0</v>
      </c>
      <c r="M564" t="n">
        <v>0</v>
      </c>
      <c r="N564" t="n">
        <v>0</v>
      </c>
      <c r="O564" t="n">
        <v>0</v>
      </c>
      <c r="P564" t="n">
        <v>0</v>
      </c>
      <c r="Q564" t="n">
        <v>0</v>
      </c>
      <c r="R564" s="2" t="inlineStr"/>
    </row>
    <row r="565" ht="15" customHeight="1">
      <c r="A565" t="inlineStr">
        <is>
          <t>A 12121-2025</t>
        </is>
      </c>
      <c r="B565" s="1" t="n">
        <v>45729.36868055556</v>
      </c>
      <c r="C565" s="1" t="n">
        <v>45891</v>
      </c>
      <c r="D565" t="inlineStr">
        <is>
          <t>KALMAR LÄN</t>
        </is>
      </c>
      <c r="E565" t="inlineStr">
        <is>
          <t>VIMMERBY</t>
        </is>
      </c>
      <c r="G565" t="n">
        <v>4.3</v>
      </c>
      <c r="H565" t="n">
        <v>0</v>
      </c>
      <c r="I565" t="n">
        <v>0</v>
      </c>
      <c r="J565" t="n">
        <v>0</v>
      </c>
      <c r="K565" t="n">
        <v>0</v>
      </c>
      <c r="L565" t="n">
        <v>0</v>
      </c>
      <c r="M565" t="n">
        <v>0</v>
      </c>
      <c r="N565" t="n">
        <v>0</v>
      </c>
      <c r="O565" t="n">
        <v>0</v>
      </c>
      <c r="P565" t="n">
        <v>0</v>
      </c>
      <c r="Q565" t="n">
        <v>0</v>
      </c>
      <c r="R565" s="2" t="inlineStr"/>
    </row>
    <row r="566" ht="15" customHeight="1">
      <c r="A566" t="inlineStr">
        <is>
          <t>A 43606-2024</t>
        </is>
      </c>
      <c r="B566" s="1" t="n">
        <v>45569.45017361111</v>
      </c>
      <c r="C566" s="1" t="n">
        <v>45891</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58724-2024</t>
        </is>
      </c>
      <c r="B567" s="1" t="n">
        <v>45635.66409722222</v>
      </c>
      <c r="C567" s="1" t="n">
        <v>45891</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12325-2023</t>
        </is>
      </c>
      <c r="B568" s="1" t="n">
        <v>44999.35858796296</v>
      </c>
      <c r="C568" s="1" t="n">
        <v>45891</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35846-2023</t>
        </is>
      </c>
      <c r="B569" s="1" t="n">
        <v>45148</v>
      </c>
      <c r="C569" s="1" t="n">
        <v>45891</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15494-2024</t>
        </is>
      </c>
      <c r="B570" s="1" t="n">
        <v>45401.53033564815</v>
      </c>
      <c r="C570" s="1" t="n">
        <v>45891</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35913-2023</t>
        </is>
      </c>
      <c r="B571" s="1" t="n">
        <v>45148</v>
      </c>
      <c r="C571" s="1" t="n">
        <v>45891</v>
      </c>
      <c r="D571" t="inlineStr">
        <is>
          <t>KALMAR LÄN</t>
        </is>
      </c>
      <c r="E571" t="inlineStr">
        <is>
          <t>VIMMERBY</t>
        </is>
      </c>
      <c r="G571" t="n">
        <v>6.9</v>
      </c>
      <c r="H571" t="n">
        <v>0</v>
      </c>
      <c r="I571" t="n">
        <v>0</v>
      </c>
      <c r="J571" t="n">
        <v>0</v>
      </c>
      <c r="K571" t="n">
        <v>0</v>
      </c>
      <c r="L571" t="n">
        <v>0</v>
      </c>
      <c r="M571" t="n">
        <v>0</v>
      </c>
      <c r="N571" t="n">
        <v>0</v>
      </c>
      <c r="O571" t="n">
        <v>0</v>
      </c>
      <c r="P571" t="n">
        <v>0</v>
      </c>
      <c r="Q571" t="n">
        <v>0</v>
      </c>
      <c r="R571" s="2" t="inlineStr"/>
    </row>
    <row r="572" ht="15" customHeight="1">
      <c r="A572" t="inlineStr">
        <is>
          <t>A 8945-2025</t>
        </is>
      </c>
      <c r="B572" s="1" t="n">
        <v>45713.45311342592</v>
      </c>
      <c r="C572" s="1" t="n">
        <v>45891</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38757-2023</t>
        </is>
      </c>
      <c r="B573" s="1" t="n">
        <v>45163.41376157408</v>
      </c>
      <c r="C573" s="1" t="n">
        <v>45891</v>
      </c>
      <c r="D573" t="inlineStr">
        <is>
          <t>KALMAR LÄN</t>
        </is>
      </c>
      <c r="E573" t="inlineStr">
        <is>
          <t>VIMMERBY</t>
        </is>
      </c>
      <c r="G573" t="n">
        <v>2.5</v>
      </c>
      <c r="H573" t="n">
        <v>0</v>
      </c>
      <c r="I573" t="n">
        <v>0</v>
      </c>
      <c r="J573" t="n">
        <v>0</v>
      </c>
      <c r="K573" t="n">
        <v>0</v>
      </c>
      <c r="L573" t="n">
        <v>0</v>
      </c>
      <c r="M573" t="n">
        <v>0</v>
      </c>
      <c r="N573" t="n">
        <v>0</v>
      </c>
      <c r="O573" t="n">
        <v>0</v>
      </c>
      <c r="P573" t="n">
        <v>0</v>
      </c>
      <c r="Q573" t="n">
        <v>0</v>
      </c>
      <c r="R573" s="2" t="inlineStr"/>
    </row>
    <row r="574" ht="15" customHeight="1">
      <c r="A574" t="inlineStr">
        <is>
          <t>A 26039-2025</t>
        </is>
      </c>
      <c r="B574" s="1" t="n">
        <v>45804.6953587963</v>
      </c>
      <c r="C574" s="1" t="n">
        <v>45891</v>
      </c>
      <c r="D574" t="inlineStr">
        <is>
          <t>KALMAR LÄN</t>
        </is>
      </c>
      <c r="E574" t="inlineStr">
        <is>
          <t>VIMMERBY</t>
        </is>
      </c>
      <c r="F574" t="inlineStr">
        <is>
          <t>Sveaskog</t>
        </is>
      </c>
      <c r="G574" t="n">
        <v>5.2</v>
      </c>
      <c r="H574" t="n">
        <v>0</v>
      </c>
      <c r="I574" t="n">
        <v>0</v>
      </c>
      <c r="J574" t="n">
        <v>0</v>
      </c>
      <c r="K574" t="n">
        <v>0</v>
      </c>
      <c r="L574" t="n">
        <v>0</v>
      </c>
      <c r="M574" t="n">
        <v>0</v>
      </c>
      <c r="N574" t="n">
        <v>0</v>
      </c>
      <c r="O574" t="n">
        <v>0</v>
      </c>
      <c r="P574" t="n">
        <v>0</v>
      </c>
      <c r="Q574" t="n">
        <v>0</v>
      </c>
      <c r="R574" s="2" t="inlineStr"/>
    </row>
    <row r="575" ht="15" customHeight="1">
      <c r="A575" t="inlineStr">
        <is>
          <t>A 26046-2025</t>
        </is>
      </c>
      <c r="B575" s="1" t="n">
        <v>45804.708125</v>
      </c>
      <c r="C575" s="1" t="n">
        <v>45891</v>
      </c>
      <c r="D575" t="inlineStr">
        <is>
          <t>KALMAR LÄN</t>
        </is>
      </c>
      <c r="E575" t="inlineStr">
        <is>
          <t>VIMMERBY</t>
        </is>
      </c>
      <c r="F575" t="inlineStr">
        <is>
          <t>Sveaskog</t>
        </is>
      </c>
      <c r="G575" t="n">
        <v>5.1</v>
      </c>
      <c r="H575" t="n">
        <v>0</v>
      </c>
      <c r="I575" t="n">
        <v>0</v>
      </c>
      <c r="J575" t="n">
        <v>0</v>
      </c>
      <c r="K575" t="n">
        <v>0</v>
      </c>
      <c r="L575" t="n">
        <v>0</v>
      </c>
      <c r="M575" t="n">
        <v>0</v>
      </c>
      <c r="N575" t="n">
        <v>0</v>
      </c>
      <c r="O575" t="n">
        <v>0</v>
      </c>
      <c r="P575" t="n">
        <v>0</v>
      </c>
      <c r="Q575" t="n">
        <v>0</v>
      </c>
      <c r="R575" s="2" t="inlineStr"/>
    </row>
    <row r="576" ht="15" customHeight="1">
      <c r="A576" t="inlineStr">
        <is>
          <t>A 20136-2024</t>
        </is>
      </c>
      <c r="B576" s="1" t="n">
        <v>45434.56291666667</v>
      </c>
      <c r="C576" s="1" t="n">
        <v>45891</v>
      </c>
      <c r="D576" t="inlineStr">
        <is>
          <t>KALMAR LÄN</t>
        </is>
      </c>
      <c r="E576" t="inlineStr">
        <is>
          <t>VIMMERBY</t>
        </is>
      </c>
      <c r="F576" t="inlineStr">
        <is>
          <t>Sveaskog</t>
        </is>
      </c>
      <c r="G576" t="n">
        <v>8.4</v>
      </c>
      <c r="H576" t="n">
        <v>0</v>
      </c>
      <c r="I576" t="n">
        <v>0</v>
      </c>
      <c r="J576" t="n">
        <v>0</v>
      </c>
      <c r="K576" t="n">
        <v>0</v>
      </c>
      <c r="L576" t="n">
        <v>0</v>
      </c>
      <c r="M576" t="n">
        <v>0</v>
      </c>
      <c r="N576" t="n">
        <v>0</v>
      </c>
      <c r="O576" t="n">
        <v>0</v>
      </c>
      <c r="P576" t="n">
        <v>0</v>
      </c>
      <c r="Q576" t="n">
        <v>0</v>
      </c>
      <c r="R576" s="2" t="inlineStr"/>
    </row>
    <row r="577" ht="15" customHeight="1">
      <c r="A577" t="inlineStr">
        <is>
          <t>A 25792-2025</t>
        </is>
      </c>
      <c r="B577" s="1" t="n">
        <v>45804.39141203704</v>
      </c>
      <c r="C577" s="1" t="n">
        <v>45891</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40665-2023</t>
        </is>
      </c>
      <c r="B578" s="1" t="n">
        <v>45170</v>
      </c>
      <c r="C578" s="1" t="n">
        <v>45891</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13307-2025</t>
        </is>
      </c>
      <c r="B579" s="1" t="n">
        <v>45735.58024305556</v>
      </c>
      <c r="C579" s="1" t="n">
        <v>45891</v>
      </c>
      <c r="D579" t="inlineStr">
        <is>
          <t>KALMAR LÄN</t>
        </is>
      </c>
      <c r="E579" t="inlineStr">
        <is>
          <t>VIMMERBY</t>
        </is>
      </c>
      <c r="G579" t="n">
        <v>0.8</v>
      </c>
      <c r="H579" t="n">
        <v>0</v>
      </c>
      <c r="I579" t="n">
        <v>0</v>
      </c>
      <c r="J579" t="n">
        <v>0</v>
      </c>
      <c r="K579" t="n">
        <v>0</v>
      </c>
      <c r="L579" t="n">
        <v>0</v>
      </c>
      <c r="M579" t="n">
        <v>0</v>
      </c>
      <c r="N579" t="n">
        <v>0</v>
      </c>
      <c r="O579" t="n">
        <v>0</v>
      </c>
      <c r="P579" t="n">
        <v>0</v>
      </c>
      <c r="Q579" t="n">
        <v>0</v>
      </c>
      <c r="R579" s="2" t="inlineStr"/>
    </row>
    <row r="580" ht="15" customHeight="1">
      <c r="A580" t="inlineStr">
        <is>
          <t>A 24283-2023</t>
        </is>
      </c>
      <c r="B580" s="1" t="n">
        <v>45079.87827546296</v>
      </c>
      <c r="C580" s="1" t="n">
        <v>45891</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26006-2025</t>
        </is>
      </c>
      <c r="B581" s="1" t="n">
        <v>45804.67065972222</v>
      </c>
      <c r="C581" s="1" t="n">
        <v>45891</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28034-2022</t>
        </is>
      </c>
      <c r="B582" s="1" t="n">
        <v>44746.38834490741</v>
      </c>
      <c r="C582" s="1" t="n">
        <v>45891</v>
      </c>
      <c r="D582" t="inlineStr">
        <is>
          <t>KALMAR LÄN</t>
        </is>
      </c>
      <c r="E582" t="inlineStr">
        <is>
          <t>VIMMERBY</t>
        </is>
      </c>
      <c r="G582" t="n">
        <v>2</v>
      </c>
      <c r="H582" t="n">
        <v>0</v>
      </c>
      <c r="I582" t="n">
        <v>0</v>
      </c>
      <c r="J582" t="n">
        <v>0</v>
      </c>
      <c r="K582" t="n">
        <v>0</v>
      </c>
      <c r="L582" t="n">
        <v>0</v>
      </c>
      <c r="M582" t="n">
        <v>0</v>
      </c>
      <c r="N582" t="n">
        <v>0</v>
      </c>
      <c r="O582" t="n">
        <v>0</v>
      </c>
      <c r="P582" t="n">
        <v>0</v>
      </c>
      <c r="Q582" t="n">
        <v>0</v>
      </c>
      <c r="R582" s="2" t="inlineStr"/>
    </row>
    <row r="583" ht="15" customHeight="1">
      <c r="A583" t="inlineStr">
        <is>
          <t>A 25830-2025</t>
        </is>
      </c>
      <c r="B583" s="1" t="n">
        <v>45804.44519675926</v>
      </c>
      <c r="C583" s="1" t="n">
        <v>45891</v>
      </c>
      <c r="D583" t="inlineStr">
        <is>
          <t>KALMAR LÄN</t>
        </is>
      </c>
      <c r="E583" t="inlineStr">
        <is>
          <t>VIMMERBY</t>
        </is>
      </c>
      <c r="G583" t="n">
        <v>4.9</v>
      </c>
      <c r="H583" t="n">
        <v>0</v>
      </c>
      <c r="I583" t="n">
        <v>0</v>
      </c>
      <c r="J583" t="n">
        <v>0</v>
      </c>
      <c r="K583" t="n">
        <v>0</v>
      </c>
      <c r="L583" t="n">
        <v>0</v>
      </c>
      <c r="M583" t="n">
        <v>0</v>
      </c>
      <c r="N583" t="n">
        <v>0</v>
      </c>
      <c r="O583" t="n">
        <v>0</v>
      </c>
      <c r="P583" t="n">
        <v>0</v>
      </c>
      <c r="Q583" t="n">
        <v>0</v>
      </c>
      <c r="R583" s="2" t="inlineStr"/>
    </row>
    <row r="584" ht="15" customHeight="1">
      <c r="A584" t="inlineStr">
        <is>
          <t>A 26124-2025</t>
        </is>
      </c>
      <c r="B584" s="1" t="n">
        <v>45805.39247685186</v>
      </c>
      <c r="C584" s="1" t="n">
        <v>45891</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59598-2023</t>
        </is>
      </c>
      <c r="B585" s="1" t="n">
        <v>45254.62489583333</v>
      </c>
      <c r="C585" s="1" t="n">
        <v>45891</v>
      </c>
      <c r="D585" t="inlineStr">
        <is>
          <t>KALMAR LÄN</t>
        </is>
      </c>
      <c r="E585" t="inlineStr">
        <is>
          <t>VIMMERBY</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55605-2024</t>
        </is>
      </c>
      <c r="B586" s="1" t="n">
        <v>45622</v>
      </c>
      <c r="C586" s="1" t="n">
        <v>45891</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30920-2023</t>
        </is>
      </c>
      <c r="B587" s="1" t="n">
        <v>45113.43921296296</v>
      </c>
      <c r="C587" s="1" t="n">
        <v>45891</v>
      </c>
      <c r="D587" t="inlineStr">
        <is>
          <t>KALMAR LÄN</t>
        </is>
      </c>
      <c r="E587" t="inlineStr">
        <is>
          <t>VIMMERBY</t>
        </is>
      </c>
      <c r="G587" t="n">
        <v>3.1</v>
      </c>
      <c r="H587" t="n">
        <v>0</v>
      </c>
      <c r="I587" t="n">
        <v>0</v>
      </c>
      <c r="J587" t="n">
        <v>0</v>
      </c>
      <c r="K587" t="n">
        <v>0</v>
      </c>
      <c r="L587" t="n">
        <v>0</v>
      </c>
      <c r="M587" t="n">
        <v>0</v>
      </c>
      <c r="N587" t="n">
        <v>0</v>
      </c>
      <c r="O587" t="n">
        <v>0</v>
      </c>
      <c r="P587" t="n">
        <v>0</v>
      </c>
      <c r="Q587" t="n">
        <v>0</v>
      </c>
      <c r="R587" s="2" t="inlineStr"/>
    </row>
    <row r="588" ht="15" customHeight="1">
      <c r="A588" t="inlineStr">
        <is>
          <t>A 42165-2024</t>
        </is>
      </c>
      <c r="B588" s="1" t="n">
        <v>45562.46342592593</v>
      </c>
      <c r="C588" s="1" t="n">
        <v>45891</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20129-2024</t>
        </is>
      </c>
      <c r="B589" s="1" t="n">
        <v>45434.55831018519</v>
      </c>
      <c r="C589" s="1" t="n">
        <v>45891</v>
      </c>
      <c r="D589" t="inlineStr">
        <is>
          <t>KALMAR LÄN</t>
        </is>
      </c>
      <c r="E589" t="inlineStr">
        <is>
          <t>VIMMERBY</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20137-2024</t>
        </is>
      </c>
      <c r="B590" s="1" t="n">
        <v>45434.56398148148</v>
      </c>
      <c r="C590" s="1" t="n">
        <v>45891</v>
      </c>
      <c r="D590" t="inlineStr">
        <is>
          <t>KALMAR LÄN</t>
        </is>
      </c>
      <c r="E590" t="inlineStr">
        <is>
          <t>VIMMERBY</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26254-2025</t>
        </is>
      </c>
      <c r="B591" s="1" t="n">
        <v>45805</v>
      </c>
      <c r="C591" s="1" t="n">
        <v>45891</v>
      </c>
      <c r="D591" t="inlineStr">
        <is>
          <t>KALMAR LÄN</t>
        </is>
      </c>
      <c r="E591" t="inlineStr">
        <is>
          <t>VIMMERBY</t>
        </is>
      </c>
      <c r="G591" t="n">
        <v>2</v>
      </c>
      <c r="H591" t="n">
        <v>0</v>
      </c>
      <c r="I591" t="n">
        <v>0</v>
      </c>
      <c r="J591" t="n">
        <v>0</v>
      </c>
      <c r="K591" t="n">
        <v>0</v>
      </c>
      <c r="L591" t="n">
        <v>0</v>
      </c>
      <c r="M591" t="n">
        <v>0</v>
      </c>
      <c r="N591" t="n">
        <v>0</v>
      </c>
      <c r="O591" t="n">
        <v>0</v>
      </c>
      <c r="P591" t="n">
        <v>0</v>
      </c>
      <c r="Q591" t="n">
        <v>0</v>
      </c>
      <c r="R591" s="2" t="inlineStr"/>
    </row>
    <row r="592" ht="15" customHeight="1">
      <c r="A592" t="inlineStr">
        <is>
          <t>A 23095-2023</t>
        </is>
      </c>
      <c r="B592" s="1" t="n">
        <v>45075.43059027778</v>
      </c>
      <c r="C592" s="1" t="n">
        <v>45891</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32919-2022</t>
        </is>
      </c>
      <c r="B593" s="1" t="n">
        <v>44784.62724537037</v>
      </c>
      <c r="C593" s="1" t="n">
        <v>45891</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26207-2025</t>
        </is>
      </c>
      <c r="B594" s="1" t="n">
        <v>45805.52983796296</v>
      </c>
      <c r="C594" s="1" t="n">
        <v>45891</v>
      </c>
      <c r="D594" t="inlineStr">
        <is>
          <t>KALMAR LÄN</t>
        </is>
      </c>
      <c r="E594" t="inlineStr">
        <is>
          <t>VIMMERBY</t>
        </is>
      </c>
      <c r="G594" t="n">
        <v>0.7</v>
      </c>
      <c r="H594" t="n">
        <v>0</v>
      </c>
      <c r="I594" t="n">
        <v>0</v>
      </c>
      <c r="J594" t="n">
        <v>0</v>
      </c>
      <c r="K594" t="n">
        <v>0</v>
      </c>
      <c r="L594" t="n">
        <v>0</v>
      </c>
      <c r="M594" t="n">
        <v>0</v>
      </c>
      <c r="N594" t="n">
        <v>0</v>
      </c>
      <c r="O594" t="n">
        <v>0</v>
      </c>
      <c r="P594" t="n">
        <v>0</v>
      </c>
      <c r="Q594" t="n">
        <v>0</v>
      </c>
      <c r="R594" s="2" t="inlineStr"/>
    </row>
    <row r="595" ht="15" customHeight="1">
      <c r="A595" t="inlineStr">
        <is>
          <t>A 40929-2022</t>
        </is>
      </c>
      <c r="B595" s="1" t="n">
        <v>44825.4336574074</v>
      </c>
      <c r="C595" s="1" t="n">
        <v>45891</v>
      </c>
      <c r="D595" t="inlineStr">
        <is>
          <t>KALMAR LÄN</t>
        </is>
      </c>
      <c r="E595" t="inlineStr">
        <is>
          <t>VIMMERBY</t>
        </is>
      </c>
      <c r="G595" t="n">
        <v>2.5</v>
      </c>
      <c r="H595" t="n">
        <v>0</v>
      </c>
      <c r="I595" t="n">
        <v>0</v>
      </c>
      <c r="J595" t="n">
        <v>0</v>
      </c>
      <c r="K595" t="n">
        <v>0</v>
      </c>
      <c r="L595" t="n">
        <v>0</v>
      </c>
      <c r="M595" t="n">
        <v>0</v>
      </c>
      <c r="N595" t="n">
        <v>0</v>
      </c>
      <c r="O595" t="n">
        <v>0</v>
      </c>
      <c r="P595" t="n">
        <v>0</v>
      </c>
      <c r="Q595" t="n">
        <v>0</v>
      </c>
      <c r="R595" s="2" t="inlineStr"/>
    </row>
    <row r="596" ht="15" customHeight="1">
      <c r="A596" t="inlineStr">
        <is>
          <t>A 7068-2024</t>
        </is>
      </c>
      <c r="B596" s="1" t="n">
        <v>45343.68038194445</v>
      </c>
      <c r="C596" s="1" t="n">
        <v>45891</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33380-2023</t>
        </is>
      </c>
      <c r="B597" s="1" t="n">
        <v>45128</v>
      </c>
      <c r="C597" s="1" t="n">
        <v>45891</v>
      </c>
      <c r="D597" t="inlineStr">
        <is>
          <t>KALMAR LÄN</t>
        </is>
      </c>
      <c r="E597" t="inlineStr">
        <is>
          <t>VIMMERBY</t>
        </is>
      </c>
      <c r="G597" t="n">
        <v>5.2</v>
      </c>
      <c r="H597" t="n">
        <v>0</v>
      </c>
      <c r="I597" t="n">
        <v>0</v>
      </c>
      <c r="J597" t="n">
        <v>0</v>
      </c>
      <c r="K597" t="n">
        <v>0</v>
      </c>
      <c r="L597" t="n">
        <v>0</v>
      </c>
      <c r="M597" t="n">
        <v>0</v>
      </c>
      <c r="N597" t="n">
        <v>0</v>
      </c>
      <c r="O597" t="n">
        <v>0</v>
      </c>
      <c r="P597" t="n">
        <v>0</v>
      </c>
      <c r="Q597" t="n">
        <v>0</v>
      </c>
      <c r="R597" s="2" t="inlineStr"/>
    </row>
    <row r="598" ht="15" customHeight="1">
      <c r="A598" t="inlineStr">
        <is>
          <t>A 46144-2023</t>
        </is>
      </c>
      <c r="B598" s="1" t="n">
        <v>45196.57247685185</v>
      </c>
      <c r="C598" s="1" t="n">
        <v>45891</v>
      </c>
      <c r="D598" t="inlineStr">
        <is>
          <t>KALMAR LÄN</t>
        </is>
      </c>
      <c r="E598" t="inlineStr">
        <is>
          <t>VIMMERBY</t>
        </is>
      </c>
      <c r="G598" t="n">
        <v>6.5</v>
      </c>
      <c r="H598" t="n">
        <v>0</v>
      </c>
      <c r="I598" t="n">
        <v>0</v>
      </c>
      <c r="J598" t="n">
        <v>0</v>
      </c>
      <c r="K598" t="n">
        <v>0</v>
      </c>
      <c r="L598" t="n">
        <v>0</v>
      </c>
      <c r="M598" t="n">
        <v>0</v>
      </c>
      <c r="N598" t="n">
        <v>0</v>
      </c>
      <c r="O598" t="n">
        <v>0</v>
      </c>
      <c r="P598" t="n">
        <v>0</v>
      </c>
      <c r="Q598" t="n">
        <v>0</v>
      </c>
      <c r="R598" s="2" t="inlineStr"/>
    </row>
    <row r="599" ht="15" customHeight="1">
      <c r="A599" t="inlineStr">
        <is>
          <t>A 12596-2021</t>
        </is>
      </c>
      <c r="B599" s="1" t="n">
        <v>44270.39765046296</v>
      </c>
      <c r="C599" s="1" t="n">
        <v>45891</v>
      </c>
      <c r="D599" t="inlineStr">
        <is>
          <t>KALMAR LÄN</t>
        </is>
      </c>
      <c r="E599" t="inlineStr">
        <is>
          <t>VIMMERBY</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32655-2023</t>
        </is>
      </c>
      <c r="B600" s="1" t="n">
        <v>45121.61318287037</v>
      </c>
      <c r="C600" s="1" t="n">
        <v>45891</v>
      </c>
      <c r="D600" t="inlineStr">
        <is>
          <t>KALMAR LÄN</t>
        </is>
      </c>
      <c r="E600" t="inlineStr">
        <is>
          <t>VIMMERBY</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54409-2024</t>
        </is>
      </c>
      <c r="B601" s="1" t="n">
        <v>45617.47570601852</v>
      </c>
      <c r="C601" s="1" t="n">
        <v>45891</v>
      </c>
      <c r="D601" t="inlineStr">
        <is>
          <t>KALMAR LÄN</t>
        </is>
      </c>
      <c r="E601" t="inlineStr">
        <is>
          <t>VIMMERBY</t>
        </is>
      </c>
      <c r="G601" t="n">
        <v>4.3</v>
      </c>
      <c r="H601" t="n">
        <v>0</v>
      </c>
      <c r="I601" t="n">
        <v>0</v>
      </c>
      <c r="J601" t="n">
        <v>0</v>
      </c>
      <c r="K601" t="n">
        <v>0</v>
      </c>
      <c r="L601" t="n">
        <v>0</v>
      </c>
      <c r="M601" t="n">
        <v>0</v>
      </c>
      <c r="N601" t="n">
        <v>0</v>
      </c>
      <c r="O601" t="n">
        <v>0</v>
      </c>
      <c r="P601" t="n">
        <v>0</v>
      </c>
      <c r="Q601" t="n">
        <v>0</v>
      </c>
      <c r="R601" s="2" t="inlineStr"/>
    </row>
    <row r="602" ht="15" customHeight="1">
      <c r="A602" t="inlineStr">
        <is>
          <t>A 54787-2023</t>
        </is>
      </c>
      <c r="B602" s="1" t="n">
        <v>45236</v>
      </c>
      <c r="C602" s="1" t="n">
        <v>45891</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15715-2022</t>
        </is>
      </c>
      <c r="B603" s="1" t="n">
        <v>44663</v>
      </c>
      <c r="C603" s="1" t="n">
        <v>45891</v>
      </c>
      <c r="D603" t="inlineStr">
        <is>
          <t>KALMAR LÄN</t>
        </is>
      </c>
      <c r="E603" t="inlineStr">
        <is>
          <t>VIMMERBY</t>
        </is>
      </c>
      <c r="G603" t="n">
        <v>2.3</v>
      </c>
      <c r="H603" t="n">
        <v>0</v>
      </c>
      <c r="I603" t="n">
        <v>0</v>
      </c>
      <c r="J603" t="n">
        <v>0</v>
      </c>
      <c r="K603" t="n">
        <v>0</v>
      </c>
      <c r="L603" t="n">
        <v>0</v>
      </c>
      <c r="M603" t="n">
        <v>0</v>
      </c>
      <c r="N603" t="n">
        <v>0</v>
      </c>
      <c r="O603" t="n">
        <v>0</v>
      </c>
      <c r="P603" t="n">
        <v>0</v>
      </c>
      <c r="Q603" t="n">
        <v>0</v>
      </c>
      <c r="R603" s="2" t="inlineStr"/>
    </row>
    <row r="604" ht="15" customHeight="1">
      <c r="A604" t="inlineStr">
        <is>
          <t>A 43774-2023</t>
        </is>
      </c>
      <c r="B604" s="1" t="n">
        <v>45187</v>
      </c>
      <c r="C604" s="1" t="n">
        <v>45891</v>
      </c>
      <c r="D604" t="inlineStr">
        <is>
          <t>KALMAR LÄN</t>
        </is>
      </c>
      <c r="E604" t="inlineStr">
        <is>
          <t>VIMMERBY</t>
        </is>
      </c>
      <c r="G604" t="n">
        <v>3.4</v>
      </c>
      <c r="H604" t="n">
        <v>0</v>
      </c>
      <c r="I604" t="n">
        <v>0</v>
      </c>
      <c r="J604" t="n">
        <v>0</v>
      </c>
      <c r="K604" t="n">
        <v>0</v>
      </c>
      <c r="L604" t="n">
        <v>0</v>
      </c>
      <c r="M604" t="n">
        <v>0</v>
      </c>
      <c r="N604" t="n">
        <v>0</v>
      </c>
      <c r="O604" t="n">
        <v>0</v>
      </c>
      <c r="P604" t="n">
        <v>0</v>
      </c>
      <c r="Q604" t="n">
        <v>0</v>
      </c>
      <c r="R604" s="2" t="inlineStr"/>
    </row>
    <row r="605" ht="15" customHeight="1">
      <c r="A605" t="inlineStr">
        <is>
          <t>A 43705-2023</t>
        </is>
      </c>
      <c r="B605" s="1" t="n">
        <v>45187.42854166667</v>
      </c>
      <c r="C605" s="1" t="n">
        <v>45891</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7932-2025</t>
        </is>
      </c>
      <c r="B606" s="1" t="n">
        <v>45707.3793287037</v>
      </c>
      <c r="C606" s="1" t="n">
        <v>45891</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13532-2025</t>
        </is>
      </c>
      <c r="B607" s="1" t="n">
        <v>45736.50743055555</v>
      </c>
      <c r="C607" s="1" t="n">
        <v>45891</v>
      </c>
      <c r="D607" t="inlineStr">
        <is>
          <t>KALMAR LÄN</t>
        </is>
      </c>
      <c r="E607" t="inlineStr">
        <is>
          <t>VIMMERBY</t>
        </is>
      </c>
      <c r="G607" t="n">
        <v>3.6</v>
      </c>
      <c r="H607" t="n">
        <v>0</v>
      </c>
      <c r="I607" t="n">
        <v>0</v>
      </c>
      <c r="J607" t="n">
        <v>0</v>
      </c>
      <c r="K607" t="n">
        <v>0</v>
      </c>
      <c r="L607" t="n">
        <v>0</v>
      </c>
      <c r="M607" t="n">
        <v>0</v>
      </c>
      <c r="N607" t="n">
        <v>0</v>
      </c>
      <c r="O607" t="n">
        <v>0</v>
      </c>
      <c r="P607" t="n">
        <v>0</v>
      </c>
      <c r="Q607" t="n">
        <v>0</v>
      </c>
      <c r="R607" s="2" t="inlineStr"/>
    </row>
    <row r="608" ht="15" customHeight="1">
      <c r="A608" t="inlineStr">
        <is>
          <t>A 65049-2020</t>
        </is>
      </c>
      <c r="B608" s="1" t="n">
        <v>44172</v>
      </c>
      <c r="C608" s="1" t="n">
        <v>45891</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9475-2023</t>
        </is>
      </c>
      <c r="B609" s="1" t="n">
        <v>44981.58834490741</v>
      </c>
      <c r="C609" s="1" t="n">
        <v>45891</v>
      </c>
      <c r="D609" t="inlineStr">
        <is>
          <t>KALMAR LÄN</t>
        </is>
      </c>
      <c r="E609" t="inlineStr">
        <is>
          <t>VIMMERBY</t>
        </is>
      </c>
      <c r="G609" t="n">
        <v>2</v>
      </c>
      <c r="H609" t="n">
        <v>0</v>
      </c>
      <c r="I609" t="n">
        <v>0</v>
      </c>
      <c r="J609" t="n">
        <v>0</v>
      </c>
      <c r="K609" t="n">
        <v>0</v>
      </c>
      <c r="L609" t="n">
        <v>0</v>
      </c>
      <c r="M609" t="n">
        <v>0</v>
      </c>
      <c r="N609" t="n">
        <v>0</v>
      </c>
      <c r="O609" t="n">
        <v>0</v>
      </c>
      <c r="P609" t="n">
        <v>0</v>
      </c>
      <c r="Q609" t="n">
        <v>0</v>
      </c>
      <c r="R609" s="2" t="inlineStr"/>
    </row>
    <row r="610" ht="15" customHeight="1">
      <c r="A610" t="inlineStr">
        <is>
          <t>A 26609-2025</t>
        </is>
      </c>
      <c r="B610" s="1" t="n">
        <v>45810.00048611111</v>
      </c>
      <c r="C610" s="1" t="n">
        <v>45891</v>
      </c>
      <c r="D610" t="inlineStr">
        <is>
          <t>KALMAR LÄN</t>
        </is>
      </c>
      <c r="E610" t="inlineStr">
        <is>
          <t>VIMMERBY</t>
        </is>
      </c>
      <c r="G610" t="n">
        <v>3.8</v>
      </c>
      <c r="H610" t="n">
        <v>0</v>
      </c>
      <c r="I610" t="n">
        <v>0</v>
      </c>
      <c r="J610" t="n">
        <v>0</v>
      </c>
      <c r="K610" t="n">
        <v>0</v>
      </c>
      <c r="L610" t="n">
        <v>0</v>
      </c>
      <c r="M610" t="n">
        <v>0</v>
      </c>
      <c r="N610" t="n">
        <v>0</v>
      </c>
      <c r="O610" t="n">
        <v>0</v>
      </c>
      <c r="P610" t="n">
        <v>0</v>
      </c>
      <c r="Q610" t="n">
        <v>0</v>
      </c>
      <c r="R610" s="2" t="inlineStr"/>
    </row>
    <row r="611" ht="15" customHeight="1">
      <c r="A611" t="inlineStr">
        <is>
          <t>A 43092-2024</t>
        </is>
      </c>
      <c r="B611" s="1" t="n">
        <v>45567</v>
      </c>
      <c r="C611" s="1" t="n">
        <v>45891</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1978-2024</t>
        </is>
      </c>
      <c r="B612" s="1" t="n">
        <v>45308.59001157407</v>
      </c>
      <c r="C612" s="1" t="n">
        <v>45891</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6399-2025</t>
        </is>
      </c>
      <c r="B613" s="1" t="n">
        <v>45699.44291666667</v>
      </c>
      <c r="C613" s="1" t="n">
        <v>45891</v>
      </c>
      <c r="D613" t="inlineStr">
        <is>
          <t>KALMAR LÄN</t>
        </is>
      </c>
      <c r="E613" t="inlineStr">
        <is>
          <t>VIMMERBY</t>
        </is>
      </c>
      <c r="G613" t="n">
        <v>3.1</v>
      </c>
      <c r="H613" t="n">
        <v>0</v>
      </c>
      <c r="I613" t="n">
        <v>0</v>
      </c>
      <c r="J613" t="n">
        <v>0</v>
      </c>
      <c r="K613" t="n">
        <v>0</v>
      </c>
      <c r="L613" t="n">
        <v>0</v>
      </c>
      <c r="M613" t="n">
        <v>0</v>
      </c>
      <c r="N613" t="n">
        <v>0</v>
      </c>
      <c r="O613" t="n">
        <v>0</v>
      </c>
      <c r="P613" t="n">
        <v>0</v>
      </c>
      <c r="Q613" t="n">
        <v>0</v>
      </c>
      <c r="R613" s="2" t="inlineStr"/>
    </row>
    <row r="614" ht="15" customHeight="1">
      <c r="A614" t="inlineStr">
        <is>
          <t>A 11619-2023</t>
        </is>
      </c>
      <c r="B614" s="1" t="n">
        <v>44994.42113425926</v>
      </c>
      <c r="C614" s="1" t="n">
        <v>45891</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41311-2023</t>
        </is>
      </c>
      <c r="B615" s="1" t="n">
        <v>45174</v>
      </c>
      <c r="C615" s="1" t="n">
        <v>45891</v>
      </c>
      <c r="D615" t="inlineStr">
        <is>
          <t>KALMAR LÄN</t>
        </is>
      </c>
      <c r="E615" t="inlineStr">
        <is>
          <t>VIMMERBY</t>
        </is>
      </c>
      <c r="G615" t="n">
        <v>0.7</v>
      </c>
      <c r="H615" t="n">
        <v>0</v>
      </c>
      <c r="I615" t="n">
        <v>0</v>
      </c>
      <c r="J615" t="n">
        <v>0</v>
      </c>
      <c r="K615" t="n">
        <v>0</v>
      </c>
      <c r="L615" t="n">
        <v>0</v>
      </c>
      <c r="M615" t="n">
        <v>0</v>
      </c>
      <c r="N615" t="n">
        <v>0</v>
      </c>
      <c r="O615" t="n">
        <v>0</v>
      </c>
      <c r="P615" t="n">
        <v>0</v>
      </c>
      <c r="Q615" t="n">
        <v>0</v>
      </c>
      <c r="R615" s="2" t="inlineStr"/>
    </row>
    <row r="616" ht="15" customHeight="1">
      <c r="A616" t="inlineStr">
        <is>
          <t>A 5074-2023</t>
        </is>
      </c>
      <c r="B616" s="1" t="n">
        <v>44958.61047453704</v>
      </c>
      <c r="C616" s="1" t="n">
        <v>45891</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6368-2023</t>
        </is>
      </c>
      <c r="B617" s="1" t="n">
        <v>44965</v>
      </c>
      <c r="C617" s="1" t="n">
        <v>45891</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5701-2024</t>
        </is>
      </c>
      <c r="B618" s="1" t="n">
        <v>45334.78826388889</v>
      </c>
      <c r="C618" s="1" t="n">
        <v>45891</v>
      </c>
      <c r="D618" t="inlineStr">
        <is>
          <t>KALMAR LÄN</t>
        </is>
      </c>
      <c r="E618" t="inlineStr">
        <is>
          <t>VIMMERBY</t>
        </is>
      </c>
      <c r="G618" t="n">
        <v>2.3</v>
      </c>
      <c r="H618" t="n">
        <v>0</v>
      </c>
      <c r="I618" t="n">
        <v>0</v>
      </c>
      <c r="J618" t="n">
        <v>0</v>
      </c>
      <c r="K618" t="n">
        <v>0</v>
      </c>
      <c r="L618" t="n">
        <v>0</v>
      </c>
      <c r="M618" t="n">
        <v>0</v>
      </c>
      <c r="N618" t="n">
        <v>0</v>
      </c>
      <c r="O618" t="n">
        <v>0</v>
      </c>
      <c r="P618" t="n">
        <v>0</v>
      </c>
      <c r="Q618" t="n">
        <v>0</v>
      </c>
      <c r="R618" s="2" t="inlineStr"/>
    </row>
    <row r="619" ht="15" customHeight="1">
      <c r="A619" t="inlineStr">
        <is>
          <t>A 35270-2025</t>
        </is>
      </c>
      <c r="B619" s="1" t="n">
        <v>45853.87112268519</v>
      </c>
      <c r="C619" s="1" t="n">
        <v>45891</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7797-2023</t>
        </is>
      </c>
      <c r="B620" s="1" t="n">
        <v>44973.43075231482</v>
      </c>
      <c r="C620" s="1" t="n">
        <v>45891</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10785-2025</t>
        </is>
      </c>
      <c r="B621" s="1" t="n">
        <v>45722.48634259259</v>
      </c>
      <c r="C621" s="1" t="n">
        <v>45891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24655-2021</t>
        </is>
      </c>
      <c r="B622" s="1" t="n">
        <v>44340</v>
      </c>
      <c r="C622" s="1" t="n">
        <v>45891</v>
      </c>
      <c r="D622" t="inlineStr">
        <is>
          <t>KALMAR LÄN</t>
        </is>
      </c>
      <c r="E622" t="inlineStr">
        <is>
          <t>VIMMERBY</t>
        </is>
      </c>
      <c r="G622" t="n">
        <v>14.9</v>
      </c>
      <c r="H622" t="n">
        <v>0</v>
      </c>
      <c r="I622" t="n">
        <v>0</v>
      </c>
      <c r="J622" t="n">
        <v>0</v>
      </c>
      <c r="K622" t="n">
        <v>0</v>
      </c>
      <c r="L622" t="n">
        <v>0</v>
      </c>
      <c r="M622" t="n">
        <v>0</v>
      </c>
      <c r="N622" t="n">
        <v>0</v>
      </c>
      <c r="O622" t="n">
        <v>0</v>
      </c>
      <c r="P622" t="n">
        <v>0</v>
      </c>
      <c r="Q622" t="n">
        <v>0</v>
      </c>
      <c r="R622" s="2" t="inlineStr"/>
    </row>
    <row r="623" ht="15" customHeight="1">
      <c r="A623" t="inlineStr">
        <is>
          <t>A 35271-2025</t>
        </is>
      </c>
      <c r="B623" s="1" t="n">
        <v>45853.87599537037</v>
      </c>
      <c r="C623" s="1" t="n">
        <v>45891</v>
      </c>
      <c r="D623" t="inlineStr">
        <is>
          <t>KALMAR LÄN</t>
        </is>
      </c>
      <c r="E623" t="inlineStr">
        <is>
          <t>VIMMERBY</t>
        </is>
      </c>
      <c r="G623" t="n">
        <v>0.4</v>
      </c>
      <c r="H623" t="n">
        <v>0</v>
      </c>
      <c r="I623" t="n">
        <v>0</v>
      </c>
      <c r="J623" t="n">
        <v>0</v>
      </c>
      <c r="K623" t="n">
        <v>0</v>
      </c>
      <c r="L623" t="n">
        <v>0</v>
      </c>
      <c r="M623" t="n">
        <v>0</v>
      </c>
      <c r="N623" t="n">
        <v>0</v>
      </c>
      <c r="O623" t="n">
        <v>0</v>
      </c>
      <c r="P623" t="n">
        <v>0</v>
      </c>
      <c r="Q623" t="n">
        <v>0</v>
      </c>
      <c r="R623" s="2" t="inlineStr"/>
    </row>
    <row r="624" ht="15" customHeight="1">
      <c r="A624" t="inlineStr">
        <is>
          <t>A 35272-2025</t>
        </is>
      </c>
      <c r="B624" s="1" t="n">
        <v>45853.88070601852</v>
      </c>
      <c r="C624" s="1" t="n">
        <v>45891</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27084-2025</t>
        </is>
      </c>
      <c r="B625" s="1" t="n">
        <v>45811.65975694444</v>
      </c>
      <c r="C625" s="1" t="n">
        <v>45891</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10211-2025</t>
        </is>
      </c>
      <c r="B626" s="1" t="n">
        <v>45719.84378472222</v>
      </c>
      <c r="C626" s="1" t="n">
        <v>45891</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8410-2023</t>
        </is>
      </c>
      <c r="B627" s="1" t="n">
        <v>44977</v>
      </c>
      <c r="C627" s="1" t="n">
        <v>45891</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18020-2025</t>
        </is>
      </c>
      <c r="B628" s="1" t="n">
        <v>45761.4437962963</v>
      </c>
      <c r="C628" s="1" t="n">
        <v>45891</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585-2024</t>
        </is>
      </c>
      <c r="B629" s="1" t="n">
        <v>45299.62576388889</v>
      </c>
      <c r="C629" s="1" t="n">
        <v>45891</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6028-2023</t>
        </is>
      </c>
      <c r="B630" s="1" t="n">
        <v>44964.44356481481</v>
      </c>
      <c r="C630" s="1" t="n">
        <v>45891</v>
      </c>
      <c r="D630" t="inlineStr">
        <is>
          <t>KALMAR LÄN</t>
        </is>
      </c>
      <c r="E630" t="inlineStr">
        <is>
          <t>VIMMERBY</t>
        </is>
      </c>
      <c r="G630" t="n">
        <v>2.5</v>
      </c>
      <c r="H630" t="n">
        <v>0</v>
      </c>
      <c r="I630" t="n">
        <v>0</v>
      </c>
      <c r="J630" t="n">
        <v>0</v>
      </c>
      <c r="K630" t="n">
        <v>0</v>
      </c>
      <c r="L630" t="n">
        <v>0</v>
      </c>
      <c r="M630" t="n">
        <v>0</v>
      </c>
      <c r="N630" t="n">
        <v>0</v>
      </c>
      <c r="O630" t="n">
        <v>0</v>
      </c>
      <c r="P630" t="n">
        <v>0</v>
      </c>
      <c r="Q630" t="n">
        <v>0</v>
      </c>
      <c r="R630" s="2" t="inlineStr"/>
    </row>
    <row r="631" ht="15" customHeight="1">
      <c r="A631" t="inlineStr">
        <is>
          <t>A 52823-2024</t>
        </is>
      </c>
      <c r="B631" s="1" t="n">
        <v>45610.59094907407</v>
      </c>
      <c r="C631" s="1" t="n">
        <v>45891</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6802-2025</t>
        </is>
      </c>
      <c r="B632" s="1" t="n">
        <v>45700.68289351852</v>
      </c>
      <c r="C632" s="1" t="n">
        <v>45891</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56020-2024</t>
        </is>
      </c>
      <c r="B633" s="1" t="n">
        <v>45623.9525462963</v>
      </c>
      <c r="C633" s="1" t="n">
        <v>45891</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33842-2022</t>
        </is>
      </c>
      <c r="B634" s="1" t="n">
        <v>44790.49523148148</v>
      </c>
      <c r="C634" s="1" t="n">
        <v>45891</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60675-2023</t>
        </is>
      </c>
      <c r="B635" s="1" t="n">
        <v>45260.4716550926</v>
      </c>
      <c r="C635" s="1" t="n">
        <v>45891</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56853-2022</t>
        </is>
      </c>
      <c r="B636" s="1" t="n">
        <v>44894.49538194444</v>
      </c>
      <c r="C636" s="1" t="n">
        <v>45891</v>
      </c>
      <c r="D636" t="inlineStr">
        <is>
          <t>KALMAR LÄN</t>
        </is>
      </c>
      <c r="E636" t="inlineStr">
        <is>
          <t>VIMMERBY</t>
        </is>
      </c>
      <c r="G636" t="n">
        <v>4.3</v>
      </c>
      <c r="H636" t="n">
        <v>0</v>
      </c>
      <c r="I636" t="n">
        <v>0</v>
      </c>
      <c r="J636" t="n">
        <v>0</v>
      </c>
      <c r="K636" t="n">
        <v>0</v>
      </c>
      <c r="L636" t="n">
        <v>0</v>
      </c>
      <c r="M636" t="n">
        <v>0</v>
      </c>
      <c r="N636" t="n">
        <v>0</v>
      </c>
      <c r="O636" t="n">
        <v>0</v>
      </c>
      <c r="P636" t="n">
        <v>0</v>
      </c>
      <c r="Q636" t="n">
        <v>0</v>
      </c>
      <c r="R636" s="2" t="inlineStr"/>
    </row>
    <row r="637" ht="15" customHeight="1">
      <c r="A637" t="inlineStr">
        <is>
          <t>A 11152-2023</t>
        </is>
      </c>
      <c r="B637" s="1" t="n">
        <v>44992</v>
      </c>
      <c r="C637" s="1" t="n">
        <v>45891</v>
      </c>
      <c r="D637" t="inlineStr">
        <is>
          <t>KALMAR LÄN</t>
        </is>
      </c>
      <c r="E637" t="inlineStr">
        <is>
          <t>VIMMERBY</t>
        </is>
      </c>
      <c r="G637" t="n">
        <v>10.6</v>
      </c>
      <c r="H637" t="n">
        <v>0</v>
      </c>
      <c r="I637" t="n">
        <v>0</v>
      </c>
      <c r="J637" t="n">
        <v>0</v>
      </c>
      <c r="K637" t="n">
        <v>0</v>
      </c>
      <c r="L637" t="n">
        <v>0</v>
      </c>
      <c r="M637" t="n">
        <v>0</v>
      </c>
      <c r="N637" t="n">
        <v>0</v>
      </c>
      <c r="O637" t="n">
        <v>0</v>
      </c>
      <c r="P637" t="n">
        <v>0</v>
      </c>
      <c r="Q637" t="n">
        <v>0</v>
      </c>
      <c r="R637" s="2" t="inlineStr"/>
    </row>
    <row r="638" ht="15" customHeight="1">
      <c r="A638" t="inlineStr">
        <is>
          <t>A 27719-2025</t>
        </is>
      </c>
      <c r="B638" s="1" t="n">
        <v>45814.3865625</v>
      </c>
      <c r="C638" s="1" t="n">
        <v>45891</v>
      </c>
      <c r="D638" t="inlineStr">
        <is>
          <t>KALMAR LÄN</t>
        </is>
      </c>
      <c r="E638" t="inlineStr">
        <is>
          <t>VIMMERBY</t>
        </is>
      </c>
      <c r="G638" t="n">
        <v>2</v>
      </c>
      <c r="H638" t="n">
        <v>0</v>
      </c>
      <c r="I638" t="n">
        <v>0</v>
      </c>
      <c r="J638" t="n">
        <v>0</v>
      </c>
      <c r="K638" t="n">
        <v>0</v>
      </c>
      <c r="L638" t="n">
        <v>0</v>
      </c>
      <c r="M638" t="n">
        <v>0</v>
      </c>
      <c r="N638" t="n">
        <v>0</v>
      </c>
      <c r="O638" t="n">
        <v>0</v>
      </c>
      <c r="P638" t="n">
        <v>0</v>
      </c>
      <c r="Q638" t="n">
        <v>0</v>
      </c>
      <c r="R638" s="2" t="inlineStr"/>
    </row>
    <row r="639" ht="15" customHeight="1">
      <c r="A639" t="inlineStr">
        <is>
          <t>A 27718-2025</t>
        </is>
      </c>
      <c r="B639" s="1" t="n">
        <v>45814.38221064815</v>
      </c>
      <c r="C639" s="1" t="n">
        <v>45891</v>
      </c>
      <c r="D639" t="inlineStr">
        <is>
          <t>KALMAR LÄN</t>
        </is>
      </c>
      <c r="E639" t="inlineStr">
        <is>
          <t>VIMMERBY</t>
        </is>
      </c>
      <c r="G639" t="n">
        <v>0.9</v>
      </c>
      <c r="H639" t="n">
        <v>0</v>
      </c>
      <c r="I639" t="n">
        <v>0</v>
      </c>
      <c r="J639" t="n">
        <v>0</v>
      </c>
      <c r="K639" t="n">
        <v>0</v>
      </c>
      <c r="L639" t="n">
        <v>0</v>
      </c>
      <c r="M639" t="n">
        <v>0</v>
      </c>
      <c r="N639" t="n">
        <v>0</v>
      </c>
      <c r="O639" t="n">
        <v>0</v>
      </c>
      <c r="P639" t="n">
        <v>0</v>
      </c>
      <c r="Q639" t="n">
        <v>0</v>
      </c>
      <c r="R639" s="2" t="inlineStr"/>
    </row>
    <row r="640" ht="15" customHeight="1">
      <c r="A640" t="inlineStr">
        <is>
          <t>A 40095-2022</t>
        </is>
      </c>
      <c r="B640" s="1" t="n">
        <v>44820</v>
      </c>
      <c r="C640" s="1" t="n">
        <v>45891</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15550-2023</t>
        </is>
      </c>
      <c r="B641" s="1" t="n">
        <v>45020</v>
      </c>
      <c r="C641" s="1" t="n">
        <v>45891</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44693.62822916666</v>
      </c>
      <c r="C642" s="1" t="n">
        <v>45891</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19502-2025</t>
        </is>
      </c>
      <c r="B643" s="1" t="n">
        <v>45769</v>
      </c>
      <c r="C643" s="1" t="n">
        <v>45891</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57311-2023</t>
        </is>
      </c>
      <c r="B644" s="1" t="n">
        <v>45245.63574074074</v>
      </c>
      <c r="C644" s="1" t="n">
        <v>45891</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64428-2023</t>
        </is>
      </c>
      <c r="B645" s="1" t="n">
        <v>45280.66769675926</v>
      </c>
      <c r="C645" s="1" t="n">
        <v>45891</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4527-2023</t>
        </is>
      </c>
      <c r="B646" s="1" t="n">
        <v>44956</v>
      </c>
      <c r="C646" s="1" t="n">
        <v>45891</v>
      </c>
      <c r="D646" t="inlineStr">
        <is>
          <t>KALMAR LÄN</t>
        </is>
      </c>
      <c r="E646" t="inlineStr">
        <is>
          <t>VIMMERBY</t>
        </is>
      </c>
      <c r="F646" t="inlineStr">
        <is>
          <t>Kommuner</t>
        </is>
      </c>
      <c r="G646" t="n">
        <v>8.5</v>
      </c>
      <c r="H646" t="n">
        <v>0</v>
      </c>
      <c r="I646" t="n">
        <v>0</v>
      </c>
      <c r="J646" t="n">
        <v>0</v>
      </c>
      <c r="K646" t="n">
        <v>0</v>
      </c>
      <c r="L646" t="n">
        <v>0</v>
      </c>
      <c r="M646" t="n">
        <v>0</v>
      </c>
      <c r="N646" t="n">
        <v>0</v>
      </c>
      <c r="O646" t="n">
        <v>0</v>
      </c>
      <c r="P646" t="n">
        <v>0</v>
      </c>
      <c r="Q646" t="n">
        <v>0</v>
      </c>
      <c r="R646" s="2" t="inlineStr"/>
    </row>
    <row r="647" ht="15" customHeight="1">
      <c r="A647" t="inlineStr">
        <is>
          <t>A 3268-2024</t>
        </is>
      </c>
      <c r="B647" s="1" t="n">
        <v>45317</v>
      </c>
      <c r="C647" s="1" t="n">
        <v>45891</v>
      </c>
      <c r="D647" t="inlineStr">
        <is>
          <t>KALMAR LÄN</t>
        </is>
      </c>
      <c r="E647" t="inlineStr">
        <is>
          <t>VIMMERBY</t>
        </is>
      </c>
      <c r="F647" t="inlineStr">
        <is>
          <t>Övriga Aktiebolag</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31355-2023</t>
        </is>
      </c>
      <c r="B648" s="1" t="n">
        <v>45114.49505787037</v>
      </c>
      <c r="C648" s="1" t="n">
        <v>45891</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35596-2025</t>
        </is>
      </c>
      <c r="B649" s="1" t="n">
        <v>45858.60641203704</v>
      </c>
      <c r="C649" s="1" t="n">
        <v>45891</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28290-2025</t>
        </is>
      </c>
      <c r="B650" s="1" t="n">
        <v>45818.59261574074</v>
      </c>
      <c r="C650" s="1" t="n">
        <v>45891</v>
      </c>
      <c r="D650" t="inlineStr">
        <is>
          <t>KALMAR LÄN</t>
        </is>
      </c>
      <c r="E650" t="inlineStr">
        <is>
          <t>VIMMERBY</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51408-2023</t>
        </is>
      </c>
      <c r="B651" s="1" t="n">
        <v>45219.69356481481</v>
      </c>
      <c r="C651" s="1" t="n">
        <v>45891</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18330-2023</t>
        </is>
      </c>
      <c r="B652" s="1" t="n">
        <v>45041</v>
      </c>
      <c r="C652" s="1" t="n">
        <v>45891</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28280-2025</t>
        </is>
      </c>
      <c r="B653" s="1" t="n">
        <v>45818.5862037037</v>
      </c>
      <c r="C653" s="1" t="n">
        <v>45891</v>
      </c>
      <c r="D653" t="inlineStr">
        <is>
          <t>KALMAR LÄN</t>
        </is>
      </c>
      <c r="E653" t="inlineStr">
        <is>
          <t>VIMMERBY</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28286-2025</t>
        </is>
      </c>
      <c r="B654" s="1" t="n">
        <v>45818.58993055556</v>
      </c>
      <c r="C654" s="1" t="n">
        <v>45891</v>
      </c>
      <c r="D654" t="inlineStr">
        <is>
          <t>KALMAR LÄN</t>
        </is>
      </c>
      <c r="E654" t="inlineStr">
        <is>
          <t>VIMMERBY</t>
        </is>
      </c>
      <c r="F654" t="inlineStr">
        <is>
          <t>Sveaskog</t>
        </is>
      </c>
      <c r="G654" t="n">
        <v>8</v>
      </c>
      <c r="H654" t="n">
        <v>0</v>
      </c>
      <c r="I654" t="n">
        <v>0</v>
      </c>
      <c r="J654" t="n">
        <v>0</v>
      </c>
      <c r="K654" t="n">
        <v>0</v>
      </c>
      <c r="L654" t="n">
        <v>0</v>
      </c>
      <c r="M654" t="n">
        <v>0</v>
      </c>
      <c r="N654" t="n">
        <v>0</v>
      </c>
      <c r="O654" t="n">
        <v>0</v>
      </c>
      <c r="P654" t="n">
        <v>0</v>
      </c>
      <c r="Q654" t="n">
        <v>0</v>
      </c>
      <c r="R654" s="2" t="inlineStr"/>
    </row>
    <row r="655" ht="15" customHeight="1">
      <c r="A655" t="inlineStr">
        <is>
          <t>A 35597-2025</t>
        </is>
      </c>
      <c r="B655" s="1" t="n">
        <v>45858.66019675926</v>
      </c>
      <c r="C655" s="1" t="n">
        <v>45891</v>
      </c>
      <c r="D655" t="inlineStr">
        <is>
          <t>KALMAR LÄN</t>
        </is>
      </c>
      <c r="E655" t="inlineStr">
        <is>
          <t>VIMMERBY</t>
        </is>
      </c>
      <c r="G655" t="n">
        <v>6.4</v>
      </c>
      <c r="H655" t="n">
        <v>0</v>
      </c>
      <c r="I655" t="n">
        <v>0</v>
      </c>
      <c r="J655" t="n">
        <v>0</v>
      </c>
      <c r="K655" t="n">
        <v>0</v>
      </c>
      <c r="L655" t="n">
        <v>0</v>
      </c>
      <c r="M655" t="n">
        <v>0</v>
      </c>
      <c r="N655" t="n">
        <v>0</v>
      </c>
      <c r="O655" t="n">
        <v>0</v>
      </c>
      <c r="P655" t="n">
        <v>0</v>
      </c>
      <c r="Q655" t="n">
        <v>0</v>
      </c>
      <c r="R655" s="2" t="inlineStr"/>
    </row>
    <row r="656" ht="15" customHeight="1">
      <c r="A656" t="inlineStr">
        <is>
          <t>A 12480-2024</t>
        </is>
      </c>
      <c r="B656" s="1" t="n">
        <v>45379</v>
      </c>
      <c r="C656" s="1" t="n">
        <v>45891</v>
      </c>
      <c r="D656" t="inlineStr">
        <is>
          <t>KALMAR LÄN</t>
        </is>
      </c>
      <c r="E656" t="inlineStr">
        <is>
          <t>VIMMERBY</t>
        </is>
      </c>
      <c r="G656" t="n">
        <v>2.8</v>
      </c>
      <c r="H656" t="n">
        <v>0</v>
      </c>
      <c r="I656" t="n">
        <v>0</v>
      </c>
      <c r="J656" t="n">
        <v>0</v>
      </c>
      <c r="K656" t="n">
        <v>0</v>
      </c>
      <c r="L656" t="n">
        <v>0</v>
      </c>
      <c r="M656" t="n">
        <v>0</v>
      </c>
      <c r="N656" t="n">
        <v>0</v>
      </c>
      <c r="O656" t="n">
        <v>0</v>
      </c>
      <c r="P656" t="n">
        <v>0</v>
      </c>
      <c r="Q656" t="n">
        <v>0</v>
      </c>
      <c r="R656" s="2" t="inlineStr"/>
    </row>
    <row r="657" ht="15" customHeight="1">
      <c r="A657" t="inlineStr">
        <is>
          <t>A 58100-2024</t>
        </is>
      </c>
      <c r="B657" s="1" t="n">
        <v>45632.36706018518</v>
      </c>
      <c r="C657" s="1" t="n">
        <v>45891</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27993-2022</t>
        </is>
      </c>
      <c r="B658" s="1" t="n">
        <v>44745.84396990741</v>
      </c>
      <c r="C658" s="1" t="n">
        <v>45891</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38969-2023</t>
        </is>
      </c>
      <c r="B659" s="1" t="n">
        <v>45163.63621527778</v>
      </c>
      <c r="C659" s="1" t="n">
        <v>45891</v>
      </c>
      <c r="D659" t="inlineStr">
        <is>
          <t>KALMAR LÄN</t>
        </is>
      </c>
      <c r="E659" t="inlineStr">
        <is>
          <t>VIMMERBY</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28282-2025</t>
        </is>
      </c>
      <c r="B660" s="1" t="n">
        <v>45818.58769675926</v>
      </c>
      <c r="C660" s="1" t="n">
        <v>45891</v>
      </c>
      <c r="D660" t="inlineStr">
        <is>
          <t>KALMAR LÄN</t>
        </is>
      </c>
      <c r="E660" t="inlineStr">
        <is>
          <t>VIMMERBY</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28294-2025</t>
        </is>
      </c>
      <c r="B661" s="1" t="n">
        <v>45818.595625</v>
      </c>
      <c r="C661" s="1" t="n">
        <v>45891</v>
      </c>
      <c r="D661" t="inlineStr">
        <is>
          <t>KALMAR LÄN</t>
        </is>
      </c>
      <c r="E661" t="inlineStr">
        <is>
          <t>VIMMERBY</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28112-2025</t>
        </is>
      </c>
      <c r="B662" s="1" t="n">
        <v>45817.88496527778</v>
      </c>
      <c r="C662" s="1" t="n">
        <v>45891</v>
      </c>
      <c r="D662" t="inlineStr">
        <is>
          <t>KALMAR LÄN</t>
        </is>
      </c>
      <c r="E662" t="inlineStr">
        <is>
          <t>VIMMERBY</t>
        </is>
      </c>
      <c r="G662" t="n">
        <v>2.1</v>
      </c>
      <c r="H662" t="n">
        <v>0</v>
      </c>
      <c r="I662" t="n">
        <v>0</v>
      </c>
      <c r="J662" t="n">
        <v>0</v>
      </c>
      <c r="K662" t="n">
        <v>0</v>
      </c>
      <c r="L662" t="n">
        <v>0</v>
      </c>
      <c r="M662" t="n">
        <v>0</v>
      </c>
      <c r="N662" t="n">
        <v>0</v>
      </c>
      <c r="O662" t="n">
        <v>0</v>
      </c>
      <c r="P662" t="n">
        <v>0</v>
      </c>
      <c r="Q662" t="n">
        <v>0</v>
      </c>
      <c r="R662" s="2" t="inlineStr"/>
    </row>
    <row r="663" ht="15" customHeight="1">
      <c r="A663" t="inlineStr">
        <is>
          <t>A 53752-2024</t>
        </is>
      </c>
      <c r="B663" s="1" t="n">
        <v>45615.48927083334</v>
      </c>
      <c r="C663" s="1" t="n">
        <v>45891</v>
      </c>
      <c r="D663" t="inlineStr">
        <is>
          <t>KALMAR LÄN</t>
        </is>
      </c>
      <c r="E663" t="inlineStr">
        <is>
          <t>VIMMERBY</t>
        </is>
      </c>
      <c r="G663" t="n">
        <v>2.4</v>
      </c>
      <c r="H663" t="n">
        <v>0</v>
      </c>
      <c r="I663" t="n">
        <v>0</v>
      </c>
      <c r="J663" t="n">
        <v>0</v>
      </c>
      <c r="K663" t="n">
        <v>0</v>
      </c>
      <c r="L663" t="n">
        <v>0</v>
      </c>
      <c r="M663" t="n">
        <v>0</v>
      </c>
      <c r="N663" t="n">
        <v>0</v>
      </c>
      <c r="O663" t="n">
        <v>0</v>
      </c>
      <c r="P663" t="n">
        <v>0</v>
      </c>
      <c r="Q663" t="n">
        <v>0</v>
      </c>
      <c r="R663" s="2" t="inlineStr"/>
    </row>
    <row r="664" ht="15" customHeight="1">
      <c r="A664" t="inlineStr">
        <is>
          <t>A 52588-2023</t>
        </is>
      </c>
      <c r="B664" s="1" t="n">
        <v>45225.60192129629</v>
      </c>
      <c r="C664" s="1" t="n">
        <v>45891</v>
      </c>
      <c r="D664" t="inlineStr">
        <is>
          <t>KALMAR LÄN</t>
        </is>
      </c>
      <c r="E664" t="inlineStr">
        <is>
          <t>VIMMERBY</t>
        </is>
      </c>
      <c r="G664" t="n">
        <v>2.9</v>
      </c>
      <c r="H664" t="n">
        <v>0</v>
      </c>
      <c r="I664" t="n">
        <v>0</v>
      </c>
      <c r="J664" t="n">
        <v>0</v>
      </c>
      <c r="K664" t="n">
        <v>0</v>
      </c>
      <c r="L664" t="n">
        <v>0</v>
      </c>
      <c r="M664" t="n">
        <v>0</v>
      </c>
      <c r="N664" t="n">
        <v>0</v>
      </c>
      <c r="O664" t="n">
        <v>0</v>
      </c>
      <c r="P664" t="n">
        <v>0</v>
      </c>
      <c r="Q664" t="n">
        <v>0</v>
      </c>
      <c r="R664" s="2" t="inlineStr"/>
    </row>
    <row r="665" ht="15" customHeight="1">
      <c r="A665" t="inlineStr">
        <is>
          <t>A 55236-2023</t>
        </is>
      </c>
      <c r="B665" s="1" t="n">
        <v>45237.63225694445</v>
      </c>
      <c r="C665" s="1" t="n">
        <v>45891</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55245-2023</t>
        </is>
      </c>
      <c r="B666" s="1" t="n">
        <v>45237.64408564815</v>
      </c>
      <c r="C666" s="1" t="n">
        <v>45891</v>
      </c>
      <c r="D666" t="inlineStr">
        <is>
          <t>KALMAR LÄN</t>
        </is>
      </c>
      <c r="E666" t="inlineStr">
        <is>
          <t>VIMMERBY</t>
        </is>
      </c>
      <c r="G666" t="n">
        <v>1.3</v>
      </c>
      <c r="H666" t="n">
        <v>0</v>
      </c>
      <c r="I666" t="n">
        <v>0</v>
      </c>
      <c r="J666" t="n">
        <v>0</v>
      </c>
      <c r="K666" t="n">
        <v>0</v>
      </c>
      <c r="L666" t="n">
        <v>0</v>
      </c>
      <c r="M666" t="n">
        <v>0</v>
      </c>
      <c r="N666" t="n">
        <v>0</v>
      </c>
      <c r="O666" t="n">
        <v>0</v>
      </c>
      <c r="P666" t="n">
        <v>0</v>
      </c>
      <c r="Q666" t="n">
        <v>0</v>
      </c>
      <c r="R666" s="2" t="inlineStr"/>
    </row>
    <row r="667" ht="15" customHeight="1">
      <c r="A667" t="inlineStr">
        <is>
          <t>A 1018-2024</t>
        </is>
      </c>
      <c r="B667" s="1" t="n">
        <v>45301.67554398148</v>
      </c>
      <c r="C667" s="1" t="n">
        <v>45891</v>
      </c>
      <c r="D667" t="inlineStr">
        <is>
          <t>KALMAR LÄN</t>
        </is>
      </c>
      <c r="E667" t="inlineStr">
        <is>
          <t>VIMMERBY</t>
        </is>
      </c>
      <c r="G667" t="n">
        <v>2.1</v>
      </c>
      <c r="H667" t="n">
        <v>0</v>
      </c>
      <c r="I667" t="n">
        <v>0</v>
      </c>
      <c r="J667" t="n">
        <v>0</v>
      </c>
      <c r="K667" t="n">
        <v>0</v>
      </c>
      <c r="L667" t="n">
        <v>0</v>
      </c>
      <c r="M667" t="n">
        <v>0</v>
      </c>
      <c r="N667" t="n">
        <v>0</v>
      </c>
      <c r="O667" t="n">
        <v>0</v>
      </c>
      <c r="P667" t="n">
        <v>0</v>
      </c>
      <c r="Q667" t="n">
        <v>0</v>
      </c>
      <c r="R667" s="2" t="inlineStr"/>
    </row>
    <row r="668" ht="15" customHeight="1">
      <c r="A668" t="inlineStr">
        <is>
          <t>A 19111-2025</t>
        </is>
      </c>
      <c r="B668" s="1" t="n">
        <v>45768.65611111111</v>
      </c>
      <c r="C668" s="1" t="n">
        <v>45891</v>
      </c>
      <c r="D668" t="inlineStr">
        <is>
          <t>KALMAR LÄN</t>
        </is>
      </c>
      <c r="E668" t="inlineStr">
        <is>
          <t>VIMMERBY</t>
        </is>
      </c>
      <c r="G668" t="n">
        <v>6.2</v>
      </c>
      <c r="H668" t="n">
        <v>0</v>
      </c>
      <c r="I668" t="n">
        <v>0</v>
      </c>
      <c r="J668" t="n">
        <v>0</v>
      </c>
      <c r="K668" t="n">
        <v>0</v>
      </c>
      <c r="L668" t="n">
        <v>0</v>
      </c>
      <c r="M668" t="n">
        <v>0</v>
      </c>
      <c r="N668" t="n">
        <v>0</v>
      </c>
      <c r="O668" t="n">
        <v>0</v>
      </c>
      <c r="P668" t="n">
        <v>0</v>
      </c>
      <c r="Q668" t="n">
        <v>0</v>
      </c>
      <c r="R668" s="2" t="inlineStr"/>
    </row>
    <row r="669" ht="15" customHeight="1">
      <c r="A669" t="inlineStr">
        <is>
          <t>A 28713-2025</t>
        </is>
      </c>
      <c r="B669" s="1" t="n">
        <v>45820.33930555556</v>
      </c>
      <c r="C669" s="1" t="n">
        <v>45891</v>
      </c>
      <c r="D669" t="inlineStr">
        <is>
          <t>KALMAR LÄN</t>
        </is>
      </c>
      <c r="E669" t="inlineStr">
        <is>
          <t>VIMMERBY</t>
        </is>
      </c>
      <c r="G669" t="n">
        <v>2.3</v>
      </c>
      <c r="H669" t="n">
        <v>0</v>
      </c>
      <c r="I669" t="n">
        <v>0</v>
      </c>
      <c r="J669" t="n">
        <v>0</v>
      </c>
      <c r="K669" t="n">
        <v>0</v>
      </c>
      <c r="L669" t="n">
        <v>0</v>
      </c>
      <c r="M669" t="n">
        <v>0</v>
      </c>
      <c r="N669" t="n">
        <v>0</v>
      </c>
      <c r="O669" t="n">
        <v>0</v>
      </c>
      <c r="P669" t="n">
        <v>0</v>
      </c>
      <c r="Q669" t="n">
        <v>0</v>
      </c>
      <c r="R669" s="2" t="inlineStr"/>
    </row>
    <row r="670" ht="15" customHeight="1">
      <c r="A670" t="inlineStr">
        <is>
          <t>A 25370-2022</t>
        </is>
      </c>
      <c r="B670" s="1" t="n">
        <v>44732.3659837963</v>
      </c>
      <c r="C670" s="1" t="n">
        <v>45891</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28712-2025</t>
        </is>
      </c>
      <c r="B671" s="1" t="n">
        <v>45820.33708333333</v>
      </c>
      <c r="C671" s="1" t="n">
        <v>45891</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28714-2025</t>
        </is>
      </c>
      <c r="B672" s="1" t="n">
        <v>45820.34128472222</v>
      </c>
      <c r="C672" s="1" t="n">
        <v>45891</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28620-2025</t>
        </is>
      </c>
      <c r="B673" s="1" t="n">
        <v>45819.61060185185</v>
      </c>
      <c r="C673" s="1" t="n">
        <v>45891</v>
      </c>
      <c r="D673" t="inlineStr">
        <is>
          <t>KALMAR LÄN</t>
        </is>
      </c>
      <c r="E673" t="inlineStr">
        <is>
          <t>VIMMERBY</t>
        </is>
      </c>
      <c r="G673" t="n">
        <v>5.6</v>
      </c>
      <c r="H673" t="n">
        <v>0</v>
      </c>
      <c r="I673" t="n">
        <v>0</v>
      </c>
      <c r="J673" t="n">
        <v>0</v>
      </c>
      <c r="K673" t="n">
        <v>0</v>
      </c>
      <c r="L673" t="n">
        <v>0</v>
      </c>
      <c r="M673" t="n">
        <v>0</v>
      </c>
      <c r="N673" t="n">
        <v>0</v>
      </c>
      <c r="O673" t="n">
        <v>0</v>
      </c>
      <c r="P673" t="n">
        <v>0</v>
      </c>
      <c r="Q673" t="n">
        <v>0</v>
      </c>
      <c r="R673" s="2" t="inlineStr"/>
    </row>
    <row r="674" ht="15" customHeight="1">
      <c r="A674" t="inlineStr">
        <is>
          <t>A 58728-2024</t>
        </is>
      </c>
      <c r="B674" s="1" t="n">
        <v>45635.66695601852</v>
      </c>
      <c r="C674" s="1" t="n">
        <v>45891</v>
      </c>
      <c r="D674" t="inlineStr">
        <is>
          <t>KALMAR LÄN</t>
        </is>
      </c>
      <c r="E674" t="inlineStr">
        <is>
          <t>VIMMERBY</t>
        </is>
      </c>
      <c r="G674" t="n">
        <v>0.4</v>
      </c>
      <c r="H674" t="n">
        <v>0</v>
      </c>
      <c r="I674" t="n">
        <v>0</v>
      </c>
      <c r="J674" t="n">
        <v>0</v>
      </c>
      <c r="K674" t="n">
        <v>0</v>
      </c>
      <c r="L674" t="n">
        <v>0</v>
      </c>
      <c r="M674" t="n">
        <v>0</v>
      </c>
      <c r="N674" t="n">
        <v>0</v>
      </c>
      <c r="O674" t="n">
        <v>0</v>
      </c>
      <c r="P674" t="n">
        <v>0</v>
      </c>
      <c r="Q674" t="n">
        <v>0</v>
      </c>
      <c r="R674" s="2" t="inlineStr"/>
    </row>
    <row r="675" ht="15" customHeight="1">
      <c r="A675" t="inlineStr">
        <is>
          <t>A 43242-2024</t>
        </is>
      </c>
      <c r="B675" s="1" t="n">
        <v>45568.30189814815</v>
      </c>
      <c r="C675" s="1" t="n">
        <v>45891</v>
      </c>
      <c r="D675" t="inlineStr">
        <is>
          <t>KALMAR LÄN</t>
        </is>
      </c>
      <c r="E675" t="inlineStr">
        <is>
          <t>VIMMERBY</t>
        </is>
      </c>
      <c r="G675" t="n">
        <v>2.6</v>
      </c>
      <c r="H675" t="n">
        <v>0</v>
      </c>
      <c r="I675" t="n">
        <v>0</v>
      </c>
      <c r="J675" t="n">
        <v>0</v>
      </c>
      <c r="K675" t="n">
        <v>0</v>
      </c>
      <c r="L675" t="n">
        <v>0</v>
      </c>
      <c r="M675" t="n">
        <v>0</v>
      </c>
      <c r="N675" t="n">
        <v>0</v>
      </c>
      <c r="O675" t="n">
        <v>0</v>
      </c>
      <c r="P675" t="n">
        <v>0</v>
      </c>
      <c r="Q675" t="n">
        <v>0</v>
      </c>
      <c r="R675" s="2" t="inlineStr"/>
    </row>
    <row r="676" ht="15" customHeight="1">
      <c r="A676" t="inlineStr">
        <is>
          <t>A 16983-2023</t>
        </is>
      </c>
      <c r="B676" s="1" t="n">
        <v>45033.76043981482</v>
      </c>
      <c r="C676" s="1" t="n">
        <v>45891</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6405-2025</t>
        </is>
      </c>
      <c r="B677" s="1" t="n">
        <v>45699.45392361111</v>
      </c>
      <c r="C677" s="1" t="n">
        <v>45891</v>
      </c>
      <c r="D677" t="inlineStr">
        <is>
          <t>KALMAR LÄN</t>
        </is>
      </c>
      <c r="E677" t="inlineStr">
        <is>
          <t>VIMMERBY</t>
        </is>
      </c>
      <c r="G677" t="n">
        <v>1.2</v>
      </c>
      <c r="H677" t="n">
        <v>0</v>
      </c>
      <c r="I677" t="n">
        <v>0</v>
      </c>
      <c r="J677" t="n">
        <v>0</v>
      </c>
      <c r="K677" t="n">
        <v>0</v>
      </c>
      <c r="L677" t="n">
        <v>0</v>
      </c>
      <c r="M677" t="n">
        <v>0</v>
      </c>
      <c r="N677" t="n">
        <v>0</v>
      </c>
      <c r="O677" t="n">
        <v>0</v>
      </c>
      <c r="P677" t="n">
        <v>0</v>
      </c>
      <c r="Q677" t="n">
        <v>0</v>
      </c>
      <c r="R677" s="2" t="inlineStr"/>
    </row>
    <row r="678" ht="15" customHeight="1">
      <c r="A678" t="inlineStr">
        <is>
          <t>A 36843-2023</t>
        </is>
      </c>
      <c r="B678" s="1" t="n">
        <v>45154.49831018518</v>
      </c>
      <c r="C678" s="1" t="n">
        <v>45891</v>
      </c>
      <c r="D678" t="inlineStr">
        <is>
          <t>KALMAR LÄN</t>
        </is>
      </c>
      <c r="E678" t="inlineStr">
        <is>
          <t>VIMMERBY</t>
        </is>
      </c>
      <c r="G678" t="n">
        <v>2</v>
      </c>
      <c r="H678" t="n">
        <v>0</v>
      </c>
      <c r="I678" t="n">
        <v>0</v>
      </c>
      <c r="J678" t="n">
        <v>0</v>
      </c>
      <c r="K678" t="n">
        <v>0</v>
      </c>
      <c r="L678" t="n">
        <v>0</v>
      </c>
      <c r="M678" t="n">
        <v>0</v>
      </c>
      <c r="N678" t="n">
        <v>0</v>
      </c>
      <c r="O678" t="n">
        <v>0</v>
      </c>
      <c r="P678" t="n">
        <v>0</v>
      </c>
      <c r="Q678" t="n">
        <v>0</v>
      </c>
      <c r="R678" s="2" t="inlineStr"/>
    </row>
    <row r="679" ht="15" customHeight="1">
      <c r="A679" t="inlineStr">
        <is>
          <t>A 33838-2022</t>
        </is>
      </c>
      <c r="B679" s="1" t="n">
        <v>44790.49040509259</v>
      </c>
      <c r="C679" s="1" t="n">
        <v>45891</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4058-2024</t>
        </is>
      </c>
      <c r="B680" s="1" t="n">
        <v>45323.53744212963</v>
      </c>
      <c r="C680" s="1" t="n">
        <v>45891</v>
      </c>
      <c r="D680" t="inlineStr">
        <is>
          <t>KALMAR LÄN</t>
        </is>
      </c>
      <c r="E680" t="inlineStr">
        <is>
          <t>VIMMERBY</t>
        </is>
      </c>
      <c r="G680" t="n">
        <v>6.5</v>
      </c>
      <c r="H680" t="n">
        <v>0</v>
      </c>
      <c r="I680" t="n">
        <v>0</v>
      </c>
      <c r="J680" t="n">
        <v>0</v>
      </c>
      <c r="K680" t="n">
        <v>0</v>
      </c>
      <c r="L680" t="n">
        <v>0</v>
      </c>
      <c r="M680" t="n">
        <v>0</v>
      </c>
      <c r="N680" t="n">
        <v>0</v>
      </c>
      <c r="O680" t="n">
        <v>0</v>
      </c>
      <c r="P680" t="n">
        <v>0</v>
      </c>
      <c r="Q680" t="n">
        <v>0</v>
      </c>
      <c r="R680" s="2" t="inlineStr"/>
    </row>
    <row r="681" ht="15" customHeight="1">
      <c r="A681" t="inlineStr">
        <is>
          <t>A 36008-2024</t>
        </is>
      </c>
      <c r="B681" s="1" t="n">
        <v>45533.55362268518</v>
      </c>
      <c r="C681" s="1" t="n">
        <v>45891</v>
      </c>
      <c r="D681" t="inlineStr">
        <is>
          <t>KALMAR LÄN</t>
        </is>
      </c>
      <c r="E681" t="inlineStr">
        <is>
          <t>VIMMERBY</t>
        </is>
      </c>
      <c r="G681" t="n">
        <v>3.7</v>
      </c>
      <c r="H681" t="n">
        <v>0</v>
      </c>
      <c r="I681" t="n">
        <v>0</v>
      </c>
      <c r="J681" t="n">
        <v>0</v>
      </c>
      <c r="K681" t="n">
        <v>0</v>
      </c>
      <c r="L681" t="n">
        <v>0</v>
      </c>
      <c r="M681" t="n">
        <v>0</v>
      </c>
      <c r="N681" t="n">
        <v>0</v>
      </c>
      <c r="O681" t="n">
        <v>0</v>
      </c>
      <c r="P681" t="n">
        <v>0</v>
      </c>
      <c r="Q681" t="n">
        <v>0</v>
      </c>
      <c r="R681" s="2" t="inlineStr"/>
    </row>
    <row r="682" ht="15" customHeight="1">
      <c r="A682" t="inlineStr">
        <is>
          <t>A 18669-2025</t>
        </is>
      </c>
      <c r="B682" s="1" t="n">
        <v>45763.59436342592</v>
      </c>
      <c r="C682" s="1" t="n">
        <v>45891</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8540-2024</t>
        </is>
      </c>
      <c r="B683" s="1" t="n">
        <v>45355.54138888889</v>
      </c>
      <c r="C683" s="1" t="n">
        <v>45891</v>
      </c>
      <c r="D683" t="inlineStr">
        <is>
          <t>KALMAR LÄN</t>
        </is>
      </c>
      <c r="E683" t="inlineStr">
        <is>
          <t>VIMMERBY</t>
        </is>
      </c>
      <c r="G683" t="n">
        <v>1.9</v>
      </c>
      <c r="H683" t="n">
        <v>0</v>
      </c>
      <c r="I683" t="n">
        <v>0</v>
      </c>
      <c r="J683" t="n">
        <v>0</v>
      </c>
      <c r="K683" t="n">
        <v>0</v>
      </c>
      <c r="L683" t="n">
        <v>0</v>
      </c>
      <c r="M683" t="n">
        <v>0</v>
      </c>
      <c r="N683" t="n">
        <v>0</v>
      </c>
      <c r="O683" t="n">
        <v>0</v>
      </c>
      <c r="P683" t="n">
        <v>0</v>
      </c>
      <c r="Q683" t="n">
        <v>0</v>
      </c>
      <c r="R683" s="2" t="inlineStr"/>
    </row>
    <row r="684" ht="15" customHeight="1">
      <c r="A684" t="inlineStr">
        <is>
          <t>A 9623-2024</t>
        </is>
      </c>
      <c r="B684" s="1" t="n">
        <v>45361.87975694444</v>
      </c>
      <c r="C684" s="1" t="n">
        <v>45891</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57486-2024</t>
        </is>
      </c>
      <c r="B685" s="1" t="n">
        <v>45630.35827546296</v>
      </c>
      <c r="C685" s="1" t="n">
        <v>45891</v>
      </c>
      <c r="D685" t="inlineStr">
        <is>
          <t>KALMAR LÄN</t>
        </is>
      </c>
      <c r="E685" t="inlineStr">
        <is>
          <t>VIMMERBY</t>
        </is>
      </c>
      <c r="G685" t="n">
        <v>0.4</v>
      </c>
      <c r="H685" t="n">
        <v>0</v>
      </c>
      <c r="I685" t="n">
        <v>0</v>
      </c>
      <c r="J685" t="n">
        <v>0</v>
      </c>
      <c r="K685" t="n">
        <v>0</v>
      </c>
      <c r="L685" t="n">
        <v>0</v>
      </c>
      <c r="M685" t="n">
        <v>0</v>
      </c>
      <c r="N685" t="n">
        <v>0</v>
      </c>
      <c r="O685" t="n">
        <v>0</v>
      </c>
      <c r="P685" t="n">
        <v>0</v>
      </c>
      <c r="Q685" t="n">
        <v>0</v>
      </c>
      <c r="R685" s="2" t="inlineStr"/>
    </row>
    <row r="686" ht="15" customHeight="1">
      <c r="A686" t="inlineStr">
        <is>
          <t>A 5146-2024</t>
        </is>
      </c>
      <c r="B686" s="1" t="n">
        <v>45330</v>
      </c>
      <c r="C686" s="1" t="n">
        <v>45891</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5148-2024</t>
        </is>
      </c>
      <c r="B687" s="1" t="n">
        <v>45330</v>
      </c>
      <c r="C687" s="1" t="n">
        <v>45891</v>
      </c>
      <c r="D687" t="inlineStr">
        <is>
          <t>KALMAR LÄN</t>
        </is>
      </c>
      <c r="E687" t="inlineStr">
        <is>
          <t>VIMMERBY</t>
        </is>
      </c>
      <c r="G687" t="n">
        <v>5.6</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44839.4528125</v>
      </c>
      <c r="C688" s="1" t="n">
        <v>45891</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50648-2023</t>
        </is>
      </c>
      <c r="B689" s="1" t="n">
        <v>45217.47834490741</v>
      </c>
      <c r="C689" s="1" t="n">
        <v>45891</v>
      </c>
      <c r="D689" t="inlineStr">
        <is>
          <t>KALMAR LÄN</t>
        </is>
      </c>
      <c r="E689" t="inlineStr">
        <is>
          <t>VIMMERBY</t>
        </is>
      </c>
      <c r="G689" t="n">
        <v>1.6</v>
      </c>
      <c r="H689" t="n">
        <v>0</v>
      </c>
      <c r="I689" t="n">
        <v>0</v>
      </c>
      <c r="J689" t="n">
        <v>0</v>
      </c>
      <c r="K689" t="n">
        <v>0</v>
      </c>
      <c r="L689" t="n">
        <v>0</v>
      </c>
      <c r="M689" t="n">
        <v>0</v>
      </c>
      <c r="N689" t="n">
        <v>0</v>
      </c>
      <c r="O689" t="n">
        <v>0</v>
      </c>
      <c r="P689" t="n">
        <v>0</v>
      </c>
      <c r="Q689" t="n">
        <v>0</v>
      </c>
      <c r="R689" s="2" t="inlineStr"/>
    </row>
    <row r="690" ht="15" customHeight="1">
      <c r="A690" t="inlineStr">
        <is>
          <t>A 66295-2020</t>
        </is>
      </c>
      <c r="B690" s="1" t="n">
        <v>44176</v>
      </c>
      <c r="C690" s="1" t="n">
        <v>45891</v>
      </c>
      <c r="D690" t="inlineStr">
        <is>
          <t>KALMAR LÄN</t>
        </is>
      </c>
      <c r="E690" t="inlineStr">
        <is>
          <t>VIMMERBY</t>
        </is>
      </c>
      <c r="G690" t="n">
        <v>4.1</v>
      </c>
      <c r="H690" t="n">
        <v>0</v>
      </c>
      <c r="I690" t="n">
        <v>0</v>
      </c>
      <c r="J690" t="n">
        <v>0</v>
      </c>
      <c r="K690" t="n">
        <v>0</v>
      </c>
      <c r="L690" t="n">
        <v>0</v>
      </c>
      <c r="M690" t="n">
        <v>0</v>
      </c>
      <c r="N690" t="n">
        <v>0</v>
      </c>
      <c r="O690" t="n">
        <v>0</v>
      </c>
      <c r="P690" t="n">
        <v>0</v>
      </c>
      <c r="Q690" t="n">
        <v>0</v>
      </c>
      <c r="R690" s="2" t="inlineStr"/>
    </row>
    <row r="691" ht="15" customHeight="1">
      <c r="A691" t="inlineStr">
        <is>
          <t>A 29727-2025</t>
        </is>
      </c>
      <c r="B691" s="1" t="n">
        <v>45825.5796875</v>
      </c>
      <c r="C691" s="1" t="n">
        <v>45891</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29737-2025</t>
        </is>
      </c>
      <c r="B692" s="1" t="n">
        <v>45825.58672453704</v>
      </c>
      <c r="C692" s="1" t="n">
        <v>45891</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36226-2025</t>
        </is>
      </c>
      <c r="B693" s="1" t="n">
        <v>45867.51630787037</v>
      </c>
      <c r="C693" s="1" t="n">
        <v>45891</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2121-2022</t>
        </is>
      </c>
      <c r="B694" s="1" t="n">
        <v>44578.32717592592</v>
      </c>
      <c r="C694" s="1" t="n">
        <v>45891</v>
      </c>
      <c r="D694" t="inlineStr">
        <is>
          <t>KALMAR LÄN</t>
        </is>
      </c>
      <c r="E694" t="inlineStr">
        <is>
          <t>VIMMERBY</t>
        </is>
      </c>
      <c r="G694" t="n">
        <v>2</v>
      </c>
      <c r="H694" t="n">
        <v>0</v>
      </c>
      <c r="I694" t="n">
        <v>0</v>
      </c>
      <c r="J694" t="n">
        <v>0</v>
      </c>
      <c r="K694" t="n">
        <v>0</v>
      </c>
      <c r="L694" t="n">
        <v>0</v>
      </c>
      <c r="M694" t="n">
        <v>0</v>
      </c>
      <c r="N694" t="n">
        <v>0</v>
      </c>
      <c r="O694" t="n">
        <v>0</v>
      </c>
      <c r="P694" t="n">
        <v>0</v>
      </c>
      <c r="Q694" t="n">
        <v>0</v>
      </c>
      <c r="R694" s="2" t="inlineStr"/>
    </row>
    <row r="695" ht="15" customHeight="1">
      <c r="A695" t="inlineStr">
        <is>
          <t>A 36246-2025</t>
        </is>
      </c>
      <c r="B695" s="1" t="n">
        <v>45867.56320601852</v>
      </c>
      <c r="C695" s="1" t="n">
        <v>45891</v>
      </c>
      <c r="D695" t="inlineStr">
        <is>
          <t>KALMAR LÄN</t>
        </is>
      </c>
      <c r="E695" t="inlineStr">
        <is>
          <t>VIMMERBY</t>
        </is>
      </c>
      <c r="G695" t="n">
        <v>1</v>
      </c>
      <c r="H695" t="n">
        <v>0</v>
      </c>
      <c r="I695" t="n">
        <v>0</v>
      </c>
      <c r="J695" t="n">
        <v>0</v>
      </c>
      <c r="K695" t="n">
        <v>0</v>
      </c>
      <c r="L695" t="n">
        <v>0</v>
      </c>
      <c r="M695" t="n">
        <v>0</v>
      </c>
      <c r="N695" t="n">
        <v>0</v>
      </c>
      <c r="O695" t="n">
        <v>0</v>
      </c>
      <c r="P695" t="n">
        <v>0</v>
      </c>
      <c r="Q695" t="n">
        <v>0</v>
      </c>
      <c r="R695" s="2" t="inlineStr"/>
    </row>
    <row r="696" ht="15" customHeight="1">
      <c r="A696" t="inlineStr">
        <is>
          <t>A 36273-2025</t>
        </is>
      </c>
      <c r="B696" s="1" t="n">
        <v>45867.63094907408</v>
      </c>
      <c r="C696" s="1" t="n">
        <v>45891</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36221-2025</t>
        </is>
      </c>
      <c r="B697" s="1" t="n">
        <v>45867.50792824074</v>
      </c>
      <c r="C697" s="1" t="n">
        <v>45891</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44423-2023</t>
        </is>
      </c>
      <c r="B698" s="1" t="n">
        <v>45189</v>
      </c>
      <c r="C698" s="1" t="n">
        <v>45891</v>
      </c>
      <c r="D698" t="inlineStr">
        <is>
          <t>KALMAR LÄN</t>
        </is>
      </c>
      <c r="E698" t="inlineStr">
        <is>
          <t>VIMMERBY</t>
        </is>
      </c>
      <c r="G698" t="n">
        <v>0.7</v>
      </c>
      <c r="H698" t="n">
        <v>0</v>
      </c>
      <c r="I698" t="n">
        <v>0</v>
      </c>
      <c r="J698" t="n">
        <v>0</v>
      </c>
      <c r="K698" t="n">
        <v>0</v>
      </c>
      <c r="L698" t="n">
        <v>0</v>
      </c>
      <c r="M698" t="n">
        <v>0</v>
      </c>
      <c r="N698" t="n">
        <v>0</v>
      </c>
      <c r="O698" t="n">
        <v>0</v>
      </c>
      <c r="P698" t="n">
        <v>0</v>
      </c>
      <c r="Q698" t="n">
        <v>0</v>
      </c>
      <c r="R698" s="2" t="inlineStr"/>
    </row>
    <row r="699" ht="15" customHeight="1">
      <c r="A699" t="inlineStr">
        <is>
          <t>A 36297-2025</t>
        </is>
      </c>
      <c r="B699" s="1" t="n">
        <v>45867.68625</v>
      </c>
      <c r="C699" s="1" t="n">
        <v>45891</v>
      </c>
      <c r="D699" t="inlineStr">
        <is>
          <t>KALMAR LÄN</t>
        </is>
      </c>
      <c r="E699" t="inlineStr">
        <is>
          <t>VIMMERBY</t>
        </is>
      </c>
      <c r="G699" t="n">
        <v>4.9</v>
      </c>
      <c r="H699" t="n">
        <v>0</v>
      </c>
      <c r="I699" t="n">
        <v>0</v>
      </c>
      <c r="J699" t="n">
        <v>0</v>
      </c>
      <c r="K699" t="n">
        <v>0</v>
      </c>
      <c r="L699" t="n">
        <v>0</v>
      </c>
      <c r="M699" t="n">
        <v>0</v>
      </c>
      <c r="N699" t="n">
        <v>0</v>
      </c>
      <c r="O699" t="n">
        <v>0</v>
      </c>
      <c r="P699" t="n">
        <v>0</v>
      </c>
      <c r="Q699" t="n">
        <v>0</v>
      </c>
      <c r="R699" s="2" t="inlineStr"/>
    </row>
    <row r="700" ht="15" customHeight="1">
      <c r="A700" t="inlineStr">
        <is>
          <t>A 36299-2025</t>
        </is>
      </c>
      <c r="B700" s="1" t="n">
        <v>45867.69346064814</v>
      </c>
      <c r="C700" s="1" t="n">
        <v>45891</v>
      </c>
      <c r="D700" t="inlineStr">
        <is>
          <t>KALMAR LÄN</t>
        </is>
      </c>
      <c r="E700" t="inlineStr">
        <is>
          <t>VIMMERBY</t>
        </is>
      </c>
      <c r="G700" t="n">
        <v>7.6</v>
      </c>
      <c r="H700" t="n">
        <v>0</v>
      </c>
      <c r="I700" t="n">
        <v>0</v>
      </c>
      <c r="J700" t="n">
        <v>0</v>
      </c>
      <c r="K700" t="n">
        <v>0</v>
      </c>
      <c r="L700" t="n">
        <v>0</v>
      </c>
      <c r="M700" t="n">
        <v>0</v>
      </c>
      <c r="N700" t="n">
        <v>0</v>
      </c>
      <c r="O700" t="n">
        <v>0</v>
      </c>
      <c r="P700" t="n">
        <v>0</v>
      </c>
      <c r="Q700" t="n">
        <v>0</v>
      </c>
      <c r="R700" s="2" t="inlineStr"/>
    </row>
    <row r="701" ht="15" customHeight="1">
      <c r="A701" t="inlineStr">
        <is>
          <t>A 57799-2022</t>
        </is>
      </c>
      <c r="B701" s="1" t="n">
        <v>44897</v>
      </c>
      <c r="C701" s="1" t="n">
        <v>45891</v>
      </c>
      <c r="D701" t="inlineStr">
        <is>
          <t>KALMAR LÄN</t>
        </is>
      </c>
      <c r="E701" t="inlineStr">
        <is>
          <t>VIMMERBY</t>
        </is>
      </c>
      <c r="G701" t="n">
        <v>1.4</v>
      </c>
      <c r="H701" t="n">
        <v>0</v>
      </c>
      <c r="I701" t="n">
        <v>0</v>
      </c>
      <c r="J701" t="n">
        <v>0</v>
      </c>
      <c r="K701" t="n">
        <v>0</v>
      </c>
      <c r="L701" t="n">
        <v>0</v>
      </c>
      <c r="M701" t="n">
        <v>0</v>
      </c>
      <c r="N701" t="n">
        <v>0</v>
      </c>
      <c r="O701" t="n">
        <v>0</v>
      </c>
      <c r="P701" t="n">
        <v>0</v>
      </c>
      <c r="Q701" t="n">
        <v>0</v>
      </c>
      <c r="R701" s="2" t="inlineStr"/>
    </row>
    <row r="702" ht="15" customHeight="1">
      <c r="A702" t="inlineStr">
        <is>
          <t>A 15394-2025</t>
        </is>
      </c>
      <c r="B702" s="1" t="n">
        <v>45747.43196759259</v>
      </c>
      <c r="C702" s="1" t="n">
        <v>45891</v>
      </c>
      <c r="D702" t="inlineStr">
        <is>
          <t>KALMAR LÄN</t>
        </is>
      </c>
      <c r="E702" t="inlineStr">
        <is>
          <t>VIMMERBY</t>
        </is>
      </c>
      <c r="G702" t="n">
        <v>0.8</v>
      </c>
      <c r="H702" t="n">
        <v>0</v>
      </c>
      <c r="I702" t="n">
        <v>0</v>
      </c>
      <c r="J702" t="n">
        <v>0</v>
      </c>
      <c r="K702" t="n">
        <v>0</v>
      </c>
      <c r="L702" t="n">
        <v>0</v>
      </c>
      <c r="M702" t="n">
        <v>0</v>
      </c>
      <c r="N702" t="n">
        <v>0</v>
      </c>
      <c r="O702" t="n">
        <v>0</v>
      </c>
      <c r="P702" t="n">
        <v>0</v>
      </c>
      <c r="Q702" t="n">
        <v>0</v>
      </c>
      <c r="R702" s="2" t="inlineStr"/>
    </row>
    <row r="703" ht="15" customHeight="1">
      <c r="A703" t="inlineStr">
        <is>
          <t>A 20-2025</t>
        </is>
      </c>
      <c r="B703" s="1" t="n">
        <v>45658.80232638889</v>
      </c>
      <c r="C703" s="1" t="n">
        <v>45891</v>
      </c>
      <c r="D703" t="inlineStr">
        <is>
          <t>KALMAR LÄN</t>
        </is>
      </c>
      <c r="E703" t="inlineStr">
        <is>
          <t>VIMMERBY</t>
        </is>
      </c>
      <c r="G703" t="n">
        <v>1.3</v>
      </c>
      <c r="H703" t="n">
        <v>0</v>
      </c>
      <c r="I703" t="n">
        <v>0</v>
      </c>
      <c r="J703" t="n">
        <v>0</v>
      </c>
      <c r="K703" t="n">
        <v>0</v>
      </c>
      <c r="L703" t="n">
        <v>0</v>
      </c>
      <c r="M703" t="n">
        <v>0</v>
      </c>
      <c r="N703" t="n">
        <v>0</v>
      </c>
      <c r="O703" t="n">
        <v>0</v>
      </c>
      <c r="P703" t="n">
        <v>0</v>
      </c>
      <c r="Q703" t="n">
        <v>0</v>
      </c>
      <c r="R703" s="2" t="inlineStr"/>
    </row>
    <row r="704" ht="15" customHeight="1">
      <c r="A704" t="inlineStr">
        <is>
          <t>A 23-2025</t>
        </is>
      </c>
      <c r="B704" s="1" t="n">
        <v>45658.80827546296</v>
      </c>
      <c r="C704" s="1" t="n">
        <v>45891</v>
      </c>
      <c r="D704" t="inlineStr">
        <is>
          <t>KALMAR LÄN</t>
        </is>
      </c>
      <c r="E704" t="inlineStr">
        <is>
          <t>VIMMERBY</t>
        </is>
      </c>
      <c r="G704" t="n">
        <v>1.8</v>
      </c>
      <c r="H704" t="n">
        <v>0</v>
      </c>
      <c r="I704" t="n">
        <v>0</v>
      </c>
      <c r="J704" t="n">
        <v>0</v>
      </c>
      <c r="K704" t="n">
        <v>0</v>
      </c>
      <c r="L704" t="n">
        <v>0</v>
      </c>
      <c r="M704" t="n">
        <v>0</v>
      </c>
      <c r="N704" t="n">
        <v>0</v>
      </c>
      <c r="O704" t="n">
        <v>0</v>
      </c>
      <c r="P704" t="n">
        <v>0</v>
      </c>
      <c r="Q704" t="n">
        <v>0</v>
      </c>
      <c r="R704" s="2" t="inlineStr"/>
    </row>
    <row r="705" ht="15" customHeight="1">
      <c r="A705" t="inlineStr">
        <is>
          <t>A 21496-2023</t>
        </is>
      </c>
      <c r="B705" s="1" t="n">
        <v>45063.49936342592</v>
      </c>
      <c r="C705" s="1" t="n">
        <v>45891</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26318-2023</t>
        </is>
      </c>
      <c r="B706" s="1" t="n">
        <v>45091.67936342592</v>
      </c>
      <c r="C706" s="1" t="n">
        <v>45891</v>
      </c>
      <c r="D706" t="inlineStr">
        <is>
          <t>KALMAR LÄN</t>
        </is>
      </c>
      <c r="E706" t="inlineStr">
        <is>
          <t>VIMMERBY</t>
        </is>
      </c>
      <c r="G706" t="n">
        <v>3.8</v>
      </c>
      <c r="H706" t="n">
        <v>0</v>
      </c>
      <c r="I706" t="n">
        <v>0</v>
      </c>
      <c r="J706" t="n">
        <v>0</v>
      </c>
      <c r="K706" t="n">
        <v>0</v>
      </c>
      <c r="L706" t="n">
        <v>0</v>
      </c>
      <c r="M706" t="n">
        <v>0</v>
      </c>
      <c r="N706" t="n">
        <v>0</v>
      </c>
      <c r="O706" t="n">
        <v>0</v>
      </c>
      <c r="P706" t="n">
        <v>0</v>
      </c>
      <c r="Q706" t="n">
        <v>0</v>
      </c>
      <c r="R706" s="2" t="inlineStr"/>
    </row>
    <row r="707" ht="15" customHeight="1">
      <c r="A707" t="inlineStr">
        <is>
          <t>A 60437-2023</t>
        </is>
      </c>
      <c r="B707" s="1" t="n">
        <v>45259.51916666667</v>
      </c>
      <c r="C707" s="1" t="n">
        <v>45891</v>
      </c>
      <c r="D707" t="inlineStr">
        <is>
          <t>KALMAR LÄN</t>
        </is>
      </c>
      <c r="E707" t="inlineStr">
        <is>
          <t>VIMMERBY</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60438-2023</t>
        </is>
      </c>
      <c r="B708" s="1" t="n">
        <v>45259.52020833334</v>
      </c>
      <c r="C708" s="1" t="n">
        <v>45891</v>
      </c>
      <c r="D708" t="inlineStr">
        <is>
          <t>KALMAR LÄN</t>
        </is>
      </c>
      <c r="E708" t="inlineStr">
        <is>
          <t>VIMMERBY</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13076-2025</t>
        </is>
      </c>
      <c r="B709" s="1" t="n">
        <v>45734.62017361111</v>
      </c>
      <c r="C709" s="1" t="n">
        <v>45891</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31056-2022</t>
        </is>
      </c>
      <c r="B710" s="1" t="n">
        <v>44769.45805555556</v>
      </c>
      <c r="C710" s="1" t="n">
        <v>45891</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36282-2025</t>
        </is>
      </c>
      <c r="B711" s="1" t="n">
        <v>45867.64663194444</v>
      </c>
      <c r="C711" s="1" t="n">
        <v>45891</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29726-2025</t>
        </is>
      </c>
      <c r="B712" s="1" t="n">
        <v>45825.57805555555</v>
      </c>
      <c r="C712" s="1" t="n">
        <v>45891</v>
      </c>
      <c r="D712" t="inlineStr">
        <is>
          <t>KALMAR LÄN</t>
        </is>
      </c>
      <c r="E712" t="inlineStr">
        <is>
          <t>VIMMERBY</t>
        </is>
      </c>
      <c r="G712" t="n">
        <v>2</v>
      </c>
      <c r="H712" t="n">
        <v>0</v>
      </c>
      <c r="I712" t="n">
        <v>0</v>
      </c>
      <c r="J712" t="n">
        <v>0</v>
      </c>
      <c r="K712" t="n">
        <v>0</v>
      </c>
      <c r="L712" t="n">
        <v>0</v>
      </c>
      <c r="M712" t="n">
        <v>0</v>
      </c>
      <c r="N712" t="n">
        <v>0</v>
      </c>
      <c r="O712" t="n">
        <v>0</v>
      </c>
      <c r="P712" t="n">
        <v>0</v>
      </c>
      <c r="Q712" t="n">
        <v>0</v>
      </c>
      <c r="R712" s="2" t="inlineStr"/>
    </row>
    <row r="713" ht="15" customHeight="1">
      <c r="A713" t="inlineStr">
        <is>
          <t>A 29673-2025</t>
        </is>
      </c>
      <c r="B713" s="1" t="n">
        <v>45825.50280092593</v>
      </c>
      <c r="C713" s="1" t="n">
        <v>45891</v>
      </c>
      <c r="D713" t="inlineStr">
        <is>
          <t>KALMAR LÄN</t>
        </is>
      </c>
      <c r="E713" t="inlineStr">
        <is>
          <t>VIMMERBY</t>
        </is>
      </c>
      <c r="G713" t="n">
        <v>6.4</v>
      </c>
      <c r="H713" t="n">
        <v>0</v>
      </c>
      <c r="I713" t="n">
        <v>0</v>
      </c>
      <c r="J713" t="n">
        <v>0</v>
      </c>
      <c r="K713" t="n">
        <v>0</v>
      </c>
      <c r="L713" t="n">
        <v>0</v>
      </c>
      <c r="M713" t="n">
        <v>0</v>
      </c>
      <c r="N713" t="n">
        <v>0</v>
      </c>
      <c r="O713" t="n">
        <v>0</v>
      </c>
      <c r="P713" t="n">
        <v>0</v>
      </c>
      <c r="Q713" t="n">
        <v>0</v>
      </c>
      <c r="R713" s="2" t="inlineStr"/>
    </row>
    <row r="714" ht="15" customHeight="1">
      <c r="A714" t="inlineStr">
        <is>
          <t>A 29724-2025</t>
        </is>
      </c>
      <c r="B714" s="1" t="n">
        <v>45825.57680555555</v>
      </c>
      <c r="C714" s="1" t="n">
        <v>45891</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7758-2024</t>
        </is>
      </c>
      <c r="B715" s="1" t="n">
        <v>45349.54434027777</v>
      </c>
      <c r="C715" s="1" t="n">
        <v>45891</v>
      </c>
      <c r="D715" t="inlineStr">
        <is>
          <t>KALMAR LÄN</t>
        </is>
      </c>
      <c r="E715" t="inlineStr">
        <is>
          <t>VIMMERBY</t>
        </is>
      </c>
      <c r="G715" t="n">
        <v>3.5</v>
      </c>
      <c r="H715" t="n">
        <v>0</v>
      </c>
      <c r="I715" t="n">
        <v>0</v>
      </c>
      <c r="J715" t="n">
        <v>0</v>
      </c>
      <c r="K715" t="n">
        <v>0</v>
      </c>
      <c r="L715" t="n">
        <v>0</v>
      </c>
      <c r="M715" t="n">
        <v>0</v>
      </c>
      <c r="N715" t="n">
        <v>0</v>
      </c>
      <c r="O715" t="n">
        <v>0</v>
      </c>
      <c r="P715" t="n">
        <v>0</v>
      </c>
      <c r="Q715" t="n">
        <v>0</v>
      </c>
      <c r="R715" s="2" t="inlineStr"/>
    </row>
    <row r="716" ht="15" customHeight="1">
      <c r="A716" t="inlineStr">
        <is>
          <t>A 72701-2021</t>
        </is>
      </c>
      <c r="B716" s="1" t="n">
        <v>44546</v>
      </c>
      <c r="C716" s="1" t="n">
        <v>45891</v>
      </c>
      <c r="D716" t="inlineStr">
        <is>
          <t>KALMAR LÄN</t>
        </is>
      </c>
      <c r="E716" t="inlineStr">
        <is>
          <t>VIMMERBY</t>
        </is>
      </c>
      <c r="G716" t="n">
        <v>0.7</v>
      </c>
      <c r="H716" t="n">
        <v>0</v>
      </c>
      <c r="I716" t="n">
        <v>0</v>
      </c>
      <c r="J716" t="n">
        <v>0</v>
      </c>
      <c r="K716" t="n">
        <v>0</v>
      </c>
      <c r="L716" t="n">
        <v>0</v>
      </c>
      <c r="M716" t="n">
        <v>0</v>
      </c>
      <c r="N716" t="n">
        <v>0</v>
      </c>
      <c r="O716" t="n">
        <v>0</v>
      </c>
      <c r="P716" t="n">
        <v>0</v>
      </c>
      <c r="Q716" t="n">
        <v>0</v>
      </c>
      <c r="R716" s="2" t="inlineStr"/>
    </row>
    <row r="717" ht="15" customHeight="1">
      <c r="A717" t="inlineStr">
        <is>
          <t>A 52294-2023</t>
        </is>
      </c>
      <c r="B717" s="1" t="n">
        <v>45224.60075231481</v>
      </c>
      <c r="C717" s="1" t="n">
        <v>45891</v>
      </c>
      <c r="D717" t="inlineStr">
        <is>
          <t>KALMAR LÄN</t>
        </is>
      </c>
      <c r="E717" t="inlineStr">
        <is>
          <t>VIMMERBY</t>
        </is>
      </c>
      <c r="F717" t="inlineStr">
        <is>
          <t>Sveaskog</t>
        </is>
      </c>
      <c r="G717" t="n">
        <v>2.5</v>
      </c>
      <c r="H717" t="n">
        <v>0</v>
      </c>
      <c r="I717" t="n">
        <v>0</v>
      </c>
      <c r="J717" t="n">
        <v>0</v>
      </c>
      <c r="K717" t="n">
        <v>0</v>
      </c>
      <c r="L717" t="n">
        <v>0</v>
      </c>
      <c r="M717" t="n">
        <v>0</v>
      </c>
      <c r="N717" t="n">
        <v>0</v>
      </c>
      <c r="O717" t="n">
        <v>0</v>
      </c>
      <c r="P717" t="n">
        <v>0</v>
      </c>
      <c r="Q717" t="n">
        <v>0</v>
      </c>
      <c r="R717" s="2" t="inlineStr"/>
    </row>
    <row r="718" ht="15" customHeight="1">
      <c r="A718" t="inlineStr">
        <is>
          <t>A 61355-2024</t>
        </is>
      </c>
      <c r="B718" s="1" t="n">
        <v>45646.38200231481</v>
      </c>
      <c r="C718" s="1" t="n">
        <v>45891</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7456-2024</t>
        </is>
      </c>
      <c r="B719" s="1" t="n">
        <v>45345.83557870371</v>
      </c>
      <c r="C719" s="1" t="n">
        <v>45891</v>
      </c>
      <c r="D719" t="inlineStr">
        <is>
          <t>KALMAR LÄN</t>
        </is>
      </c>
      <c r="E719" t="inlineStr">
        <is>
          <t>VIMMERBY</t>
        </is>
      </c>
      <c r="G719" t="n">
        <v>4.1</v>
      </c>
      <c r="H719" t="n">
        <v>0</v>
      </c>
      <c r="I719" t="n">
        <v>0</v>
      </c>
      <c r="J719" t="n">
        <v>0</v>
      </c>
      <c r="K719" t="n">
        <v>0</v>
      </c>
      <c r="L719" t="n">
        <v>0</v>
      </c>
      <c r="M719" t="n">
        <v>0</v>
      </c>
      <c r="N719" t="n">
        <v>0</v>
      </c>
      <c r="O719" t="n">
        <v>0</v>
      </c>
      <c r="P719" t="n">
        <v>0</v>
      </c>
      <c r="Q719" t="n">
        <v>0</v>
      </c>
      <c r="R719" s="2" t="inlineStr"/>
    </row>
    <row r="720" ht="15" customHeight="1">
      <c r="A720" t="inlineStr">
        <is>
          <t>A 30293-2025</t>
        </is>
      </c>
      <c r="B720" s="1" t="n">
        <v>45827</v>
      </c>
      <c r="C720" s="1" t="n">
        <v>45891</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36602-2025</t>
        </is>
      </c>
      <c r="B721" s="1" t="n">
        <v>45870.52111111111</v>
      </c>
      <c r="C721" s="1" t="n">
        <v>45891</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33374-2021</t>
        </is>
      </c>
      <c r="B722" s="1" t="n">
        <v>44377</v>
      </c>
      <c r="C722" s="1" t="n">
        <v>45891</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6082-2022</t>
        </is>
      </c>
      <c r="B723" s="1" t="n">
        <v>44599</v>
      </c>
      <c r="C723" s="1" t="n">
        <v>45891</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36598-2025</t>
        </is>
      </c>
      <c r="B724" s="1" t="n">
        <v>45870.51708333333</v>
      </c>
      <c r="C724" s="1" t="n">
        <v>45891</v>
      </c>
      <c r="D724" t="inlineStr">
        <is>
          <t>KALMAR LÄN</t>
        </is>
      </c>
      <c r="E724" t="inlineStr">
        <is>
          <t>VIMMERBY</t>
        </is>
      </c>
      <c r="G724" t="n">
        <v>3.7</v>
      </c>
      <c r="H724" t="n">
        <v>0</v>
      </c>
      <c r="I724" t="n">
        <v>0</v>
      </c>
      <c r="J724" t="n">
        <v>0</v>
      </c>
      <c r="K724" t="n">
        <v>0</v>
      </c>
      <c r="L724" t="n">
        <v>0</v>
      </c>
      <c r="M724" t="n">
        <v>0</v>
      </c>
      <c r="N724" t="n">
        <v>0</v>
      </c>
      <c r="O724" t="n">
        <v>0</v>
      </c>
      <c r="P724" t="n">
        <v>0</v>
      </c>
      <c r="Q724" t="n">
        <v>0</v>
      </c>
      <c r="R724" s="2" t="inlineStr"/>
    </row>
    <row r="725" ht="15" customHeight="1">
      <c r="A725" t="inlineStr">
        <is>
          <t>A 36601-2025</t>
        </is>
      </c>
      <c r="B725" s="1" t="n">
        <v>45870.52005787037</v>
      </c>
      <c r="C725" s="1" t="n">
        <v>45891</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36603-2025</t>
        </is>
      </c>
      <c r="B726" s="1" t="n">
        <v>45870.52142361111</v>
      </c>
      <c r="C726" s="1" t="n">
        <v>45891</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46979-2023</t>
        </is>
      </c>
      <c r="B727" s="1" t="n">
        <v>45201</v>
      </c>
      <c r="C727" s="1" t="n">
        <v>45891</v>
      </c>
      <c r="D727" t="inlineStr">
        <is>
          <t>KALMAR LÄN</t>
        </is>
      </c>
      <c r="E727" t="inlineStr">
        <is>
          <t>VIMMERBY</t>
        </is>
      </c>
      <c r="G727" t="n">
        <v>1</v>
      </c>
      <c r="H727" t="n">
        <v>0</v>
      </c>
      <c r="I727" t="n">
        <v>0</v>
      </c>
      <c r="J727" t="n">
        <v>0</v>
      </c>
      <c r="K727" t="n">
        <v>0</v>
      </c>
      <c r="L727" t="n">
        <v>0</v>
      </c>
      <c r="M727" t="n">
        <v>0</v>
      </c>
      <c r="N727" t="n">
        <v>0</v>
      </c>
      <c r="O727" t="n">
        <v>0</v>
      </c>
      <c r="P727" t="n">
        <v>0</v>
      </c>
      <c r="Q727" t="n">
        <v>0</v>
      </c>
      <c r="R727" s="2" t="inlineStr"/>
    </row>
    <row r="728" ht="15" customHeight="1">
      <c r="A728" t="inlineStr">
        <is>
          <t>A 36600-2025</t>
        </is>
      </c>
      <c r="B728" s="1" t="n">
        <v>45870.51958333333</v>
      </c>
      <c r="C728" s="1" t="n">
        <v>45891</v>
      </c>
      <c r="D728" t="inlineStr">
        <is>
          <t>KALMAR LÄN</t>
        </is>
      </c>
      <c r="E728" t="inlineStr">
        <is>
          <t>VIMMERBY</t>
        </is>
      </c>
      <c r="G728" t="n">
        <v>2</v>
      </c>
      <c r="H728" t="n">
        <v>0</v>
      </c>
      <c r="I728" t="n">
        <v>0</v>
      </c>
      <c r="J728" t="n">
        <v>0</v>
      </c>
      <c r="K728" t="n">
        <v>0</v>
      </c>
      <c r="L728" t="n">
        <v>0</v>
      </c>
      <c r="M728" t="n">
        <v>0</v>
      </c>
      <c r="N728" t="n">
        <v>0</v>
      </c>
      <c r="O728" t="n">
        <v>0</v>
      </c>
      <c r="P728" t="n">
        <v>0</v>
      </c>
      <c r="Q728" t="n">
        <v>0</v>
      </c>
      <c r="R728" s="2" t="inlineStr"/>
    </row>
    <row r="729" ht="15" customHeight="1">
      <c r="A729" t="inlineStr">
        <is>
          <t>A 2596-2025</t>
        </is>
      </c>
      <c r="B729" s="1" t="n">
        <v>45674.71810185185</v>
      </c>
      <c r="C729" s="1" t="n">
        <v>45891</v>
      </c>
      <c r="D729" t="inlineStr">
        <is>
          <t>KALMAR LÄN</t>
        </is>
      </c>
      <c r="E729" t="inlineStr">
        <is>
          <t>VIMMERBY</t>
        </is>
      </c>
      <c r="G729" t="n">
        <v>9</v>
      </c>
      <c r="H729" t="n">
        <v>0</v>
      </c>
      <c r="I729" t="n">
        <v>0</v>
      </c>
      <c r="J729" t="n">
        <v>0</v>
      </c>
      <c r="K729" t="n">
        <v>0</v>
      </c>
      <c r="L729" t="n">
        <v>0</v>
      </c>
      <c r="M729" t="n">
        <v>0</v>
      </c>
      <c r="N729" t="n">
        <v>0</v>
      </c>
      <c r="O729" t="n">
        <v>0</v>
      </c>
      <c r="P729" t="n">
        <v>0</v>
      </c>
      <c r="Q729" t="n">
        <v>0</v>
      </c>
      <c r="R729" s="2" t="inlineStr"/>
    </row>
    <row r="730" ht="15" customHeight="1">
      <c r="A730" t="inlineStr">
        <is>
          <t>A 47855-2024</t>
        </is>
      </c>
      <c r="B730" s="1" t="n">
        <v>45588.66457175926</v>
      </c>
      <c r="C730" s="1" t="n">
        <v>45891</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63583-2023</t>
        </is>
      </c>
      <c r="B731" s="1" t="n">
        <v>45275.41833333333</v>
      </c>
      <c r="C731" s="1" t="n">
        <v>45891</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10759-2023</t>
        </is>
      </c>
      <c r="B732" s="1" t="n">
        <v>44988</v>
      </c>
      <c r="C732" s="1" t="n">
        <v>45891</v>
      </c>
      <c r="D732" t="inlineStr">
        <is>
          <t>KALMAR LÄN</t>
        </is>
      </c>
      <c r="E732" t="inlineStr">
        <is>
          <t>VIMMERBY</t>
        </is>
      </c>
      <c r="G732" t="n">
        <v>0.4</v>
      </c>
      <c r="H732" t="n">
        <v>0</v>
      </c>
      <c r="I732" t="n">
        <v>0</v>
      </c>
      <c r="J732" t="n">
        <v>0</v>
      </c>
      <c r="K732" t="n">
        <v>0</v>
      </c>
      <c r="L732" t="n">
        <v>0</v>
      </c>
      <c r="M732" t="n">
        <v>0</v>
      </c>
      <c r="N732" t="n">
        <v>0</v>
      </c>
      <c r="O732" t="n">
        <v>0</v>
      </c>
      <c r="P732" t="n">
        <v>0</v>
      </c>
      <c r="Q732" t="n">
        <v>0</v>
      </c>
      <c r="R732" s="2" t="inlineStr"/>
    </row>
    <row r="733" ht="15" customHeight="1">
      <c r="A733" t="inlineStr">
        <is>
          <t>A 18899-2025</t>
        </is>
      </c>
      <c r="B733" s="1" t="n">
        <v>45764.44931712963</v>
      </c>
      <c r="C733" s="1" t="n">
        <v>45891</v>
      </c>
      <c r="D733" t="inlineStr">
        <is>
          <t>KALMAR LÄN</t>
        </is>
      </c>
      <c r="E733" t="inlineStr">
        <is>
          <t>VIMMERBY</t>
        </is>
      </c>
      <c r="F733" t="inlineStr">
        <is>
          <t>Kommuner</t>
        </is>
      </c>
      <c r="G733" t="n">
        <v>4</v>
      </c>
      <c r="H733" t="n">
        <v>0</v>
      </c>
      <c r="I733" t="n">
        <v>0</v>
      </c>
      <c r="J733" t="n">
        <v>0</v>
      </c>
      <c r="K733" t="n">
        <v>0</v>
      </c>
      <c r="L733" t="n">
        <v>0</v>
      </c>
      <c r="M733" t="n">
        <v>0</v>
      </c>
      <c r="N733" t="n">
        <v>0</v>
      </c>
      <c r="O733" t="n">
        <v>0</v>
      </c>
      <c r="P733" t="n">
        <v>0</v>
      </c>
      <c r="Q733" t="n">
        <v>0</v>
      </c>
      <c r="R733" s="2" t="inlineStr"/>
    </row>
    <row r="734" ht="15" customHeight="1">
      <c r="A734" t="inlineStr">
        <is>
          <t>A 36538-2025</t>
        </is>
      </c>
      <c r="B734" s="1" t="n">
        <v>45869.62276620371</v>
      </c>
      <c r="C734" s="1" t="n">
        <v>45891</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30290-2025</t>
        </is>
      </c>
      <c r="B735" s="1" t="n">
        <v>45827</v>
      </c>
      <c r="C735" s="1" t="n">
        <v>45891</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12586-2021</t>
        </is>
      </c>
      <c r="B736" s="1" t="n">
        <v>44270.38002314815</v>
      </c>
      <c r="C736" s="1" t="n">
        <v>45891</v>
      </c>
      <c r="D736" t="inlineStr">
        <is>
          <t>KALMAR LÄN</t>
        </is>
      </c>
      <c r="E736" t="inlineStr">
        <is>
          <t>VIMMERBY</t>
        </is>
      </c>
      <c r="F736" t="inlineStr">
        <is>
          <t>Sveaskog</t>
        </is>
      </c>
      <c r="G736" t="n">
        <v>0.9</v>
      </c>
      <c r="H736" t="n">
        <v>0</v>
      </c>
      <c r="I736" t="n">
        <v>0</v>
      </c>
      <c r="J736" t="n">
        <v>0</v>
      </c>
      <c r="K736" t="n">
        <v>0</v>
      </c>
      <c r="L736" t="n">
        <v>0</v>
      </c>
      <c r="M736" t="n">
        <v>0</v>
      </c>
      <c r="N736" t="n">
        <v>0</v>
      </c>
      <c r="O736" t="n">
        <v>0</v>
      </c>
      <c r="P736" t="n">
        <v>0</v>
      </c>
      <c r="Q736" t="n">
        <v>0</v>
      </c>
      <c r="R736" s="2" t="inlineStr"/>
    </row>
    <row r="737" ht="15" customHeight="1">
      <c r="A737" t="inlineStr">
        <is>
          <t>A 60228-2021</t>
        </is>
      </c>
      <c r="B737" s="1" t="n">
        <v>44495</v>
      </c>
      <c r="C737" s="1" t="n">
        <v>45891</v>
      </c>
      <c r="D737" t="inlineStr">
        <is>
          <t>KALMAR LÄN</t>
        </is>
      </c>
      <c r="E737" t="inlineStr">
        <is>
          <t>VIMMERBY</t>
        </is>
      </c>
      <c r="G737" t="n">
        <v>4.1</v>
      </c>
      <c r="H737" t="n">
        <v>0</v>
      </c>
      <c r="I737" t="n">
        <v>0</v>
      </c>
      <c r="J737" t="n">
        <v>0</v>
      </c>
      <c r="K737" t="n">
        <v>0</v>
      </c>
      <c r="L737" t="n">
        <v>0</v>
      </c>
      <c r="M737" t="n">
        <v>0</v>
      </c>
      <c r="N737" t="n">
        <v>0</v>
      </c>
      <c r="O737" t="n">
        <v>0</v>
      </c>
      <c r="P737" t="n">
        <v>0</v>
      </c>
      <c r="Q737" t="n">
        <v>0</v>
      </c>
      <c r="R737" s="2" t="inlineStr"/>
    </row>
    <row r="738" ht="15" customHeight="1">
      <c r="A738" t="inlineStr">
        <is>
          <t>A 46522-2022</t>
        </is>
      </c>
      <c r="B738" s="1" t="n">
        <v>44848.59133101852</v>
      </c>
      <c r="C738" s="1" t="n">
        <v>45891</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21109-2024</t>
        </is>
      </c>
      <c r="B739" s="1" t="n">
        <v>45440.28329861111</v>
      </c>
      <c r="C739" s="1" t="n">
        <v>45891</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30850-2025</t>
        </is>
      </c>
      <c r="B740" s="1" t="n">
        <v>45831</v>
      </c>
      <c r="C740" s="1" t="n">
        <v>45891</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32614-2023</t>
        </is>
      </c>
      <c r="B741" s="1" t="n">
        <v>45121</v>
      </c>
      <c r="C741" s="1" t="n">
        <v>45891</v>
      </c>
      <c r="D741" t="inlineStr">
        <is>
          <t>KALMAR LÄN</t>
        </is>
      </c>
      <c r="E741" t="inlineStr">
        <is>
          <t>VIMMERBY</t>
        </is>
      </c>
      <c r="G741" t="n">
        <v>0.6</v>
      </c>
      <c r="H741" t="n">
        <v>0</v>
      </c>
      <c r="I741" t="n">
        <v>0</v>
      </c>
      <c r="J741" t="n">
        <v>0</v>
      </c>
      <c r="K741" t="n">
        <v>0</v>
      </c>
      <c r="L741" t="n">
        <v>0</v>
      </c>
      <c r="M741" t="n">
        <v>0</v>
      </c>
      <c r="N741" t="n">
        <v>0</v>
      </c>
      <c r="O741" t="n">
        <v>0</v>
      </c>
      <c r="P741" t="n">
        <v>0</v>
      </c>
      <c r="Q741" t="n">
        <v>0</v>
      </c>
      <c r="R741" s="2" t="inlineStr"/>
    </row>
    <row r="742" ht="15" customHeight="1">
      <c r="A742" t="inlineStr">
        <is>
          <t>A 61939-2021</t>
        </is>
      </c>
      <c r="B742" s="1" t="n">
        <v>44502</v>
      </c>
      <c r="C742" s="1" t="n">
        <v>45891</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33815-2022</t>
        </is>
      </c>
      <c r="B743" s="1" t="n">
        <v>44790.45876157407</v>
      </c>
      <c r="C743" s="1" t="n">
        <v>45891</v>
      </c>
      <c r="D743" t="inlineStr">
        <is>
          <t>KALMAR LÄN</t>
        </is>
      </c>
      <c r="E743" t="inlineStr">
        <is>
          <t>VIMMERBY</t>
        </is>
      </c>
      <c r="G743" t="n">
        <v>0.9</v>
      </c>
      <c r="H743" t="n">
        <v>0</v>
      </c>
      <c r="I743" t="n">
        <v>0</v>
      </c>
      <c r="J743" t="n">
        <v>0</v>
      </c>
      <c r="K743" t="n">
        <v>0</v>
      </c>
      <c r="L743" t="n">
        <v>0</v>
      </c>
      <c r="M743" t="n">
        <v>0</v>
      </c>
      <c r="N743" t="n">
        <v>0</v>
      </c>
      <c r="O743" t="n">
        <v>0</v>
      </c>
      <c r="P743" t="n">
        <v>0</v>
      </c>
      <c r="Q743" t="n">
        <v>0</v>
      </c>
      <c r="R743" s="2" t="inlineStr"/>
    </row>
    <row r="744" ht="15" customHeight="1">
      <c r="A744" t="inlineStr">
        <is>
          <t>A 49461-2022</t>
        </is>
      </c>
      <c r="B744" s="1" t="n">
        <v>44861</v>
      </c>
      <c r="C744" s="1" t="n">
        <v>45891</v>
      </c>
      <c r="D744" t="inlineStr">
        <is>
          <t>KALMAR LÄN</t>
        </is>
      </c>
      <c r="E744" t="inlineStr">
        <is>
          <t>VIMMERBY</t>
        </is>
      </c>
      <c r="G744" t="n">
        <v>3.2</v>
      </c>
      <c r="H744" t="n">
        <v>0</v>
      </c>
      <c r="I744" t="n">
        <v>0</v>
      </c>
      <c r="J744" t="n">
        <v>0</v>
      </c>
      <c r="K744" t="n">
        <v>0</v>
      </c>
      <c r="L744" t="n">
        <v>0</v>
      </c>
      <c r="M744" t="n">
        <v>0</v>
      </c>
      <c r="N744" t="n">
        <v>0</v>
      </c>
      <c r="O744" t="n">
        <v>0</v>
      </c>
      <c r="P744" t="n">
        <v>0</v>
      </c>
      <c r="Q744" t="n">
        <v>0</v>
      </c>
      <c r="R744" s="2" t="inlineStr"/>
    </row>
    <row r="745" ht="15" customHeight="1">
      <c r="A745" t="inlineStr">
        <is>
          <t>A 53542-2022</t>
        </is>
      </c>
      <c r="B745" s="1" t="n">
        <v>44879.62173611111</v>
      </c>
      <c r="C745" s="1" t="n">
        <v>45891</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35713-2023</t>
        </is>
      </c>
      <c r="B746" s="1" t="n">
        <v>45147</v>
      </c>
      <c r="C746" s="1" t="n">
        <v>45891</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36934-2025</t>
        </is>
      </c>
      <c r="B747" s="1" t="n">
        <v>45874.57109953704</v>
      </c>
      <c r="C747" s="1" t="n">
        <v>45891</v>
      </c>
      <c r="D747" t="inlineStr">
        <is>
          <t>KALMAR LÄN</t>
        </is>
      </c>
      <c r="E747" t="inlineStr">
        <is>
          <t>VIMMERBY</t>
        </is>
      </c>
      <c r="G747" t="n">
        <v>4.2</v>
      </c>
      <c r="H747" t="n">
        <v>0</v>
      </c>
      <c r="I747" t="n">
        <v>0</v>
      </c>
      <c r="J747" t="n">
        <v>0</v>
      </c>
      <c r="K747" t="n">
        <v>0</v>
      </c>
      <c r="L747" t="n">
        <v>0</v>
      </c>
      <c r="M747" t="n">
        <v>0</v>
      </c>
      <c r="N747" t="n">
        <v>0</v>
      </c>
      <c r="O747" t="n">
        <v>0</v>
      </c>
      <c r="P747" t="n">
        <v>0</v>
      </c>
      <c r="Q747" t="n">
        <v>0</v>
      </c>
      <c r="R747" s="2" t="inlineStr"/>
    </row>
    <row r="748" ht="15" customHeight="1">
      <c r="A748" t="inlineStr">
        <is>
          <t>A 10424-2023</t>
        </is>
      </c>
      <c r="B748" s="1" t="n">
        <v>44987.54104166666</v>
      </c>
      <c r="C748" s="1" t="n">
        <v>45891</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30882-2025</t>
        </is>
      </c>
      <c r="B749" s="1" t="n">
        <v>45832.34540509259</v>
      </c>
      <c r="C749" s="1" t="n">
        <v>45891</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30971-2025</t>
        </is>
      </c>
      <c r="B750" s="1" t="n">
        <v>45832.46146990741</v>
      </c>
      <c r="C750" s="1" t="n">
        <v>45891</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18022-2025</t>
        </is>
      </c>
      <c r="B751" s="1" t="n">
        <v>45761.44584490741</v>
      </c>
      <c r="C751" s="1" t="n">
        <v>45891</v>
      </c>
      <c r="D751" t="inlineStr">
        <is>
          <t>KALMAR LÄN</t>
        </is>
      </c>
      <c r="E751" t="inlineStr">
        <is>
          <t>VIMMERBY</t>
        </is>
      </c>
      <c r="G751" t="n">
        <v>1.7</v>
      </c>
      <c r="H751" t="n">
        <v>0</v>
      </c>
      <c r="I751" t="n">
        <v>0</v>
      </c>
      <c r="J751" t="n">
        <v>0</v>
      </c>
      <c r="K751" t="n">
        <v>0</v>
      </c>
      <c r="L751" t="n">
        <v>0</v>
      </c>
      <c r="M751" t="n">
        <v>0</v>
      </c>
      <c r="N751" t="n">
        <v>0</v>
      </c>
      <c r="O751" t="n">
        <v>0</v>
      </c>
      <c r="P751" t="n">
        <v>0</v>
      </c>
      <c r="Q751" t="n">
        <v>0</v>
      </c>
      <c r="R751" s="2" t="inlineStr"/>
    </row>
    <row r="752" ht="15" customHeight="1">
      <c r="A752" t="inlineStr">
        <is>
          <t>A 31552-2025</t>
        </is>
      </c>
      <c r="B752" s="1" t="n">
        <v>45833.64563657407</v>
      </c>
      <c r="C752" s="1" t="n">
        <v>45891</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31555-2025</t>
        </is>
      </c>
      <c r="B753" s="1" t="n">
        <v>45833.64814814815</v>
      </c>
      <c r="C753" s="1" t="n">
        <v>45891</v>
      </c>
      <c r="D753" t="inlineStr">
        <is>
          <t>KALMAR LÄN</t>
        </is>
      </c>
      <c r="E753" t="inlineStr">
        <is>
          <t>VIMMERBY</t>
        </is>
      </c>
      <c r="G753" t="n">
        <v>1.8</v>
      </c>
      <c r="H753" t="n">
        <v>0</v>
      </c>
      <c r="I753" t="n">
        <v>0</v>
      </c>
      <c r="J753" t="n">
        <v>0</v>
      </c>
      <c r="K753" t="n">
        <v>0</v>
      </c>
      <c r="L753" t="n">
        <v>0</v>
      </c>
      <c r="M753" t="n">
        <v>0</v>
      </c>
      <c r="N753" t="n">
        <v>0</v>
      </c>
      <c r="O753" t="n">
        <v>0</v>
      </c>
      <c r="P753" t="n">
        <v>0</v>
      </c>
      <c r="Q753" t="n">
        <v>0</v>
      </c>
      <c r="R753" s="2" t="inlineStr"/>
    </row>
    <row r="754" ht="15" customHeight="1">
      <c r="A754" t="inlineStr">
        <is>
          <t>A 37102-2025</t>
        </is>
      </c>
      <c r="B754" s="1" t="n">
        <v>45875.47454861111</v>
      </c>
      <c r="C754" s="1" t="n">
        <v>45891</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6218-2025</t>
        </is>
      </c>
      <c r="B755" s="1" t="n">
        <v>45698.53336805556</v>
      </c>
      <c r="C755" s="1" t="n">
        <v>45891</v>
      </c>
      <c r="D755" t="inlineStr">
        <is>
          <t>KALMAR LÄN</t>
        </is>
      </c>
      <c r="E755" t="inlineStr">
        <is>
          <t>VIMMERBY</t>
        </is>
      </c>
      <c r="G755" t="n">
        <v>1.1</v>
      </c>
      <c r="H755" t="n">
        <v>0</v>
      </c>
      <c r="I755" t="n">
        <v>0</v>
      </c>
      <c r="J755" t="n">
        <v>0</v>
      </c>
      <c r="K755" t="n">
        <v>0</v>
      </c>
      <c r="L755" t="n">
        <v>0</v>
      </c>
      <c r="M755" t="n">
        <v>0</v>
      </c>
      <c r="N755" t="n">
        <v>0</v>
      </c>
      <c r="O755" t="n">
        <v>0</v>
      </c>
      <c r="P755" t="n">
        <v>0</v>
      </c>
      <c r="Q755" t="n">
        <v>0</v>
      </c>
      <c r="R755" s="2" t="inlineStr"/>
    </row>
    <row r="756" ht="15" customHeight="1">
      <c r="A756" t="inlineStr">
        <is>
          <t>A 40076-2021</t>
        </is>
      </c>
      <c r="B756" s="1" t="n">
        <v>44418</v>
      </c>
      <c r="C756" s="1" t="n">
        <v>45891</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37088-2025</t>
        </is>
      </c>
      <c r="B757" s="1" t="n">
        <v>45875.45716435185</v>
      </c>
      <c r="C757" s="1" t="n">
        <v>45891</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33340-2023</t>
        </is>
      </c>
      <c r="B758" s="1" t="n">
        <v>45128.37305555555</v>
      </c>
      <c r="C758" s="1" t="n">
        <v>45891</v>
      </c>
      <c r="D758" t="inlineStr">
        <is>
          <t>KALMAR LÄN</t>
        </is>
      </c>
      <c r="E758" t="inlineStr">
        <is>
          <t>VIMMERBY</t>
        </is>
      </c>
      <c r="G758" t="n">
        <v>1.5</v>
      </c>
      <c r="H758" t="n">
        <v>0</v>
      </c>
      <c r="I758" t="n">
        <v>0</v>
      </c>
      <c r="J758" t="n">
        <v>0</v>
      </c>
      <c r="K758" t="n">
        <v>0</v>
      </c>
      <c r="L758" t="n">
        <v>0</v>
      </c>
      <c r="M758" t="n">
        <v>0</v>
      </c>
      <c r="N758" t="n">
        <v>0</v>
      </c>
      <c r="O758" t="n">
        <v>0</v>
      </c>
      <c r="P758" t="n">
        <v>0</v>
      </c>
      <c r="Q758" t="n">
        <v>0</v>
      </c>
      <c r="R758" s="2" t="inlineStr"/>
    </row>
    <row r="759" ht="15" customHeight="1">
      <c r="A759" t="inlineStr">
        <is>
          <t>A 31870-2025</t>
        </is>
      </c>
      <c r="B759" s="1" t="n">
        <v>45834.64667824074</v>
      </c>
      <c r="C759" s="1" t="n">
        <v>45891</v>
      </c>
      <c r="D759" t="inlineStr">
        <is>
          <t>KALMAR LÄN</t>
        </is>
      </c>
      <c r="E759" t="inlineStr">
        <is>
          <t>VIMMERBY</t>
        </is>
      </c>
      <c r="F759" t="inlineStr">
        <is>
          <t>Sveaskog</t>
        </is>
      </c>
      <c r="G759" t="n">
        <v>3.5</v>
      </c>
      <c r="H759" t="n">
        <v>0</v>
      </c>
      <c r="I759" t="n">
        <v>0</v>
      </c>
      <c r="J759" t="n">
        <v>0</v>
      </c>
      <c r="K759" t="n">
        <v>0</v>
      </c>
      <c r="L759" t="n">
        <v>0</v>
      </c>
      <c r="M759" t="n">
        <v>0</v>
      </c>
      <c r="N759" t="n">
        <v>0</v>
      </c>
      <c r="O759" t="n">
        <v>0</v>
      </c>
      <c r="P759" t="n">
        <v>0</v>
      </c>
      <c r="Q759" t="n">
        <v>0</v>
      </c>
      <c r="R759" s="2" t="inlineStr"/>
    </row>
    <row r="760" ht="15" customHeight="1">
      <c r="A760" t="inlineStr">
        <is>
          <t>A 29017-2024</t>
        </is>
      </c>
      <c r="B760" s="1" t="n">
        <v>45481.56722222222</v>
      </c>
      <c r="C760" s="1" t="n">
        <v>45891</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37079-2025</t>
        </is>
      </c>
      <c r="B761" s="1" t="n">
        <v>45875.42716435185</v>
      </c>
      <c r="C761" s="1" t="n">
        <v>45891</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58046-2022</t>
        </is>
      </c>
      <c r="B762" s="1" t="n">
        <v>44900.57393518519</v>
      </c>
      <c r="C762" s="1" t="n">
        <v>45891</v>
      </c>
      <c r="D762" t="inlineStr">
        <is>
          <t>KALMAR LÄN</t>
        </is>
      </c>
      <c r="E762" t="inlineStr">
        <is>
          <t>VIMMERBY</t>
        </is>
      </c>
      <c r="G762" t="n">
        <v>2.5</v>
      </c>
      <c r="H762" t="n">
        <v>0</v>
      </c>
      <c r="I762" t="n">
        <v>0</v>
      </c>
      <c r="J762" t="n">
        <v>0</v>
      </c>
      <c r="K762" t="n">
        <v>0</v>
      </c>
      <c r="L762" t="n">
        <v>0</v>
      </c>
      <c r="M762" t="n">
        <v>0</v>
      </c>
      <c r="N762" t="n">
        <v>0</v>
      </c>
      <c r="O762" t="n">
        <v>0</v>
      </c>
      <c r="P762" t="n">
        <v>0</v>
      </c>
      <c r="Q762" t="n">
        <v>0</v>
      </c>
      <c r="R762" s="2" t="inlineStr"/>
    </row>
    <row r="763" ht="15" customHeight="1">
      <c r="A763" t="inlineStr">
        <is>
          <t>A 8559-2025</t>
        </is>
      </c>
      <c r="B763" s="1" t="n">
        <v>45709.62280092593</v>
      </c>
      <c r="C763" s="1" t="n">
        <v>45891</v>
      </c>
      <c r="D763" t="inlineStr">
        <is>
          <t>KALMAR LÄN</t>
        </is>
      </c>
      <c r="E763" t="inlineStr">
        <is>
          <t>VIMMERBY</t>
        </is>
      </c>
      <c r="G763" t="n">
        <v>8.9</v>
      </c>
      <c r="H763" t="n">
        <v>0</v>
      </c>
      <c r="I763" t="n">
        <v>0</v>
      </c>
      <c r="J763" t="n">
        <v>0</v>
      </c>
      <c r="K763" t="n">
        <v>0</v>
      </c>
      <c r="L763" t="n">
        <v>0</v>
      </c>
      <c r="M763" t="n">
        <v>0</v>
      </c>
      <c r="N763" t="n">
        <v>0</v>
      </c>
      <c r="O763" t="n">
        <v>0</v>
      </c>
      <c r="P763" t="n">
        <v>0</v>
      </c>
      <c r="Q763" t="n">
        <v>0</v>
      </c>
      <c r="R763" s="2" t="inlineStr"/>
    </row>
    <row r="764" ht="15" customHeight="1">
      <c r="A764" t="inlineStr">
        <is>
          <t>A 31872-2025</t>
        </is>
      </c>
      <c r="B764" s="1" t="n">
        <v>45834.65040509259</v>
      </c>
      <c r="C764" s="1" t="n">
        <v>45891</v>
      </c>
      <c r="D764" t="inlineStr">
        <is>
          <t>KALMAR LÄN</t>
        </is>
      </c>
      <c r="E764" t="inlineStr">
        <is>
          <t>VIMMERBY</t>
        </is>
      </c>
      <c r="F764" t="inlineStr">
        <is>
          <t>Sveaskog</t>
        </is>
      </c>
      <c r="G764" t="n">
        <v>9.199999999999999</v>
      </c>
      <c r="H764" t="n">
        <v>0</v>
      </c>
      <c r="I764" t="n">
        <v>0</v>
      </c>
      <c r="J764" t="n">
        <v>0</v>
      </c>
      <c r="K764" t="n">
        <v>0</v>
      </c>
      <c r="L764" t="n">
        <v>0</v>
      </c>
      <c r="M764" t="n">
        <v>0</v>
      </c>
      <c r="N764" t="n">
        <v>0</v>
      </c>
      <c r="O764" t="n">
        <v>0</v>
      </c>
      <c r="P764" t="n">
        <v>0</v>
      </c>
      <c r="Q764" t="n">
        <v>0</v>
      </c>
      <c r="R764" s="2" t="inlineStr"/>
    </row>
    <row r="765" ht="15" customHeight="1">
      <c r="A765" t="inlineStr">
        <is>
          <t>A 31876-2025</t>
        </is>
      </c>
      <c r="B765" s="1" t="n">
        <v>45834.65197916667</v>
      </c>
      <c r="C765" s="1" t="n">
        <v>45891</v>
      </c>
      <c r="D765" t="inlineStr">
        <is>
          <t>KALMAR LÄN</t>
        </is>
      </c>
      <c r="E765" t="inlineStr">
        <is>
          <t>VIMMERBY</t>
        </is>
      </c>
      <c r="F765" t="inlineStr">
        <is>
          <t>Sveaskog</t>
        </is>
      </c>
      <c r="G765" t="n">
        <v>3.3</v>
      </c>
      <c r="H765" t="n">
        <v>0</v>
      </c>
      <c r="I765" t="n">
        <v>0</v>
      </c>
      <c r="J765" t="n">
        <v>0</v>
      </c>
      <c r="K765" t="n">
        <v>0</v>
      </c>
      <c r="L765" t="n">
        <v>0</v>
      </c>
      <c r="M765" t="n">
        <v>0</v>
      </c>
      <c r="N765" t="n">
        <v>0</v>
      </c>
      <c r="O765" t="n">
        <v>0</v>
      </c>
      <c r="P765" t="n">
        <v>0</v>
      </c>
      <c r="Q765" t="n">
        <v>0</v>
      </c>
      <c r="R765" s="2" t="inlineStr"/>
    </row>
    <row r="766" ht="15" customHeight="1">
      <c r="A766" t="inlineStr">
        <is>
          <t>A 14548-2024</t>
        </is>
      </c>
      <c r="B766" s="1" t="n">
        <v>45394.66887731481</v>
      </c>
      <c r="C766" s="1" t="n">
        <v>45891</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31551-2025</t>
        </is>
      </c>
      <c r="B767" s="1" t="n">
        <v>45833.64237268519</v>
      </c>
      <c r="C767" s="1" t="n">
        <v>45891</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31987-2025</t>
        </is>
      </c>
      <c r="B768" s="1" t="n">
        <v>45835.36229166666</v>
      </c>
      <c r="C768" s="1" t="n">
        <v>45891</v>
      </c>
      <c r="D768" t="inlineStr">
        <is>
          <t>KALMAR LÄN</t>
        </is>
      </c>
      <c r="E768" t="inlineStr">
        <is>
          <t>VIMMERBY</t>
        </is>
      </c>
      <c r="F768" t="inlineStr">
        <is>
          <t>Kyrkan</t>
        </is>
      </c>
      <c r="G768" t="n">
        <v>1.2</v>
      </c>
      <c r="H768" t="n">
        <v>0</v>
      </c>
      <c r="I768" t="n">
        <v>0</v>
      </c>
      <c r="J768" t="n">
        <v>0</v>
      </c>
      <c r="K768" t="n">
        <v>0</v>
      </c>
      <c r="L768" t="n">
        <v>0</v>
      </c>
      <c r="M768" t="n">
        <v>0</v>
      </c>
      <c r="N768" t="n">
        <v>0</v>
      </c>
      <c r="O768" t="n">
        <v>0</v>
      </c>
      <c r="P768" t="n">
        <v>0</v>
      </c>
      <c r="Q768" t="n">
        <v>0</v>
      </c>
      <c r="R768" s="2" t="inlineStr"/>
    </row>
    <row r="769" ht="15" customHeight="1">
      <c r="A769" t="inlineStr">
        <is>
          <t>A 32120-2025</t>
        </is>
      </c>
      <c r="B769" s="1" t="n">
        <v>45835.4924537037</v>
      </c>
      <c r="C769" s="1" t="n">
        <v>45891</v>
      </c>
      <c r="D769" t="inlineStr">
        <is>
          <t>KALMAR LÄN</t>
        </is>
      </c>
      <c r="E769" t="inlineStr">
        <is>
          <t>VIMMERBY</t>
        </is>
      </c>
      <c r="G769" t="n">
        <v>0.8</v>
      </c>
      <c r="H769" t="n">
        <v>0</v>
      </c>
      <c r="I769" t="n">
        <v>0</v>
      </c>
      <c r="J769" t="n">
        <v>0</v>
      </c>
      <c r="K769" t="n">
        <v>0</v>
      </c>
      <c r="L769" t="n">
        <v>0</v>
      </c>
      <c r="M769" t="n">
        <v>0</v>
      </c>
      <c r="N769" t="n">
        <v>0</v>
      </c>
      <c r="O769" t="n">
        <v>0</v>
      </c>
      <c r="P769" t="n">
        <v>0</v>
      </c>
      <c r="Q769" t="n">
        <v>0</v>
      </c>
      <c r="R769" s="2" t="inlineStr"/>
    </row>
    <row r="770" ht="15" customHeight="1">
      <c r="A770" t="inlineStr">
        <is>
          <t>A 15976-2025</t>
        </is>
      </c>
      <c r="B770" s="1" t="n">
        <v>45749.56196759259</v>
      </c>
      <c r="C770" s="1" t="n">
        <v>45891</v>
      </c>
      <c r="D770" t="inlineStr">
        <is>
          <t>KALMAR LÄN</t>
        </is>
      </c>
      <c r="E770" t="inlineStr">
        <is>
          <t>VIMMERBY</t>
        </is>
      </c>
      <c r="F770" t="inlineStr">
        <is>
          <t>Kommuner</t>
        </is>
      </c>
      <c r="G770" t="n">
        <v>2.5</v>
      </c>
      <c r="H770" t="n">
        <v>0</v>
      </c>
      <c r="I770" t="n">
        <v>0</v>
      </c>
      <c r="J770" t="n">
        <v>0</v>
      </c>
      <c r="K770" t="n">
        <v>0</v>
      </c>
      <c r="L770" t="n">
        <v>0</v>
      </c>
      <c r="M770" t="n">
        <v>0</v>
      </c>
      <c r="N770" t="n">
        <v>0</v>
      </c>
      <c r="O770" t="n">
        <v>0</v>
      </c>
      <c r="P770" t="n">
        <v>0</v>
      </c>
      <c r="Q770" t="n">
        <v>0</v>
      </c>
      <c r="R770" s="2" t="inlineStr"/>
    </row>
    <row r="771" ht="15" customHeight="1">
      <c r="A771" t="inlineStr">
        <is>
          <t>A 48120-2022</t>
        </is>
      </c>
      <c r="B771" s="1" t="n">
        <v>44857.65989583333</v>
      </c>
      <c r="C771" s="1" t="n">
        <v>45891</v>
      </c>
      <c r="D771" t="inlineStr">
        <is>
          <t>KALMAR LÄN</t>
        </is>
      </c>
      <c r="E771" t="inlineStr">
        <is>
          <t>VIMMERBY</t>
        </is>
      </c>
      <c r="G771" t="n">
        <v>1.7</v>
      </c>
      <c r="H771" t="n">
        <v>0</v>
      </c>
      <c r="I771" t="n">
        <v>0</v>
      </c>
      <c r="J771" t="n">
        <v>0</v>
      </c>
      <c r="K771" t="n">
        <v>0</v>
      </c>
      <c r="L771" t="n">
        <v>0</v>
      </c>
      <c r="M771" t="n">
        <v>0</v>
      </c>
      <c r="N771" t="n">
        <v>0</v>
      </c>
      <c r="O771" t="n">
        <v>0</v>
      </c>
      <c r="P771" t="n">
        <v>0</v>
      </c>
      <c r="Q771" t="n">
        <v>0</v>
      </c>
      <c r="R771" s="2" t="inlineStr"/>
    </row>
    <row r="772" ht="15" customHeight="1">
      <c r="A772" t="inlineStr">
        <is>
          <t>A 3423-2022</t>
        </is>
      </c>
      <c r="B772" s="1" t="n">
        <v>44585.50431712963</v>
      </c>
      <c r="C772" s="1" t="n">
        <v>45891</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32116-2025</t>
        </is>
      </c>
      <c r="B773" s="1" t="n">
        <v>45835.48862268519</v>
      </c>
      <c r="C773" s="1" t="n">
        <v>45891</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37578-2025</t>
        </is>
      </c>
      <c r="B774" s="1" t="n">
        <v>45880.38380787037</v>
      </c>
      <c r="C774" s="1" t="n">
        <v>45891</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11074-2023</t>
        </is>
      </c>
      <c r="B775" s="1" t="n">
        <v>44992.34151620371</v>
      </c>
      <c r="C775" s="1" t="n">
        <v>45891</v>
      </c>
      <c r="D775" t="inlineStr">
        <is>
          <t>KALMAR LÄN</t>
        </is>
      </c>
      <c r="E775" t="inlineStr">
        <is>
          <t>VIMMERBY</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71631-2021</t>
        </is>
      </c>
      <c r="B776" s="1" t="n">
        <v>44542.90072916666</v>
      </c>
      <c r="C776" s="1" t="n">
        <v>45891</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37667-2025</t>
        </is>
      </c>
      <c r="B777" s="1" t="n">
        <v>45880.51413194444</v>
      </c>
      <c r="C777" s="1" t="n">
        <v>45891</v>
      </c>
      <c r="D777" t="inlineStr">
        <is>
          <t>KALMAR LÄN</t>
        </is>
      </c>
      <c r="E777" t="inlineStr">
        <is>
          <t>VIMMERBY</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37668-2025</t>
        </is>
      </c>
      <c r="B778" s="1" t="n">
        <v>45880.51550925926</v>
      </c>
      <c r="C778" s="1" t="n">
        <v>45891</v>
      </c>
      <c r="D778" t="inlineStr">
        <is>
          <t>KALMAR LÄN</t>
        </is>
      </c>
      <c r="E778" t="inlineStr">
        <is>
          <t>VIMMERBY</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32380-2025</t>
        </is>
      </c>
      <c r="B779" s="1" t="n">
        <v>45837.77701388889</v>
      </c>
      <c r="C779" s="1" t="n">
        <v>45891</v>
      </c>
      <c r="D779" t="inlineStr">
        <is>
          <t>KALMAR LÄN</t>
        </is>
      </c>
      <c r="E779" t="inlineStr">
        <is>
          <t>VIMMERBY</t>
        </is>
      </c>
      <c r="G779" t="n">
        <v>3.1</v>
      </c>
      <c r="H779" t="n">
        <v>0</v>
      </c>
      <c r="I779" t="n">
        <v>0</v>
      </c>
      <c r="J779" t="n">
        <v>0</v>
      </c>
      <c r="K779" t="n">
        <v>0</v>
      </c>
      <c r="L779" t="n">
        <v>0</v>
      </c>
      <c r="M779" t="n">
        <v>0</v>
      </c>
      <c r="N779" t="n">
        <v>0</v>
      </c>
      <c r="O779" t="n">
        <v>0</v>
      </c>
      <c r="P779" t="n">
        <v>0</v>
      </c>
      <c r="Q779" t="n">
        <v>0</v>
      </c>
      <c r="R779" s="2" t="inlineStr"/>
    </row>
    <row r="780" ht="15" customHeight="1">
      <c r="A780" t="inlineStr">
        <is>
          <t>A 12587-2025</t>
        </is>
      </c>
      <c r="B780" s="1" t="n">
        <v>45732.75637731481</v>
      </c>
      <c r="C780" s="1" t="n">
        <v>45891</v>
      </c>
      <c r="D780" t="inlineStr">
        <is>
          <t>KALMAR LÄN</t>
        </is>
      </c>
      <c r="E780" t="inlineStr">
        <is>
          <t>VIMMERBY</t>
        </is>
      </c>
      <c r="G780" t="n">
        <v>0.8</v>
      </c>
      <c r="H780" t="n">
        <v>0</v>
      </c>
      <c r="I780" t="n">
        <v>0</v>
      </c>
      <c r="J780" t="n">
        <v>0</v>
      </c>
      <c r="K780" t="n">
        <v>0</v>
      </c>
      <c r="L780" t="n">
        <v>0</v>
      </c>
      <c r="M780" t="n">
        <v>0</v>
      </c>
      <c r="N780" t="n">
        <v>0</v>
      </c>
      <c r="O780" t="n">
        <v>0</v>
      </c>
      <c r="P780" t="n">
        <v>0</v>
      </c>
      <c r="Q780" t="n">
        <v>0</v>
      </c>
      <c r="R780" s="2" t="inlineStr"/>
    </row>
    <row r="781" ht="15" customHeight="1">
      <c r="A781" t="inlineStr">
        <is>
          <t>A 12588-2025</t>
        </is>
      </c>
      <c r="B781" s="1" t="n">
        <v>45732.76936342593</v>
      </c>
      <c r="C781" s="1" t="n">
        <v>45891</v>
      </c>
      <c r="D781" t="inlineStr">
        <is>
          <t>KALMAR LÄN</t>
        </is>
      </c>
      <c r="E781" t="inlineStr">
        <is>
          <t>VIMMERBY</t>
        </is>
      </c>
      <c r="G781" t="n">
        <v>1.6</v>
      </c>
      <c r="H781" t="n">
        <v>0</v>
      </c>
      <c r="I781" t="n">
        <v>0</v>
      </c>
      <c r="J781" t="n">
        <v>0</v>
      </c>
      <c r="K781" t="n">
        <v>0</v>
      </c>
      <c r="L781" t="n">
        <v>0</v>
      </c>
      <c r="M781" t="n">
        <v>0</v>
      </c>
      <c r="N781" t="n">
        <v>0</v>
      </c>
      <c r="O781" t="n">
        <v>0</v>
      </c>
      <c r="P781" t="n">
        <v>0</v>
      </c>
      <c r="Q781" t="n">
        <v>0</v>
      </c>
      <c r="R781" s="2" t="inlineStr"/>
    </row>
    <row r="782" ht="15" customHeight="1">
      <c r="A782" t="inlineStr">
        <is>
          <t>A 25979-2023</t>
        </is>
      </c>
      <c r="B782" s="1" t="n">
        <v>45090.89653935185</v>
      </c>
      <c r="C782" s="1" t="n">
        <v>45891</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25980-2023</t>
        </is>
      </c>
      <c r="B783" s="1" t="n">
        <v>45090.89880787037</v>
      </c>
      <c r="C783" s="1" t="n">
        <v>45891</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32109-2025</t>
        </is>
      </c>
      <c r="B784" s="1" t="n">
        <v>45835.48267361111</v>
      </c>
      <c r="C784" s="1" t="n">
        <v>45891</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32113-2025</t>
        </is>
      </c>
      <c r="B785" s="1" t="n">
        <v>45835.48445601852</v>
      </c>
      <c r="C785" s="1" t="n">
        <v>45891</v>
      </c>
      <c r="D785" t="inlineStr">
        <is>
          <t>KALMAR LÄN</t>
        </is>
      </c>
      <c r="E785" t="inlineStr">
        <is>
          <t>VIMMERBY</t>
        </is>
      </c>
      <c r="G785" t="n">
        <v>3.5</v>
      </c>
      <c r="H785" t="n">
        <v>0</v>
      </c>
      <c r="I785" t="n">
        <v>0</v>
      </c>
      <c r="J785" t="n">
        <v>0</v>
      </c>
      <c r="K785" t="n">
        <v>0</v>
      </c>
      <c r="L785" t="n">
        <v>0</v>
      </c>
      <c r="M785" t="n">
        <v>0</v>
      </c>
      <c r="N785" t="n">
        <v>0</v>
      </c>
      <c r="O785" t="n">
        <v>0</v>
      </c>
      <c r="P785" t="n">
        <v>0</v>
      </c>
      <c r="Q785" t="n">
        <v>0</v>
      </c>
      <c r="R785" s="2" t="inlineStr"/>
    </row>
    <row r="786" ht="15" customHeight="1">
      <c r="A786" t="inlineStr">
        <is>
          <t>A 32077-2025</t>
        </is>
      </c>
      <c r="B786" s="1" t="n">
        <v>45835.45099537037</v>
      </c>
      <c r="C786" s="1" t="n">
        <v>45891</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32382-2025</t>
        </is>
      </c>
      <c r="B787" s="1" t="n">
        <v>45837.77916666667</v>
      </c>
      <c r="C787" s="1" t="n">
        <v>45891</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49039-2021</t>
        </is>
      </c>
      <c r="B788" s="1" t="n">
        <v>44453.56578703703</v>
      </c>
      <c r="C788" s="1" t="n">
        <v>45891</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32064-2025</t>
        </is>
      </c>
      <c r="B789" s="1" t="n">
        <v>45835.44709490741</v>
      </c>
      <c r="C789" s="1" t="n">
        <v>45891</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32065-2025</t>
        </is>
      </c>
      <c r="B790" s="1" t="n">
        <v>45835.44732638889</v>
      </c>
      <c r="C790" s="1" t="n">
        <v>45891</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42918-2021</t>
        </is>
      </c>
      <c r="B791" s="1" t="n">
        <v>44431</v>
      </c>
      <c r="C791" s="1" t="n">
        <v>45891</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37866-2025</t>
        </is>
      </c>
      <c r="B792" s="1" t="n">
        <v>45881</v>
      </c>
      <c r="C792" s="1" t="n">
        <v>45891</v>
      </c>
      <c r="D792" t="inlineStr">
        <is>
          <t>KALMAR LÄN</t>
        </is>
      </c>
      <c r="E792" t="inlineStr">
        <is>
          <t>VIMMERBY</t>
        </is>
      </c>
      <c r="G792" t="n">
        <v>3.4</v>
      </c>
      <c r="H792" t="n">
        <v>0</v>
      </c>
      <c r="I792" t="n">
        <v>0</v>
      </c>
      <c r="J792" t="n">
        <v>0</v>
      </c>
      <c r="K792" t="n">
        <v>0</v>
      </c>
      <c r="L792" t="n">
        <v>0</v>
      </c>
      <c r="M792" t="n">
        <v>0</v>
      </c>
      <c r="N792" t="n">
        <v>0</v>
      </c>
      <c r="O792" t="n">
        <v>0</v>
      </c>
      <c r="P792" t="n">
        <v>0</v>
      </c>
      <c r="Q792" t="n">
        <v>0</v>
      </c>
      <c r="R792" s="2" t="inlineStr"/>
    </row>
    <row r="793" ht="15" customHeight="1">
      <c r="A793" t="inlineStr">
        <is>
          <t>A 529-2022</t>
        </is>
      </c>
      <c r="B793" s="1" t="n">
        <v>44566</v>
      </c>
      <c r="C793" s="1" t="n">
        <v>45891</v>
      </c>
      <c r="D793" t="inlineStr">
        <is>
          <t>KALMAR LÄN</t>
        </is>
      </c>
      <c r="E793" t="inlineStr">
        <is>
          <t>VIMMERBY</t>
        </is>
      </c>
      <c r="G793" t="n">
        <v>1.5</v>
      </c>
      <c r="H793" t="n">
        <v>0</v>
      </c>
      <c r="I793" t="n">
        <v>0</v>
      </c>
      <c r="J793" t="n">
        <v>0</v>
      </c>
      <c r="K793" t="n">
        <v>0</v>
      </c>
      <c r="L793" t="n">
        <v>0</v>
      </c>
      <c r="M793" t="n">
        <v>0</v>
      </c>
      <c r="N793" t="n">
        <v>0</v>
      </c>
      <c r="O793" t="n">
        <v>0</v>
      </c>
      <c r="P793" t="n">
        <v>0</v>
      </c>
      <c r="Q793" t="n">
        <v>0</v>
      </c>
      <c r="R793" s="2" t="inlineStr"/>
    </row>
    <row r="794" ht="15" customHeight="1">
      <c r="A794" t="inlineStr">
        <is>
          <t>A 14855-2025</t>
        </is>
      </c>
      <c r="B794" s="1" t="n">
        <v>45743.41148148148</v>
      </c>
      <c r="C794" s="1" t="n">
        <v>45891</v>
      </c>
      <c r="D794" t="inlineStr">
        <is>
          <t>KALMAR LÄN</t>
        </is>
      </c>
      <c r="E794" t="inlineStr">
        <is>
          <t>VIMMERBY</t>
        </is>
      </c>
      <c r="G794" t="n">
        <v>1.2</v>
      </c>
      <c r="H794" t="n">
        <v>0</v>
      </c>
      <c r="I794" t="n">
        <v>0</v>
      </c>
      <c r="J794" t="n">
        <v>0</v>
      </c>
      <c r="K794" t="n">
        <v>0</v>
      </c>
      <c r="L794" t="n">
        <v>0</v>
      </c>
      <c r="M794" t="n">
        <v>0</v>
      </c>
      <c r="N794" t="n">
        <v>0</v>
      </c>
      <c r="O794" t="n">
        <v>0</v>
      </c>
      <c r="P794" t="n">
        <v>0</v>
      </c>
      <c r="Q794" t="n">
        <v>0</v>
      </c>
      <c r="R794" s="2" t="inlineStr"/>
    </row>
    <row r="795" ht="15" customHeight="1">
      <c r="A795" t="inlineStr">
        <is>
          <t>A 33186-2025</t>
        </is>
      </c>
      <c r="B795" s="1" t="n">
        <v>45840.59474537037</v>
      </c>
      <c r="C795" s="1" t="n">
        <v>45891</v>
      </c>
      <c r="D795" t="inlineStr">
        <is>
          <t>KALMAR LÄN</t>
        </is>
      </c>
      <c r="E795" t="inlineStr">
        <is>
          <t>VIMMERBY</t>
        </is>
      </c>
      <c r="G795" t="n">
        <v>2.6</v>
      </c>
      <c r="H795" t="n">
        <v>0</v>
      </c>
      <c r="I795" t="n">
        <v>0</v>
      </c>
      <c r="J795" t="n">
        <v>0</v>
      </c>
      <c r="K795" t="n">
        <v>0</v>
      </c>
      <c r="L795" t="n">
        <v>0</v>
      </c>
      <c r="M795" t="n">
        <v>0</v>
      </c>
      <c r="N795" t="n">
        <v>0</v>
      </c>
      <c r="O795" t="n">
        <v>0</v>
      </c>
      <c r="P795" t="n">
        <v>0</v>
      </c>
      <c r="Q795" t="n">
        <v>0</v>
      </c>
      <c r="R795" s="2" t="inlineStr"/>
    </row>
    <row r="796" ht="15" customHeight="1">
      <c r="A796" t="inlineStr">
        <is>
          <t>A 33188-2025</t>
        </is>
      </c>
      <c r="B796" s="1" t="n">
        <v>45840.59853009259</v>
      </c>
      <c r="C796" s="1" t="n">
        <v>45891</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60951-2023</t>
        </is>
      </c>
      <c r="B797" s="1" t="n">
        <v>45261.44914351852</v>
      </c>
      <c r="C797" s="1" t="n">
        <v>45891</v>
      </c>
      <c r="D797" t="inlineStr">
        <is>
          <t>KALMAR LÄN</t>
        </is>
      </c>
      <c r="E797" t="inlineStr">
        <is>
          <t>VIMMERBY</t>
        </is>
      </c>
      <c r="G797" t="n">
        <v>4.3</v>
      </c>
      <c r="H797" t="n">
        <v>0</v>
      </c>
      <c r="I797" t="n">
        <v>0</v>
      </c>
      <c r="J797" t="n">
        <v>0</v>
      </c>
      <c r="K797" t="n">
        <v>0</v>
      </c>
      <c r="L797" t="n">
        <v>0</v>
      </c>
      <c r="M797" t="n">
        <v>0</v>
      </c>
      <c r="N797" t="n">
        <v>0</v>
      </c>
      <c r="O797" t="n">
        <v>0</v>
      </c>
      <c r="P797" t="n">
        <v>0</v>
      </c>
      <c r="Q797" t="n">
        <v>0</v>
      </c>
      <c r="R797" s="2" t="inlineStr"/>
    </row>
    <row r="798" ht="15" customHeight="1">
      <c r="A798" t="inlineStr">
        <is>
          <t>A 19162-2023</t>
        </is>
      </c>
      <c r="B798" s="1" t="n">
        <v>45048.59699074074</v>
      </c>
      <c r="C798" s="1" t="n">
        <v>45891</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30977-2025</t>
        </is>
      </c>
      <c r="B799" s="1" t="n">
        <v>45832.46649305556</v>
      </c>
      <c r="C799" s="1" t="n">
        <v>45891</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31209-2024</t>
        </is>
      </c>
      <c r="B800" s="1" t="n">
        <v>45503.5658912037</v>
      </c>
      <c r="C800" s="1" t="n">
        <v>45891</v>
      </c>
      <c r="D800" t="inlineStr">
        <is>
          <t>KALMAR LÄN</t>
        </is>
      </c>
      <c r="E800" t="inlineStr">
        <is>
          <t>VIMMERBY</t>
        </is>
      </c>
      <c r="G800" t="n">
        <v>1.7</v>
      </c>
      <c r="H800" t="n">
        <v>0</v>
      </c>
      <c r="I800" t="n">
        <v>0</v>
      </c>
      <c r="J800" t="n">
        <v>0</v>
      </c>
      <c r="K800" t="n">
        <v>0</v>
      </c>
      <c r="L800" t="n">
        <v>0</v>
      </c>
      <c r="M800" t="n">
        <v>0</v>
      </c>
      <c r="N800" t="n">
        <v>0</v>
      </c>
      <c r="O800" t="n">
        <v>0</v>
      </c>
      <c r="P800" t="n">
        <v>0</v>
      </c>
      <c r="Q800" t="n">
        <v>0</v>
      </c>
      <c r="R800" s="2" t="inlineStr"/>
    </row>
    <row r="801" ht="15" customHeight="1">
      <c r="A801" t="inlineStr">
        <is>
          <t>A 37939-2025</t>
        </is>
      </c>
      <c r="B801" s="1" t="n">
        <v>45881.59877314815</v>
      </c>
      <c r="C801" s="1" t="n">
        <v>45891</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38604-2025</t>
        </is>
      </c>
      <c r="B802" s="1" t="n">
        <v>45884.50613425926</v>
      </c>
      <c r="C802" s="1" t="n">
        <v>45891</v>
      </c>
      <c r="D802" t="inlineStr">
        <is>
          <t>KALMAR LÄN</t>
        </is>
      </c>
      <c r="E802" t="inlineStr">
        <is>
          <t>VIMMERBY</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5864-2022</t>
        </is>
      </c>
      <c r="B803" s="1" t="n">
        <v>44596</v>
      </c>
      <c r="C803" s="1" t="n">
        <v>45891</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43266-2024</t>
        </is>
      </c>
      <c r="B804" s="1" t="n">
        <v>45568.36879629629</v>
      </c>
      <c r="C804" s="1" t="n">
        <v>45891</v>
      </c>
      <c r="D804" t="inlineStr">
        <is>
          <t>KALMAR LÄN</t>
        </is>
      </c>
      <c r="E804" t="inlineStr">
        <is>
          <t>VIMMERBY</t>
        </is>
      </c>
      <c r="G804" t="n">
        <v>2.4</v>
      </c>
      <c r="H804" t="n">
        <v>0</v>
      </c>
      <c r="I804" t="n">
        <v>0</v>
      </c>
      <c r="J804" t="n">
        <v>0</v>
      </c>
      <c r="K804" t="n">
        <v>0</v>
      </c>
      <c r="L804" t="n">
        <v>0</v>
      </c>
      <c r="M804" t="n">
        <v>0</v>
      </c>
      <c r="N804" t="n">
        <v>0</v>
      </c>
      <c r="O804" t="n">
        <v>0</v>
      </c>
      <c r="P804" t="n">
        <v>0</v>
      </c>
      <c r="Q804" t="n">
        <v>0</v>
      </c>
      <c r="R804" s="2" t="inlineStr"/>
    </row>
    <row r="805" ht="15" customHeight="1">
      <c r="A805" t="inlineStr">
        <is>
          <t>A 42494-2020</t>
        </is>
      </c>
      <c r="B805" s="1" t="n">
        <v>44077</v>
      </c>
      <c r="C805" s="1" t="n">
        <v>45891</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3938-2023</t>
        </is>
      </c>
      <c r="B806" s="1" t="n">
        <v>44952.35775462963</v>
      </c>
      <c r="C806" s="1" t="n">
        <v>45891</v>
      </c>
      <c r="D806" t="inlineStr">
        <is>
          <t>KALMAR LÄN</t>
        </is>
      </c>
      <c r="E806" t="inlineStr">
        <is>
          <t>VIMMERBY</t>
        </is>
      </c>
      <c r="G806" t="n">
        <v>0.9</v>
      </c>
      <c r="H806" t="n">
        <v>0</v>
      </c>
      <c r="I806" t="n">
        <v>0</v>
      </c>
      <c r="J806" t="n">
        <v>0</v>
      </c>
      <c r="K806" t="n">
        <v>0</v>
      </c>
      <c r="L806" t="n">
        <v>0</v>
      </c>
      <c r="M806" t="n">
        <v>0</v>
      </c>
      <c r="N806" t="n">
        <v>0</v>
      </c>
      <c r="O806" t="n">
        <v>0</v>
      </c>
      <c r="P806" t="n">
        <v>0</v>
      </c>
      <c r="Q806" t="n">
        <v>0</v>
      </c>
      <c r="R806" s="2" t="inlineStr"/>
    </row>
    <row r="807" ht="15" customHeight="1">
      <c r="A807" t="inlineStr">
        <is>
          <t>A 33695-2025</t>
        </is>
      </c>
      <c r="B807" s="1" t="n">
        <v>45841.70569444444</v>
      </c>
      <c r="C807" s="1" t="n">
        <v>45891</v>
      </c>
      <c r="D807" t="inlineStr">
        <is>
          <t>KALMAR LÄN</t>
        </is>
      </c>
      <c r="E807" t="inlineStr">
        <is>
          <t>VIMMERBY</t>
        </is>
      </c>
      <c r="G807" t="n">
        <v>2.7</v>
      </c>
      <c r="H807" t="n">
        <v>0</v>
      </c>
      <c r="I807" t="n">
        <v>0</v>
      </c>
      <c r="J807" t="n">
        <v>0</v>
      </c>
      <c r="K807" t="n">
        <v>0</v>
      </c>
      <c r="L807" t="n">
        <v>0</v>
      </c>
      <c r="M807" t="n">
        <v>0</v>
      </c>
      <c r="N807" t="n">
        <v>0</v>
      </c>
      <c r="O807" t="n">
        <v>0</v>
      </c>
      <c r="P807" t="n">
        <v>0</v>
      </c>
      <c r="Q807" t="n">
        <v>0</v>
      </c>
      <c r="R807" s="2" t="inlineStr"/>
    </row>
    <row r="808" ht="15" customHeight="1">
      <c r="A808" t="inlineStr">
        <is>
          <t>A 33698-2025</t>
        </is>
      </c>
      <c r="B808" s="1" t="n">
        <v>45841.70868055556</v>
      </c>
      <c r="C808" s="1" t="n">
        <v>45891</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26937-2023</t>
        </is>
      </c>
      <c r="B809" s="1" t="n">
        <v>45093.62777777778</v>
      </c>
      <c r="C809" s="1" t="n">
        <v>45891</v>
      </c>
      <c r="D809" t="inlineStr">
        <is>
          <t>KALMAR LÄN</t>
        </is>
      </c>
      <c r="E809" t="inlineStr">
        <is>
          <t>VIMMERBY</t>
        </is>
      </c>
      <c r="F809" t="inlineStr">
        <is>
          <t>Sveaskog</t>
        </is>
      </c>
      <c r="G809" t="n">
        <v>14.5</v>
      </c>
      <c r="H809" t="n">
        <v>0</v>
      </c>
      <c r="I809" t="n">
        <v>0</v>
      </c>
      <c r="J809" t="n">
        <v>0</v>
      </c>
      <c r="K809" t="n">
        <v>0</v>
      </c>
      <c r="L809" t="n">
        <v>0</v>
      </c>
      <c r="M809" t="n">
        <v>0</v>
      </c>
      <c r="N809" t="n">
        <v>0</v>
      </c>
      <c r="O809" t="n">
        <v>0</v>
      </c>
      <c r="P809" t="n">
        <v>0</v>
      </c>
      <c r="Q809" t="n">
        <v>0</v>
      </c>
      <c r="R809" s="2" t="inlineStr"/>
    </row>
    <row r="810" ht="15" customHeight="1">
      <c r="A810" t="inlineStr">
        <is>
          <t>A 50085-2023</t>
        </is>
      </c>
      <c r="B810" s="1" t="n">
        <v>45215.5959375</v>
      </c>
      <c r="C810" s="1" t="n">
        <v>45891</v>
      </c>
      <c r="D810" t="inlineStr">
        <is>
          <t>KALMAR LÄN</t>
        </is>
      </c>
      <c r="E810" t="inlineStr">
        <is>
          <t>VIMMERBY</t>
        </is>
      </c>
      <c r="G810" t="n">
        <v>1.1</v>
      </c>
      <c r="H810" t="n">
        <v>0</v>
      </c>
      <c r="I810" t="n">
        <v>0</v>
      </c>
      <c r="J810" t="n">
        <v>0</v>
      </c>
      <c r="K810" t="n">
        <v>0</v>
      </c>
      <c r="L810" t="n">
        <v>0</v>
      </c>
      <c r="M810" t="n">
        <v>0</v>
      </c>
      <c r="N810" t="n">
        <v>0</v>
      </c>
      <c r="O810" t="n">
        <v>0</v>
      </c>
      <c r="P810" t="n">
        <v>0</v>
      </c>
      <c r="Q810" t="n">
        <v>0</v>
      </c>
      <c r="R810" s="2" t="inlineStr"/>
    </row>
    <row r="811" ht="15" customHeight="1">
      <c r="A811" t="inlineStr">
        <is>
          <t>A 33696-2025</t>
        </is>
      </c>
      <c r="B811" s="1" t="n">
        <v>45841.7072337963</v>
      </c>
      <c r="C811" s="1" t="n">
        <v>45891</v>
      </c>
      <c r="D811" t="inlineStr">
        <is>
          <t>KALMAR LÄN</t>
        </is>
      </c>
      <c r="E811" t="inlineStr">
        <is>
          <t>VIMMERBY</t>
        </is>
      </c>
      <c r="G811" t="n">
        <v>1.1</v>
      </c>
      <c r="H811" t="n">
        <v>0</v>
      </c>
      <c r="I811" t="n">
        <v>0</v>
      </c>
      <c r="J811" t="n">
        <v>0</v>
      </c>
      <c r="K811" t="n">
        <v>0</v>
      </c>
      <c r="L811" t="n">
        <v>0</v>
      </c>
      <c r="M811" t="n">
        <v>0</v>
      </c>
      <c r="N811" t="n">
        <v>0</v>
      </c>
      <c r="O811" t="n">
        <v>0</v>
      </c>
      <c r="P811" t="n">
        <v>0</v>
      </c>
      <c r="Q811" t="n">
        <v>0</v>
      </c>
      <c r="R811" s="2" t="inlineStr"/>
    </row>
    <row r="812" ht="15" customHeight="1">
      <c r="A812" t="inlineStr">
        <is>
          <t>A 11219-2023</t>
        </is>
      </c>
      <c r="B812" s="1" t="n">
        <v>44992.62498842592</v>
      </c>
      <c r="C812" s="1" t="n">
        <v>45891</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38602-2025</t>
        </is>
      </c>
      <c r="B813" s="1" t="n">
        <v>45884.50331018519</v>
      </c>
      <c r="C813" s="1" t="n">
        <v>45891</v>
      </c>
      <c r="D813" t="inlineStr">
        <is>
          <t>KALMAR LÄN</t>
        </is>
      </c>
      <c r="E813" t="inlineStr">
        <is>
          <t>VIMMERBY</t>
        </is>
      </c>
      <c r="F813" t="inlineStr">
        <is>
          <t>Sveaskog</t>
        </is>
      </c>
      <c r="G813" t="n">
        <v>4.9</v>
      </c>
      <c r="H813" t="n">
        <v>0</v>
      </c>
      <c r="I813" t="n">
        <v>0</v>
      </c>
      <c r="J813" t="n">
        <v>0</v>
      </c>
      <c r="K813" t="n">
        <v>0</v>
      </c>
      <c r="L813" t="n">
        <v>0</v>
      </c>
      <c r="M813" t="n">
        <v>0</v>
      </c>
      <c r="N813" t="n">
        <v>0</v>
      </c>
      <c r="O813" t="n">
        <v>0</v>
      </c>
      <c r="P813" t="n">
        <v>0</v>
      </c>
      <c r="Q813" t="n">
        <v>0</v>
      </c>
      <c r="R813" s="2" t="inlineStr"/>
    </row>
    <row r="814" ht="15" customHeight="1">
      <c r="A814" t="inlineStr">
        <is>
          <t>A 28702-2025</t>
        </is>
      </c>
      <c r="B814" s="1" t="n">
        <v>45820.03976851852</v>
      </c>
      <c r="C814" s="1" t="n">
        <v>45891</v>
      </c>
      <c r="D814" t="inlineStr">
        <is>
          <t>KALMAR LÄN</t>
        </is>
      </c>
      <c r="E814" t="inlineStr">
        <is>
          <t>VIMMERBY</t>
        </is>
      </c>
      <c r="G814" t="n">
        <v>2.1</v>
      </c>
      <c r="H814" t="n">
        <v>0</v>
      </c>
      <c r="I814" t="n">
        <v>0</v>
      </c>
      <c r="J814" t="n">
        <v>0</v>
      </c>
      <c r="K814" t="n">
        <v>0</v>
      </c>
      <c r="L814" t="n">
        <v>0</v>
      </c>
      <c r="M814" t="n">
        <v>0</v>
      </c>
      <c r="N814" t="n">
        <v>0</v>
      </c>
      <c r="O814" t="n">
        <v>0</v>
      </c>
      <c r="P814" t="n">
        <v>0</v>
      </c>
      <c r="Q814" t="n">
        <v>0</v>
      </c>
      <c r="R814" s="2" t="inlineStr"/>
    </row>
    <row r="815" ht="15" customHeight="1">
      <c r="A815" t="inlineStr">
        <is>
          <t>A 6850-2023</t>
        </is>
      </c>
      <c r="B815" s="1" t="n">
        <v>44967.44255787037</v>
      </c>
      <c r="C815" s="1" t="n">
        <v>45891</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38964-2025</t>
        </is>
      </c>
      <c r="B816" s="1" t="n">
        <v>45887.68759259259</v>
      </c>
      <c r="C816" s="1" t="n">
        <v>45891</v>
      </c>
      <c r="D816" t="inlineStr">
        <is>
          <t>KALMAR LÄN</t>
        </is>
      </c>
      <c r="E816" t="inlineStr">
        <is>
          <t>VIMMERBY</t>
        </is>
      </c>
      <c r="G816" t="n">
        <v>7.5</v>
      </c>
      <c r="H816" t="n">
        <v>0</v>
      </c>
      <c r="I816" t="n">
        <v>0</v>
      </c>
      <c r="J816" t="n">
        <v>0</v>
      </c>
      <c r="K816" t="n">
        <v>0</v>
      </c>
      <c r="L816" t="n">
        <v>0</v>
      </c>
      <c r="M816" t="n">
        <v>0</v>
      </c>
      <c r="N816" t="n">
        <v>0</v>
      </c>
      <c r="O816" t="n">
        <v>0</v>
      </c>
      <c r="P816" t="n">
        <v>0</v>
      </c>
      <c r="Q816" t="n">
        <v>0</v>
      </c>
      <c r="R816" s="2" t="inlineStr"/>
    </row>
    <row r="817" ht="15" customHeight="1">
      <c r="A817" t="inlineStr">
        <is>
          <t>A 6358-2022</t>
        </is>
      </c>
      <c r="B817" s="1" t="n">
        <v>44600</v>
      </c>
      <c r="C817" s="1" t="n">
        <v>45891</v>
      </c>
      <c r="D817" t="inlineStr">
        <is>
          <t>KALMAR LÄN</t>
        </is>
      </c>
      <c r="E817" t="inlineStr">
        <is>
          <t>VIMMERBY</t>
        </is>
      </c>
      <c r="G817" t="n">
        <v>1.7</v>
      </c>
      <c r="H817" t="n">
        <v>0</v>
      </c>
      <c r="I817" t="n">
        <v>0</v>
      </c>
      <c r="J817" t="n">
        <v>0</v>
      </c>
      <c r="K817" t="n">
        <v>0</v>
      </c>
      <c r="L817" t="n">
        <v>0</v>
      </c>
      <c r="M817" t="n">
        <v>0</v>
      </c>
      <c r="N817" t="n">
        <v>0</v>
      </c>
      <c r="O817" t="n">
        <v>0</v>
      </c>
      <c r="P817" t="n">
        <v>0</v>
      </c>
      <c r="Q817" t="n">
        <v>0</v>
      </c>
      <c r="R817" s="2" t="inlineStr"/>
    </row>
    <row r="818" ht="15" customHeight="1">
      <c r="A818" t="inlineStr">
        <is>
          <t>A 34060-2025</t>
        </is>
      </c>
      <c r="B818" s="1" t="n">
        <v>45845.42015046296</v>
      </c>
      <c r="C818" s="1" t="n">
        <v>45891</v>
      </c>
      <c r="D818" t="inlineStr">
        <is>
          <t>KALMAR LÄN</t>
        </is>
      </c>
      <c r="E818" t="inlineStr">
        <is>
          <t>VIMMERBY</t>
        </is>
      </c>
      <c r="G818" t="n">
        <v>5.7</v>
      </c>
      <c r="H818" t="n">
        <v>0</v>
      </c>
      <c r="I818" t="n">
        <v>0</v>
      </c>
      <c r="J818" t="n">
        <v>0</v>
      </c>
      <c r="K818" t="n">
        <v>0</v>
      </c>
      <c r="L818" t="n">
        <v>0</v>
      </c>
      <c r="M818" t="n">
        <v>0</v>
      </c>
      <c r="N818" t="n">
        <v>0</v>
      </c>
      <c r="O818" t="n">
        <v>0</v>
      </c>
      <c r="P818" t="n">
        <v>0</v>
      </c>
      <c r="Q818" t="n">
        <v>0</v>
      </c>
      <c r="R818" s="2" t="inlineStr"/>
    </row>
    <row r="819" ht="15" customHeight="1">
      <c r="A819" t="inlineStr">
        <is>
          <t>A 43853-2023</t>
        </is>
      </c>
      <c r="B819" s="1" t="n">
        <v>45187.60813657408</v>
      </c>
      <c r="C819" s="1" t="n">
        <v>45891</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34071-2025</t>
        </is>
      </c>
      <c r="B820" s="1" t="n">
        <v>45845.43803240741</v>
      </c>
      <c r="C820" s="1" t="n">
        <v>45891</v>
      </c>
      <c r="D820" t="inlineStr">
        <is>
          <t>KALMAR LÄN</t>
        </is>
      </c>
      <c r="E820" t="inlineStr">
        <is>
          <t>VIMMERBY</t>
        </is>
      </c>
      <c r="G820" t="n">
        <v>6.8</v>
      </c>
      <c r="H820" t="n">
        <v>0</v>
      </c>
      <c r="I820" t="n">
        <v>0</v>
      </c>
      <c r="J820" t="n">
        <v>0</v>
      </c>
      <c r="K820" t="n">
        <v>0</v>
      </c>
      <c r="L820" t="n">
        <v>0</v>
      </c>
      <c r="M820" t="n">
        <v>0</v>
      </c>
      <c r="N820" t="n">
        <v>0</v>
      </c>
      <c r="O820" t="n">
        <v>0</v>
      </c>
      <c r="P820" t="n">
        <v>0</v>
      </c>
      <c r="Q820" t="n">
        <v>0</v>
      </c>
      <c r="R820" s="2" t="inlineStr"/>
    </row>
    <row r="821" ht="15" customHeight="1">
      <c r="A821" t="inlineStr">
        <is>
          <t>A 7075-2021</t>
        </is>
      </c>
      <c r="B821" s="1" t="n">
        <v>44237</v>
      </c>
      <c r="C821" s="1" t="n">
        <v>45891</v>
      </c>
      <c r="D821" t="inlineStr">
        <is>
          <t>KALMAR LÄN</t>
        </is>
      </c>
      <c r="E821" t="inlineStr">
        <is>
          <t>VIMMERBY</t>
        </is>
      </c>
      <c r="G821" t="n">
        <v>3.6</v>
      </c>
      <c r="H821" t="n">
        <v>0</v>
      </c>
      <c r="I821" t="n">
        <v>0</v>
      </c>
      <c r="J821" t="n">
        <v>0</v>
      </c>
      <c r="K821" t="n">
        <v>0</v>
      </c>
      <c r="L821" t="n">
        <v>0</v>
      </c>
      <c r="M821" t="n">
        <v>0</v>
      </c>
      <c r="N821" t="n">
        <v>0</v>
      </c>
      <c r="O821" t="n">
        <v>0</v>
      </c>
      <c r="P821" t="n">
        <v>0</v>
      </c>
      <c r="Q821" t="n">
        <v>0</v>
      </c>
      <c r="R821" s="2" t="inlineStr"/>
    </row>
    <row r="822" ht="15" customHeight="1">
      <c r="A822" t="inlineStr">
        <is>
          <t>A 34106-2025</t>
        </is>
      </c>
      <c r="B822" s="1" t="n">
        <v>45845.49414351852</v>
      </c>
      <c r="C822" s="1" t="n">
        <v>45891</v>
      </c>
      <c r="D822" t="inlineStr">
        <is>
          <t>KALMAR LÄN</t>
        </is>
      </c>
      <c r="E822" t="inlineStr">
        <is>
          <t>VIMMERBY</t>
        </is>
      </c>
      <c r="G822" t="n">
        <v>6</v>
      </c>
      <c r="H822" t="n">
        <v>0</v>
      </c>
      <c r="I822" t="n">
        <v>0</v>
      </c>
      <c r="J822" t="n">
        <v>0</v>
      </c>
      <c r="K822" t="n">
        <v>0</v>
      </c>
      <c r="L822" t="n">
        <v>0</v>
      </c>
      <c r="M822" t="n">
        <v>0</v>
      </c>
      <c r="N822" t="n">
        <v>0</v>
      </c>
      <c r="O822" t="n">
        <v>0</v>
      </c>
      <c r="P822" t="n">
        <v>0</v>
      </c>
      <c r="Q822" t="n">
        <v>0</v>
      </c>
      <c r="R822" s="2" t="inlineStr"/>
    </row>
    <row r="823" ht="15" customHeight="1">
      <c r="A823" t="inlineStr">
        <is>
          <t>A 48673-2021</t>
        </is>
      </c>
      <c r="B823" s="1" t="n">
        <v>44452</v>
      </c>
      <c r="C823" s="1" t="n">
        <v>45891</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26956-2025</t>
        </is>
      </c>
      <c r="B824" s="1" t="n">
        <v>45811.45460648148</v>
      </c>
      <c r="C824" s="1" t="n">
        <v>45891</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14137-2023</t>
        </is>
      </c>
      <c r="B825" s="1" t="n">
        <v>45009.4671875</v>
      </c>
      <c r="C825" s="1" t="n">
        <v>45891</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7630-2025</t>
        </is>
      </c>
      <c r="B826" s="1" t="n">
        <v>45705.74418981482</v>
      </c>
      <c r="C826" s="1" t="n">
        <v>45891</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38780-2021</t>
        </is>
      </c>
      <c r="B827" s="1" t="n">
        <v>44410</v>
      </c>
      <c r="C827" s="1" t="n">
        <v>45891</v>
      </c>
      <c r="D827" t="inlineStr">
        <is>
          <t>KALMAR LÄN</t>
        </is>
      </c>
      <c r="E827" t="inlineStr">
        <is>
          <t>VIMMERBY</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30503-2023</t>
        </is>
      </c>
      <c r="B828" s="1" t="n">
        <v>45111</v>
      </c>
      <c r="C828" s="1" t="n">
        <v>45891</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34628-2025</t>
        </is>
      </c>
      <c r="B829" s="1" t="n">
        <v>45847.91280092593</v>
      </c>
      <c r="C829" s="1" t="n">
        <v>45891</v>
      </c>
      <c r="D829" t="inlineStr">
        <is>
          <t>KALMAR LÄN</t>
        </is>
      </c>
      <c r="E829" t="inlineStr">
        <is>
          <t>VIMMERBY</t>
        </is>
      </c>
      <c r="G829" t="n">
        <v>4.2</v>
      </c>
      <c r="H829" t="n">
        <v>0</v>
      </c>
      <c r="I829" t="n">
        <v>0</v>
      </c>
      <c r="J829" t="n">
        <v>0</v>
      </c>
      <c r="K829" t="n">
        <v>0</v>
      </c>
      <c r="L829" t="n">
        <v>0</v>
      </c>
      <c r="M829" t="n">
        <v>0</v>
      </c>
      <c r="N829" t="n">
        <v>0</v>
      </c>
      <c r="O829" t="n">
        <v>0</v>
      </c>
      <c r="P829" t="n">
        <v>0</v>
      </c>
      <c r="Q829" t="n">
        <v>0</v>
      </c>
      <c r="R829" s="2" t="inlineStr"/>
    </row>
    <row r="830" ht="15" customHeight="1">
      <c r="A830" t="inlineStr">
        <is>
          <t>A 60110-2022</t>
        </is>
      </c>
      <c r="B830" s="1" t="n">
        <v>44909</v>
      </c>
      <c r="C830" s="1" t="n">
        <v>45891</v>
      </c>
      <c r="D830" t="inlineStr">
        <is>
          <t>KALMAR LÄN</t>
        </is>
      </c>
      <c r="E830" t="inlineStr">
        <is>
          <t>VIMMERBY</t>
        </is>
      </c>
      <c r="G830" t="n">
        <v>1.7</v>
      </c>
      <c r="H830" t="n">
        <v>0</v>
      </c>
      <c r="I830" t="n">
        <v>0</v>
      </c>
      <c r="J830" t="n">
        <v>0</v>
      </c>
      <c r="K830" t="n">
        <v>0</v>
      </c>
      <c r="L830" t="n">
        <v>0</v>
      </c>
      <c r="M830" t="n">
        <v>0</v>
      </c>
      <c r="N830" t="n">
        <v>0</v>
      </c>
      <c r="O830" t="n">
        <v>0</v>
      </c>
      <c r="P830" t="n">
        <v>0</v>
      </c>
      <c r="Q830" t="n">
        <v>0</v>
      </c>
      <c r="R830" s="2" t="inlineStr"/>
    </row>
    <row r="831" ht="15" customHeight="1">
      <c r="A831" t="inlineStr">
        <is>
          <t>A 59300-2024</t>
        </is>
      </c>
      <c r="B831" s="1" t="n">
        <v>45637.66542824074</v>
      </c>
      <c r="C831" s="1" t="n">
        <v>45891</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19445-2021</t>
        </is>
      </c>
      <c r="B832" s="1" t="n">
        <v>44310</v>
      </c>
      <c r="C832" s="1" t="n">
        <v>45891</v>
      </c>
      <c r="D832" t="inlineStr">
        <is>
          <t>KALMAR LÄN</t>
        </is>
      </c>
      <c r="E832" t="inlineStr">
        <is>
          <t>VIMMERBY</t>
        </is>
      </c>
      <c r="G832" t="n">
        <v>6.8</v>
      </c>
      <c r="H832" t="n">
        <v>0</v>
      </c>
      <c r="I832" t="n">
        <v>0</v>
      </c>
      <c r="J832" t="n">
        <v>0</v>
      </c>
      <c r="K832" t="n">
        <v>0</v>
      </c>
      <c r="L832" t="n">
        <v>0</v>
      </c>
      <c r="M832" t="n">
        <v>0</v>
      </c>
      <c r="N832" t="n">
        <v>0</v>
      </c>
      <c r="O832" t="n">
        <v>0</v>
      </c>
      <c r="P832" t="n">
        <v>0</v>
      </c>
      <c r="Q832" t="n">
        <v>0</v>
      </c>
      <c r="R832" s="2" t="inlineStr"/>
    </row>
    <row r="833" ht="15" customHeight="1">
      <c r="A833" t="inlineStr">
        <is>
          <t>A 18329-2023</t>
        </is>
      </c>
      <c r="B833" s="1" t="n">
        <v>45041.63380787037</v>
      </c>
      <c r="C833" s="1" t="n">
        <v>45891</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5720-2023</t>
        </is>
      </c>
      <c r="B834" s="1" t="n">
        <v>44961</v>
      </c>
      <c r="C834" s="1" t="n">
        <v>45891</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61538-2022</t>
        </is>
      </c>
      <c r="B835" s="1" t="n">
        <v>44916.55414351852</v>
      </c>
      <c r="C835" s="1" t="n">
        <v>45891</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694-2024</t>
        </is>
      </c>
      <c r="B836" s="1" t="n">
        <v>45300.3794212963</v>
      </c>
      <c r="C836" s="1" t="n">
        <v>45891</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57114-2023</t>
        </is>
      </c>
      <c r="B837" s="1" t="n">
        <v>45245.36174768519</v>
      </c>
      <c r="C837" s="1" t="n">
        <v>45891</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44999.36081018519</v>
      </c>
      <c r="C838" s="1" t="n">
        <v>45891</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30633-2024</t>
        </is>
      </c>
      <c r="B839" s="1" t="n">
        <v>45495</v>
      </c>
      <c r="C839" s="1" t="n">
        <v>45891</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33424-2023</t>
        </is>
      </c>
      <c r="B840" s="1" t="n">
        <v>45128.9325</v>
      </c>
      <c r="C840" s="1" t="n">
        <v>45891</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33425-2023</t>
        </is>
      </c>
      <c r="B841" s="1" t="n">
        <v>45128.93540509259</v>
      </c>
      <c r="C841" s="1" t="n">
        <v>45891</v>
      </c>
      <c r="D841" t="inlineStr">
        <is>
          <t>KALMAR LÄN</t>
        </is>
      </c>
      <c r="E841" t="inlineStr">
        <is>
          <t>VIMMERBY</t>
        </is>
      </c>
      <c r="G841" t="n">
        <v>1.4</v>
      </c>
      <c r="H841" t="n">
        <v>0</v>
      </c>
      <c r="I841" t="n">
        <v>0</v>
      </c>
      <c r="J841" t="n">
        <v>0</v>
      </c>
      <c r="K841" t="n">
        <v>0</v>
      </c>
      <c r="L841" t="n">
        <v>0</v>
      </c>
      <c r="M841" t="n">
        <v>0</v>
      </c>
      <c r="N841" t="n">
        <v>0</v>
      </c>
      <c r="O841" t="n">
        <v>0</v>
      </c>
      <c r="P841" t="n">
        <v>0</v>
      </c>
      <c r="Q841" t="n">
        <v>0</v>
      </c>
      <c r="R841" s="2" t="inlineStr"/>
    </row>
    <row r="842" ht="15" customHeight="1">
      <c r="A842" t="inlineStr">
        <is>
          <t>A 3609-2024</t>
        </is>
      </c>
      <c r="B842" s="1" t="n">
        <v>45320.89128472222</v>
      </c>
      <c r="C842" s="1" t="n">
        <v>45891</v>
      </c>
      <c r="D842" t="inlineStr">
        <is>
          <t>KALMAR LÄN</t>
        </is>
      </c>
      <c r="E842" t="inlineStr">
        <is>
          <t>VIMMERBY</t>
        </is>
      </c>
      <c r="G842" t="n">
        <v>1.7</v>
      </c>
      <c r="H842" t="n">
        <v>0</v>
      </c>
      <c r="I842" t="n">
        <v>0</v>
      </c>
      <c r="J842" t="n">
        <v>0</v>
      </c>
      <c r="K842" t="n">
        <v>0</v>
      </c>
      <c r="L842" t="n">
        <v>0</v>
      </c>
      <c r="M842" t="n">
        <v>0</v>
      </c>
      <c r="N842" t="n">
        <v>0</v>
      </c>
      <c r="O842" t="n">
        <v>0</v>
      </c>
      <c r="P842" t="n">
        <v>0</v>
      </c>
      <c r="Q842" t="n">
        <v>0</v>
      </c>
      <c r="R842" s="2" t="inlineStr"/>
    </row>
    <row r="843" ht="15" customHeight="1">
      <c r="A843" t="inlineStr">
        <is>
          <t>A 8650-2022</t>
        </is>
      </c>
      <c r="B843" s="1" t="n">
        <v>44613</v>
      </c>
      <c r="C843" s="1" t="n">
        <v>45891</v>
      </c>
      <c r="D843" t="inlineStr">
        <is>
          <t>KALMAR LÄN</t>
        </is>
      </c>
      <c r="E843" t="inlineStr">
        <is>
          <t>VIMMERBY</t>
        </is>
      </c>
      <c r="G843" t="n">
        <v>1.4</v>
      </c>
      <c r="H843" t="n">
        <v>0</v>
      </c>
      <c r="I843" t="n">
        <v>0</v>
      </c>
      <c r="J843" t="n">
        <v>0</v>
      </c>
      <c r="K843" t="n">
        <v>0</v>
      </c>
      <c r="L843" t="n">
        <v>0</v>
      </c>
      <c r="M843" t="n">
        <v>0</v>
      </c>
      <c r="N843" t="n">
        <v>0</v>
      </c>
      <c r="O843" t="n">
        <v>0</v>
      </c>
      <c r="P843" t="n">
        <v>0</v>
      </c>
      <c r="Q843" t="n">
        <v>0</v>
      </c>
      <c r="R843" s="2" t="inlineStr"/>
    </row>
    <row r="844" ht="15" customHeight="1">
      <c r="A844" t="inlineStr">
        <is>
          <t>A 11147-2023</t>
        </is>
      </c>
      <c r="B844" s="1" t="n">
        <v>44992</v>
      </c>
      <c r="C844" s="1" t="n">
        <v>45891</v>
      </c>
      <c r="D844" t="inlineStr">
        <is>
          <t>KALMAR LÄN</t>
        </is>
      </c>
      <c r="E844" t="inlineStr">
        <is>
          <t>VIMMERBY</t>
        </is>
      </c>
      <c r="G844" t="n">
        <v>0.8</v>
      </c>
      <c r="H844" t="n">
        <v>0</v>
      </c>
      <c r="I844" t="n">
        <v>0</v>
      </c>
      <c r="J844" t="n">
        <v>0</v>
      </c>
      <c r="K844" t="n">
        <v>0</v>
      </c>
      <c r="L844" t="n">
        <v>0</v>
      </c>
      <c r="M844" t="n">
        <v>0</v>
      </c>
      <c r="N844" t="n">
        <v>0</v>
      </c>
      <c r="O844" t="n">
        <v>0</v>
      </c>
      <c r="P844" t="n">
        <v>0</v>
      </c>
      <c r="Q844" t="n">
        <v>0</v>
      </c>
      <c r="R844" s="2" t="inlineStr"/>
    </row>
    <row r="845" ht="15" customHeight="1">
      <c r="A845" t="inlineStr">
        <is>
          <t>A 16676-2023</t>
        </is>
      </c>
      <c r="B845" s="1" t="n">
        <v>45028</v>
      </c>
      <c r="C845" s="1" t="n">
        <v>45891</v>
      </c>
      <c r="D845" t="inlineStr">
        <is>
          <t>KALMAR LÄN</t>
        </is>
      </c>
      <c r="E845" t="inlineStr">
        <is>
          <t>VIMMERBY</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23263-2024</t>
        </is>
      </c>
      <c r="B846" s="1" t="n">
        <v>45453.36854166666</v>
      </c>
      <c r="C846" s="1" t="n">
        <v>45891</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49488-2023</t>
        </is>
      </c>
      <c r="B847" s="1" t="n">
        <v>45211.55472222222</v>
      </c>
      <c r="C847" s="1" t="n">
        <v>45891</v>
      </c>
      <c r="D847" t="inlineStr">
        <is>
          <t>KALMAR LÄN</t>
        </is>
      </c>
      <c r="E847" t="inlineStr">
        <is>
          <t>VIMMERBY</t>
        </is>
      </c>
      <c r="F847" t="inlineStr">
        <is>
          <t>Sveaskog</t>
        </is>
      </c>
      <c r="G847" t="n">
        <v>6.2</v>
      </c>
      <c r="H847" t="n">
        <v>0</v>
      </c>
      <c r="I847" t="n">
        <v>0</v>
      </c>
      <c r="J847" t="n">
        <v>0</v>
      </c>
      <c r="K847" t="n">
        <v>0</v>
      </c>
      <c r="L847" t="n">
        <v>0</v>
      </c>
      <c r="M847" t="n">
        <v>0</v>
      </c>
      <c r="N847" t="n">
        <v>0</v>
      </c>
      <c r="O847" t="n">
        <v>0</v>
      </c>
      <c r="P847" t="n">
        <v>0</v>
      </c>
      <c r="Q847" t="n">
        <v>0</v>
      </c>
      <c r="R847" s="2" t="inlineStr"/>
    </row>
    <row r="848" ht="15" customHeight="1">
      <c r="A848" t="inlineStr">
        <is>
          <t>A 59768-2024</t>
        </is>
      </c>
      <c r="B848" s="1" t="n">
        <v>45639.56185185185</v>
      </c>
      <c r="C848" s="1" t="n">
        <v>45891</v>
      </c>
      <c r="D848" t="inlineStr">
        <is>
          <t>KALMAR LÄN</t>
        </is>
      </c>
      <c r="E848" t="inlineStr">
        <is>
          <t>VIMMERBY</t>
        </is>
      </c>
      <c r="G848" t="n">
        <v>5.9</v>
      </c>
      <c r="H848" t="n">
        <v>0</v>
      </c>
      <c r="I848" t="n">
        <v>0</v>
      </c>
      <c r="J848" t="n">
        <v>0</v>
      </c>
      <c r="K848" t="n">
        <v>0</v>
      </c>
      <c r="L848" t="n">
        <v>0</v>
      </c>
      <c r="M848" t="n">
        <v>0</v>
      </c>
      <c r="N848" t="n">
        <v>0</v>
      </c>
      <c r="O848" t="n">
        <v>0</v>
      </c>
      <c r="P848" t="n">
        <v>0</v>
      </c>
      <c r="Q848" t="n">
        <v>0</v>
      </c>
      <c r="R848" s="2" t="inlineStr"/>
    </row>
    <row r="849" ht="15" customHeight="1">
      <c r="A849" t="inlineStr">
        <is>
          <t>A 72067-2021</t>
        </is>
      </c>
      <c r="B849" s="1" t="n">
        <v>44540</v>
      </c>
      <c r="C849" s="1" t="n">
        <v>45891</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41158-2023</t>
        </is>
      </c>
      <c r="B850" s="1" t="n">
        <v>45174.31395833333</v>
      </c>
      <c r="C850" s="1" t="n">
        <v>45891</v>
      </c>
      <c r="D850" t="inlineStr">
        <is>
          <t>KALMAR LÄN</t>
        </is>
      </c>
      <c r="E850" t="inlineStr">
        <is>
          <t>VIMMERBY</t>
        </is>
      </c>
      <c r="G850" t="n">
        <v>1.4</v>
      </c>
      <c r="H850" t="n">
        <v>0</v>
      </c>
      <c r="I850" t="n">
        <v>0</v>
      </c>
      <c r="J850" t="n">
        <v>0</v>
      </c>
      <c r="K850" t="n">
        <v>0</v>
      </c>
      <c r="L850" t="n">
        <v>0</v>
      </c>
      <c r="M850" t="n">
        <v>0</v>
      </c>
      <c r="N850" t="n">
        <v>0</v>
      </c>
      <c r="O850" t="n">
        <v>0</v>
      </c>
      <c r="P850" t="n">
        <v>0</v>
      </c>
      <c r="Q850" t="n">
        <v>0</v>
      </c>
      <c r="R850" s="2" t="inlineStr"/>
    </row>
    <row r="851" ht="15" customHeight="1">
      <c r="A851" t="inlineStr">
        <is>
          <t>A 22198-2024</t>
        </is>
      </c>
      <c r="B851" s="1" t="n">
        <v>45446.36865740741</v>
      </c>
      <c r="C851" s="1" t="n">
        <v>45891</v>
      </c>
      <c r="D851" t="inlineStr">
        <is>
          <t>KALMAR LÄN</t>
        </is>
      </c>
      <c r="E851" t="inlineStr">
        <is>
          <t>VIMMERBY</t>
        </is>
      </c>
      <c r="F851" t="inlineStr">
        <is>
          <t>Sveaskog</t>
        </is>
      </c>
      <c r="G851" t="n">
        <v>2.3</v>
      </c>
      <c r="H851" t="n">
        <v>0</v>
      </c>
      <c r="I851" t="n">
        <v>0</v>
      </c>
      <c r="J851" t="n">
        <v>0</v>
      </c>
      <c r="K851" t="n">
        <v>0</v>
      </c>
      <c r="L851" t="n">
        <v>0</v>
      </c>
      <c r="M851" t="n">
        <v>0</v>
      </c>
      <c r="N851" t="n">
        <v>0</v>
      </c>
      <c r="O851" t="n">
        <v>0</v>
      </c>
      <c r="P851" t="n">
        <v>0</v>
      </c>
      <c r="Q851" t="n">
        <v>0</v>
      </c>
      <c r="R851" s="2" t="inlineStr"/>
    </row>
    <row r="852">
      <c r="A852" t="inlineStr">
        <is>
          <t>A 9511-2023</t>
        </is>
      </c>
      <c r="B852" s="1" t="n">
        <v>44981.64725694444</v>
      </c>
      <c r="C852" s="1" t="n">
        <v>45891</v>
      </c>
      <c r="D852" t="inlineStr">
        <is>
          <t>KALMAR LÄN</t>
        </is>
      </c>
      <c r="E852" t="inlineStr">
        <is>
          <t>VIMMERBY</t>
        </is>
      </c>
      <c r="G852" t="n">
        <v>3.5</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2025-08-22T08:28:46Z</dcterms:created>
  <dcterms:modified xmlns:dcterms="http://purl.org/dc/terms/" xmlns:xsi="http://www.w3.org/2001/XMLSchema-instance" xsi:type="dcterms:W3CDTF">2025-08-22T08:28:47Z</dcterms:modified>
</cp:coreProperties>
</file>