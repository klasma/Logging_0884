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46161</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46161</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46161</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46161</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46161</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46161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46161</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46161</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32645-2023</t>
        </is>
      </c>
      <c r="B15" s="1" t="n">
        <v>45121.60543981481</v>
      </c>
      <c r="C15" s="1" t="n">
        <v>46161</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55604-2025</t>
        </is>
      </c>
      <c r="B16" s="1" t="n">
        <v>45971</v>
      </c>
      <c r="C16" s="1" t="n">
        <v>46161</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37901-2022</t>
        </is>
      </c>
      <c r="B17" s="1" t="n">
        <v>44811</v>
      </c>
      <c r="C17" s="1" t="n">
        <v>46161</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46161</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46161</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46161</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46161</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46161</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46161</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22396-2025</t>
        </is>
      </c>
      <c r="B24" s="1" t="n">
        <v>45786.52827546297</v>
      </c>
      <c r="C24" s="1" t="n">
        <v>46161</v>
      </c>
      <c r="D24" t="inlineStr">
        <is>
          <t>KALMAR LÄN</t>
        </is>
      </c>
      <c r="E24" t="inlineStr">
        <is>
          <t>VIMMERBY</t>
        </is>
      </c>
      <c r="G24" t="n">
        <v>2.5</v>
      </c>
      <c r="H24" t="n">
        <v>2</v>
      </c>
      <c r="I24" t="n">
        <v>0</v>
      </c>
      <c r="J24" t="n">
        <v>0</v>
      </c>
      <c r="K24" t="n">
        <v>1</v>
      </c>
      <c r="L24" t="n">
        <v>0</v>
      </c>
      <c r="M24" t="n">
        <v>0</v>
      </c>
      <c r="N24" t="n">
        <v>0</v>
      </c>
      <c r="O24" t="n">
        <v>1</v>
      </c>
      <c r="P24" t="n">
        <v>1</v>
      </c>
      <c r="Q24" t="n">
        <v>2</v>
      </c>
      <c r="R24" s="2" t="inlineStr">
        <is>
          <t>Knärot
Kungsfågel</t>
        </is>
      </c>
      <c r="S24">
        <f>HYPERLINK("https://klasma.github.io/Logging_0884/artfynd/A 22396-2025 artfynd.xlsx", "A 22396-2025")</f>
        <v/>
      </c>
      <c r="T24">
        <f>HYPERLINK("https://klasma.github.io/Logging_0884/kartor/A 22396-2025 karta.png", "A 22396-2025")</f>
        <v/>
      </c>
      <c r="U24">
        <f>HYPERLINK("https://klasma.github.io/Logging_0884/knärot/A 22396-2025 karta knärot.png", "A 22396-2025")</f>
        <v/>
      </c>
      <c r="V24">
        <f>HYPERLINK("https://klasma.github.io/Logging_0884/klagomål/A 22396-2025 FSC-klagomål.docx", "A 22396-2025")</f>
        <v/>
      </c>
      <c r="W24">
        <f>HYPERLINK("https://klasma.github.io/Logging_0884/klagomålsmail/A 22396-2025 FSC-klagomål mail.docx", "A 22396-2025")</f>
        <v/>
      </c>
      <c r="X24">
        <f>HYPERLINK("https://klasma.github.io/Logging_0884/tillsyn/A 22396-2025 tillsynsbegäran.docx", "A 22396-2025")</f>
        <v/>
      </c>
      <c r="Y24">
        <f>HYPERLINK("https://klasma.github.io/Logging_0884/tillsynsmail/A 22396-2025 tillsynsbegäran mail.docx", "A 22396-2025")</f>
        <v/>
      </c>
      <c r="Z24">
        <f>HYPERLINK("https://klasma.github.io/Logging_0884/fåglar/A 22396-2025 prioriterade fågelarter.docx", "A 22396-2025")</f>
        <v/>
      </c>
    </row>
    <row r="25" ht="15" customHeight="1">
      <c r="A25" t="inlineStr">
        <is>
          <t>A 2518-2023</t>
        </is>
      </c>
      <c r="B25" s="1" t="n">
        <v>44943</v>
      </c>
      <c r="C25" s="1" t="n">
        <v>46161</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40684-2025</t>
        </is>
      </c>
      <c r="B26" s="1" t="n">
        <v>45896.86820601852</v>
      </c>
      <c r="C26" s="1" t="n">
        <v>46161</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46161</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46161</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22825-2023</t>
        </is>
      </c>
      <c r="B29" s="1" t="n">
        <v>45072</v>
      </c>
      <c r="C29" s="1" t="n">
        <v>46161</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14426-2026</t>
        </is>
      </c>
      <c r="B30" s="1" t="n">
        <v>46100.46956018519</v>
      </c>
      <c r="C30" s="1" t="n">
        <v>46161</v>
      </c>
      <c r="D30" t="inlineStr">
        <is>
          <t>KALMAR LÄN</t>
        </is>
      </c>
      <c r="E30" t="inlineStr">
        <is>
          <t>VIMMERBY</t>
        </is>
      </c>
      <c r="F30" t="inlineStr">
        <is>
          <t>Kyrkan</t>
        </is>
      </c>
      <c r="G30" t="n">
        <v>8.6</v>
      </c>
      <c r="H30" t="n">
        <v>1</v>
      </c>
      <c r="I30" t="n">
        <v>0</v>
      </c>
      <c r="J30" t="n">
        <v>1</v>
      </c>
      <c r="K30" t="n">
        <v>1</v>
      </c>
      <c r="L30" t="n">
        <v>0</v>
      </c>
      <c r="M30" t="n">
        <v>0</v>
      </c>
      <c r="N30" t="n">
        <v>0</v>
      </c>
      <c r="O30" t="n">
        <v>2</v>
      </c>
      <c r="P30" t="n">
        <v>1</v>
      </c>
      <c r="Q30" t="n">
        <v>2</v>
      </c>
      <c r="R30" s="2" t="inlineStr">
        <is>
          <t>Knärot
Tallticka</t>
        </is>
      </c>
      <c r="S30">
        <f>HYPERLINK("https://klasma.github.io/Logging_0884/artfynd/A 14426-2026 artfynd.xlsx", "A 14426-2026")</f>
        <v/>
      </c>
      <c r="T30">
        <f>HYPERLINK("https://klasma.github.io/Logging_0884/kartor/A 14426-2026 karta.png", "A 14426-2026")</f>
        <v/>
      </c>
      <c r="U30">
        <f>HYPERLINK("https://klasma.github.io/Logging_0884/knärot/A 14426-2026 karta knärot.png", "A 14426-2026")</f>
        <v/>
      </c>
      <c r="V30">
        <f>HYPERLINK("https://klasma.github.io/Logging_0884/klagomål/A 14426-2026 FSC-klagomål.docx", "A 14426-2026")</f>
        <v/>
      </c>
      <c r="W30">
        <f>HYPERLINK("https://klasma.github.io/Logging_0884/klagomålsmail/A 14426-2026 FSC-klagomål mail.docx", "A 14426-2026")</f>
        <v/>
      </c>
      <c r="X30">
        <f>HYPERLINK("https://klasma.github.io/Logging_0884/tillsyn/A 14426-2026 tillsynsbegäran.docx", "A 14426-2026")</f>
        <v/>
      </c>
      <c r="Y30">
        <f>HYPERLINK("https://klasma.github.io/Logging_0884/tillsynsmail/A 14426-2026 tillsynsbegäran mail.docx", "A 14426-2026")</f>
        <v/>
      </c>
    </row>
    <row r="31" ht="15" customHeight="1">
      <c r="A31" t="inlineStr">
        <is>
          <t>A 14024-2023</t>
        </is>
      </c>
      <c r="B31" s="1" t="n">
        <v>45008.60878472222</v>
      </c>
      <c r="C31" s="1" t="n">
        <v>46161</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46161</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46161</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32396-2021</t>
        </is>
      </c>
      <c r="B34" s="1" t="n">
        <v>44371</v>
      </c>
      <c r="C34" s="1" t="n">
        <v>46161</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46161</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46161</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46161</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1201-2025</t>
        </is>
      </c>
      <c r="B38" s="1" t="n">
        <v>45667</v>
      </c>
      <c r="C38" s="1" t="n">
        <v>46161</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29183-2025</t>
        </is>
      </c>
      <c r="B39" s="1" t="n">
        <v>45821</v>
      </c>
      <c r="C39" s="1" t="n">
        <v>46161</v>
      </c>
      <c r="D39" t="inlineStr">
        <is>
          <t>KALMAR LÄN</t>
        </is>
      </c>
      <c r="E39" t="inlineStr">
        <is>
          <t>VIMMERBY</t>
        </is>
      </c>
      <c r="G39" t="n">
        <v>2.7</v>
      </c>
      <c r="H39" t="n">
        <v>0</v>
      </c>
      <c r="I39" t="n">
        <v>1</v>
      </c>
      <c r="J39" t="n">
        <v>0</v>
      </c>
      <c r="K39" t="n">
        <v>0</v>
      </c>
      <c r="L39" t="n">
        <v>0</v>
      </c>
      <c r="M39" t="n">
        <v>0</v>
      </c>
      <c r="N39" t="n">
        <v>0</v>
      </c>
      <c r="O39" t="n">
        <v>0</v>
      </c>
      <c r="P39" t="n">
        <v>0</v>
      </c>
      <c r="Q39" t="n">
        <v>1</v>
      </c>
      <c r="R39" s="2" t="inlineStr">
        <is>
          <t>Sårläka</t>
        </is>
      </c>
      <c r="S39">
        <f>HYPERLINK("https://klasma.github.io/Logging_0884/artfynd/A 29183-2025 artfynd.xlsx", "A 29183-2025")</f>
        <v/>
      </c>
      <c r="T39">
        <f>HYPERLINK("https://klasma.github.io/Logging_0884/kartor/A 29183-2025 karta.png", "A 29183-2025")</f>
        <v/>
      </c>
      <c r="V39">
        <f>HYPERLINK("https://klasma.github.io/Logging_0884/klagomål/A 29183-2025 FSC-klagomål.docx", "A 29183-2025")</f>
        <v/>
      </c>
      <c r="W39">
        <f>HYPERLINK("https://klasma.github.io/Logging_0884/klagomålsmail/A 29183-2025 FSC-klagomål mail.docx", "A 29183-2025")</f>
        <v/>
      </c>
      <c r="X39">
        <f>HYPERLINK("https://klasma.github.io/Logging_0884/tillsyn/A 29183-2025 tillsynsbegäran.docx", "A 29183-2025")</f>
        <v/>
      </c>
      <c r="Y39">
        <f>HYPERLINK("https://klasma.github.io/Logging_0884/tillsynsmail/A 29183-2025 tillsynsbegäran mail.docx", "A 29183-2025")</f>
        <v/>
      </c>
    </row>
    <row r="40" ht="15" customHeight="1">
      <c r="A40" t="inlineStr">
        <is>
          <t>A 40083-2023</t>
        </is>
      </c>
      <c r="B40" s="1" t="n">
        <v>45168</v>
      </c>
      <c r="C40" s="1" t="n">
        <v>46161</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46161</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53404-2025</t>
        </is>
      </c>
      <c r="B42" s="1" t="n">
        <v>45959.57126157408</v>
      </c>
      <c r="C42" s="1" t="n">
        <v>46161</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53400-2025</t>
        </is>
      </c>
      <c r="B43" s="1" t="n">
        <v>45959.56684027778</v>
      </c>
      <c r="C43" s="1" t="n">
        <v>46161</v>
      </c>
      <c r="D43" t="inlineStr">
        <is>
          <t>KALMAR LÄN</t>
        </is>
      </c>
      <c r="E43" t="inlineStr">
        <is>
          <t>VIMMERBY</t>
        </is>
      </c>
      <c r="G43" t="n">
        <v>9.199999999999999</v>
      </c>
      <c r="H43" t="n">
        <v>1</v>
      </c>
      <c r="I43" t="n">
        <v>0</v>
      </c>
      <c r="J43" t="n">
        <v>0</v>
      </c>
      <c r="K43" t="n">
        <v>1</v>
      </c>
      <c r="L43" t="n">
        <v>0</v>
      </c>
      <c r="M43" t="n">
        <v>0</v>
      </c>
      <c r="N43" t="n">
        <v>0</v>
      </c>
      <c r="O43" t="n">
        <v>1</v>
      </c>
      <c r="P43" t="n">
        <v>1</v>
      </c>
      <c r="Q43" t="n">
        <v>1</v>
      </c>
      <c r="R43" s="2" t="inlineStr">
        <is>
          <t>Knärot</t>
        </is>
      </c>
      <c r="S43">
        <f>HYPERLINK("https://klasma.github.io/Logging_0884/artfynd/A 53400-2025 artfynd.xlsx", "A 53400-2025")</f>
        <v/>
      </c>
      <c r="T43">
        <f>HYPERLINK("https://klasma.github.io/Logging_0884/kartor/A 53400-2025 karta.png", "A 53400-2025")</f>
        <v/>
      </c>
      <c r="U43">
        <f>HYPERLINK("https://klasma.github.io/Logging_0884/knärot/A 53400-2025 karta knärot.png", "A 53400-2025")</f>
        <v/>
      </c>
      <c r="V43">
        <f>HYPERLINK("https://klasma.github.io/Logging_0884/klagomål/A 53400-2025 FSC-klagomål.docx", "A 53400-2025")</f>
        <v/>
      </c>
      <c r="W43">
        <f>HYPERLINK("https://klasma.github.io/Logging_0884/klagomålsmail/A 53400-2025 FSC-klagomål mail.docx", "A 53400-2025")</f>
        <v/>
      </c>
      <c r="X43">
        <f>HYPERLINK("https://klasma.github.io/Logging_0884/tillsyn/A 53400-2025 tillsynsbegäran.docx", "A 53400-2025")</f>
        <v/>
      </c>
      <c r="Y43">
        <f>HYPERLINK("https://klasma.github.io/Logging_0884/tillsynsmail/A 53400-2025 tillsynsbegäran mail.docx", "A 53400-2025")</f>
        <v/>
      </c>
    </row>
    <row r="44" ht="15" customHeight="1">
      <c r="A44" t="inlineStr">
        <is>
          <t>A 55384-2025</t>
        </is>
      </c>
      <c r="B44" s="1" t="n">
        <v>45971.43178240741</v>
      </c>
      <c r="C44" s="1" t="n">
        <v>46161</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23602-2023</t>
        </is>
      </c>
      <c r="B45" s="1" t="n">
        <v>45077</v>
      </c>
      <c r="C45" s="1" t="n">
        <v>46161</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57062-2025</t>
        </is>
      </c>
      <c r="B46" s="1" t="n">
        <v>45979.37598379629</v>
      </c>
      <c r="C46" s="1" t="n">
        <v>46161</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32985-2023</t>
        </is>
      </c>
      <c r="B47" s="1" t="n">
        <v>45125</v>
      </c>
      <c r="C47" s="1" t="n">
        <v>46161</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15122-2024</t>
        </is>
      </c>
      <c r="B48" s="1" t="n">
        <v>45399.71412037037</v>
      </c>
      <c r="C48" s="1" t="n">
        <v>46161</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37930-2021</t>
        </is>
      </c>
      <c r="B49" s="1" t="n">
        <v>44403</v>
      </c>
      <c r="C49" s="1" t="n">
        <v>46161</v>
      </c>
      <c r="D49" t="inlineStr">
        <is>
          <t>KALMAR LÄN</t>
        </is>
      </c>
      <c r="E49" t="inlineStr">
        <is>
          <t>VIMMERBY</t>
        </is>
      </c>
      <c r="G49" t="n">
        <v>4.4</v>
      </c>
      <c r="H49" t="n">
        <v>0</v>
      </c>
      <c r="I49" t="n">
        <v>0</v>
      </c>
      <c r="J49" t="n">
        <v>1</v>
      </c>
      <c r="K49" t="n">
        <v>0</v>
      </c>
      <c r="L49" t="n">
        <v>0</v>
      </c>
      <c r="M49" t="n">
        <v>0</v>
      </c>
      <c r="N49" t="n">
        <v>0</v>
      </c>
      <c r="O49" t="n">
        <v>1</v>
      </c>
      <c r="P49" t="n">
        <v>0</v>
      </c>
      <c r="Q49" t="n">
        <v>1</v>
      </c>
      <c r="R49" s="2" t="inlineStr">
        <is>
          <t>Spindelört</t>
        </is>
      </c>
      <c r="S49">
        <f>HYPERLINK("https://klasma.github.io/Logging_0884/artfynd/A 37930-2021 artfynd.xlsx", "A 37930-2021")</f>
        <v/>
      </c>
      <c r="T49">
        <f>HYPERLINK("https://klasma.github.io/Logging_0884/kartor/A 37930-2021 karta.png", "A 37930-2021")</f>
        <v/>
      </c>
      <c r="V49">
        <f>HYPERLINK("https://klasma.github.io/Logging_0884/klagomål/A 37930-2021 FSC-klagomål.docx", "A 37930-2021")</f>
        <v/>
      </c>
      <c r="W49">
        <f>HYPERLINK("https://klasma.github.io/Logging_0884/klagomålsmail/A 37930-2021 FSC-klagomål mail.docx", "A 37930-2021")</f>
        <v/>
      </c>
      <c r="X49">
        <f>HYPERLINK("https://klasma.github.io/Logging_0884/tillsyn/A 37930-2021 tillsynsbegäran.docx", "A 37930-2021")</f>
        <v/>
      </c>
      <c r="Y49">
        <f>HYPERLINK("https://klasma.github.io/Logging_0884/tillsynsmail/A 37930-2021 tillsynsbegäran mail.docx", "A 37930-2021")</f>
        <v/>
      </c>
    </row>
    <row r="50" ht="15" customHeight="1">
      <c r="A50" t="inlineStr">
        <is>
          <t>A 33436-2021</t>
        </is>
      </c>
      <c r="B50" s="1" t="n">
        <v>44377.61104166666</v>
      </c>
      <c r="C50" s="1" t="n">
        <v>46161</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61860-2024</t>
        </is>
      </c>
      <c r="B51" s="1" t="n">
        <v>45649</v>
      </c>
      <c r="C51" s="1" t="n">
        <v>46161</v>
      </c>
      <c r="D51" t="inlineStr">
        <is>
          <t>KALMAR LÄN</t>
        </is>
      </c>
      <c r="E51" t="inlineStr">
        <is>
          <t>VIMMERBY</t>
        </is>
      </c>
      <c r="G51" t="n">
        <v>4.4</v>
      </c>
      <c r="H51" t="n">
        <v>1</v>
      </c>
      <c r="I51" t="n">
        <v>0</v>
      </c>
      <c r="J51" t="n">
        <v>0</v>
      </c>
      <c r="K51" t="n">
        <v>1</v>
      </c>
      <c r="L51" t="n">
        <v>0</v>
      </c>
      <c r="M51" t="n">
        <v>0</v>
      </c>
      <c r="N51" t="n">
        <v>0</v>
      </c>
      <c r="O51" t="n">
        <v>1</v>
      </c>
      <c r="P51" t="n">
        <v>1</v>
      </c>
      <c r="Q51" t="n">
        <v>1</v>
      </c>
      <c r="R51" s="2" t="inlineStr">
        <is>
          <t>Knärot</t>
        </is>
      </c>
      <c r="S51">
        <f>HYPERLINK("https://klasma.github.io/Logging_0884/artfynd/A 61860-2024 artfynd.xlsx", "A 61860-2024")</f>
        <v/>
      </c>
      <c r="T51">
        <f>HYPERLINK("https://klasma.github.io/Logging_0884/kartor/A 61860-2024 karta.png", "A 61860-2024")</f>
        <v/>
      </c>
      <c r="U51">
        <f>HYPERLINK("https://klasma.github.io/Logging_0884/knärot/A 61860-2024 karta knärot.png", "A 61860-2024")</f>
        <v/>
      </c>
      <c r="V51">
        <f>HYPERLINK("https://klasma.github.io/Logging_0884/klagomål/A 61860-2024 FSC-klagomål.docx", "A 61860-2024")</f>
        <v/>
      </c>
      <c r="W51">
        <f>HYPERLINK("https://klasma.github.io/Logging_0884/klagomålsmail/A 61860-2024 FSC-klagomål mail.docx", "A 61860-2024")</f>
        <v/>
      </c>
      <c r="X51">
        <f>HYPERLINK("https://klasma.github.io/Logging_0884/tillsyn/A 61860-2024 tillsynsbegäran.docx", "A 61860-2024")</f>
        <v/>
      </c>
      <c r="Y51">
        <f>HYPERLINK("https://klasma.github.io/Logging_0884/tillsynsmail/A 61860-2024 tillsynsbegäran mail.docx", "A 61860-2024")</f>
        <v/>
      </c>
    </row>
    <row r="52" ht="15" customHeight="1">
      <c r="A52" t="inlineStr">
        <is>
          <t>A 44515-2024</t>
        </is>
      </c>
      <c r="B52" s="1" t="n">
        <v>45574.42767361111</v>
      </c>
      <c r="C52" s="1" t="n">
        <v>46161</v>
      </c>
      <c r="D52" t="inlineStr">
        <is>
          <t>KALMAR LÄN</t>
        </is>
      </c>
      <c r="E52" t="inlineStr">
        <is>
          <t>VIMMERBY</t>
        </is>
      </c>
      <c r="G52" t="n">
        <v>1.4</v>
      </c>
      <c r="H52" t="n">
        <v>1</v>
      </c>
      <c r="I52" t="n">
        <v>0</v>
      </c>
      <c r="J52" t="n">
        <v>0</v>
      </c>
      <c r="K52" t="n">
        <v>1</v>
      </c>
      <c r="L52" t="n">
        <v>0</v>
      </c>
      <c r="M52" t="n">
        <v>0</v>
      </c>
      <c r="N52" t="n">
        <v>0</v>
      </c>
      <c r="O52" t="n">
        <v>1</v>
      </c>
      <c r="P52" t="n">
        <v>1</v>
      </c>
      <c r="Q52" t="n">
        <v>1</v>
      </c>
      <c r="R52" s="2" t="inlineStr">
        <is>
          <t>Knärot</t>
        </is>
      </c>
      <c r="S52">
        <f>HYPERLINK("https://klasma.github.io/Logging_0884/artfynd/A 44515-2024 artfynd.xlsx", "A 44515-2024")</f>
        <v/>
      </c>
      <c r="T52">
        <f>HYPERLINK("https://klasma.github.io/Logging_0884/kartor/A 44515-2024 karta.png", "A 44515-2024")</f>
        <v/>
      </c>
      <c r="U52">
        <f>HYPERLINK("https://klasma.github.io/Logging_0884/knärot/A 44515-2024 karta knärot.png", "A 44515-2024")</f>
        <v/>
      </c>
      <c r="V52">
        <f>HYPERLINK("https://klasma.github.io/Logging_0884/klagomål/A 44515-2024 FSC-klagomål.docx", "A 44515-2024")</f>
        <v/>
      </c>
      <c r="W52">
        <f>HYPERLINK("https://klasma.github.io/Logging_0884/klagomålsmail/A 44515-2024 FSC-klagomål mail.docx", "A 44515-2024")</f>
        <v/>
      </c>
      <c r="X52">
        <f>HYPERLINK("https://klasma.github.io/Logging_0884/tillsyn/A 44515-2024 tillsynsbegäran.docx", "A 44515-2024")</f>
        <v/>
      </c>
      <c r="Y52">
        <f>HYPERLINK("https://klasma.github.io/Logging_0884/tillsynsmail/A 44515-2024 tillsynsbegäran mail.docx", "A 44515-2024")</f>
        <v/>
      </c>
    </row>
    <row r="53" ht="15" customHeight="1">
      <c r="A53" t="inlineStr">
        <is>
          <t>A 59070-2021</t>
        </is>
      </c>
      <c r="B53" s="1" t="n">
        <v>44490.38613425926</v>
      </c>
      <c r="C53" s="1" t="n">
        <v>46161</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46161</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46161</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46161</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46161</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46161</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27086-2021</t>
        </is>
      </c>
      <c r="B59" s="1" t="n">
        <v>44350</v>
      </c>
      <c r="C59" s="1" t="n">
        <v>46161</v>
      </c>
      <c r="D59" t="inlineStr">
        <is>
          <t>KALMAR LÄN</t>
        </is>
      </c>
      <c r="E59" t="inlineStr">
        <is>
          <t>VIMMERBY</t>
        </is>
      </c>
      <c r="G59" t="n">
        <v>0.6</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46161</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46161</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46161</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46161</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46161</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46161</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46161</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46161</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46161</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46161</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46161</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46161</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46161</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46161</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46161</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46161</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59791-2021</t>
        </is>
      </c>
      <c r="B76" s="1" t="n">
        <v>44494</v>
      </c>
      <c r="C76" s="1" t="n">
        <v>46161</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57416-2021</t>
        </is>
      </c>
      <c r="B77" s="1" t="n">
        <v>44483.58295138889</v>
      </c>
      <c r="C77" s="1" t="n">
        <v>46161</v>
      </c>
      <c r="D77" t="inlineStr">
        <is>
          <t>KALMAR LÄN</t>
        </is>
      </c>
      <c r="E77" t="inlineStr">
        <is>
          <t>VIMMERBY</t>
        </is>
      </c>
      <c r="G77" t="n">
        <v>2.9</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46161</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46161</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33829-2022</t>
        </is>
      </c>
      <c r="B80" s="1" t="n">
        <v>44790</v>
      </c>
      <c r="C80" s="1" t="n">
        <v>46161</v>
      </c>
      <c r="D80" t="inlineStr">
        <is>
          <t>KALMAR LÄN</t>
        </is>
      </c>
      <c r="E80" t="inlineStr">
        <is>
          <t>VIMMERBY</t>
        </is>
      </c>
      <c r="G80" t="n">
        <v>1.6</v>
      </c>
      <c r="H80" t="n">
        <v>0</v>
      </c>
      <c r="I80" t="n">
        <v>0</v>
      </c>
      <c r="J80" t="n">
        <v>0</v>
      </c>
      <c r="K80" t="n">
        <v>0</v>
      </c>
      <c r="L80" t="n">
        <v>0</v>
      </c>
      <c r="M80" t="n">
        <v>0</v>
      </c>
      <c r="N80" t="n">
        <v>0</v>
      </c>
      <c r="O80" t="n">
        <v>0</v>
      </c>
      <c r="P80" t="n">
        <v>0</v>
      </c>
      <c r="Q80" t="n">
        <v>0</v>
      </c>
      <c r="R80" s="2" t="inlineStr"/>
    </row>
    <row r="81" ht="15" customHeight="1">
      <c r="A81" t="inlineStr">
        <is>
          <t>A 27762-2021</t>
        </is>
      </c>
      <c r="B81" s="1" t="n">
        <v>44354</v>
      </c>
      <c r="C81" s="1" t="n">
        <v>46161</v>
      </c>
      <c r="D81" t="inlineStr">
        <is>
          <t>KALMAR LÄN</t>
        </is>
      </c>
      <c r="E81" t="inlineStr">
        <is>
          <t>VIMMERBY</t>
        </is>
      </c>
      <c r="G81" t="n">
        <v>1.4</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46161</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46161</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46161</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46161</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46161</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46161</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46161</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46161</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46161</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46161</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46161</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46161</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46161</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46161</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46161</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46161</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46161</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46161</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24369-2021</t>
        </is>
      </c>
      <c r="B101" s="1" t="n">
        <v>44337</v>
      </c>
      <c r="C101" s="1" t="n">
        <v>46161</v>
      </c>
      <c r="D101" t="inlineStr">
        <is>
          <t>KALMAR LÄN</t>
        </is>
      </c>
      <c r="E101" t="inlineStr">
        <is>
          <t>VIMMERBY</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51972-2021</t>
        </is>
      </c>
      <c r="B102" s="1" t="n">
        <v>44463.29439814815</v>
      </c>
      <c r="C102" s="1" t="n">
        <v>46161</v>
      </c>
      <c r="D102" t="inlineStr">
        <is>
          <t>KALMAR LÄN</t>
        </is>
      </c>
      <c r="E102" t="inlineStr">
        <is>
          <t>VIMMERBY</t>
        </is>
      </c>
      <c r="G102" t="n">
        <v>4.5</v>
      </c>
      <c r="H102" t="n">
        <v>0</v>
      </c>
      <c r="I102" t="n">
        <v>0</v>
      </c>
      <c r="J102" t="n">
        <v>0</v>
      </c>
      <c r="K102" t="n">
        <v>0</v>
      </c>
      <c r="L102" t="n">
        <v>0</v>
      </c>
      <c r="M102" t="n">
        <v>0</v>
      </c>
      <c r="N102" t="n">
        <v>0</v>
      </c>
      <c r="O102" t="n">
        <v>0</v>
      </c>
      <c r="P102" t="n">
        <v>0</v>
      </c>
      <c r="Q102" t="n">
        <v>0</v>
      </c>
      <c r="R102" s="2" t="inlineStr"/>
    </row>
    <row r="103" ht="15" customHeight="1">
      <c r="A103" t="inlineStr">
        <is>
          <t>A 4042-2022</t>
        </is>
      </c>
      <c r="B103" s="1" t="n">
        <v>44588</v>
      </c>
      <c r="C103" s="1" t="n">
        <v>46161</v>
      </c>
      <c r="D103" t="inlineStr">
        <is>
          <t>KALMAR LÄN</t>
        </is>
      </c>
      <c r="E103" t="inlineStr">
        <is>
          <t>VIMMERBY</t>
        </is>
      </c>
      <c r="G103" t="n">
        <v>4.7</v>
      </c>
      <c r="H103" t="n">
        <v>0</v>
      </c>
      <c r="I103" t="n">
        <v>0</v>
      </c>
      <c r="J103" t="n">
        <v>0</v>
      </c>
      <c r="K103" t="n">
        <v>0</v>
      </c>
      <c r="L103" t="n">
        <v>0</v>
      </c>
      <c r="M103" t="n">
        <v>0</v>
      </c>
      <c r="N103" t="n">
        <v>0</v>
      </c>
      <c r="O103" t="n">
        <v>0</v>
      </c>
      <c r="P103" t="n">
        <v>0</v>
      </c>
      <c r="Q103" t="n">
        <v>0</v>
      </c>
      <c r="R103" s="2" t="inlineStr"/>
    </row>
    <row r="104" ht="15" customHeight="1">
      <c r="A104" t="inlineStr">
        <is>
          <t>A 33690-2022</t>
        </is>
      </c>
      <c r="B104" s="1" t="n">
        <v>44789</v>
      </c>
      <c r="C104" s="1" t="n">
        <v>46161</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35198-2021</t>
        </is>
      </c>
      <c r="B105" s="1" t="n">
        <v>44377</v>
      </c>
      <c r="C105" s="1" t="n">
        <v>46161</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34036-2021</t>
        </is>
      </c>
      <c r="B106" s="1" t="n">
        <v>44379</v>
      </c>
      <c r="C106" s="1" t="n">
        <v>46161</v>
      </c>
      <c r="D106" t="inlineStr">
        <is>
          <t>KALMAR LÄN</t>
        </is>
      </c>
      <c r="E106" t="inlineStr">
        <is>
          <t>VIMMERBY</t>
        </is>
      </c>
      <c r="F106" t="inlineStr">
        <is>
          <t>Sveaskog</t>
        </is>
      </c>
      <c r="G106" t="n">
        <v>7</v>
      </c>
      <c r="H106" t="n">
        <v>0</v>
      </c>
      <c r="I106" t="n">
        <v>0</v>
      </c>
      <c r="J106" t="n">
        <v>0</v>
      </c>
      <c r="K106" t="n">
        <v>0</v>
      </c>
      <c r="L106" t="n">
        <v>0</v>
      </c>
      <c r="M106" t="n">
        <v>0</v>
      </c>
      <c r="N106" t="n">
        <v>0</v>
      </c>
      <c r="O106" t="n">
        <v>0</v>
      </c>
      <c r="P106" t="n">
        <v>0</v>
      </c>
      <c r="Q106" t="n">
        <v>0</v>
      </c>
      <c r="R106" s="2" t="inlineStr"/>
    </row>
    <row r="107" ht="15" customHeight="1">
      <c r="A107" t="inlineStr">
        <is>
          <t>A 63244-2021</t>
        </is>
      </c>
      <c r="B107" s="1" t="n">
        <v>44508</v>
      </c>
      <c r="C107" s="1" t="n">
        <v>46161</v>
      </c>
      <c r="D107" t="inlineStr">
        <is>
          <t>KALMAR LÄN</t>
        </is>
      </c>
      <c r="E107" t="inlineStr">
        <is>
          <t>VIMMERBY</t>
        </is>
      </c>
      <c r="F107" t="inlineStr">
        <is>
          <t>Övriga statliga verk och myndigheter</t>
        </is>
      </c>
      <c r="G107" t="n">
        <v>0.6</v>
      </c>
      <c r="H107" t="n">
        <v>0</v>
      </c>
      <c r="I107" t="n">
        <v>0</v>
      </c>
      <c r="J107" t="n">
        <v>0</v>
      </c>
      <c r="K107" t="n">
        <v>0</v>
      </c>
      <c r="L107" t="n">
        <v>0</v>
      </c>
      <c r="M107" t="n">
        <v>0</v>
      </c>
      <c r="N107" t="n">
        <v>0</v>
      </c>
      <c r="O107" t="n">
        <v>0</v>
      </c>
      <c r="P107" t="n">
        <v>0</v>
      </c>
      <c r="Q107" t="n">
        <v>0</v>
      </c>
      <c r="R107" s="2" t="inlineStr"/>
    </row>
    <row r="108" ht="15" customHeight="1">
      <c r="A108" t="inlineStr">
        <is>
          <t>A 11814-2022</t>
        </is>
      </c>
      <c r="B108" s="1" t="n">
        <v>44634.69703703704</v>
      </c>
      <c r="C108" s="1" t="n">
        <v>46161</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56385-2021</t>
        </is>
      </c>
      <c r="B109" s="1" t="n">
        <v>44480</v>
      </c>
      <c r="C109" s="1" t="n">
        <v>46161</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46161</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31053-2022</t>
        </is>
      </c>
      <c r="B111" s="1" t="n">
        <v>44769.45422453704</v>
      </c>
      <c r="C111" s="1" t="n">
        <v>46161</v>
      </c>
      <c r="D111" t="inlineStr">
        <is>
          <t>KALMAR LÄN</t>
        </is>
      </c>
      <c r="E111" t="inlineStr">
        <is>
          <t>VIMMERBY</t>
        </is>
      </c>
      <c r="G111" t="n">
        <v>1.9</v>
      </c>
      <c r="H111" t="n">
        <v>0</v>
      </c>
      <c r="I111" t="n">
        <v>0</v>
      </c>
      <c r="J111" t="n">
        <v>0</v>
      </c>
      <c r="K111" t="n">
        <v>0</v>
      </c>
      <c r="L111" t="n">
        <v>0</v>
      </c>
      <c r="M111" t="n">
        <v>0</v>
      </c>
      <c r="N111" t="n">
        <v>0</v>
      </c>
      <c r="O111" t="n">
        <v>0</v>
      </c>
      <c r="P111" t="n">
        <v>0</v>
      </c>
      <c r="Q111" t="n">
        <v>0</v>
      </c>
      <c r="R111" s="2" t="inlineStr"/>
    </row>
    <row r="112" ht="15" customHeight="1">
      <c r="A112" t="inlineStr">
        <is>
          <t>A 8454-2022</t>
        </is>
      </c>
      <c r="B112" s="1" t="n">
        <v>44612.86762731482</v>
      </c>
      <c r="C112" s="1" t="n">
        <v>46161</v>
      </c>
      <c r="D112" t="inlineStr">
        <is>
          <t>KALMAR LÄN</t>
        </is>
      </c>
      <c r="E112" t="inlineStr">
        <is>
          <t>VIMMERBY</t>
        </is>
      </c>
      <c r="G112" t="n">
        <v>0.6</v>
      </c>
      <c r="H112" t="n">
        <v>0</v>
      </c>
      <c r="I112" t="n">
        <v>0</v>
      </c>
      <c r="J112" t="n">
        <v>0</v>
      </c>
      <c r="K112" t="n">
        <v>0</v>
      </c>
      <c r="L112" t="n">
        <v>0</v>
      </c>
      <c r="M112" t="n">
        <v>0</v>
      </c>
      <c r="N112" t="n">
        <v>0</v>
      </c>
      <c r="O112" t="n">
        <v>0</v>
      </c>
      <c r="P112" t="n">
        <v>0</v>
      </c>
      <c r="Q112" t="n">
        <v>0</v>
      </c>
      <c r="R112" s="2" t="inlineStr"/>
    </row>
    <row r="113" ht="15" customHeight="1">
      <c r="A113" t="inlineStr">
        <is>
          <t>A 65887-2021</t>
        </is>
      </c>
      <c r="B113" s="1" t="n">
        <v>44517</v>
      </c>
      <c r="C113" s="1" t="n">
        <v>46161</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39959-2022</t>
        </is>
      </c>
      <c r="B114" s="1" t="n">
        <v>44819</v>
      </c>
      <c r="C114" s="1" t="n">
        <v>46161</v>
      </c>
      <c r="D114" t="inlineStr">
        <is>
          <t>KALMAR LÄN</t>
        </is>
      </c>
      <c r="E114" t="inlineStr">
        <is>
          <t>VIMMERBY</t>
        </is>
      </c>
      <c r="G114" t="n">
        <v>0.9</v>
      </c>
      <c r="H114" t="n">
        <v>0</v>
      </c>
      <c r="I114" t="n">
        <v>0</v>
      </c>
      <c r="J114" t="n">
        <v>0</v>
      </c>
      <c r="K114" t="n">
        <v>0</v>
      </c>
      <c r="L114" t="n">
        <v>0</v>
      </c>
      <c r="M114" t="n">
        <v>0</v>
      </c>
      <c r="N114" t="n">
        <v>0</v>
      </c>
      <c r="O114" t="n">
        <v>0</v>
      </c>
      <c r="P114" t="n">
        <v>0</v>
      </c>
      <c r="Q114" t="n">
        <v>0</v>
      </c>
      <c r="R114" s="2" t="inlineStr"/>
    </row>
    <row r="115" ht="15" customHeight="1">
      <c r="A115" t="inlineStr">
        <is>
          <t>A 24999-2021</t>
        </is>
      </c>
      <c r="B115" s="1" t="n">
        <v>44341</v>
      </c>
      <c r="C115" s="1" t="n">
        <v>46161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7917-2022</t>
        </is>
      </c>
      <c r="B116" s="1" t="n">
        <v>44608</v>
      </c>
      <c r="C116" s="1" t="n">
        <v>46161</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47208-2021</t>
        </is>
      </c>
      <c r="B117" s="1" t="n">
        <v>44447.34237268518</v>
      </c>
      <c r="C117" s="1" t="n">
        <v>46161</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56389-2021</t>
        </is>
      </c>
      <c r="B118" s="1" t="n">
        <v>44480</v>
      </c>
      <c r="C118" s="1" t="n">
        <v>46161</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67952-2021</t>
        </is>
      </c>
      <c r="B119" s="1" t="n">
        <v>44525.63913194444</v>
      </c>
      <c r="C119" s="1" t="n">
        <v>46161</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15533-2022</t>
        </is>
      </c>
      <c r="B120" s="1" t="n">
        <v>44662</v>
      </c>
      <c r="C120" s="1" t="n">
        <v>46161</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46161</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12107-2022</t>
        </is>
      </c>
      <c r="B122" s="1" t="n">
        <v>44636</v>
      </c>
      <c r="C122" s="1" t="n">
        <v>46161</v>
      </c>
      <c r="D122" t="inlineStr">
        <is>
          <t>KALMAR LÄN</t>
        </is>
      </c>
      <c r="E122" t="inlineStr">
        <is>
          <t>VIMMERBY</t>
        </is>
      </c>
      <c r="G122" t="n">
        <v>1.8</v>
      </c>
      <c r="H122" t="n">
        <v>0</v>
      </c>
      <c r="I122" t="n">
        <v>0</v>
      </c>
      <c r="J122" t="n">
        <v>0</v>
      </c>
      <c r="K122" t="n">
        <v>0</v>
      </c>
      <c r="L122" t="n">
        <v>0</v>
      </c>
      <c r="M122" t="n">
        <v>0</v>
      </c>
      <c r="N122" t="n">
        <v>0</v>
      </c>
      <c r="O122" t="n">
        <v>0</v>
      </c>
      <c r="P122" t="n">
        <v>0</v>
      </c>
      <c r="Q122" t="n">
        <v>0</v>
      </c>
      <c r="R122" s="2" t="inlineStr"/>
    </row>
    <row r="123" ht="15" customHeight="1">
      <c r="A123" t="inlineStr">
        <is>
          <t>A 165-2022</t>
        </is>
      </c>
      <c r="B123" s="1" t="n">
        <v>44564</v>
      </c>
      <c r="C123" s="1" t="n">
        <v>46161</v>
      </c>
      <c r="D123" t="inlineStr">
        <is>
          <t>KALMAR LÄN</t>
        </is>
      </c>
      <c r="E123" t="inlineStr">
        <is>
          <t>VIMMERBY</t>
        </is>
      </c>
      <c r="G123" t="n">
        <v>0.7</v>
      </c>
      <c r="H123" t="n">
        <v>0</v>
      </c>
      <c r="I123" t="n">
        <v>0</v>
      </c>
      <c r="J123" t="n">
        <v>0</v>
      </c>
      <c r="K123" t="n">
        <v>0</v>
      </c>
      <c r="L123" t="n">
        <v>0</v>
      </c>
      <c r="M123" t="n">
        <v>0</v>
      </c>
      <c r="N123" t="n">
        <v>0</v>
      </c>
      <c r="O123" t="n">
        <v>0</v>
      </c>
      <c r="P123" t="n">
        <v>0</v>
      </c>
      <c r="Q123" t="n">
        <v>0</v>
      </c>
      <c r="R123" s="2" t="inlineStr"/>
    </row>
    <row r="124" ht="15" customHeight="1">
      <c r="A124" t="inlineStr">
        <is>
          <t>A 39225-2022</t>
        </is>
      </c>
      <c r="B124" s="1" t="n">
        <v>44817.57988425926</v>
      </c>
      <c r="C124" s="1" t="n">
        <v>46161</v>
      </c>
      <c r="D124" t="inlineStr">
        <is>
          <t>KALMAR LÄN</t>
        </is>
      </c>
      <c r="E124" t="inlineStr">
        <is>
          <t>VIMMERBY</t>
        </is>
      </c>
      <c r="G124" t="n">
        <v>2.2</v>
      </c>
      <c r="H124" t="n">
        <v>0</v>
      </c>
      <c r="I124" t="n">
        <v>0</v>
      </c>
      <c r="J124" t="n">
        <v>0</v>
      </c>
      <c r="K124" t="n">
        <v>0</v>
      </c>
      <c r="L124" t="n">
        <v>0</v>
      </c>
      <c r="M124" t="n">
        <v>0</v>
      </c>
      <c r="N124" t="n">
        <v>0</v>
      </c>
      <c r="O124" t="n">
        <v>0</v>
      </c>
      <c r="P124" t="n">
        <v>0</v>
      </c>
      <c r="Q124" t="n">
        <v>0</v>
      </c>
      <c r="R124" s="2" t="inlineStr"/>
    </row>
    <row r="125" ht="15" customHeight="1">
      <c r="A125" t="inlineStr">
        <is>
          <t>A 17029-2022</t>
        </is>
      </c>
      <c r="B125" s="1" t="n">
        <v>44676.85248842592</v>
      </c>
      <c r="C125" s="1" t="n">
        <v>46161</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7167-2022</t>
        </is>
      </c>
      <c r="B126" s="1" t="n">
        <v>44604</v>
      </c>
      <c r="C126" s="1" t="n">
        <v>46161</v>
      </c>
      <c r="D126" t="inlineStr">
        <is>
          <t>KALMAR LÄN</t>
        </is>
      </c>
      <c r="E126" t="inlineStr">
        <is>
          <t>VIMMERBY</t>
        </is>
      </c>
      <c r="G126" t="n">
        <v>1.7</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46161</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46161</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47769-2022</t>
        </is>
      </c>
      <c r="B129" s="1" t="n">
        <v>44854</v>
      </c>
      <c r="C129" s="1" t="n">
        <v>46161</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40077-2021</t>
        </is>
      </c>
      <c r="B130" s="1" t="n">
        <v>44418</v>
      </c>
      <c r="C130" s="1" t="n">
        <v>46161</v>
      </c>
      <c r="D130" t="inlineStr">
        <is>
          <t>KALMAR LÄN</t>
        </is>
      </c>
      <c r="E130" t="inlineStr">
        <is>
          <t>VIMMERBY</t>
        </is>
      </c>
      <c r="G130" t="n">
        <v>2.9</v>
      </c>
      <c r="H130" t="n">
        <v>0</v>
      </c>
      <c r="I130" t="n">
        <v>0</v>
      </c>
      <c r="J130" t="n">
        <v>0</v>
      </c>
      <c r="K130" t="n">
        <v>0</v>
      </c>
      <c r="L130" t="n">
        <v>0</v>
      </c>
      <c r="M130" t="n">
        <v>0</v>
      </c>
      <c r="N130" t="n">
        <v>0</v>
      </c>
      <c r="O130" t="n">
        <v>0</v>
      </c>
      <c r="P130" t="n">
        <v>0</v>
      </c>
      <c r="Q130" t="n">
        <v>0</v>
      </c>
      <c r="R130" s="2" t="inlineStr"/>
    </row>
    <row r="131" ht="15" customHeight="1">
      <c r="A131" t="inlineStr">
        <is>
          <t>A 48377-2021</t>
        </is>
      </c>
      <c r="B131" s="1" t="n">
        <v>44451.8375</v>
      </c>
      <c r="C131" s="1" t="n">
        <v>46161</v>
      </c>
      <c r="D131" t="inlineStr">
        <is>
          <t>KALMAR LÄN</t>
        </is>
      </c>
      <c r="E131" t="inlineStr">
        <is>
          <t>VIMMERBY</t>
        </is>
      </c>
      <c r="G131" t="n">
        <v>0.4</v>
      </c>
      <c r="H131" t="n">
        <v>0</v>
      </c>
      <c r="I131" t="n">
        <v>0</v>
      </c>
      <c r="J131" t="n">
        <v>0</v>
      </c>
      <c r="K131" t="n">
        <v>0</v>
      </c>
      <c r="L131" t="n">
        <v>0</v>
      </c>
      <c r="M131" t="n">
        <v>0</v>
      </c>
      <c r="N131" t="n">
        <v>0</v>
      </c>
      <c r="O131" t="n">
        <v>0</v>
      </c>
      <c r="P131" t="n">
        <v>0</v>
      </c>
      <c r="Q131" t="n">
        <v>0</v>
      </c>
      <c r="R131" s="2" t="inlineStr"/>
    </row>
    <row r="132" ht="15" customHeight="1">
      <c r="A132" t="inlineStr">
        <is>
          <t>A 40472-2022</t>
        </is>
      </c>
      <c r="B132" s="1" t="n">
        <v>44823</v>
      </c>
      <c r="C132" s="1" t="n">
        <v>46161</v>
      </c>
      <c r="D132" t="inlineStr">
        <is>
          <t>KALMAR LÄN</t>
        </is>
      </c>
      <c r="E132" t="inlineStr">
        <is>
          <t>VIMMERBY</t>
        </is>
      </c>
      <c r="G132" t="n">
        <v>2</v>
      </c>
      <c r="H132" t="n">
        <v>0</v>
      </c>
      <c r="I132" t="n">
        <v>0</v>
      </c>
      <c r="J132" t="n">
        <v>0</v>
      </c>
      <c r="K132" t="n">
        <v>0</v>
      </c>
      <c r="L132" t="n">
        <v>0</v>
      </c>
      <c r="M132" t="n">
        <v>0</v>
      </c>
      <c r="N132" t="n">
        <v>0</v>
      </c>
      <c r="O132" t="n">
        <v>0</v>
      </c>
      <c r="P132" t="n">
        <v>0</v>
      </c>
      <c r="Q132" t="n">
        <v>0</v>
      </c>
      <c r="R132" s="2" t="inlineStr"/>
    </row>
    <row r="133" ht="15" customHeight="1">
      <c r="A133" t="inlineStr">
        <is>
          <t>A 35316-2021</t>
        </is>
      </c>
      <c r="B133" s="1" t="n">
        <v>44384</v>
      </c>
      <c r="C133" s="1" t="n">
        <v>46161</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33831-2022</t>
        </is>
      </c>
      <c r="B134" s="1" t="n">
        <v>44790.48503472222</v>
      </c>
      <c r="C134" s="1" t="n">
        <v>46161</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9918-2022</t>
        </is>
      </c>
      <c r="B135" s="1" t="n">
        <v>44620</v>
      </c>
      <c r="C135" s="1" t="n">
        <v>46161</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47708-2022</t>
        </is>
      </c>
      <c r="B136" s="1" t="n">
        <v>44854.59157407407</v>
      </c>
      <c r="C136" s="1" t="n">
        <v>46161</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23825-2022</t>
        </is>
      </c>
      <c r="B137" s="1" t="n">
        <v>44722.48768518519</v>
      </c>
      <c r="C137" s="1" t="n">
        <v>46161</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47473-2021</t>
        </is>
      </c>
      <c r="B138" s="1" t="n">
        <v>44447</v>
      </c>
      <c r="C138" s="1" t="n">
        <v>46161</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41056-2022</t>
        </is>
      </c>
      <c r="B139" s="1" t="n">
        <v>44824</v>
      </c>
      <c r="C139" s="1" t="n">
        <v>46161</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31660-2021</t>
        </is>
      </c>
      <c r="B140" s="1" t="n">
        <v>44369</v>
      </c>
      <c r="C140" s="1" t="n">
        <v>46161</v>
      </c>
      <c r="D140" t="inlineStr">
        <is>
          <t>KALMAR LÄN</t>
        </is>
      </c>
      <c r="E140" t="inlineStr">
        <is>
          <t>VIMMERBY</t>
        </is>
      </c>
      <c r="G140" t="n">
        <v>4.2</v>
      </c>
      <c r="H140" t="n">
        <v>0</v>
      </c>
      <c r="I140" t="n">
        <v>0</v>
      </c>
      <c r="J140" t="n">
        <v>0</v>
      </c>
      <c r="K140" t="n">
        <v>0</v>
      </c>
      <c r="L140" t="n">
        <v>0</v>
      </c>
      <c r="M140" t="n">
        <v>0</v>
      </c>
      <c r="N140" t="n">
        <v>0</v>
      </c>
      <c r="O140" t="n">
        <v>0</v>
      </c>
      <c r="P140" t="n">
        <v>0</v>
      </c>
      <c r="Q140" t="n">
        <v>0</v>
      </c>
      <c r="R140" s="2" t="inlineStr"/>
    </row>
    <row r="141" ht="15" customHeight="1">
      <c r="A141" t="inlineStr">
        <is>
          <t>A 27455-2022</t>
        </is>
      </c>
      <c r="B141" s="1" t="n">
        <v>44742</v>
      </c>
      <c r="C141" s="1" t="n">
        <v>46161</v>
      </c>
      <c r="D141" t="inlineStr">
        <is>
          <t>KALMAR LÄN</t>
        </is>
      </c>
      <c r="E141" t="inlineStr">
        <is>
          <t>VIMMERBY</t>
        </is>
      </c>
      <c r="G141" t="n">
        <v>1.6</v>
      </c>
      <c r="H141" t="n">
        <v>0</v>
      </c>
      <c r="I141" t="n">
        <v>0</v>
      </c>
      <c r="J141" t="n">
        <v>0</v>
      </c>
      <c r="K141" t="n">
        <v>0</v>
      </c>
      <c r="L141" t="n">
        <v>0</v>
      </c>
      <c r="M141" t="n">
        <v>0</v>
      </c>
      <c r="N141" t="n">
        <v>0</v>
      </c>
      <c r="O141" t="n">
        <v>0</v>
      </c>
      <c r="P141" t="n">
        <v>0</v>
      </c>
      <c r="Q141" t="n">
        <v>0</v>
      </c>
      <c r="R141" s="2" t="inlineStr"/>
    </row>
    <row r="142" ht="15" customHeight="1">
      <c r="A142" t="inlineStr">
        <is>
          <t>A 36117-2021</t>
        </is>
      </c>
      <c r="B142" s="1" t="n">
        <v>44386</v>
      </c>
      <c r="C142" s="1" t="n">
        <v>46161</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32603-2021</t>
        </is>
      </c>
      <c r="B143" s="1" t="n">
        <v>44375.38789351852</v>
      </c>
      <c r="C143" s="1" t="n">
        <v>46161</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42521-2021</t>
        </is>
      </c>
      <c r="B144" s="1" t="n">
        <v>44427</v>
      </c>
      <c r="C144" s="1" t="n">
        <v>46161</v>
      </c>
      <c r="D144" t="inlineStr">
        <is>
          <t>KALMAR LÄN</t>
        </is>
      </c>
      <c r="E144" t="inlineStr">
        <is>
          <t>VIMMERBY</t>
        </is>
      </c>
      <c r="G144" t="n">
        <v>5.4</v>
      </c>
      <c r="H144" t="n">
        <v>0</v>
      </c>
      <c r="I144" t="n">
        <v>0</v>
      </c>
      <c r="J144" t="n">
        <v>0</v>
      </c>
      <c r="K144" t="n">
        <v>0</v>
      </c>
      <c r="L144" t="n">
        <v>0</v>
      </c>
      <c r="M144" t="n">
        <v>0</v>
      </c>
      <c r="N144" t="n">
        <v>0</v>
      </c>
      <c r="O144" t="n">
        <v>0</v>
      </c>
      <c r="P144" t="n">
        <v>0</v>
      </c>
      <c r="Q144" t="n">
        <v>0</v>
      </c>
      <c r="R144" s="2" t="inlineStr"/>
    </row>
    <row r="145" ht="15" customHeight="1">
      <c r="A145" t="inlineStr">
        <is>
          <t>A 46964-2022</t>
        </is>
      </c>
      <c r="B145" s="1" t="n">
        <v>44851.95016203704</v>
      </c>
      <c r="C145" s="1" t="n">
        <v>46161</v>
      </c>
      <c r="D145" t="inlineStr">
        <is>
          <t>KALMAR LÄN</t>
        </is>
      </c>
      <c r="E145" t="inlineStr">
        <is>
          <t>VIMMERBY</t>
        </is>
      </c>
      <c r="G145" t="n">
        <v>0.2</v>
      </c>
      <c r="H145" t="n">
        <v>0</v>
      </c>
      <c r="I145" t="n">
        <v>0</v>
      </c>
      <c r="J145" t="n">
        <v>0</v>
      </c>
      <c r="K145" t="n">
        <v>0</v>
      </c>
      <c r="L145" t="n">
        <v>0</v>
      </c>
      <c r="M145" t="n">
        <v>0</v>
      </c>
      <c r="N145" t="n">
        <v>0</v>
      </c>
      <c r="O145" t="n">
        <v>0</v>
      </c>
      <c r="P145" t="n">
        <v>0</v>
      </c>
      <c r="Q145" t="n">
        <v>0</v>
      </c>
      <c r="R145" s="2" t="inlineStr"/>
    </row>
    <row r="146" ht="15" customHeight="1">
      <c r="A146" t="inlineStr">
        <is>
          <t>A 13180-2022</t>
        </is>
      </c>
      <c r="B146" s="1" t="n">
        <v>44644</v>
      </c>
      <c r="C146" s="1" t="n">
        <v>46161</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42850-2022</t>
        </is>
      </c>
      <c r="B147" s="1" t="n">
        <v>44832.67608796297</v>
      </c>
      <c r="C147" s="1" t="n">
        <v>46161</v>
      </c>
      <c r="D147" t="inlineStr">
        <is>
          <t>KALMAR LÄN</t>
        </is>
      </c>
      <c r="E147" t="inlineStr">
        <is>
          <t>VIMMERBY</t>
        </is>
      </c>
      <c r="G147" t="n">
        <v>5.9</v>
      </c>
      <c r="H147" t="n">
        <v>0</v>
      </c>
      <c r="I147" t="n">
        <v>0</v>
      </c>
      <c r="J147" t="n">
        <v>0</v>
      </c>
      <c r="K147" t="n">
        <v>0</v>
      </c>
      <c r="L147" t="n">
        <v>0</v>
      </c>
      <c r="M147" t="n">
        <v>0</v>
      </c>
      <c r="N147" t="n">
        <v>0</v>
      </c>
      <c r="O147" t="n">
        <v>0</v>
      </c>
      <c r="P147" t="n">
        <v>0</v>
      </c>
      <c r="Q147" t="n">
        <v>0</v>
      </c>
      <c r="R147" s="2" t="inlineStr"/>
    </row>
    <row r="148" ht="15" customHeight="1">
      <c r="A148" t="inlineStr">
        <is>
          <t>A 10086-2022</t>
        </is>
      </c>
      <c r="B148" s="1" t="n">
        <v>44621</v>
      </c>
      <c r="C148" s="1" t="n">
        <v>46161</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53145-2022</t>
        </is>
      </c>
      <c r="B149" s="1" t="n">
        <v>44876.48346064815</v>
      </c>
      <c r="C149" s="1" t="n">
        <v>46161</v>
      </c>
      <c r="D149" t="inlineStr">
        <is>
          <t>KALMAR LÄN</t>
        </is>
      </c>
      <c r="E149" t="inlineStr">
        <is>
          <t>VIMMERBY</t>
        </is>
      </c>
      <c r="G149" t="n">
        <v>0.4</v>
      </c>
      <c r="H149" t="n">
        <v>0</v>
      </c>
      <c r="I149" t="n">
        <v>0</v>
      </c>
      <c r="J149" t="n">
        <v>0</v>
      </c>
      <c r="K149" t="n">
        <v>0</v>
      </c>
      <c r="L149" t="n">
        <v>0</v>
      </c>
      <c r="M149" t="n">
        <v>0</v>
      </c>
      <c r="N149" t="n">
        <v>0</v>
      </c>
      <c r="O149" t="n">
        <v>0</v>
      </c>
      <c r="P149" t="n">
        <v>0</v>
      </c>
      <c r="Q149" t="n">
        <v>0</v>
      </c>
      <c r="R149" s="2" t="inlineStr"/>
    </row>
    <row r="150" ht="15" customHeight="1">
      <c r="A150" t="inlineStr">
        <is>
          <t>A 25738-2022</t>
        </is>
      </c>
      <c r="B150" s="1" t="n">
        <v>44733.43092592592</v>
      </c>
      <c r="C150" s="1" t="n">
        <v>46161</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8194-2022</t>
        </is>
      </c>
      <c r="B151" s="1" t="n">
        <v>44609</v>
      </c>
      <c r="C151" s="1" t="n">
        <v>46161</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40971-2021</t>
        </is>
      </c>
      <c r="B152" s="1" t="n">
        <v>44421</v>
      </c>
      <c r="C152" s="1" t="n">
        <v>46161</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8453-2022</t>
        </is>
      </c>
      <c r="B153" s="1" t="n">
        <v>44612.86554398148</v>
      </c>
      <c r="C153" s="1" t="n">
        <v>46161</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54065-2021</t>
        </is>
      </c>
      <c r="B154" s="1" t="n">
        <v>44470.44232638889</v>
      </c>
      <c r="C154" s="1" t="n">
        <v>46161</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46161</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50621-2022</t>
        </is>
      </c>
      <c r="B156" s="1" t="n">
        <v>44866.81100694444</v>
      </c>
      <c r="C156" s="1" t="n">
        <v>46161</v>
      </c>
      <c r="D156" t="inlineStr">
        <is>
          <t>KALMAR LÄN</t>
        </is>
      </c>
      <c r="E156" t="inlineStr">
        <is>
          <t>VIMMERBY</t>
        </is>
      </c>
      <c r="F156" t="inlineStr">
        <is>
          <t>Övriga Aktiebolag</t>
        </is>
      </c>
      <c r="G156" t="n">
        <v>5.1</v>
      </c>
      <c r="H156" t="n">
        <v>0</v>
      </c>
      <c r="I156" t="n">
        <v>0</v>
      </c>
      <c r="J156" t="n">
        <v>0</v>
      </c>
      <c r="K156" t="n">
        <v>0</v>
      </c>
      <c r="L156" t="n">
        <v>0</v>
      </c>
      <c r="M156" t="n">
        <v>0</v>
      </c>
      <c r="N156" t="n">
        <v>0</v>
      </c>
      <c r="O156" t="n">
        <v>0</v>
      </c>
      <c r="P156" t="n">
        <v>0</v>
      </c>
      <c r="Q156" t="n">
        <v>0</v>
      </c>
      <c r="R156" s="2" t="inlineStr"/>
    </row>
    <row r="157" ht="15" customHeight="1">
      <c r="A157" t="inlineStr">
        <is>
          <t>A 31824-2022</t>
        </is>
      </c>
      <c r="B157" s="1" t="n">
        <v>44776</v>
      </c>
      <c r="C157" s="1" t="n">
        <v>46161</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11733-2022</t>
        </is>
      </c>
      <c r="B158" s="1" t="n">
        <v>44634</v>
      </c>
      <c r="C158" s="1" t="n">
        <v>46161</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46161</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39042-2022</t>
        </is>
      </c>
      <c r="B160" s="1" t="n">
        <v>44817</v>
      </c>
      <c r="C160" s="1" t="n">
        <v>46161</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4076-2022</t>
        </is>
      </c>
      <c r="B161" s="1" t="n">
        <v>44588.37998842593</v>
      </c>
      <c r="C161" s="1" t="n">
        <v>46161</v>
      </c>
      <c r="D161" t="inlineStr">
        <is>
          <t>KALMAR LÄN</t>
        </is>
      </c>
      <c r="E161" t="inlineStr">
        <is>
          <t>VIMMERBY</t>
        </is>
      </c>
      <c r="G161" t="n">
        <v>3</v>
      </c>
      <c r="H161" t="n">
        <v>0</v>
      </c>
      <c r="I161" t="n">
        <v>0</v>
      </c>
      <c r="J161" t="n">
        <v>0</v>
      </c>
      <c r="K161" t="n">
        <v>0</v>
      </c>
      <c r="L161" t="n">
        <v>0</v>
      </c>
      <c r="M161" t="n">
        <v>0</v>
      </c>
      <c r="N161" t="n">
        <v>0</v>
      </c>
      <c r="O161" t="n">
        <v>0</v>
      </c>
      <c r="P161" t="n">
        <v>0</v>
      </c>
      <c r="Q161" t="n">
        <v>0</v>
      </c>
      <c r="R161" s="2" t="inlineStr"/>
    </row>
    <row r="162" ht="15" customHeight="1">
      <c r="A162" t="inlineStr">
        <is>
          <t>A 4122-2022</t>
        </is>
      </c>
      <c r="B162" s="1" t="n">
        <v>44588</v>
      </c>
      <c r="C162" s="1" t="n">
        <v>46161</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58374-2024</t>
        </is>
      </c>
      <c r="B163" s="1" t="n">
        <v>45632.72635416667</v>
      </c>
      <c r="C163" s="1" t="n">
        <v>46161</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16983-2023</t>
        </is>
      </c>
      <c r="B164" s="1" t="n">
        <v>45033.76043981482</v>
      </c>
      <c r="C164" s="1" t="n">
        <v>46161</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46144-2023</t>
        </is>
      </c>
      <c r="B165" s="1" t="n">
        <v>45196.57247685185</v>
      </c>
      <c r="C165" s="1" t="n">
        <v>46161</v>
      </c>
      <c r="D165" t="inlineStr">
        <is>
          <t>KALMAR LÄN</t>
        </is>
      </c>
      <c r="E165" t="inlineStr">
        <is>
          <t>VIMMERBY</t>
        </is>
      </c>
      <c r="G165" t="n">
        <v>6.5</v>
      </c>
      <c r="H165" t="n">
        <v>0</v>
      </c>
      <c r="I165" t="n">
        <v>0</v>
      </c>
      <c r="J165" t="n">
        <v>0</v>
      </c>
      <c r="K165" t="n">
        <v>0</v>
      </c>
      <c r="L165" t="n">
        <v>0</v>
      </c>
      <c r="M165" t="n">
        <v>0</v>
      </c>
      <c r="N165" t="n">
        <v>0</v>
      </c>
      <c r="O165" t="n">
        <v>0</v>
      </c>
      <c r="P165" t="n">
        <v>0</v>
      </c>
      <c r="Q165" t="n">
        <v>0</v>
      </c>
      <c r="R165" s="2" t="inlineStr"/>
    </row>
    <row r="166" ht="15" customHeight="1">
      <c r="A166" t="inlineStr">
        <is>
          <t>A 30402-2023</t>
        </is>
      </c>
      <c r="B166" s="1" t="n">
        <v>45111.48395833333</v>
      </c>
      <c r="C166" s="1" t="n">
        <v>46161</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56213-2024</t>
        </is>
      </c>
      <c r="B167" s="1" t="n">
        <v>45624.60141203704</v>
      </c>
      <c r="C167" s="1" t="n">
        <v>46161</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7643-2022</t>
        </is>
      </c>
      <c r="B168" s="1" t="n">
        <v>44607</v>
      </c>
      <c r="C168" s="1" t="n">
        <v>46161</v>
      </c>
      <c r="D168" t="inlineStr">
        <is>
          <t>KALMAR LÄN</t>
        </is>
      </c>
      <c r="E168" t="inlineStr">
        <is>
          <t>VIMMERBY</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54409-2024</t>
        </is>
      </c>
      <c r="B169" s="1" t="n">
        <v>45617.47570601852</v>
      </c>
      <c r="C169" s="1" t="n">
        <v>46161</v>
      </c>
      <c r="D169" t="inlineStr">
        <is>
          <t>KALMAR LÄN</t>
        </is>
      </c>
      <c r="E169" t="inlineStr">
        <is>
          <t>VIMMERBY</t>
        </is>
      </c>
      <c r="G169" t="n">
        <v>4.3</v>
      </c>
      <c r="H169" t="n">
        <v>0</v>
      </c>
      <c r="I169" t="n">
        <v>0</v>
      </c>
      <c r="J169" t="n">
        <v>0</v>
      </c>
      <c r="K169" t="n">
        <v>0</v>
      </c>
      <c r="L169" t="n">
        <v>0</v>
      </c>
      <c r="M169" t="n">
        <v>0</v>
      </c>
      <c r="N169" t="n">
        <v>0</v>
      </c>
      <c r="O169" t="n">
        <v>0</v>
      </c>
      <c r="P169" t="n">
        <v>0</v>
      </c>
      <c r="Q169" t="n">
        <v>0</v>
      </c>
      <c r="R169" s="2" t="inlineStr"/>
    </row>
    <row r="170" ht="15" customHeight="1">
      <c r="A170" t="inlineStr">
        <is>
          <t>A 11027-2023</t>
        </is>
      </c>
      <c r="B170" s="1" t="n">
        <v>44991.89657407408</v>
      </c>
      <c r="C170" s="1" t="n">
        <v>46161</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31382-2023</t>
        </is>
      </c>
      <c r="B171" s="1" t="n">
        <v>45114.55136574074</v>
      </c>
      <c r="C171" s="1" t="n">
        <v>46161</v>
      </c>
      <c r="D171" t="inlineStr">
        <is>
          <t>KALMAR LÄN</t>
        </is>
      </c>
      <c r="E171" t="inlineStr">
        <is>
          <t>VIMMERBY</t>
        </is>
      </c>
      <c r="G171" t="n">
        <v>3.7</v>
      </c>
      <c r="H171" t="n">
        <v>0</v>
      </c>
      <c r="I171" t="n">
        <v>0</v>
      </c>
      <c r="J171" t="n">
        <v>0</v>
      </c>
      <c r="K171" t="n">
        <v>0</v>
      </c>
      <c r="L171" t="n">
        <v>0</v>
      </c>
      <c r="M171" t="n">
        <v>0</v>
      </c>
      <c r="N171" t="n">
        <v>0</v>
      </c>
      <c r="O171" t="n">
        <v>0</v>
      </c>
      <c r="P171" t="n">
        <v>0</v>
      </c>
      <c r="Q171" t="n">
        <v>0</v>
      </c>
      <c r="R171" s="2" t="inlineStr"/>
    </row>
    <row r="172" ht="15" customHeight="1">
      <c r="A172" t="inlineStr">
        <is>
          <t>A 16825-2024</t>
        </is>
      </c>
      <c r="B172" s="1" t="n">
        <v>45411.47335648148</v>
      </c>
      <c r="C172" s="1" t="n">
        <v>46161</v>
      </c>
      <c r="D172" t="inlineStr">
        <is>
          <t>KALMAR LÄN</t>
        </is>
      </c>
      <c r="E172" t="inlineStr">
        <is>
          <t>VIMMERBY</t>
        </is>
      </c>
      <c r="G172" t="n">
        <v>1</v>
      </c>
      <c r="H172" t="n">
        <v>0</v>
      </c>
      <c r="I172" t="n">
        <v>0</v>
      </c>
      <c r="J172" t="n">
        <v>0</v>
      </c>
      <c r="K172" t="n">
        <v>0</v>
      </c>
      <c r="L172" t="n">
        <v>0</v>
      </c>
      <c r="M172" t="n">
        <v>0</v>
      </c>
      <c r="N172" t="n">
        <v>0</v>
      </c>
      <c r="O172" t="n">
        <v>0</v>
      </c>
      <c r="P172" t="n">
        <v>0</v>
      </c>
      <c r="Q172" t="n">
        <v>0</v>
      </c>
      <c r="R172" s="2" t="inlineStr"/>
    </row>
    <row r="173" ht="15" customHeight="1">
      <c r="A173" t="inlineStr">
        <is>
          <t>A 53483-2022</t>
        </is>
      </c>
      <c r="B173" s="1" t="n">
        <v>44879.55940972222</v>
      </c>
      <c r="C173" s="1" t="n">
        <v>46161</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18899-2025</t>
        </is>
      </c>
      <c r="B174" s="1" t="n">
        <v>45764.44931712963</v>
      </c>
      <c r="C174" s="1" t="n">
        <v>46161</v>
      </c>
      <c r="D174" t="inlineStr">
        <is>
          <t>KALMAR LÄN</t>
        </is>
      </c>
      <c r="E174" t="inlineStr">
        <is>
          <t>VIMMERBY</t>
        </is>
      </c>
      <c r="F174" t="inlineStr">
        <is>
          <t>Kommuner</t>
        </is>
      </c>
      <c r="G174" t="n">
        <v>4</v>
      </c>
      <c r="H174" t="n">
        <v>0</v>
      </c>
      <c r="I174" t="n">
        <v>0</v>
      </c>
      <c r="J174" t="n">
        <v>0</v>
      </c>
      <c r="K174" t="n">
        <v>0</v>
      </c>
      <c r="L174" t="n">
        <v>0</v>
      </c>
      <c r="M174" t="n">
        <v>0</v>
      </c>
      <c r="N174" t="n">
        <v>0</v>
      </c>
      <c r="O174" t="n">
        <v>0</v>
      </c>
      <c r="P174" t="n">
        <v>0</v>
      </c>
      <c r="Q174" t="n">
        <v>0</v>
      </c>
      <c r="R174" s="2" t="inlineStr"/>
    </row>
    <row r="175" ht="15" customHeight="1">
      <c r="A175" t="inlineStr">
        <is>
          <t>A 20054-2023</t>
        </is>
      </c>
      <c r="B175" s="1" t="n">
        <v>45054.6750462963</v>
      </c>
      <c r="C175" s="1" t="n">
        <v>46161</v>
      </c>
      <c r="D175" t="inlineStr">
        <is>
          <t>KALMAR LÄN</t>
        </is>
      </c>
      <c r="E175" t="inlineStr">
        <is>
          <t>VIMMERBY</t>
        </is>
      </c>
      <c r="G175" t="n">
        <v>2.4</v>
      </c>
      <c r="H175" t="n">
        <v>0</v>
      </c>
      <c r="I175" t="n">
        <v>0</v>
      </c>
      <c r="J175" t="n">
        <v>0</v>
      </c>
      <c r="K175" t="n">
        <v>0</v>
      </c>
      <c r="L175" t="n">
        <v>0</v>
      </c>
      <c r="M175" t="n">
        <v>0</v>
      </c>
      <c r="N175" t="n">
        <v>0</v>
      </c>
      <c r="O175" t="n">
        <v>0</v>
      </c>
      <c r="P175" t="n">
        <v>0</v>
      </c>
      <c r="Q175" t="n">
        <v>0</v>
      </c>
      <c r="R175" s="2" t="inlineStr"/>
    </row>
    <row r="176" ht="15" customHeight="1">
      <c r="A176" t="inlineStr">
        <is>
          <t>A 58962-2022</t>
        </is>
      </c>
      <c r="B176" s="1" t="n">
        <v>44903</v>
      </c>
      <c r="C176" s="1" t="n">
        <v>46161</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11609-2023</t>
        </is>
      </c>
      <c r="B177" s="1" t="n">
        <v>44994.40635416667</v>
      </c>
      <c r="C177" s="1" t="n">
        <v>46161</v>
      </c>
      <c r="D177" t="inlineStr">
        <is>
          <t>KALMAR LÄN</t>
        </is>
      </c>
      <c r="E177" t="inlineStr">
        <is>
          <t>VIMMERBY</t>
        </is>
      </c>
      <c r="G177" t="n">
        <v>4.9</v>
      </c>
      <c r="H177" t="n">
        <v>0</v>
      </c>
      <c r="I177" t="n">
        <v>0</v>
      </c>
      <c r="J177" t="n">
        <v>0</v>
      </c>
      <c r="K177" t="n">
        <v>0</v>
      </c>
      <c r="L177" t="n">
        <v>0</v>
      </c>
      <c r="M177" t="n">
        <v>0</v>
      </c>
      <c r="N177" t="n">
        <v>0</v>
      </c>
      <c r="O177" t="n">
        <v>0</v>
      </c>
      <c r="P177" t="n">
        <v>0</v>
      </c>
      <c r="Q177" t="n">
        <v>0</v>
      </c>
      <c r="R177" s="2" t="inlineStr"/>
    </row>
    <row r="178" ht="15" customHeight="1">
      <c r="A178" t="inlineStr">
        <is>
          <t>A 48299-2025</t>
        </is>
      </c>
      <c r="B178" s="1" t="n">
        <v>45933.60982638889</v>
      </c>
      <c r="C178" s="1" t="n">
        <v>46161</v>
      </c>
      <c r="D178" t="inlineStr">
        <is>
          <t>KALMAR LÄN</t>
        </is>
      </c>
      <c r="E178" t="inlineStr">
        <is>
          <t>VIMMERBY</t>
        </is>
      </c>
      <c r="G178" t="n">
        <v>1.8</v>
      </c>
      <c r="H178" t="n">
        <v>0</v>
      </c>
      <c r="I178" t="n">
        <v>0</v>
      </c>
      <c r="J178" t="n">
        <v>0</v>
      </c>
      <c r="K178" t="n">
        <v>0</v>
      </c>
      <c r="L178" t="n">
        <v>0</v>
      </c>
      <c r="M178" t="n">
        <v>0</v>
      </c>
      <c r="N178" t="n">
        <v>0</v>
      </c>
      <c r="O178" t="n">
        <v>0</v>
      </c>
      <c r="P178" t="n">
        <v>0</v>
      </c>
      <c r="Q178" t="n">
        <v>0</v>
      </c>
      <c r="R178" s="2" t="inlineStr"/>
    </row>
    <row r="179" ht="15" customHeight="1">
      <c r="A179" t="inlineStr">
        <is>
          <t>A 47965-2025</t>
        </is>
      </c>
      <c r="B179" s="1" t="n">
        <v>45932.59597222223</v>
      </c>
      <c r="C179" s="1" t="n">
        <v>46161</v>
      </c>
      <c r="D179" t="inlineStr">
        <is>
          <t>KALMAR LÄN</t>
        </is>
      </c>
      <c r="E179" t="inlineStr">
        <is>
          <t>VIMMERBY</t>
        </is>
      </c>
      <c r="G179" t="n">
        <v>2.2</v>
      </c>
      <c r="H179" t="n">
        <v>0</v>
      </c>
      <c r="I179" t="n">
        <v>0</v>
      </c>
      <c r="J179" t="n">
        <v>0</v>
      </c>
      <c r="K179" t="n">
        <v>0</v>
      </c>
      <c r="L179" t="n">
        <v>0</v>
      </c>
      <c r="M179" t="n">
        <v>0</v>
      </c>
      <c r="N179" t="n">
        <v>0</v>
      </c>
      <c r="O179" t="n">
        <v>0</v>
      </c>
      <c r="P179" t="n">
        <v>0</v>
      </c>
      <c r="Q179" t="n">
        <v>0</v>
      </c>
      <c r="R179" s="2" t="inlineStr"/>
    </row>
    <row r="180" ht="15" customHeight="1">
      <c r="A180" t="inlineStr">
        <is>
          <t>A 10837-2023</t>
        </is>
      </c>
      <c r="B180" s="1" t="n">
        <v>44991.30547453704</v>
      </c>
      <c r="C180" s="1" t="n">
        <v>46161</v>
      </c>
      <c r="D180" t="inlineStr">
        <is>
          <t>KALMAR LÄN</t>
        </is>
      </c>
      <c r="E180" t="inlineStr">
        <is>
          <t>VIMMERBY</t>
        </is>
      </c>
      <c r="G180" t="n">
        <v>7.3</v>
      </c>
      <c r="H180" t="n">
        <v>0</v>
      </c>
      <c r="I180" t="n">
        <v>0</v>
      </c>
      <c r="J180" t="n">
        <v>0</v>
      </c>
      <c r="K180" t="n">
        <v>0</v>
      </c>
      <c r="L180" t="n">
        <v>0</v>
      </c>
      <c r="M180" t="n">
        <v>0</v>
      </c>
      <c r="N180" t="n">
        <v>0</v>
      </c>
      <c r="O180" t="n">
        <v>0</v>
      </c>
      <c r="P180" t="n">
        <v>0</v>
      </c>
      <c r="Q180" t="n">
        <v>0</v>
      </c>
      <c r="R180" s="2" t="inlineStr"/>
    </row>
    <row r="181" ht="15" customHeight="1">
      <c r="A181" t="inlineStr">
        <is>
          <t>A 10838-2023</t>
        </is>
      </c>
      <c r="B181" s="1" t="n">
        <v>44991</v>
      </c>
      <c r="C181" s="1" t="n">
        <v>46161</v>
      </c>
      <c r="D181" t="inlineStr">
        <is>
          <t>KALMAR LÄN</t>
        </is>
      </c>
      <c r="E181" t="inlineStr">
        <is>
          <t>VIMMERBY</t>
        </is>
      </c>
      <c r="G181" t="n">
        <v>5.1</v>
      </c>
      <c r="H181" t="n">
        <v>0</v>
      </c>
      <c r="I181" t="n">
        <v>0</v>
      </c>
      <c r="J181" t="n">
        <v>0</v>
      </c>
      <c r="K181" t="n">
        <v>0</v>
      </c>
      <c r="L181" t="n">
        <v>0</v>
      </c>
      <c r="M181" t="n">
        <v>0</v>
      </c>
      <c r="N181" t="n">
        <v>0</v>
      </c>
      <c r="O181" t="n">
        <v>0</v>
      </c>
      <c r="P181" t="n">
        <v>0</v>
      </c>
      <c r="Q181" t="n">
        <v>0</v>
      </c>
      <c r="R181" s="2" t="inlineStr"/>
    </row>
    <row r="182" ht="15" customHeight="1">
      <c r="A182" t="inlineStr">
        <is>
          <t>A 42918-2021</t>
        </is>
      </c>
      <c r="B182" s="1" t="n">
        <v>44431</v>
      </c>
      <c r="C182" s="1" t="n">
        <v>46161</v>
      </c>
      <c r="D182" t="inlineStr">
        <is>
          <t>KALMAR LÄN</t>
        </is>
      </c>
      <c r="E182" t="inlineStr">
        <is>
          <t>VIMMERBY</t>
        </is>
      </c>
      <c r="G182" t="n">
        <v>1.6</v>
      </c>
      <c r="H182" t="n">
        <v>0</v>
      </c>
      <c r="I182" t="n">
        <v>0</v>
      </c>
      <c r="J182" t="n">
        <v>0</v>
      </c>
      <c r="K182" t="n">
        <v>0</v>
      </c>
      <c r="L182" t="n">
        <v>0</v>
      </c>
      <c r="M182" t="n">
        <v>0</v>
      </c>
      <c r="N182" t="n">
        <v>0</v>
      </c>
      <c r="O182" t="n">
        <v>0</v>
      </c>
      <c r="P182" t="n">
        <v>0</v>
      </c>
      <c r="Q182" t="n">
        <v>0</v>
      </c>
      <c r="R182" s="2" t="inlineStr"/>
    </row>
    <row r="183" ht="15" customHeight="1">
      <c r="A183" t="inlineStr">
        <is>
          <t>A 47955-2025</t>
        </is>
      </c>
      <c r="B183" s="1" t="n">
        <v>45932.58896990741</v>
      </c>
      <c r="C183" s="1" t="n">
        <v>46161</v>
      </c>
      <c r="D183" t="inlineStr">
        <is>
          <t>KALMAR LÄN</t>
        </is>
      </c>
      <c r="E183" t="inlineStr">
        <is>
          <t>VIMMERBY</t>
        </is>
      </c>
      <c r="G183" t="n">
        <v>3.4</v>
      </c>
      <c r="H183" t="n">
        <v>0</v>
      </c>
      <c r="I183" t="n">
        <v>0</v>
      </c>
      <c r="J183" t="n">
        <v>0</v>
      </c>
      <c r="K183" t="n">
        <v>0</v>
      </c>
      <c r="L183" t="n">
        <v>0</v>
      </c>
      <c r="M183" t="n">
        <v>0</v>
      </c>
      <c r="N183" t="n">
        <v>0</v>
      </c>
      <c r="O183" t="n">
        <v>0</v>
      </c>
      <c r="P183" t="n">
        <v>0</v>
      </c>
      <c r="Q183" t="n">
        <v>0</v>
      </c>
      <c r="R183" s="2" t="inlineStr"/>
    </row>
    <row r="184" ht="15" customHeight="1">
      <c r="A184" t="inlineStr">
        <is>
          <t>A 48723-2025</t>
        </is>
      </c>
      <c r="B184" s="1" t="n">
        <v>45936.65121527778</v>
      </c>
      <c r="C184" s="1" t="n">
        <v>46161</v>
      </c>
      <c r="D184" t="inlineStr">
        <is>
          <t>KALMAR LÄN</t>
        </is>
      </c>
      <c r="E184" t="inlineStr">
        <is>
          <t>VIMMERBY</t>
        </is>
      </c>
      <c r="G184" t="n">
        <v>3</v>
      </c>
      <c r="H184" t="n">
        <v>0</v>
      </c>
      <c r="I184" t="n">
        <v>0</v>
      </c>
      <c r="J184" t="n">
        <v>0</v>
      </c>
      <c r="K184" t="n">
        <v>0</v>
      </c>
      <c r="L184" t="n">
        <v>0</v>
      </c>
      <c r="M184" t="n">
        <v>0</v>
      </c>
      <c r="N184" t="n">
        <v>0</v>
      </c>
      <c r="O184" t="n">
        <v>0</v>
      </c>
      <c r="P184" t="n">
        <v>0</v>
      </c>
      <c r="Q184" t="n">
        <v>0</v>
      </c>
      <c r="R184" s="2" t="inlineStr"/>
    </row>
    <row r="185" ht="15" customHeight="1">
      <c r="A185" t="inlineStr">
        <is>
          <t>A 48712-2025</t>
        </is>
      </c>
      <c r="B185" s="1" t="n">
        <v>45936.63373842592</v>
      </c>
      <c r="C185" s="1" t="n">
        <v>46161</v>
      </c>
      <c r="D185" t="inlineStr">
        <is>
          <t>KALMAR LÄN</t>
        </is>
      </c>
      <c r="E185" t="inlineStr">
        <is>
          <t>VIMMERBY</t>
        </is>
      </c>
      <c r="G185" t="n">
        <v>3</v>
      </c>
      <c r="H185" t="n">
        <v>0</v>
      </c>
      <c r="I185" t="n">
        <v>0</v>
      </c>
      <c r="J185" t="n">
        <v>0</v>
      </c>
      <c r="K185" t="n">
        <v>0</v>
      </c>
      <c r="L185" t="n">
        <v>0</v>
      </c>
      <c r="M185" t="n">
        <v>0</v>
      </c>
      <c r="N185" t="n">
        <v>0</v>
      </c>
      <c r="O185" t="n">
        <v>0</v>
      </c>
      <c r="P185" t="n">
        <v>0</v>
      </c>
      <c r="Q185" t="n">
        <v>0</v>
      </c>
      <c r="R185" s="2" t="inlineStr"/>
    </row>
    <row r="186" ht="15" customHeight="1">
      <c r="A186" t="inlineStr">
        <is>
          <t>A 48408-2025</t>
        </is>
      </c>
      <c r="B186" s="1" t="n">
        <v>45934.40527777778</v>
      </c>
      <c r="C186" s="1" t="n">
        <v>46161</v>
      </c>
      <c r="D186" t="inlineStr">
        <is>
          <t>KALMAR LÄN</t>
        </is>
      </c>
      <c r="E186" t="inlineStr">
        <is>
          <t>VIMMERBY</t>
        </is>
      </c>
      <c r="G186" t="n">
        <v>2.4</v>
      </c>
      <c r="H186" t="n">
        <v>0</v>
      </c>
      <c r="I186" t="n">
        <v>0</v>
      </c>
      <c r="J186" t="n">
        <v>0</v>
      </c>
      <c r="K186" t="n">
        <v>0</v>
      </c>
      <c r="L186" t="n">
        <v>0</v>
      </c>
      <c r="M186" t="n">
        <v>0</v>
      </c>
      <c r="N186" t="n">
        <v>0</v>
      </c>
      <c r="O186" t="n">
        <v>0</v>
      </c>
      <c r="P186" t="n">
        <v>0</v>
      </c>
      <c r="Q186" t="n">
        <v>0</v>
      </c>
      <c r="R186" s="2" t="inlineStr"/>
    </row>
    <row r="187" ht="15" customHeight="1">
      <c r="A187" t="inlineStr">
        <is>
          <t>A 22643-2023</t>
        </is>
      </c>
      <c r="B187" s="1" t="n">
        <v>45071</v>
      </c>
      <c r="C187" s="1" t="n">
        <v>46161</v>
      </c>
      <c r="D187" t="inlineStr">
        <is>
          <t>KALMAR LÄN</t>
        </is>
      </c>
      <c r="E187" t="inlineStr">
        <is>
          <t>VIMMERBY</t>
        </is>
      </c>
      <c r="G187" t="n">
        <v>3.9</v>
      </c>
      <c r="H187" t="n">
        <v>0</v>
      </c>
      <c r="I187" t="n">
        <v>0</v>
      </c>
      <c r="J187" t="n">
        <v>0</v>
      </c>
      <c r="K187" t="n">
        <v>0</v>
      </c>
      <c r="L187" t="n">
        <v>0</v>
      </c>
      <c r="M187" t="n">
        <v>0</v>
      </c>
      <c r="N187" t="n">
        <v>0</v>
      </c>
      <c r="O187" t="n">
        <v>0</v>
      </c>
      <c r="P187" t="n">
        <v>0</v>
      </c>
      <c r="Q187" t="n">
        <v>0</v>
      </c>
      <c r="R187" s="2" t="inlineStr"/>
    </row>
    <row r="188" ht="15" customHeight="1">
      <c r="A188" t="inlineStr">
        <is>
          <t>A 48409-2025</t>
        </is>
      </c>
      <c r="B188" s="1" t="n">
        <v>45934.41387731482</v>
      </c>
      <c r="C188" s="1" t="n">
        <v>46161</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18669-2025</t>
        </is>
      </c>
      <c r="B189" s="1" t="n">
        <v>45763.59436342592</v>
      </c>
      <c r="C189" s="1" t="n">
        <v>46161</v>
      </c>
      <c r="D189" t="inlineStr">
        <is>
          <t>KALMAR LÄN</t>
        </is>
      </c>
      <c r="E189" t="inlineStr">
        <is>
          <t>VIMMERBY</t>
        </is>
      </c>
      <c r="G189" t="n">
        <v>2.7</v>
      </c>
      <c r="H189" t="n">
        <v>0</v>
      </c>
      <c r="I189" t="n">
        <v>0</v>
      </c>
      <c r="J189" t="n">
        <v>0</v>
      </c>
      <c r="K189" t="n">
        <v>0</v>
      </c>
      <c r="L189" t="n">
        <v>0</v>
      </c>
      <c r="M189" t="n">
        <v>0</v>
      </c>
      <c r="N189" t="n">
        <v>0</v>
      </c>
      <c r="O189" t="n">
        <v>0</v>
      </c>
      <c r="P189" t="n">
        <v>0</v>
      </c>
      <c r="Q189" t="n">
        <v>0</v>
      </c>
      <c r="R189" s="2" t="inlineStr"/>
    </row>
    <row r="190" ht="15" customHeight="1">
      <c r="A190" t="inlineStr">
        <is>
          <t>A 48600-2025</t>
        </is>
      </c>
      <c r="B190" s="1" t="n">
        <v>45935</v>
      </c>
      <c r="C190" s="1" t="n">
        <v>46161</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38780-2021</t>
        </is>
      </c>
      <c r="B191" s="1" t="n">
        <v>44410</v>
      </c>
      <c r="C191" s="1" t="n">
        <v>46161</v>
      </c>
      <c r="D191" t="inlineStr">
        <is>
          <t>KALMAR LÄN</t>
        </is>
      </c>
      <c r="E191" t="inlineStr">
        <is>
          <t>VIMMERBY</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13290-2025</t>
        </is>
      </c>
      <c r="B192" s="1" t="n">
        <v>45735.56751157407</v>
      </c>
      <c r="C192" s="1" t="n">
        <v>46161</v>
      </c>
      <c r="D192" t="inlineStr">
        <is>
          <t>KALMAR LÄN</t>
        </is>
      </c>
      <c r="E192" t="inlineStr">
        <is>
          <t>VIMMERBY</t>
        </is>
      </c>
      <c r="G192" t="n">
        <v>0.8</v>
      </c>
      <c r="H192" t="n">
        <v>0</v>
      </c>
      <c r="I192" t="n">
        <v>0</v>
      </c>
      <c r="J192" t="n">
        <v>0</v>
      </c>
      <c r="K192" t="n">
        <v>0</v>
      </c>
      <c r="L192" t="n">
        <v>0</v>
      </c>
      <c r="M192" t="n">
        <v>0</v>
      </c>
      <c r="N192" t="n">
        <v>0</v>
      </c>
      <c r="O192" t="n">
        <v>0</v>
      </c>
      <c r="P192" t="n">
        <v>0</v>
      </c>
      <c r="Q192" t="n">
        <v>0</v>
      </c>
      <c r="R192" s="2" t="inlineStr"/>
    </row>
    <row r="193" ht="15" customHeight="1">
      <c r="A193" t="inlineStr">
        <is>
          <t>A 19162-2023</t>
        </is>
      </c>
      <c r="B193" s="1" t="n">
        <v>45048.59699074074</v>
      </c>
      <c r="C193" s="1" t="n">
        <v>46161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29020-2024</t>
        </is>
      </c>
      <c r="B194" s="1" t="n">
        <v>45481.58048611111</v>
      </c>
      <c r="C194" s="1" t="n">
        <v>46161</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9475-2023</t>
        </is>
      </c>
      <c r="B195" s="1" t="n">
        <v>44981.58834490741</v>
      </c>
      <c r="C195" s="1" t="n">
        <v>46161</v>
      </c>
      <c r="D195" t="inlineStr">
        <is>
          <t>KALMAR LÄN</t>
        </is>
      </c>
      <c r="E195" t="inlineStr">
        <is>
          <t>VIMMERBY</t>
        </is>
      </c>
      <c r="G195" t="n">
        <v>2</v>
      </c>
      <c r="H195" t="n">
        <v>0</v>
      </c>
      <c r="I195" t="n">
        <v>0</v>
      </c>
      <c r="J195" t="n">
        <v>0</v>
      </c>
      <c r="K195" t="n">
        <v>0</v>
      </c>
      <c r="L195" t="n">
        <v>0</v>
      </c>
      <c r="M195" t="n">
        <v>0</v>
      </c>
      <c r="N195" t="n">
        <v>0</v>
      </c>
      <c r="O195" t="n">
        <v>0</v>
      </c>
      <c r="P195" t="n">
        <v>0</v>
      </c>
      <c r="Q195" t="n">
        <v>0</v>
      </c>
      <c r="R195" s="2" t="inlineStr"/>
    </row>
    <row r="196" ht="15" customHeight="1">
      <c r="A196" t="inlineStr">
        <is>
          <t>A 30406-2023</t>
        </is>
      </c>
      <c r="B196" s="1" t="n">
        <v>45111.48787037037</v>
      </c>
      <c r="C196" s="1" t="n">
        <v>46161</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13817-2024</t>
        </is>
      </c>
      <c r="B197" s="1" t="n">
        <v>45391.41976851852</v>
      </c>
      <c r="C197" s="1" t="n">
        <v>46161</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11946-2025</t>
        </is>
      </c>
      <c r="B198" s="1" t="n">
        <v>45728.54832175926</v>
      </c>
      <c r="C198" s="1" t="n">
        <v>46161</v>
      </c>
      <c r="D198" t="inlineStr">
        <is>
          <t>KALMAR LÄN</t>
        </is>
      </c>
      <c r="E198" t="inlineStr">
        <is>
          <t>VIMMERBY</t>
        </is>
      </c>
      <c r="G198" t="n">
        <v>0.4</v>
      </c>
      <c r="H198" t="n">
        <v>0</v>
      </c>
      <c r="I198" t="n">
        <v>0</v>
      </c>
      <c r="J198" t="n">
        <v>0</v>
      </c>
      <c r="K198" t="n">
        <v>0</v>
      </c>
      <c r="L198" t="n">
        <v>0</v>
      </c>
      <c r="M198" t="n">
        <v>0</v>
      </c>
      <c r="N198" t="n">
        <v>0</v>
      </c>
      <c r="O198" t="n">
        <v>0</v>
      </c>
      <c r="P198" t="n">
        <v>0</v>
      </c>
      <c r="Q198" t="n">
        <v>0</v>
      </c>
      <c r="R198" s="2" t="inlineStr"/>
    </row>
    <row r="199" ht="15" customHeight="1">
      <c r="A199" t="inlineStr">
        <is>
          <t>A 19537-2022</t>
        </is>
      </c>
      <c r="B199" s="1" t="n">
        <v>44693.62822916666</v>
      </c>
      <c r="C199" s="1" t="n">
        <v>46161</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60951-2023</t>
        </is>
      </c>
      <c r="B200" s="1" t="n">
        <v>45261.44914351852</v>
      </c>
      <c r="C200" s="1" t="n">
        <v>46161</v>
      </c>
      <c r="D200" t="inlineStr">
        <is>
          <t>KALMAR LÄN</t>
        </is>
      </c>
      <c r="E200" t="inlineStr">
        <is>
          <t>VIMMERBY</t>
        </is>
      </c>
      <c r="G200" t="n">
        <v>4.3</v>
      </c>
      <c r="H200" t="n">
        <v>0</v>
      </c>
      <c r="I200" t="n">
        <v>0</v>
      </c>
      <c r="J200" t="n">
        <v>0</v>
      </c>
      <c r="K200" t="n">
        <v>0</v>
      </c>
      <c r="L200" t="n">
        <v>0</v>
      </c>
      <c r="M200" t="n">
        <v>0</v>
      </c>
      <c r="N200" t="n">
        <v>0</v>
      </c>
      <c r="O200" t="n">
        <v>0</v>
      </c>
      <c r="P200" t="n">
        <v>0</v>
      </c>
      <c r="Q200" t="n">
        <v>0</v>
      </c>
      <c r="R200" s="2" t="inlineStr"/>
    </row>
    <row r="201" ht="15" customHeight="1">
      <c r="A201" t="inlineStr">
        <is>
          <t>A 60292-2022</t>
        </is>
      </c>
      <c r="B201" s="1" t="n">
        <v>44910.54231481482</v>
      </c>
      <c r="C201" s="1" t="n">
        <v>46161</v>
      </c>
      <c r="D201" t="inlineStr">
        <is>
          <t>KALMAR LÄN</t>
        </is>
      </c>
      <c r="E201" t="inlineStr">
        <is>
          <t>VIMMERBY</t>
        </is>
      </c>
      <c r="G201" t="n">
        <v>4.4</v>
      </c>
      <c r="H201" t="n">
        <v>0</v>
      </c>
      <c r="I201" t="n">
        <v>0</v>
      </c>
      <c r="J201" t="n">
        <v>0</v>
      </c>
      <c r="K201" t="n">
        <v>0</v>
      </c>
      <c r="L201" t="n">
        <v>0</v>
      </c>
      <c r="M201" t="n">
        <v>0</v>
      </c>
      <c r="N201" t="n">
        <v>0</v>
      </c>
      <c r="O201" t="n">
        <v>0</v>
      </c>
      <c r="P201" t="n">
        <v>0</v>
      </c>
      <c r="Q201" t="n">
        <v>0</v>
      </c>
      <c r="R201" s="2" t="inlineStr"/>
    </row>
    <row r="202" ht="15" customHeight="1">
      <c r="A202" t="inlineStr">
        <is>
          <t>A 7485-2024</t>
        </is>
      </c>
      <c r="B202" s="1" t="n">
        <v>45346.67184027778</v>
      </c>
      <c r="C202" s="1" t="n">
        <v>46161</v>
      </c>
      <c r="D202" t="inlineStr">
        <is>
          <t>KALMAR LÄN</t>
        </is>
      </c>
      <c r="E202" t="inlineStr">
        <is>
          <t>VIMMERBY</t>
        </is>
      </c>
      <c r="G202" t="n">
        <v>1.9</v>
      </c>
      <c r="H202" t="n">
        <v>0</v>
      </c>
      <c r="I202" t="n">
        <v>0</v>
      </c>
      <c r="J202" t="n">
        <v>0</v>
      </c>
      <c r="K202" t="n">
        <v>0</v>
      </c>
      <c r="L202" t="n">
        <v>0</v>
      </c>
      <c r="M202" t="n">
        <v>0</v>
      </c>
      <c r="N202" t="n">
        <v>0</v>
      </c>
      <c r="O202" t="n">
        <v>0</v>
      </c>
      <c r="P202" t="n">
        <v>0</v>
      </c>
      <c r="Q202" t="n">
        <v>0</v>
      </c>
      <c r="R202" s="2" t="inlineStr"/>
    </row>
    <row r="203" ht="15" customHeight="1">
      <c r="A203" t="inlineStr">
        <is>
          <t>A 12590-2025</t>
        </is>
      </c>
      <c r="B203" s="1" t="n">
        <v>45732.79925925926</v>
      </c>
      <c r="C203" s="1" t="n">
        <v>46161</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35710-2023</t>
        </is>
      </c>
      <c r="B204" s="1" t="n">
        <v>45147.67096064815</v>
      </c>
      <c r="C204" s="1" t="n">
        <v>46161</v>
      </c>
      <c r="D204" t="inlineStr">
        <is>
          <t>KALMAR LÄN</t>
        </is>
      </c>
      <c r="E204" t="inlineStr">
        <is>
          <t>VIMMERBY</t>
        </is>
      </c>
      <c r="G204" t="n">
        <v>3.1</v>
      </c>
      <c r="H204" t="n">
        <v>0</v>
      </c>
      <c r="I204" t="n">
        <v>0</v>
      </c>
      <c r="J204" t="n">
        <v>0</v>
      </c>
      <c r="K204" t="n">
        <v>0</v>
      </c>
      <c r="L204" t="n">
        <v>0</v>
      </c>
      <c r="M204" t="n">
        <v>0</v>
      </c>
      <c r="N204" t="n">
        <v>0</v>
      </c>
      <c r="O204" t="n">
        <v>0</v>
      </c>
      <c r="P204" t="n">
        <v>0</v>
      </c>
      <c r="Q204" t="n">
        <v>0</v>
      </c>
      <c r="R204" s="2" t="inlineStr"/>
    </row>
    <row r="205" ht="15" customHeight="1">
      <c r="A205" t="inlineStr">
        <is>
          <t>A 38604-2025</t>
        </is>
      </c>
      <c r="B205" s="1" t="n">
        <v>45884.50613425926</v>
      </c>
      <c r="C205" s="1" t="n">
        <v>46161</v>
      </c>
      <c r="D205" t="inlineStr">
        <is>
          <t>KALMAR LÄN</t>
        </is>
      </c>
      <c r="E205" t="inlineStr">
        <is>
          <t>VIMMERBY</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52823-2024</t>
        </is>
      </c>
      <c r="B206" s="1" t="n">
        <v>45610.59094907407</v>
      </c>
      <c r="C206" s="1" t="n">
        <v>46161</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11147-2023</t>
        </is>
      </c>
      <c r="B207" s="1" t="n">
        <v>44992</v>
      </c>
      <c r="C207" s="1" t="n">
        <v>46161</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19833-2023</t>
        </is>
      </c>
      <c r="B208" s="1" t="n">
        <v>45052</v>
      </c>
      <c r="C208" s="1" t="n">
        <v>46161</v>
      </c>
      <c r="D208" t="inlineStr">
        <is>
          <t>KALMAR LÄN</t>
        </is>
      </c>
      <c r="E208" t="inlineStr">
        <is>
          <t>VIMMERBY</t>
        </is>
      </c>
      <c r="G208" t="n">
        <v>6.7</v>
      </c>
      <c r="H208" t="n">
        <v>0</v>
      </c>
      <c r="I208" t="n">
        <v>0</v>
      </c>
      <c r="J208" t="n">
        <v>0</v>
      </c>
      <c r="K208" t="n">
        <v>0</v>
      </c>
      <c r="L208" t="n">
        <v>0</v>
      </c>
      <c r="M208" t="n">
        <v>0</v>
      </c>
      <c r="N208" t="n">
        <v>0</v>
      </c>
      <c r="O208" t="n">
        <v>0</v>
      </c>
      <c r="P208" t="n">
        <v>0</v>
      </c>
      <c r="Q208" t="n">
        <v>0</v>
      </c>
      <c r="R208" s="2" t="inlineStr"/>
    </row>
    <row r="209" ht="15" customHeight="1">
      <c r="A209" t="inlineStr">
        <is>
          <t>A 14548-2024</t>
        </is>
      </c>
      <c r="B209" s="1" t="n">
        <v>45394.66887731481</v>
      </c>
      <c r="C209" s="1" t="n">
        <v>46161</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585-2024</t>
        </is>
      </c>
      <c r="B210" s="1" t="n">
        <v>45299.62576388889</v>
      </c>
      <c r="C210" s="1" t="n">
        <v>46161</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56020-2024</t>
        </is>
      </c>
      <c r="B211" s="1" t="n">
        <v>45623.9525462963</v>
      </c>
      <c r="C211" s="1" t="n">
        <v>46161</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23252-2024</t>
        </is>
      </c>
      <c r="B212" s="1" t="n">
        <v>45453.36067129629</v>
      </c>
      <c r="C212" s="1" t="n">
        <v>46161</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15550-2023</t>
        </is>
      </c>
      <c r="B213" s="1" t="n">
        <v>45020</v>
      </c>
      <c r="C213" s="1" t="n">
        <v>46161</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11219-2023</t>
        </is>
      </c>
      <c r="B214" s="1" t="n">
        <v>44992.62498842592</v>
      </c>
      <c r="C214" s="1" t="n">
        <v>46161</v>
      </c>
      <c r="D214" t="inlineStr">
        <is>
          <t>KALMAR LÄN</t>
        </is>
      </c>
      <c r="E214" t="inlineStr">
        <is>
          <t>VIMMERBY</t>
        </is>
      </c>
      <c r="G214" t="n">
        <v>2.5</v>
      </c>
      <c r="H214" t="n">
        <v>0</v>
      </c>
      <c r="I214" t="n">
        <v>0</v>
      </c>
      <c r="J214" t="n">
        <v>0</v>
      </c>
      <c r="K214" t="n">
        <v>0</v>
      </c>
      <c r="L214" t="n">
        <v>0</v>
      </c>
      <c r="M214" t="n">
        <v>0</v>
      </c>
      <c r="N214" t="n">
        <v>0</v>
      </c>
      <c r="O214" t="n">
        <v>0</v>
      </c>
      <c r="P214" t="n">
        <v>0</v>
      </c>
      <c r="Q214" t="n">
        <v>0</v>
      </c>
      <c r="R214" s="2" t="inlineStr"/>
    </row>
    <row r="215" ht="15" customHeight="1">
      <c r="A215" t="inlineStr">
        <is>
          <t>A 47855-2024</t>
        </is>
      </c>
      <c r="B215" s="1" t="n">
        <v>45588.66457175926</v>
      </c>
      <c r="C215" s="1" t="n">
        <v>46161</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172-2022</t>
        </is>
      </c>
      <c r="B216" s="1" t="n">
        <v>44564.62598379629</v>
      </c>
      <c r="C216" s="1" t="n">
        <v>46161</v>
      </c>
      <c r="D216" t="inlineStr">
        <is>
          <t>KALMAR LÄN</t>
        </is>
      </c>
      <c r="E216" t="inlineStr">
        <is>
          <t>VIMMERBY</t>
        </is>
      </c>
      <c r="G216" t="n">
        <v>2.1</v>
      </c>
      <c r="H216" t="n">
        <v>0</v>
      </c>
      <c r="I216" t="n">
        <v>0</v>
      </c>
      <c r="J216" t="n">
        <v>0</v>
      </c>
      <c r="K216" t="n">
        <v>0</v>
      </c>
      <c r="L216" t="n">
        <v>0</v>
      </c>
      <c r="M216" t="n">
        <v>0</v>
      </c>
      <c r="N216" t="n">
        <v>0</v>
      </c>
      <c r="O216" t="n">
        <v>0</v>
      </c>
      <c r="P216" t="n">
        <v>0</v>
      </c>
      <c r="Q216" t="n">
        <v>0</v>
      </c>
      <c r="R216" s="2" t="inlineStr"/>
    </row>
    <row r="217" ht="15" customHeight="1">
      <c r="A217" t="inlineStr">
        <is>
          <t>A 39584-2024</t>
        </is>
      </c>
      <c r="B217" s="1" t="n">
        <v>45552.36759259259</v>
      </c>
      <c r="C217" s="1" t="n">
        <v>46161</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29726-2025</t>
        </is>
      </c>
      <c r="B218" s="1" t="n">
        <v>45825.57805555555</v>
      </c>
      <c r="C218" s="1" t="n">
        <v>46161</v>
      </c>
      <c r="D218" t="inlineStr">
        <is>
          <t>KALMAR LÄN</t>
        </is>
      </c>
      <c r="E218" t="inlineStr">
        <is>
          <t>VIMMERBY</t>
        </is>
      </c>
      <c r="G218" t="n">
        <v>2</v>
      </c>
      <c r="H218" t="n">
        <v>0</v>
      </c>
      <c r="I218" t="n">
        <v>0</v>
      </c>
      <c r="J218" t="n">
        <v>0</v>
      </c>
      <c r="K218" t="n">
        <v>0</v>
      </c>
      <c r="L218" t="n">
        <v>0</v>
      </c>
      <c r="M218" t="n">
        <v>0</v>
      </c>
      <c r="N218" t="n">
        <v>0</v>
      </c>
      <c r="O218" t="n">
        <v>0</v>
      </c>
      <c r="P218" t="n">
        <v>0</v>
      </c>
      <c r="Q218" t="n">
        <v>0</v>
      </c>
      <c r="R218" s="2" t="inlineStr"/>
    </row>
    <row r="219" ht="15" customHeight="1">
      <c r="A219" t="inlineStr">
        <is>
          <t>A 22399-2025</t>
        </is>
      </c>
      <c r="B219" s="1" t="n">
        <v>45786.52996527778</v>
      </c>
      <c r="C219" s="1" t="n">
        <v>46161</v>
      </c>
      <c r="D219" t="inlineStr">
        <is>
          <t>KALMAR LÄN</t>
        </is>
      </c>
      <c r="E219" t="inlineStr">
        <is>
          <t>VIMMERBY</t>
        </is>
      </c>
      <c r="G219" t="n">
        <v>2.1</v>
      </c>
      <c r="H219" t="n">
        <v>0</v>
      </c>
      <c r="I219" t="n">
        <v>0</v>
      </c>
      <c r="J219" t="n">
        <v>0</v>
      </c>
      <c r="K219" t="n">
        <v>0</v>
      </c>
      <c r="L219" t="n">
        <v>0</v>
      </c>
      <c r="M219" t="n">
        <v>0</v>
      </c>
      <c r="N219" t="n">
        <v>0</v>
      </c>
      <c r="O219" t="n">
        <v>0</v>
      </c>
      <c r="P219" t="n">
        <v>0</v>
      </c>
      <c r="Q219" t="n">
        <v>0</v>
      </c>
      <c r="R219" s="2" t="inlineStr"/>
    </row>
    <row r="220" ht="15" customHeight="1">
      <c r="A220" t="inlineStr">
        <is>
          <t>A 51881-2024</t>
        </is>
      </c>
      <c r="B220" s="1" t="n">
        <v>45607.56773148148</v>
      </c>
      <c r="C220" s="1" t="n">
        <v>46161</v>
      </c>
      <c r="D220" t="inlineStr">
        <is>
          <t>KALMAR LÄN</t>
        </is>
      </c>
      <c r="E220" t="inlineStr">
        <is>
          <t>VIMMERBY</t>
        </is>
      </c>
      <c r="G220" t="n">
        <v>3.4</v>
      </c>
      <c r="H220" t="n">
        <v>0</v>
      </c>
      <c r="I220" t="n">
        <v>0</v>
      </c>
      <c r="J220" t="n">
        <v>0</v>
      </c>
      <c r="K220" t="n">
        <v>0</v>
      </c>
      <c r="L220" t="n">
        <v>0</v>
      </c>
      <c r="M220" t="n">
        <v>0</v>
      </c>
      <c r="N220" t="n">
        <v>0</v>
      </c>
      <c r="O220" t="n">
        <v>0</v>
      </c>
      <c r="P220" t="n">
        <v>0</v>
      </c>
      <c r="Q220" t="n">
        <v>0</v>
      </c>
      <c r="R220" s="2" t="inlineStr"/>
    </row>
    <row r="221" ht="15" customHeight="1">
      <c r="A221" t="inlineStr">
        <is>
          <t>A 22397-2025</t>
        </is>
      </c>
      <c r="B221" s="1" t="n">
        <v>45786.52878472222</v>
      </c>
      <c r="C221" s="1" t="n">
        <v>46161</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2596-2025</t>
        </is>
      </c>
      <c r="B222" s="1" t="n">
        <v>45674.71810185185</v>
      </c>
      <c r="C222" s="1" t="n">
        <v>46161</v>
      </c>
      <c r="D222" t="inlineStr">
        <is>
          <t>KALMAR LÄN</t>
        </is>
      </c>
      <c r="E222" t="inlineStr">
        <is>
          <t>VIMMERBY</t>
        </is>
      </c>
      <c r="G222" t="n">
        <v>9</v>
      </c>
      <c r="H222" t="n">
        <v>0</v>
      </c>
      <c r="I222" t="n">
        <v>0</v>
      </c>
      <c r="J222" t="n">
        <v>0</v>
      </c>
      <c r="K222" t="n">
        <v>0</v>
      </c>
      <c r="L222" t="n">
        <v>0</v>
      </c>
      <c r="M222" t="n">
        <v>0</v>
      </c>
      <c r="N222" t="n">
        <v>0</v>
      </c>
      <c r="O222" t="n">
        <v>0</v>
      </c>
      <c r="P222" t="n">
        <v>0</v>
      </c>
      <c r="Q222" t="n">
        <v>0</v>
      </c>
      <c r="R222" s="2" t="inlineStr"/>
    </row>
    <row r="223" ht="15" customHeight="1">
      <c r="A223" t="inlineStr">
        <is>
          <t>A 25582-2024</t>
        </is>
      </c>
      <c r="B223" s="1" t="n">
        <v>45463</v>
      </c>
      <c r="C223" s="1" t="n">
        <v>46161</v>
      </c>
      <c r="D223" t="inlineStr">
        <is>
          <t>KALMAR LÄN</t>
        </is>
      </c>
      <c r="E223" t="inlineStr">
        <is>
          <t>VIMMERBY</t>
        </is>
      </c>
      <c r="G223" t="n">
        <v>1.4</v>
      </c>
      <c r="H223" t="n">
        <v>0</v>
      </c>
      <c r="I223" t="n">
        <v>0</v>
      </c>
      <c r="J223" t="n">
        <v>0</v>
      </c>
      <c r="K223" t="n">
        <v>0</v>
      </c>
      <c r="L223" t="n">
        <v>0</v>
      </c>
      <c r="M223" t="n">
        <v>0</v>
      </c>
      <c r="N223" t="n">
        <v>0</v>
      </c>
      <c r="O223" t="n">
        <v>0</v>
      </c>
      <c r="P223" t="n">
        <v>0</v>
      </c>
      <c r="Q223" t="n">
        <v>0</v>
      </c>
      <c r="R223" s="2" t="inlineStr"/>
    </row>
    <row r="224" ht="15" customHeight="1">
      <c r="A224" t="inlineStr">
        <is>
          <t>A 16734-2023</t>
        </is>
      </c>
      <c r="B224" s="1" t="n">
        <v>45030.71012731481</v>
      </c>
      <c r="C224" s="1" t="n">
        <v>46161</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57578-2024</t>
        </is>
      </c>
      <c r="B225" s="1" t="n">
        <v>45630.47564814815</v>
      </c>
      <c r="C225" s="1" t="n">
        <v>46161</v>
      </c>
      <c r="D225" t="inlineStr">
        <is>
          <t>KALMAR LÄN</t>
        </is>
      </c>
      <c r="E225" t="inlineStr">
        <is>
          <t>VIMMERBY</t>
        </is>
      </c>
      <c r="G225" t="n">
        <v>2.6</v>
      </c>
      <c r="H225" t="n">
        <v>0</v>
      </c>
      <c r="I225" t="n">
        <v>0</v>
      </c>
      <c r="J225" t="n">
        <v>0</v>
      </c>
      <c r="K225" t="n">
        <v>0</v>
      </c>
      <c r="L225" t="n">
        <v>0</v>
      </c>
      <c r="M225" t="n">
        <v>0</v>
      </c>
      <c r="N225" t="n">
        <v>0</v>
      </c>
      <c r="O225" t="n">
        <v>0</v>
      </c>
      <c r="P225" t="n">
        <v>0</v>
      </c>
      <c r="Q225" t="n">
        <v>0</v>
      </c>
      <c r="R225" s="2" t="inlineStr"/>
    </row>
    <row r="226" ht="15" customHeight="1">
      <c r="A226" t="inlineStr">
        <is>
          <t>A 20129-2024</t>
        </is>
      </c>
      <c r="B226" s="1" t="n">
        <v>45434.55831018519</v>
      </c>
      <c r="C226" s="1" t="n">
        <v>46161</v>
      </c>
      <c r="D226" t="inlineStr">
        <is>
          <t>KALMAR LÄN</t>
        </is>
      </c>
      <c r="E226" t="inlineStr">
        <is>
          <t>VIMMERBY</t>
        </is>
      </c>
      <c r="F226" t="inlineStr">
        <is>
          <t>Sveaskog</t>
        </is>
      </c>
      <c r="G226" t="n">
        <v>2</v>
      </c>
      <c r="H226" t="n">
        <v>0</v>
      </c>
      <c r="I226" t="n">
        <v>0</v>
      </c>
      <c r="J226" t="n">
        <v>0</v>
      </c>
      <c r="K226" t="n">
        <v>0</v>
      </c>
      <c r="L226" t="n">
        <v>0</v>
      </c>
      <c r="M226" t="n">
        <v>0</v>
      </c>
      <c r="N226" t="n">
        <v>0</v>
      </c>
      <c r="O226" t="n">
        <v>0</v>
      </c>
      <c r="P226" t="n">
        <v>0</v>
      </c>
      <c r="Q226" t="n">
        <v>0</v>
      </c>
      <c r="R226" s="2" t="inlineStr"/>
    </row>
    <row r="227" ht="15" customHeight="1">
      <c r="A227" t="inlineStr">
        <is>
          <t>A 20137-2024</t>
        </is>
      </c>
      <c r="B227" s="1" t="n">
        <v>45434.56398148148</v>
      </c>
      <c r="C227" s="1" t="n">
        <v>46161</v>
      </c>
      <c r="D227" t="inlineStr">
        <is>
          <t>KALMAR LÄN</t>
        </is>
      </c>
      <c r="E227" t="inlineStr">
        <is>
          <t>VIMMERBY</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7456-2024</t>
        </is>
      </c>
      <c r="B228" s="1" t="n">
        <v>45345.83557870371</v>
      </c>
      <c r="C228" s="1" t="n">
        <v>46161</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39801-2025</t>
        </is>
      </c>
      <c r="B229" s="1" t="n">
        <v>45891.50216435185</v>
      </c>
      <c r="C229" s="1" t="n">
        <v>46161</v>
      </c>
      <c r="D229" t="inlineStr">
        <is>
          <t>KALMAR LÄN</t>
        </is>
      </c>
      <c r="E229" t="inlineStr">
        <is>
          <t>VIMMERBY</t>
        </is>
      </c>
      <c r="G229" t="n">
        <v>2</v>
      </c>
      <c r="H229" t="n">
        <v>0</v>
      </c>
      <c r="I229" t="n">
        <v>0</v>
      </c>
      <c r="J229" t="n">
        <v>0</v>
      </c>
      <c r="K229" t="n">
        <v>0</v>
      </c>
      <c r="L229" t="n">
        <v>0</v>
      </c>
      <c r="M229" t="n">
        <v>0</v>
      </c>
      <c r="N229" t="n">
        <v>0</v>
      </c>
      <c r="O229" t="n">
        <v>0</v>
      </c>
      <c r="P229" t="n">
        <v>0</v>
      </c>
      <c r="Q229" t="n">
        <v>0</v>
      </c>
      <c r="R229" s="2" t="inlineStr"/>
    </row>
    <row r="230" ht="15" customHeight="1">
      <c r="A230" t="inlineStr">
        <is>
          <t>A 39807-2025</t>
        </is>
      </c>
      <c r="B230" s="1" t="n">
        <v>45891.50986111111</v>
      </c>
      <c r="C230" s="1" t="n">
        <v>46161</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39736-2025</t>
        </is>
      </c>
      <c r="B231" s="1" t="n">
        <v>45891</v>
      </c>
      <c r="C231" s="1" t="n">
        <v>46161</v>
      </c>
      <c r="D231" t="inlineStr">
        <is>
          <t>KALMAR LÄN</t>
        </is>
      </c>
      <c r="E231" t="inlineStr">
        <is>
          <t>VIMMERBY</t>
        </is>
      </c>
      <c r="G231" t="n">
        <v>12.8</v>
      </c>
      <c r="H231" t="n">
        <v>0</v>
      </c>
      <c r="I231" t="n">
        <v>0</v>
      </c>
      <c r="J231" t="n">
        <v>0</v>
      </c>
      <c r="K231" t="n">
        <v>0</v>
      </c>
      <c r="L231" t="n">
        <v>0</v>
      </c>
      <c r="M231" t="n">
        <v>0</v>
      </c>
      <c r="N231" t="n">
        <v>0</v>
      </c>
      <c r="O231" t="n">
        <v>0</v>
      </c>
      <c r="P231" t="n">
        <v>0</v>
      </c>
      <c r="Q231" t="n">
        <v>0</v>
      </c>
      <c r="R231" s="2" t="inlineStr"/>
    </row>
    <row r="232" ht="15" customHeight="1">
      <c r="A232" t="inlineStr">
        <is>
          <t>A 6307-2025</t>
        </is>
      </c>
      <c r="B232" s="1" t="n">
        <v>45698.69016203703</v>
      </c>
      <c r="C232" s="1" t="n">
        <v>46161</v>
      </c>
      <c r="D232" t="inlineStr">
        <is>
          <t>KALMAR LÄN</t>
        </is>
      </c>
      <c r="E232" t="inlineStr">
        <is>
          <t>VIMMERBY</t>
        </is>
      </c>
      <c r="G232" t="n">
        <v>3</v>
      </c>
      <c r="H232" t="n">
        <v>0</v>
      </c>
      <c r="I232" t="n">
        <v>0</v>
      </c>
      <c r="J232" t="n">
        <v>0</v>
      </c>
      <c r="K232" t="n">
        <v>0</v>
      </c>
      <c r="L232" t="n">
        <v>0</v>
      </c>
      <c r="M232" t="n">
        <v>0</v>
      </c>
      <c r="N232" t="n">
        <v>0</v>
      </c>
      <c r="O232" t="n">
        <v>0</v>
      </c>
      <c r="P232" t="n">
        <v>0</v>
      </c>
      <c r="Q232" t="n">
        <v>0</v>
      </c>
      <c r="R232" s="2" t="inlineStr"/>
    </row>
    <row r="233" ht="15" customHeight="1">
      <c r="A233" t="inlineStr">
        <is>
          <t>A 52324-2023</t>
        </is>
      </c>
      <c r="B233" s="1" t="n">
        <v>45224.64659722222</v>
      </c>
      <c r="C233" s="1" t="n">
        <v>46161</v>
      </c>
      <c r="D233" t="inlineStr">
        <is>
          <t>KALMAR LÄN</t>
        </is>
      </c>
      <c r="E233" t="inlineStr">
        <is>
          <t>VIMMERBY</t>
        </is>
      </c>
      <c r="F233" t="inlineStr">
        <is>
          <t>Sveaskog</t>
        </is>
      </c>
      <c r="G233" t="n">
        <v>2.9</v>
      </c>
      <c r="H233" t="n">
        <v>0</v>
      </c>
      <c r="I233" t="n">
        <v>0</v>
      </c>
      <c r="J233" t="n">
        <v>0</v>
      </c>
      <c r="K233" t="n">
        <v>0</v>
      </c>
      <c r="L233" t="n">
        <v>0</v>
      </c>
      <c r="M233" t="n">
        <v>0</v>
      </c>
      <c r="N233" t="n">
        <v>0</v>
      </c>
      <c r="O233" t="n">
        <v>0</v>
      </c>
      <c r="P233" t="n">
        <v>0</v>
      </c>
      <c r="Q233" t="n">
        <v>0</v>
      </c>
      <c r="R233" s="2" t="inlineStr"/>
    </row>
    <row r="234" ht="15" customHeight="1">
      <c r="A234" t="inlineStr">
        <is>
          <t>A 49871-2025</t>
        </is>
      </c>
      <c r="B234" s="1" t="n">
        <v>45940.54104166666</v>
      </c>
      <c r="C234" s="1" t="n">
        <v>46161</v>
      </c>
      <c r="D234" t="inlineStr">
        <is>
          <t>KALMAR LÄN</t>
        </is>
      </c>
      <c r="E234" t="inlineStr">
        <is>
          <t>VIMMERBY</t>
        </is>
      </c>
      <c r="G234" t="n">
        <v>0.6</v>
      </c>
      <c r="H234" t="n">
        <v>0</v>
      </c>
      <c r="I234" t="n">
        <v>0</v>
      </c>
      <c r="J234" t="n">
        <v>0</v>
      </c>
      <c r="K234" t="n">
        <v>0</v>
      </c>
      <c r="L234" t="n">
        <v>0</v>
      </c>
      <c r="M234" t="n">
        <v>0</v>
      </c>
      <c r="N234" t="n">
        <v>0</v>
      </c>
      <c r="O234" t="n">
        <v>0</v>
      </c>
      <c r="P234" t="n">
        <v>0</v>
      </c>
      <c r="Q234" t="n">
        <v>0</v>
      </c>
      <c r="R234" s="2" t="inlineStr"/>
    </row>
    <row r="235" ht="15" customHeight="1">
      <c r="A235" t="inlineStr">
        <is>
          <t>A 11442-2025</t>
        </is>
      </c>
      <c r="B235" s="1" t="n">
        <v>45726.62721064815</v>
      </c>
      <c r="C235" s="1" t="n">
        <v>46161</v>
      </c>
      <c r="D235" t="inlineStr">
        <is>
          <t>KALMAR LÄN</t>
        </is>
      </c>
      <c r="E235" t="inlineStr">
        <is>
          <t>VIMMERBY</t>
        </is>
      </c>
      <c r="G235" t="n">
        <v>2.6</v>
      </c>
      <c r="H235" t="n">
        <v>0</v>
      </c>
      <c r="I235" t="n">
        <v>0</v>
      </c>
      <c r="J235" t="n">
        <v>0</v>
      </c>
      <c r="K235" t="n">
        <v>0</v>
      </c>
      <c r="L235" t="n">
        <v>0</v>
      </c>
      <c r="M235" t="n">
        <v>0</v>
      </c>
      <c r="N235" t="n">
        <v>0</v>
      </c>
      <c r="O235" t="n">
        <v>0</v>
      </c>
      <c r="P235" t="n">
        <v>0</v>
      </c>
      <c r="Q235" t="n">
        <v>0</v>
      </c>
      <c r="R235" s="2" t="inlineStr"/>
    </row>
    <row r="236" ht="15" customHeight="1">
      <c r="A236" t="inlineStr">
        <is>
          <t>A 17988-2025</t>
        </is>
      </c>
      <c r="B236" s="1" t="n">
        <v>45761.39600694444</v>
      </c>
      <c r="C236" s="1" t="n">
        <v>46161</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39803-2025</t>
        </is>
      </c>
      <c r="B237" s="1" t="n">
        <v>45891.50525462963</v>
      </c>
      <c r="C237" s="1" t="n">
        <v>46161</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39889-2025</t>
        </is>
      </c>
      <c r="B238" s="1" t="n">
        <v>45891</v>
      </c>
      <c r="C238" s="1" t="n">
        <v>46161</v>
      </c>
      <c r="D238" t="inlineStr">
        <is>
          <t>KALMAR LÄN</t>
        </is>
      </c>
      <c r="E238" t="inlineStr">
        <is>
          <t>VIMMERBY</t>
        </is>
      </c>
      <c r="G238" t="n">
        <v>4.5</v>
      </c>
      <c r="H238" t="n">
        <v>0</v>
      </c>
      <c r="I238" t="n">
        <v>0</v>
      </c>
      <c r="J238" t="n">
        <v>0</v>
      </c>
      <c r="K238" t="n">
        <v>0</v>
      </c>
      <c r="L238" t="n">
        <v>0</v>
      </c>
      <c r="M238" t="n">
        <v>0</v>
      </c>
      <c r="N238" t="n">
        <v>0</v>
      </c>
      <c r="O238" t="n">
        <v>0</v>
      </c>
      <c r="P238" t="n">
        <v>0</v>
      </c>
      <c r="Q238" t="n">
        <v>0</v>
      </c>
      <c r="R238" s="2" t="inlineStr"/>
    </row>
    <row r="239" ht="15" customHeight="1">
      <c r="A239" t="inlineStr">
        <is>
          <t>A 50544-2025</t>
        </is>
      </c>
      <c r="B239" s="1" t="n">
        <v>45945.50736111111</v>
      </c>
      <c r="C239" s="1" t="n">
        <v>46161</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46161</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50324-2025</t>
        </is>
      </c>
      <c r="B241" s="1" t="n">
        <v>45944.45962962963</v>
      </c>
      <c r="C241" s="1" t="n">
        <v>46161</v>
      </c>
      <c r="D241" t="inlineStr">
        <is>
          <t>KALMAR LÄN</t>
        </is>
      </c>
      <c r="E241" t="inlineStr">
        <is>
          <t>VIMMERBY</t>
        </is>
      </c>
      <c r="G241" t="n">
        <v>2.1</v>
      </c>
      <c r="H241" t="n">
        <v>0</v>
      </c>
      <c r="I241" t="n">
        <v>0</v>
      </c>
      <c r="J241" t="n">
        <v>0</v>
      </c>
      <c r="K241" t="n">
        <v>0</v>
      </c>
      <c r="L241" t="n">
        <v>0</v>
      </c>
      <c r="M241" t="n">
        <v>0</v>
      </c>
      <c r="N241" t="n">
        <v>0</v>
      </c>
      <c r="O241" t="n">
        <v>0</v>
      </c>
      <c r="P241" t="n">
        <v>0</v>
      </c>
      <c r="Q241" t="n">
        <v>0</v>
      </c>
      <c r="R241" s="2" t="inlineStr"/>
    </row>
    <row r="242" ht="15" customHeight="1">
      <c r="A242" t="inlineStr">
        <is>
          <t>A 37028-2024</t>
        </is>
      </c>
      <c r="B242" s="1" t="n">
        <v>45539.38744212963</v>
      </c>
      <c r="C242" s="1" t="n">
        <v>46161</v>
      </c>
      <c r="D242" t="inlineStr">
        <is>
          <t>KALMAR LÄN</t>
        </is>
      </c>
      <c r="E242" t="inlineStr">
        <is>
          <t>VIMMERBY</t>
        </is>
      </c>
      <c r="G242" t="n">
        <v>5.2</v>
      </c>
      <c r="H242" t="n">
        <v>0</v>
      </c>
      <c r="I242" t="n">
        <v>0</v>
      </c>
      <c r="J242" t="n">
        <v>0</v>
      </c>
      <c r="K242" t="n">
        <v>0</v>
      </c>
      <c r="L242" t="n">
        <v>0</v>
      </c>
      <c r="M242" t="n">
        <v>0</v>
      </c>
      <c r="N242" t="n">
        <v>0</v>
      </c>
      <c r="O242" t="n">
        <v>0</v>
      </c>
      <c r="P242" t="n">
        <v>0</v>
      </c>
      <c r="Q242" t="n">
        <v>0</v>
      </c>
      <c r="R242" s="2" t="inlineStr"/>
    </row>
    <row r="243" ht="15" customHeight="1">
      <c r="A243" t="inlineStr">
        <is>
          <t>A 6668-2023</t>
        </is>
      </c>
      <c r="B243" s="1" t="n">
        <v>44966</v>
      </c>
      <c r="C243" s="1" t="n">
        <v>46161</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29168-2024</t>
        </is>
      </c>
      <c r="B244" s="1" t="n">
        <v>45482.49870370371</v>
      </c>
      <c r="C244" s="1" t="n">
        <v>46161</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55236-2023</t>
        </is>
      </c>
      <c r="B245" s="1" t="n">
        <v>45237.63225694445</v>
      </c>
      <c r="C245" s="1" t="n">
        <v>46161</v>
      </c>
      <c r="D245" t="inlineStr">
        <is>
          <t>KALMAR LÄN</t>
        </is>
      </c>
      <c r="E245" t="inlineStr">
        <is>
          <t>VIMMERBY</t>
        </is>
      </c>
      <c r="G245" t="n">
        <v>1.1</v>
      </c>
      <c r="H245" t="n">
        <v>0</v>
      </c>
      <c r="I245" t="n">
        <v>0</v>
      </c>
      <c r="J245" t="n">
        <v>0</v>
      </c>
      <c r="K245" t="n">
        <v>0</v>
      </c>
      <c r="L245" t="n">
        <v>0</v>
      </c>
      <c r="M245" t="n">
        <v>0</v>
      </c>
      <c r="N245" t="n">
        <v>0</v>
      </c>
      <c r="O245" t="n">
        <v>0</v>
      </c>
      <c r="P245" t="n">
        <v>0</v>
      </c>
      <c r="Q245" t="n">
        <v>0</v>
      </c>
      <c r="R245" s="2" t="inlineStr"/>
    </row>
    <row r="246" ht="15" customHeight="1">
      <c r="A246" t="inlineStr">
        <is>
          <t>A 55245-2023</t>
        </is>
      </c>
      <c r="B246" s="1" t="n">
        <v>45237.64408564815</v>
      </c>
      <c r="C246" s="1" t="n">
        <v>46161</v>
      </c>
      <c r="D246" t="inlineStr">
        <is>
          <t>KALMAR LÄN</t>
        </is>
      </c>
      <c r="E246" t="inlineStr">
        <is>
          <t>VIMMERBY</t>
        </is>
      </c>
      <c r="G246" t="n">
        <v>1.3</v>
      </c>
      <c r="H246" t="n">
        <v>0</v>
      </c>
      <c r="I246" t="n">
        <v>0</v>
      </c>
      <c r="J246" t="n">
        <v>0</v>
      </c>
      <c r="K246" t="n">
        <v>0</v>
      </c>
      <c r="L246" t="n">
        <v>0</v>
      </c>
      <c r="M246" t="n">
        <v>0</v>
      </c>
      <c r="N246" t="n">
        <v>0</v>
      </c>
      <c r="O246" t="n">
        <v>0</v>
      </c>
      <c r="P246" t="n">
        <v>0</v>
      </c>
      <c r="Q246" t="n">
        <v>0</v>
      </c>
      <c r="R246" s="2" t="inlineStr"/>
    </row>
    <row r="247" ht="15" customHeight="1">
      <c r="A247" t="inlineStr">
        <is>
          <t>A 36055-2024</t>
        </is>
      </c>
      <c r="B247" s="1" t="n">
        <v>45533.63056712963</v>
      </c>
      <c r="C247" s="1" t="n">
        <v>46161</v>
      </c>
      <c r="D247" t="inlineStr">
        <is>
          <t>KALMAR LÄN</t>
        </is>
      </c>
      <c r="E247" t="inlineStr">
        <is>
          <t>VIMMERBY</t>
        </is>
      </c>
      <c r="F247" t="inlineStr">
        <is>
          <t>Kommuner</t>
        </is>
      </c>
      <c r="G247" t="n">
        <v>1.9</v>
      </c>
      <c r="H247" t="n">
        <v>0</v>
      </c>
      <c r="I247" t="n">
        <v>0</v>
      </c>
      <c r="J247" t="n">
        <v>0</v>
      </c>
      <c r="K247" t="n">
        <v>0</v>
      </c>
      <c r="L247" t="n">
        <v>0</v>
      </c>
      <c r="M247" t="n">
        <v>0</v>
      </c>
      <c r="N247" t="n">
        <v>0</v>
      </c>
      <c r="O247" t="n">
        <v>0</v>
      </c>
      <c r="P247" t="n">
        <v>0</v>
      </c>
      <c r="Q247" t="n">
        <v>0</v>
      </c>
      <c r="R247" s="2" t="inlineStr"/>
    </row>
    <row r="248" ht="15" customHeight="1">
      <c r="A248" t="inlineStr">
        <is>
          <t>A 23394-2025</t>
        </is>
      </c>
      <c r="B248" s="1" t="n">
        <v>45791.89865740741</v>
      </c>
      <c r="C248" s="1" t="n">
        <v>46161</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51062-2025</t>
        </is>
      </c>
      <c r="B249" s="1" t="n">
        <v>45947.44685185186</v>
      </c>
      <c r="C249" s="1" t="n">
        <v>46161</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27443-2023</t>
        </is>
      </c>
      <c r="B250" s="1" t="n">
        <v>45097.40524305555</v>
      </c>
      <c r="C250" s="1" t="n">
        <v>46161</v>
      </c>
      <c r="D250" t="inlineStr">
        <is>
          <t>KALMAR LÄN</t>
        </is>
      </c>
      <c r="E250" t="inlineStr">
        <is>
          <t>VIMMERBY</t>
        </is>
      </c>
      <c r="F250" t="inlineStr">
        <is>
          <t>Övriga Aktiebolag</t>
        </is>
      </c>
      <c r="G250" t="n">
        <v>2.3</v>
      </c>
      <c r="H250" t="n">
        <v>0</v>
      </c>
      <c r="I250" t="n">
        <v>0</v>
      </c>
      <c r="J250" t="n">
        <v>0</v>
      </c>
      <c r="K250" t="n">
        <v>0</v>
      </c>
      <c r="L250" t="n">
        <v>0</v>
      </c>
      <c r="M250" t="n">
        <v>0</v>
      </c>
      <c r="N250" t="n">
        <v>0</v>
      </c>
      <c r="O250" t="n">
        <v>0</v>
      </c>
      <c r="P250" t="n">
        <v>0</v>
      </c>
      <c r="Q250" t="n">
        <v>0</v>
      </c>
      <c r="R250" s="2" t="inlineStr"/>
    </row>
    <row r="251" ht="15" customHeight="1">
      <c r="A251" t="inlineStr">
        <is>
          <t>A 845-2023</t>
        </is>
      </c>
      <c r="B251" s="1" t="n">
        <v>44931</v>
      </c>
      <c r="C251" s="1" t="n">
        <v>46161</v>
      </c>
      <c r="D251" t="inlineStr">
        <is>
          <t>KALMAR LÄN</t>
        </is>
      </c>
      <c r="E251" t="inlineStr">
        <is>
          <t>VIMMERBY</t>
        </is>
      </c>
      <c r="F251" t="inlineStr">
        <is>
          <t>Övriga Aktiebolag</t>
        </is>
      </c>
      <c r="G251" t="n">
        <v>19</v>
      </c>
      <c r="H251" t="n">
        <v>0</v>
      </c>
      <c r="I251" t="n">
        <v>0</v>
      </c>
      <c r="J251" t="n">
        <v>0</v>
      </c>
      <c r="K251" t="n">
        <v>0</v>
      </c>
      <c r="L251" t="n">
        <v>0</v>
      </c>
      <c r="M251" t="n">
        <v>0</v>
      </c>
      <c r="N251" t="n">
        <v>0</v>
      </c>
      <c r="O251" t="n">
        <v>0</v>
      </c>
      <c r="P251" t="n">
        <v>0</v>
      </c>
      <c r="Q251" t="n">
        <v>0</v>
      </c>
      <c r="R251" s="2" t="inlineStr"/>
    </row>
    <row r="252" ht="15" customHeight="1">
      <c r="A252" t="inlineStr">
        <is>
          <t>A 23984-2025</t>
        </is>
      </c>
      <c r="B252" s="1" t="n">
        <v>45796</v>
      </c>
      <c r="C252" s="1" t="n">
        <v>46161</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40925-2025</t>
        </is>
      </c>
      <c r="B253" s="1" t="n">
        <v>45897.64208333333</v>
      </c>
      <c r="C253" s="1" t="n">
        <v>46161</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40921-2025</t>
        </is>
      </c>
      <c r="B254" s="1" t="n">
        <v>45897.63520833333</v>
      </c>
      <c r="C254" s="1" t="n">
        <v>46161</v>
      </c>
      <c r="D254" t="inlineStr">
        <is>
          <t>KALMAR LÄN</t>
        </is>
      </c>
      <c r="E254" t="inlineStr">
        <is>
          <t>VIMMERBY</t>
        </is>
      </c>
      <c r="G254" t="n">
        <v>4.2</v>
      </c>
      <c r="H254" t="n">
        <v>0</v>
      </c>
      <c r="I254" t="n">
        <v>0</v>
      </c>
      <c r="J254" t="n">
        <v>0</v>
      </c>
      <c r="K254" t="n">
        <v>0</v>
      </c>
      <c r="L254" t="n">
        <v>0</v>
      </c>
      <c r="M254" t="n">
        <v>0</v>
      </c>
      <c r="N254" t="n">
        <v>0</v>
      </c>
      <c r="O254" t="n">
        <v>0</v>
      </c>
      <c r="P254" t="n">
        <v>0</v>
      </c>
      <c r="Q254" t="n">
        <v>0</v>
      </c>
      <c r="R254" s="2" t="inlineStr"/>
    </row>
    <row r="255" ht="15" customHeight="1">
      <c r="A255" t="inlineStr">
        <is>
          <t>A 6321-2023</t>
        </is>
      </c>
      <c r="B255" s="1" t="n">
        <v>44965.4815162037</v>
      </c>
      <c r="C255" s="1" t="n">
        <v>46161</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4624-2024</t>
        </is>
      </c>
      <c r="B256" s="1" t="n">
        <v>45328.38755787037</v>
      </c>
      <c r="C256" s="1" t="n">
        <v>46161</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40730-2024</t>
        </is>
      </c>
      <c r="B257" s="1" t="n">
        <v>45558.44914351852</v>
      </c>
      <c r="C257" s="1" t="n">
        <v>46161</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41224-2025</t>
        </is>
      </c>
      <c r="B258" s="1" t="n">
        <v>45898.58861111111</v>
      </c>
      <c r="C258" s="1" t="n">
        <v>46161</v>
      </c>
      <c r="D258" t="inlineStr">
        <is>
          <t>KALMAR LÄN</t>
        </is>
      </c>
      <c r="E258" t="inlineStr">
        <is>
          <t>VIMMERBY</t>
        </is>
      </c>
      <c r="G258" t="n">
        <v>4.4</v>
      </c>
      <c r="H258" t="n">
        <v>0</v>
      </c>
      <c r="I258" t="n">
        <v>0</v>
      </c>
      <c r="J258" t="n">
        <v>0</v>
      </c>
      <c r="K258" t="n">
        <v>0</v>
      </c>
      <c r="L258" t="n">
        <v>0</v>
      </c>
      <c r="M258" t="n">
        <v>0</v>
      </c>
      <c r="N258" t="n">
        <v>0</v>
      </c>
      <c r="O258" t="n">
        <v>0</v>
      </c>
      <c r="P258" t="n">
        <v>0</v>
      </c>
      <c r="Q258" t="n">
        <v>0</v>
      </c>
      <c r="R258" s="2" t="inlineStr"/>
    </row>
    <row r="259" ht="15" customHeight="1">
      <c r="A259" t="inlineStr">
        <is>
          <t>A 2157-2024</t>
        </is>
      </c>
      <c r="B259" s="1" t="n">
        <v>45309.59487268519</v>
      </c>
      <c r="C259" s="1" t="n">
        <v>46161</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35082-2024</t>
        </is>
      </c>
      <c r="B260" s="1" t="n">
        <v>45527.68784722222</v>
      </c>
      <c r="C260" s="1" t="n">
        <v>46161</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49461-2022</t>
        </is>
      </c>
      <c r="B261" s="1" t="n">
        <v>44861</v>
      </c>
      <c r="C261" s="1" t="n">
        <v>46161</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41591-2025</t>
        </is>
      </c>
      <c r="B262" s="1" t="n">
        <v>45901.6327662037</v>
      </c>
      <c r="C262" s="1" t="n">
        <v>46161</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40971-2025</t>
        </is>
      </c>
      <c r="B263" s="1" t="n">
        <v>45897.88836805556</v>
      </c>
      <c r="C263" s="1" t="n">
        <v>46161</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694-2024</t>
        </is>
      </c>
      <c r="B264" s="1" t="n">
        <v>45300.3794212963</v>
      </c>
      <c r="C264" s="1" t="n">
        <v>46161</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41589-2025</t>
        </is>
      </c>
      <c r="B265" s="1" t="n">
        <v>45901.63219907408</v>
      </c>
      <c r="C265" s="1" t="n">
        <v>46161</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40970-2025</t>
        </is>
      </c>
      <c r="B266" s="1" t="n">
        <v>45897.88706018519</v>
      </c>
      <c r="C266" s="1" t="n">
        <v>46161</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40973-2025</t>
        </is>
      </c>
      <c r="B267" s="1" t="n">
        <v>45897.89737268518</v>
      </c>
      <c r="C267" s="1" t="n">
        <v>46161</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51278-2024</t>
        </is>
      </c>
      <c r="B268" s="1" t="n">
        <v>45603.74959490741</v>
      </c>
      <c r="C268" s="1" t="n">
        <v>46161</v>
      </c>
      <c r="D268" t="inlineStr">
        <is>
          <t>KALMAR LÄN</t>
        </is>
      </c>
      <c r="E268" t="inlineStr">
        <is>
          <t>VIMMERBY</t>
        </is>
      </c>
      <c r="G268" t="n">
        <v>3.4</v>
      </c>
      <c r="H268" t="n">
        <v>0</v>
      </c>
      <c r="I268" t="n">
        <v>0</v>
      </c>
      <c r="J268" t="n">
        <v>0</v>
      </c>
      <c r="K268" t="n">
        <v>0</v>
      </c>
      <c r="L268" t="n">
        <v>0</v>
      </c>
      <c r="M268" t="n">
        <v>0</v>
      </c>
      <c r="N268" t="n">
        <v>0</v>
      </c>
      <c r="O268" t="n">
        <v>0</v>
      </c>
      <c r="P268" t="n">
        <v>0</v>
      </c>
      <c r="Q268" t="n">
        <v>0</v>
      </c>
      <c r="R268" s="2" t="inlineStr"/>
    </row>
    <row r="269" ht="15" customHeight="1">
      <c r="A269" t="inlineStr">
        <is>
          <t>A 59598-2023</t>
        </is>
      </c>
      <c r="B269" s="1" t="n">
        <v>45254.62489583333</v>
      </c>
      <c r="C269" s="1" t="n">
        <v>46161</v>
      </c>
      <c r="D269" t="inlineStr">
        <is>
          <t>KALMAR LÄN</t>
        </is>
      </c>
      <c r="E269" t="inlineStr">
        <is>
          <t>VIMMERBY</t>
        </is>
      </c>
      <c r="F269" t="inlineStr">
        <is>
          <t>Övriga Aktiebolag</t>
        </is>
      </c>
      <c r="G269" t="n">
        <v>4</v>
      </c>
      <c r="H269" t="n">
        <v>0</v>
      </c>
      <c r="I269" t="n">
        <v>0</v>
      </c>
      <c r="J269" t="n">
        <v>0</v>
      </c>
      <c r="K269" t="n">
        <v>0</v>
      </c>
      <c r="L269" t="n">
        <v>0</v>
      </c>
      <c r="M269" t="n">
        <v>0</v>
      </c>
      <c r="N269" t="n">
        <v>0</v>
      </c>
      <c r="O269" t="n">
        <v>0</v>
      </c>
      <c r="P269" t="n">
        <v>0</v>
      </c>
      <c r="Q269" t="n">
        <v>0</v>
      </c>
      <c r="R269" s="2" t="inlineStr"/>
    </row>
    <row r="270" ht="15" customHeight="1">
      <c r="A270" t="inlineStr">
        <is>
          <t>A 7944-2024</t>
        </is>
      </c>
      <c r="B270" s="1" t="n">
        <v>45350.53306712963</v>
      </c>
      <c r="C270" s="1" t="n">
        <v>46161</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9456-2025</t>
        </is>
      </c>
      <c r="B271" s="1" t="n">
        <v>45715.44159722222</v>
      </c>
      <c r="C271" s="1" t="n">
        <v>46161</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21496-2023</t>
        </is>
      </c>
      <c r="B272" s="1" t="n">
        <v>45063.49936342592</v>
      </c>
      <c r="C272" s="1" t="n">
        <v>46161</v>
      </c>
      <c r="D272" t="inlineStr">
        <is>
          <t>KALMAR LÄN</t>
        </is>
      </c>
      <c r="E272" t="inlineStr">
        <is>
          <t>VIMMERBY</t>
        </is>
      </c>
      <c r="G272" t="n">
        <v>1.1</v>
      </c>
      <c r="H272" t="n">
        <v>0</v>
      </c>
      <c r="I272" t="n">
        <v>0</v>
      </c>
      <c r="J272" t="n">
        <v>0</v>
      </c>
      <c r="K272" t="n">
        <v>0</v>
      </c>
      <c r="L272" t="n">
        <v>0</v>
      </c>
      <c r="M272" t="n">
        <v>0</v>
      </c>
      <c r="N272" t="n">
        <v>0</v>
      </c>
      <c r="O272" t="n">
        <v>0</v>
      </c>
      <c r="P272" t="n">
        <v>0</v>
      </c>
      <c r="Q272" t="n">
        <v>0</v>
      </c>
      <c r="R272" s="2" t="inlineStr"/>
    </row>
    <row r="273" ht="15" customHeight="1">
      <c r="A273" t="inlineStr">
        <is>
          <t>A 11111-2023</t>
        </is>
      </c>
      <c r="B273" s="1" t="n">
        <v>44992.4255787037</v>
      </c>
      <c r="C273" s="1" t="n">
        <v>46161</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34090-2025</t>
        </is>
      </c>
      <c r="B274" s="1" t="n">
        <v>45845</v>
      </c>
      <c r="C274" s="1" t="n">
        <v>46161</v>
      </c>
      <c r="D274" t="inlineStr">
        <is>
          <t>KALMAR LÄN</t>
        </is>
      </c>
      <c r="E274" t="inlineStr">
        <is>
          <t>VIMMERBY</t>
        </is>
      </c>
      <c r="G274" t="n">
        <v>2.8</v>
      </c>
      <c r="H274" t="n">
        <v>0</v>
      </c>
      <c r="I274" t="n">
        <v>0</v>
      </c>
      <c r="J274" t="n">
        <v>0</v>
      </c>
      <c r="K274" t="n">
        <v>0</v>
      </c>
      <c r="L274" t="n">
        <v>0</v>
      </c>
      <c r="M274" t="n">
        <v>0</v>
      </c>
      <c r="N274" t="n">
        <v>0</v>
      </c>
      <c r="O274" t="n">
        <v>0</v>
      </c>
      <c r="P274" t="n">
        <v>0</v>
      </c>
      <c r="Q274" t="n">
        <v>0</v>
      </c>
      <c r="R274" s="2" t="inlineStr"/>
    </row>
    <row r="275" ht="15" customHeight="1">
      <c r="A275" t="inlineStr">
        <is>
          <t>A 44582-2024</t>
        </is>
      </c>
      <c r="B275" s="1" t="n">
        <v>45574.49298611111</v>
      </c>
      <c r="C275" s="1" t="n">
        <v>46161</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29783-2024</t>
        </is>
      </c>
      <c r="B276" s="1" t="n">
        <v>45485.45778935185</v>
      </c>
      <c r="C276" s="1" t="n">
        <v>46161</v>
      </c>
      <c r="D276" t="inlineStr">
        <is>
          <t>KALMAR LÄN</t>
        </is>
      </c>
      <c r="E276" t="inlineStr">
        <is>
          <t>VIMMERBY</t>
        </is>
      </c>
      <c r="G276" t="n">
        <v>3.1</v>
      </c>
      <c r="H276" t="n">
        <v>0</v>
      </c>
      <c r="I276" t="n">
        <v>0</v>
      </c>
      <c r="J276" t="n">
        <v>0</v>
      </c>
      <c r="K276" t="n">
        <v>0</v>
      </c>
      <c r="L276" t="n">
        <v>0</v>
      </c>
      <c r="M276" t="n">
        <v>0</v>
      </c>
      <c r="N276" t="n">
        <v>0</v>
      </c>
      <c r="O276" t="n">
        <v>0</v>
      </c>
      <c r="P276" t="n">
        <v>0</v>
      </c>
      <c r="Q276" t="n">
        <v>0</v>
      </c>
      <c r="R276" s="2" t="inlineStr"/>
    </row>
    <row r="277" ht="15" customHeight="1">
      <c r="A277" t="inlineStr">
        <is>
          <t>A 15494-2024</t>
        </is>
      </c>
      <c r="B277" s="1" t="n">
        <v>45401.53033564815</v>
      </c>
      <c r="C277" s="1" t="n">
        <v>46161</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35198-2023</t>
        </is>
      </c>
      <c r="B278" s="1" t="n">
        <v>45145</v>
      </c>
      <c r="C278" s="1" t="n">
        <v>46161</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41735-2025</t>
        </is>
      </c>
      <c r="B279" s="1" t="n">
        <v>45902.47164351852</v>
      </c>
      <c r="C279" s="1" t="n">
        <v>46161</v>
      </c>
      <c r="D279" t="inlineStr">
        <is>
          <t>KALMAR LÄN</t>
        </is>
      </c>
      <c r="E279" t="inlineStr">
        <is>
          <t>VIMMERBY</t>
        </is>
      </c>
      <c r="G279" t="n">
        <v>3</v>
      </c>
      <c r="H279" t="n">
        <v>0</v>
      </c>
      <c r="I279" t="n">
        <v>0</v>
      </c>
      <c r="J279" t="n">
        <v>0</v>
      </c>
      <c r="K279" t="n">
        <v>0</v>
      </c>
      <c r="L279" t="n">
        <v>0</v>
      </c>
      <c r="M279" t="n">
        <v>0</v>
      </c>
      <c r="N279" t="n">
        <v>0</v>
      </c>
      <c r="O279" t="n">
        <v>0</v>
      </c>
      <c r="P279" t="n">
        <v>0</v>
      </c>
      <c r="Q279" t="n">
        <v>0</v>
      </c>
      <c r="R279" s="2" t="inlineStr"/>
    </row>
    <row r="280" ht="15" customHeight="1">
      <c r="A280" t="inlineStr">
        <is>
          <t>A 43853-2023</t>
        </is>
      </c>
      <c r="B280" s="1" t="n">
        <v>45187.60813657408</v>
      </c>
      <c r="C280" s="1" t="n">
        <v>46161</v>
      </c>
      <c r="D280" t="inlineStr">
        <is>
          <t>KALMAR LÄN</t>
        </is>
      </c>
      <c r="E280" t="inlineStr">
        <is>
          <t>VIMMERBY</t>
        </is>
      </c>
      <c r="G280" t="n">
        <v>1.4</v>
      </c>
      <c r="H280" t="n">
        <v>0</v>
      </c>
      <c r="I280" t="n">
        <v>0</v>
      </c>
      <c r="J280" t="n">
        <v>0</v>
      </c>
      <c r="K280" t="n">
        <v>0</v>
      </c>
      <c r="L280" t="n">
        <v>0</v>
      </c>
      <c r="M280" t="n">
        <v>0</v>
      </c>
      <c r="N280" t="n">
        <v>0</v>
      </c>
      <c r="O280" t="n">
        <v>0</v>
      </c>
      <c r="P280" t="n">
        <v>0</v>
      </c>
      <c r="Q280" t="n">
        <v>0</v>
      </c>
      <c r="R280" s="2" t="inlineStr"/>
    </row>
    <row r="281" ht="15" customHeight="1">
      <c r="A281" t="inlineStr">
        <is>
          <t>A 58724-2024</t>
        </is>
      </c>
      <c r="B281" s="1" t="n">
        <v>45635.66409722222</v>
      </c>
      <c r="C281" s="1" t="n">
        <v>46161</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25792-2025</t>
        </is>
      </c>
      <c r="B282" s="1" t="n">
        <v>45804.39141203704</v>
      </c>
      <c r="C282" s="1" t="n">
        <v>46161</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9511-2023</t>
        </is>
      </c>
      <c r="B283" s="1" t="n">
        <v>44981.64725694444</v>
      </c>
      <c r="C283" s="1" t="n">
        <v>46161</v>
      </c>
      <c r="D283" t="inlineStr">
        <is>
          <t>KALMAR LÄN</t>
        </is>
      </c>
      <c r="E283" t="inlineStr">
        <is>
          <t>VIMMERBY</t>
        </is>
      </c>
      <c r="G283" t="n">
        <v>3.5</v>
      </c>
      <c r="H283" t="n">
        <v>0</v>
      </c>
      <c r="I283" t="n">
        <v>0</v>
      </c>
      <c r="J283" t="n">
        <v>0</v>
      </c>
      <c r="K283" t="n">
        <v>0</v>
      </c>
      <c r="L283" t="n">
        <v>0</v>
      </c>
      <c r="M283" t="n">
        <v>0</v>
      </c>
      <c r="N283" t="n">
        <v>0</v>
      </c>
      <c r="O283" t="n">
        <v>0</v>
      </c>
      <c r="P283" t="n">
        <v>0</v>
      </c>
      <c r="Q283" t="n">
        <v>0</v>
      </c>
      <c r="R283" s="2" t="inlineStr"/>
    </row>
    <row r="284" ht="15" customHeight="1">
      <c r="A284" t="inlineStr">
        <is>
          <t>A 26039-2025</t>
        </is>
      </c>
      <c r="B284" s="1" t="n">
        <v>45804.6953587963</v>
      </c>
      <c r="C284" s="1" t="n">
        <v>46161</v>
      </c>
      <c r="D284" t="inlineStr">
        <is>
          <t>KALMAR LÄN</t>
        </is>
      </c>
      <c r="E284" t="inlineStr">
        <is>
          <t>VIMMERBY</t>
        </is>
      </c>
      <c r="F284" t="inlineStr">
        <is>
          <t>Sveaskog</t>
        </is>
      </c>
      <c r="G284" t="n">
        <v>5.2</v>
      </c>
      <c r="H284" t="n">
        <v>0</v>
      </c>
      <c r="I284" t="n">
        <v>0</v>
      </c>
      <c r="J284" t="n">
        <v>0</v>
      </c>
      <c r="K284" t="n">
        <v>0</v>
      </c>
      <c r="L284" t="n">
        <v>0</v>
      </c>
      <c r="M284" t="n">
        <v>0</v>
      </c>
      <c r="N284" t="n">
        <v>0</v>
      </c>
      <c r="O284" t="n">
        <v>0</v>
      </c>
      <c r="P284" t="n">
        <v>0</v>
      </c>
      <c r="Q284" t="n">
        <v>0</v>
      </c>
      <c r="R284" s="2" t="inlineStr"/>
    </row>
    <row r="285" ht="15" customHeight="1">
      <c r="A285" t="inlineStr">
        <is>
          <t>A 38757-2023</t>
        </is>
      </c>
      <c r="B285" s="1" t="n">
        <v>45163.41376157408</v>
      </c>
      <c r="C285" s="1" t="n">
        <v>46161</v>
      </c>
      <c r="D285" t="inlineStr">
        <is>
          <t>KALMAR LÄN</t>
        </is>
      </c>
      <c r="E285" t="inlineStr">
        <is>
          <t>VIMMERBY</t>
        </is>
      </c>
      <c r="G285" t="n">
        <v>2.5</v>
      </c>
      <c r="H285" t="n">
        <v>0</v>
      </c>
      <c r="I285" t="n">
        <v>0</v>
      </c>
      <c r="J285" t="n">
        <v>0</v>
      </c>
      <c r="K285" t="n">
        <v>0</v>
      </c>
      <c r="L285" t="n">
        <v>0</v>
      </c>
      <c r="M285" t="n">
        <v>0</v>
      </c>
      <c r="N285" t="n">
        <v>0</v>
      </c>
      <c r="O285" t="n">
        <v>0</v>
      </c>
      <c r="P285" t="n">
        <v>0</v>
      </c>
      <c r="Q285" t="n">
        <v>0</v>
      </c>
      <c r="R285" s="2" t="inlineStr"/>
    </row>
    <row r="286" ht="15" customHeight="1">
      <c r="A286" t="inlineStr">
        <is>
          <t>A 26046-2025</t>
        </is>
      </c>
      <c r="B286" s="1" t="n">
        <v>45804.708125</v>
      </c>
      <c r="C286" s="1" t="n">
        <v>46161</v>
      </c>
      <c r="D286" t="inlineStr">
        <is>
          <t>KALMAR LÄN</t>
        </is>
      </c>
      <c r="E286" t="inlineStr">
        <is>
          <t>VIMMERBY</t>
        </is>
      </c>
      <c r="F286" t="inlineStr">
        <is>
          <t>Sveaskog</t>
        </is>
      </c>
      <c r="G286" t="n">
        <v>5.1</v>
      </c>
      <c r="H286" t="n">
        <v>0</v>
      </c>
      <c r="I286" t="n">
        <v>0</v>
      </c>
      <c r="J286" t="n">
        <v>0</v>
      </c>
      <c r="K286" t="n">
        <v>0</v>
      </c>
      <c r="L286" t="n">
        <v>0</v>
      </c>
      <c r="M286" t="n">
        <v>0</v>
      </c>
      <c r="N286" t="n">
        <v>0</v>
      </c>
      <c r="O286" t="n">
        <v>0</v>
      </c>
      <c r="P286" t="n">
        <v>0</v>
      </c>
      <c r="Q286" t="n">
        <v>0</v>
      </c>
      <c r="R286" s="2" t="inlineStr"/>
    </row>
    <row r="287" ht="15" customHeight="1">
      <c r="A287" t="inlineStr">
        <is>
          <t>A 29973-2023</t>
        </is>
      </c>
      <c r="B287" s="1" t="n">
        <v>45108.703125</v>
      </c>
      <c r="C287" s="1" t="n">
        <v>46161</v>
      </c>
      <c r="D287" t="inlineStr">
        <is>
          <t>KALMAR LÄN</t>
        </is>
      </c>
      <c r="E287" t="inlineStr">
        <is>
          <t>VIMMERBY</t>
        </is>
      </c>
      <c r="G287" t="n">
        <v>4</v>
      </c>
      <c r="H287" t="n">
        <v>0</v>
      </c>
      <c r="I287" t="n">
        <v>0</v>
      </c>
      <c r="J287" t="n">
        <v>0</v>
      </c>
      <c r="K287" t="n">
        <v>0</v>
      </c>
      <c r="L287" t="n">
        <v>0</v>
      </c>
      <c r="M287" t="n">
        <v>0</v>
      </c>
      <c r="N287" t="n">
        <v>0</v>
      </c>
      <c r="O287" t="n">
        <v>0</v>
      </c>
      <c r="P287" t="n">
        <v>0</v>
      </c>
      <c r="Q287" t="n">
        <v>0</v>
      </c>
      <c r="R287" s="2" t="inlineStr"/>
    </row>
    <row r="288" ht="15" customHeight="1">
      <c r="A288" t="inlineStr">
        <is>
          <t>A 64143-2021</t>
        </is>
      </c>
      <c r="B288" s="1" t="n">
        <v>44510.52157407408</v>
      </c>
      <c r="C288" s="1" t="n">
        <v>46161</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26124-2025</t>
        </is>
      </c>
      <c r="B289" s="1" t="n">
        <v>45805.39247685186</v>
      </c>
      <c r="C289" s="1" t="n">
        <v>46161</v>
      </c>
      <c r="D289" t="inlineStr">
        <is>
          <t>KALMAR LÄN</t>
        </is>
      </c>
      <c r="E289" t="inlineStr">
        <is>
          <t>VIMMERBY</t>
        </is>
      </c>
      <c r="G289" t="n">
        <v>6.6</v>
      </c>
      <c r="H289" t="n">
        <v>0</v>
      </c>
      <c r="I289" t="n">
        <v>0</v>
      </c>
      <c r="J289" t="n">
        <v>0</v>
      </c>
      <c r="K289" t="n">
        <v>0</v>
      </c>
      <c r="L289" t="n">
        <v>0</v>
      </c>
      <c r="M289" t="n">
        <v>0</v>
      </c>
      <c r="N289" t="n">
        <v>0</v>
      </c>
      <c r="O289" t="n">
        <v>0</v>
      </c>
      <c r="P289" t="n">
        <v>0</v>
      </c>
      <c r="Q289" t="n">
        <v>0</v>
      </c>
      <c r="R289" s="2" t="inlineStr"/>
    </row>
    <row r="290" ht="15" customHeight="1">
      <c r="A290" t="inlineStr">
        <is>
          <t>A 73938-2021</t>
        </is>
      </c>
      <c r="B290" s="1" t="n">
        <v>44553</v>
      </c>
      <c r="C290" s="1" t="n">
        <v>46161</v>
      </c>
      <c r="D290" t="inlineStr">
        <is>
          <t>KALMAR LÄN</t>
        </is>
      </c>
      <c r="E290" t="inlineStr">
        <is>
          <t>VIMMERBY</t>
        </is>
      </c>
      <c r="G290" t="n">
        <v>3.2</v>
      </c>
      <c r="H290" t="n">
        <v>0</v>
      </c>
      <c r="I290" t="n">
        <v>0</v>
      </c>
      <c r="J290" t="n">
        <v>0</v>
      </c>
      <c r="K290" t="n">
        <v>0</v>
      </c>
      <c r="L290" t="n">
        <v>0</v>
      </c>
      <c r="M290" t="n">
        <v>0</v>
      </c>
      <c r="N290" t="n">
        <v>0</v>
      </c>
      <c r="O290" t="n">
        <v>0</v>
      </c>
      <c r="P290" t="n">
        <v>0</v>
      </c>
      <c r="Q290" t="n">
        <v>0</v>
      </c>
      <c r="R290" s="2" t="inlineStr"/>
    </row>
    <row r="291" ht="15" customHeight="1">
      <c r="A291" t="inlineStr">
        <is>
          <t>A 26207-2025</t>
        </is>
      </c>
      <c r="B291" s="1" t="n">
        <v>45805.52983796296</v>
      </c>
      <c r="C291" s="1" t="n">
        <v>46161</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25830-2025</t>
        </is>
      </c>
      <c r="B292" s="1" t="n">
        <v>45804.44519675926</v>
      </c>
      <c r="C292" s="1" t="n">
        <v>46161</v>
      </c>
      <c r="D292" t="inlineStr">
        <is>
          <t>KALMAR LÄN</t>
        </is>
      </c>
      <c r="E292" t="inlineStr">
        <is>
          <t>VIMMERBY</t>
        </is>
      </c>
      <c r="G292" t="n">
        <v>4.9</v>
      </c>
      <c r="H292" t="n">
        <v>0</v>
      </c>
      <c r="I292" t="n">
        <v>0</v>
      </c>
      <c r="J292" t="n">
        <v>0</v>
      </c>
      <c r="K292" t="n">
        <v>0</v>
      </c>
      <c r="L292" t="n">
        <v>0</v>
      </c>
      <c r="M292" t="n">
        <v>0</v>
      </c>
      <c r="N292" t="n">
        <v>0</v>
      </c>
      <c r="O292" t="n">
        <v>0</v>
      </c>
      <c r="P292" t="n">
        <v>0</v>
      </c>
      <c r="Q292" t="n">
        <v>0</v>
      </c>
      <c r="R292" s="2" t="inlineStr"/>
    </row>
    <row r="293" ht="15" customHeight="1">
      <c r="A293" t="inlineStr">
        <is>
          <t>A 40076-2021</t>
        </is>
      </c>
      <c r="B293" s="1" t="n">
        <v>44418</v>
      </c>
      <c r="C293" s="1" t="n">
        <v>46161</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26254-2025</t>
        </is>
      </c>
      <c r="B294" s="1" t="n">
        <v>45805</v>
      </c>
      <c r="C294" s="1" t="n">
        <v>46161</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42828-2025</t>
        </is>
      </c>
      <c r="B295" s="1" t="n">
        <v>45908.57716435185</v>
      </c>
      <c r="C295" s="1" t="n">
        <v>46161</v>
      </c>
      <c r="D295" t="inlineStr">
        <is>
          <t>KALMAR LÄN</t>
        </is>
      </c>
      <c r="E295" t="inlineStr">
        <is>
          <t>VIMMERBY</t>
        </is>
      </c>
      <c r="G295" t="n">
        <v>5.2</v>
      </c>
      <c r="H295" t="n">
        <v>0</v>
      </c>
      <c r="I295" t="n">
        <v>0</v>
      </c>
      <c r="J295" t="n">
        <v>0</v>
      </c>
      <c r="K295" t="n">
        <v>0</v>
      </c>
      <c r="L295" t="n">
        <v>0</v>
      </c>
      <c r="M295" t="n">
        <v>0</v>
      </c>
      <c r="N295" t="n">
        <v>0</v>
      </c>
      <c r="O295" t="n">
        <v>0</v>
      </c>
      <c r="P295" t="n">
        <v>0</v>
      </c>
      <c r="Q295" t="n">
        <v>0</v>
      </c>
      <c r="R295" s="2" t="inlineStr"/>
    </row>
    <row r="296" ht="15" customHeight="1">
      <c r="A296" t="inlineStr">
        <is>
          <t>A 42794-2025</t>
        </is>
      </c>
      <c r="B296" s="1" t="n">
        <v>45908</v>
      </c>
      <c r="C296" s="1" t="n">
        <v>46161</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50648-2023</t>
        </is>
      </c>
      <c r="B297" s="1" t="n">
        <v>45217.47834490741</v>
      </c>
      <c r="C297" s="1" t="n">
        <v>46161</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42820-2025</t>
        </is>
      </c>
      <c r="B298" s="1" t="n">
        <v>45908</v>
      </c>
      <c r="C298" s="1" t="n">
        <v>46161</v>
      </c>
      <c r="D298" t="inlineStr">
        <is>
          <t>KALMAR LÄN</t>
        </is>
      </c>
      <c r="E298" t="inlineStr">
        <is>
          <t>VIMMERBY</t>
        </is>
      </c>
      <c r="G298" t="n">
        <v>1.2</v>
      </c>
      <c r="H298" t="n">
        <v>0</v>
      </c>
      <c r="I298" t="n">
        <v>0</v>
      </c>
      <c r="J298" t="n">
        <v>0</v>
      </c>
      <c r="K298" t="n">
        <v>0</v>
      </c>
      <c r="L298" t="n">
        <v>0</v>
      </c>
      <c r="M298" t="n">
        <v>0</v>
      </c>
      <c r="N298" t="n">
        <v>0</v>
      </c>
      <c r="O298" t="n">
        <v>0</v>
      </c>
      <c r="P298" t="n">
        <v>0</v>
      </c>
      <c r="Q298" t="n">
        <v>0</v>
      </c>
      <c r="R298" s="2" t="inlineStr"/>
    </row>
    <row r="299" ht="15" customHeight="1">
      <c r="A299" t="inlineStr">
        <is>
          <t>A 529-2022</t>
        </is>
      </c>
      <c r="B299" s="1" t="n">
        <v>44566</v>
      </c>
      <c r="C299" s="1" t="n">
        <v>46161</v>
      </c>
      <c r="D299" t="inlineStr">
        <is>
          <t>KALMAR LÄN</t>
        </is>
      </c>
      <c r="E299" t="inlineStr">
        <is>
          <t>VIMMERBY</t>
        </is>
      </c>
      <c r="G299" t="n">
        <v>1.5</v>
      </c>
      <c r="H299" t="n">
        <v>0</v>
      </c>
      <c r="I299" t="n">
        <v>0</v>
      </c>
      <c r="J299" t="n">
        <v>0</v>
      </c>
      <c r="K299" t="n">
        <v>0</v>
      </c>
      <c r="L299" t="n">
        <v>0</v>
      </c>
      <c r="M299" t="n">
        <v>0</v>
      </c>
      <c r="N299" t="n">
        <v>0</v>
      </c>
      <c r="O299" t="n">
        <v>0</v>
      </c>
      <c r="P299" t="n">
        <v>0</v>
      </c>
      <c r="Q299" t="n">
        <v>0</v>
      </c>
      <c r="R299" s="2" t="inlineStr"/>
    </row>
    <row r="300" ht="15" customHeight="1">
      <c r="A300" t="inlineStr">
        <is>
          <t>A 58318-2021</t>
        </is>
      </c>
      <c r="B300" s="1" t="n">
        <v>44488.35878472222</v>
      </c>
      <c r="C300" s="1" t="n">
        <v>46161</v>
      </c>
      <c r="D300" t="inlineStr">
        <is>
          <t>KALMAR LÄN</t>
        </is>
      </c>
      <c r="E300" t="inlineStr">
        <is>
          <t>VIMMERBY</t>
        </is>
      </c>
      <c r="G300" t="n">
        <v>4</v>
      </c>
      <c r="H300" t="n">
        <v>0</v>
      </c>
      <c r="I300" t="n">
        <v>0</v>
      </c>
      <c r="J300" t="n">
        <v>0</v>
      </c>
      <c r="K300" t="n">
        <v>0</v>
      </c>
      <c r="L300" t="n">
        <v>0</v>
      </c>
      <c r="M300" t="n">
        <v>0</v>
      </c>
      <c r="N300" t="n">
        <v>0</v>
      </c>
      <c r="O300" t="n">
        <v>0</v>
      </c>
      <c r="P300" t="n">
        <v>0</v>
      </c>
      <c r="Q300" t="n">
        <v>0</v>
      </c>
      <c r="R300" s="2" t="inlineStr"/>
    </row>
    <row r="301" ht="15" customHeight="1">
      <c r="A301" t="inlineStr">
        <is>
          <t>A 89-2023</t>
        </is>
      </c>
      <c r="B301" s="1" t="n">
        <v>44918</v>
      </c>
      <c r="C301" s="1" t="n">
        <v>46161</v>
      </c>
      <c r="D301" t="inlineStr">
        <is>
          <t>KALMAR LÄN</t>
        </is>
      </c>
      <c r="E301" t="inlineStr">
        <is>
          <t>VIMMERBY</t>
        </is>
      </c>
      <c r="G301" t="n">
        <v>16.1</v>
      </c>
      <c r="H301" t="n">
        <v>0</v>
      </c>
      <c r="I301" t="n">
        <v>0</v>
      </c>
      <c r="J301" t="n">
        <v>0</v>
      </c>
      <c r="K301" t="n">
        <v>0</v>
      </c>
      <c r="L301" t="n">
        <v>0</v>
      </c>
      <c r="M301" t="n">
        <v>0</v>
      </c>
      <c r="N301" t="n">
        <v>0</v>
      </c>
      <c r="O301" t="n">
        <v>0</v>
      </c>
      <c r="P301" t="n">
        <v>0</v>
      </c>
      <c r="Q301" t="n">
        <v>0</v>
      </c>
      <c r="R301" s="2" t="inlineStr"/>
    </row>
    <row r="302" ht="15" customHeight="1">
      <c r="A302" t="inlineStr">
        <is>
          <t>A 23088-2024</t>
        </is>
      </c>
      <c r="B302" s="1" t="n">
        <v>45450.51092592593</v>
      </c>
      <c r="C302" s="1" t="n">
        <v>46161</v>
      </c>
      <c r="D302" t="inlineStr">
        <is>
          <t>KALMAR LÄN</t>
        </is>
      </c>
      <c r="E302" t="inlineStr">
        <is>
          <t>VIMMERBY</t>
        </is>
      </c>
      <c r="G302" t="n">
        <v>1.9</v>
      </c>
      <c r="H302" t="n">
        <v>0</v>
      </c>
      <c r="I302" t="n">
        <v>0</v>
      </c>
      <c r="J302" t="n">
        <v>0</v>
      </c>
      <c r="K302" t="n">
        <v>0</v>
      </c>
      <c r="L302" t="n">
        <v>0</v>
      </c>
      <c r="M302" t="n">
        <v>0</v>
      </c>
      <c r="N302" t="n">
        <v>0</v>
      </c>
      <c r="O302" t="n">
        <v>0</v>
      </c>
      <c r="P302" t="n">
        <v>0</v>
      </c>
      <c r="Q302" t="n">
        <v>0</v>
      </c>
      <c r="R302" s="2" t="inlineStr"/>
    </row>
    <row r="303" ht="15" customHeight="1">
      <c r="A303" t="inlineStr">
        <is>
          <t>A 38851-2023</t>
        </is>
      </c>
      <c r="B303" s="1" t="n">
        <v>45163</v>
      </c>
      <c r="C303" s="1" t="n">
        <v>46161</v>
      </c>
      <c r="D303" t="inlineStr">
        <is>
          <t>KALMAR LÄN</t>
        </is>
      </c>
      <c r="E303" t="inlineStr">
        <is>
          <t>VIMMERBY</t>
        </is>
      </c>
      <c r="G303" t="n">
        <v>4.3</v>
      </c>
      <c r="H303" t="n">
        <v>0</v>
      </c>
      <c r="I303" t="n">
        <v>0</v>
      </c>
      <c r="J303" t="n">
        <v>0</v>
      </c>
      <c r="K303" t="n">
        <v>0</v>
      </c>
      <c r="L303" t="n">
        <v>0</v>
      </c>
      <c r="M303" t="n">
        <v>0</v>
      </c>
      <c r="N303" t="n">
        <v>0</v>
      </c>
      <c r="O303" t="n">
        <v>0</v>
      </c>
      <c r="P303" t="n">
        <v>0</v>
      </c>
      <c r="Q303" t="n">
        <v>0</v>
      </c>
      <c r="R303" s="2" t="inlineStr"/>
    </row>
    <row r="304" ht="15" customHeight="1">
      <c r="A304" t="inlineStr">
        <is>
          <t>A 10759-2023</t>
        </is>
      </c>
      <c r="B304" s="1" t="n">
        <v>44988</v>
      </c>
      <c r="C304" s="1" t="n">
        <v>46161</v>
      </c>
      <c r="D304" t="inlineStr">
        <is>
          <t>KALMAR LÄN</t>
        </is>
      </c>
      <c r="E304" t="inlineStr">
        <is>
          <t>VIMMERBY</t>
        </is>
      </c>
      <c r="G304" t="n">
        <v>0.4</v>
      </c>
      <c r="H304" t="n">
        <v>0</v>
      </c>
      <c r="I304" t="n">
        <v>0</v>
      </c>
      <c r="J304" t="n">
        <v>0</v>
      </c>
      <c r="K304" t="n">
        <v>0</v>
      </c>
      <c r="L304" t="n">
        <v>0</v>
      </c>
      <c r="M304" t="n">
        <v>0</v>
      </c>
      <c r="N304" t="n">
        <v>0</v>
      </c>
      <c r="O304" t="n">
        <v>0</v>
      </c>
      <c r="P304" t="n">
        <v>0</v>
      </c>
      <c r="Q304" t="n">
        <v>0</v>
      </c>
      <c r="R304" s="2" t="inlineStr"/>
    </row>
    <row r="305" ht="15" customHeight="1">
      <c r="A305" t="inlineStr">
        <is>
          <t>A 63583-2023</t>
        </is>
      </c>
      <c r="B305" s="1" t="n">
        <v>45275.41833333333</v>
      </c>
      <c r="C305" s="1" t="n">
        <v>46161</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40079-2023</t>
        </is>
      </c>
      <c r="B306" s="1" t="n">
        <v>45168.89298611111</v>
      </c>
      <c r="C306" s="1" t="n">
        <v>46161</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51990-2025</t>
        </is>
      </c>
      <c r="B307" s="1" t="n">
        <v>45952.58061342593</v>
      </c>
      <c r="C307" s="1" t="n">
        <v>46161</v>
      </c>
      <c r="D307" t="inlineStr">
        <is>
          <t>KALMAR LÄN</t>
        </is>
      </c>
      <c r="E307" t="inlineStr">
        <is>
          <t>VIMMERBY</t>
        </is>
      </c>
      <c r="G307" t="n">
        <v>2.4</v>
      </c>
      <c r="H307" t="n">
        <v>0</v>
      </c>
      <c r="I307" t="n">
        <v>0</v>
      </c>
      <c r="J307" t="n">
        <v>0</v>
      </c>
      <c r="K307" t="n">
        <v>0</v>
      </c>
      <c r="L307" t="n">
        <v>0</v>
      </c>
      <c r="M307" t="n">
        <v>0</v>
      </c>
      <c r="N307" t="n">
        <v>0</v>
      </c>
      <c r="O307" t="n">
        <v>0</v>
      </c>
      <c r="P307" t="n">
        <v>0</v>
      </c>
      <c r="Q307" t="n">
        <v>0</v>
      </c>
      <c r="R307" s="2" t="inlineStr"/>
    </row>
    <row r="308" ht="15" customHeight="1">
      <c r="A308" t="inlineStr">
        <is>
          <t>A 43774-2023</t>
        </is>
      </c>
      <c r="B308" s="1" t="n">
        <v>45187</v>
      </c>
      <c r="C308" s="1" t="n">
        <v>46161</v>
      </c>
      <c r="D308" t="inlineStr">
        <is>
          <t>KALMAR LÄN</t>
        </is>
      </c>
      <c r="E308" t="inlineStr">
        <is>
          <t>VIMMERBY</t>
        </is>
      </c>
      <c r="G308" t="n">
        <v>3.4</v>
      </c>
      <c r="H308" t="n">
        <v>0</v>
      </c>
      <c r="I308" t="n">
        <v>0</v>
      </c>
      <c r="J308" t="n">
        <v>0</v>
      </c>
      <c r="K308" t="n">
        <v>0</v>
      </c>
      <c r="L308" t="n">
        <v>0</v>
      </c>
      <c r="M308" t="n">
        <v>0</v>
      </c>
      <c r="N308" t="n">
        <v>0</v>
      </c>
      <c r="O308" t="n">
        <v>0</v>
      </c>
      <c r="P308" t="n">
        <v>0</v>
      </c>
      <c r="Q308" t="n">
        <v>0</v>
      </c>
      <c r="R308" s="2" t="inlineStr"/>
    </row>
    <row r="309" ht="15" customHeight="1">
      <c r="A309" t="inlineStr">
        <is>
          <t>A 34060-2025</t>
        </is>
      </c>
      <c r="B309" s="1" t="n">
        <v>45845.42015046296</v>
      </c>
      <c r="C309" s="1" t="n">
        <v>46161</v>
      </c>
      <c r="D309" t="inlineStr">
        <is>
          <t>KALMAR LÄN</t>
        </is>
      </c>
      <c r="E309" t="inlineStr">
        <is>
          <t>VIMMERBY</t>
        </is>
      </c>
      <c r="G309" t="n">
        <v>5.7</v>
      </c>
      <c r="H309" t="n">
        <v>0</v>
      </c>
      <c r="I309" t="n">
        <v>0</v>
      </c>
      <c r="J309" t="n">
        <v>0</v>
      </c>
      <c r="K309" t="n">
        <v>0</v>
      </c>
      <c r="L309" t="n">
        <v>0</v>
      </c>
      <c r="M309" t="n">
        <v>0</v>
      </c>
      <c r="N309" t="n">
        <v>0</v>
      </c>
      <c r="O309" t="n">
        <v>0</v>
      </c>
      <c r="P309" t="n">
        <v>0</v>
      </c>
      <c r="Q309" t="n">
        <v>0</v>
      </c>
      <c r="R309" s="2" t="inlineStr"/>
    </row>
    <row r="310" ht="15" customHeight="1">
      <c r="A310" t="inlineStr">
        <is>
          <t>A 29616-2022</t>
        </is>
      </c>
      <c r="B310" s="1" t="n">
        <v>44754</v>
      </c>
      <c r="C310" s="1" t="n">
        <v>46161</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43465-2025</t>
        </is>
      </c>
      <c r="B311" s="1" t="n">
        <v>45911.47138888889</v>
      </c>
      <c r="C311" s="1" t="n">
        <v>46161</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39578-2024</t>
        </is>
      </c>
      <c r="B312" s="1" t="n">
        <v>45552.36484953704</v>
      </c>
      <c r="C312" s="1" t="n">
        <v>46161</v>
      </c>
      <c r="D312" t="inlineStr">
        <is>
          <t>KALMAR LÄN</t>
        </is>
      </c>
      <c r="E312" t="inlineStr">
        <is>
          <t>VIMMERBY</t>
        </is>
      </c>
      <c r="G312" t="n">
        <v>1.5</v>
      </c>
      <c r="H312" t="n">
        <v>0</v>
      </c>
      <c r="I312" t="n">
        <v>0</v>
      </c>
      <c r="J312" t="n">
        <v>0</v>
      </c>
      <c r="K312" t="n">
        <v>0</v>
      </c>
      <c r="L312" t="n">
        <v>0</v>
      </c>
      <c r="M312" t="n">
        <v>0</v>
      </c>
      <c r="N312" t="n">
        <v>0</v>
      </c>
      <c r="O312" t="n">
        <v>0</v>
      </c>
      <c r="P312" t="n">
        <v>0</v>
      </c>
      <c r="Q312" t="n">
        <v>0</v>
      </c>
      <c r="R312" s="2" t="inlineStr"/>
    </row>
    <row r="313" ht="15" customHeight="1">
      <c r="A313" t="inlineStr">
        <is>
          <t>A 24707-2024</t>
        </is>
      </c>
      <c r="B313" s="1" t="n">
        <v>45460.62172453704</v>
      </c>
      <c r="C313" s="1" t="n">
        <v>46161</v>
      </c>
      <c r="D313" t="inlineStr">
        <is>
          <t>KALMAR LÄN</t>
        </is>
      </c>
      <c r="E313" t="inlineStr">
        <is>
          <t>VIMMERBY</t>
        </is>
      </c>
      <c r="G313" t="n">
        <v>1.7</v>
      </c>
      <c r="H313" t="n">
        <v>0</v>
      </c>
      <c r="I313" t="n">
        <v>0</v>
      </c>
      <c r="J313" t="n">
        <v>0</v>
      </c>
      <c r="K313" t="n">
        <v>0</v>
      </c>
      <c r="L313" t="n">
        <v>0</v>
      </c>
      <c r="M313" t="n">
        <v>0</v>
      </c>
      <c r="N313" t="n">
        <v>0</v>
      </c>
      <c r="O313" t="n">
        <v>0</v>
      </c>
      <c r="P313" t="n">
        <v>0</v>
      </c>
      <c r="Q313" t="n">
        <v>0</v>
      </c>
      <c r="R313" s="2" t="inlineStr"/>
    </row>
    <row r="314" ht="15" customHeight="1">
      <c r="A314" t="inlineStr">
        <is>
          <t>A 43617-2025</t>
        </is>
      </c>
      <c r="B314" s="1" t="n">
        <v>45911.67798611111</v>
      </c>
      <c r="C314" s="1" t="n">
        <v>46161</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31056-2022</t>
        </is>
      </c>
      <c r="B315" s="1" t="n">
        <v>44769.45805555556</v>
      </c>
      <c r="C315" s="1" t="n">
        <v>46161</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33383-2023</t>
        </is>
      </c>
      <c r="B316" s="1" t="n">
        <v>45128.58414351852</v>
      </c>
      <c r="C316" s="1" t="n">
        <v>46161</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40828-2023</t>
        </is>
      </c>
      <c r="B317" s="1" t="n">
        <v>45171.96248842592</v>
      </c>
      <c r="C317" s="1" t="n">
        <v>46161</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61861-2024</t>
        </is>
      </c>
      <c r="B318" s="1" t="n">
        <v>45650.37370370371</v>
      </c>
      <c r="C318" s="1" t="n">
        <v>46161</v>
      </c>
      <c r="D318" t="inlineStr">
        <is>
          <t>KALMAR LÄN</t>
        </is>
      </c>
      <c r="E318" t="inlineStr">
        <is>
          <t>VIMMERBY</t>
        </is>
      </c>
      <c r="G318" t="n">
        <v>1</v>
      </c>
      <c r="H318" t="n">
        <v>0</v>
      </c>
      <c r="I318" t="n">
        <v>0</v>
      </c>
      <c r="J318" t="n">
        <v>0</v>
      </c>
      <c r="K318" t="n">
        <v>0</v>
      </c>
      <c r="L318" t="n">
        <v>0</v>
      </c>
      <c r="M318" t="n">
        <v>0</v>
      </c>
      <c r="N318" t="n">
        <v>0</v>
      </c>
      <c r="O318" t="n">
        <v>0</v>
      </c>
      <c r="P318" t="n">
        <v>0</v>
      </c>
      <c r="Q318" t="n">
        <v>0</v>
      </c>
      <c r="R318" s="2" t="inlineStr"/>
    </row>
    <row r="319" ht="15" customHeight="1">
      <c r="A319" t="inlineStr">
        <is>
          <t>A 51993-2025</t>
        </is>
      </c>
      <c r="B319" s="1" t="n">
        <v>45952.58194444444</v>
      </c>
      <c r="C319" s="1" t="n">
        <v>46161</v>
      </c>
      <c r="D319" t="inlineStr">
        <is>
          <t>KALMAR LÄN</t>
        </is>
      </c>
      <c r="E319" t="inlineStr">
        <is>
          <t>VIMMERBY</t>
        </is>
      </c>
      <c r="G319" t="n">
        <v>2.8</v>
      </c>
      <c r="H319" t="n">
        <v>0</v>
      </c>
      <c r="I319" t="n">
        <v>0</v>
      </c>
      <c r="J319" t="n">
        <v>0</v>
      </c>
      <c r="K319" t="n">
        <v>0</v>
      </c>
      <c r="L319" t="n">
        <v>0</v>
      </c>
      <c r="M319" t="n">
        <v>0</v>
      </c>
      <c r="N319" t="n">
        <v>0</v>
      </c>
      <c r="O319" t="n">
        <v>0</v>
      </c>
      <c r="P319" t="n">
        <v>0</v>
      </c>
      <c r="Q319" t="n">
        <v>0</v>
      </c>
      <c r="R319" s="2" t="inlineStr"/>
    </row>
    <row r="320" ht="15" customHeight="1">
      <c r="A320" t="inlineStr">
        <is>
          <t>A 44095-2025</t>
        </is>
      </c>
      <c r="B320" s="1" t="n">
        <v>45915.56430555556</v>
      </c>
      <c r="C320" s="1" t="n">
        <v>46161</v>
      </c>
      <c r="D320" t="inlineStr">
        <is>
          <t>KALMAR LÄN</t>
        </is>
      </c>
      <c r="E320" t="inlineStr">
        <is>
          <t>VIMMERBY</t>
        </is>
      </c>
      <c r="G320" t="n">
        <v>2.4</v>
      </c>
      <c r="H320" t="n">
        <v>0</v>
      </c>
      <c r="I320" t="n">
        <v>0</v>
      </c>
      <c r="J320" t="n">
        <v>0</v>
      </c>
      <c r="K320" t="n">
        <v>0</v>
      </c>
      <c r="L320" t="n">
        <v>0</v>
      </c>
      <c r="M320" t="n">
        <v>0</v>
      </c>
      <c r="N320" t="n">
        <v>0</v>
      </c>
      <c r="O320" t="n">
        <v>0</v>
      </c>
      <c r="P320" t="n">
        <v>0</v>
      </c>
      <c r="Q320" t="n">
        <v>0</v>
      </c>
      <c r="R320" s="2" t="inlineStr"/>
    </row>
    <row r="321" ht="15" customHeight="1">
      <c r="A321" t="inlineStr">
        <is>
          <t>A 8650-2022</t>
        </is>
      </c>
      <c r="B321" s="1" t="n">
        <v>44613</v>
      </c>
      <c r="C321" s="1" t="n">
        <v>46161</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33340-2023</t>
        </is>
      </c>
      <c r="B322" s="1" t="n">
        <v>45128.37305555555</v>
      </c>
      <c r="C322" s="1" t="n">
        <v>46161</v>
      </c>
      <c r="D322" t="inlineStr">
        <is>
          <t>KALMAR LÄN</t>
        </is>
      </c>
      <c r="E322" t="inlineStr">
        <is>
          <t>VIMMERBY</t>
        </is>
      </c>
      <c r="G322" t="n">
        <v>1.5</v>
      </c>
      <c r="H322" t="n">
        <v>0</v>
      </c>
      <c r="I322" t="n">
        <v>0</v>
      </c>
      <c r="J322" t="n">
        <v>0</v>
      </c>
      <c r="K322" t="n">
        <v>0</v>
      </c>
      <c r="L322" t="n">
        <v>0</v>
      </c>
      <c r="M322" t="n">
        <v>0</v>
      </c>
      <c r="N322" t="n">
        <v>0</v>
      </c>
      <c r="O322" t="n">
        <v>0</v>
      </c>
      <c r="P322" t="n">
        <v>0</v>
      </c>
      <c r="Q322" t="n">
        <v>0</v>
      </c>
      <c r="R322" s="2" t="inlineStr"/>
    </row>
    <row r="323" ht="15" customHeight="1">
      <c r="A323" t="inlineStr">
        <is>
          <t>A 44423-2023</t>
        </is>
      </c>
      <c r="B323" s="1" t="n">
        <v>45189</v>
      </c>
      <c r="C323" s="1" t="n">
        <v>46161</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37323-2024</t>
        </is>
      </c>
      <c r="B324" s="1" t="n">
        <v>45540.50098379629</v>
      </c>
      <c r="C324" s="1" t="n">
        <v>46161</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44091-2025</t>
        </is>
      </c>
      <c r="B325" s="1" t="n">
        <v>45915.55950231481</v>
      </c>
      <c r="C325" s="1" t="n">
        <v>46161</v>
      </c>
      <c r="D325" t="inlineStr">
        <is>
          <t>KALMAR LÄN</t>
        </is>
      </c>
      <c r="E325" t="inlineStr">
        <is>
          <t>VIMMERBY</t>
        </is>
      </c>
      <c r="G325" t="n">
        <v>0.8</v>
      </c>
      <c r="H325" t="n">
        <v>0</v>
      </c>
      <c r="I325" t="n">
        <v>0</v>
      </c>
      <c r="J325" t="n">
        <v>0</v>
      </c>
      <c r="K325" t="n">
        <v>0</v>
      </c>
      <c r="L325" t="n">
        <v>0</v>
      </c>
      <c r="M325" t="n">
        <v>0</v>
      </c>
      <c r="N325" t="n">
        <v>0</v>
      </c>
      <c r="O325" t="n">
        <v>0</v>
      </c>
      <c r="P325" t="n">
        <v>0</v>
      </c>
      <c r="Q325" t="n">
        <v>0</v>
      </c>
      <c r="R325" s="2" t="inlineStr"/>
    </row>
    <row r="326" ht="15" customHeight="1">
      <c r="A326" t="inlineStr">
        <is>
          <t>A 28286-2025</t>
        </is>
      </c>
      <c r="B326" s="1" t="n">
        <v>45818.58993055556</v>
      </c>
      <c r="C326" s="1" t="n">
        <v>46161</v>
      </c>
      <c r="D326" t="inlineStr">
        <is>
          <t>KALMAR LÄN</t>
        </is>
      </c>
      <c r="E326" t="inlineStr">
        <is>
          <t>VIMMERBY</t>
        </is>
      </c>
      <c r="F326" t="inlineStr">
        <is>
          <t>Sveaskog</t>
        </is>
      </c>
      <c r="G326" t="n">
        <v>8</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46161</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46161</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18501-2024</t>
        </is>
      </c>
      <c r="B329" s="1" t="n">
        <v>45425.57538194444</v>
      </c>
      <c r="C329" s="1" t="n">
        <v>46161</v>
      </c>
      <c r="D329" t="inlineStr">
        <is>
          <t>KALMAR LÄN</t>
        </is>
      </c>
      <c r="E329" t="inlineStr">
        <is>
          <t>VIMMERBY</t>
        </is>
      </c>
      <c r="G329" t="n">
        <v>2</v>
      </c>
      <c r="H329" t="n">
        <v>0</v>
      </c>
      <c r="I329" t="n">
        <v>0</v>
      </c>
      <c r="J329" t="n">
        <v>0</v>
      </c>
      <c r="K329" t="n">
        <v>0</v>
      </c>
      <c r="L329" t="n">
        <v>0</v>
      </c>
      <c r="M329" t="n">
        <v>0</v>
      </c>
      <c r="N329" t="n">
        <v>0</v>
      </c>
      <c r="O329" t="n">
        <v>0</v>
      </c>
      <c r="P329" t="n">
        <v>0</v>
      </c>
      <c r="Q329" t="n">
        <v>0</v>
      </c>
      <c r="R329" s="2" t="inlineStr"/>
    </row>
    <row r="330" ht="15" customHeight="1">
      <c r="A330" t="inlineStr">
        <is>
          <t>A 44517-2025</t>
        </is>
      </c>
      <c r="B330" s="1" t="n">
        <v>45916.7103587963</v>
      </c>
      <c r="C330" s="1" t="n">
        <v>46161</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28290-2025</t>
        </is>
      </c>
      <c r="B331" s="1" t="n">
        <v>45818.59261574074</v>
      </c>
      <c r="C331" s="1" t="n">
        <v>46161</v>
      </c>
      <c r="D331" t="inlineStr">
        <is>
          <t>KALMAR LÄN</t>
        </is>
      </c>
      <c r="E331" t="inlineStr">
        <is>
          <t>VIMMERBY</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44742-2025</t>
        </is>
      </c>
      <c r="B332" s="1" t="n">
        <v>45917.67054398148</v>
      </c>
      <c r="C332" s="1" t="n">
        <v>46161</v>
      </c>
      <c r="D332" t="inlineStr">
        <is>
          <t>KALMAR LÄN</t>
        </is>
      </c>
      <c r="E332" t="inlineStr">
        <is>
          <t>VIMMERBY</t>
        </is>
      </c>
      <c r="G332" t="n">
        <v>4.7</v>
      </c>
      <c r="H332" t="n">
        <v>0</v>
      </c>
      <c r="I332" t="n">
        <v>0</v>
      </c>
      <c r="J332" t="n">
        <v>0</v>
      </c>
      <c r="K332" t="n">
        <v>0</v>
      </c>
      <c r="L332" t="n">
        <v>0</v>
      </c>
      <c r="M332" t="n">
        <v>0</v>
      </c>
      <c r="N332" t="n">
        <v>0</v>
      </c>
      <c r="O332" t="n">
        <v>0</v>
      </c>
      <c r="P332" t="n">
        <v>0</v>
      </c>
      <c r="Q332" t="n">
        <v>0</v>
      </c>
      <c r="R332" s="2" t="inlineStr"/>
    </row>
    <row r="333" ht="15" customHeight="1">
      <c r="A333" t="inlineStr">
        <is>
          <t>A 44329-2025</t>
        </is>
      </c>
      <c r="B333" s="1" t="n">
        <v>45916.41019675926</v>
      </c>
      <c r="C333" s="1" t="n">
        <v>46161</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28280-2025</t>
        </is>
      </c>
      <c r="B334" s="1" t="n">
        <v>45818.5862037037</v>
      </c>
      <c r="C334" s="1" t="n">
        <v>46161</v>
      </c>
      <c r="D334" t="inlineStr">
        <is>
          <t>KALMAR LÄN</t>
        </is>
      </c>
      <c r="E334" t="inlineStr">
        <is>
          <t>VIMMERBY</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41896-2025</t>
        </is>
      </c>
      <c r="B335" s="1" t="n">
        <v>45903.38800925926</v>
      </c>
      <c r="C335" s="1" t="n">
        <v>46161</v>
      </c>
      <c r="D335" t="inlineStr">
        <is>
          <t>KALMAR LÄN</t>
        </is>
      </c>
      <c r="E335" t="inlineStr">
        <is>
          <t>VIMMERBY</t>
        </is>
      </c>
      <c r="G335" t="n">
        <v>2.9</v>
      </c>
      <c r="H335" t="n">
        <v>0</v>
      </c>
      <c r="I335" t="n">
        <v>0</v>
      </c>
      <c r="J335" t="n">
        <v>0</v>
      </c>
      <c r="K335" t="n">
        <v>0</v>
      </c>
      <c r="L335" t="n">
        <v>0</v>
      </c>
      <c r="M335" t="n">
        <v>0</v>
      </c>
      <c r="N335" t="n">
        <v>0</v>
      </c>
      <c r="O335" t="n">
        <v>0</v>
      </c>
      <c r="P335" t="n">
        <v>0</v>
      </c>
      <c r="Q335" t="n">
        <v>0</v>
      </c>
      <c r="R335" s="2" t="inlineStr"/>
    </row>
    <row r="336" ht="15" customHeight="1">
      <c r="A336" t="inlineStr">
        <is>
          <t>A 52465-2025</t>
        </is>
      </c>
      <c r="B336" s="1" t="n">
        <v>45954.44543981482</v>
      </c>
      <c r="C336" s="1" t="n">
        <v>46161</v>
      </c>
      <c r="D336" t="inlineStr">
        <is>
          <t>KALMAR LÄN</t>
        </is>
      </c>
      <c r="E336" t="inlineStr">
        <is>
          <t>VIMMERBY</t>
        </is>
      </c>
      <c r="G336" t="n">
        <v>0.9</v>
      </c>
      <c r="H336" t="n">
        <v>0</v>
      </c>
      <c r="I336" t="n">
        <v>0</v>
      </c>
      <c r="J336" t="n">
        <v>0</v>
      </c>
      <c r="K336" t="n">
        <v>0</v>
      </c>
      <c r="L336" t="n">
        <v>0</v>
      </c>
      <c r="M336" t="n">
        <v>0</v>
      </c>
      <c r="N336" t="n">
        <v>0</v>
      </c>
      <c r="O336" t="n">
        <v>0</v>
      </c>
      <c r="P336" t="n">
        <v>0</v>
      </c>
      <c r="Q336" t="n">
        <v>0</v>
      </c>
      <c r="R336" s="2" t="inlineStr"/>
    </row>
    <row r="337" ht="15" customHeight="1">
      <c r="A337" t="inlineStr">
        <is>
          <t>A 27758-2024</t>
        </is>
      </c>
      <c r="B337" s="1" t="n">
        <v>45475.48303240741</v>
      </c>
      <c r="C337" s="1" t="n">
        <v>46161</v>
      </c>
      <c r="D337" t="inlineStr">
        <is>
          <t>KALMAR LÄN</t>
        </is>
      </c>
      <c r="E337" t="inlineStr">
        <is>
          <t>VIMMERBY</t>
        </is>
      </c>
      <c r="G337" t="n">
        <v>2.6</v>
      </c>
      <c r="H337" t="n">
        <v>0</v>
      </c>
      <c r="I337" t="n">
        <v>0</v>
      </c>
      <c r="J337" t="n">
        <v>0</v>
      </c>
      <c r="K337" t="n">
        <v>0</v>
      </c>
      <c r="L337" t="n">
        <v>0</v>
      </c>
      <c r="M337" t="n">
        <v>0</v>
      </c>
      <c r="N337" t="n">
        <v>0</v>
      </c>
      <c r="O337" t="n">
        <v>0</v>
      </c>
      <c r="P337" t="n">
        <v>0</v>
      </c>
      <c r="Q337" t="n">
        <v>0</v>
      </c>
      <c r="R337" s="2" t="inlineStr"/>
    </row>
    <row r="338" ht="15" customHeight="1">
      <c r="A338" t="inlineStr">
        <is>
          <t>A 28620-2025</t>
        </is>
      </c>
      <c r="B338" s="1" t="n">
        <v>45819.61060185185</v>
      </c>
      <c r="C338" s="1" t="n">
        <v>46161</v>
      </c>
      <c r="D338" t="inlineStr">
        <is>
          <t>KALMAR LÄN</t>
        </is>
      </c>
      <c r="E338" t="inlineStr">
        <is>
          <t>VIMMERBY</t>
        </is>
      </c>
      <c r="G338" t="n">
        <v>5.6</v>
      </c>
      <c r="H338" t="n">
        <v>0</v>
      </c>
      <c r="I338" t="n">
        <v>0</v>
      </c>
      <c r="J338" t="n">
        <v>0</v>
      </c>
      <c r="K338" t="n">
        <v>0</v>
      </c>
      <c r="L338" t="n">
        <v>0</v>
      </c>
      <c r="M338" t="n">
        <v>0</v>
      </c>
      <c r="N338" t="n">
        <v>0</v>
      </c>
      <c r="O338" t="n">
        <v>0</v>
      </c>
      <c r="P338" t="n">
        <v>0</v>
      </c>
      <c r="Q338" t="n">
        <v>0</v>
      </c>
      <c r="R338" s="2" t="inlineStr"/>
    </row>
    <row r="339" ht="15" customHeight="1">
      <c r="A339" t="inlineStr">
        <is>
          <t>A 13307-2025</t>
        </is>
      </c>
      <c r="B339" s="1" t="n">
        <v>45735.58024305556</v>
      </c>
      <c r="C339" s="1" t="n">
        <v>46161</v>
      </c>
      <c r="D339" t="inlineStr">
        <is>
          <t>KALMAR LÄN</t>
        </is>
      </c>
      <c r="E339" t="inlineStr">
        <is>
          <t>VIMMERBY</t>
        </is>
      </c>
      <c r="G339" t="n">
        <v>0.8</v>
      </c>
      <c r="H339" t="n">
        <v>0</v>
      </c>
      <c r="I339" t="n">
        <v>0</v>
      </c>
      <c r="J339" t="n">
        <v>0</v>
      </c>
      <c r="K339" t="n">
        <v>0</v>
      </c>
      <c r="L339" t="n">
        <v>0</v>
      </c>
      <c r="M339" t="n">
        <v>0</v>
      </c>
      <c r="N339" t="n">
        <v>0</v>
      </c>
      <c r="O339" t="n">
        <v>0</v>
      </c>
      <c r="P339" t="n">
        <v>0</v>
      </c>
      <c r="Q339" t="n">
        <v>0</v>
      </c>
      <c r="R339" s="2" t="inlineStr"/>
    </row>
    <row r="340" ht="15" customHeight="1">
      <c r="A340" t="inlineStr">
        <is>
          <t>A 55716-2023</t>
        </is>
      </c>
      <c r="B340" s="1" t="n">
        <v>45232</v>
      </c>
      <c r="C340" s="1" t="n">
        <v>46161</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18329-2023</t>
        </is>
      </c>
      <c r="B341" s="1" t="n">
        <v>45041.63380787037</v>
      </c>
      <c r="C341" s="1" t="n">
        <v>46161</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28712-2025</t>
        </is>
      </c>
      <c r="B342" s="1" t="n">
        <v>45820.33708333333</v>
      </c>
      <c r="C342" s="1" t="n">
        <v>46161</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28714-2025</t>
        </is>
      </c>
      <c r="B343" s="1" t="n">
        <v>45820.34128472222</v>
      </c>
      <c r="C343" s="1" t="n">
        <v>46161</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28713-2025</t>
        </is>
      </c>
      <c r="B344" s="1" t="n">
        <v>45820.33930555556</v>
      </c>
      <c r="C344" s="1" t="n">
        <v>46161</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13015-2023</t>
        </is>
      </c>
      <c r="B345" s="1" t="n">
        <v>45002</v>
      </c>
      <c r="C345" s="1" t="n">
        <v>46161</v>
      </c>
      <c r="D345" t="inlineStr">
        <is>
          <t>KALMAR LÄN</t>
        </is>
      </c>
      <c r="E345" t="inlineStr">
        <is>
          <t>VIMMERBY</t>
        </is>
      </c>
      <c r="G345" t="n">
        <v>3.2</v>
      </c>
      <c r="H345" t="n">
        <v>0</v>
      </c>
      <c r="I345" t="n">
        <v>0</v>
      </c>
      <c r="J345" t="n">
        <v>0</v>
      </c>
      <c r="K345" t="n">
        <v>0</v>
      </c>
      <c r="L345" t="n">
        <v>0</v>
      </c>
      <c r="M345" t="n">
        <v>0</v>
      </c>
      <c r="N345" t="n">
        <v>0</v>
      </c>
      <c r="O345" t="n">
        <v>0</v>
      </c>
      <c r="P345" t="n">
        <v>0</v>
      </c>
      <c r="Q345" t="n">
        <v>0</v>
      </c>
      <c r="R345" s="2" t="inlineStr"/>
    </row>
    <row r="346" ht="15" customHeight="1">
      <c r="A346" t="inlineStr">
        <is>
          <t>A 45114-2025</t>
        </is>
      </c>
      <c r="B346" s="1" t="n">
        <v>45919.42387731482</v>
      </c>
      <c r="C346" s="1" t="n">
        <v>46161</v>
      </c>
      <c r="D346" t="inlineStr">
        <is>
          <t>KALMAR LÄN</t>
        </is>
      </c>
      <c r="E346" t="inlineStr">
        <is>
          <t>VIMMERBY</t>
        </is>
      </c>
      <c r="G346" t="n">
        <v>2.7</v>
      </c>
      <c r="H346" t="n">
        <v>0</v>
      </c>
      <c r="I346" t="n">
        <v>0</v>
      </c>
      <c r="J346" t="n">
        <v>0</v>
      </c>
      <c r="K346" t="n">
        <v>0</v>
      </c>
      <c r="L346" t="n">
        <v>0</v>
      </c>
      <c r="M346" t="n">
        <v>0</v>
      </c>
      <c r="N346" t="n">
        <v>0</v>
      </c>
      <c r="O346" t="n">
        <v>0</v>
      </c>
      <c r="P346" t="n">
        <v>0</v>
      </c>
      <c r="Q346" t="n">
        <v>0</v>
      </c>
      <c r="R346" s="2" t="inlineStr"/>
    </row>
    <row r="347" ht="15" customHeight="1">
      <c r="A347" t="inlineStr">
        <is>
          <t>A 29186-2024</t>
        </is>
      </c>
      <c r="B347" s="1" t="n">
        <v>45482.54844907407</v>
      </c>
      <c r="C347" s="1" t="n">
        <v>46161</v>
      </c>
      <c r="D347" t="inlineStr">
        <is>
          <t>KALMAR LÄN</t>
        </is>
      </c>
      <c r="E347" t="inlineStr">
        <is>
          <t>VIMMERBY</t>
        </is>
      </c>
      <c r="G347" t="n">
        <v>2.6</v>
      </c>
      <c r="H347" t="n">
        <v>0</v>
      </c>
      <c r="I347" t="n">
        <v>0</v>
      </c>
      <c r="J347" t="n">
        <v>0</v>
      </c>
      <c r="K347" t="n">
        <v>0</v>
      </c>
      <c r="L347" t="n">
        <v>0</v>
      </c>
      <c r="M347" t="n">
        <v>0</v>
      </c>
      <c r="N347" t="n">
        <v>0</v>
      </c>
      <c r="O347" t="n">
        <v>0</v>
      </c>
      <c r="P347" t="n">
        <v>0</v>
      </c>
      <c r="Q347" t="n">
        <v>0</v>
      </c>
      <c r="R347" s="2" t="inlineStr"/>
    </row>
    <row r="348" ht="15" customHeight="1">
      <c r="A348" t="inlineStr">
        <is>
          <t>A 50993-2022</t>
        </is>
      </c>
      <c r="B348" s="1" t="n">
        <v>44867</v>
      </c>
      <c r="C348" s="1" t="n">
        <v>46161</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29737-2025</t>
        </is>
      </c>
      <c r="B349" s="1" t="n">
        <v>45825.58672453704</v>
      </c>
      <c r="C349" s="1" t="n">
        <v>46161</v>
      </c>
      <c r="D349" t="inlineStr">
        <is>
          <t>KALMAR LÄN</t>
        </is>
      </c>
      <c r="E349" t="inlineStr">
        <is>
          <t>VIMMERBY</t>
        </is>
      </c>
      <c r="G349" t="n">
        <v>1.2</v>
      </c>
      <c r="H349" t="n">
        <v>0</v>
      </c>
      <c r="I349" t="n">
        <v>0</v>
      </c>
      <c r="J349" t="n">
        <v>0</v>
      </c>
      <c r="K349" t="n">
        <v>0</v>
      </c>
      <c r="L349" t="n">
        <v>0</v>
      </c>
      <c r="M349" t="n">
        <v>0</v>
      </c>
      <c r="N349" t="n">
        <v>0</v>
      </c>
      <c r="O349" t="n">
        <v>0</v>
      </c>
      <c r="P349" t="n">
        <v>0</v>
      </c>
      <c r="Q349" t="n">
        <v>0</v>
      </c>
      <c r="R349" s="2" t="inlineStr"/>
    </row>
    <row r="350" ht="15" customHeight="1">
      <c r="A350" t="inlineStr">
        <is>
          <t>A 45319-2025</t>
        </is>
      </c>
      <c r="B350" s="1" t="n">
        <v>45921.95611111111</v>
      </c>
      <c r="C350" s="1" t="n">
        <v>46161</v>
      </c>
      <c r="D350" t="inlineStr">
        <is>
          <t>KALMAR LÄN</t>
        </is>
      </c>
      <c r="E350" t="inlineStr">
        <is>
          <t>VIMMERBY</t>
        </is>
      </c>
      <c r="G350" t="n">
        <v>1</v>
      </c>
      <c r="H350" t="n">
        <v>0</v>
      </c>
      <c r="I350" t="n">
        <v>0</v>
      </c>
      <c r="J350" t="n">
        <v>0</v>
      </c>
      <c r="K350" t="n">
        <v>0</v>
      </c>
      <c r="L350" t="n">
        <v>0</v>
      </c>
      <c r="M350" t="n">
        <v>0</v>
      </c>
      <c r="N350" t="n">
        <v>0</v>
      </c>
      <c r="O350" t="n">
        <v>0</v>
      </c>
      <c r="P350" t="n">
        <v>0</v>
      </c>
      <c r="Q350" t="n">
        <v>0</v>
      </c>
      <c r="R350" s="2" t="inlineStr"/>
    </row>
    <row r="351" ht="15" customHeight="1">
      <c r="A351" t="inlineStr">
        <is>
          <t>A 29727-2025</t>
        </is>
      </c>
      <c r="B351" s="1" t="n">
        <v>45825.5796875</v>
      </c>
      <c r="C351" s="1" t="n">
        <v>46161</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52451-2025</t>
        </is>
      </c>
      <c r="B352" s="1" t="n">
        <v>45954.42326388889</v>
      </c>
      <c r="C352" s="1" t="n">
        <v>46161</v>
      </c>
      <c r="D352" t="inlineStr">
        <is>
          <t>KALMAR LÄN</t>
        </is>
      </c>
      <c r="E352" t="inlineStr">
        <is>
          <t>VIMMERBY</t>
        </is>
      </c>
      <c r="G352" t="n">
        <v>2.8</v>
      </c>
      <c r="H352" t="n">
        <v>0</v>
      </c>
      <c r="I352" t="n">
        <v>0</v>
      </c>
      <c r="J352" t="n">
        <v>0</v>
      </c>
      <c r="K352" t="n">
        <v>0</v>
      </c>
      <c r="L352" t="n">
        <v>0</v>
      </c>
      <c r="M352" t="n">
        <v>0</v>
      </c>
      <c r="N352" t="n">
        <v>0</v>
      </c>
      <c r="O352" t="n">
        <v>0</v>
      </c>
      <c r="P352" t="n">
        <v>0</v>
      </c>
      <c r="Q352" t="n">
        <v>0</v>
      </c>
      <c r="R352" s="2" t="inlineStr"/>
    </row>
    <row r="353" ht="15" customHeight="1">
      <c r="A353" t="inlineStr">
        <is>
          <t>A 54787-2023</t>
        </is>
      </c>
      <c r="B353" s="1" t="n">
        <v>45236</v>
      </c>
      <c r="C353" s="1" t="n">
        <v>46161</v>
      </c>
      <c r="D353" t="inlineStr">
        <is>
          <t>KALMAR LÄN</t>
        </is>
      </c>
      <c r="E353" t="inlineStr">
        <is>
          <t>VIMMERBY</t>
        </is>
      </c>
      <c r="G353" t="n">
        <v>1</v>
      </c>
      <c r="H353" t="n">
        <v>0</v>
      </c>
      <c r="I353" t="n">
        <v>0</v>
      </c>
      <c r="J353" t="n">
        <v>0</v>
      </c>
      <c r="K353" t="n">
        <v>0</v>
      </c>
      <c r="L353" t="n">
        <v>0</v>
      </c>
      <c r="M353" t="n">
        <v>0</v>
      </c>
      <c r="N353" t="n">
        <v>0</v>
      </c>
      <c r="O353" t="n">
        <v>0</v>
      </c>
      <c r="P353" t="n">
        <v>0</v>
      </c>
      <c r="Q353" t="n">
        <v>0</v>
      </c>
      <c r="R353" s="2" t="inlineStr"/>
    </row>
    <row r="354" ht="15" customHeight="1">
      <c r="A354" t="inlineStr">
        <is>
          <t>A 45320-2025</t>
        </is>
      </c>
      <c r="B354" s="1" t="n">
        <v>45921.96395833333</v>
      </c>
      <c r="C354" s="1" t="n">
        <v>46161</v>
      </c>
      <c r="D354" t="inlineStr">
        <is>
          <t>KALMAR LÄN</t>
        </is>
      </c>
      <c r="E354" t="inlineStr">
        <is>
          <t>VIMMERBY</t>
        </is>
      </c>
      <c r="G354" t="n">
        <v>1.3</v>
      </c>
      <c r="H354" t="n">
        <v>0</v>
      </c>
      <c r="I354" t="n">
        <v>0</v>
      </c>
      <c r="J354" t="n">
        <v>0</v>
      </c>
      <c r="K354" t="n">
        <v>0</v>
      </c>
      <c r="L354" t="n">
        <v>0</v>
      </c>
      <c r="M354" t="n">
        <v>0</v>
      </c>
      <c r="N354" t="n">
        <v>0</v>
      </c>
      <c r="O354" t="n">
        <v>0</v>
      </c>
      <c r="P354" t="n">
        <v>0</v>
      </c>
      <c r="Q354" t="n">
        <v>0</v>
      </c>
      <c r="R354" s="2" t="inlineStr"/>
    </row>
    <row r="355" ht="15" customHeight="1">
      <c r="A355" t="inlineStr">
        <is>
          <t>A 32614-2023</t>
        </is>
      </c>
      <c r="B355" s="1" t="n">
        <v>45121</v>
      </c>
      <c r="C355" s="1" t="n">
        <v>46161</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6850-2023</t>
        </is>
      </c>
      <c r="B356" s="1" t="n">
        <v>44967.44255787037</v>
      </c>
      <c r="C356" s="1" t="n">
        <v>46161</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58750-2022</t>
        </is>
      </c>
      <c r="B357" s="1" t="n">
        <v>44903.33363425926</v>
      </c>
      <c r="C357" s="1" t="n">
        <v>46161</v>
      </c>
      <c r="D357" t="inlineStr">
        <is>
          <t>KALMAR LÄN</t>
        </is>
      </c>
      <c r="E357" t="inlineStr">
        <is>
          <t>VIMMERBY</t>
        </is>
      </c>
      <c r="G357" t="n">
        <v>3.3</v>
      </c>
      <c r="H357" t="n">
        <v>0</v>
      </c>
      <c r="I357" t="n">
        <v>0</v>
      </c>
      <c r="J357" t="n">
        <v>0</v>
      </c>
      <c r="K357" t="n">
        <v>0</v>
      </c>
      <c r="L357" t="n">
        <v>0</v>
      </c>
      <c r="M357" t="n">
        <v>0</v>
      </c>
      <c r="N357" t="n">
        <v>0</v>
      </c>
      <c r="O357" t="n">
        <v>0</v>
      </c>
      <c r="P357" t="n">
        <v>0</v>
      </c>
      <c r="Q357" t="n">
        <v>0</v>
      </c>
      <c r="R357" s="2" t="inlineStr"/>
    </row>
    <row r="358" ht="15" customHeight="1">
      <c r="A358" t="inlineStr">
        <is>
          <t>A 41158-2023</t>
        </is>
      </c>
      <c r="B358" s="1" t="n">
        <v>45174.31395833333</v>
      </c>
      <c r="C358" s="1" t="n">
        <v>46161</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2510-2023</t>
        </is>
      </c>
      <c r="B359" s="1" t="n">
        <v>44943.57309027778</v>
      </c>
      <c r="C359" s="1" t="n">
        <v>46161</v>
      </c>
      <c r="D359" t="inlineStr">
        <is>
          <t>KALMAR LÄN</t>
        </is>
      </c>
      <c r="E359" t="inlineStr">
        <is>
          <t>VIMMERBY</t>
        </is>
      </c>
      <c r="G359" t="n">
        <v>8.6</v>
      </c>
      <c r="H359" t="n">
        <v>0</v>
      </c>
      <c r="I359" t="n">
        <v>0</v>
      </c>
      <c r="J359" t="n">
        <v>0</v>
      </c>
      <c r="K359" t="n">
        <v>0</v>
      </c>
      <c r="L359" t="n">
        <v>0</v>
      </c>
      <c r="M359" t="n">
        <v>0</v>
      </c>
      <c r="N359" t="n">
        <v>0</v>
      </c>
      <c r="O359" t="n">
        <v>0</v>
      </c>
      <c r="P359" t="n">
        <v>0</v>
      </c>
      <c r="Q359" t="n">
        <v>0</v>
      </c>
      <c r="R359" s="2" t="inlineStr"/>
    </row>
    <row r="360" ht="15" customHeight="1">
      <c r="A360" t="inlineStr">
        <is>
          <t>A 46118-2025</t>
        </is>
      </c>
      <c r="B360" s="1" t="n">
        <v>45924.57697916667</v>
      </c>
      <c r="C360" s="1" t="n">
        <v>46161</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46365-2025</t>
        </is>
      </c>
      <c r="B361" s="1" t="n">
        <v>45925.50075231482</v>
      </c>
      <c r="C361" s="1" t="n">
        <v>46161</v>
      </c>
      <c r="D361" t="inlineStr">
        <is>
          <t>KALMAR LÄN</t>
        </is>
      </c>
      <c r="E361" t="inlineStr">
        <is>
          <t>VIMMERBY</t>
        </is>
      </c>
      <c r="G361" t="n">
        <v>5.6</v>
      </c>
      <c r="H361" t="n">
        <v>0</v>
      </c>
      <c r="I361" t="n">
        <v>0</v>
      </c>
      <c r="J361" t="n">
        <v>0</v>
      </c>
      <c r="K361" t="n">
        <v>0</v>
      </c>
      <c r="L361" t="n">
        <v>0</v>
      </c>
      <c r="M361" t="n">
        <v>0</v>
      </c>
      <c r="N361" t="n">
        <v>0</v>
      </c>
      <c r="O361" t="n">
        <v>0</v>
      </c>
      <c r="P361" t="n">
        <v>0</v>
      </c>
      <c r="Q361" t="n">
        <v>0</v>
      </c>
      <c r="R361" s="2" t="inlineStr"/>
    </row>
    <row r="362" ht="15" customHeight="1">
      <c r="A362" t="inlineStr">
        <is>
          <t>A 30293-2025</t>
        </is>
      </c>
      <c r="B362" s="1" t="n">
        <v>45827</v>
      </c>
      <c r="C362" s="1" t="n">
        <v>46161</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30290-2025</t>
        </is>
      </c>
      <c r="B363" s="1" t="n">
        <v>45827</v>
      </c>
      <c r="C363" s="1" t="n">
        <v>46161</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3269-2024</t>
        </is>
      </c>
      <c r="B364" s="1" t="n">
        <v>45317.40372685185</v>
      </c>
      <c r="C364" s="1" t="n">
        <v>46161</v>
      </c>
      <c r="D364" t="inlineStr">
        <is>
          <t>KALMAR LÄN</t>
        </is>
      </c>
      <c r="E364" t="inlineStr">
        <is>
          <t>VIMMERBY</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48120-2022</t>
        </is>
      </c>
      <c r="B365" s="1" t="n">
        <v>44857.65989583333</v>
      </c>
      <c r="C365" s="1" t="n">
        <v>46161</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6368-2023</t>
        </is>
      </c>
      <c r="B366" s="1" t="n">
        <v>44965</v>
      </c>
      <c r="C366" s="1" t="n">
        <v>46161</v>
      </c>
      <c r="D366" t="inlineStr">
        <is>
          <t>KALMAR LÄN</t>
        </is>
      </c>
      <c r="E366" t="inlineStr">
        <is>
          <t>VIMMERBY</t>
        </is>
      </c>
      <c r="G366" t="n">
        <v>1.3</v>
      </c>
      <c r="H366" t="n">
        <v>0</v>
      </c>
      <c r="I366" t="n">
        <v>0</v>
      </c>
      <c r="J366" t="n">
        <v>0</v>
      </c>
      <c r="K366" t="n">
        <v>0</v>
      </c>
      <c r="L366" t="n">
        <v>0</v>
      </c>
      <c r="M366" t="n">
        <v>0</v>
      </c>
      <c r="N366" t="n">
        <v>0</v>
      </c>
      <c r="O366" t="n">
        <v>0</v>
      </c>
      <c r="P366" t="n">
        <v>0</v>
      </c>
      <c r="Q366" t="n">
        <v>0</v>
      </c>
      <c r="R366" s="2" t="inlineStr"/>
    </row>
    <row r="367" ht="15" customHeight="1">
      <c r="A367" t="inlineStr">
        <is>
          <t>A 9416-2024</t>
        </is>
      </c>
      <c r="B367" s="1" t="n">
        <v>45359.44837962963</v>
      </c>
      <c r="C367" s="1" t="n">
        <v>46161</v>
      </c>
      <c r="D367" t="inlineStr">
        <is>
          <t>KALMAR LÄN</t>
        </is>
      </c>
      <c r="E367" t="inlineStr">
        <is>
          <t>VIMMERBY</t>
        </is>
      </c>
      <c r="G367" t="n">
        <v>3.2</v>
      </c>
      <c r="H367" t="n">
        <v>0</v>
      </c>
      <c r="I367" t="n">
        <v>0</v>
      </c>
      <c r="J367" t="n">
        <v>0</v>
      </c>
      <c r="K367" t="n">
        <v>0</v>
      </c>
      <c r="L367" t="n">
        <v>0</v>
      </c>
      <c r="M367" t="n">
        <v>0</v>
      </c>
      <c r="N367" t="n">
        <v>0</v>
      </c>
      <c r="O367" t="n">
        <v>0</v>
      </c>
      <c r="P367" t="n">
        <v>0</v>
      </c>
      <c r="Q367" t="n">
        <v>0</v>
      </c>
      <c r="R367" s="2" t="inlineStr"/>
    </row>
    <row r="368" ht="15" customHeight="1">
      <c r="A368" t="inlineStr">
        <is>
          <t>A 46361-2025</t>
        </is>
      </c>
      <c r="B368" s="1" t="n">
        <v>45925.49670138889</v>
      </c>
      <c r="C368" s="1" t="n">
        <v>46161</v>
      </c>
      <c r="D368" t="inlineStr">
        <is>
          <t>KALMAR LÄN</t>
        </is>
      </c>
      <c r="E368" t="inlineStr">
        <is>
          <t>VIMMERBY</t>
        </is>
      </c>
      <c r="G368" t="n">
        <v>4.2</v>
      </c>
      <c r="H368" t="n">
        <v>0</v>
      </c>
      <c r="I368" t="n">
        <v>0</v>
      </c>
      <c r="J368" t="n">
        <v>0</v>
      </c>
      <c r="K368" t="n">
        <v>0</v>
      </c>
      <c r="L368" t="n">
        <v>0</v>
      </c>
      <c r="M368" t="n">
        <v>0</v>
      </c>
      <c r="N368" t="n">
        <v>0</v>
      </c>
      <c r="O368" t="n">
        <v>0</v>
      </c>
      <c r="P368" t="n">
        <v>0</v>
      </c>
      <c r="Q368" t="n">
        <v>0</v>
      </c>
      <c r="R368" s="2" t="inlineStr"/>
    </row>
    <row r="369" ht="15" customHeight="1">
      <c r="A369" t="inlineStr">
        <is>
          <t>A 52516-2025</t>
        </is>
      </c>
      <c r="B369" s="1" t="n">
        <v>45954.51412037037</v>
      </c>
      <c r="C369" s="1" t="n">
        <v>46161</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52466-2025</t>
        </is>
      </c>
      <c r="B370" s="1" t="n">
        <v>45954.44707175926</v>
      </c>
      <c r="C370" s="1" t="n">
        <v>46161</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52473-2025</t>
        </is>
      </c>
      <c r="B371" s="1" t="n">
        <v>45954.45947916667</v>
      </c>
      <c r="C371" s="1" t="n">
        <v>46161</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52480-2025</t>
        </is>
      </c>
      <c r="B372" s="1" t="n">
        <v>45954.47172453703</v>
      </c>
      <c r="C372" s="1" t="n">
        <v>46161</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2797-2023</t>
        </is>
      </c>
      <c r="B373" s="1" t="n">
        <v>44944.71386574074</v>
      </c>
      <c r="C373" s="1" t="n">
        <v>46161</v>
      </c>
      <c r="D373" t="inlineStr">
        <is>
          <t>KALMAR LÄN</t>
        </is>
      </c>
      <c r="E373" t="inlineStr">
        <is>
          <t>VIMMERBY</t>
        </is>
      </c>
      <c r="G373" t="n">
        <v>3.4</v>
      </c>
      <c r="H373" t="n">
        <v>0</v>
      </c>
      <c r="I373" t="n">
        <v>0</v>
      </c>
      <c r="J373" t="n">
        <v>0</v>
      </c>
      <c r="K373" t="n">
        <v>0</v>
      </c>
      <c r="L373" t="n">
        <v>0</v>
      </c>
      <c r="M373" t="n">
        <v>0</v>
      </c>
      <c r="N373" t="n">
        <v>0</v>
      </c>
      <c r="O373" t="n">
        <v>0</v>
      </c>
      <c r="P373" t="n">
        <v>0</v>
      </c>
      <c r="Q373" t="n">
        <v>0</v>
      </c>
      <c r="R373" s="2" t="inlineStr"/>
    </row>
    <row r="374" ht="15" customHeight="1">
      <c r="A374" t="inlineStr">
        <is>
          <t>A 2799-2023</t>
        </is>
      </c>
      <c r="B374" s="1" t="n">
        <v>44944.72100694444</v>
      </c>
      <c r="C374" s="1" t="n">
        <v>46161</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30850-2025</t>
        </is>
      </c>
      <c r="B375" s="1" t="n">
        <v>45831</v>
      </c>
      <c r="C375" s="1" t="n">
        <v>46161</v>
      </c>
      <c r="D375" t="inlineStr">
        <is>
          <t>KALMAR LÄN</t>
        </is>
      </c>
      <c r="E375" t="inlineStr">
        <is>
          <t>VIMMERBY</t>
        </is>
      </c>
      <c r="G375" t="n">
        <v>2.7</v>
      </c>
      <c r="H375" t="n">
        <v>0</v>
      </c>
      <c r="I375" t="n">
        <v>0</v>
      </c>
      <c r="J375" t="n">
        <v>0</v>
      </c>
      <c r="K375" t="n">
        <v>0</v>
      </c>
      <c r="L375" t="n">
        <v>0</v>
      </c>
      <c r="M375" t="n">
        <v>0</v>
      </c>
      <c r="N375" t="n">
        <v>0</v>
      </c>
      <c r="O375" t="n">
        <v>0</v>
      </c>
      <c r="P375" t="n">
        <v>0</v>
      </c>
      <c r="Q375" t="n">
        <v>0</v>
      </c>
      <c r="R375" s="2" t="inlineStr"/>
    </row>
    <row r="376" ht="15" customHeight="1">
      <c r="A376" t="inlineStr">
        <is>
          <t>A 25987-2024</t>
        </is>
      </c>
      <c r="B376" s="1" t="n">
        <v>45467.74417824074</v>
      </c>
      <c r="C376" s="1" t="n">
        <v>46161</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22194-2024</t>
        </is>
      </c>
      <c r="B377" s="1" t="n">
        <v>45446.36482638889</v>
      </c>
      <c r="C377" s="1" t="n">
        <v>46161</v>
      </c>
      <c r="D377" t="inlineStr">
        <is>
          <t>KALMAR LÄN</t>
        </is>
      </c>
      <c r="E377" t="inlineStr">
        <is>
          <t>VIMMERBY</t>
        </is>
      </c>
      <c r="F377" t="inlineStr">
        <is>
          <t>Sveaskog</t>
        </is>
      </c>
      <c r="G377" t="n">
        <v>8.699999999999999</v>
      </c>
      <c r="H377" t="n">
        <v>0</v>
      </c>
      <c r="I377" t="n">
        <v>0</v>
      </c>
      <c r="J377" t="n">
        <v>0</v>
      </c>
      <c r="K377" t="n">
        <v>0</v>
      </c>
      <c r="L377" t="n">
        <v>0</v>
      </c>
      <c r="M377" t="n">
        <v>0</v>
      </c>
      <c r="N377" t="n">
        <v>0</v>
      </c>
      <c r="O377" t="n">
        <v>0</v>
      </c>
      <c r="P377" t="n">
        <v>0</v>
      </c>
      <c r="Q377" t="n">
        <v>0</v>
      </c>
      <c r="R377" s="2" t="inlineStr"/>
    </row>
    <row r="378" ht="15" customHeight="1">
      <c r="A378" t="inlineStr">
        <is>
          <t>A 46887-2025</t>
        </is>
      </c>
      <c r="B378" s="1" t="n">
        <v>45929.3672337963</v>
      </c>
      <c r="C378" s="1" t="n">
        <v>46161</v>
      </c>
      <c r="D378" t="inlineStr">
        <is>
          <t>KALMAR LÄN</t>
        </is>
      </c>
      <c r="E378" t="inlineStr">
        <is>
          <t>VIMMERBY</t>
        </is>
      </c>
      <c r="F378" t="inlineStr">
        <is>
          <t>Sveaskog</t>
        </is>
      </c>
      <c r="G378" t="n">
        <v>1</v>
      </c>
      <c r="H378" t="n">
        <v>0</v>
      </c>
      <c r="I378" t="n">
        <v>0</v>
      </c>
      <c r="J378" t="n">
        <v>0</v>
      </c>
      <c r="K378" t="n">
        <v>0</v>
      </c>
      <c r="L378" t="n">
        <v>0</v>
      </c>
      <c r="M378" t="n">
        <v>0</v>
      </c>
      <c r="N378" t="n">
        <v>0</v>
      </c>
      <c r="O378" t="n">
        <v>0</v>
      </c>
      <c r="P378" t="n">
        <v>0</v>
      </c>
      <c r="Q378" t="n">
        <v>0</v>
      </c>
      <c r="R378" s="2" t="inlineStr"/>
    </row>
    <row r="379" ht="15" customHeight="1">
      <c r="A379" t="inlineStr">
        <is>
          <t>A 12630-2023</t>
        </is>
      </c>
      <c r="B379" s="1" t="n">
        <v>45000.47998842593</v>
      </c>
      <c r="C379" s="1" t="n">
        <v>46161</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45856-2025</t>
        </is>
      </c>
      <c r="B380" s="1" t="n">
        <v>45923</v>
      </c>
      <c r="C380" s="1" t="n">
        <v>46161</v>
      </c>
      <c r="D380" t="inlineStr">
        <is>
          <t>KALMAR LÄN</t>
        </is>
      </c>
      <c r="E380" t="inlineStr">
        <is>
          <t>VIMMERBY</t>
        </is>
      </c>
      <c r="G380" t="n">
        <v>2.1</v>
      </c>
      <c r="H380" t="n">
        <v>0</v>
      </c>
      <c r="I380" t="n">
        <v>0</v>
      </c>
      <c r="J380" t="n">
        <v>0</v>
      </c>
      <c r="K380" t="n">
        <v>0</v>
      </c>
      <c r="L380" t="n">
        <v>0</v>
      </c>
      <c r="M380" t="n">
        <v>0</v>
      </c>
      <c r="N380" t="n">
        <v>0</v>
      </c>
      <c r="O380" t="n">
        <v>0</v>
      </c>
      <c r="P380" t="n">
        <v>0</v>
      </c>
      <c r="Q380" t="n">
        <v>0</v>
      </c>
      <c r="R380" s="2" t="inlineStr"/>
    </row>
    <row r="381" ht="15" customHeight="1">
      <c r="A381" t="inlineStr">
        <is>
          <t>A 52475-2025</t>
        </is>
      </c>
      <c r="B381" s="1" t="n">
        <v>45954.468125</v>
      </c>
      <c r="C381" s="1" t="n">
        <v>46161</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31552-2025</t>
        </is>
      </c>
      <c r="B382" s="1" t="n">
        <v>45833.64563657407</v>
      </c>
      <c r="C382" s="1" t="n">
        <v>46161</v>
      </c>
      <c r="D382" t="inlineStr">
        <is>
          <t>KALMAR LÄN</t>
        </is>
      </c>
      <c r="E382" t="inlineStr">
        <is>
          <t>VIMMERBY</t>
        </is>
      </c>
      <c r="G382" t="n">
        <v>1.7</v>
      </c>
      <c r="H382" t="n">
        <v>0</v>
      </c>
      <c r="I382" t="n">
        <v>0</v>
      </c>
      <c r="J382" t="n">
        <v>0</v>
      </c>
      <c r="K382" t="n">
        <v>0</v>
      </c>
      <c r="L382" t="n">
        <v>0</v>
      </c>
      <c r="M382" t="n">
        <v>0</v>
      </c>
      <c r="N382" t="n">
        <v>0</v>
      </c>
      <c r="O382" t="n">
        <v>0</v>
      </c>
      <c r="P382" t="n">
        <v>0</v>
      </c>
      <c r="Q382" t="n">
        <v>0</v>
      </c>
      <c r="R382" s="2" t="inlineStr"/>
    </row>
    <row r="383" ht="15" customHeight="1">
      <c r="A383" t="inlineStr">
        <is>
          <t>A 31555-2025</t>
        </is>
      </c>
      <c r="B383" s="1" t="n">
        <v>45833.64814814815</v>
      </c>
      <c r="C383" s="1" t="n">
        <v>46161</v>
      </c>
      <c r="D383" t="inlineStr">
        <is>
          <t>KALMAR LÄN</t>
        </is>
      </c>
      <c r="E383" t="inlineStr">
        <is>
          <t>VIMMERBY</t>
        </is>
      </c>
      <c r="G383" t="n">
        <v>1.8</v>
      </c>
      <c r="H383" t="n">
        <v>0</v>
      </c>
      <c r="I383" t="n">
        <v>0</v>
      </c>
      <c r="J383" t="n">
        <v>0</v>
      </c>
      <c r="K383" t="n">
        <v>0</v>
      </c>
      <c r="L383" t="n">
        <v>0</v>
      </c>
      <c r="M383" t="n">
        <v>0</v>
      </c>
      <c r="N383" t="n">
        <v>0</v>
      </c>
      <c r="O383" t="n">
        <v>0</v>
      </c>
      <c r="P383" t="n">
        <v>0</v>
      </c>
      <c r="Q383" t="n">
        <v>0</v>
      </c>
      <c r="R383" s="2" t="inlineStr"/>
    </row>
    <row r="384" ht="15" customHeight="1">
      <c r="A384" t="inlineStr">
        <is>
          <t>A 21109-2024</t>
        </is>
      </c>
      <c r="B384" s="1" t="n">
        <v>45440.28329861111</v>
      </c>
      <c r="C384" s="1" t="n">
        <v>46161</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30971-2025</t>
        </is>
      </c>
      <c r="B385" s="1" t="n">
        <v>45832.46146990741</v>
      </c>
      <c r="C385" s="1" t="n">
        <v>46161</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30634-2024</t>
        </is>
      </c>
      <c r="B386" s="1" t="n">
        <v>45495</v>
      </c>
      <c r="C386" s="1" t="n">
        <v>46161</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40260-2024</t>
        </is>
      </c>
      <c r="B387" s="1" t="n">
        <v>45554.63225694445</v>
      </c>
      <c r="C387" s="1" t="n">
        <v>46161</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31551-2025</t>
        </is>
      </c>
      <c r="B388" s="1" t="n">
        <v>45833.64237268519</v>
      </c>
      <c r="C388" s="1" t="n">
        <v>46161</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53396-2025</t>
        </is>
      </c>
      <c r="B389" s="1" t="n">
        <v>45959.55577546296</v>
      </c>
      <c r="C389" s="1" t="n">
        <v>46161</v>
      </c>
      <c r="D389" t="inlineStr">
        <is>
          <t>KALMAR LÄN</t>
        </is>
      </c>
      <c r="E389" t="inlineStr">
        <is>
          <t>VIMMERBY</t>
        </is>
      </c>
      <c r="G389" t="n">
        <v>0.6</v>
      </c>
      <c r="H389" t="n">
        <v>0</v>
      </c>
      <c r="I389" t="n">
        <v>0</v>
      </c>
      <c r="J389" t="n">
        <v>0</v>
      </c>
      <c r="K389" t="n">
        <v>0</v>
      </c>
      <c r="L389" t="n">
        <v>0</v>
      </c>
      <c r="M389" t="n">
        <v>0</v>
      </c>
      <c r="N389" t="n">
        <v>0</v>
      </c>
      <c r="O389" t="n">
        <v>0</v>
      </c>
      <c r="P389" t="n">
        <v>0</v>
      </c>
      <c r="Q389" t="n">
        <v>0</v>
      </c>
      <c r="R389" s="2" t="inlineStr"/>
    </row>
    <row r="390" ht="15" customHeight="1">
      <c r="A390" t="inlineStr">
        <is>
          <t>A 53416-2025</t>
        </is>
      </c>
      <c r="B390" s="1" t="n">
        <v>45959.58387731481</v>
      </c>
      <c r="C390" s="1" t="n">
        <v>46161</v>
      </c>
      <c r="D390" t="inlineStr">
        <is>
          <t>KALMAR LÄN</t>
        </is>
      </c>
      <c r="E390" t="inlineStr">
        <is>
          <t>VIMMERBY</t>
        </is>
      </c>
      <c r="G390" t="n">
        <v>4.4</v>
      </c>
      <c r="H390" t="n">
        <v>0</v>
      </c>
      <c r="I390" t="n">
        <v>0</v>
      </c>
      <c r="J390" t="n">
        <v>0</v>
      </c>
      <c r="K390" t="n">
        <v>0</v>
      </c>
      <c r="L390" t="n">
        <v>0</v>
      </c>
      <c r="M390" t="n">
        <v>0</v>
      </c>
      <c r="N390" t="n">
        <v>0</v>
      </c>
      <c r="O390" t="n">
        <v>0</v>
      </c>
      <c r="P390" t="n">
        <v>0</v>
      </c>
      <c r="Q390" t="n">
        <v>0</v>
      </c>
      <c r="R390" s="2" t="inlineStr"/>
    </row>
    <row r="391" ht="15" customHeight="1">
      <c r="A391" t="inlineStr">
        <is>
          <t>A 53398-2025</t>
        </is>
      </c>
      <c r="B391" s="1" t="n">
        <v>45959.56247685185</v>
      </c>
      <c r="C391" s="1" t="n">
        <v>46161</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59943-2023</t>
        </is>
      </c>
      <c r="B392" s="1" t="n">
        <v>45257.67958333333</v>
      </c>
      <c r="C392" s="1" t="n">
        <v>46161</v>
      </c>
      <c r="D392" t="inlineStr">
        <is>
          <t>KALMAR LÄN</t>
        </is>
      </c>
      <c r="E392" t="inlineStr">
        <is>
          <t>VIMMERBY</t>
        </is>
      </c>
      <c r="G392" t="n">
        <v>6.4</v>
      </c>
      <c r="H392" t="n">
        <v>0</v>
      </c>
      <c r="I392" t="n">
        <v>0</v>
      </c>
      <c r="J392" t="n">
        <v>0</v>
      </c>
      <c r="K392" t="n">
        <v>0</v>
      </c>
      <c r="L392" t="n">
        <v>0</v>
      </c>
      <c r="M392" t="n">
        <v>0</v>
      </c>
      <c r="N392" t="n">
        <v>0</v>
      </c>
      <c r="O392" t="n">
        <v>0</v>
      </c>
      <c r="P392" t="n">
        <v>0</v>
      </c>
      <c r="Q392" t="n">
        <v>0</v>
      </c>
      <c r="R392" s="2" t="inlineStr"/>
    </row>
    <row r="393" ht="15" customHeight="1">
      <c r="A393" t="inlineStr">
        <is>
          <t>A 53397-2025</t>
        </is>
      </c>
      <c r="B393" s="1" t="n">
        <v>45959.55918981481</v>
      </c>
      <c r="C393" s="1" t="n">
        <v>46161</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53220-2025</t>
        </is>
      </c>
      <c r="B394" s="1" t="n">
        <v>45958.60146990741</v>
      </c>
      <c r="C394" s="1" t="n">
        <v>46161</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53393-2025</t>
        </is>
      </c>
      <c r="B395" s="1" t="n">
        <v>45959.55284722222</v>
      </c>
      <c r="C395" s="1" t="n">
        <v>46161</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53413-2025</t>
        </is>
      </c>
      <c r="B396" s="1" t="n">
        <v>45959.5787037037</v>
      </c>
      <c r="C396" s="1" t="n">
        <v>46161</v>
      </c>
      <c r="D396" t="inlineStr">
        <is>
          <t>KALMAR LÄN</t>
        </is>
      </c>
      <c r="E396" t="inlineStr">
        <is>
          <t>VIMMERBY</t>
        </is>
      </c>
      <c r="G396" t="n">
        <v>4.3</v>
      </c>
      <c r="H396" t="n">
        <v>0</v>
      </c>
      <c r="I396" t="n">
        <v>0</v>
      </c>
      <c r="J396" t="n">
        <v>0</v>
      </c>
      <c r="K396" t="n">
        <v>0</v>
      </c>
      <c r="L396" t="n">
        <v>0</v>
      </c>
      <c r="M396" t="n">
        <v>0</v>
      </c>
      <c r="N396" t="n">
        <v>0</v>
      </c>
      <c r="O396" t="n">
        <v>0</v>
      </c>
      <c r="P396" t="n">
        <v>0</v>
      </c>
      <c r="Q396" t="n">
        <v>0</v>
      </c>
      <c r="R396" s="2" t="inlineStr"/>
    </row>
    <row r="397" ht="15" customHeight="1">
      <c r="A397" t="inlineStr">
        <is>
          <t>A 53903-2025</t>
        </is>
      </c>
      <c r="B397" s="1" t="n">
        <v>45961.43738425926</v>
      </c>
      <c r="C397" s="1" t="n">
        <v>46161</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53920-2025</t>
        </is>
      </c>
      <c r="B398" s="1" t="n">
        <v>45961.44951388889</v>
      </c>
      <c r="C398" s="1" t="n">
        <v>46161</v>
      </c>
      <c r="D398" t="inlineStr">
        <is>
          <t>KALMAR LÄN</t>
        </is>
      </c>
      <c r="E398" t="inlineStr">
        <is>
          <t>VIMMERBY</t>
        </is>
      </c>
      <c r="G398" t="n">
        <v>1.4</v>
      </c>
      <c r="H398" t="n">
        <v>0</v>
      </c>
      <c r="I398" t="n">
        <v>0</v>
      </c>
      <c r="J398" t="n">
        <v>0</v>
      </c>
      <c r="K398" t="n">
        <v>0</v>
      </c>
      <c r="L398" t="n">
        <v>0</v>
      </c>
      <c r="M398" t="n">
        <v>0</v>
      </c>
      <c r="N398" t="n">
        <v>0</v>
      </c>
      <c r="O398" t="n">
        <v>0</v>
      </c>
      <c r="P398" t="n">
        <v>0</v>
      </c>
      <c r="Q398" t="n">
        <v>0</v>
      </c>
      <c r="R398" s="2" t="inlineStr"/>
    </row>
    <row r="399" ht="15" customHeight="1">
      <c r="A399" t="inlineStr">
        <is>
          <t>A 53927-2025</t>
        </is>
      </c>
      <c r="B399" s="1" t="n">
        <v>45961.46740740741</v>
      </c>
      <c r="C399" s="1" t="n">
        <v>46161</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30882-2025</t>
        </is>
      </c>
      <c r="B400" s="1" t="n">
        <v>45832.34540509259</v>
      </c>
      <c r="C400" s="1" t="n">
        <v>46161</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5527-2022</t>
        </is>
      </c>
      <c r="B401" s="1" t="n">
        <v>44595.583125</v>
      </c>
      <c r="C401" s="1" t="n">
        <v>46161</v>
      </c>
      <c r="D401" t="inlineStr">
        <is>
          <t>KALMAR LÄN</t>
        </is>
      </c>
      <c r="E401" t="inlineStr">
        <is>
          <t>VIMMERBY</t>
        </is>
      </c>
      <c r="G401" t="n">
        <v>3.6</v>
      </c>
      <c r="H401" t="n">
        <v>0</v>
      </c>
      <c r="I401" t="n">
        <v>0</v>
      </c>
      <c r="J401" t="n">
        <v>0</v>
      </c>
      <c r="K401" t="n">
        <v>0</v>
      </c>
      <c r="L401" t="n">
        <v>0</v>
      </c>
      <c r="M401" t="n">
        <v>0</v>
      </c>
      <c r="N401" t="n">
        <v>0</v>
      </c>
      <c r="O401" t="n">
        <v>0</v>
      </c>
      <c r="P401" t="n">
        <v>0</v>
      </c>
      <c r="Q401" t="n">
        <v>0</v>
      </c>
      <c r="R401" s="2" t="inlineStr"/>
    </row>
    <row r="402" ht="15" customHeight="1">
      <c r="A402" t="inlineStr">
        <is>
          <t>A 53789-2025</t>
        </is>
      </c>
      <c r="B402" s="1" t="n">
        <v>45960</v>
      </c>
      <c r="C402" s="1" t="n">
        <v>46161</v>
      </c>
      <c r="D402" t="inlineStr">
        <is>
          <t>KALMAR LÄN</t>
        </is>
      </c>
      <c r="E402" t="inlineStr">
        <is>
          <t>VIMMERBY</t>
        </is>
      </c>
      <c r="F402" t="inlineStr">
        <is>
          <t>Övriga statliga verk och myndigheter</t>
        </is>
      </c>
      <c r="G402" t="n">
        <v>1.6</v>
      </c>
      <c r="H402" t="n">
        <v>0</v>
      </c>
      <c r="I402" t="n">
        <v>0</v>
      </c>
      <c r="J402" t="n">
        <v>0</v>
      </c>
      <c r="K402" t="n">
        <v>0</v>
      </c>
      <c r="L402" t="n">
        <v>0</v>
      </c>
      <c r="M402" t="n">
        <v>0</v>
      </c>
      <c r="N402" t="n">
        <v>0</v>
      </c>
      <c r="O402" t="n">
        <v>0</v>
      </c>
      <c r="P402" t="n">
        <v>0</v>
      </c>
      <c r="Q402" t="n">
        <v>0</v>
      </c>
      <c r="R402" s="2" t="inlineStr"/>
    </row>
    <row r="403" ht="15" customHeight="1">
      <c r="A403" t="inlineStr">
        <is>
          <t>A 53923-2025</t>
        </is>
      </c>
      <c r="B403" s="1" t="n">
        <v>45961.4569212963</v>
      </c>
      <c r="C403" s="1" t="n">
        <v>46161</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45854-2025</t>
        </is>
      </c>
      <c r="B404" s="1" t="n">
        <v>45923</v>
      </c>
      <c r="C404" s="1" t="n">
        <v>46161</v>
      </c>
      <c r="D404" t="inlineStr">
        <is>
          <t>KALMAR LÄN</t>
        </is>
      </c>
      <c r="E404" t="inlineStr">
        <is>
          <t>VIMMERBY</t>
        </is>
      </c>
      <c r="G404" t="n">
        <v>2.2</v>
      </c>
      <c r="H404" t="n">
        <v>0</v>
      </c>
      <c r="I404" t="n">
        <v>0</v>
      </c>
      <c r="J404" t="n">
        <v>0</v>
      </c>
      <c r="K404" t="n">
        <v>0</v>
      </c>
      <c r="L404" t="n">
        <v>0</v>
      </c>
      <c r="M404" t="n">
        <v>0</v>
      </c>
      <c r="N404" t="n">
        <v>0</v>
      </c>
      <c r="O404" t="n">
        <v>0</v>
      </c>
      <c r="P404" t="n">
        <v>0</v>
      </c>
      <c r="Q404" t="n">
        <v>0</v>
      </c>
      <c r="R404" s="2" t="inlineStr"/>
    </row>
    <row r="405" ht="15" customHeight="1">
      <c r="A405" t="inlineStr">
        <is>
          <t>A 45855-2025</t>
        </is>
      </c>
      <c r="B405" s="1" t="n">
        <v>45923</v>
      </c>
      <c r="C405" s="1" t="n">
        <v>46161</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12325-2023</t>
        </is>
      </c>
      <c r="B406" s="1" t="n">
        <v>44999.35858796296</v>
      </c>
      <c r="C406" s="1" t="n">
        <v>46161</v>
      </c>
      <c r="D406" t="inlineStr">
        <is>
          <t>KALMAR LÄN</t>
        </is>
      </c>
      <c r="E406" t="inlineStr">
        <is>
          <t>VIMMERBY</t>
        </is>
      </c>
      <c r="G406" t="n">
        <v>3.4</v>
      </c>
      <c r="H406" t="n">
        <v>0</v>
      </c>
      <c r="I406" t="n">
        <v>0</v>
      </c>
      <c r="J406" t="n">
        <v>0</v>
      </c>
      <c r="K406" t="n">
        <v>0</v>
      </c>
      <c r="L406" t="n">
        <v>0</v>
      </c>
      <c r="M406" t="n">
        <v>0</v>
      </c>
      <c r="N406" t="n">
        <v>0</v>
      </c>
      <c r="O406" t="n">
        <v>0</v>
      </c>
      <c r="P406" t="n">
        <v>0</v>
      </c>
      <c r="Q406" t="n">
        <v>0</v>
      </c>
      <c r="R406" s="2" t="inlineStr"/>
    </row>
    <row r="407" ht="15" customHeight="1">
      <c r="A407" t="inlineStr">
        <is>
          <t>A 31872-2025</t>
        </is>
      </c>
      <c r="B407" s="1" t="n">
        <v>45834.65040509259</v>
      </c>
      <c r="C407" s="1" t="n">
        <v>46161</v>
      </c>
      <c r="D407" t="inlineStr">
        <is>
          <t>KALMAR LÄN</t>
        </is>
      </c>
      <c r="E407" t="inlineStr">
        <is>
          <t>VIMMERBY</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1016-2024</t>
        </is>
      </c>
      <c r="B408" s="1" t="n">
        <v>45301</v>
      </c>
      <c r="C408" s="1" t="n">
        <v>46161</v>
      </c>
      <c r="D408" t="inlineStr">
        <is>
          <t>KALMAR LÄN</t>
        </is>
      </c>
      <c r="E408" t="inlineStr">
        <is>
          <t>VIMMERBY</t>
        </is>
      </c>
      <c r="G408" t="n">
        <v>1</v>
      </c>
      <c r="H408" t="n">
        <v>0</v>
      </c>
      <c r="I408" t="n">
        <v>0</v>
      </c>
      <c r="J408" t="n">
        <v>0</v>
      </c>
      <c r="K408" t="n">
        <v>0</v>
      </c>
      <c r="L408" t="n">
        <v>0</v>
      </c>
      <c r="M408" t="n">
        <v>0</v>
      </c>
      <c r="N408" t="n">
        <v>0</v>
      </c>
      <c r="O408" t="n">
        <v>0</v>
      </c>
      <c r="P408" t="n">
        <v>0</v>
      </c>
      <c r="Q408" t="n">
        <v>0</v>
      </c>
      <c r="R408" s="2" t="inlineStr"/>
    </row>
    <row r="409" ht="15" customHeight="1">
      <c r="A409" t="inlineStr">
        <is>
          <t>A 8559-2025</t>
        </is>
      </c>
      <c r="B409" s="1" t="n">
        <v>45709.62280092593</v>
      </c>
      <c r="C409" s="1" t="n">
        <v>46161</v>
      </c>
      <c r="D409" t="inlineStr">
        <is>
          <t>KALMAR LÄN</t>
        </is>
      </c>
      <c r="E409" t="inlineStr">
        <is>
          <t>VIMMERBY</t>
        </is>
      </c>
      <c r="G409" t="n">
        <v>8.9</v>
      </c>
      <c r="H409" t="n">
        <v>0</v>
      </c>
      <c r="I409" t="n">
        <v>0</v>
      </c>
      <c r="J409" t="n">
        <v>0</v>
      </c>
      <c r="K409" t="n">
        <v>0</v>
      </c>
      <c r="L409" t="n">
        <v>0</v>
      </c>
      <c r="M409" t="n">
        <v>0</v>
      </c>
      <c r="N409" t="n">
        <v>0</v>
      </c>
      <c r="O409" t="n">
        <v>0</v>
      </c>
      <c r="P409" t="n">
        <v>0</v>
      </c>
      <c r="Q409" t="n">
        <v>0</v>
      </c>
      <c r="R409" s="2" t="inlineStr"/>
    </row>
    <row r="410" ht="15" customHeight="1">
      <c r="A410" t="inlineStr">
        <is>
          <t>A 32064-2025</t>
        </is>
      </c>
      <c r="B410" s="1" t="n">
        <v>45835.44709490741</v>
      </c>
      <c r="C410" s="1" t="n">
        <v>46161</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32109-2025</t>
        </is>
      </c>
      <c r="B411" s="1" t="n">
        <v>45835.48267361111</v>
      </c>
      <c r="C411" s="1" t="n">
        <v>46161</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32113-2025</t>
        </is>
      </c>
      <c r="B412" s="1" t="n">
        <v>45835.48445601852</v>
      </c>
      <c r="C412" s="1" t="n">
        <v>46161</v>
      </c>
      <c r="D412" t="inlineStr">
        <is>
          <t>KALMAR LÄN</t>
        </is>
      </c>
      <c r="E412" t="inlineStr">
        <is>
          <t>VIMMERBY</t>
        </is>
      </c>
      <c r="G412" t="n">
        <v>3.5</v>
      </c>
      <c r="H412" t="n">
        <v>0</v>
      </c>
      <c r="I412" t="n">
        <v>0</v>
      </c>
      <c r="J412" t="n">
        <v>0</v>
      </c>
      <c r="K412" t="n">
        <v>0</v>
      </c>
      <c r="L412" t="n">
        <v>0</v>
      </c>
      <c r="M412" t="n">
        <v>0</v>
      </c>
      <c r="N412" t="n">
        <v>0</v>
      </c>
      <c r="O412" t="n">
        <v>0</v>
      </c>
      <c r="P412" t="n">
        <v>0</v>
      </c>
      <c r="Q412" t="n">
        <v>0</v>
      </c>
      <c r="R412" s="2" t="inlineStr"/>
    </row>
    <row r="413" ht="15" customHeight="1">
      <c r="A413" t="inlineStr">
        <is>
          <t>A 32116-2025</t>
        </is>
      </c>
      <c r="B413" s="1" t="n">
        <v>45835.48862268519</v>
      </c>
      <c r="C413" s="1" t="n">
        <v>46161</v>
      </c>
      <c r="D413" t="inlineStr">
        <is>
          <t>KALMAR LÄN</t>
        </is>
      </c>
      <c r="E413" t="inlineStr">
        <is>
          <t>VIMMERBY</t>
        </is>
      </c>
      <c r="G413" t="n">
        <v>0.9</v>
      </c>
      <c r="H413" t="n">
        <v>0</v>
      </c>
      <c r="I413" t="n">
        <v>0</v>
      </c>
      <c r="J413" t="n">
        <v>0</v>
      </c>
      <c r="K413" t="n">
        <v>0</v>
      </c>
      <c r="L413" t="n">
        <v>0</v>
      </c>
      <c r="M413" t="n">
        <v>0</v>
      </c>
      <c r="N413" t="n">
        <v>0</v>
      </c>
      <c r="O413" t="n">
        <v>0</v>
      </c>
      <c r="P413" t="n">
        <v>0</v>
      </c>
      <c r="Q413" t="n">
        <v>0</v>
      </c>
      <c r="R413" s="2" t="inlineStr"/>
    </row>
    <row r="414" ht="15" customHeight="1">
      <c r="A414" t="inlineStr">
        <is>
          <t>A 31870-2025</t>
        </is>
      </c>
      <c r="B414" s="1" t="n">
        <v>45834.64667824074</v>
      </c>
      <c r="C414" s="1" t="n">
        <v>46161</v>
      </c>
      <c r="D414" t="inlineStr">
        <is>
          <t>KALMAR LÄN</t>
        </is>
      </c>
      <c r="E414" t="inlineStr">
        <is>
          <t>VIMMERBY</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32065-2025</t>
        </is>
      </c>
      <c r="B415" s="1" t="n">
        <v>45835.44732638889</v>
      </c>
      <c r="C415" s="1" t="n">
        <v>46161</v>
      </c>
      <c r="D415" t="inlineStr">
        <is>
          <t>KALMAR LÄN</t>
        </is>
      </c>
      <c r="E415" t="inlineStr">
        <is>
          <t>VIMMERBY</t>
        </is>
      </c>
      <c r="G415" t="n">
        <v>1</v>
      </c>
      <c r="H415" t="n">
        <v>0</v>
      </c>
      <c r="I415" t="n">
        <v>0</v>
      </c>
      <c r="J415" t="n">
        <v>0</v>
      </c>
      <c r="K415" t="n">
        <v>0</v>
      </c>
      <c r="L415" t="n">
        <v>0</v>
      </c>
      <c r="M415" t="n">
        <v>0</v>
      </c>
      <c r="N415" t="n">
        <v>0</v>
      </c>
      <c r="O415" t="n">
        <v>0</v>
      </c>
      <c r="P415" t="n">
        <v>0</v>
      </c>
      <c r="Q415" t="n">
        <v>0</v>
      </c>
      <c r="R415" s="2" t="inlineStr"/>
    </row>
    <row r="416" ht="15" customHeight="1">
      <c r="A416" t="inlineStr">
        <is>
          <t>A 33681-2022</t>
        </is>
      </c>
      <c r="B416" s="1" t="n">
        <v>44789</v>
      </c>
      <c r="C416" s="1" t="n">
        <v>46161</v>
      </c>
      <c r="D416" t="inlineStr">
        <is>
          <t>KALMAR LÄN</t>
        </is>
      </c>
      <c r="E416" t="inlineStr">
        <is>
          <t>VIMMERBY</t>
        </is>
      </c>
      <c r="G416" t="n">
        <v>3.2</v>
      </c>
      <c r="H416" t="n">
        <v>0</v>
      </c>
      <c r="I416" t="n">
        <v>0</v>
      </c>
      <c r="J416" t="n">
        <v>0</v>
      </c>
      <c r="K416" t="n">
        <v>0</v>
      </c>
      <c r="L416" t="n">
        <v>0</v>
      </c>
      <c r="M416" t="n">
        <v>0</v>
      </c>
      <c r="N416" t="n">
        <v>0</v>
      </c>
      <c r="O416" t="n">
        <v>0</v>
      </c>
      <c r="P416" t="n">
        <v>0</v>
      </c>
      <c r="Q416" t="n">
        <v>0</v>
      </c>
      <c r="R416" s="2" t="inlineStr"/>
    </row>
    <row r="417" ht="15" customHeight="1">
      <c r="A417" t="inlineStr">
        <is>
          <t>A 53933-2025</t>
        </is>
      </c>
      <c r="B417" s="1" t="n">
        <v>45961.47650462963</v>
      </c>
      <c r="C417" s="1" t="n">
        <v>46161</v>
      </c>
      <c r="D417" t="inlineStr">
        <is>
          <t>KALMAR LÄN</t>
        </is>
      </c>
      <c r="E417" t="inlineStr">
        <is>
          <t>VIMMERBY</t>
        </is>
      </c>
      <c r="G417" t="n">
        <v>0.9</v>
      </c>
      <c r="H417" t="n">
        <v>0</v>
      </c>
      <c r="I417" t="n">
        <v>0</v>
      </c>
      <c r="J417" t="n">
        <v>0</v>
      </c>
      <c r="K417" t="n">
        <v>0</v>
      </c>
      <c r="L417" t="n">
        <v>0</v>
      </c>
      <c r="M417" t="n">
        <v>0</v>
      </c>
      <c r="N417" t="n">
        <v>0</v>
      </c>
      <c r="O417" t="n">
        <v>0</v>
      </c>
      <c r="P417" t="n">
        <v>0</v>
      </c>
      <c r="Q417" t="n">
        <v>0</v>
      </c>
      <c r="R417" s="2" t="inlineStr"/>
    </row>
    <row r="418" ht="15" customHeight="1">
      <c r="A418" t="inlineStr">
        <is>
          <t>A 31987-2025</t>
        </is>
      </c>
      <c r="B418" s="1" t="n">
        <v>45835.36229166666</v>
      </c>
      <c r="C418" s="1" t="n">
        <v>46161</v>
      </c>
      <c r="D418" t="inlineStr">
        <is>
          <t>KALMAR LÄN</t>
        </is>
      </c>
      <c r="E418" t="inlineStr">
        <is>
          <t>VIMMERBY</t>
        </is>
      </c>
      <c r="F418" t="inlineStr">
        <is>
          <t>Kyrkan</t>
        </is>
      </c>
      <c r="G418" t="n">
        <v>1.2</v>
      </c>
      <c r="H418" t="n">
        <v>0</v>
      </c>
      <c r="I418" t="n">
        <v>0</v>
      </c>
      <c r="J418" t="n">
        <v>0</v>
      </c>
      <c r="K418" t="n">
        <v>0</v>
      </c>
      <c r="L418" t="n">
        <v>0</v>
      </c>
      <c r="M418" t="n">
        <v>0</v>
      </c>
      <c r="N418" t="n">
        <v>0</v>
      </c>
      <c r="O418" t="n">
        <v>0</v>
      </c>
      <c r="P418" t="n">
        <v>0</v>
      </c>
      <c r="Q418" t="n">
        <v>0</v>
      </c>
      <c r="R418" s="2" t="inlineStr"/>
    </row>
    <row r="419" ht="15" customHeight="1">
      <c r="A419" t="inlineStr">
        <is>
          <t>A 32077-2025</t>
        </is>
      </c>
      <c r="B419" s="1" t="n">
        <v>45835.45099537037</v>
      </c>
      <c r="C419" s="1" t="n">
        <v>46161</v>
      </c>
      <c r="D419" t="inlineStr">
        <is>
          <t>KALMAR LÄN</t>
        </is>
      </c>
      <c r="E419" t="inlineStr">
        <is>
          <t>VIMMERBY</t>
        </is>
      </c>
      <c r="G419" t="n">
        <v>1.8</v>
      </c>
      <c r="H419" t="n">
        <v>0</v>
      </c>
      <c r="I419" t="n">
        <v>0</v>
      </c>
      <c r="J419" t="n">
        <v>0</v>
      </c>
      <c r="K419" t="n">
        <v>0</v>
      </c>
      <c r="L419" t="n">
        <v>0</v>
      </c>
      <c r="M419" t="n">
        <v>0</v>
      </c>
      <c r="N419" t="n">
        <v>0</v>
      </c>
      <c r="O419" t="n">
        <v>0</v>
      </c>
      <c r="P419" t="n">
        <v>0</v>
      </c>
      <c r="Q419" t="n">
        <v>0</v>
      </c>
      <c r="R419" s="2" t="inlineStr"/>
    </row>
    <row r="420" ht="15" customHeight="1">
      <c r="A420" t="inlineStr">
        <is>
          <t>A 32120-2025</t>
        </is>
      </c>
      <c r="B420" s="1" t="n">
        <v>45835.4924537037</v>
      </c>
      <c r="C420" s="1" t="n">
        <v>46161</v>
      </c>
      <c r="D420" t="inlineStr">
        <is>
          <t>KALMAR LÄN</t>
        </is>
      </c>
      <c r="E420" t="inlineStr">
        <is>
          <t>VIMMERBY</t>
        </is>
      </c>
      <c r="G420" t="n">
        <v>0.8</v>
      </c>
      <c r="H420" t="n">
        <v>0</v>
      </c>
      <c r="I420" t="n">
        <v>0</v>
      </c>
      <c r="J420" t="n">
        <v>0</v>
      </c>
      <c r="K420" t="n">
        <v>0</v>
      </c>
      <c r="L420" t="n">
        <v>0</v>
      </c>
      <c r="M420" t="n">
        <v>0</v>
      </c>
      <c r="N420" t="n">
        <v>0</v>
      </c>
      <c r="O420" t="n">
        <v>0</v>
      </c>
      <c r="P420" t="n">
        <v>0</v>
      </c>
      <c r="Q420" t="n">
        <v>0</v>
      </c>
      <c r="R420" s="2" t="inlineStr"/>
    </row>
    <row r="421" ht="15" customHeight="1">
      <c r="A421" t="inlineStr">
        <is>
          <t>A 31876-2025</t>
        </is>
      </c>
      <c r="B421" s="1" t="n">
        <v>45834.65197916667</v>
      </c>
      <c r="C421" s="1" t="n">
        <v>46161</v>
      </c>
      <c r="D421" t="inlineStr">
        <is>
          <t>KALMAR LÄN</t>
        </is>
      </c>
      <c r="E421" t="inlineStr">
        <is>
          <t>VIMMERBY</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47227-2025</t>
        </is>
      </c>
      <c r="B422" s="1" t="n">
        <v>45930.39769675926</v>
      </c>
      <c r="C422" s="1" t="n">
        <v>46161</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5074-2023</t>
        </is>
      </c>
      <c r="B423" s="1" t="n">
        <v>44958.61047453704</v>
      </c>
      <c r="C423" s="1" t="n">
        <v>46161</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51187-2023</t>
        </is>
      </c>
      <c r="B424" s="1" t="n">
        <v>45219.40528935185</v>
      </c>
      <c r="C424" s="1" t="n">
        <v>46161</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53788-2025</t>
        </is>
      </c>
      <c r="B425" s="1" t="n">
        <v>45960</v>
      </c>
      <c r="C425" s="1" t="n">
        <v>46161</v>
      </c>
      <c r="D425" t="inlineStr">
        <is>
          <t>KALMAR LÄN</t>
        </is>
      </c>
      <c r="E425" t="inlineStr">
        <is>
          <t>VIMMERBY</t>
        </is>
      </c>
      <c r="F425" t="inlineStr">
        <is>
          <t>Övriga statliga verk och myndigheter</t>
        </is>
      </c>
      <c r="G425" t="n">
        <v>6.3</v>
      </c>
      <c r="H425" t="n">
        <v>0</v>
      </c>
      <c r="I425" t="n">
        <v>0</v>
      </c>
      <c r="J425" t="n">
        <v>0</v>
      </c>
      <c r="K425" t="n">
        <v>0</v>
      </c>
      <c r="L425" t="n">
        <v>0</v>
      </c>
      <c r="M425" t="n">
        <v>0</v>
      </c>
      <c r="N425" t="n">
        <v>0</v>
      </c>
      <c r="O425" t="n">
        <v>0</v>
      </c>
      <c r="P425" t="n">
        <v>0</v>
      </c>
      <c r="Q425" t="n">
        <v>0</v>
      </c>
      <c r="R425" s="2" t="inlineStr"/>
    </row>
    <row r="426" ht="15" customHeight="1">
      <c r="A426" t="inlineStr">
        <is>
          <t>A 15715-2022</t>
        </is>
      </c>
      <c r="B426" s="1" t="n">
        <v>44663</v>
      </c>
      <c r="C426" s="1" t="n">
        <v>46161</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43093-2024</t>
        </is>
      </c>
      <c r="B427" s="1" t="n">
        <v>45567</v>
      </c>
      <c r="C427" s="1" t="n">
        <v>46161</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56022-2024</t>
        </is>
      </c>
      <c r="B428" s="1" t="n">
        <v>45623.95947916667</v>
      </c>
      <c r="C428" s="1" t="n">
        <v>46161</v>
      </c>
      <c r="D428" t="inlineStr">
        <is>
          <t>KALMAR LÄN</t>
        </is>
      </c>
      <c r="E428" t="inlineStr">
        <is>
          <t>VIMMERBY</t>
        </is>
      </c>
      <c r="G428" t="n">
        <v>0.3</v>
      </c>
      <c r="H428" t="n">
        <v>0</v>
      </c>
      <c r="I428" t="n">
        <v>0</v>
      </c>
      <c r="J428" t="n">
        <v>0</v>
      </c>
      <c r="K428" t="n">
        <v>0</v>
      </c>
      <c r="L428" t="n">
        <v>0</v>
      </c>
      <c r="M428" t="n">
        <v>0</v>
      </c>
      <c r="N428" t="n">
        <v>0</v>
      </c>
      <c r="O428" t="n">
        <v>0</v>
      </c>
      <c r="P428" t="n">
        <v>0</v>
      </c>
      <c r="Q428" t="n">
        <v>0</v>
      </c>
      <c r="R428" s="2" t="inlineStr"/>
    </row>
    <row r="429" ht="15" customHeight="1">
      <c r="A429" t="inlineStr">
        <is>
          <t>A 32380-2025</t>
        </is>
      </c>
      <c r="B429" s="1" t="n">
        <v>45837.77701388889</v>
      </c>
      <c r="C429" s="1" t="n">
        <v>46161</v>
      </c>
      <c r="D429" t="inlineStr">
        <is>
          <t>KALMAR LÄN</t>
        </is>
      </c>
      <c r="E429" t="inlineStr">
        <is>
          <t>VIMMERBY</t>
        </is>
      </c>
      <c r="G429" t="n">
        <v>3.1</v>
      </c>
      <c r="H429" t="n">
        <v>0</v>
      </c>
      <c r="I429" t="n">
        <v>0</v>
      </c>
      <c r="J429" t="n">
        <v>0</v>
      </c>
      <c r="K429" t="n">
        <v>0</v>
      </c>
      <c r="L429" t="n">
        <v>0</v>
      </c>
      <c r="M429" t="n">
        <v>0</v>
      </c>
      <c r="N429" t="n">
        <v>0</v>
      </c>
      <c r="O429" t="n">
        <v>0</v>
      </c>
      <c r="P429" t="n">
        <v>0</v>
      </c>
      <c r="Q429" t="n">
        <v>0</v>
      </c>
      <c r="R429" s="2" t="inlineStr"/>
    </row>
    <row r="430" ht="15" customHeight="1">
      <c r="A430" t="inlineStr">
        <is>
          <t>A 18330-2023</t>
        </is>
      </c>
      <c r="B430" s="1" t="n">
        <v>45041</v>
      </c>
      <c r="C430" s="1" t="n">
        <v>46161</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33186-2025</t>
        </is>
      </c>
      <c r="B431" s="1" t="n">
        <v>45840.59474537037</v>
      </c>
      <c r="C431" s="1" t="n">
        <v>46161</v>
      </c>
      <c r="D431" t="inlineStr">
        <is>
          <t>KALMAR LÄN</t>
        </is>
      </c>
      <c r="E431" t="inlineStr">
        <is>
          <t>VIMMERBY</t>
        </is>
      </c>
      <c r="G431" t="n">
        <v>2.6</v>
      </c>
      <c r="H431" t="n">
        <v>0</v>
      </c>
      <c r="I431" t="n">
        <v>0</v>
      </c>
      <c r="J431" t="n">
        <v>0</v>
      </c>
      <c r="K431" t="n">
        <v>0</v>
      </c>
      <c r="L431" t="n">
        <v>0</v>
      </c>
      <c r="M431" t="n">
        <v>0</v>
      </c>
      <c r="N431" t="n">
        <v>0</v>
      </c>
      <c r="O431" t="n">
        <v>0</v>
      </c>
      <c r="P431" t="n">
        <v>0</v>
      </c>
      <c r="Q431" t="n">
        <v>0</v>
      </c>
      <c r="R431" s="2" t="inlineStr"/>
    </row>
    <row r="432" ht="15" customHeight="1">
      <c r="A432" t="inlineStr">
        <is>
          <t>A 54236-2025</t>
        </is>
      </c>
      <c r="B432" s="1" t="n">
        <v>45964.62671296296</v>
      </c>
      <c r="C432" s="1" t="n">
        <v>46161</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33695-2025</t>
        </is>
      </c>
      <c r="B433" s="1" t="n">
        <v>45841.70569444444</v>
      </c>
      <c r="C433" s="1" t="n">
        <v>46161</v>
      </c>
      <c r="D433" t="inlineStr">
        <is>
          <t>KALMAR LÄN</t>
        </is>
      </c>
      <c r="E433" t="inlineStr">
        <is>
          <t>VIMMERBY</t>
        </is>
      </c>
      <c r="G433" t="n">
        <v>2.7</v>
      </c>
      <c r="H433" t="n">
        <v>0</v>
      </c>
      <c r="I433" t="n">
        <v>0</v>
      </c>
      <c r="J433" t="n">
        <v>0</v>
      </c>
      <c r="K433" t="n">
        <v>0</v>
      </c>
      <c r="L433" t="n">
        <v>0</v>
      </c>
      <c r="M433" t="n">
        <v>0</v>
      </c>
      <c r="N433" t="n">
        <v>0</v>
      </c>
      <c r="O433" t="n">
        <v>0</v>
      </c>
      <c r="P433" t="n">
        <v>0</v>
      </c>
      <c r="Q433" t="n">
        <v>0</v>
      </c>
      <c r="R433" s="2" t="inlineStr"/>
    </row>
    <row r="434" ht="15" customHeight="1">
      <c r="A434" t="inlineStr">
        <is>
          <t>A 33698-2025</t>
        </is>
      </c>
      <c r="B434" s="1" t="n">
        <v>45841.70868055556</v>
      </c>
      <c r="C434" s="1" t="n">
        <v>46161</v>
      </c>
      <c r="D434" t="inlineStr">
        <is>
          <t>KALMAR LÄN</t>
        </is>
      </c>
      <c r="E434" t="inlineStr">
        <is>
          <t>VIMMERBY</t>
        </is>
      </c>
      <c r="G434" t="n">
        <v>3.7</v>
      </c>
      <c r="H434" t="n">
        <v>0</v>
      </c>
      <c r="I434" t="n">
        <v>0</v>
      </c>
      <c r="J434" t="n">
        <v>0</v>
      </c>
      <c r="K434" t="n">
        <v>0</v>
      </c>
      <c r="L434" t="n">
        <v>0</v>
      </c>
      <c r="M434" t="n">
        <v>0</v>
      </c>
      <c r="N434" t="n">
        <v>0</v>
      </c>
      <c r="O434" t="n">
        <v>0</v>
      </c>
      <c r="P434" t="n">
        <v>0</v>
      </c>
      <c r="Q434" t="n">
        <v>0</v>
      </c>
      <c r="R434" s="2" t="inlineStr"/>
    </row>
    <row r="435" ht="15" customHeight="1">
      <c r="A435" t="inlineStr">
        <is>
          <t>A 20126-2024</t>
        </is>
      </c>
      <c r="B435" s="1" t="n">
        <v>45434.55471064815</v>
      </c>
      <c r="C435" s="1" t="n">
        <v>46161</v>
      </c>
      <c r="D435" t="inlineStr">
        <is>
          <t>KALMAR LÄN</t>
        </is>
      </c>
      <c r="E435" t="inlineStr">
        <is>
          <t>VIMMERBY</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20136-2024</t>
        </is>
      </c>
      <c r="B436" s="1" t="n">
        <v>45434.56291666667</v>
      </c>
      <c r="C436" s="1" t="n">
        <v>46161</v>
      </c>
      <c r="D436" t="inlineStr">
        <is>
          <t>KALMAR LÄN</t>
        </is>
      </c>
      <c r="E436" t="inlineStr">
        <is>
          <t>VIMMERBY</t>
        </is>
      </c>
      <c r="F436" t="inlineStr">
        <is>
          <t>Sveaskog</t>
        </is>
      </c>
      <c r="G436" t="n">
        <v>8.4</v>
      </c>
      <c r="H436" t="n">
        <v>0</v>
      </c>
      <c r="I436" t="n">
        <v>0</v>
      </c>
      <c r="J436" t="n">
        <v>0</v>
      </c>
      <c r="K436" t="n">
        <v>0</v>
      </c>
      <c r="L436" t="n">
        <v>0</v>
      </c>
      <c r="M436" t="n">
        <v>0</v>
      </c>
      <c r="N436" t="n">
        <v>0</v>
      </c>
      <c r="O436" t="n">
        <v>0</v>
      </c>
      <c r="P436" t="n">
        <v>0</v>
      </c>
      <c r="Q436" t="n">
        <v>0</v>
      </c>
      <c r="R436" s="2" t="inlineStr"/>
    </row>
    <row r="437" ht="15" customHeight="1">
      <c r="A437" t="inlineStr">
        <is>
          <t>A 30977-2025</t>
        </is>
      </c>
      <c r="B437" s="1" t="n">
        <v>45832.46649305556</v>
      </c>
      <c r="C437" s="1" t="n">
        <v>46161</v>
      </c>
      <c r="D437" t="inlineStr">
        <is>
          <t>KALMAR LÄN</t>
        </is>
      </c>
      <c r="E437" t="inlineStr">
        <is>
          <t>VIMMERBY</t>
        </is>
      </c>
      <c r="G437" t="n">
        <v>0.6</v>
      </c>
      <c r="H437" t="n">
        <v>0</v>
      </c>
      <c r="I437" t="n">
        <v>0</v>
      </c>
      <c r="J437" t="n">
        <v>0</v>
      </c>
      <c r="K437" t="n">
        <v>0</v>
      </c>
      <c r="L437" t="n">
        <v>0</v>
      </c>
      <c r="M437" t="n">
        <v>0</v>
      </c>
      <c r="N437" t="n">
        <v>0</v>
      </c>
      <c r="O437" t="n">
        <v>0</v>
      </c>
      <c r="P437" t="n">
        <v>0</v>
      </c>
      <c r="Q437" t="n">
        <v>0</v>
      </c>
      <c r="R437" s="2" t="inlineStr"/>
    </row>
    <row r="438" ht="15" customHeight="1">
      <c r="A438" t="inlineStr">
        <is>
          <t>A 33696-2025</t>
        </is>
      </c>
      <c r="B438" s="1" t="n">
        <v>45841.7072337963</v>
      </c>
      <c r="C438" s="1" t="n">
        <v>46161</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46921-2023</t>
        </is>
      </c>
      <c r="B439" s="1" t="n">
        <v>45201.39996527778</v>
      </c>
      <c r="C439" s="1" t="n">
        <v>46161</v>
      </c>
      <c r="D439" t="inlineStr">
        <is>
          <t>KALMAR LÄN</t>
        </is>
      </c>
      <c r="E439" t="inlineStr">
        <is>
          <t>VIMMERBY</t>
        </is>
      </c>
      <c r="G439" t="n">
        <v>2.6</v>
      </c>
      <c r="H439" t="n">
        <v>0</v>
      </c>
      <c r="I439" t="n">
        <v>0</v>
      </c>
      <c r="J439" t="n">
        <v>0</v>
      </c>
      <c r="K439" t="n">
        <v>0</v>
      </c>
      <c r="L439" t="n">
        <v>0</v>
      </c>
      <c r="M439" t="n">
        <v>0</v>
      </c>
      <c r="N439" t="n">
        <v>0</v>
      </c>
      <c r="O439" t="n">
        <v>0</v>
      </c>
      <c r="P439" t="n">
        <v>0</v>
      </c>
      <c r="Q439" t="n">
        <v>0</v>
      </c>
      <c r="R439" s="2" t="inlineStr"/>
    </row>
    <row r="440" ht="15" customHeight="1">
      <c r="A440" t="inlineStr">
        <is>
          <t>A 25236-2023</t>
        </is>
      </c>
      <c r="B440" s="1" t="n">
        <v>45086.63334490741</v>
      </c>
      <c r="C440" s="1" t="n">
        <v>46161</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26956-2025</t>
        </is>
      </c>
      <c r="B441" s="1" t="n">
        <v>45811.45460648148</v>
      </c>
      <c r="C441" s="1" t="n">
        <v>46161</v>
      </c>
      <c r="D441" t="inlineStr">
        <is>
          <t>KALMAR LÄN</t>
        </is>
      </c>
      <c r="E441" t="inlineStr">
        <is>
          <t>VIMMERBY</t>
        </is>
      </c>
      <c r="G441" t="n">
        <v>1.1</v>
      </c>
      <c r="H441" t="n">
        <v>0</v>
      </c>
      <c r="I441" t="n">
        <v>0</v>
      </c>
      <c r="J441" t="n">
        <v>0</v>
      </c>
      <c r="K441" t="n">
        <v>0</v>
      </c>
      <c r="L441" t="n">
        <v>0</v>
      </c>
      <c r="M441" t="n">
        <v>0</v>
      </c>
      <c r="N441" t="n">
        <v>0</v>
      </c>
      <c r="O441" t="n">
        <v>0</v>
      </c>
      <c r="P441" t="n">
        <v>0</v>
      </c>
      <c r="Q441" t="n">
        <v>0</v>
      </c>
      <c r="R441" s="2" t="inlineStr"/>
    </row>
    <row r="442" ht="15" customHeight="1">
      <c r="A442" t="inlineStr">
        <is>
          <t>A 54234-2025</t>
        </is>
      </c>
      <c r="B442" s="1" t="n">
        <v>45964.62486111111</v>
      </c>
      <c r="C442" s="1" t="n">
        <v>46161</v>
      </c>
      <c r="D442" t="inlineStr">
        <is>
          <t>KALMAR LÄN</t>
        </is>
      </c>
      <c r="E442" t="inlineStr">
        <is>
          <t>VIMMERBY</t>
        </is>
      </c>
      <c r="G442" t="n">
        <v>4.1</v>
      </c>
      <c r="H442" t="n">
        <v>0</v>
      </c>
      <c r="I442" t="n">
        <v>0</v>
      </c>
      <c r="J442" t="n">
        <v>0</v>
      </c>
      <c r="K442" t="n">
        <v>0</v>
      </c>
      <c r="L442" t="n">
        <v>0</v>
      </c>
      <c r="M442" t="n">
        <v>0</v>
      </c>
      <c r="N442" t="n">
        <v>0</v>
      </c>
      <c r="O442" t="n">
        <v>0</v>
      </c>
      <c r="P442" t="n">
        <v>0</v>
      </c>
      <c r="Q442" t="n">
        <v>0</v>
      </c>
      <c r="R442" s="2" t="inlineStr"/>
    </row>
    <row r="443" ht="15" customHeight="1">
      <c r="A443" t="inlineStr">
        <is>
          <t>A 6082-2022</t>
        </is>
      </c>
      <c r="B443" s="1" t="n">
        <v>44599</v>
      </c>
      <c r="C443" s="1" t="n">
        <v>46161</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2801-2023</t>
        </is>
      </c>
      <c r="B444" s="1" t="n">
        <v>44944.73487268519</v>
      </c>
      <c r="C444" s="1" t="n">
        <v>46161</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5146-2024</t>
        </is>
      </c>
      <c r="B445" s="1" t="n">
        <v>45330</v>
      </c>
      <c r="C445" s="1" t="n">
        <v>46161</v>
      </c>
      <c r="D445" t="inlineStr">
        <is>
          <t>KALMAR LÄN</t>
        </is>
      </c>
      <c r="E445" t="inlineStr">
        <is>
          <t>VIMMERBY</t>
        </is>
      </c>
      <c r="G445" t="n">
        <v>5.3</v>
      </c>
      <c r="H445" t="n">
        <v>0</v>
      </c>
      <c r="I445" t="n">
        <v>0</v>
      </c>
      <c r="J445" t="n">
        <v>0</v>
      </c>
      <c r="K445" t="n">
        <v>0</v>
      </c>
      <c r="L445" t="n">
        <v>0</v>
      </c>
      <c r="M445" t="n">
        <v>0</v>
      </c>
      <c r="N445" t="n">
        <v>0</v>
      </c>
      <c r="O445" t="n">
        <v>0</v>
      </c>
      <c r="P445" t="n">
        <v>0</v>
      </c>
      <c r="Q445" t="n">
        <v>0</v>
      </c>
      <c r="R445" s="2" t="inlineStr"/>
    </row>
    <row r="446" ht="15" customHeight="1">
      <c r="A446" t="inlineStr">
        <is>
          <t>A 5148-2024</t>
        </is>
      </c>
      <c r="B446" s="1" t="n">
        <v>45330</v>
      </c>
      <c r="C446" s="1" t="n">
        <v>46161</v>
      </c>
      <c r="D446" t="inlineStr">
        <is>
          <t>KALMAR LÄN</t>
        </is>
      </c>
      <c r="E446" t="inlineStr">
        <is>
          <t>VIMMERBY</t>
        </is>
      </c>
      <c r="G446" t="n">
        <v>5.6</v>
      </c>
      <c r="H446" t="n">
        <v>0</v>
      </c>
      <c r="I446" t="n">
        <v>0</v>
      </c>
      <c r="J446" t="n">
        <v>0</v>
      </c>
      <c r="K446" t="n">
        <v>0</v>
      </c>
      <c r="L446" t="n">
        <v>0</v>
      </c>
      <c r="M446" t="n">
        <v>0</v>
      </c>
      <c r="N446" t="n">
        <v>0</v>
      </c>
      <c r="O446" t="n">
        <v>0</v>
      </c>
      <c r="P446" t="n">
        <v>0</v>
      </c>
      <c r="Q446" t="n">
        <v>0</v>
      </c>
      <c r="R446" s="2" t="inlineStr"/>
    </row>
    <row r="447" ht="15" customHeight="1">
      <c r="A447" t="inlineStr">
        <is>
          <t>A 34071-2025</t>
        </is>
      </c>
      <c r="B447" s="1" t="n">
        <v>45845.43803240741</v>
      </c>
      <c r="C447" s="1" t="n">
        <v>46161</v>
      </c>
      <c r="D447" t="inlineStr">
        <is>
          <t>KALMAR LÄN</t>
        </is>
      </c>
      <c r="E447" t="inlineStr">
        <is>
          <t>VIMMERBY</t>
        </is>
      </c>
      <c r="G447" t="n">
        <v>6.8</v>
      </c>
      <c r="H447" t="n">
        <v>0</v>
      </c>
      <c r="I447" t="n">
        <v>0</v>
      </c>
      <c r="J447" t="n">
        <v>0</v>
      </c>
      <c r="K447" t="n">
        <v>0</v>
      </c>
      <c r="L447" t="n">
        <v>0</v>
      </c>
      <c r="M447" t="n">
        <v>0</v>
      </c>
      <c r="N447" t="n">
        <v>0</v>
      </c>
      <c r="O447" t="n">
        <v>0</v>
      </c>
      <c r="P447" t="n">
        <v>0</v>
      </c>
      <c r="Q447" t="n">
        <v>0</v>
      </c>
      <c r="R447" s="2" t="inlineStr"/>
    </row>
    <row r="448" ht="15" customHeight="1">
      <c r="A448" t="inlineStr">
        <is>
          <t>A 34106-2025</t>
        </is>
      </c>
      <c r="B448" s="1" t="n">
        <v>45845.49414351852</v>
      </c>
      <c r="C448" s="1" t="n">
        <v>46161</v>
      </c>
      <c r="D448" t="inlineStr">
        <is>
          <t>KALMAR LÄN</t>
        </is>
      </c>
      <c r="E448" t="inlineStr">
        <is>
          <t>VIMMERBY</t>
        </is>
      </c>
      <c r="G448" t="n">
        <v>6</v>
      </c>
      <c r="H448" t="n">
        <v>0</v>
      </c>
      <c r="I448" t="n">
        <v>0</v>
      </c>
      <c r="J448" t="n">
        <v>0</v>
      </c>
      <c r="K448" t="n">
        <v>0</v>
      </c>
      <c r="L448" t="n">
        <v>0</v>
      </c>
      <c r="M448" t="n">
        <v>0</v>
      </c>
      <c r="N448" t="n">
        <v>0</v>
      </c>
      <c r="O448" t="n">
        <v>0</v>
      </c>
      <c r="P448" t="n">
        <v>0</v>
      </c>
      <c r="Q448" t="n">
        <v>0</v>
      </c>
      <c r="R448" s="2" t="inlineStr"/>
    </row>
    <row r="449" ht="15" customHeight="1">
      <c r="A449" t="inlineStr">
        <is>
          <t>A 28702-2025</t>
        </is>
      </c>
      <c r="B449" s="1" t="n">
        <v>45820.03976851852</v>
      </c>
      <c r="C449" s="1" t="n">
        <v>46161</v>
      </c>
      <c r="D449" t="inlineStr">
        <is>
          <t>KALMAR LÄN</t>
        </is>
      </c>
      <c r="E449" t="inlineStr">
        <is>
          <t>VIMMERBY</t>
        </is>
      </c>
      <c r="G449" t="n">
        <v>2.1</v>
      </c>
      <c r="H449" t="n">
        <v>0</v>
      </c>
      <c r="I449" t="n">
        <v>0</v>
      </c>
      <c r="J449" t="n">
        <v>0</v>
      </c>
      <c r="K449" t="n">
        <v>0</v>
      </c>
      <c r="L449" t="n">
        <v>0</v>
      </c>
      <c r="M449" t="n">
        <v>0</v>
      </c>
      <c r="N449" t="n">
        <v>0</v>
      </c>
      <c r="O449" t="n">
        <v>0</v>
      </c>
      <c r="P449" t="n">
        <v>0</v>
      </c>
      <c r="Q449" t="n">
        <v>0</v>
      </c>
      <c r="R449" s="2" t="inlineStr"/>
    </row>
    <row r="450" ht="15" customHeight="1">
      <c r="A450" t="inlineStr">
        <is>
          <t>A 58278-2023</t>
        </is>
      </c>
      <c r="B450" s="1" t="n">
        <v>45250.5278587963</v>
      </c>
      <c r="C450" s="1" t="n">
        <v>46161</v>
      </c>
      <c r="D450" t="inlineStr">
        <is>
          <t>KALMAR LÄN</t>
        </is>
      </c>
      <c r="E450" t="inlineStr">
        <is>
          <t>VIMMERBY</t>
        </is>
      </c>
      <c r="G450" t="n">
        <v>1.8</v>
      </c>
      <c r="H450" t="n">
        <v>0</v>
      </c>
      <c r="I450" t="n">
        <v>0</v>
      </c>
      <c r="J450" t="n">
        <v>0</v>
      </c>
      <c r="K450" t="n">
        <v>0</v>
      </c>
      <c r="L450" t="n">
        <v>0</v>
      </c>
      <c r="M450" t="n">
        <v>0</v>
      </c>
      <c r="N450" t="n">
        <v>0</v>
      </c>
      <c r="O450" t="n">
        <v>0</v>
      </c>
      <c r="P450" t="n">
        <v>0</v>
      </c>
      <c r="Q450" t="n">
        <v>0</v>
      </c>
      <c r="R450" s="2" t="inlineStr"/>
    </row>
    <row r="451" ht="15" customHeight="1">
      <c r="A451" t="inlineStr">
        <is>
          <t>A 22266-2023</t>
        </is>
      </c>
      <c r="B451" s="1" t="n">
        <v>45070</v>
      </c>
      <c r="C451" s="1" t="n">
        <v>46161</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52588-2023</t>
        </is>
      </c>
      <c r="B452" s="1" t="n">
        <v>45225.60192129629</v>
      </c>
      <c r="C452" s="1" t="n">
        <v>46161</v>
      </c>
      <c r="D452" t="inlineStr">
        <is>
          <t>KALMAR LÄN</t>
        </is>
      </c>
      <c r="E452" t="inlineStr">
        <is>
          <t>VIMMERBY</t>
        </is>
      </c>
      <c r="G452" t="n">
        <v>2.9</v>
      </c>
      <c r="H452" t="n">
        <v>0</v>
      </c>
      <c r="I452" t="n">
        <v>0</v>
      </c>
      <c r="J452" t="n">
        <v>0</v>
      </c>
      <c r="K452" t="n">
        <v>0</v>
      </c>
      <c r="L452" t="n">
        <v>0</v>
      </c>
      <c r="M452" t="n">
        <v>0</v>
      </c>
      <c r="N452" t="n">
        <v>0</v>
      </c>
      <c r="O452" t="n">
        <v>0</v>
      </c>
      <c r="P452" t="n">
        <v>0</v>
      </c>
      <c r="Q452" t="n">
        <v>0</v>
      </c>
      <c r="R452" s="2" t="inlineStr"/>
    </row>
    <row r="453" ht="15" customHeight="1">
      <c r="A453" t="inlineStr">
        <is>
          <t>A 6802-2025</t>
        </is>
      </c>
      <c r="B453" s="1" t="n">
        <v>45700.68289351852</v>
      </c>
      <c r="C453" s="1" t="n">
        <v>46161</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71793-2021</t>
        </is>
      </c>
      <c r="B454" s="1" t="n">
        <v>44539</v>
      </c>
      <c r="C454" s="1" t="n">
        <v>46161</v>
      </c>
      <c r="D454" t="inlineStr">
        <is>
          <t>KALMAR LÄN</t>
        </is>
      </c>
      <c r="E454" t="inlineStr">
        <is>
          <t>VIMMERBY</t>
        </is>
      </c>
      <c r="G454" t="n">
        <v>2.7</v>
      </c>
      <c r="H454" t="n">
        <v>0</v>
      </c>
      <c r="I454" t="n">
        <v>0</v>
      </c>
      <c r="J454" t="n">
        <v>0</v>
      </c>
      <c r="K454" t="n">
        <v>0</v>
      </c>
      <c r="L454" t="n">
        <v>0</v>
      </c>
      <c r="M454" t="n">
        <v>0</v>
      </c>
      <c r="N454" t="n">
        <v>0</v>
      </c>
      <c r="O454" t="n">
        <v>0</v>
      </c>
      <c r="P454" t="n">
        <v>0</v>
      </c>
      <c r="Q454" t="n">
        <v>0</v>
      </c>
      <c r="R454" s="2" t="inlineStr"/>
    </row>
    <row r="455" ht="15" customHeight="1">
      <c r="A455" t="inlineStr">
        <is>
          <t>A 527-2024</t>
        </is>
      </c>
      <c r="B455" s="1" t="n">
        <v>45299.47513888889</v>
      </c>
      <c r="C455" s="1" t="n">
        <v>46161</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34628-2025</t>
        </is>
      </c>
      <c r="B456" s="1" t="n">
        <v>45847.91280092593</v>
      </c>
      <c r="C456" s="1" t="n">
        <v>46161</v>
      </c>
      <c r="D456" t="inlineStr">
        <is>
          <t>KALMAR LÄN</t>
        </is>
      </c>
      <c r="E456" t="inlineStr">
        <is>
          <t>VIMMERBY</t>
        </is>
      </c>
      <c r="G456" t="n">
        <v>4.2</v>
      </c>
      <c r="H456" t="n">
        <v>0</v>
      </c>
      <c r="I456" t="n">
        <v>0</v>
      </c>
      <c r="J456" t="n">
        <v>0</v>
      </c>
      <c r="K456" t="n">
        <v>0</v>
      </c>
      <c r="L456" t="n">
        <v>0</v>
      </c>
      <c r="M456" t="n">
        <v>0</v>
      </c>
      <c r="N456" t="n">
        <v>0</v>
      </c>
      <c r="O456" t="n">
        <v>0</v>
      </c>
      <c r="P456" t="n">
        <v>0</v>
      </c>
      <c r="Q456" t="n">
        <v>0</v>
      </c>
      <c r="R456" s="2" t="inlineStr"/>
    </row>
    <row r="457" ht="15" customHeight="1">
      <c r="A457" t="inlineStr">
        <is>
          <t>A 54737-2025</t>
        </is>
      </c>
      <c r="B457" s="1" t="n">
        <v>45966.56826388889</v>
      </c>
      <c r="C457" s="1" t="n">
        <v>46161</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60230-2022</t>
        </is>
      </c>
      <c r="B458" s="1" t="n">
        <v>44910</v>
      </c>
      <c r="C458" s="1" t="n">
        <v>46161</v>
      </c>
      <c r="D458" t="inlineStr">
        <is>
          <t>KALMAR LÄN</t>
        </is>
      </c>
      <c r="E458" t="inlineStr">
        <is>
          <t>VIMMERBY</t>
        </is>
      </c>
      <c r="G458" t="n">
        <v>11.3</v>
      </c>
      <c r="H458" t="n">
        <v>0</v>
      </c>
      <c r="I458" t="n">
        <v>0</v>
      </c>
      <c r="J458" t="n">
        <v>0</v>
      </c>
      <c r="K458" t="n">
        <v>0</v>
      </c>
      <c r="L458" t="n">
        <v>0</v>
      </c>
      <c r="M458" t="n">
        <v>0</v>
      </c>
      <c r="N458" t="n">
        <v>0</v>
      </c>
      <c r="O458" t="n">
        <v>0</v>
      </c>
      <c r="P458" t="n">
        <v>0</v>
      </c>
      <c r="Q458" t="n">
        <v>0</v>
      </c>
      <c r="R458" s="2" t="inlineStr"/>
    </row>
    <row r="459" ht="15" customHeight="1">
      <c r="A459" t="inlineStr">
        <is>
          <t>A 5925-2022</t>
        </is>
      </c>
      <c r="B459" s="1" t="n">
        <v>44598.7384837963</v>
      </c>
      <c r="C459" s="1" t="n">
        <v>46161</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54813-2025</t>
        </is>
      </c>
      <c r="B460" s="1" t="n">
        <v>45966.64881944445</v>
      </c>
      <c r="C460" s="1" t="n">
        <v>46161</v>
      </c>
      <c r="D460" t="inlineStr">
        <is>
          <t>KALMAR LÄN</t>
        </is>
      </c>
      <c r="E460" t="inlineStr">
        <is>
          <t>VIMMERBY</t>
        </is>
      </c>
      <c r="G460" t="n">
        <v>1.7</v>
      </c>
      <c r="H460" t="n">
        <v>0</v>
      </c>
      <c r="I460" t="n">
        <v>0</v>
      </c>
      <c r="J460" t="n">
        <v>0</v>
      </c>
      <c r="K460" t="n">
        <v>0</v>
      </c>
      <c r="L460" t="n">
        <v>0</v>
      </c>
      <c r="M460" t="n">
        <v>0</v>
      </c>
      <c r="N460" t="n">
        <v>0</v>
      </c>
      <c r="O460" t="n">
        <v>0</v>
      </c>
      <c r="P460" t="n">
        <v>0</v>
      </c>
      <c r="Q460" t="n">
        <v>0</v>
      </c>
      <c r="R460" s="2" t="inlineStr"/>
    </row>
    <row r="461" ht="15" customHeight="1">
      <c r="A461" t="inlineStr">
        <is>
          <t>A 46522-2022</t>
        </is>
      </c>
      <c r="B461" s="1" t="n">
        <v>44848.59133101852</v>
      </c>
      <c r="C461" s="1" t="n">
        <v>46161</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41066-2024</t>
        </is>
      </c>
      <c r="B462" s="1" t="n">
        <v>45559.38876157408</v>
      </c>
      <c r="C462" s="1" t="n">
        <v>46161</v>
      </c>
      <c r="D462" t="inlineStr">
        <is>
          <t>KALMAR LÄN</t>
        </is>
      </c>
      <c r="E462" t="inlineStr">
        <is>
          <t>VIMMERBY</t>
        </is>
      </c>
      <c r="G462" t="n">
        <v>2.4</v>
      </c>
      <c r="H462" t="n">
        <v>0</v>
      </c>
      <c r="I462" t="n">
        <v>0</v>
      </c>
      <c r="J462" t="n">
        <v>0</v>
      </c>
      <c r="K462" t="n">
        <v>0</v>
      </c>
      <c r="L462" t="n">
        <v>0</v>
      </c>
      <c r="M462" t="n">
        <v>0</v>
      </c>
      <c r="N462" t="n">
        <v>0</v>
      </c>
      <c r="O462" t="n">
        <v>0</v>
      </c>
      <c r="P462" t="n">
        <v>0</v>
      </c>
      <c r="Q462" t="n">
        <v>0</v>
      </c>
      <c r="R462" s="2" t="inlineStr"/>
    </row>
    <row r="463" ht="15" customHeight="1">
      <c r="A463" t="inlineStr">
        <is>
          <t>A 52279-2023</t>
        </is>
      </c>
      <c r="B463" s="1" t="n">
        <v>45224</v>
      </c>
      <c r="C463" s="1" t="n">
        <v>46161</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35270-2025</t>
        </is>
      </c>
      <c r="B464" s="1" t="n">
        <v>45853.87112268519</v>
      </c>
      <c r="C464" s="1" t="n">
        <v>46161</v>
      </c>
      <c r="D464" t="inlineStr">
        <is>
          <t>KALMAR LÄN</t>
        </is>
      </c>
      <c r="E464" t="inlineStr">
        <is>
          <t>VIMMERBY</t>
        </is>
      </c>
      <c r="G464" t="n">
        <v>2.4</v>
      </c>
      <c r="H464" t="n">
        <v>0</v>
      </c>
      <c r="I464" t="n">
        <v>0</v>
      </c>
      <c r="J464" t="n">
        <v>0</v>
      </c>
      <c r="K464" t="n">
        <v>0</v>
      </c>
      <c r="L464" t="n">
        <v>0</v>
      </c>
      <c r="M464" t="n">
        <v>0</v>
      </c>
      <c r="N464" t="n">
        <v>0</v>
      </c>
      <c r="O464" t="n">
        <v>0</v>
      </c>
      <c r="P464" t="n">
        <v>0</v>
      </c>
      <c r="Q464" t="n">
        <v>0</v>
      </c>
      <c r="R464" s="2" t="inlineStr"/>
    </row>
    <row r="465" ht="15" customHeight="1">
      <c r="A465" t="inlineStr">
        <is>
          <t>A 35271-2025</t>
        </is>
      </c>
      <c r="B465" s="1" t="n">
        <v>45853.87599537037</v>
      </c>
      <c r="C465" s="1" t="n">
        <v>46161</v>
      </c>
      <c r="D465" t="inlineStr">
        <is>
          <t>KALMAR LÄN</t>
        </is>
      </c>
      <c r="E465" t="inlineStr">
        <is>
          <t>VIMMERBY</t>
        </is>
      </c>
      <c r="G465" t="n">
        <v>0.4</v>
      </c>
      <c r="H465" t="n">
        <v>0</v>
      </c>
      <c r="I465" t="n">
        <v>0</v>
      </c>
      <c r="J465" t="n">
        <v>0</v>
      </c>
      <c r="K465" t="n">
        <v>0</v>
      </c>
      <c r="L465" t="n">
        <v>0</v>
      </c>
      <c r="M465" t="n">
        <v>0</v>
      </c>
      <c r="N465" t="n">
        <v>0</v>
      </c>
      <c r="O465" t="n">
        <v>0</v>
      </c>
      <c r="P465" t="n">
        <v>0</v>
      </c>
      <c r="Q465" t="n">
        <v>0</v>
      </c>
      <c r="R465" s="2" t="inlineStr"/>
    </row>
    <row r="466" ht="15" customHeight="1">
      <c r="A466" t="inlineStr">
        <is>
          <t>A 35272-2025</t>
        </is>
      </c>
      <c r="B466" s="1" t="n">
        <v>45853.88070601852</v>
      </c>
      <c r="C466" s="1" t="n">
        <v>46161</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17486-2024</t>
        </is>
      </c>
      <c r="B467" s="1" t="n">
        <v>45415.48979166667</v>
      </c>
      <c r="C467" s="1" t="n">
        <v>46161</v>
      </c>
      <c r="D467" t="inlineStr">
        <is>
          <t>KALMAR LÄN</t>
        </is>
      </c>
      <c r="E467" t="inlineStr">
        <is>
          <t>VIMMERBY</t>
        </is>
      </c>
      <c r="G467" t="n">
        <v>2.6</v>
      </c>
      <c r="H467" t="n">
        <v>0</v>
      </c>
      <c r="I467" t="n">
        <v>0</v>
      </c>
      <c r="J467" t="n">
        <v>0</v>
      </c>
      <c r="K467" t="n">
        <v>0</v>
      </c>
      <c r="L467" t="n">
        <v>0</v>
      </c>
      <c r="M467" t="n">
        <v>0</v>
      </c>
      <c r="N467" t="n">
        <v>0</v>
      </c>
      <c r="O467" t="n">
        <v>0</v>
      </c>
      <c r="P467" t="n">
        <v>0</v>
      </c>
      <c r="Q467" t="n">
        <v>0</v>
      </c>
      <c r="R467" s="2" t="inlineStr"/>
    </row>
    <row r="468" ht="15" customHeight="1">
      <c r="A468" t="inlineStr">
        <is>
          <t>A 16953-2025</t>
        </is>
      </c>
      <c r="B468" s="1" t="n">
        <v>45755.44333333334</v>
      </c>
      <c r="C468" s="1" t="n">
        <v>46161</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35596-2025</t>
        </is>
      </c>
      <c r="B469" s="1" t="n">
        <v>45858.60641203704</v>
      </c>
      <c r="C469" s="1" t="n">
        <v>46161</v>
      </c>
      <c r="D469" t="inlineStr">
        <is>
          <t>KALMAR LÄN</t>
        </is>
      </c>
      <c r="E469" t="inlineStr">
        <is>
          <t>VIMMERBY</t>
        </is>
      </c>
      <c r="G469" t="n">
        <v>2.8</v>
      </c>
      <c r="H469" t="n">
        <v>0</v>
      </c>
      <c r="I469" t="n">
        <v>0</v>
      </c>
      <c r="J469" t="n">
        <v>0</v>
      </c>
      <c r="K469" t="n">
        <v>0</v>
      </c>
      <c r="L469" t="n">
        <v>0</v>
      </c>
      <c r="M469" t="n">
        <v>0</v>
      </c>
      <c r="N469" t="n">
        <v>0</v>
      </c>
      <c r="O469" t="n">
        <v>0</v>
      </c>
      <c r="P469" t="n">
        <v>0</v>
      </c>
      <c r="Q469" t="n">
        <v>0</v>
      </c>
      <c r="R469" s="2" t="inlineStr"/>
    </row>
    <row r="470" ht="15" customHeight="1">
      <c r="A470" t="inlineStr">
        <is>
          <t>A 35597-2025</t>
        </is>
      </c>
      <c r="B470" s="1" t="n">
        <v>45858.66019675926</v>
      </c>
      <c r="C470" s="1" t="n">
        <v>46161</v>
      </c>
      <c r="D470" t="inlineStr">
        <is>
          <t>KALMAR LÄN</t>
        </is>
      </c>
      <c r="E470" t="inlineStr">
        <is>
          <t>VIMMERBY</t>
        </is>
      </c>
      <c r="G470" t="n">
        <v>6.4</v>
      </c>
      <c r="H470" t="n">
        <v>0</v>
      </c>
      <c r="I470" t="n">
        <v>0</v>
      </c>
      <c r="J470" t="n">
        <v>0</v>
      </c>
      <c r="K470" t="n">
        <v>0</v>
      </c>
      <c r="L470" t="n">
        <v>0</v>
      </c>
      <c r="M470" t="n">
        <v>0</v>
      </c>
      <c r="N470" t="n">
        <v>0</v>
      </c>
      <c r="O470" t="n">
        <v>0</v>
      </c>
      <c r="P470" t="n">
        <v>0</v>
      </c>
      <c r="Q470" t="n">
        <v>0</v>
      </c>
      <c r="R470" s="2" t="inlineStr"/>
    </row>
    <row r="471" ht="15" customHeight="1">
      <c r="A471" t="inlineStr">
        <is>
          <t>A 71631-2021</t>
        </is>
      </c>
      <c r="B471" s="1" t="n">
        <v>44542.90072916666</v>
      </c>
      <c r="C471" s="1" t="n">
        <v>46161</v>
      </c>
      <c r="D471" t="inlineStr">
        <is>
          <t>KALMAR LÄN</t>
        </is>
      </c>
      <c r="E471" t="inlineStr">
        <is>
          <t>VIMMERBY</t>
        </is>
      </c>
      <c r="G471" t="n">
        <v>0.9</v>
      </c>
      <c r="H471" t="n">
        <v>0</v>
      </c>
      <c r="I471" t="n">
        <v>0</v>
      </c>
      <c r="J471" t="n">
        <v>0</v>
      </c>
      <c r="K471" t="n">
        <v>0</v>
      </c>
      <c r="L471" t="n">
        <v>0</v>
      </c>
      <c r="M471" t="n">
        <v>0</v>
      </c>
      <c r="N471" t="n">
        <v>0</v>
      </c>
      <c r="O471" t="n">
        <v>0</v>
      </c>
      <c r="P471" t="n">
        <v>0</v>
      </c>
      <c r="Q471" t="n">
        <v>0</v>
      </c>
      <c r="R471" s="2" t="inlineStr"/>
    </row>
    <row r="472" ht="15" customHeight="1">
      <c r="A472" t="inlineStr">
        <is>
          <t>A 55602-2025</t>
        </is>
      </c>
      <c r="B472" s="1" t="n">
        <v>45971</v>
      </c>
      <c r="C472" s="1" t="n">
        <v>46161</v>
      </c>
      <c r="D472" t="inlineStr">
        <is>
          <t>KALMAR LÄN</t>
        </is>
      </c>
      <c r="E472" t="inlineStr">
        <is>
          <t>VIMMERBY</t>
        </is>
      </c>
      <c r="G472" t="n">
        <v>2.7</v>
      </c>
      <c r="H472" t="n">
        <v>0</v>
      </c>
      <c r="I472" t="n">
        <v>0</v>
      </c>
      <c r="J472" t="n">
        <v>0</v>
      </c>
      <c r="K472" t="n">
        <v>0</v>
      </c>
      <c r="L472" t="n">
        <v>0</v>
      </c>
      <c r="M472" t="n">
        <v>0</v>
      </c>
      <c r="N472" t="n">
        <v>0</v>
      </c>
      <c r="O472" t="n">
        <v>0</v>
      </c>
      <c r="P472" t="n">
        <v>0</v>
      </c>
      <c r="Q472" t="n">
        <v>0</v>
      </c>
      <c r="R472" s="2" t="inlineStr"/>
    </row>
    <row r="473" ht="15" customHeight="1">
      <c r="A473" t="inlineStr">
        <is>
          <t>A 16015-2025</t>
        </is>
      </c>
      <c r="B473" s="1" t="n">
        <v>45749.60487268519</v>
      </c>
      <c r="C473" s="1" t="n">
        <v>46161</v>
      </c>
      <c r="D473" t="inlineStr">
        <is>
          <t>KALMAR LÄN</t>
        </is>
      </c>
      <c r="E473" t="inlineStr">
        <is>
          <t>VIMMERBY</t>
        </is>
      </c>
      <c r="F473" t="inlineStr">
        <is>
          <t>Kyrkan</t>
        </is>
      </c>
      <c r="G473" t="n">
        <v>2.7</v>
      </c>
      <c r="H473" t="n">
        <v>0</v>
      </c>
      <c r="I473" t="n">
        <v>0</v>
      </c>
      <c r="J473" t="n">
        <v>0</v>
      </c>
      <c r="K473" t="n">
        <v>0</v>
      </c>
      <c r="L473" t="n">
        <v>0</v>
      </c>
      <c r="M473" t="n">
        <v>0</v>
      </c>
      <c r="N473" t="n">
        <v>0</v>
      </c>
      <c r="O473" t="n">
        <v>0</v>
      </c>
      <c r="P473" t="n">
        <v>0</v>
      </c>
      <c r="Q473" t="n">
        <v>0</v>
      </c>
      <c r="R473" s="2" t="inlineStr"/>
    </row>
    <row r="474" ht="15" customHeight="1">
      <c r="A474" t="inlineStr">
        <is>
          <t>A 9694-2023</t>
        </is>
      </c>
      <c r="B474" s="1" t="n">
        <v>44984.45895833334</v>
      </c>
      <c r="C474" s="1" t="n">
        <v>46161</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55603-2025</t>
        </is>
      </c>
      <c r="B475" s="1" t="n">
        <v>45971</v>
      </c>
      <c r="C475" s="1" t="n">
        <v>46161</v>
      </c>
      <c r="D475" t="inlineStr">
        <is>
          <t>KALMAR LÄN</t>
        </is>
      </c>
      <c r="E475" t="inlineStr">
        <is>
          <t>VIMMERBY</t>
        </is>
      </c>
      <c r="G475" t="n">
        <v>0.9</v>
      </c>
      <c r="H475" t="n">
        <v>0</v>
      </c>
      <c r="I475" t="n">
        <v>0</v>
      </c>
      <c r="J475" t="n">
        <v>0</v>
      </c>
      <c r="K475" t="n">
        <v>0</v>
      </c>
      <c r="L475" t="n">
        <v>0</v>
      </c>
      <c r="M475" t="n">
        <v>0</v>
      </c>
      <c r="N475" t="n">
        <v>0</v>
      </c>
      <c r="O475" t="n">
        <v>0</v>
      </c>
      <c r="P475" t="n">
        <v>0</v>
      </c>
      <c r="Q475" t="n">
        <v>0</v>
      </c>
      <c r="R475" s="2" t="inlineStr"/>
    </row>
    <row r="476" ht="15" customHeight="1">
      <c r="A476" t="inlineStr">
        <is>
          <t>A 55605-2025</t>
        </is>
      </c>
      <c r="B476" s="1" t="n">
        <v>45971</v>
      </c>
      <c r="C476" s="1" t="n">
        <v>46161</v>
      </c>
      <c r="D476" t="inlineStr">
        <is>
          <t>KALMAR LÄN</t>
        </is>
      </c>
      <c r="E476" t="inlineStr">
        <is>
          <t>VIMMERBY</t>
        </is>
      </c>
      <c r="G476" t="n">
        <v>1.4</v>
      </c>
      <c r="H476" t="n">
        <v>0</v>
      </c>
      <c r="I476" t="n">
        <v>0</v>
      </c>
      <c r="J476" t="n">
        <v>0</v>
      </c>
      <c r="K476" t="n">
        <v>0</v>
      </c>
      <c r="L476" t="n">
        <v>0</v>
      </c>
      <c r="M476" t="n">
        <v>0</v>
      </c>
      <c r="N476" t="n">
        <v>0</v>
      </c>
      <c r="O476" t="n">
        <v>0</v>
      </c>
      <c r="P476" t="n">
        <v>0</v>
      </c>
      <c r="Q476" t="n">
        <v>0</v>
      </c>
      <c r="R476" s="2" t="inlineStr"/>
    </row>
    <row r="477" ht="15" customHeight="1">
      <c r="A477" t="inlineStr">
        <is>
          <t>A 36226-2025</t>
        </is>
      </c>
      <c r="B477" s="1" t="n">
        <v>45867.51630787037</v>
      </c>
      <c r="C477" s="1" t="n">
        <v>46161</v>
      </c>
      <c r="D477" t="inlineStr">
        <is>
          <t>KALMAR LÄN</t>
        </is>
      </c>
      <c r="E477" t="inlineStr">
        <is>
          <t>VIMMERBY</t>
        </is>
      </c>
      <c r="G477" t="n">
        <v>3.1</v>
      </c>
      <c r="H477" t="n">
        <v>0</v>
      </c>
      <c r="I477" t="n">
        <v>0</v>
      </c>
      <c r="J477" t="n">
        <v>0</v>
      </c>
      <c r="K477" t="n">
        <v>0</v>
      </c>
      <c r="L477" t="n">
        <v>0</v>
      </c>
      <c r="M477" t="n">
        <v>0</v>
      </c>
      <c r="N477" t="n">
        <v>0</v>
      </c>
      <c r="O477" t="n">
        <v>0</v>
      </c>
      <c r="P477" t="n">
        <v>0</v>
      </c>
      <c r="Q477" t="n">
        <v>0</v>
      </c>
      <c r="R477" s="2" t="inlineStr"/>
    </row>
    <row r="478" ht="15" customHeight="1">
      <c r="A478" t="inlineStr">
        <is>
          <t>A 36273-2025</t>
        </is>
      </c>
      <c r="B478" s="1" t="n">
        <v>45867.63094907408</v>
      </c>
      <c r="C478" s="1" t="n">
        <v>46161</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36282-2025</t>
        </is>
      </c>
      <c r="B479" s="1" t="n">
        <v>45867.64663194444</v>
      </c>
      <c r="C479" s="1" t="n">
        <v>46161</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36246-2025</t>
        </is>
      </c>
      <c r="B480" s="1" t="n">
        <v>45867.56320601852</v>
      </c>
      <c r="C480" s="1" t="n">
        <v>46161</v>
      </c>
      <c r="D480" t="inlineStr">
        <is>
          <t>KALMAR LÄN</t>
        </is>
      </c>
      <c r="E480" t="inlineStr">
        <is>
          <t>VIMMERBY</t>
        </is>
      </c>
      <c r="G480" t="n">
        <v>1</v>
      </c>
      <c r="H480" t="n">
        <v>0</v>
      </c>
      <c r="I480" t="n">
        <v>0</v>
      </c>
      <c r="J480" t="n">
        <v>0</v>
      </c>
      <c r="K480" t="n">
        <v>0</v>
      </c>
      <c r="L480" t="n">
        <v>0</v>
      </c>
      <c r="M480" t="n">
        <v>0</v>
      </c>
      <c r="N480" t="n">
        <v>0</v>
      </c>
      <c r="O480" t="n">
        <v>0</v>
      </c>
      <c r="P480" t="n">
        <v>0</v>
      </c>
      <c r="Q480" t="n">
        <v>0</v>
      </c>
      <c r="R480" s="2" t="inlineStr"/>
    </row>
    <row r="481" ht="15" customHeight="1">
      <c r="A481" t="inlineStr">
        <is>
          <t>A 22198-2024</t>
        </is>
      </c>
      <c r="B481" s="1" t="n">
        <v>45446.36865740741</v>
      </c>
      <c r="C481" s="1" t="n">
        <v>46161</v>
      </c>
      <c r="D481" t="inlineStr">
        <is>
          <t>KALMAR LÄN</t>
        </is>
      </c>
      <c r="E481" t="inlineStr">
        <is>
          <t>VIMMERBY</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36297-2025</t>
        </is>
      </c>
      <c r="B482" s="1" t="n">
        <v>45867.68625</v>
      </c>
      <c r="C482" s="1" t="n">
        <v>46161</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55385-2025</t>
        </is>
      </c>
      <c r="B483" s="1" t="n">
        <v>45971.43350694444</v>
      </c>
      <c r="C483" s="1" t="n">
        <v>46161</v>
      </c>
      <c r="D483" t="inlineStr">
        <is>
          <t>KALMAR LÄN</t>
        </is>
      </c>
      <c r="E483" t="inlineStr">
        <is>
          <t>VIMMERBY</t>
        </is>
      </c>
      <c r="G483" t="n">
        <v>5</v>
      </c>
      <c r="H483" t="n">
        <v>0</v>
      </c>
      <c r="I483" t="n">
        <v>0</v>
      </c>
      <c r="J483" t="n">
        <v>0</v>
      </c>
      <c r="K483" t="n">
        <v>0</v>
      </c>
      <c r="L483" t="n">
        <v>0</v>
      </c>
      <c r="M483" t="n">
        <v>0</v>
      </c>
      <c r="N483" t="n">
        <v>0</v>
      </c>
      <c r="O483" t="n">
        <v>0</v>
      </c>
      <c r="P483" t="n">
        <v>0</v>
      </c>
      <c r="Q483" t="n">
        <v>0</v>
      </c>
      <c r="R483" s="2" t="inlineStr"/>
    </row>
    <row r="484" ht="15" customHeight="1">
      <c r="A484" t="inlineStr">
        <is>
          <t>A 57311-2023</t>
        </is>
      </c>
      <c r="B484" s="1" t="n">
        <v>45245.63574074074</v>
      </c>
      <c r="C484" s="1" t="n">
        <v>46161</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36221-2025</t>
        </is>
      </c>
      <c r="B485" s="1" t="n">
        <v>45867.50792824074</v>
      </c>
      <c r="C485" s="1" t="n">
        <v>46161</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19502-2025</t>
        </is>
      </c>
      <c r="B486" s="1" t="n">
        <v>45769</v>
      </c>
      <c r="C486" s="1" t="n">
        <v>46161</v>
      </c>
      <c r="D486" t="inlineStr">
        <is>
          <t>KALMAR LÄN</t>
        </is>
      </c>
      <c r="E486" t="inlineStr">
        <is>
          <t>VIMMERBY</t>
        </is>
      </c>
      <c r="G486" t="n">
        <v>1.9</v>
      </c>
      <c r="H486" t="n">
        <v>0</v>
      </c>
      <c r="I486" t="n">
        <v>0</v>
      </c>
      <c r="J486" t="n">
        <v>0</v>
      </c>
      <c r="K486" t="n">
        <v>0</v>
      </c>
      <c r="L486" t="n">
        <v>0</v>
      </c>
      <c r="M486" t="n">
        <v>0</v>
      </c>
      <c r="N486" t="n">
        <v>0</v>
      </c>
      <c r="O486" t="n">
        <v>0</v>
      </c>
      <c r="P486" t="n">
        <v>0</v>
      </c>
      <c r="Q486" t="n">
        <v>0</v>
      </c>
      <c r="R486" s="2" t="inlineStr"/>
    </row>
    <row r="487" ht="15" customHeight="1">
      <c r="A487" t="inlineStr">
        <is>
          <t>A 12588-2025</t>
        </is>
      </c>
      <c r="B487" s="1" t="n">
        <v>45732.76936342593</v>
      </c>
      <c r="C487" s="1" t="n">
        <v>46161</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36299-2025</t>
        </is>
      </c>
      <c r="B488" s="1" t="n">
        <v>45867.69346064814</v>
      </c>
      <c r="C488" s="1" t="n">
        <v>46161</v>
      </c>
      <c r="D488" t="inlineStr">
        <is>
          <t>KALMAR LÄN</t>
        </is>
      </c>
      <c r="E488" t="inlineStr">
        <is>
          <t>VIMMERBY</t>
        </is>
      </c>
      <c r="G488" t="n">
        <v>7.6</v>
      </c>
      <c r="H488" t="n">
        <v>0</v>
      </c>
      <c r="I488" t="n">
        <v>0</v>
      </c>
      <c r="J488" t="n">
        <v>0</v>
      </c>
      <c r="K488" t="n">
        <v>0</v>
      </c>
      <c r="L488" t="n">
        <v>0</v>
      </c>
      <c r="M488" t="n">
        <v>0</v>
      </c>
      <c r="N488" t="n">
        <v>0</v>
      </c>
      <c r="O488" t="n">
        <v>0</v>
      </c>
      <c r="P488" t="n">
        <v>0</v>
      </c>
      <c r="Q488" t="n">
        <v>0</v>
      </c>
      <c r="R488" s="2" t="inlineStr"/>
    </row>
    <row r="489" ht="15" customHeight="1">
      <c r="A489" t="inlineStr">
        <is>
          <t>A 7932-2025</t>
        </is>
      </c>
      <c r="B489" s="1" t="n">
        <v>45707.3793287037</v>
      </c>
      <c r="C489" s="1" t="n">
        <v>46161</v>
      </c>
      <c r="D489" t="inlineStr">
        <is>
          <t>KALMAR LÄN</t>
        </is>
      </c>
      <c r="E489" t="inlineStr">
        <is>
          <t>VIMMERBY</t>
        </is>
      </c>
      <c r="G489" t="n">
        <v>0.6</v>
      </c>
      <c r="H489" t="n">
        <v>0</v>
      </c>
      <c r="I489" t="n">
        <v>0</v>
      </c>
      <c r="J489" t="n">
        <v>0</v>
      </c>
      <c r="K489" t="n">
        <v>0</v>
      </c>
      <c r="L489" t="n">
        <v>0</v>
      </c>
      <c r="M489" t="n">
        <v>0</v>
      </c>
      <c r="N489" t="n">
        <v>0</v>
      </c>
      <c r="O489" t="n">
        <v>0</v>
      </c>
      <c r="P489" t="n">
        <v>0</v>
      </c>
      <c r="Q489" t="n">
        <v>0</v>
      </c>
      <c r="R489" s="2" t="inlineStr"/>
    </row>
    <row r="490" ht="15" customHeight="1">
      <c r="A490" t="inlineStr">
        <is>
          <t>A 36538-2025</t>
        </is>
      </c>
      <c r="B490" s="1" t="n">
        <v>45869.62276620371</v>
      </c>
      <c r="C490" s="1" t="n">
        <v>46161</v>
      </c>
      <c r="D490" t="inlineStr">
        <is>
          <t>KALMAR LÄN</t>
        </is>
      </c>
      <c r="E490" t="inlineStr">
        <is>
          <t>VIMMERBY</t>
        </is>
      </c>
      <c r="G490" t="n">
        <v>2.6</v>
      </c>
      <c r="H490" t="n">
        <v>0</v>
      </c>
      <c r="I490" t="n">
        <v>0</v>
      </c>
      <c r="J490" t="n">
        <v>0</v>
      </c>
      <c r="K490" t="n">
        <v>0</v>
      </c>
      <c r="L490" t="n">
        <v>0</v>
      </c>
      <c r="M490" t="n">
        <v>0</v>
      </c>
      <c r="N490" t="n">
        <v>0</v>
      </c>
      <c r="O490" t="n">
        <v>0</v>
      </c>
      <c r="P490" t="n">
        <v>0</v>
      </c>
      <c r="Q490" t="n">
        <v>0</v>
      </c>
      <c r="R490" s="2" t="inlineStr"/>
    </row>
    <row r="491" ht="15" customHeight="1">
      <c r="A491" t="inlineStr">
        <is>
          <t>A 36598-2025</t>
        </is>
      </c>
      <c r="B491" s="1" t="n">
        <v>45870.51708333333</v>
      </c>
      <c r="C491" s="1" t="n">
        <v>46161</v>
      </c>
      <c r="D491" t="inlineStr">
        <is>
          <t>KALMAR LÄN</t>
        </is>
      </c>
      <c r="E491" t="inlineStr">
        <is>
          <t>VIMMERBY</t>
        </is>
      </c>
      <c r="G491" t="n">
        <v>3.7</v>
      </c>
      <c r="H491" t="n">
        <v>0</v>
      </c>
      <c r="I491" t="n">
        <v>0</v>
      </c>
      <c r="J491" t="n">
        <v>0</v>
      </c>
      <c r="K491" t="n">
        <v>0</v>
      </c>
      <c r="L491" t="n">
        <v>0</v>
      </c>
      <c r="M491" t="n">
        <v>0</v>
      </c>
      <c r="N491" t="n">
        <v>0</v>
      </c>
      <c r="O491" t="n">
        <v>0</v>
      </c>
      <c r="P491" t="n">
        <v>0</v>
      </c>
      <c r="Q491" t="n">
        <v>0</v>
      </c>
      <c r="R491" s="2" t="inlineStr"/>
    </row>
    <row r="492" ht="15" customHeight="1">
      <c r="A492" t="inlineStr">
        <is>
          <t>A 36602-2025</t>
        </is>
      </c>
      <c r="B492" s="1" t="n">
        <v>45870.52111111111</v>
      </c>
      <c r="C492" s="1" t="n">
        <v>46161</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2121-2022</t>
        </is>
      </c>
      <c r="B493" s="1" t="n">
        <v>44578.32717592592</v>
      </c>
      <c r="C493" s="1" t="n">
        <v>46161</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34386-2024</t>
        </is>
      </c>
      <c r="B494" s="1" t="n">
        <v>45525.41762731481</v>
      </c>
      <c r="C494" s="1" t="n">
        <v>46161</v>
      </c>
      <c r="D494" t="inlineStr">
        <is>
          <t>KALMAR LÄN</t>
        </is>
      </c>
      <c r="E494" t="inlineStr">
        <is>
          <t>VIMMERBY</t>
        </is>
      </c>
      <c r="G494" t="n">
        <v>0.3</v>
      </c>
      <c r="H494" t="n">
        <v>0</v>
      </c>
      <c r="I494" t="n">
        <v>0</v>
      </c>
      <c r="J494" t="n">
        <v>0</v>
      </c>
      <c r="K494" t="n">
        <v>0</v>
      </c>
      <c r="L494" t="n">
        <v>0</v>
      </c>
      <c r="M494" t="n">
        <v>0</v>
      </c>
      <c r="N494" t="n">
        <v>0</v>
      </c>
      <c r="O494" t="n">
        <v>0</v>
      </c>
      <c r="P494" t="n">
        <v>0</v>
      </c>
      <c r="Q494" t="n">
        <v>0</v>
      </c>
      <c r="R494" s="2" t="inlineStr"/>
    </row>
    <row r="495" ht="15" customHeight="1">
      <c r="A495" t="inlineStr">
        <is>
          <t>A 6069-2023</t>
        </is>
      </c>
      <c r="B495" s="1" t="n">
        <v>44964.5115162037</v>
      </c>
      <c r="C495" s="1" t="n">
        <v>46161</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36603-2025</t>
        </is>
      </c>
      <c r="B496" s="1" t="n">
        <v>45870.52142361111</v>
      </c>
      <c r="C496" s="1" t="n">
        <v>46161</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36600-2025</t>
        </is>
      </c>
      <c r="B497" s="1" t="n">
        <v>45870.51958333333</v>
      </c>
      <c r="C497" s="1" t="n">
        <v>46161</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36601-2025</t>
        </is>
      </c>
      <c r="B498" s="1" t="n">
        <v>45870.52005787037</v>
      </c>
      <c r="C498" s="1" t="n">
        <v>46161</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32633-2023</t>
        </is>
      </c>
      <c r="B499" s="1" t="n">
        <v>45121.58699074074</v>
      </c>
      <c r="C499" s="1" t="n">
        <v>46161</v>
      </c>
      <c r="D499" t="inlineStr">
        <is>
          <t>KALMAR LÄN</t>
        </is>
      </c>
      <c r="E499" t="inlineStr">
        <is>
          <t>VIMMERBY</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37088-2025</t>
        </is>
      </c>
      <c r="B500" s="1" t="n">
        <v>45875.45716435185</v>
      </c>
      <c r="C500" s="1" t="n">
        <v>46161</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37102-2025</t>
        </is>
      </c>
      <c r="B501" s="1" t="n">
        <v>45875.47454861111</v>
      </c>
      <c r="C501" s="1" t="n">
        <v>46161</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49461-2023</t>
        </is>
      </c>
      <c r="B502" s="1" t="n">
        <v>45211.52642361111</v>
      </c>
      <c r="C502" s="1" t="n">
        <v>46161</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37079-2025</t>
        </is>
      </c>
      <c r="B503" s="1" t="n">
        <v>45875.42716435185</v>
      </c>
      <c r="C503" s="1" t="n">
        <v>46161</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23095-2023</t>
        </is>
      </c>
      <c r="B504" s="1" t="n">
        <v>45075.43059027778</v>
      </c>
      <c r="C504" s="1" t="n">
        <v>46161</v>
      </c>
      <c r="D504" t="inlineStr">
        <is>
          <t>KALMAR LÄN</t>
        </is>
      </c>
      <c r="E504" t="inlineStr">
        <is>
          <t>VIMMERBY</t>
        </is>
      </c>
      <c r="G504" t="n">
        <v>1</v>
      </c>
      <c r="H504" t="n">
        <v>0</v>
      </c>
      <c r="I504" t="n">
        <v>0</v>
      </c>
      <c r="J504" t="n">
        <v>0</v>
      </c>
      <c r="K504" t="n">
        <v>0</v>
      </c>
      <c r="L504" t="n">
        <v>0</v>
      </c>
      <c r="M504" t="n">
        <v>0</v>
      </c>
      <c r="N504" t="n">
        <v>0</v>
      </c>
      <c r="O504" t="n">
        <v>0</v>
      </c>
      <c r="P504" t="n">
        <v>0</v>
      </c>
      <c r="Q504" t="n">
        <v>0</v>
      </c>
      <c r="R504" s="2" t="inlineStr"/>
    </row>
    <row r="505" ht="15" customHeight="1">
      <c r="A505" t="inlineStr">
        <is>
          <t>A 11429-2022</t>
        </is>
      </c>
      <c r="B505" s="1" t="n">
        <v>44630</v>
      </c>
      <c r="C505" s="1" t="n">
        <v>46161</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36934-2025</t>
        </is>
      </c>
      <c r="B506" s="1" t="n">
        <v>45874.57109953704</v>
      </c>
      <c r="C506" s="1" t="n">
        <v>46161</v>
      </c>
      <c r="D506" t="inlineStr">
        <is>
          <t>KALMAR LÄN</t>
        </is>
      </c>
      <c r="E506" t="inlineStr">
        <is>
          <t>VIMMERBY</t>
        </is>
      </c>
      <c r="G506" t="n">
        <v>4.2</v>
      </c>
      <c r="H506" t="n">
        <v>0</v>
      </c>
      <c r="I506" t="n">
        <v>0</v>
      </c>
      <c r="J506" t="n">
        <v>0</v>
      </c>
      <c r="K506" t="n">
        <v>0</v>
      </c>
      <c r="L506" t="n">
        <v>0</v>
      </c>
      <c r="M506" t="n">
        <v>0</v>
      </c>
      <c r="N506" t="n">
        <v>0</v>
      </c>
      <c r="O506" t="n">
        <v>0</v>
      </c>
      <c r="P506" t="n">
        <v>0</v>
      </c>
      <c r="Q506" t="n">
        <v>0</v>
      </c>
      <c r="R506" s="2" t="inlineStr"/>
    </row>
    <row r="507" ht="15" customHeight="1">
      <c r="A507" t="inlineStr">
        <is>
          <t>A 11141-2024</t>
        </is>
      </c>
      <c r="B507" s="1" t="n">
        <v>45371.45865740741</v>
      </c>
      <c r="C507" s="1" t="n">
        <v>46161</v>
      </c>
      <c r="D507" t="inlineStr">
        <is>
          <t>KALMAR LÄN</t>
        </is>
      </c>
      <c r="E507" t="inlineStr">
        <is>
          <t>VIMMERBY</t>
        </is>
      </c>
      <c r="G507" t="n">
        <v>0.7</v>
      </c>
      <c r="H507" t="n">
        <v>0</v>
      </c>
      <c r="I507" t="n">
        <v>0</v>
      </c>
      <c r="J507" t="n">
        <v>0</v>
      </c>
      <c r="K507" t="n">
        <v>0</v>
      </c>
      <c r="L507" t="n">
        <v>0</v>
      </c>
      <c r="M507" t="n">
        <v>0</v>
      </c>
      <c r="N507" t="n">
        <v>0</v>
      </c>
      <c r="O507" t="n">
        <v>0</v>
      </c>
      <c r="P507" t="n">
        <v>0</v>
      </c>
      <c r="Q507" t="n">
        <v>0</v>
      </c>
      <c r="R507" s="2" t="inlineStr"/>
    </row>
    <row r="508" ht="15" customHeight="1">
      <c r="A508" t="inlineStr">
        <is>
          <t>A 28395-2023</t>
        </is>
      </c>
      <c r="B508" s="1" t="n">
        <v>45100.4062962963</v>
      </c>
      <c r="C508" s="1" t="n">
        <v>46161</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34597-2022</t>
        </is>
      </c>
      <c r="B509" s="1" t="n">
        <v>44795</v>
      </c>
      <c r="C509" s="1" t="n">
        <v>46161</v>
      </c>
      <c r="D509" t="inlineStr">
        <is>
          <t>KALMAR LÄN</t>
        </is>
      </c>
      <c r="E509" t="inlineStr">
        <is>
          <t>VIMMERBY</t>
        </is>
      </c>
      <c r="G509" t="n">
        <v>2.2</v>
      </c>
      <c r="H509" t="n">
        <v>0</v>
      </c>
      <c r="I509" t="n">
        <v>0</v>
      </c>
      <c r="J509" t="n">
        <v>0</v>
      </c>
      <c r="K509" t="n">
        <v>0</v>
      </c>
      <c r="L509" t="n">
        <v>0</v>
      </c>
      <c r="M509" t="n">
        <v>0</v>
      </c>
      <c r="N509" t="n">
        <v>0</v>
      </c>
      <c r="O509" t="n">
        <v>0</v>
      </c>
      <c r="P509" t="n">
        <v>0</v>
      </c>
      <c r="Q509" t="n">
        <v>0</v>
      </c>
      <c r="R509" s="2" t="inlineStr"/>
    </row>
    <row r="510" ht="15" customHeight="1">
      <c r="A510" t="inlineStr">
        <is>
          <t>A 37578-2025</t>
        </is>
      </c>
      <c r="B510" s="1" t="n">
        <v>45880.38380787037</v>
      </c>
      <c r="C510" s="1" t="n">
        <v>46161</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64428-2023</t>
        </is>
      </c>
      <c r="B511" s="1" t="n">
        <v>45280.66769675926</v>
      </c>
      <c r="C511" s="1" t="n">
        <v>46161</v>
      </c>
      <c r="D511" t="inlineStr">
        <is>
          <t>KALMAR LÄN</t>
        </is>
      </c>
      <c r="E511" t="inlineStr">
        <is>
          <t>VIMMERBY</t>
        </is>
      </c>
      <c r="G511" t="n">
        <v>1.2</v>
      </c>
      <c r="H511" t="n">
        <v>0</v>
      </c>
      <c r="I511" t="n">
        <v>0</v>
      </c>
      <c r="J511" t="n">
        <v>0</v>
      </c>
      <c r="K511" t="n">
        <v>0</v>
      </c>
      <c r="L511" t="n">
        <v>0</v>
      </c>
      <c r="M511" t="n">
        <v>0</v>
      </c>
      <c r="N511" t="n">
        <v>0</v>
      </c>
      <c r="O511" t="n">
        <v>0</v>
      </c>
      <c r="P511" t="n">
        <v>0</v>
      </c>
      <c r="Q511" t="n">
        <v>0</v>
      </c>
      <c r="R511" s="2" t="inlineStr"/>
    </row>
    <row r="512" ht="15" customHeight="1">
      <c r="A512" t="inlineStr">
        <is>
          <t>A 30588-2023</t>
        </is>
      </c>
      <c r="B512" s="1" t="n">
        <v>45112.33599537037</v>
      </c>
      <c r="C512" s="1" t="n">
        <v>46161</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30503-2023</t>
        </is>
      </c>
      <c r="B513" s="1" t="n">
        <v>45111</v>
      </c>
      <c r="C513" s="1" t="n">
        <v>46161</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37668-2025</t>
        </is>
      </c>
      <c r="B514" s="1" t="n">
        <v>45880.51550925926</v>
      </c>
      <c r="C514" s="1" t="n">
        <v>46161</v>
      </c>
      <c r="D514" t="inlineStr">
        <is>
          <t>KALMAR LÄN</t>
        </is>
      </c>
      <c r="E514" t="inlineStr">
        <is>
          <t>VIMMERBY</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37939-2025</t>
        </is>
      </c>
      <c r="B515" s="1" t="n">
        <v>45881.59877314815</v>
      </c>
      <c r="C515" s="1" t="n">
        <v>46161</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37866-2025</t>
        </is>
      </c>
      <c r="B516" s="1" t="n">
        <v>45881</v>
      </c>
      <c r="C516" s="1" t="n">
        <v>46161</v>
      </c>
      <c r="D516" t="inlineStr">
        <is>
          <t>KALMAR LÄN</t>
        </is>
      </c>
      <c r="E516" t="inlineStr">
        <is>
          <t>VIMMERBY</t>
        </is>
      </c>
      <c r="G516" t="n">
        <v>3.4</v>
      </c>
      <c r="H516" t="n">
        <v>0</v>
      </c>
      <c r="I516" t="n">
        <v>0</v>
      </c>
      <c r="J516" t="n">
        <v>0</v>
      </c>
      <c r="K516" t="n">
        <v>0</v>
      </c>
      <c r="L516" t="n">
        <v>0</v>
      </c>
      <c r="M516" t="n">
        <v>0</v>
      </c>
      <c r="N516" t="n">
        <v>0</v>
      </c>
      <c r="O516" t="n">
        <v>0</v>
      </c>
      <c r="P516" t="n">
        <v>0</v>
      </c>
      <c r="Q516" t="n">
        <v>0</v>
      </c>
      <c r="R516" s="2" t="inlineStr"/>
    </row>
    <row r="517" ht="15" customHeight="1">
      <c r="A517" t="inlineStr">
        <is>
          <t>A 47263-2023</t>
        </is>
      </c>
      <c r="B517" s="1" t="n">
        <v>45202.4209837963</v>
      </c>
      <c r="C517" s="1" t="n">
        <v>46161</v>
      </c>
      <c r="D517" t="inlineStr">
        <is>
          <t>KALMAR LÄN</t>
        </is>
      </c>
      <c r="E517" t="inlineStr">
        <is>
          <t>VIMMERBY</t>
        </is>
      </c>
      <c r="G517" t="n">
        <v>1.8</v>
      </c>
      <c r="H517" t="n">
        <v>0</v>
      </c>
      <c r="I517" t="n">
        <v>0</v>
      </c>
      <c r="J517" t="n">
        <v>0</v>
      </c>
      <c r="K517" t="n">
        <v>0</v>
      </c>
      <c r="L517" t="n">
        <v>0</v>
      </c>
      <c r="M517" t="n">
        <v>0</v>
      </c>
      <c r="N517" t="n">
        <v>0</v>
      </c>
      <c r="O517" t="n">
        <v>0</v>
      </c>
      <c r="P517" t="n">
        <v>0</v>
      </c>
      <c r="Q517" t="n">
        <v>0</v>
      </c>
      <c r="R517" s="2" t="inlineStr"/>
    </row>
    <row r="518" ht="15" customHeight="1">
      <c r="A518" t="inlineStr">
        <is>
          <t>A 58100-2024</t>
        </is>
      </c>
      <c r="B518" s="1" t="n">
        <v>45632.36706018518</v>
      </c>
      <c r="C518" s="1" t="n">
        <v>46161</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58159-2024</t>
        </is>
      </c>
      <c r="B519" s="1" t="n">
        <v>45632.44886574074</v>
      </c>
      <c r="C519" s="1" t="n">
        <v>46161</v>
      </c>
      <c r="D519" t="inlineStr">
        <is>
          <t>KALMAR LÄN</t>
        </is>
      </c>
      <c r="E519" t="inlineStr">
        <is>
          <t>VIMMERBY</t>
        </is>
      </c>
      <c r="G519" t="n">
        <v>7.5</v>
      </c>
      <c r="H519" t="n">
        <v>0</v>
      </c>
      <c r="I519" t="n">
        <v>0</v>
      </c>
      <c r="J519" t="n">
        <v>0</v>
      </c>
      <c r="K519" t="n">
        <v>0</v>
      </c>
      <c r="L519" t="n">
        <v>0</v>
      </c>
      <c r="M519" t="n">
        <v>0</v>
      </c>
      <c r="N519" t="n">
        <v>0</v>
      </c>
      <c r="O519" t="n">
        <v>0</v>
      </c>
      <c r="P519" t="n">
        <v>0</v>
      </c>
      <c r="Q519" t="n">
        <v>0</v>
      </c>
      <c r="R519" s="2" t="inlineStr"/>
    </row>
    <row r="520" ht="15" customHeight="1">
      <c r="A520" t="inlineStr">
        <is>
          <t>A 57114-2023</t>
        </is>
      </c>
      <c r="B520" s="1" t="n">
        <v>45245.36174768519</v>
      </c>
      <c r="C520" s="1" t="n">
        <v>46161</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3423-2022</t>
        </is>
      </c>
      <c r="B521" s="1" t="n">
        <v>44585.50431712963</v>
      </c>
      <c r="C521" s="1" t="n">
        <v>46161</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40665-2023</t>
        </is>
      </c>
      <c r="B522" s="1" t="n">
        <v>45170</v>
      </c>
      <c r="C522" s="1" t="n">
        <v>46161</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38964-2025</t>
        </is>
      </c>
      <c r="B523" s="1" t="n">
        <v>45887.68759259259</v>
      </c>
      <c r="C523" s="1" t="n">
        <v>46161</v>
      </c>
      <c r="D523" t="inlineStr">
        <is>
          <t>KALMAR LÄN</t>
        </is>
      </c>
      <c r="E523" t="inlineStr">
        <is>
          <t>VIMMERBY</t>
        </is>
      </c>
      <c r="G523" t="n">
        <v>7.5</v>
      </c>
      <c r="H523" t="n">
        <v>0</v>
      </c>
      <c r="I523" t="n">
        <v>0</v>
      </c>
      <c r="J523" t="n">
        <v>0</v>
      </c>
      <c r="K523" t="n">
        <v>0</v>
      </c>
      <c r="L523" t="n">
        <v>0</v>
      </c>
      <c r="M523" t="n">
        <v>0</v>
      </c>
      <c r="N523" t="n">
        <v>0</v>
      </c>
      <c r="O523" t="n">
        <v>0</v>
      </c>
      <c r="P523" t="n">
        <v>0</v>
      </c>
      <c r="Q523" t="n">
        <v>0</v>
      </c>
      <c r="R523" s="2" t="inlineStr"/>
    </row>
    <row r="524" ht="15" customHeight="1">
      <c r="A524" t="inlineStr">
        <is>
          <t>A 57728-2025</t>
        </is>
      </c>
      <c r="B524" s="1" t="n">
        <v>45981</v>
      </c>
      <c r="C524" s="1" t="n">
        <v>46161</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58503-2025</t>
        </is>
      </c>
      <c r="B525" s="1" t="n">
        <v>45985.69509259259</v>
      </c>
      <c r="C525" s="1" t="n">
        <v>46161</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58498-2025</t>
        </is>
      </c>
      <c r="B526" s="1" t="n">
        <v>45985.68671296296</v>
      </c>
      <c r="C526" s="1" t="n">
        <v>46161</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58501-2025</t>
        </is>
      </c>
      <c r="B527" s="1" t="n">
        <v>45985.69153935185</v>
      </c>
      <c r="C527" s="1" t="n">
        <v>46161</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58514-2025</t>
        </is>
      </c>
      <c r="B528" s="1" t="n">
        <v>45985.70513888889</v>
      </c>
      <c r="C528" s="1" t="n">
        <v>46161</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58442-2025</t>
        </is>
      </c>
      <c r="B529" s="1" t="n">
        <v>45985.61635416667</v>
      </c>
      <c r="C529" s="1" t="n">
        <v>46161</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50860-2022</t>
        </is>
      </c>
      <c r="B530" s="1" t="n">
        <v>44867</v>
      </c>
      <c r="C530" s="1" t="n">
        <v>46161</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25370-2022</t>
        </is>
      </c>
      <c r="B531" s="1" t="n">
        <v>44732.3659837963</v>
      </c>
      <c r="C531" s="1" t="n">
        <v>46161</v>
      </c>
      <c r="D531" t="inlineStr">
        <is>
          <t>KALMAR LÄN</t>
        </is>
      </c>
      <c r="E531" t="inlineStr">
        <is>
          <t>VIMMERBY</t>
        </is>
      </c>
      <c r="G531" t="n">
        <v>1.2</v>
      </c>
      <c r="H531" t="n">
        <v>0</v>
      </c>
      <c r="I531" t="n">
        <v>0</v>
      </c>
      <c r="J531" t="n">
        <v>0</v>
      </c>
      <c r="K531" t="n">
        <v>0</v>
      </c>
      <c r="L531" t="n">
        <v>0</v>
      </c>
      <c r="M531" t="n">
        <v>0</v>
      </c>
      <c r="N531" t="n">
        <v>0</v>
      </c>
      <c r="O531" t="n">
        <v>0</v>
      </c>
      <c r="P531" t="n">
        <v>0</v>
      </c>
      <c r="Q531" t="n">
        <v>0</v>
      </c>
      <c r="R531" s="2" t="inlineStr"/>
    </row>
    <row r="532" ht="15" customHeight="1">
      <c r="A532" t="inlineStr">
        <is>
          <t>A 58577-2024</t>
        </is>
      </c>
      <c r="B532" s="1" t="n">
        <v>45635.4874537037</v>
      </c>
      <c r="C532" s="1" t="n">
        <v>46161</v>
      </c>
      <c r="D532" t="inlineStr">
        <is>
          <t>KALMAR LÄN</t>
        </is>
      </c>
      <c r="E532" t="inlineStr">
        <is>
          <t>VIMMERBY</t>
        </is>
      </c>
      <c r="G532" t="n">
        <v>1.1</v>
      </c>
      <c r="H532" t="n">
        <v>0</v>
      </c>
      <c r="I532" t="n">
        <v>0</v>
      </c>
      <c r="J532" t="n">
        <v>0</v>
      </c>
      <c r="K532" t="n">
        <v>0</v>
      </c>
      <c r="L532" t="n">
        <v>0</v>
      </c>
      <c r="M532" t="n">
        <v>0</v>
      </c>
      <c r="N532" t="n">
        <v>0</v>
      </c>
      <c r="O532" t="n">
        <v>0</v>
      </c>
      <c r="P532" t="n">
        <v>0</v>
      </c>
      <c r="Q532" t="n">
        <v>0</v>
      </c>
      <c r="R532" s="2" t="inlineStr"/>
    </row>
    <row r="533" ht="15" customHeight="1">
      <c r="A533" t="inlineStr">
        <is>
          <t>A 58435-2025</t>
        </is>
      </c>
      <c r="B533" s="1" t="n">
        <v>45985.61501157407</v>
      </c>
      <c r="C533" s="1" t="n">
        <v>46161</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58446-2025</t>
        </is>
      </c>
      <c r="B534" s="1" t="n">
        <v>45985.62168981481</v>
      </c>
      <c r="C534" s="1" t="n">
        <v>46161</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29440-2024</t>
        </is>
      </c>
      <c r="B535" s="1" t="n">
        <v>45483.82479166667</v>
      </c>
      <c r="C535" s="1" t="n">
        <v>46161</v>
      </c>
      <c r="D535" t="inlineStr">
        <is>
          <t>KALMAR LÄN</t>
        </is>
      </c>
      <c r="E535" t="inlineStr">
        <is>
          <t>VIMMERBY</t>
        </is>
      </c>
      <c r="G535" t="n">
        <v>4.5</v>
      </c>
      <c r="H535" t="n">
        <v>0</v>
      </c>
      <c r="I535" t="n">
        <v>0</v>
      </c>
      <c r="J535" t="n">
        <v>0</v>
      </c>
      <c r="K535" t="n">
        <v>0</v>
      </c>
      <c r="L535" t="n">
        <v>0</v>
      </c>
      <c r="M535" t="n">
        <v>0</v>
      </c>
      <c r="N535" t="n">
        <v>0</v>
      </c>
      <c r="O535" t="n">
        <v>0</v>
      </c>
      <c r="P535" t="n">
        <v>0</v>
      </c>
      <c r="Q535" t="n">
        <v>0</v>
      </c>
      <c r="R535" s="2" t="inlineStr"/>
    </row>
    <row r="536" ht="15" customHeight="1">
      <c r="A536" t="inlineStr">
        <is>
          <t>A 58500-2025</t>
        </is>
      </c>
      <c r="B536" s="1" t="n">
        <v>45985.69008101852</v>
      </c>
      <c r="C536" s="1" t="n">
        <v>46161</v>
      </c>
      <c r="D536" t="inlineStr">
        <is>
          <t>KALMAR LÄN</t>
        </is>
      </c>
      <c r="E536" t="inlineStr">
        <is>
          <t>VIMMERBY</t>
        </is>
      </c>
      <c r="G536" t="n">
        <v>1.8</v>
      </c>
      <c r="H536" t="n">
        <v>0</v>
      </c>
      <c r="I536" t="n">
        <v>0</v>
      </c>
      <c r="J536" t="n">
        <v>0</v>
      </c>
      <c r="K536" t="n">
        <v>0</v>
      </c>
      <c r="L536" t="n">
        <v>0</v>
      </c>
      <c r="M536" t="n">
        <v>0</v>
      </c>
      <c r="N536" t="n">
        <v>0</v>
      </c>
      <c r="O536" t="n">
        <v>0</v>
      </c>
      <c r="P536" t="n">
        <v>0</v>
      </c>
      <c r="Q536" t="n">
        <v>0</v>
      </c>
      <c r="R536" s="2" t="inlineStr"/>
    </row>
    <row r="537" ht="15" customHeight="1">
      <c r="A537" t="inlineStr">
        <is>
          <t>A 58841-2025</t>
        </is>
      </c>
      <c r="B537" s="1" t="n">
        <v>45987.36275462963</v>
      </c>
      <c r="C537" s="1" t="n">
        <v>46161</v>
      </c>
      <c r="D537" t="inlineStr">
        <is>
          <t>KALMAR LÄN</t>
        </is>
      </c>
      <c r="E537" t="inlineStr">
        <is>
          <t>VIMMERBY</t>
        </is>
      </c>
      <c r="G537" t="n">
        <v>3.5</v>
      </c>
      <c r="H537" t="n">
        <v>0</v>
      </c>
      <c r="I537" t="n">
        <v>0</v>
      </c>
      <c r="J537" t="n">
        <v>0</v>
      </c>
      <c r="K537" t="n">
        <v>0</v>
      </c>
      <c r="L537" t="n">
        <v>0</v>
      </c>
      <c r="M537" t="n">
        <v>0</v>
      </c>
      <c r="N537" t="n">
        <v>0</v>
      </c>
      <c r="O537" t="n">
        <v>0</v>
      </c>
      <c r="P537" t="n">
        <v>0</v>
      </c>
      <c r="Q537" t="n">
        <v>0</v>
      </c>
      <c r="R537" s="2" t="inlineStr"/>
    </row>
    <row r="538" ht="15" customHeight="1">
      <c r="A538" t="inlineStr">
        <is>
          <t>A 9129-2025</t>
        </is>
      </c>
      <c r="B538" s="1" t="n">
        <v>45713.92412037037</v>
      </c>
      <c r="C538" s="1" t="n">
        <v>46161</v>
      </c>
      <c r="D538" t="inlineStr">
        <is>
          <t>KALMAR LÄN</t>
        </is>
      </c>
      <c r="E538" t="inlineStr">
        <is>
          <t>VIMMERBY</t>
        </is>
      </c>
      <c r="G538" t="n">
        <v>2.8</v>
      </c>
      <c r="H538" t="n">
        <v>0</v>
      </c>
      <c r="I538" t="n">
        <v>0</v>
      </c>
      <c r="J538" t="n">
        <v>0</v>
      </c>
      <c r="K538" t="n">
        <v>0</v>
      </c>
      <c r="L538" t="n">
        <v>0</v>
      </c>
      <c r="M538" t="n">
        <v>0</v>
      </c>
      <c r="N538" t="n">
        <v>0</v>
      </c>
      <c r="O538" t="n">
        <v>0</v>
      </c>
      <c r="P538" t="n">
        <v>0</v>
      </c>
      <c r="Q538" t="n">
        <v>0</v>
      </c>
      <c r="R538" s="2" t="inlineStr"/>
    </row>
    <row r="539" ht="15" customHeight="1">
      <c r="A539" t="inlineStr">
        <is>
          <t>A 22197-2024</t>
        </is>
      </c>
      <c r="B539" s="1" t="n">
        <v>45446.36774305555</v>
      </c>
      <c r="C539" s="1" t="n">
        <v>46161</v>
      </c>
      <c r="D539" t="inlineStr">
        <is>
          <t>KALMAR LÄN</t>
        </is>
      </c>
      <c r="E539" t="inlineStr">
        <is>
          <t>VIMMERBY</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53752-2024</t>
        </is>
      </c>
      <c r="B540" s="1" t="n">
        <v>45615.48927083334</v>
      </c>
      <c r="C540" s="1" t="n">
        <v>46161</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58858-2025</t>
        </is>
      </c>
      <c r="B541" s="1" t="n">
        <v>45987.4243287037</v>
      </c>
      <c r="C541" s="1" t="n">
        <v>46161</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12121-2025</t>
        </is>
      </c>
      <c r="B542" s="1" t="n">
        <v>45729.36868055556</v>
      </c>
      <c r="C542" s="1" t="n">
        <v>46161</v>
      </c>
      <c r="D542" t="inlineStr">
        <is>
          <t>KALMAR LÄN</t>
        </is>
      </c>
      <c r="E542" t="inlineStr">
        <is>
          <t>VIMMERBY</t>
        </is>
      </c>
      <c r="G542" t="n">
        <v>4.3</v>
      </c>
      <c r="H542" t="n">
        <v>0</v>
      </c>
      <c r="I542" t="n">
        <v>0</v>
      </c>
      <c r="J542" t="n">
        <v>0</v>
      </c>
      <c r="K542" t="n">
        <v>0</v>
      </c>
      <c r="L542" t="n">
        <v>0</v>
      </c>
      <c r="M542" t="n">
        <v>0</v>
      </c>
      <c r="N542" t="n">
        <v>0</v>
      </c>
      <c r="O542" t="n">
        <v>0</v>
      </c>
      <c r="P542" t="n">
        <v>0</v>
      </c>
      <c r="Q542" t="n">
        <v>0</v>
      </c>
      <c r="R542" s="2" t="inlineStr"/>
    </row>
    <row r="543" ht="15" customHeight="1">
      <c r="A543" t="inlineStr">
        <is>
          <t>A 59039-2025</t>
        </is>
      </c>
      <c r="B543" s="1" t="n">
        <v>45988.36790509259</v>
      </c>
      <c r="C543" s="1" t="n">
        <v>46161</v>
      </c>
      <c r="D543" t="inlineStr">
        <is>
          <t>KALMAR LÄN</t>
        </is>
      </c>
      <c r="E543" t="inlineStr">
        <is>
          <t>VIMMERBY</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9710-2023</t>
        </is>
      </c>
      <c r="B544" s="1" t="n">
        <v>44984</v>
      </c>
      <c r="C544" s="1" t="n">
        <v>46161</v>
      </c>
      <c r="D544" t="inlineStr">
        <is>
          <t>KALMAR LÄN</t>
        </is>
      </c>
      <c r="E544" t="inlineStr">
        <is>
          <t>VIMMERBY</t>
        </is>
      </c>
      <c r="G544" t="n">
        <v>3.7</v>
      </c>
      <c r="H544" t="n">
        <v>0</v>
      </c>
      <c r="I544" t="n">
        <v>0</v>
      </c>
      <c r="J544" t="n">
        <v>0</v>
      </c>
      <c r="K544" t="n">
        <v>0</v>
      </c>
      <c r="L544" t="n">
        <v>0</v>
      </c>
      <c r="M544" t="n">
        <v>0</v>
      </c>
      <c r="N544" t="n">
        <v>0</v>
      </c>
      <c r="O544" t="n">
        <v>0</v>
      </c>
      <c r="P544" t="n">
        <v>0</v>
      </c>
      <c r="Q544" t="n">
        <v>0</v>
      </c>
      <c r="R544" s="2" t="inlineStr"/>
    </row>
    <row r="545" ht="15" customHeight="1">
      <c r="A545" t="inlineStr">
        <is>
          <t>A 9720-2023</t>
        </is>
      </c>
      <c r="B545" s="1" t="n">
        <v>44984</v>
      </c>
      <c r="C545" s="1" t="n">
        <v>46161</v>
      </c>
      <c r="D545" t="inlineStr">
        <is>
          <t>KALMAR LÄN</t>
        </is>
      </c>
      <c r="E545" t="inlineStr">
        <is>
          <t>VIMMERBY</t>
        </is>
      </c>
      <c r="G545" t="n">
        <v>4.4</v>
      </c>
      <c r="H545" t="n">
        <v>0</v>
      </c>
      <c r="I545" t="n">
        <v>0</v>
      </c>
      <c r="J545" t="n">
        <v>0</v>
      </c>
      <c r="K545" t="n">
        <v>0</v>
      </c>
      <c r="L545" t="n">
        <v>0</v>
      </c>
      <c r="M545" t="n">
        <v>0</v>
      </c>
      <c r="N545" t="n">
        <v>0</v>
      </c>
      <c r="O545" t="n">
        <v>0</v>
      </c>
      <c r="P545" t="n">
        <v>0</v>
      </c>
      <c r="Q545" t="n">
        <v>0</v>
      </c>
      <c r="R545" s="2" t="inlineStr"/>
    </row>
    <row r="546" ht="15" customHeight="1">
      <c r="A546" t="inlineStr">
        <is>
          <t>A 15493-2023</t>
        </is>
      </c>
      <c r="B546" s="1" t="n">
        <v>45018</v>
      </c>
      <c r="C546" s="1" t="n">
        <v>46161</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59034-2025</t>
        </is>
      </c>
      <c r="B547" s="1" t="n">
        <v>45988.36243055556</v>
      </c>
      <c r="C547" s="1" t="n">
        <v>46161</v>
      </c>
      <c r="D547" t="inlineStr">
        <is>
          <t>KALMAR LÄN</t>
        </is>
      </c>
      <c r="E547" t="inlineStr">
        <is>
          <t>VIMMERBY</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59037-2025</t>
        </is>
      </c>
      <c r="B548" s="1" t="n">
        <v>45988.36508101852</v>
      </c>
      <c r="C548" s="1" t="n">
        <v>46161</v>
      </c>
      <c r="D548" t="inlineStr">
        <is>
          <t>KALMAR LÄN</t>
        </is>
      </c>
      <c r="E548" t="inlineStr">
        <is>
          <t>VIMMERBY</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59068-2025</t>
        </is>
      </c>
      <c r="B549" s="1" t="n">
        <v>45988.41725694444</v>
      </c>
      <c r="C549" s="1" t="n">
        <v>46161</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59579-2025</t>
        </is>
      </c>
      <c r="B550" s="1" t="n">
        <v>45992.30569444445</v>
      </c>
      <c r="C550" s="1" t="n">
        <v>46161</v>
      </c>
      <c r="D550" t="inlineStr">
        <is>
          <t>KALMAR LÄN</t>
        </is>
      </c>
      <c r="E550" t="inlineStr">
        <is>
          <t>VIMMERBY</t>
        </is>
      </c>
      <c r="G550" t="n">
        <v>1.3</v>
      </c>
      <c r="H550" t="n">
        <v>0</v>
      </c>
      <c r="I550" t="n">
        <v>0</v>
      </c>
      <c r="J550" t="n">
        <v>0</v>
      </c>
      <c r="K550" t="n">
        <v>0</v>
      </c>
      <c r="L550" t="n">
        <v>0</v>
      </c>
      <c r="M550" t="n">
        <v>0</v>
      </c>
      <c r="N550" t="n">
        <v>0</v>
      </c>
      <c r="O550" t="n">
        <v>0</v>
      </c>
      <c r="P550" t="n">
        <v>0</v>
      </c>
      <c r="Q550" t="n">
        <v>0</v>
      </c>
      <c r="R550" s="2" t="inlineStr"/>
    </row>
    <row r="551" ht="15" customHeight="1">
      <c r="A551" t="inlineStr">
        <is>
          <t>A 29093-2023</t>
        </is>
      </c>
      <c r="B551" s="1" t="n">
        <v>45105</v>
      </c>
      <c r="C551" s="1" t="n">
        <v>46161</v>
      </c>
      <c r="D551" t="inlineStr">
        <is>
          <t>KALMAR LÄN</t>
        </is>
      </c>
      <c r="E551" t="inlineStr">
        <is>
          <t>VIMMERBY</t>
        </is>
      </c>
      <c r="G551" t="n">
        <v>2.9</v>
      </c>
      <c r="H551" t="n">
        <v>0</v>
      </c>
      <c r="I551" t="n">
        <v>0</v>
      </c>
      <c r="J551" t="n">
        <v>0</v>
      </c>
      <c r="K551" t="n">
        <v>0</v>
      </c>
      <c r="L551" t="n">
        <v>0</v>
      </c>
      <c r="M551" t="n">
        <v>0</v>
      </c>
      <c r="N551" t="n">
        <v>0</v>
      </c>
      <c r="O551" t="n">
        <v>0</v>
      </c>
      <c r="P551" t="n">
        <v>0</v>
      </c>
      <c r="Q551" t="n">
        <v>0</v>
      </c>
      <c r="R551" s="2" t="inlineStr"/>
    </row>
    <row r="552" ht="15" customHeight="1">
      <c r="A552" t="inlineStr">
        <is>
          <t>A 33352-2022</t>
        </is>
      </c>
      <c r="B552" s="1" t="n">
        <v>44788</v>
      </c>
      <c r="C552" s="1" t="n">
        <v>46161</v>
      </c>
      <c r="D552" t="inlineStr">
        <is>
          <t>KALMAR LÄN</t>
        </is>
      </c>
      <c r="E552" t="inlineStr">
        <is>
          <t>VIMMERBY</t>
        </is>
      </c>
      <c r="G552" t="n">
        <v>0.8</v>
      </c>
      <c r="H552" t="n">
        <v>0</v>
      </c>
      <c r="I552" t="n">
        <v>0</v>
      </c>
      <c r="J552" t="n">
        <v>0</v>
      </c>
      <c r="K552" t="n">
        <v>0</v>
      </c>
      <c r="L552" t="n">
        <v>0</v>
      </c>
      <c r="M552" t="n">
        <v>0</v>
      </c>
      <c r="N552" t="n">
        <v>0</v>
      </c>
      <c r="O552" t="n">
        <v>0</v>
      </c>
      <c r="P552" t="n">
        <v>0</v>
      </c>
      <c r="Q552" t="n">
        <v>0</v>
      </c>
      <c r="R552" s="2" t="inlineStr"/>
    </row>
    <row r="553" ht="15" customHeight="1">
      <c r="A553" t="inlineStr">
        <is>
          <t>A 22264-2023</t>
        </is>
      </c>
      <c r="B553" s="1" t="n">
        <v>45070.3665625</v>
      </c>
      <c r="C553" s="1" t="n">
        <v>46161</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16676-2023</t>
        </is>
      </c>
      <c r="B554" s="1" t="n">
        <v>45028</v>
      </c>
      <c r="C554" s="1" t="n">
        <v>46161</v>
      </c>
      <c r="D554" t="inlineStr">
        <is>
          <t>KALMAR LÄN</t>
        </is>
      </c>
      <c r="E554" t="inlineStr">
        <is>
          <t>VIMMERBY</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6220-2025</t>
        </is>
      </c>
      <c r="B555" s="1" t="n">
        <v>45698.53725694444</v>
      </c>
      <c r="C555" s="1" t="n">
        <v>46161</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24096-2024</t>
        </is>
      </c>
      <c r="B556" s="1" t="n">
        <v>45456.59289351852</v>
      </c>
      <c r="C556" s="1" t="n">
        <v>46161</v>
      </c>
      <c r="D556" t="inlineStr">
        <is>
          <t>KALMAR LÄN</t>
        </is>
      </c>
      <c r="E556" t="inlineStr">
        <is>
          <t>VIMMERBY</t>
        </is>
      </c>
      <c r="G556" t="n">
        <v>2.3</v>
      </c>
      <c r="H556" t="n">
        <v>0</v>
      </c>
      <c r="I556" t="n">
        <v>0</v>
      </c>
      <c r="J556" t="n">
        <v>0</v>
      </c>
      <c r="K556" t="n">
        <v>0</v>
      </c>
      <c r="L556" t="n">
        <v>0</v>
      </c>
      <c r="M556" t="n">
        <v>0</v>
      </c>
      <c r="N556" t="n">
        <v>0</v>
      </c>
      <c r="O556" t="n">
        <v>0</v>
      </c>
      <c r="P556" t="n">
        <v>0</v>
      </c>
      <c r="Q556" t="n">
        <v>0</v>
      </c>
      <c r="R556" s="2" t="inlineStr"/>
    </row>
    <row r="557" ht="15" customHeight="1">
      <c r="A557" t="inlineStr">
        <is>
          <t>A 29013-2024</t>
        </is>
      </c>
      <c r="B557" s="1" t="n">
        <v>45481.55984953704</v>
      </c>
      <c r="C557" s="1" t="n">
        <v>46161</v>
      </c>
      <c r="D557" t="inlineStr">
        <is>
          <t>KALMAR LÄN</t>
        </is>
      </c>
      <c r="E557" t="inlineStr">
        <is>
          <t>VIMMERBY</t>
        </is>
      </c>
      <c r="G557" t="n">
        <v>3.4</v>
      </c>
      <c r="H557" t="n">
        <v>0</v>
      </c>
      <c r="I557" t="n">
        <v>0</v>
      </c>
      <c r="J557" t="n">
        <v>0</v>
      </c>
      <c r="K557" t="n">
        <v>0</v>
      </c>
      <c r="L557" t="n">
        <v>0</v>
      </c>
      <c r="M557" t="n">
        <v>0</v>
      </c>
      <c r="N557" t="n">
        <v>0</v>
      </c>
      <c r="O557" t="n">
        <v>0</v>
      </c>
      <c r="P557" t="n">
        <v>0</v>
      </c>
      <c r="Q557" t="n">
        <v>0</v>
      </c>
      <c r="R557" s="2" t="inlineStr"/>
    </row>
    <row r="558" ht="15" customHeight="1">
      <c r="A558" t="inlineStr">
        <is>
          <t>A 6066-2023</t>
        </is>
      </c>
      <c r="B558" s="1" t="n">
        <v>44964.50894675926</v>
      </c>
      <c r="C558" s="1" t="n">
        <v>46161</v>
      </c>
      <c r="D558" t="inlineStr">
        <is>
          <t>KALMAR LÄN</t>
        </is>
      </c>
      <c r="E558" t="inlineStr">
        <is>
          <t>VIMMERBY</t>
        </is>
      </c>
      <c r="G558" t="n">
        <v>2.8</v>
      </c>
      <c r="H558" t="n">
        <v>0</v>
      </c>
      <c r="I558" t="n">
        <v>0</v>
      </c>
      <c r="J558" t="n">
        <v>0</v>
      </c>
      <c r="K558" t="n">
        <v>0</v>
      </c>
      <c r="L558" t="n">
        <v>0</v>
      </c>
      <c r="M558" t="n">
        <v>0</v>
      </c>
      <c r="N558" t="n">
        <v>0</v>
      </c>
      <c r="O558" t="n">
        <v>0</v>
      </c>
      <c r="P558" t="n">
        <v>0</v>
      </c>
      <c r="Q558" t="n">
        <v>0</v>
      </c>
      <c r="R558" s="2" t="inlineStr"/>
    </row>
    <row r="559" ht="15" customHeight="1">
      <c r="A559" t="inlineStr">
        <is>
          <t>A 59955-2023</t>
        </is>
      </c>
      <c r="B559" s="1" t="n">
        <v>45257.70313657408</v>
      </c>
      <c r="C559" s="1" t="n">
        <v>46161</v>
      </c>
      <c r="D559" t="inlineStr">
        <is>
          <t>KALMAR LÄN</t>
        </is>
      </c>
      <c r="E559" t="inlineStr">
        <is>
          <t>VIMMERBY</t>
        </is>
      </c>
      <c r="G559" t="n">
        <v>13.8</v>
      </c>
      <c r="H559" t="n">
        <v>0</v>
      </c>
      <c r="I559" t="n">
        <v>0</v>
      </c>
      <c r="J559" t="n">
        <v>0</v>
      </c>
      <c r="K559" t="n">
        <v>0</v>
      </c>
      <c r="L559" t="n">
        <v>0</v>
      </c>
      <c r="M559" t="n">
        <v>0</v>
      </c>
      <c r="N559" t="n">
        <v>0</v>
      </c>
      <c r="O559" t="n">
        <v>0</v>
      </c>
      <c r="P559" t="n">
        <v>0</v>
      </c>
      <c r="Q559" t="n">
        <v>0</v>
      </c>
      <c r="R559" s="2" t="inlineStr"/>
    </row>
    <row r="560" ht="15" customHeight="1">
      <c r="A560" t="inlineStr">
        <is>
          <t>A 36040-2024</t>
        </is>
      </c>
      <c r="B560" s="1" t="n">
        <v>45533.60232638889</v>
      </c>
      <c r="C560" s="1" t="n">
        <v>46161</v>
      </c>
      <c r="D560" t="inlineStr">
        <is>
          <t>KALMAR LÄN</t>
        </is>
      </c>
      <c r="E560" t="inlineStr">
        <is>
          <t>VIMMERBY</t>
        </is>
      </c>
      <c r="F560" t="inlineStr">
        <is>
          <t>Kommuner</t>
        </is>
      </c>
      <c r="G560" t="n">
        <v>3.6</v>
      </c>
      <c r="H560" t="n">
        <v>0</v>
      </c>
      <c r="I560" t="n">
        <v>0</v>
      </c>
      <c r="J560" t="n">
        <v>0</v>
      </c>
      <c r="K560" t="n">
        <v>0</v>
      </c>
      <c r="L560" t="n">
        <v>0</v>
      </c>
      <c r="M560" t="n">
        <v>0</v>
      </c>
      <c r="N560" t="n">
        <v>0</v>
      </c>
      <c r="O560" t="n">
        <v>0</v>
      </c>
      <c r="P560" t="n">
        <v>0</v>
      </c>
      <c r="Q560" t="n">
        <v>0</v>
      </c>
      <c r="R560" s="2" t="inlineStr"/>
    </row>
    <row r="561" ht="15" customHeight="1">
      <c r="A561" t="inlineStr">
        <is>
          <t>A 36043-2024</t>
        </is>
      </c>
      <c r="B561" s="1" t="n">
        <v>45533.60770833334</v>
      </c>
      <c r="C561" s="1" t="n">
        <v>46161</v>
      </c>
      <c r="D561" t="inlineStr">
        <is>
          <t>KALMAR LÄN</t>
        </is>
      </c>
      <c r="E561" t="inlineStr">
        <is>
          <t>VIMMERBY</t>
        </is>
      </c>
      <c r="F561" t="inlineStr">
        <is>
          <t>Kommuner</t>
        </is>
      </c>
      <c r="G561" t="n">
        <v>1.5</v>
      </c>
      <c r="H561" t="n">
        <v>0</v>
      </c>
      <c r="I561" t="n">
        <v>0</v>
      </c>
      <c r="J561" t="n">
        <v>0</v>
      </c>
      <c r="K561" t="n">
        <v>0</v>
      </c>
      <c r="L561" t="n">
        <v>0</v>
      </c>
      <c r="M561" t="n">
        <v>0</v>
      </c>
      <c r="N561" t="n">
        <v>0</v>
      </c>
      <c r="O561" t="n">
        <v>0</v>
      </c>
      <c r="P561" t="n">
        <v>0</v>
      </c>
      <c r="Q561" t="n">
        <v>0</v>
      </c>
      <c r="R561" s="2" t="inlineStr"/>
    </row>
    <row r="562" ht="15" customHeight="1">
      <c r="A562" t="inlineStr">
        <is>
          <t>A 12890-2023</t>
        </is>
      </c>
      <c r="B562" s="1" t="n">
        <v>45001.59209490741</v>
      </c>
      <c r="C562" s="1" t="n">
        <v>46161</v>
      </c>
      <c r="D562" t="inlineStr">
        <is>
          <t>KALMAR LÄN</t>
        </is>
      </c>
      <c r="E562" t="inlineStr">
        <is>
          <t>VIMMERBY</t>
        </is>
      </c>
      <c r="G562" t="n">
        <v>2.8</v>
      </c>
      <c r="H562" t="n">
        <v>0</v>
      </c>
      <c r="I562" t="n">
        <v>0</v>
      </c>
      <c r="J562" t="n">
        <v>0</v>
      </c>
      <c r="K562" t="n">
        <v>0</v>
      </c>
      <c r="L562" t="n">
        <v>0</v>
      </c>
      <c r="M562" t="n">
        <v>0</v>
      </c>
      <c r="N562" t="n">
        <v>0</v>
      </c>
      <c r="O562" t="n">
        <v>0</v>
      </c>
      <c r="P562" t="n">
        <v>0</v>
      </c>
      <c r="Q562" t="n">
        <v>0</v>
      </c>
      <c r="R562" s="2" t="inlineStr"/>
    </row>
    <row r="563" ht="15" customHeight="1">
      <c r="A563" t="inlineStr">
        <is>
          <t>A 43594-2024</t>
        </is>
      </c>
      <c r="B563" s="1" t="n">
        <v>45569.44295138889</v>
      </c>
      <c r="C563" s="1" t="n">
        <v>46161</v>
      </c>
      <c r="D563" t="inlineStr">
        <is>
          <t>KALMAR LÄN</t>
        </is>
      </c>
      <c r="E563" t="inlineStr">
        <is>
          <t>VIMMERBY</t>
        </is>
      </c>
      <c r="G563" t="n">
        <v>3.9</v>
      </c>
      <c r="H563" t="n">
        <v>0</v>
      </c>
      <c r="I563" t="n">
        <v>0</v>
      </c>
      <c r="J563" t="n">
        <v>0</v>
      </c>
      <c r="K563" t="n">
        <v>0</v>
      </c>
      <c r="L563" t="n">
        <v>0</v>
      </c>
      <c r="M563" t="n">
        <v>0</v>
      </c>
      <c r="N563" t="n">
        <v>0</v>
      </c>
      <c r="O563" t="n">
        <v>0</v>
      </c>
      <c r="P563" t="n">
        <v>0</v>
      </c>
      <c r="Q563" t="n">
        <v>0</v>
      </c>
      <c r="R563" s="2" t="inlineStr"/>
    </row>
    <row r="564" ht="15" customHeight="1">
      <c r="A564" t="inlineStr">
        <is>
          <t>A 60180-2025</t>
        </is>
      </c>
      <c r="B564" s="1" t="n">
        <v>45994.46428240741</v>
      </c>
      <c r="C564" s="1" t="n">
        <v>46161</v>
      </c>
      <c r="D564" t="inlineStr">
        <is>
          <t>KALMAR LÄN</t>
        </is>
      </c>
      <c r="E564" t="inlineStr">
        <is>
          <t>VIMMERBY</t>
        </is>
      </c>
      <c r="G564" t="n">
        <v>6.8</v>
      </c>
      <c r="H564" t="n">
        <v>0</v>
      </c>
      <c r="I564" t="n">
        <v>0</v>
      </c>
      <c r="J564" t="n">
        <v>0</v>
      </c>
      <c r="K564" t="n">
        <v>0</v>
      </c>
      <c r="L564" t="n">
        <v>0</v>
      </c>
      <c r="M564" t="n">
        <v>0</v>
      </c>
      <c r="N564" t="n">
        <v>0</v>
      </c>
      <c r="O564" t="n">
        <v>0</v>
      </c>
      <c r="P564" t="n">
        <v>0</v>
      </c>
      <c r="Q564" t="n">
        <v>0</v>
      </c>
      <c r="R564" s="2" t="inlineStr"/>
    </row>
    <row r="565" ht="15" customHeight="1">
      <c r="A565" t="inlineStr">
        <is>
          <t>A 53482-2022</t>
        </is>
      </c>
      <c r="B565" s="1" t="n">
        <v>44879</v>
      </c>
      <c r="C565" s="1" t="n">
        <v>46161</v>
      </c>
      <c r="D565" t="inlineStr">
        <is>
          <t>KALMAR LÄN</t>
        </is>
      </c>
      <c r="E565" t="inlineStr">
        <is>
          <t>VIMMERBY</t>
        </is>
      </c>
      <c r="G565" t="n">
        <v>10.1</v>
      </c>
      <c r="H565" t="n">
        <v>0</v>
      </c>
      <c r="I565" t="n">
        <v>0</v>
      </c>
      <c r="J565" t="n">
        <v>0</v>
      </c>
      <c r="K565" t="n">
        <v>0</v>
      </c>
      <c r="L565" t="n">
        <v>0</v>
      </c>
      <c r="M565" t="n">
        <v>0</v>
      </c>
      <c r="N565" t="n">
        <v>0</v>
      </c>
      <c r="O565" t="n">
        <v>0</v>
      </c>
      <c r="P565" t="n">
        <v>0</v>
      </c>
      <c r="Q565" t="n">
        <v>0</v>
      </c>
      <c r="R565" s="2" t="inlineStr"/>
    </row>
    <row r="566" ht="15" customHeight="1">
      <c r="A566" t="inlineStr">
        <is>
          <t>A 27761-2024</t>
        </is>
      </c>
      <c r="B566" s="1" t="n">
        <v>45475.49018518518</v>
      </c>
      <c r="C566" s="1" t="n">
        <v>46161</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64203-2021</t>
        </is>
      </c>
      <c r="B567" s="1" t="n">
        <v>44510.60921296296</v>
      </c>
      <c r="C567" s="1" t="n">
        <v>46161</v>
      </c>
      <c r="D567" t="inlineStr">
        <is>
          <t>KALMAR LÄN</t>
        </is>
      </c>
      <c r="E567" t="inlineStr">
        <is>
          <t>VIMMERBY</t>
        </is>
      </c>
      <c r="F567" t="inlineStr">
        <is>
          <t>Övriga Aktiebolag</t>
        </is>
      </c>
      <c r="G567" t="n">
        <v>5.4</v>
      </c>
      <c r="H567" t="n">
        <v>0</v>
      </c>
      <c r="I567" t="n">
        <v>0</v>
      </c>
      <c r="J567" t="n">
        <v>0</v>
      </c>
      <c r="K567" t="n">
        <v>0</v>
      </c>
      <c r="L567" t="n">
        <v>0</v>
      </c>
      <c r="M567" t="n">
        <v>0</v>
      </c>
      <c r="N567" t="n">
        <v>0</v>
      </c>
      <c r="O567" t="n">
        <v>0</v>
      </c>
      <c r="P567" t="n">
        <v>0</v>
      </c>
      <c r="Q567" t="n">
        <v>0</v>
      </c>
      <c r="R567" s="2" t="inlineStr"/>
    </row>
    <row r="568" ht="15" customHeight="1">
      <c r="A568" t="inlineStr">
        <is>
          <t>A 60297-2025</t>
        </is>
      </c>
      <c r="B568" s="1" t="n">
        <v>45994</v>
      </c>
      <c r="C568" s="1" t="n">
        <v>46161</v>
      </c>
      <c r="D568" t="inlineStr">
        <is>
          <t>KALMAR LÄN</t>
        </is>
      </c>
      <c r="E568" t="inlineStr">
        <is>
          <t>VIMMERBY</t>
        </is>
      </c>
      <c r="G568" t="n">
        <v>4.2</v>
      </c>
      <c r="H568" t="n">
        <v>0</v>
      </c>
      <c r="I568" t="n">
        <v>0</v>
      </c>
      <c r="J568" t="n">
        <v>0</v>
      </c>
      <c r="K568" t="n">
        <v>0</v>
      </c>
      <c r="L568" t="n">
        <v>0</v>
      </c>
      <c r="M568" t="n">
        <v>0</v>
      </c>
      <c r="N568" t="n">
        <v>0</v>
      </c>
      <c r="O568" t="n">
        <v>0</v>
      </c>
      <c r="P568" t="n">
        <v>0</v>
      </c>
      <c r="Q568" t="n">
        <v>0</v>
      </c>
      <c r="R568" s="2" t="inlineStr"/>
    </row>
    <row r="569" ht="15" customHeight="1">
      <c r="A569" t="inlineStr">
        <is>
          <t>A 5720-2023</t>
        </is>
      </c>
      <c r="B569" s="1" t="n">
        <v>44961</v>
      </c>
      <c r="C569" s="1" t="n">
        <v>46161</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9643-2023</t>
        </is>
      </c>
      <c r="B570" s="1" t="n">
        <v>44984</v>
      </c>
      <c r="C570" s="1" t="n">
        <v>46161</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25728-2023</t>
        </is>
      </c>
      <c r="B571" s="1" t="n">
        <v>45090.38012731481</v>
      </c>
      <c r="C571" s="1" t="n">
        <v>46161</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41311-2023</t>
        </is>
      </c>
      <c r="B572" s="1" t="n">
        <v>45174</v>
      </c>
      <c r="C572" s="1" t="n">
        <v>46161</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26318-2023</t>
        </is>
      </c>
      <c r="B573" s="1" t="n">
        <v>45091.67936342592</v>
      </c>
      <c r="C573" s="1" t="n">
        <v>46161</v>
      </c>
      <c r="D573" t="inlineStr">
        <is>
          <t>KALMAR LÄN</t>
        </is>
      </c>
      <c r="E573" t="inlineStr">
        <is>
          <t>VIMMERBY</t>
        </is>
      </c>
      <c r="G573" t="n">
        <v>3.8</v>
      </c>
      <c r="H573" t="n">
        <v>0</v>
      </c>
      <c r="I573" t="n">
        <v>0</v>
      </c>
      <c r="J573" t="n">
        <v>0</v>
      </c>
      <c r="K573" t="n">
        <v>0</v>
      </c>
      <c r="L573" t="n">
        <v>0</v>
      </c>
      <c r="M573" t="n">
        <v>0</v>
      </c>
      <c r="N573" t="n">
        <v>0</v>
      </c>
      <c r="O573" t="n">
        <v>0</v>
      </c>
      <c r="P573" t="n">
        <v>0</v>
      </c>
      <c r="Q573" t="n">
        <v>0</v>
      </c>
      <c r="R573" s="2" t="inlineStr"/>
    </row>
    <row r="574" ht="15" customHeight="1">
      <c r="A574" t="inlineStr">
        <is>
          <t>A 61355-2024</t>
        </is>
      </c>
      <c r="B574" s="1" t="n">
        <v>45646.38200231481</v>
      </c>
      <c r="C574" s="1" t="n">
        <v>46161</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61725-2025</t>
        </is>
      </c>
      <c r="B575" s="1" t="n">
        <v>46002.58680555555</v>
      </c>
      <c r="C575" s="1" t="n">
        <v>46161</v>
      </c>
      <c r="D575" t="inlineStr">
        <is>
          <t>KALMAR LÄN</t>
        </is>
      </c>
      <c r="E575" t="inlineStr">
        <is>
          <t>VIMMERBY</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61790-2025</t>
        </is>
      </c>
      <c r="B576" s="1" t="n">
        <v>46002.68768518518</v>
      </c>
      <c r="C576" s="1" t="n">
        <v>46161</v>
      </c>
      <c r="D576" t="inlineStr">
        <is>
          <t>KALMAR LÄN</t>
        </is>
      </c>
      <c r="E576" t="inlineStr">
        <is>
          <t>VIMMERBY</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36802-2021</t>
        </is>
      </c>
      <c r="B577" s="1" t="n">
        <v>44392</v>
      </c>
      <c r="C577" s="1" t="n">
        <v>46161</v>
      </c>
      <c r="D577" t="inlineStr">
        <is>
          <t>KALMAR LÄN</t>
        </is>
      </c>
      <c r="E577" t="inlineStr">
        <is>
          <t>VIMMERBY</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61726-2025</t>
        </is>
      </c>
      <c r="B578" s="1" t="n">
        <v>46002.58822916666</v>
      </c>
      <c r="C578" s="1" t="n">
        <v>46161</v>
      </c>
      <c r="D578" t="inlineStr">
        <is>
          <t>KALMAR LÄN</t>
        </is>
      </c>
      <c r="E578" t="inlineStr">
        <is>
          <t>VIMMERBY</t>
        </is>
      </c>
      <c r="F578" t="inlineStr">
        <is>
          <t>Sveaskog</t>
        </is>
      </c>
      <c r="G578" t="n">
        <v>0.2</v>
      </c>
      <c r="H578" t="n">
        <v>0</v>
      </c>
      <c r="I578" t="n">
        <v>0</v>
      </c>
      <c r="J578" t="n">
        <v>0</v>
      </c>
      <c r="K578" t="n">
        <v>0</v>
      </c>
      <c r="L578" t="n">
        <v>0</v>
      </c>
      <c r="M578" t="n">
        <v>0</v>
      </c>
      <c r="N578" t="n">
        <v>0</v>
      </c>
      <c r="O578" t="n">
        <v>0</v>
      </c>
      <c r="P578" t="n">
        <v>0</v>
      </c>
      <c r="Q578" t="n">
        <v>0</v>
      </c>
      <c r="R578" s="2" t="inlineStr"/>
    </row>
    <row r="579" ht="15" customHeight="1">
      <c r="A579" t="inlineStr">
        <is>
          <t>A 38198-2024</t>
        </is>
      </c>
      <c r="B579" s="1" t="n">
        <v>45545.49508101852</v>
      </c>
      <c r="C579" s="1" t="n">
        <v>46161</v>
      </c>
      <c r="D579" t="inlineStr">
        <is>
          <t>KALMAR LÄN</t>
        </is>
      </c>
      <c r="E579" t="inlineStr">
        <is>
          <t>VIMMERBY</t>
        </is>
      </c>
      <c r="G579" t="n">
        <v>7.9</v>
      </c>
      <c r="H579" t="n">
        <v>0</v>
      </c>
      <c r="I579" t="n">
        <v>0</v>
      </c>
      <c r="J579" t="n">
        <v>0</v>
      </c>
      <c r="K579" t="n">
        <v>0</v>
      </c>
      <c r="L579" t="n">
        <v>0</v>
      </c>
      <c r="M579" t="n">
        <v>0</v>
      </c>
      <c r="N579" t="n">
        <v>0</v>
      </c>
      <c r="O579" t="n">
        <v>0</v>
      </c>
      <c r="P579" t="n">
        <v>0</v>
      </c>
      <c r="Q579" t="n">
        <v>0</v>
      </c>
      <c r="R579" s="2" t="inlineStr"/>
    </row>
    <row r="580" ht="15" customHeight="1">
      <c r="A580" t="inlineStr">
        <is>
          <t>A 9623-2024</t>
        </is>
      </c>
      <c r="B580" s="1" t="n">
        <v>45361.87975694444</v>
      </c>
      <c r="C580" s="1" t="n">
        <v>46161</v>
      </c>
      <c r="D580" t="inlineStr">
        <is>
          <t>KALMAR LÄN</t>
        </is>
      </c>
      <c r="E580" t="inlineStr">
        <is>
          <t>VIMMERBY</t>
        </is>
      </c>
      <c r="G580" t="n">
        <v>1.6</v>
      </c>
      <c r="H580" t="n">
        <v>0</v>
      </c>
      <c r="I580" t="n">
        <v>0</v>
      </c>
      <c r="J580" t="n">
        <v>0</v>
      </c>
      <c r="K580" t="n">
        <v>0</v>
      </c>
      <c r="L580" t="n">
        <v>0</v>
      </c>
      <c r="M580" t="n">
        <v>0</v>
      </c>
      <c r="N580" t="n">
        <v>0</v>
      </c>
      <c r="O580" t="n">
        <v>0</v>
      </c>
      <c r="P580" t="n">
        <v>0</v>
      </c>
      <c r="Q580" t="n">
        <v>0</v>
      </c>
      <c r="R580" s="2" t="inlineStr"/>
    </row>
    <row r="581" ht="15" customHeight="1">
      <c r="A581" t="inlineStr">
        <is>
          <t>A 58967-2022</t>
        </is>
      </c>
      <c r="B581" s="1" t="n">
        <v>44896</v>
      </c>
      <c r="C581" s="1" t="n">
        <v>46161</v>
      </c>
      <c r="D581" t="inlineStr">
        <is>
          <t>KALMAR LÄN</t>
        </is>
      </c>
      <c r="E581" t="inlineStr">
        <is>
          <t>VIMMERBY</t>
        </is>
      </c>
      <c r="G581" t="n">
        <v>5</v>
      </c>
      <c r="H581" t="n">
        <v>0</v>
      </c>
      <c r="I581" t="n">
        <v>0</v>
      </c>
      <c r="J581" t="n">
        <v>0</v>
      </c>
      <c r="K581" t="n">
        <v>0</v>
      </c>
      <c r="L581" t="n">
        <v>0</v>
      </c>
      <c r="M581" t="n">
        <v>0</v>
      </c>
      <c r="N581" t="n">
        <v>0</v>
      </c>
      <c r="O581" t="n">
        <v>0</v>
      </c>
      <c r="P581" t="n">
        <v>0</v>
      </c>
      <c r="Q581" t="n">
        <v>0</v>
      </c>
      <c r="R581" s="2" t="inlineStr"/>
    </row>
    <row r="582" ht="15" customHeight="1">
      <c r="A582" t="inlineStr">
        <is>
          <t>A 6399-2025</t>
        </is>
      </c>
      <c r="B582" s="1" t="n">
        <v>45699.44291666667</v>
      </c>
      <c r="C582" s="1" t="n">
        <v>46161</v>
      </c>
      <c r="D582" t="inlineStr">
        <is>
          <t>KALMAR LÄN</t>
        </is>
      </c>
      <c r="E582" t="inlineStr">
        <is>
          <t>VIMMERBY</t>
        </is>
      </c>
      <c r="G582" t="n">
        <v>3.1</v>
      </c>
      <c r="H582" t="n">
        <v>0</v>
      </c>
      <c r="I582" t="n">
        <v>0</v>
      </c>
      <c r="J582" t="n">
        <v>0</v>
      </c>
      <c r="K582" t="n">
        <v>0</v>
      </c>
      <c r="L582" t="n">
        <v>0</v>
      </c>
      <c r="M582" t="n">
        <v>0</v>
      </c>
      <c r="N582" t="n">
        <v>0</v>
      </c>
      <c r="O582" t="n">
        <v>0</v>
      </c>
      <c r="P582" t="n">
        <v>0</v>
      </c>
      <c r="Q582" t="n">
        <v>0</v>
      </c>
      <c r="R582" s="2" t="inlineStr"/>
    </row>
    <row r="583" ht="15" customHeight="1">
      <c r="A583" t="inlineStr">
        <is>
          <t>A 31355-2023</t>
        </is>
      </c>
      <c r="B583" s="1" t="n">
        <v>45114.49505787037</v>
      </c>
      <c r="C583" s="1" t="n">
        <v>46161</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30400-2023</t>
        </is>
      </c>
      <c r="B584" s="1" t="n">
        <v>45111.48225694444</v>
      </c>
      <c r="C584" s="1" t="n">
        <v>46161</v>
      </c>
      <c r="D584" t="inlineStr">
        <is>
          <t>KALMAR LÄN</t>
        </is>
      </c>
      <c r="E584" t="inlineStr">
        <is>
          <t>VIMMERBY</t>
        </is>
      </c>
      <c r="G584" t="n">
        <v>2.7</v>
      </c>
      <c r="H584" t="n">
        <v>0</v>
      </c>
      <c r="I584" t="n">
        <v>0</v>
      </c>
      <c r="J584" t="n">
        <v>0</v>
      </c>
      <c r="K584" t="n">
        <v>0</v>
      </c>
      <c r="L584" t="n">
        <v>0</v>
      </c>
      <c r="M584" t="n">
        <v>0</v>
      </c>
      <c r="N584" t="n">
        <v>0</v>
      </c>
      <c r="O584" t="n">
        <v>0</v>
      </c>
      <c r="P584" t="n">
        <v>0</v>
      </c>
      <c r="Q584" t="n">
        <v>0</v>
      </c>
      <c r="R584" s="2" t="inlineStr"/>
    </row>
    <row r="585" ht="15" customHeight="1">
      <c r="A585" t="inlineStr">
        <is>
          <t>A 30404-2023</t>
        </is>
      </c>
      <c r="B585" s="1" t="n">
        <v>45111.48636574074</v>
      </c>
      <c r="C585" s="1" t="n">
        <v>46161</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27705-2023</t>
        </is>
      </c>
      <c r="B586" s="1" t="n">
        <v>45098.30535879629</v>
      </c>
      <c r="C586" s="1" t="n">
        <v>46161</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36843-2023</t>
        </is>
      </c>
      <c r="B587" s="1" t="n">
        <v>45154.49831018518</v>
      </c>
      <c r="C587" s="1" t="n">
        <v>46161</v>
      </c>
      <c r="D587" t="inlineStr">
        <is>
          <t>KALMAR LÄN</t>
        </is>
      </c>
      <c r="E587" t="inlineStr">
        <is>
          <t>VIMMERBY</t>
        </is>
      </c>
      <c r="G587" t="n">
        <v>2</v>
      </c>
      <c r="H587" t="n">
        <v>0</v>
      </c>
      <c r="I587" t="n">
        <v>0</v>
      </c>
      <c r="J587" t="n">
        <v>0</v>
      </c>
      <c r="K587" t="n">
        <v>0</v>
      </c>
      <c r="L587" t="n">
        <v>0</v>
      </c>
      <c r="M587" t="n">
        <v>0</v>
      </c>
      <c r="N587" t="n">
        <v>0</v>
      </c>
      <c r="O587" t="n">
        <v>0</v>
      </c>
      <c r="P587" t="n">
        <v>0</v>
      </c>
      <c r="Q587" t="n">
        <v>0</v>
      </c>
      <c r="R587" s="2" t="inlineStr"/>
    </row>
    <row r="588" ht="15" customHeight="1">
      <c r="A588" t="inlineStr">
        <is>
          <t>A 10785-2025</t>
        </is>
      </c>
      <c r="B588" s="1" t="n">
        <v>45722.48634259259</v>
      </c>
      <c r="C588" s="1" t="n">
        <v>46161</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29017-2024</t>
        </is>
      </c>
      <c r="B589" s="1" t="n">
        <v>45481.56722222222</v>
      </c>
      <c r="C589" s="1" t="n">
        <v>46161</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23263-2024</t>
        </is>
      </c>
      <c r="B590" s="1" t="n">
        <v>45453.36854166666</v>
      </c>
      <c r="C590" s="1" t="n">
        <v>46161</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11074-2023</t>
        </is>
      </c>
      <c r="B591" s="1" t="n">
        <v>44992.34151620371</v>
      </c>
      <c r="C591" s="1" t="n">
        <v>46161</v>
      </c>
      <c r="D591" t="inlineStr">
        <is>
          <t>KALMAR LÄN</t>
        </is>
      </c>
      <c r="E591" t="inlineStr">
        <is>
          <t>VIMMERBY</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61939-2021</t>
        </is>
      </c>
      <c r="B592" s="1" t="n">
        <v>44502</v>
      </c>
      <c r="C592" s="1" t="n">
        <v>46161</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12215-2024</t>
        </is>
      </c>
      <c r="B593" s="1" t="n">
        <v>45378.32185185186</v>
      </c>
      <c r="C593" s="1" t="n">
        <v>46161</v>
      </c>
      <c r="D593" t="inlineStr">
        <is>
          <t>KALMAR LÄN</t>
        </is>
      </c>
      <c r="E593" t="inlineStr">
        <is>
          <t>VIMMERBY</t>
        </is>
      </c>
      <c r="G593" t="n">
        <v>1.6</v>
      </c>
      <c r="H593" t="n">
        <v>0</v>
      </c>
      <c r="I593" t="n">
        <v>0</v>
      </c>
      <c r="J593" t="n">
        <v>0</v>
      </c>
      <c r="K593" t="n">
        <v>0</v>
      </c>
      <c r="L593" t="n">
        <v>0</v>
      </c>
      <c r="M593" t="n">
        <v>0</v>
      </c>
      <c r="N593" t="n">
        <v>0</v>
      </c>
      <c r="O593" t="n">
        <v>0</v>
      </c>
      <c r="P593" t="n">
        <v>0</v>
      </c>
      <c r="Q593" t="n">
        <v>0</v>
      </c>
      <c r="R593" s="2" t="inlineStr"/>
    </row>
    <row r="594" ht="15" customHeight="1">
      <c r="A594" t="inlineStr">
        <is>
          <t>A 11303-2025</t>
        </is>
      </c>
      <c r="B594" s="1" t="n">
        <v>45726.44471064815</v>
      </c>
      <c r="C594" s="1" t="n">
        <v>46161</v>
      </c>
      <c r="D594" t="inlineStr">
        <is>
          <t>KALMAR LÄN</t>
        </is>
      </c>
      <c r="E594" t="inlineStr">
        <is>
          <t>VIMMERBY</t>
        </is>
      </c>
      <c r="G594" t="n">
        <v>2.1</v>
      </c>
      <c r="H594" t="n">
        <v>0</v>
      </c>
      <c r="I594" t="n">
        <v>0</v>
      </c>
      <c r="J594" t="n">
        <v>0</v>
      </c>
      <c r="K594" t="n">
        <v>0</v>
      </c>
      <c r="L594" t="n">
        <v>0</v>
      </c>
      <c r="M594" t="n">
        <v>0</v>
      </c>
      <c r="N594" t="n">
        <v>0</v>
      </c>
      <c r="O594" t="n">
        <v>0</v>
      </c>
      <c r="P594" t="n">
        <v>0</v>
      </c>
      <c r="Q594" t="n">
        <v>0</v>
      </c>
      <c r="R594" s="2" t="inlineStr"/>
    </row>
    <row r="595" ht="15" customHeight="1">
      <c r="A595" t="inlineStr">
        <is>
          <t>A 12033-2024</t>
        </is>
      </c>
      <c r="B595" s="1" t="n">
        <v>45377.40043981482</v>
      </c>
      <c r="C595" s="1" t="n">
        <v>46161</v>
      </c>
      <c r="D595" t="inlineStr">
        <is>
          <t>KALMAR LÄN</t>
        </is>
      </c>
      <c r="E595" t="inlineStr">
        <is>
          <t>VIMMERBY</t>
        </is>
      </c>
      <c r="G595" t="n">
        <v>1.6</v>
      </c>
      <c r="H595" t="n">
        <v>0</v>
      </c>
      <c r="I595" t="n">
        <v>0</v>
      </c>
      <c r="J595" t="n">
        <v>0</v>
      </c>
      <c r="K595" t="n">
        <v>0</v>
      </c>
      <c r="L595" t="n">
        <v>0</v>
      </c>
      <c r="M595" t="n">
        <v>0</v>
      </c>
      <c r="N595" t="n">
        <v>0</v>
      </c>
      <c r="O595" t="n">
        <v>0</v>
      </c>
      <c r="P595" t="n">
        <v>0</v>
      </c>
      <c r="Q595" t="n">
        <v>0</v>
      </c>
      <c r="R595" s="2" t="inlineStr"/>
    </row>
    <row r="596" ht="15" customHeight="1">
      <c r="A596" t="inlineStr">
        <is>
          <t>A 51408-2023</t>
        </is>
      </c>
      <c r="B596" s="1" t="n">
        <v>45219.69356481481</v>
      </c>
      <c r="C596" s="1" t="n">
        <v>46161</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49488-2023</t>
        </is>
      </c>
      <c r="B597" s="1" t="n">
        <v>45211.55472222222</v>
      </c>
      <c r="C597" s="1" t="n">
        <v>46161</v>
      </c>
      <c r="D597" t="inlineStr">
        <is>
          <t>KALMAR LÄN</t>
        </is>
      </c>
      <c r="E597" t="inlineStr">
        <is>
          <t>VIMMERBY</t>
        </is>
      </c>
      <c r="F597" t="inlineStr">
        <is>
          <t>Sveaskog</t>
        </is>
      </c>
      <c r="G597" t="n">
        <v>6.2</v>
      </c>
      <c r="H597" t="n">
        <v>0</v>
      </c>
      <c r="I597" t="n">
        <v>0</v>
      </c>
      <c r="J597" t="n">
        <v>0</v>
      </c>
      <c r="K597" t="n">
        <v>0</v>
      </c>
      <c r="L597" t="n">
        <v>0</v>
      </c>
      <c r="M597" t="n">
        <v>0</v>
      </c>
      <c r="N597" t="n">
        <v>0</v>
      </c>
      <c r="O597" t="n">
        <v>0</v>
      </c>
      <c r="P597" t="n">
        <v>0</v>
      </c>
      <c r="Q597" t="n">
        <v>0</v>
      </c>
      <c r="R597" s="2" t="inlineStr"/>
    </row>
    <row r="598" ht="15" customHeight="1">
      <c r="A598" t="inlineStr">
        <is>
          <t>A 8410-2023</t>
        </is>
      </c>
      <c r="B598" s="1" t="n">
        <v>44977</v>
      </c>
      <c r="C598" s="1" t="n">
        <v>46161</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30920-2024</t>
        </is>
      </c>
      <c r="B599" s="1" t="n">
        <v>45498.673125</v>
      </c>
      <c r="C599" s="1" t="n">
        <v>46161</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63711-2025</t>
        </is>
      </c>
      <c r="B600" s="1" t="n">
        <v>46014.62724537037</v>
      </c>
      <c r="C600" s="1" t="n">
        <v>46161</v>
      </c>
      <c r="D600" t="inlineStr">
        <is>
          <t>KALMAR LÄN</t>
        </is>
      </c>
      <c r="E600" t="inlineStr">
        <is>
          <t>VIMMERBY</t>
        </is>
      </c>
      <c r="G600" t="n">
        <v>2.1</v>
      </c>
      <c r="H600" t="n">
        <v>0</v>
      </c>
      <c r="I600" t="n">
        <v>0</v>
      </c>
      <c r="J600" t="n">
        <v>0</v>
      </c>
      <c r="K600" t="n">
        <v>0</v>
      </c>
      <c r="L600" t="n">
        <v>0</v>
      </c>
      <c r="M600" t="n">
        <v>0</v>
      </c>
      <c r="N600" t="n">
        <v>0</v>
      </c>
      <c r="O600" t="n">
        <v>0</v>
      </c>
      <c r="P600" t="n">
        <v>0</v>
      </c>
      <c r="Q600" t="n">
        <v>0</v>
      </c>
      <c r="R600" s="2" t="inlineStr"/>
    </row>
    <row r="601" ht="15" customHeight="1">
      <c r="A601" t="inlineStr">
        <is>
          <t>A 61937-2025</t>
        </is>
      </c>
      <c r="B601" s="1" t="n">
        <v>46003</v>
      </c>
      <c r="C601" s="1" t="n">
        <v>46161</v>
      </c>
      <c r="D601" t="inlineStr">
        <is>
          <t>KALMAR LÄN</t>
        </is>
      </c>
      <c r="E601" t="inlineStr">
        <is>
          <t>VIMMERBY</t>
        </is>
      </c>
      <c r="G601" t="n">
        <v>3.4</v>
      </c>
      <c r="H601" t="n">
        <v>0</v>
      </c>
      <c r="I601" t="n">
        <v>0</v>
      </c>
      <c r="J601" t="n">
        <v>0</v>
      </c>
      <c r="K601" t="n">
        <v>0</v>
      </c>
      <c r="L601" t="n">
        <v>0</v>
      </c>
      <c r="M601" t="n">
        <v>0</v>
      </c>
      <c r="N601" t="n">
        <v>0</v>
      </c>
      <c r="O601" t="n">
        <v>0</v>
      </c>
      <c r="P601" t="n">
        <v>0</v>
      </c>
      <c r="Q601" t="n">
        <v>0</v>
      </c>
      <c r="R601" s="2" t="inlineStr"/>
    </row>
    <row r="602" ht="15" customHeight="1">
      <c r="A602" t="inlineStr">
        <is>
          <t>A 40929-2022</t>
        </is>
      </c>
      <c r="B602" s="1" t="n">
        <v>44825.4336574074</v>
      </c>
      <c r="C602" s="1" t="n">
        <v>46161</v>
      </c>
      <c r="D602" t="inlineStr">
        <is>
          <t>KALMAR LÄN</t>
        </is>
      </c>
      <c r="E602" t="inlineStr">
        <is>
          <t>VIMMERBY</t>
        </is>
      </c>
      <c r="G602" t="n">
        <v>2.5</v>
      </c>
      <c r="H602" t="n">
        <v>0</v>
      </c>
      <c r="I602" t="n">
        <v>0</v>
      </c>
      <c r="J602" t="n">
        <v>0</v>
      </c>
      <c r="K602" t="n">
        <v>0</v>
      </c>
      <c r="L602" t="n">
        <v>0</v>
      </c>
      <c r="M602" t="n">
        <v>0</v>
      </c>
      <c r="N602" t="n">
        <v>0</v>
      </c>
      <c r="O602" t="n">
        <v>0</v>
      </c>
      <c r="P602" t="n">
        <v>0</v>
      </c>
      <c r="Q602" t="n">
        <v>0</v>
      </c>
      <c r="R602" s="2" t="inlineStr"/>
    </row>
    <row r="603" ht="15" customHeight="1">
      <c r="A603" t="inlineStr">
        <is>
          <t>A 50091-2023</t>
        </is>
      </c>
      <c r="B603" s="1" t="n">
        <v>45215.60199074074</v>
      </c>
      <c r="C603" s="1" t="n">
        <v>46161</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36008-2024</t>
        </is>
      </c>
      <c r="B604" s="1" t="n">
        <v>45533.55362268518</v>
      </c>
      <c r="C604" s="1" t="n">
        <v>46161</v>
      </c>
      <c r="D604" t="inlineStr">
        <is>
          <t>KALMAR LÄN</t>
        </is>
      </c>
      <c r="E604" t="inlineStr">
        <is>
          <t>VIMMERBY</t>
        </is>
      </c>
      <c r="G604" t="n">
        <v>3.7</v>
      </c>
      <c r="H604" t="n">
        <v>0</v>
      </c>
      <c r="I604" t="n">
        <v>0</v>
      </c>
      <c r="J604" t="n">
        <v>0</v>
      </c>
      <c r="K604" t="n">
        <v>0</v>
      </c>
      <c r="L604" t="n">
        <v>0</v>
      </c>
      <c r="M604" t="n">
        <v>0</v>
      </c>
      <c r="N604" t="n">
        <v>0</v>
      </c>
      <c r="O604" t="n">
        <v>0</v>
      </c>
      <c r="P604" t="n">
        <v>0</v>
      </c>
      <c r="Q604" t="n">
        <v>0</v>
      </c>
      <c r="R604" s="2" t="inlineStr"/>
    </row>
    <row r="605" ht="15" customHeight="1">
      <c r="A605" t="inlineStr">
        <is>
          <t>A 63762-2025</t>
        </is>
      </c>
      <c r="B605" s="1" t="n">
        <v>46018.67197916667</v>
      </c>
      <c r="C605" s="1" t="n">
        <v>46161</v>
      </c>
      <c r="D605" t="inlineStr">
        <is>
          <t>KALMAR LÄN</t>
        </is>
      </c>
      <c r="E605" t="inlineStr">
        <is>
          <t>VIMMERBY</t>
        </is>
      </c>
      <c r="G605" t="n">
        <v>2.5</v>
      </c>
      <c r="H605" t="n">
        <v>0</v>
      </c>
      <c r="I605" t="n">
        <v>0</v>
      </c>
      <c r="J605" t="n">
        <v>0</v>
      </c>
      <c r="K605" t="n">
        <v>0</v>
      </c>
      <c r="L605" t="n">
        <v>0</v>
      </c>
      <c r="M605" t="n">
        <v>0</v>
      </c>
      <c r="N605" t="n">
        <v>0</v>
      </c>
      <c r="O605" t="n">
        <v>0</v>
      </c>
      <c r="P605" t="n">
        <v>0</v>
      </c>
      <c r="Q605" t="n">
        <v>0</v>
      </c>
      <c r="R605" s="2" t="inlineStr"/>
    </row>
    <row r="606" ht="15" customHeight="1">
      <c r="A606" t="inlineStr">
        <is>
          <t>A 63758-2025</t>
        </is>
      </c>
      <c r="B606" s="1" t="n">
        <v>46018.46483796297</v>
      </c>
      <c r="C606" s="1" t="n">
        <v>46161</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63845-2025</t>
        </is>
      </c>
      <c r="B607" s="1" t="n">
        <v>46020.43715277778</v>
      </c>
      <c r="C607" s="1" t="n">
        <v>46161</v>
      </c>
      <c r="D607" t="inlineStr">
        <is>
          <t>KALMAR LÄN</t>
        </is>
      </c>
      <c r="E607" t="inlineStr">
        <is>
          <t>VIMMERBY</t>
        </is>
      </c>
      <c r="G607" t="n">
        <v>3.8</v>
      </c>
      <c r="H607" t="n">
        <v>0</v>
      </c>
      <c r="I607" t="n">
        <v>0</v>
      </c>
      <c r="J607" t="n">
        <v>0</v>
      </c>
      <c r="K607" t="n">
        <v>0</v>
      </c>
      <c r="L607" t="n">
        <v>0</v>
      </c>
      <c r="M607" t="n">
        <v>0</v>
      </c>
      <c r="N607" t="n">
        <v>0</v>
      </c>
      <c r="O607" t="n">
        <v>0</v>
      </c>
      <c r="P607" t="n">
        <v>0</v>
      </c>
      <c r="Q607" t="n">
        <v>0</v>
      </c>
      <c r="R607" s="2" t="inlineStr"/>
    </row>
    <row r="608" ht="15" customHeight="1">
      <c r="A608" t="inlineStr">
        <is>
          <t>A 63848-2025</t>
        </is>
      </c>
      <c r="B608" s="1" t="n">
        <v>46020.44902777778</v>
      </c>
      <c r="C608" s="1" t="n">
        <v>46161</v>
      </c>
      <c r="D608" t="inlineStr">
        <is>
          <t>KALMAR LÄN</t>
        </is>
      </c>
      <c r="E608" t="inlineStr">
        <is>
          <t>VIMMERBY</t>
        </is>
      </c>
      <c r="G608" t="n">
        <v>3.4</v>
      </c>
      <c r="H608" t="n">
        <v>0</v>
      </c>
      <c r="I608" t="n">
        <v>0</v>
      </c>
      <c r="J608" t="n">
        <v>0</v>
      </c>
      <c r="K608" t="n">
        <v>0</v>
      </c>
      <c r="L608" t="n">
        <v>0</v>
      </c>
      <c r="M608" t="n">
        <v>0</v>
      </c>
      <c r="N608" t="n">
        <v>0</v>
      </c>
      <c r="O608" t="n">
        <v>0</v>
      </c>
      <c r="P608" t="n">
        <v>0</v>
      </c>
      <c r="Q608" t="n">
        <v>0</v>
      </c>
      <c r="R608" s="2" t="inlineStr"/>
    </row>
    <row r="609" ht="15" customHeight="1">
      <c r="A609" t="inlineStr">
        <is>
          <t>A 16622-2025</t>
        </is>
      </c>
      <c r="B609" s="1" t="n">
        <v>45754.33641203704</v>
      </c>
      <c r="C609" s="1" t="n">
        <v>46161</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17511-2024</t>
        </is>
      </c>
      <c r="B610" s="1" t="n">
        <v>45415.57682870371</v>
      </c>
      <c r="C610" s="1" t="n">
        <v>46161</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43705-2023</t>
        </is>
      </c>
      <c r="B611" s="1" t="n">
        <v>45187.42854166667</v>
      </c>
      <c r="C611" s="1" t="n">
        <v>46161</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63839-2025</t>
        </is>
      </c>
      <c r="B612" s="1" t="n">
        <v>46020.41998842593</v>
      </c>
      <c r="C612" s="1" t="n">
        <v>46161</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55300-2021</t>
        </is>
      </c>
      <c r="B613" s="1" t="n">
        <v>44475</v>
      </c>
      <c r="C613" s="1" t="n">
        <v>46161</v>
      </c>
      <c r="D613" t="inlineStr">
        <is>
          <t>KALMAR LÄN</t>
        </is>
      </c>
      <c r="E613" t="inlineStr">
        <is>
          <t>VIMMERBY</t>
        </is>
      </c>
      <c r="G613" t="n">
        <v>3.4</v>
      </c>
      <c r="H613" t="n">
        <v>0</v>
      </c>
      <c r="I613" t="n">
        <v>0</v>
      </c>
      <c r="J613" t="n">
        <v>0</v>
      </c>
      <c r="K613" t="n">
        <v>0</v>
      </c>
      <c r="L613" t="n">
        <v>0</v>
      </c>
      <c r="M613" t="n">
        <v>0</v>
      </c>
      <c r="N613" t="n">
        <v>0</v>
      </c>
      <c r="O613" t="n">
        <v>0</v>
      </c>
      <c r="P613" t="n">
        <v>0</v>
      </c>
      <c r="Q613" t="n">
        <v>0</v>
      </c>
      <c r="R613" s="2" t="inlineStr"/>
    </row>
    <row r="614" ht="15" customHeight="1">
      <c r="A614" t="inlineStr">
        <is>
          <t>A 44179-2022</t>
        </is>
      </c>
      <c r="B614" s="1" t="n">
        <v>44839.4528125</v>
      </c>
      <c r="C614" s="1" t="n">
        <v>46161</v>
      </c>
      <c r="D614" t="inlineStr">
        <is>
          <t>KALMAR LÄN</t>
        </is>
      </c>
      <c r="E614" t="inlineStr">
        <is>
          <t>VIMMERBY</t>
        </is>
      </c>
      <c r="G614" t="n">
        <v>2.8</v>
      </c>
      <c r="H614" t="n">
        <v>0</v>
      </c>
      <c r="I614" t="n">
        <v>0</v>
      </c>
      <c r="J614" t="n">
        <v>0</v>
      </c>
      <c r="K614" t="n">
        <v>0</v>
      </c>
      <c r="L614" t="n">
        <v>0</v>
      </c>
      <c r="M614" t="n">
        <v>0</v>
      </c>
      <c r="N614" t="n">
        <v>0</v>
      </c>
      <c r="O614" t="n">
        <v>0</v>
      </c>
      <c r="P614" t="n">
        <v>0</v>
      </c>
      <c r="Q614" t="n">
        <v>0</v>
      </c>
      <c r="R614" s="2" t="inlineStr"/>
    </row>
    <row r="615" ht="15" customHeight="1">
      <c r="A615" t="inlineStr">
        <is>
          <t>A 52755-2022</t>
        </is>
      </c>
      <c r="B615" s="1" t="n">
        <v>44875.27736111111</v>
      </c>
      <c r="C615" s="1" t="n">
        <v>46161</v>
      </c>
      <c r="D615" t="inlineStr">
        <is>
          <t>KALMAR LÄN</t>
        </is>
      </c>
      <c r="E615" t="inlineStr">
        <is>
          <t>VIMMERBY</t>
        </is>
      </c>
      <c r="G615" t="n">
        <v>1.1</v>
      </c>
      <c r="H615" t="n">
        <v>0</v>
      </c>
      <c r="I615" t="n">
        <v>0</v>
      </c>
      <c r="J615" t="n">
        <v>0</v>
      </c>
      <c r="K615" t="n">
        <v>0</v>
      </c>
      <c r="L615" t="n">
        <v>0</v>
      </c>
      <c r="M615" t="n">
        <v>0</v>
      </c>
      <c r="N615" t="n">
        <v>0</v>
      </c>
      <c r="O615" t="n">
        <v>0</v>
      </c>
      <c r="P615" t="n">
        <v>0</v>
      </c>
      <c r="Q615" t="n">
        <v>0</v>
      </c>
      <c r="R615" s="2" t="inlineStr"/>
    </row>
    <row r="616" ht="15" customHeight="1">
      <c r="A616" t="inlineStr">
        <is>
          <t>A 35998-2024</t>
        </is>
      </c>
      <c r="B616" s="1" t="n">
        <v>45533.54429398148</v>
      </c>
      <c r="C616" s="1" t="n">
        <v>46161</v>
      </c>
      <c r="D616" t="inlineStr">
        <is>
          <t>KALMAR LÄN</t>
        </is>
      </c>
      <c r="E616" t="inlineStr">
        <is>
          <t>VIMMERBY</t>
        </is>
      </c>
      <c r="G616" t="n">
        <v>8.6</v>
      </c>
      <c r="H616" t="n">
        <v>0</v>
      </c>
      <c r="I616" t="n">
        <v>0</v>
      </c>
      <c r="J616" t="n">
        <v>0</v>
      </c>
      <c r="K616" t="n">
        <v>0</v>
      </c>
      <c r="L616" t="n">
        <v>0</v>
      </c>
      <c r="M616" t="n">
        <v>0</v>
      </c>
      <c r="N616" t="n">
        <v>0</v>
      </c>
      <c r="O616" t="n">
        <v>0</v>
      </c>
      <c r="P616" t="n">
        <v>0</v>
      </c>
      <c r="Q616" t="n">
        <v>0</v>
      </c>
      <c r="R616" s="2" t="inlineStr"/>
    </row>
    <row r="617" ht="15" customHeight="1">
      <c r="A617" t="inlineStr">
        <is>
          <t>A 7797-2023</t>
        </is>
      </c>
      <c r="B617" s="1" t="n">
        <v>44973.43075231482</v>
      </c>
      <c r="C617" s="1" t="n">
        <v>46161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29351-2023</t>
        </is>
      </c>
      <c r="B618" s="1" t="n">
        <v>45106.2610300926</v>
      </c>
      <c r="C618" s="1" t="n">
        <v>46161</v>
      </c>
      <c r="D618" t="inlineStr">
        <is>
          <t>KALMAR LÄN</t>
        </is>
      </c>
      <c r="E618" t="inlineStr">
        <is>
          <t>VIMMERBY</t>
        </is>
      </c>
      <c r="G618" t="n">
        <v>0.4</v>
      </c>
      <c r="H618" t="n">
        <v>0</v>
      </c>
      <c r="I618" t="n">
        <v>0</v>
      </c>
      <c r="J618" t="n">
        <v>0</v>
      </c>
      <c r="K618" t="n">
        <v>0</v>
      </c>
      <c r="L618" t="n">
        <v>0</v>
      </c>
      <c r="M618" t="n">
        <v>0</v>
      </c>
      <c r="N618" t="n">
        <v>0</v>
      </c>
      <c r="O618" t="n">
        <v>0</v>
      </c>
      <c r="P618" t="n">
        <v>0</v>
      </c>
      <c r="Q618" t="n">
        <v>0</v>
      </c>
      <c r="R618" s="2" t="inlineStr"/>
    </row>
    <row r="619" ht="15" customHeight="1">
      <c r="A619" t="inlineStr">
        <is>
          <t>A 7630-2025</t>
        </is>
      </c>
      <c r="B619" s="1" t="n">
        <v>45705.74418981482</v>
      </c>
      <c r="C619" s="1" t="n">
        <v>46161</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1024-2024</t>
        </is>
      </c>
      <c r="B620" s="1" t="n">
        <v>45301.68237268519</v>
      </c>
      <c r="C620" s="1" t="n">
        <v>46161</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579-2026</t>
        </is>
      </c>
      <c r="B621" s="1" t="n">
        <v>46029.47912037037</v>
      </c>
      <c r="C621" s="1" t="n">
        <v>46161</v>
      </c>
      <c r="D621" t="inlineStr">
        <is>
          <t>KALMAR LÄN</t>
        </is>
      </c>
      <c r="E621" t="inlineStr">
        <is>
          <t>VIMMERBY</t>
        </is>
      </c>
      <c r="G621" t="n">
        <v>3</v>
      </c>
      <c r="H621" t="n">
        <v>0</v>
      </c>
      <c r="I621" t="n">
        <v>0</v>
      </c>
      <c r="J621" t="n">
        <v>0</v>
      </c>
      <c r="K621" t="n">
        <v>0</v>
      </c>
      <c r="L621" t="n">
        <v>0</v>
      </c>
      <c r="M621" t="n">
        <v>0</v>
      </c>
      <c r="N621" t="n">
        <v>0</v>
      </c>
      <c r="O621" t="n">
        <v>0</v>
      </c>
      <c r="P621" t="n">
        <v>0</v>
      </c>
      <c r="Q621" t="n">
        <v>0</v>
      </c>
      <c r="R621" s="2" t="inlineStr"/>
    </row>
    <row r="622" ht="15" customHeight="1">
      <c r="A622" t="inlineStr">
        <is>
          <t>A 409-2026</t>
        </is>
      </c>
      <c r="B622" s="1" t="n">
        <v>46028.69432870371</v>
      </c>
      <c r="C622" s="1" t="n">
        <v>46161</v>
      </c>
      <c r="D622" t="inlineStr">
        <is>
          <t>KALMAR LÄN</t>
        </is>
      </c>
      <c r="E622" t="inlineStr">
        <is>
          <t>VIMMERBY</t>
        </is>
      </c>
      <c r="G622" t="n">
        <v>2.2</v>
      </c>
      <c r="H622" t="n">
        <v>0</v>
      </c>
      <c r="I622" t="n">
        <v>0</v>
      </c>
      <c r="J622" t="n">
        <v>0</v>
      </c>
      <c r="K622" t="n">
        <v>0</v>
      </c>
      <c r="L622" t="n">
        <v>0</v>
      </c>
      <c r="M622" t="n">
        <v>0</v>
      </c>
      <c r="N622" t="n">
        <v>0</v>
      </c>
      <c r="O622" t="n">
        <v>0</v>
      </c>
      <c r="P622" t="n">
        <v>0</v>
      </c>
      <c r="Q622" t="n">
        <v>0</v>
      </c>
      <c r="R622" s="2" t="inlineStr"/>
    </row>
    <row r="623" ht="15" customHeight="1">
      <c r="A623" t="inlineStr">
        <is>
          <t>A 406-2026</t>
        </is>
      </c>
      <c r="B623" s="1" t="n">
        <v>46028.68663194445</v>
      </c>
      <c r="C623" s="1" t="n">
        <v>46161</v>
      </c>
      <c r="D623" t="inlineStr">
        <is>
          <t>KALMAR LÄN</t>
        </is>
      </c>
      <c r="E623" t="inlineStr">
        <is>
          <t>VIMMERBY</t>
        </is>
      </c>
      <c r="G623" t="n">
        <v>1.8</v>
      </c>
      <c r="H623" t="n">
        <v>0</v>
      </c>
      <c r="I623" t="n">
        <v>0</v>
      </c>
      <c r="J623" t="n">
        <v>0</v>
      </c>
      <c r="K623" t="n">
        <v>0</v>
      </c>
      <c r="L623" t="n">
        <v>0</v>
      </c>
      <c r="M623" t="n">
        <v>0</v>
      </c>
      <c r="N623" t="n">
        <v>0</v>
      </c>
      <c r="O623" t="n">
        <v>0</v>
      </c>
      <c r="P623" t="n">
        <v>0</v>
      </c>
      <c r="Q623" t="n">
        <v>0</v>
      </c>
      <c r="R623" s="2" t="inlineStr"/>
    </row>
    <row r="624" ht="15" customHeight="1">
      <c r="A624" t="inlineStr">
        <is>
          <t>A 10787-2025</t>
        </is>
      </c>
      <c r="B624" s="1" t="n">
        <v>45722.48915509259</v>
      </c>
      <c r="C624" s="1" t="n">
        <v>46161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29350-2023</t>
        </is>
      </c>
      <c r="B625" s="1" t="n">
        <v>45106</v>
      </c>
      <c r="C625" s="1" t="n">
        <v>46161</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14855-2025</t>
        </is>
      </c>
      <c r="B626" s="1" t="n">
        <v>45743.41148148148</v>
      </c>
      <c r="C626" s="1" t="n">
        <v>46161</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43601-2024</t>
        </is>
      </c>
      <c r="B627" s="1" t="n">
        <v>45569.44684027778</v>
      </c>
      <c r="C627" s="1" t="n">
        <v>46161</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35913-2023</t>
        </is>
      </c>
      <c r="B628" s="1" t="n">
        <v>45148</v>
      </c>
      <c r="C628" s="1" t="n">
        <v>46161</v>
      </c>
      <c r="D628" t="inlineStr">
        <is>
          <t>KALMAR LÄN</t>
        </is>
      </c>
      <c r="E628" t="inlineStr">
        <is>
          <t>VIMMERBY</t>
        </is>
      </c>
      <c r="G628" t="n">
        <v>6.9</v>
      </c>
      <c r="H628" t="n">
        <v>0</v>
      </c>
      <c r="I628" t="n">
        <v>0</v>
      </c>
      <c r="J628" t="n">
        <v>0</v>
      </c>
      <c r="K628" t="n">
        <v>0</v>
      </c>
      <c r="L628" t="n">
        <v>0</v>
      </c>
      <c r="M628" t="n">
        <v>0</v>
      </c>
      <c r="N628" t="n">
        <v>0</v>
      </c>
      <c r="O628" t="n">
        <v>0</v>
      </c>
      <c r="P628" t="n">
        <v>0</v>
      </c>
      <c r="Q628" t="n">
        <v>0</v>
      </c>
      <c r="R628" s="2" t="inlineStr"/>
    </row>
    <row r="629" ht="15" customHeight="1">
      <c r="A629" t="inlineStr">
        <is>
          <t>A 9624-2024</t>
        </is>
      </c>
      <c r="B629" s="1" t="n">
        <v>45361.90282407407</v>
      </c>
      <c r="C629" s="1" t="n">
        <v>46161</v>
      </c>
      <c r="D629" t="inlineStr">
        <is>
          <t>KALMAR LÄN</t>
        </is>
      </c>
      <c r="E629" t="inlineStr">
        <is>
          <t>VIMMERBY</t>
        </is>
      </c>
      <c r="G629" t="n">
        <v>3.8</v>
      </c>
      <c r="H629" t="n">
        <v>0</v>
      </c>
      <c r="I629" t="n">
        <v>0</v>
      </c>
      <c r="J629" t="n">
        <v>0</v>
      </c>
      <c r="K629" t="n">
        <v>0</v>
      </c>
      <c r="L629" t="n">
        <v>0</v>
      </c>
      <c r="M629" t="n">
        <v>0</v>
      </c>
      <c r="N629" t="n">
        <v>0</v>
      </c>
      <c r="O629" t="n">
        <v>0</v>
      </c>
      <c r="P629" t="n">
        <v>0</v>
      </c>
      <c r="Q629" t="n">
        <v>0</v>
      </c>
      <c r="R629" s="2" t="inlineStr"/>
    </row>
    <row r="630" ht="15" customHeight="1">
      <c r="A630" t="inlineStr">
        <is>
          <t>A 3938-2023</t>
        </is>
      </c>
      <c r="B630" s="1" t="n">
        <v>44952.35775462963</v>
      </c>
      <c r="C630" s="1" t="n">
        <v>46161</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39053-2024</t>
        </is>
      </c>
      <c r="B631" s="1" t="n">
        <v>45548</v>
      </c>
      <c r="C631" s="1" t="n">
        <v>46161</v>
      </c>
      <c r="D631" t="inlineStr">
        <is>
          <t>KALMAR LÄN</t>
        </is>
      </c>
      <c r="E631" t="inlineStr">
        <is>
          <t>VIMMERBY</t>
        </is>
      </c>
      <c r="G631" t="n">
        <v>5</v>
      </c>
      <c r="H631" t="n">
        <v>0</v>
      </c>
      <c r="I631" t="n">
        <v>0</v>
      </c>
      <c r="J631" t="n">
        <v>0</v>
      </c>
      <c r="K631" t="n">
        <v>0</v>
      </c>
      <c r="L631" t="n">
        <v>0</v>
      </c>
      <c r="M631" t="n">
        <v>0</v>
      </c>
      <c r="N631" t="n">
        <v>0</v>
      </c>
      <c r="O631" t="n">
        <v>0</v>
      </c>
      <c r="P631" t="n">
        <v>0</v>
      </c>
      <c r="Q631" t="n">
        <v>0</v>
      </c>
      <c r="R631" s="2" t="inlineStr"/>
    </row>
    <row r="632" ht="15" customHeight="1">
      <c r="A632" t="inlineStr">
        <is>
          <t>A 842-2026</t>
        </is>
      </c>
      <c r="B632" s="1" t="n">
        <v>46030.380625</v>
      </c>
      <c r="C632" s="1" t="n">
        <v>46161</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14451-2024</t>
        </is>
      </c>
      <c r="B633" s="1" t="n">
        <v>45394.50028935185</v>
      </c>
      <c r="C633" s="1" t="n">
        <v>46161</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1069-2026</t>
        </is>
      </c>
      <c r="B634" s="1" t="n">
        <v>46030</v>
      </c>
      <c r="C634" s="1" t="n">
        <v>46161</v>
      </c>
      <c r="D634" t="inlineStr">
        <is>
          <t>KALMAR LÄN</t>
        </is>
      </c>
      <c r="E634" t="inlineStr">
        <is>
          <t>VIMMERBY</t>
        </is>
      </c>
      <c r="G634" t="n">
        <v>3.3</v>
      </c>
      <c r="H634" t="n">
        <v>0</v>
      </c>
      <c r="I634" t="n">
        <v>0</v>
      </c>
      <c r="J634" t="n">
        <v>0</v>
      </c>
      <c r="K634" t="n">
        <v>0</v>
      </c>
      <c r="L634" t="n">
        <v>0</v>
      </c>
      <c r="M634" t="n">
        <v>0</v>
      </c>
      <c r="N634" t="n">
        <v>0</v>
      </c>
      <c r="O634" t="n">
        <v>0</v>
      </c>
      <c r="P634" t="n">
        <v>0</v>
      </c>
      <c r="Q634" t="n">
        <v>0</v>
      </c>
      <c r="R634" s="2" t="inlineStr"/>
    </row>
    <row r="635" ht="15" customHeight="1">
      <c r="A635" t="inlineStr">
        <is>
          <t>A 34205-2023</t>
        </is>
      </c>
      <c r="B635" s="1" t="n">
        <v>45138</v>
      </c>
      <c r="C635" s="1" t="n">
        <v>46161</v>
      </c>
      <c r="D635" t="inlineStr">
        <is>
          <t>KALMAR LÄN</t>
        </is>
      </c>
      <c r="E635" t="inlineStr">
        <is>
          <t>VIMMERBY</t>
        </is>
      </c>
      <c r="G635" t="n">
        <v>0.6</v>
      </c>
      <c r="H635" t="n">
        <v>0</v>
      </c>
      <c r="I635" t="n">
        <v>0</v>
      </c>
      <c r="J635" t="n">
        <v>0</v>
      </c>
      <c r="K635" t="n">
        <v>0</v>
      </c>
      <c r="L635" t="n">
        <v>0</v>
      </c>
      <c r="M635" t="n">
        <v>0</v>
      </c>
      <c r="N635" t="n">
        <v>0</v>
      </c>
      <c r="O635" t="n">
        <v>0</v>
      </c>
      <c r="P635" t="n">
        <v>0</v>
      </c>
      <c r="Q635" t="n">
        <v>0</v>
      </c>
      <c r="R635" s="2" t="inlineStr"/>
    </row>
    <row r="636" ht="15" customHeight="1">
      <c r="A636" t="inlineStr">
        <is>
          <t>A 1734-2026</t>
        </is>
      </c>
      <c r="B636" s="1" t="n">
        <v>46034</v>
      </c>
      <c r="C636" s="1" t="n">
        <v>46161</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1743-2026</t>
        </is>
      </c>
      <c r="B637" s="1" t="n">
        <v>46034</v>
      </c>
      <c r="C637" s="1" t="n">
        <v>46161</v>
      </c>
      <c r="D637" t="inlineStr">
        <is>
          <t>KALMAR LÄN</t>
        </is>
      </c>
      <c r="E637" t="inlineStr">
        <is>
          <t>VIMMERBY</t>
        </is>
      </c>
      <c r="G637" t="n">
        <v>0.9</v>
      </c>
      <c r="H637" t="n">
        <v>0</v>
      </c>
      <c r="I637" t="n">
        <v>0</v>
      </c>
      <c r="J637" t="n">
        <v>0</v>
      </c>
      <c r="K637" t="n">
        <v>0</v>
      </c>
      <c r="L637" t="n">
        <v>0</v>
      </c>
      <c r="M637" t="n">
        <v>0</v>
      </c>
      <c r="N637" t="n">
        <v>0</v>
      </c>
      <c r="O637" t="n">
        <v>0</v>
      </c>
      <c r="P637" t="n">
        <v>0</v>
      </c>
      <c r="Q637" t="n">
        <v>0</v>
      </c>
      <c r="R637" s="2" t="inlineStr"/>
    </row>
    <row r="638" ht="15" customHeight="1">
      <c r="A638" t="inlineStr">
        <is>
          <t>A 1748-2026</t>
        </is>
      </c>
      <c r="B638" s="1" t="n">
        <v>46034.65589120371</v>
      </c>
      <c r="C638" s="1" t="n">
        <v>46161</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1862-2026</t>
        </is>
      </c>
      <c r="B639" s="1" t="n">
        <v>46035.44689814815</v>
      </c>
      <c r="C639" s="1" t="n">
        <v>46161</v>
      </c>
      <c r="D639" t="inlineStr">
        <is>
          <t>KALMAR LÄN</t>
        </is>
      </c>
      <c r="E639" t="inlineStr">
        <is>
          <t>VIMMERBY</t>
        </is>
      </c>
      <c r="G639" t="n">
        <v>3.1</v>
      </c>
      <c r="H639" t="n">
        <v>0</v>
      </c>
      <c r="I639" t="n">
        <v>0</v>
      </c>
      <c r="J639" t="n">
        <v>0</v>
      </c>
      <c r="K639" t="n">
        <v>0</v>
      </c>
      <c r="L639" t="n">
        <v>0</v>
      </c>
      <c r="M639" t="n">
        <v>0</v>
      </c>
      <c r="N639" t="n">
        <v>0</v>
      </c>
      <c r="O639" t="n">
        <v>0</v>
      </c>
      <c r="P639" t="n">
        <v>0</v>
      </c>
      <c r="Q639" t="n">
        <v>0</v>
      </c>
      <c r="R639" s="2" t="inlineStr"/>
    </row>
    <row r="640" ht="15" customHeight="1">
      <c r="A640" t="inlineStr">
        <is>
          <t>A 3268-2024</t>
        </is>
      </c>
      <c r="B640" s="1" t="n">
        <v>45317</v>
      </c>
      <c r="C640" s="1" t="n">
        <v>46161</v>
      </c>
      <c r="D640" t="inlineStr">
        <is>
          <t>KALMAR LÄN</t>
        </is>
      </c>
      <c r="E640" t="inlineStr">
        <is>
          <t>VIMMERBY</t>
        </is>
      </c>
      <c r="F640" t="inlineStr">
        <is>
          <t>Övriga Aktiebolag</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12819-2024</t>
        </is>
      </c>
      <c r="B641" s="1" t="n">
        <v>45384.66917824074</v>
      </c>
      <c r="C641" s="1" t="n">
        <v>46161</v>
      </c>
      <c r="D641" t="inlineStr">
        <is>
          <t>KALMAR LÄN</t>
        </is>
      </c>
      <c r="E641" t="inlineStr">
        <is>
          <t>VIMMERBY</t>
        </is>
      </c>
      <c r="G641" t="n">
        <v>5.1</v>
      </c>
      <c r="H641" t="n">
        <v>0</v>
      </c>
      <c r="I641" t="n">
        <v>0</v>
      </c>
      <c r="J641" t="n">
        <v>0</v>
      </c>
      <c r="K641" t="n">
        <v>0</v>
      </c>
      <c r="L641" t="n">
        <v>0</v>
      </c>
      <c r="M641" t="n">
        <v>0</v>
      </c>
      <c r="N641" t="n">
        <v>0</v>
      </c>
      <c r="O641" t="n">
        <v>0</v>
      </c>
      <c r="P641" t="n">
        <v>0</v>
      </c>
      <c r="Q641" t="n">
        <v>0</v>
      </c>
      <c r="R641" s="2" t="inlineStr"/>
    </row>
    <row r="642" ht="15" customHeight="1">
      <c r="A642" t="inlineStr">
        <is>
          <t>A 2518-2026</t>
        </is>
      </c>
      <c r="B642" s="1" t="n">
        <v>46037.42511574074</v>
      </c>
      <c r="C642" s="1" t="n">
        <v>46161</v>
      </c>
      <c r="D642" t="inlineStr">
        <is>
          <t>KALMAR LÄN</t>
        </is>
      </c>
      <c r="E642" t="inlineStr">
        <is>
          <t>VIMMERBY</t>
        </is>
      </c>
      <c r="G642" t="n">
        <v>1.2</v>
      </c>
      <c r="H642" t="n">
        <v>0</v>
      </c>
      <c r="I642" t="n">
        <v>0</v>
      </c>
      <c r="J642" t="n">
        <v>0</v>
      </c>
      <c r="K642" t="n">
        <v>0</v>
      </c>
      <c r="L642" t="n">
        <v>0</v>
      </c>
      <c r="M642" t="n">
        <v>0</v>
      </c>
      <c r="N642" t="n">
        <v>0</v>
      </c>
      <c r="O642" t="n">
        <v>0</v>
      </c>
      <c r="P642" t="n">
        <v>0</v>
      </c>
      <c r="Q642" t="n">
        <v>0</v>
      </c>
      <c r="R642" s="2" t="inlineStr"/>
    </row>
    <row r="643" ht="15" customHeight="1">
      <c r="A643" t="inlineStr">
        <is>
          <t>A 6214-2025</t>
        </is>
      </c>
      <c r="B643" s="1" t="n">
        <v>45698.51711805556</v>
      </c>
      <c r="C643" s="1" t="n">
        <v>46161</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32569-2024</t>
        </is>
      </c>
      <c r="B644" s="1" t="n">
        <v>45513.55840277778</v>
      </c>
      <c r="C644" s="1" t="n">
        <v>46161</v>
      </c>
      <c r="D644" t="inlineStr">
        <is>
          <t>KALMAR LÄN</t>
        </is>
      </c>
      <c r="E644" t="inlineStr">
        <is>
          <t>VIMMERBY</t>
        </is>
      </c>
      <c r="G644" t="n">
        <v>3.7</v>
      </c>
      <c r="H644" t="n">
        <v>0</v>
      </c>
      <c r="I644" t="n">
        <v>0</v>
      </c>
      <c r="J644" t="n">
        <v>0</v>
      </c>
      <c r="K644" t="n">
        <v>0</v>
      </c>
      <c r="L644" t="n">
        <v>0</v>
      </c>
      <c r="M644" t="n">
        <v>0</v>
      </c>
      <c r="N644" t="n">
        <v>0</v>
      </c>
      <c r="O644" t="n">
        <v>0</v>
      </c>
      <c r="P644" t="n">
        <v>0</v>
      </c>
      <c r="Q644" t="n">
        <v>0</v>
      </c>
      <c r="R644" s="2" t="inlineStr"/>
    </row>
    <row r="645" ht="15" customHeight="1">
      <c r="A645" t="inlineStr">
        <is>
          <t>A 32575-2024</t>
        </is>
      </c>
      <c r="B645" s="1" t="n">
        <v>45513.56527777778</v>
      </c>
      <c r="C645" s="1" t="n">
        <v>46161</v>
      </c>
      <c r="D645" t="inlineStr">
        <is>
          <t>KALMAR LÄN</t>
        </is>
      </c>
      <c r="E645" t="inlineStr">
        <is>
          <t>VIMMERBY</t>
        </is>
      </c>
      <c r="G645" t="n">
        <v>1.5</v>
      </c>
      <c r="H645" t="n">
        <v>0</v>
      </c>
      <c r="I645" t="n">
        <v>0</v>
      </c>
      <c r="J645" t="n">
        <v>0</v>
      </c>
      <c r="K645" t="n">
        <v>0</v>
      </c>
      <c r="L645" t="n">
        <v>0</v>
      </c>
      <c r="M645" t="n">
        <v>0</v>
      </c>
      <c r="N645" t="n">
        <v>0</v>
      </c>
      <c r="O645" t="n">
        <v>0</v>
      </c>
      <c r="P645" t="n">
        <v>0</v>
      </c>
      <c r="Q645" t="n">
        <v>0</v>
      </c>
      <c r="R645" s="2" t="inlineStr"/>
    </row>
    <row r="646" ht="15" customHeight="1">
      <c r="A646" t="inlineStr">
        <is>
          <t>A 2514-2026</t>
        </is>
      </c>
      <c r="B646" s="1" t="n">
        <v>46037.42219907408</v>
      </c>
      <c r="C646" s="1" t="n">
        <v>46161</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59300-2024</t>
        </is>
      </c>
      <c r="B647" s="1" t="n">
        <v>45637.66542824074</v>
      </c>
      <c r="C647" s="1" t="n">
        <v>46161</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2523-2026</t>
        </is>
      </c>
      <c r="B648" s="1" t="n">
        <v>46037.42825231481</v>
      </c>
      <c r="C648" s="1" t="n">
        <v>46161</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3266-2026</t>
        </is>
      </c>
      <c r="B649" s="1" t="n">
        <v>46041</v>
      </c>
      <c r="C649" s="1" t="n">
        <v>46161</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59768-2024</t>
        </is>
      </c>
      <c r="B650" s="1" t="n">
        <v>45639.56185185185</v>
      </c>
      <c r="C650" s="1" t="n">
        <v>46161</v>
      </c>
      <c r="D650" t="inlineStr">
        <is>
          <t>KALMAR LÄN</t>
        </is>
      </c>
      <c r="E650" t="inlineStr">
        <is>
          <t>VIMMERBY</t>
        </is>
      </c>
      <c r="G650" t="n">
        <v>5.9</v>
      </c>
      <c r="H650" t="n">
        <v>0</v>
      </c>
      <c r="I650" t="n">
        <v>0</v>
      </c>
      <c r="J650" t="n">
        <v>0</v>
      </c>
      <c r="K650" t="n">
        <v>0</v>
      </c>
      <c r="L650" t="n">
        <v>0</v>
      </c>
      <c r="M650" t="n">
        <v>0</v>
      </c>
      <c r="N650" t="n">
        <v>0</v>
      </c>
      <c r="O650" t="n">
        <v>0</v>
      </c>
      <c r="P650" t="n">
        <v>0</v>
      </c>
      <c r="Q650" t="n">
        <v>0</v>
      </c>
      <c r="R650" s="2" t="inlineStr"/>
    </row>
    <row r="651" ht="15" customHeight="1">
      <c r="A651" t="inlineStr">
        <is>
          <t>A 3292-2026</t>
        </is>
      </c>
      <c r="B651" s="1" t="n">
        <v>46041</v>
      </c>
      <c r="C651" s="1" t="n">
        <v>46161</v>
      </c>
      <c r="D651" t="inlineStr">
        <is>
          <t>KALMAR LÄN</t>
        </is>
      </c>
      <c r="E651" t="inlineStr">
        <is>
          <t>VIMMERBY</t>
        </is>
      </c>
      <c r="G651" t="n">
        <v>3.9</v>
      </c>
      <c r="H651" t="n">
        <v>0</v>
      </c>
      <c r="I651" t="n">
        <v>0</v>
      </c>
      <c r="J651" t="n">
        <v>0</v>
      </c>
      <c r="K651" t="n">
        <v>0</v>
      </c>
      <c r="L651" t="n">
        <v>0</v>
      </c>
      <c r="M651" t="n">
        <v>0</v>
      </c>
      <c r="N651" t="n">
        <v>0</v>
      </c>
      <c r="O651" t="n">
        <v>0</v>
      </c>
      <c r="P651" t="n">
        <v>0</v>
      </c>
      <c r="Q651" t="n">
        <v>0</v>
      </c>
      <c r="R651" s="2" t="inlineStr"/>
    </row>
    <row r="652" ht="15" customHeight="1">
      <c r="A652" t="inlineStr">
        <is>
          <t>A 36526-2023</t>
        </is>
      </c>
      <c r="B652" s="1" t="n">
        <v>45153.32778935185</v>
      </c>
      <c r="C652" s="1" t="n">
        <v>46161</v>
      </c>
      <c r="D652" t="inlineStr">
        <is>
          <t>KALMAR LÄN</t>
        </is>
      </c>
      <c r="E652" t="inlineStr">
        <is>
          <t>VIMMERBY</t>
        </is>
      </c>
      <c r="G652" t="n">
        <v>2.7</v>
      </c>
      <c r="H652" t="n">
        <v>0</v>
      </c>
      <c r="I652" t="n">
        <v>0</v>
      </c>
      <c r="J652" t="n">
        <v>0</v>
      </c>
      <c r="K652" t="n">
        <v>0</v>
      </c>
      <c r="L652" t="n">
        <v>0</v>
      </c>
      <c r="M652" t="n">
        <v>0</v>
      </c>
      <c r="N652" t="n">
        <v>0</v>
      </c>
      <c r="O652" t="n">
        <v>0</v>
      </c>
      <c r="P652" t="n">
        <v>0</v>
      </c>
      <c r="Q652" t="n">
        <v>0</v>
      </c>
      <c r="R652" s="2" t="inlineStr"/>
    </row>
    <row r="653" ht="15" customHeight="1">
      <c r="A653" t="inlineStr">
        <is>
          <t>A 58728-2024</t>
        </is>
      </c>
      <c r="B653" s="1" t="n">
        <v>45635.66695601852</v>
      </c>
      <c r="C653" s="1" t="n">
        <v>46161</v>
      </c>
      <c r="D653" t="inlineStr">
        <is>
          <t>KALMAR LÄN</t>
        </is>
      </c>
      <c r="E653" t="inlineStr">
        <is>
          <t>VIMMERBY</t>
        </is>
      </c>
      <c r="G653" t="n">
        <v>0.4</v>
      </c>
      <c r="H653" t="n">
        <v>0</v>
      </c>
      <c r="I653" t="n">
        <v>0</v>
      </c>
      <c r="J653" t="n">
        <v>0</v>
      </c>
      <c r="K653" t="n">
        <v>0</v>
      </c>
      <c r="L653" t="n">
        <v>0</v>
      </c>
      <c r="M653" t="n">
        <v>0</v>
      </c>
      <c r="N653" t="n">
        <v>0</v>
      </c>
      <c r="O653" t="n">
        <v>0</v>
      </c>
      <c r="P653" t="n">
        <v>0</v>
      </c>
      <c r="Q653" t="n">
        <v>0</v>
      </c>
      <c r="R653" s="2" t="inlineStr"/>
    </row>
    <row r="654" ht="15" customHeight="1">
      <c r="A654" t="inlineStr">
        <is>
          <t>A 49474-2023</t>
        </is>
      </c>
      <c r="B654" s="1" t="n">
        <v>45211.541875</v>
      </c>
      <c r="C654" s="1" t="n">
        <v>46161</v>
      </c>
      <c r="D654" t="inlineStr">
        <is>
          <t>KALMAR LÄN</t>
        </is>
      </c>
      <c r="E654" t="inlineStr">
        <is>
          <t>VIMMERBY</t>
        </is>
      </c>
      <c r="G654" t="n">
        <v>3.6</v>
      </c>
      <c r="H654" t="n">
        <v>0</v>
      </c>
      <c r="I654" t="n">
        <v>0</v>
      </c>
      <c r="J654" t="n">
        <v>0</v>
      </c>
      <c r="K654" t="n">
        <v>0</v>
      </c>
      <c r="L654" t="n">
        <v>0</v>
      </c>
      <c r="M654" t="n">
        <v>0</v>
      </c>
      <c r="N654" t="n">
        <v>0</v>
      </c>
      <c r="O654" t="n">
        <v>0</v>
      </c>
      <c r="P654" t="n">
        <v>0</v>
      </c>
      <c r="Q654" t="n">
        <v>0</v>
      </c>
      <c r="R654" s="2" t="inlineStr"/>
    </row>
    <row r="655" ht="15" customHeight="1">
      <c r="A655" t="inlineStr">
        <is>
          <t>A 57682-2022</t>
        </is>
      </c>
      <c r="B655" s="1" t="n">
        <v>44890</v>
      </c>
      <c r="C655" s="1" t="n">
        <v>46161</v>
      </c>
      <c r="D655" t="inlineStr">
        <is>
          <t>KALMAR LÄN</t>
        </is>
      </c>
      <c r="E655" t="inlineStr">
        <is>
          <t>VIMMERBY</t>
        </is>
      </c>
      <c r="G655" t="n">
        <v>1.5</v>
      </c>
      <c r="H655" t="n">
        <v>0</v>
      </c>
      <c r="I655" t="n">
        <v>0</v>
      </c>
      <c r="J655" t="n">
        <v>0</v>
      </c>
      <c r="K655" t="n">
        <v>0</v>
      </c>
      <c r="L655" t="n">
        <v>0</v>
      </c>
      <c r="M655" t="n">
        <v>0</v>
      </c>
      <c r="N655" t="n">
        <v>0</v>
      </c>
      <c r="O655" t="n">
        <v>0</v>
      </c>
      <c r="P655" t="n">
        <v>0</v>
      </c>
      <c r="Q655" t="n">
        <v>0</v>
      </c>
      <c r="R655" s="2" t="inlineStr"/>
    </row>
    <row r="656" ht="15" customHeight="1">
      <c r="A656" t="inlineStr">
        <is>
          <t>A 3868-2026</t>
        </is>
      </c>
      <c r="B656" s="1" t="n">
        <v>46043.6360300926</v>
      </c>
      <c r="C656" s="1" t="n">
        <v>46161</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3869-2026</t>
        </is>
      </c>
      <c r="B657" s="1" t="n">
        <v>46043.63940972222</v>
      </c>
      <c r="C657" s="1" t="n">
        <v>46161</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63950-2023</t>
        </is>
      </c>
      <c r="B658" s="1" t="n">
        <v>45278</v>
      </c>
      <c r="C658" s="1" t="n">
        <v>46161</v>
      </c>
      <c r="D658" t="inlineStr">
        <is>
          <t>KALMAR LÄN</t>
        </is>
      </c>
      <c r="E658" t="inlineStr">
        <is>
          <t>VIMMERBY</t>
        </is>
      </c>
      <c r="F658" t="inlineStr">
        <is>
          <t>Kyrkan</t>
        </is>
      </c>
      <c r="G658" t="n">
        <v>2.7</v>
      </c>
      <c r="H658" t="n">
        <v>0</v>
      </c>
      <c r="I658" t="n">
        <v>0</v>
      </c>
      <c r="J658" t="n">
        <v>0</v>
      </c>
      <c r="K658" t="n">
        <v>0</v>
      </c>
      <c r="L658" t="n">
        <v>0</v>
      </c>
      <c r="M658" t="n">
        <v>0</v>
      </c>
      <c r="N658" t="n">
        <v>0</v>
      </c>
      <c r="O658" t="n">
        <v>0</v>
      </c>
      <c r="P658" t="n">
        <v>0</v>
      </c>
      <c r="Q658" t="n">
        <v>0</v>
      </c>
      <c r="R658" s="2" t="inlineStr"/>
    </row>
    <row r="659" ht="15" customHeight="1">
      <c r="A659" t="inlineStr">
        <is>
          <t>A 16516-2023</t>
        </is>
      </c>
      <c r="B659" s="1" t="n">
        <v>45029</v>
      </c>
      <c r="C659" s="1" t="n">
        <v>46161</v>
      </c>
      <c r="D659" t="inlineStr">
        <is>
          <t>KALMAR LÄN</t>
        </is>
      </c>
      <c r="E659" t="inlineStr">
        <is>
          <t>VIMMERBY</t>
        </is>
      </c>
      <c r="G659" t="n">
        <v>4.3</v>
      </c>
      <c r="H659" t="n">
        <v>0</v>
      </c>
      <c r="I659" t="n">
        <v>0</v>
      </c>
      <c r="J659" t="n">
        <v>0</v>
      </c>
      <c r="K659" t="n">
        <v>0</v>
      </c>
      <c r="L659" t="n">
        <v>0</v>
      </c>
      <c r="M659" t="n">
        <v>0</v>
      </c>
      <c r="N659" t="n">
        <v>0</v>
      </c>
      <c r="O659" t="n">
        <v>0</v>
      </c>
      <c r="P659" t="n">
        <v>0</v>
      </c>
      <c r="Q659" t="n">
        <v>0</v>
      </c>
      <c r="R659" s="2" t="inlineStr"/>
    </row>
    <row r="660" ht="15" customHeight="1">
      <c r="A660" t="inlineStr">
        <is>
          <t>A 47842-2024</t>
        </is>
      </c>
      <c r="B660" s="1" t="n">
        <v>45588.65545138889</v>
      </c>
      <c r="C660" s="1" t="n">
        <v>46161</v>
      </c>
      <c r="D660" t="inlineStr">
        <is>
          <t>KALMAR LÄN</t>
        </is>
      </c>
      <c r="E660" t="inlineStr">
        <is>
          <t>VIMMERBY</t>
        </is>
      </c>
      <c r="G660" t="n">
        <v>2.4</v>
      </c>
      <c r="H660" t="n">
        <v>0</v>
      </c>
      <c r="I660" t="n">
        <v>0</v>
      </c>
      <c r="J660" t="n">
        <v>0</v>
      </c>
      <c r="K660" t="n">
        <v>0</v>
      </c>
      <c r="L660" t="n">
        <v>0</v>
      </c>
      <c r="M660" t="n">
        <v>0</v>
      </c>
      <c r="N660" t="n">
        <v>0</v>
      </c>
      <c r="O660" t="n">
        <v>0</v>
      </c>
      <c r="P660" t="n">
        <v>0</v>
      </c>
      <c r="Q660" t="n">
        <v>0</v>
      </c>
      <c r="R660" s="2" t="inlineStr"/>
    </row>
    <row r="661" ht="15" customHeight="1">
      <c r="A661" t="inlineStr">
        <is>
          <t>A 6408-2025</t>
        </is>
      </c>
      <c r="B661" s="1" t="n">
        <v>45699.45671296296</v>
      </c>
      <c r="C661" s="1" t="n">
        <v>46161</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25109-2023</t>
        </is>
      </c>
      <c r="B662" s="1" t="n">
        <v>45086</v>
      </c>
      <c r="C662" s="1" t="n">
        <v>46161</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33380-2023</t>
        </is>
      </c>
      <c r="B663" s="1" t="n">
        <v>45128</v>
      </c>
      <c r="C663" s="1" t="n">
        <v>46161</v>
      </c>
      <c r="D663" t="inlineStr">
        <is>
          <t>KALMAR LÄN</t>
        </is>
      </c>
      <c r="E663" t="inlineStr">
        <is>
          <t>VIMMERBY</t>
        </is>
      </c>
      <c r="G663" t="n">
        <v>5.2</v>
      </c>
      <c r="H663" t="n">
        <v>0</v>
      </c>
      <c r="I663" t="n">
        <v>0</v>
      </c>
      <c r="J663" t="n">
        <v>0</v>
      </c>
      <c r="K663" t="n">
        <v>0</v>
      </c>
      <c r="L663" t="n">
        <v>0</v>
      </c>
      <c r="M663" t="n">
        <v>0</v>
      </c>
      <c r="N663" t="n">
        <v>0</v>
      </c>
      <c r="O663" t="n">
        <v>0</v>
      </c>
      <c r="P663" t="n">
        <v>0</v>
      </c>
      <c r="Q663" t="n">
        <v>0</v>
      </c>
      <c r="R663" s="2" t="inlineStr"/>
    </row>
    <row r="664" ht="15" customHeight="1">
      <c r="A664" t="inlineStr">
        <is>
          <t>A 32639-2023</t>
        </is>
      </c>
      <c r="B664" s="1" t="n">
        <v>45121.5965162037</v>
      </c>
      <c r="C664" s="1" t="n">
        <v>46161</v>
      </c>
      <c r="D664" t="inlineStr">
        <is>
          <t>KALMAR LÄN</t>
        </is>
      </c>
      <c r="E664" t="inlineStr">
        <is>
          <t>VIMMERBY</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32642-2023</t>
        </is>
      </c>
      <c r="B665" s="1" t="n">
        <v>45121.59954861111</v>
      </c>
      <c r="C665" s="1" t="n">
        <v>46161</v>
      </c>
      <c r="D665" t="inlineStr">
        <is>
          <t>KALMAR LÄN</t>
        </is>
      </c>
      <c r="E665" t="inlineStr">
        <is>
          <t>VIMMERBY</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32651-2023</t>
        </is>
      </c>
      <c r="B666" s="1" t="n">
        <v>45121.6096875</v>
      </c>
      <c r="C666" s="1" t="n">
        <v>46161</v>
      </c>
      <c r="D666" t="inlineStr">
        <is>
          <t>KALMAR LÄN</t>
        </is>
      </c>
      <c r="E666" t="inlineStr">
        <is>
          <t>VIMMERBY</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3965-2026</t>
        </is>
      </c>
      <c r="B667" s="1" t="n">
        <v>46044.34563657407</v>
      </c>
      <c r="C667" s="1" t="n">
        <v>46161</v>
      </c>
      <c r="D667" t="inlineStr">
        <is>
          <t>KALMAR LÄN</t>
        </is>
      </c>
      <c r="E667" t="inlineStr">
        <is>
          <t>VIMMERBY</t>
        </is>
      </c>
      <c r="G667" t="n">
        <v>2.6</v>
      </c>
      <c r="H667" t="n">
        <v>0</v>
      </c>
      <c r="I667" t="n">
        <v>0</v>
      </c>
      <c r="J667" t="n">
        <v>0</v>
      </c>
      <c r="K667" t="n">
        <v>0</v>
      </c>
      <c r="L667" t="n">
        <v>0</v>
      </c>
      <c r="M667" t="n">
        <v>0</v>
      </c>
      <c r="N667" t="n">
        <v>0</v>
      </c>
      <c r="O667" t="n">
        <v>0</v>
      </c>
      <c r="P667" t="n">
        <v>0</v>
      </c>
      <c r="Q667" t="n">
        <v>0</v>
      </c>
      <c r="R667" s="2" t="inlineStr"/>
    </row>
    <row r="668" ht="15" customHeight="1">
      <c r="A668" t="inlineStr">
        <is>
          <t>A 11928-2022</t>
        </is>
      </c>
      <c r="B668" s="1" t="n">
        <v>44635</v>
      </c>
      <c r="C668" s="1" t="n">
        <v>46161</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7068-2024</t>
        </is>
      </c>
      <c r="B669" s="1" t="n">
        <v>45343.68038194445</v>
      </c>
      <c r="C669" s="1" t="n">
        <v>46161</v>
      </c>
      <c r="D669" t="inlineStr">
        <is>
          <t>KALMAR LÄN</t>
        </is>
      </c>
      <c r="E669" t="inlineStr">
        <is>
          <t>VIMMERBY</t>
        </is>
      </c>
      <c r="G669" t="n">
        <v>2.5</v>
      </c>
      <c r="H669" t="n">
        <v>0</v>
      </c>
      <c r="I669" t="n">
        <v>0</v>
      </c>
      <c r="J669" t="n">
        <v>0</v>
      </c>
      <c r="K669" t="n">
        <v>0</v>
      </c>
      <c r="L669" t="n">
        <v>0</v>
      </c>
      <c r="M669" t="n">
        <v>0</v>
      </c>
      <c r="N669" t="n">
        <v>0</v>
      </c>
      <c r="O669" t="n">
        <v>0</v>
      </c>
      <c r="P669" t="n">
        <v>0</v>
      </c>
      <c r="Q669" t="n">
        <v>0</v>
      </c>
      <c r="R669" s="2" t="inlineStr"/>
    </row>
    <row r="670" ht="15" customHeight="1">
      <c r="A670" t="inlineStr">
        <is>
          <t>A 46234-2024</t>
        </is>
      </c>
      <c r="B670" s="1" t="n">
        <v>45581.57958333333</v>
      </c>
      <c r="C670" s="1" t="n">
        <v>46161</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37187-2024</t>
        </is>
      </c>
      <c r="B671" s="1" t="n">
        <v>45539.65212962963</v>
      </c>
      <c r="C671" s="1" t="n">
        <v>46161</v>
      </c>
      <c r="D671" t="inlineStr">
        <is>
          <t>KALMAR LÄN</t>
        </is>
      </c>
      <c r="E671" t="inlineStr">
        <is>
          <t>VIMMERBY</t>
        </is>
      </c>
      <c r="G671" t="n">
        <v>2.7</v>
      </c>
      <c r="H671" t="n">
        <v>0</v>
      </c>
      <c r="I671" t="n">
        <v>0</v>
      </c>
      <c r="J671" t="n">
        <v>0</v>
      </c>
      <c r="K671" t="n">
        <v>0</v>
      </c>
      <c r="L671" t="n">
        <v>0</v>
      </c>
      <c r="M671" t="n">
        <v>0</v>
      </c>
      <c r="N671" t="n">
        <v>0</v>
      </c>
      <c r="O671" t="n">
        <v>0</v>
      </c>
      <c r="P671" t="n">
        <v>0</v>
      </c>
      <c r="Q671" t="n">
        <v>0</v>
      </c>
      <c r="R671" s="2" t="inlineStr"/>
    </row>
    <row r="672" ht="15" customHeight="1">
      <c r="A672" t="inlineStr">
        <is>
          <t>A 1021-2024</t>
        </is>
      </c>
      <c r="B672" s="1" t="n">
        <v>45301.67736111111</v>
      </c>
      <c r="C672" s="1" t="n">
        <v>46161</v>
      </c>
      <c r="D672" t="inlineStr">
        <is>
          <t>KALMAR LÄN</t>
        </is>
      </c>
      <c r="E672" t="inlineStr">
        <is>
          <t>VIMMERBY</t>
        </is>
      </c>
      <c r="G672" t="n">
        <v>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46161</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19111-2025</t>
        </is>
      </c>
      <c r="B674" s="1" t="n">
        <v>45768.65611111111</v>
      </c>
      <c r="C674" s="1" t="n">
        <v>46161</v>
      </c>
      <c r="D674" t="inlineStr">
        <is>
          <t>KALMAR LÄN</t>
        </is>
      </c>
      <c r="E674" t="inlineStr">
        <is>
          <t>VIMMERBY</t>
        </is>
      </c>
      <c r="G674" t="n">
        <v>6.2</v>
      </c>
      <c r="H674" t="n">
        <v>0</v>
      </c>
      <c r="I674" t="n">
        <v>0</v>
      </c>
      <c r="J674" t="n">
        <v>0</v>
      </c>
      <c r="K674" t="n">
        <v>0</v>
      </c>
      <c r="L674" t="n">
        <v>0</v>
      </c>
      <c r="M674" t="n">
        <v>0</v>
      </c>
      <c r="N674" t="n">
        <v>0</v>
      </c>
      <c r="O674" t="n">
        <v>0</v>
      </c>
      <c r="P674" t="n">
        <v>0</v>
      </c>
      <c r="Q674" t="n">
        <v>0</v>
      </c>
      <c r="R674" s="2" t="inlineStr"/>
    </row>
    <row r="675" ht="15" customHeight="1">
      <c r="A675" t="inlineStr">
        <is>
          <t>A 33374-2021</t>
        </is>
      </c>
      <c r="B675" s="1" t="n">
        <v>44377</v>
      </c>
      <c r="C675" s="1" t="n">
        <v>46161</v>
      </c>
      <c r="D675" t="inlineStr">
        <is>
          <t>KALMAR LÄN</t>
        </is>
      </c>
      <c r="E675" t="inlineStr">
        <is>
          <t>VIMMERBY</t>
        </is>
      </c>
      <c r="G675" t="n">
        <v>3.3</v>
      </c>
      <c r="H675" t="n">
        <v>0</v>
      </c>
      <c r="I675" t="n">
        <v>0</v>
      </c>
      <c r="J675" t="n">
        <v>0</v>
      </c>
      <c r="K675" t="n">
        <v>0</v>
      </c>
      <c r="L675" t="n">
        <v>0</v>
      </c>
      <c r="M675" t="n">
        <v>0</v>
      </c>
      <c r="N675" t="n">
        <v>0</v>
      </c>
      <c r="O675" t="n">
        <v>0</v>
      </c>
      <c r="P675" t="n">
        <v>0</v>
      </c>
      <c r="Q675" t="n">
        <v>0</v>
      </c>
      <c r="R675" s="2" t="inlineStr"/>
    </row>
    <row r="676" ht="15" customHeight="1">
      <c r="A676" t="inlineStr">
        <is>
          <t>A 10807-2024</t>
        </is>
      </c>
      <c r="B676" s="1" t="n">
        <v>45369.62780092593</v>
      </c>
      <c r="C676" s="1" t="n">
        <v>46161</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33359-2021</t>
        </is>
      </c>
      <c r="B677" s="1" t="n">
        <v>44377.49684027778</v>
      </c>
      <c r="C677" s="1" t="n">
        <v>46161</v>
      </c>
      <c r="D677" t="inlineStr">
        <is>
          <t>KALMAR LÄN</t>
        </is>
      </c>
      <c r="E677" t="inlineStr">
        <is>
          <t>VIMMERBY</t>
        </is>
      </c>
      <c r="F677" t="inlineStr">
        <is>
          <t>Kommuner</t>
        </is>
      </c>
      <c r="G677" t="n">
        <v>8</v>
      </c>
      <c r="H677" t="n">
        <v>0</v>
      </c>
      <c r="I677" t="n">
        <v>0</v>
      </c>
      <c r="J677" t="n">
        <v>0</v>
      </c>
      <c r="K677" t="n">
        <v>0</v>
      </c>
      <c r="L677" t="n">
        <v>0</v>
      </c>
      <c r="M677" t="n">
        <v>0</v>
      </c>
      <c r="N677" t="n">
        <v>0</v>
      </c>
      <c r="O677" t="n">
        <v>0</v>
      </c>
      <c r="P677" t="n">
        <v>0</v>
      </c>
      <c r="Q677" t="n">
        <v>0</v>
      </c>
      <c r="R677" s="2" t="inlineStr"/>
    </row>
    <row r="678" ht="15" customHeight="1">
      <c r="A678" t="inlineStr">
        <is>
          <t>A 34588-2024</t>
        </is>
      </c>
      <c r="B678" s="1" t="n">
        <v>45526.3865625</v>
      </c>
      <c r="C678" s="1" t="n">
        <v>46161</v>
      </c>
      <c r="D678" t="inlineStr">
        <is>
          <t>KALMAR LÄN</t>
        </is>
      </c>
      <c r="E678" t="inlineStr">
        <is>
          <t>VIMMERBY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17084-2025</t>
        </is>
      </c>
      <c r="B679" s="1" t="n">
        <v>45755.64450231481</v>
      </c>
      <c r="C679" s="1" t="n">
        <v>46161</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33161-2024</t>
        </is>
      </c>
      <c r="B680" s="1" t="n">
        <v>45518.40657407408</v>
      </c>
      <c r="C680" s="1" t="n">
        <v>46161</v>
      </c>
      <c r="D680" t="inlineStr">
        <is>
          <t>KALMAR LÄN</t>
        </is>
      </c>
      <c r="E680" t="inlineStr">
        <is>
          <t>VIMMERBY</t>
        </is>
      </c>
      <c r="G680" t="n">
        <v>4.7</v>
      </c>
      <c r="H680" t="n">
        <v>0</v>
      </c>
      <c r="I680" t="n">
        <v>0</v>
      </c>
      <c r="J680" t="n">
        <v>0</v>
      </c>
      <c r="K680" t="n">
        <v>0</v>
      </c>
      <c r="L680" t="n">
        <v>0</v>
      </c>
      <c r="M680" t="n">
        <v>0</v>
      </c>
      <c r="N680" t="n">
        <v>0</v>
      </c>
      <c r="O680" t="n">
        <v>0</v>
      </c>
      <c r="P680" t="n">
        <v>0</v>
      </c>
      <c r="Q680" t="n">
        <v>0</v>
      </c>
      <c r="R680" s="2" t="inlineStr"/>
    </row>
    <row r="681" ht="15" customHeight="1">
      <c r="A681" t="inlineStr">
        <is>
          <t>A 14359-2025</t>
        </is>
      </c>
      <c r="B681" s="1" t="n">
        <v>45741.37270833334</v>
      </c>
      <c r="C681" s="1" t="n">
        <v>46161</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55605-2024</t>
        </is>
      </c>
      <c r="B682" s="1" t="n">
        <v>45622</v>
      </c>
      <c r="C682" s="1" t="n">
        <v>46161</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44464-2024</t>
        </is>
      </c>
      <c r="B683" s="1" t="n">
        <v>45574.35809027778</v>
      </c>
      <c r="C683" s="1" t="n">
        <v>46161</v>
      </c>
      <c r="D683" t="inlineStr">
        <is>
          <t>KALMAR LÄN</t>
        </is>
      </c>
      <c r="E683" t="inlineStr">
        <is>
          <t>VIMMERBY</t>
        </is>
      </c>
      <c r="G683" t="n">
        <v>0.7</v>
      </c>
      <c r="H683" t="n">
        <v>0</v>
      </c>
      <c r="I683" t="n">
        <v>0</v>
      </c>
      <c r="J683" t="n">
        <v>0</v>
      </c>
      <c r="K683" t="n">
        <v>0</v>
      </c>
      <c r="L683" t="n">
        <v>0</v>
      </c>
      <c r="M683" t="n">
        <v>0</v>
      </c>
      <c r="N683" t="n">
        <v>0</v>
      </c>
      <c r="O683" t="n">
        <v>0</v>
      </c>
      <c r="P683" t="n">
        <v>0</v>
      </c>
      <c r="Q683" t="n">
        <v>0</v>
      </c>
      <c r="R683" s="2" t="inlineStr"/>
    </row>
    <row r="684" ht="15" customHeight="1">
      <c r="A684" t="inlineStr">
        <is>
          <t>A 36049-2024</t>
        </is>
      </c>
      <c r="B684" s="1" t="n">
        <v>45533.61996527778</v>
      </c>
      <c r="C684" s="1" t="n">
        <v>46161</v>
      </c>
      <c r="D684" t="inlineStr">
        <is>
          <t>KALMAR LÄN</t>
        </is>
      </c>
      <c r="E684" t="inlineStr">
        <is>
          <t>VIMMERBY</t>
        </is>
      </c>
      <c r="F684" t="inlineStr">
        <is>
          <t>Kommuner</t>
        </is>
      </c>
      <c r="G684" t="n">
        <v>2.6</v>
      </c>
      <c r="H684" t="n">
        <v>0</v>
      </c>
      <c r="I684" t="n">
        <v>0</v>
      </c>
      <c r="J684" t="n">
        <v>0</v>
      </c>
      <c r="K684" t="n">
        <v>0</v>
      </c>
      <c r="L684" t="n">
        <v>0</v>
      </c>
      <c r="M684" t="n">
        <v>0</v>
      </c>
      <c r="N684" t="n">
        <v>0</v>
      </c>
      <c r="O684" t="n">
        <v>0</v>
      </c>
      <c r="P684" t="n">
        <v>0</v>
      </c>
      <c r="Q684" t="n">
        <v>0</v>
      </c>
      <c r="R684" s="2" t="inlineStr"/>
    </row>
    <row r="685" ht="15" customHeight="1">
      <c r="A685" t="inlineStr">
        <is>
          <t>A 4297-2022</t>
        </is>
      </c>
      <c r="B685" s="1" t="n">
        <v>44588</v>
      </c>
      <c r="C685" s="1" t="n">
        <v>46161</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46399-2024</t>
        </is>
      </c>
      <c r="B686" s="1" t="n">
        <v>45582.41200231481</v>
      </c>
      <c r="C686" s="1" t="n">
        <v>46161</v>
      </c>
      <c r="D686" t="inlineStr">
        <is>
          <t>KALMAR LÄN</t>
        </is>
      </c>
      <c r="E686" t="inlineStr">
        <is>
          <t>VIMMERBY</t>
        </is>
      </c>
      <c r="G686" t="n">
        <v>4.6</v>
      </c>
      <c r="H686" t="n">
        <v>0</v>
      </c>
      <c r="I686" t="n">
        <v>0</v>
      </c>
      <c r="J686" t="n">
        <v>0</v>
      </c>
      <c r="K686" t="n">
        <v>0</v>
      </c>
      <c r="L686" t="n">
        <v>0</v>
      </c>
      <c r="M686" t="n">
        <v>0</v>
      </c>
      <c r="N686" t="n">
        <v>0</v>
      </c>
      <c r="O686" t="n">
        <v>0</v>
      </c>
      <c r="P686" t="n">
        <v>0</v>
      </c>
      <c r="Q686" t="n">
        <v>0</v>
      </c>
      <c r="R686" s="2" t="inlineStr"/>
    </row>
    <row r="687" ht="15" customHeight="1">
      <c r="A687" t="inlineStr">
        <is>
          <t>A 13532-2025</t>
        </is>
      </c>
      <c r="B687" s="1" t="n">
        <v>45736.50743055555</v>
      </c>
      <c r="C687" s="1" t="n">
        <v>46161</v>
      </c>
      <c r="D687" t="inlineStr">
        <is>
          <t>KALMAR LÄN</t>
        </is>
      </c>
      <c r="E687" t="inlineStr">
        <is>
          <t>VIMMERBY</t>
        </is>
      </c>
      <c r="G687" t="n">
        <v>3.6</v>
      </c>
      <c r="H687" t="n">
        <v>0</v>
      </c>
      <c r="I687" t="n">
        <v>0</v>
      </c>
      <c r="J687" t="n">
        <v>0</v>
      </c>
      <c r="K687" t="n">
        <v>0</v>
      </c>
      <c r="L687" t="n">
        <v>0</v>
      </c>
      <c r="M687" t="n">
        <v>0</v>
      </c>
      <c r="N687" t="n">
        <v>0</v>
      </c>
      <c r="O687" t="n">
        <v>0</v>
      </c>
      <c r="P687" t="n">
        <v>0</v>
      </c>
      <c r="Q687" t="n">
        <v>0</v>
      </c>
      <c r="R687" s="2" t="inlineStr"/>
    </row>
    <row r="688" ht="15" customHeight="1">
      <c r="A688" t="inlineStr">
        <is>
          <t>A 6817-2026</t>
        </is>
      </c>
      <c r="B688" s="1" t="n">
        <v>46057.38412037037</v>
      </c>
      <c r="C688" s="1" t="n">
        <v>46161</v>
      </c>
      <c r="D688" t="inlineStr">
        <is>
          <t>KALMAR LÄN</t>
        </is>
      </c>
      <c r="E688" t="inlineStr">
        <is>
          <t>VIMMERBY</t>
        </is>
      </c>
      <c r="G688" t="n">
        <v>0.7</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44833.60123842592</v>
      </c>
      <c r="C689" s="1" t="n">
        <v>46161</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57799-2022</t>
        </is>
      </c>
      <c r="B690" s="1" t="n">
        <v>44897</v>
      </c>
      <c r="C690" s="1" t="n">
        <v>46161</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30921-2024</t>
        </is>
      </c>
      <c r="B691" s="1" t="n">
        <v>45498</v>
      </c>
      <c r="C691" s="1" t="n">
        <v>46161</v>
      </c>
      <c r="D691" t="inlineStr">
        <is>
          <t>KALMAR LÄN</t>
        </is>
      </c>
      <c r="E691" t="inlineStr">
        <is>
          <t>VIMMERBY</t>
        </is>
      </c>
      <c r="G691" t="n">
        <v>1.6</v>
      </c>
      <c r="H691" t="n">
        <v>0</v>
      </c>
      <c r="I691" t="n">
        <v>0</v>
      </c>
      <c r="J691" t="n">
        <v>0</v>
      </c>
      <c r="K691" t="n">
        <v>0</v>
      </c>
      <c r="L691" t="n">
        <v>0</v>
      </c>
      <c r="M691" t="n">
        <v>0</v>
      </c>
      <c r="N691" t="n">
        <v>0</v>
      </c>
      <c r="O691" t="n">
        <v>0</v>
      </c>
      <c r="P691" t="n">
        <v>0</v>
      </c>
      <c r="Q691" t="n">
        <v>0</v>
      </c>
      <c r="R691" s="2" t="inlineStr"/>
    </row>
    <row r="692" ht="15" customHeight="1">
      <c r="A692" t="inlineStr">
        <is>
          <t>A 14137-2023</t>
        </is>
      </c>
      <c r="B692" s="1" t="n">
        <v>45009.4671875</v>
      </c>
      <c r="C692" s="1" t="n">
        <v>46161</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11152-2023</t>
        </is>
      </c>
      <c r="B693" s="1" t="n">
        <v>44992</v>
      </c>
      <c r="C693" s="1" t="n">
        <v>46161</v>
      </c>
      <c r="D693" t="inlineStr">
        <is>
          <t>KALMAR LÄN</t>
        </is>
      </c>
      <c r="E693" t="inlineStr">
        <is>
          <t>VIMMERBY</t>
        </is>
      </c>
      <c r="G693" t="n">
        <v>10.6</v>
      </c>
      <c r="H693" t="n">
        <v>0</v>
      </c>
      <c r="I693" t="n">
        <v>0</v>
      </c>
      <c r="J693" t="n">
        <v>0</v>
      </c>
      <c r="K693" t="n">
        <v>0</v>
      </c>
      <c r="L693" t="n">
        <v>0</v>
      </c>
      <c r="M693" t="n">
        <v>0</v>
      </c>
      <c r="N693" t="n">
        <v>0</v>
      </c>
      <c r="O693" t="n">
        <v>0</v>
      </c>
      <c r="P693" t="n">
        <v>0</v>
      </c>
      <c r="Q693" t="n">
        <v>0</v>
      </c>
      <c r="R693" s="2" t="inlineStr"/>
    </row>
    <row r="694" ht="15" customHeight="1">
      <c r="A694" t="inlineStr">
        <is>
          <t>A 12499-2023</t>
        </is>
      </c>
      <c r="B694" s="1" t="n">
        <v>44999.86172453704</v>
      </c>
      <c r="C694" s="1" t="n">
        <v>46161</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12500-2023</t>
        </is>
      </c>
      <c r="B695" s="1" t="n">
        <v>44999.8625</v>
      </c>
      <c r="C695" s="1" t="n">
        <v>46161</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35846-2023</t>
        </is>
      </c>
      <c r="B696" s="1" t="n">
        <v>45148</v>
      </c>
      <c r="C696" s="1" t="n">
        <v>46161</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49039-2021</t>
        </is>
      </c>
      <c r="B697" s="1" t="n">
        <v>44453.56578703703</v>
      </c>
      <c r="C697" s="1" t="n">
        <v>46161</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46224-2024</t>
        </is>
      </c>
      <c r="B698" s="1" t="n">
        <v>45581.57016203704</v>
      </c>
      <c r="C698" s="1" t="n">
        <v>46161</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46238-2024</t>
        </is>
      </c>
      <c r="B699" s="1" t="n">
        <v>45581.58418981481</v>
      </c>
      <c r="C699" s="1" t="n">
        <v>46161</v>
      </c>
      <c r="D699" t="inlineStr">
        <is>
          <t>KALMAR LÄN</t>
        </is>
      </c>
      <c r="E699" t="inlineStr">
        <is>
          <t>VIMMERBY</t>
        </is>
      </c>
      <c r="G699" t="n">
        <v>2.1</v>
      </c>
      <c r="H699" t="n">
        <v>0</v>
      </c>
      <c r="I699" t="n">
        <v>0</v>
      </c>
      <c r="J699" t="n">
        <v>0</v>
      </c>
      <c r="K699" t="n">
        <v>0</v>
      </c>
      <c r="L699" t="n">
        <v>0</v>
      </c>
      <c r="M699" t="n">
        <v>0</v>
      </c>
      <c r="N699" t="n">
        <v>0</v>
      </c>
      <c r="O699" t="n">
        <v>0</v>
      </c>
      <c r="P699" t="n">
        <v>0</v>
      </c>
      <c r="Q699" t="n">
        <v>0</v>
      </c>
      <c r="R699" s="2" t="inlineStr"/>
    </row>
    <row r="700" ht="15" customHeight="1">
      <c r="A700" t="inlineStr">
        <is>
          <t>A 30633-2024</t>
        </is>
      </c>
      <c r="B700" s="1" t="n">
        <v>45495</v>
      </c>
      <c r="C700" s="1" t="n">
        <v>46161</v>
      </c>
      <c r="D700" t="inlineStr">
        <is>
          <t>KALMAR LÄN</t>
        </is>
      </c>
      <c r="E700" t="inlineStr">
        <is>
          <t>VIMMERBY</t>
        </is>
      </c>
      <c r="G700" t="n">
        <v>0.5</v>
      </c>
      <c r="H700" t="n">
        <v>0</v>
      </c>
      <c r="I700" t="n">
        <v>0</v>
      </c>
      <c r="J700" t="n">
        <v>0</v>
      </c>
      <c r="K700" t="n">
        <v>0</v>
      </c>
      <c r="L700" t="n">
        <v>0</v>
      </c>
      <c r="M700" t="n">
        <v>0</v>
      </c>
      <c r="N700" t="n">
        <v>0</v>
      </c>
      <c r="O700" t="n">
        <v>0</v>
      </c>
      <c r="P700" t="n">
        <v>0</v>
      </c>
      <c r="Q700" t="n">
        <v>0</v>
      </c>
      <c r="R700" s="2" t="inlineStr"/>
    </row>
    <row r="701" ht="15" customHeight="1">
      <c r="A701" t="inlineStr">
        <is>
          <t>A 54838-2024</t>
        </is>
      </c>
      <c r="B701" s="1" t="n">
        <v>45618.56787037037</v>
      </c>
      <c r="C701" s="1" t="n">
        <v>46161</v>
      </c>
      <c r="D701" t="inlineStr">
        <is>
          <t>KALMAR LÄN</t>
        </is>
      </c>
      <c r="E701" t="inlineStr">
        <is>
          <t>VIMMERBY</t>
        </is>
      </c>
      <c r="G701" t="n">
        <v>3.3</v>
      </c>
      <c r="H701" t="n">
        <v>0</v>
      </c>
      <c r="I701" t="n">
        <v>0</v>
      </c>
      <c r="J701" t="n">
        <v>0</v>
      </c>
      <c r="K701" t="n">
        <v>0</v>
      </c>
      <c r="L701" t="n">
        <v>0</v>
      </c>
      <c r="M701" t="n">
        <v>0</v>
      </c>
      <c r="N701" t="n">
        <v>0</v>
      </c>
      <c r="O701" t="n">
        <v>0</v>
      </c>
      <c r="P701" t="n">
        <v>0</v>
      </c>
      <c r="Q701" t="n">
        <v>0</v>
      </c>
      <c r="R701" s="2" t="inlineStr"/>
    </row>
    <row r="702" ht="15" customHeight="1">
      <c r="A702" t="inlineStr">
        <is>
          <t>A 6405-2025</t>
        </is>
      </c>
      <c r="B702" s="1" t="n">
        <v>45699.45392361111</v>
      </c>
      <c r="C702" s="1" t="n">
        <v>46161</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8595-2026</t>
        </is>
      </c>
      <c r="B703" s="1" t="n">
        <v>46065.7372337963</v>
      </c>
      <c r="C703" s="1" t="n">
        <v>46161</v>
      </c>
      <c r="D703" t="inlineStr">
        <is>
          <t>KALMAR LÄN</t>
        </is>
      </c>
      <c r="E703" t="inlineStr">
        <is>
          <t>VIMMERBY</t>
        </is>
      </c>
      <c r="G703" t="n">
        <v>0.8</v>
      </c>
      <c r="H703" t="n">
        <v>0</v>
      </c>
      <c r="I703" t="n">
        <v>0</v>
      </c>
      <c r="J703" t="n">
        <v>0</v>
      </c>
      <c r="K703" t="n">
        <v>0</v>
      </c>
      <c r="L703" t="n">
        <v>0</v>
      </c>
      <c r="M703" t="n">
        <v>0</v>
      </c>
      <c r="N703" t="n">
        <v>0</v>
      </c>
      <c r="O703" t="n">
        <v>0</v>
      </c>
      <c r="P703" t="n">
        <v>0</v>
      </c>
      <c r="Q703" t="n">
        <v>0</v>
      </c>
      <c r="R703" s="2" t="inlineStr"/>
    </row>
    <row r="704" ht="15" customHeight="1">
      <c r="A704" t="inlineStr">
        <is>
          <t>A 60437-2023</t>
        </is>
      </c>
      <c r="B704" s="1" t="n">
        <v>45259.51916666667</v>
      </c>
      <c r="C704" s="1" t="n">
        <v>46161</v>
      </c>
      <c r="D704" t="inlineStr">
        <is>
          <t>KALMAR LÄN</t>
        </is>
      </c>
      <c r="E704" t="inlineStr">
        <is>
          <t>VIMMERBY</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60438-2023</t>
        </is>
      </c>
      <c r="B705" s="1" t="n">
        <v>45259.52020833334</v>
      </c>
      <c r="C705" s="1" t="n">
        <v>46161</v>
      </c>
      <c r="D705" t="inlineStr">
        <is>
          <t>KALMAR LÄN</t>
        </is>
      </c>
      <c r="E705" t="inlineStr">
        <is>
          <t>VIMMERBY</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42165-2024</t>
        </is>
      </c>
      <c r="B706" s="1" t="n">
        <v>45562.46342592593</v>
      </c>
      <c r="C706" s="1" t="n">
        <v>46161</v>
      </c>
      <c r="D706" t="inlineStr">
        <is>
          <t>KALMAR LÄN</t>
        </is>
      </c>
      <c r="E706" t="inlineStr">
        <is>
          <t>VIMMERBY</t>
        </is>
      </c>
      <c r="G706" t="n">
        <v>0.5</v>
      </c>
      <c r="H706" t="n">
        <v>0</v>
      </c>
      <c r="I706" t="n">
        <v>0</v>
      </c>
      <c r="J706" t="n">
        <v>0</v>
      </c>
      <c r="K706" t="n">
        <v>0</v>
      </c>
      <c r="L706" t="n">
        <v>0</v>
      </c>
      <c r="M706" t="n">
        <v>0</v>
      </c>
      <c r="N706" t="n">
        <v>0</v>
      </c>
      <c r="O706" t="n">
        <v>0</v>
      </c>
      <c r="P706" t="n">
        <v>0</v>
      </c>
      <c r="Q706" t="n">
        <v>0</v>
      </c>
      <c r="R706" s="2" t="inlineStr"/>
    </row>
    <row r="707" ht="15" customHeight="1">
      <c r="A707" t="inlineStr">
        <is>
          <t>A 25244-2023</t>
        </is>
      </c>
      <c r="B707" s="1" t="n">
        <v>45086</v>
      </c>
      <c r="C707" s="1" t="n">
        <v>46161</v>
      </c>
      <c r="D707" t="inlineStr">
        <is>
          <t>KALMAR LÄN</t>
        </is>
      </c>
      <c r="E707" t="inlineStr">
        <is>
          <t>VIMMERBY</t>
        </is>
      </c>
      <c r="G707" t="n">
        <v>4.7</v>
      </c>
      <c r="H707" t="n">
        <v>0</v>
      </c>
      <c r="I707" t="n">
        <v>0</v>
      </c>
      <c r="J707" t="n">
        <v>0</v>
      </c>
      <c r="K707" t="n">
        <v>0</v>
      </c>
      <c r="L707" t="n">
        <v>0</v>
      </c>
      <c r="M707" t="n">
        <v>0</v>
      </c>
      <c r="N707" t="n">
        <v>0</v>
      </c>
      <c r="O707" t="n">
        <v>0</v>
      </c>
      <c r="P707" t="n">
        <v>0</v>
      </c>
      <c r="Q707" t="n">
        <v>0</v>
      </c>
      <c r="R707" s="2" t="inlineStr"/>
    </row>
    <row r="708" ht="15" customHeight="1">
      <c r="A708" t="inlineStr">
        <is>
          <t>A 8696-2026</t>
        </is>
      </c>
      <c r="B708" s="1" t="n">
        <v>46066.45273148148</v>
      </c>
      <c r="C708" s="1" t="n">
        <v>46161</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66022-2021</t>
        </is>
      </c>
      <c r="B709" s="1" t="n">
        <v>44517</v>
      </c>
      <c r="C709" s="1" t="n">
        <v>46161</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35895-2024</t>
        </is>
      </c>
      <c r="B710" s="1" t="n">
        <v>45533.38870370371</v>
      </c>
      <c r="C710" s="1" t="n">
        <v>46161</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11073-2023</t>
        </is>
      </c>
      <c r="B711" s="1" t="n">
        <v>44992</v>
      </c>
      <c r="C711" s="1" t="n">
        <v>46161</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17-2025</t>
        </is>
      </c>
      <c r="B712" s="1" t="n">
        <v>45658.78774305555</v>
      </c>
      <c r="C712" s="1" t="n">
        <v>46161</v>
      </c>
      <c r="D712" t="inlineStr">
        <is>
          <t>KALMAR LÄN</t>
        </is>
      </c>
      <c r="E712" t="inlineStr">
        <is>
          <t>VIMMERBY</t>
        </is>
      </c>
      <c r="G712" t="n">
        <v>4.4</v>
      </c>
      <c r="H712" t="n">
        <v>0</v>
      </c>
      <c r="I712" t="n">
        <v>0</v>
      </c>
      <c r="J712" t="n">
        <v>0</v>
      </c>
      <c r="K712" t="n">
        <v>0</v>
      </c>
      <c r="L712" t="n">
        <v>0</v>
      </c>
      <c r="M712" t="n">
        <v>0</v>
      </c>
      <c r="N712" t="n">
        <v>0</v>
      </c>
      <c r="O712" t="n">
        <v>0</v>
      </c>
      <c r="P712" t="n">
        <v>0</v>
      </c>
      <c r="Q712" t="n">
        <v>0</v>
      </c>
      <c r="R712" s="2" t="inlineStr"/>
    </row>
    <row r="713" ht="15" customHeight="1">
      <c r="A713" t="inlineStr">
        <is>
          <t>A 32655-2023</t>
        </is>
      </c>
      <c r="B713" s="1" t="n">
        <v>45121.61318287037</v>
      </c>
      <c r="C713" s="1" t="n">
        <v>46161</v>
      </c>
      <c r="D713" t="inlineStr">
        <is>
          <t>KALMAR LÄN</t>
        </is>
      </c>
      <c r="E713" t="inlineStr">
        <is>
          <t>VIMMERBY</t>
        </is>
      </c>
      <c r="F713" t="inlineStr">
        <is>
          <t>Sveaskog</t>
        </is>
      </c>
      <c r="G713" t="n">
        <v>2</v>
      </c>
      <c r="H713" t="n">
        <v>0</v>
      </c>
      <c r="I713" t="n">
        <v>0</v>
      </c>
      <c r="J713" t="n">
        <v>0</v>
      </c>
      <c r="K713" t="n">
        <v>0</v>
      </c>
      <c r="L713" t="n">
        <v>0</v>
      </c>
      <c r="M713" t="n">
        <v>0</v>
      </c>
      <c r="N713" t="n">
        <v>0</v>
      </c>
      <c r="O713" t="n">
        <v>0</v>
      </c>
      <c r="P713" t="n">
        <v>0</v>
      </c>
      <c r="Q713" t="n">
        <v>0</v>
      </c>
      <c r="R713" s="2" t="inlineStr"/>
    </row>
    <row r="714" ht="15" customHeight="1">
      <c r="A714" t="inlineStr">
        <is>
          <t>A 63541-2023</t>
        </is>
      </c>
      <c r="B714" s="1" t="n">
        <v>45275.32266203704</v>
      </c>
      <c r="C714" s="1" t="n">
        <v>46161</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28034-2022</t>
        </is>
      </c>
      <c r="B715" s="1" t="n">
        <v>44746.38834490741</v>
      </c>
      <c r="C715" s="1" t="n">
        <v>46161</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5938-2022</t>
        </is>
      </c>
      <c r="B716" s="1" t="n">
        <v>44598</v>
      </c>
      <c r="C716" s="1" t="n">
        <v>46161</v>
      </c>
      <c r="D716" t="inlineStr">
        <is>
          <t>KALMAR LÄN</t>
        </is>
      </c>
      <c r="E716" t="inlineStr">
        <is>
          <t>VIMMERBY</t>
        </is>
      </c>
      <c r="G716" t="n">
        <v>2.4</v>
      </c>
      <c r="H716" t="n">
        <v>0</v>
      </c>
      <c r="I716" t="n">
        <v>0</v>
      </c>
      <c r="J716" t="n">
        <v>0</v>
      </c>
      <c r="K716" t="n">
        <v>0</v>
      </c>
      <c r="L716" t="n">
        <v>0</v>
      </c>
      <c r="M716" t="n">
        <v>0</v>
      </c>
      <c r="N716" t="n">
        <v>0</v>
      </c>
      <c r="O716" t="n">
        <v>0</v>
      </c>
      <c r="P716" t="n">
        <v>0</v>
      </c>
      <c r="Q716" t="n">
        <v>0</v>
      </c>
      <c r="R716" s="2" t="inlineStr"/>
    </row>
    <row r="717" ht="15" customHeight="1">
      <c r="A717" t="inlineStr">
        <is>
          <t>A 24283-2023</t>
        </is>
      </c>
      <c r="B717" s="1" t="n">
        <v>45079.87827546296</v>
      </c>
      <c r="C717" s="1" t="n">
        <v>46161</v>
      </c>
      <c r="D717" t="inlineStr">
        <is>
          <t>KALMAR LÄN</t>
        </is>
      </c>
      <c r="E717" t="inlineStr">
        <is>
          <t>VIMMERBY</t>
        </is>
      </c>
      <c r="G717" t="n">
        <v>2</v>
      </c>
      <c r="H717" t="n">
        <v>0</v>
      </c>
      <c r="I717" t="n">
        <v>0</v>
      </c>
      <c r="J717" t="n">
        <v>0</v>
      </c>
      <c r="K717" t="n">
        <v>0</v>
      </c>
      <c r="L717" t="n">
        <v>0</v>
      </c>
      <c r="M717" t="n">
        <v>0</v>
      </c>
      <c r="N717" t="n">
        <v>0</v>
      </c>
      <c r="O717" t="n">
        <v>0</v>
      </c>
      <c r="P717" t="n">
        <v>0</v>
      </c>
      <c r="Q717" t="n">
        <v>0</v>
      </c>
      <c r="R717" s="2" t="inlineStr"/>
    </row>
    <row r="718" ht="15" customHeight="1">
      <c r="A718" t="inlineStr">
        <is>
          <t>A 2462-2022</t>
        </is>
      </c>
      <c r="B718" s="1" t="n">
        <v>44579.62225694444</v>
      </c>
      <c r="C718" s="1" t="n">
        <v>46161</v>
      </c>
      <c r="D718" t="inlineStr">
        <is>
          <t>KALMAR LÄN</t>
        </is>
      </c>
      <c r="E718" t="inlineStr">
        <is>
          <t>VIMMERBY</t>
        </is>
      </c>
      <c r="G718" t="n">
        <v>1.1</v>
      </c>
      <c r="H718" t="n">
        <v>0</v>
      </c>
      <c r="I718" t="n">
        <v>0</v>
      </c>
      <c r="J718" t="n">
        <v>0</v>
      </c>
      <c r="K718" t="n">
        <v>0</v>
      </c>
      <c r="L718" t="n">
        <v>0</v>
      </c>
      <c r="M718" t="n">
        <v>0</v>
      </c>
      <c r="N718" t="n">
        <v>0</v>
      </c>
      <c r="O718" t="n">
        <v>0</v>
      </c>
      <c r="P718" t="n">
        <v>0</v>
      </c>
      <c r="Q718" t="n">
        <v>0</v>
      </c>
      <c r="R718" s="2" t="inlineStr"/>
    </row>
    <row r="719" ht="15" customHeight="1">
      <c r="A719" t="inlineStr">
        <is>
          <t>A 60228-2021</t>
        </is>
      </c>
      <c r="B719" s="1" t="n">
        <v>44495</v>
      </c>
      <c r="C719" s="1" t="n">
        <v>46161</v>
      </c>
      <c r="D719" t="inlineStr">
        <is>
          <t>KALMAR LÄN</t>
        </is>
      </c>
      <c r="E719" t="inlineStr">
        <is>
          <t>VIMMERBY</t>
        </is>
      </c>
      <c r="G719" t="n">
        <v>4.1</v>
      </c>
      <c r="H719" t="n">
        <v>0</v>
      </c>
      <c r="I719" t="n">
        <v>0</v>
      </c>
      <c r="J719" t="n">
        <v>0</v>
      </c>
      <c r="K719" t="n">
        <v>0</v>
      </c>
      <c r="L719" t="n">
        <v>0</v>
      </c>
      <c r="M719" t="n">
        <v>0</v>
      </c>
      <c r="N719" t="n">
        <v>0</v>
      </c>
      <c r="O719" t="n">
        <v>0</v>
      </c>
      <c r="P719" t="n">
        <v>0</v>
      </c>
      <c r="Q719" t="n">
        <v>0</v>
      </c>
      <c r="R719" s="2" t="inlineStr"/>
    </row>
    <row r="720" ht="15" customHeight="1">
      <c r="A720" t="inlineStr">
        <is>
          <t>A 25979-2023</t>
        </is>
      </c>
      <c r="B720" s="1" t="n">
        <v>45090.89653935185</v>
      </c>
      <c r="C720" s="1" t="n">
        <v>46161</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25980-2023</t>
        </is>
      </c>
      <c r="B721" s="1" t="n">
        <v>45090.89880787037</v>
      </c>
      <c r="C721" s="1" t="n">
        <v>46161</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12510-2022</t>
        </is>
      </c>
      <c r="B722" s="1" t="n">
        <v>44638.55256944444</v>
      </c>
      <c r="C722" s="1" t="n">
        <v>46161</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6358-2022</t>
        </is>
      </c>
      <c r="B723" s="1" t="n">
        <v>44600</v>
      </c>
      <c r="C723" s="1" t="n">
        <v>46161</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48373-2021</t>
        </is>
      </c>
      <c r="B724" s="1" t="n">
        <v>44451</v>
      </c>
      <c r="C724" s="1" t="n">
        <v>46161</v>
      </c>
      <c r="D724" t="inlineStr">
        <is>
          <t>KALMAR LÄN</t>
        </is>
      </c>
      <c r="E724" t="inlineStr">
        <is>
          <t>VIMMERBY</t>
        </is>
      </c>
      <c r="G724" t="n">
        <v>2.2</v>
      </c>
      <c r="H724" t="n">
        <v>0</v>
      </c>
      <c r="I724" t="n">
        <v>0</v>
      </c>
      <c r="J724" t="n">
        <v>0</v>
      </c>
      <c r="K724" t="n">
        <v>0</v>
      </c>
      <c r="L724" t="n">
        <v>0</v>
      </c>
      <c r="M724" t="n">
        <v>0</v>
      </c>
      <c r="N724" t="n">
        <v>0</v>
      </c>
      <c r="O724" t="n">
        <v>0</v>
      </c>
      <c r="P724" t="n">
        <v>0</v>
      </c>
      <c r="Q724" t="n">
        <v>0</v>
      </c>
      <c r="R724" s="2" t="inlineStr"/>
    </row>
    <row r="725" ht="15" customHeight="1">
      <c r="A725" t="inlineStr">
        <is>
          <t>A 57256-2023</t>
        </is>
      </c>
      <c r="B725" s="1" t="n">
        <v>45245.5735300926</v>
      </c>
      <c r="C725" s="1" t="n">
        <v>46161</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17482-2024</t>
        </is>
      </c>
      <c r="B726" s="1" t="n">
        <v>45415.47848379629</v>
      </c>
      <c r="C726" s="1" t="n">
        <v>46161</v>
      </c>
      <c r="D726" t="inlineStr">
        <is>
          <t>KALMAR LÄN</t>
        </is>
      </c>
      <c r="E726" t="inlineStr">
        <is>
          <t>VIMMERBY</t>
        </is>
      </c>
      <c r="G726" t="n">
        <v>1.7</v>
      </c>
      <c r="H726" t="n">
        <v>0</v>
      </c>
      <c r="I726" t="n">
        <v>0</v>
      </c>
      <c r="J726" t="n">
        <v>0</v>
      </c>
      <c r="K726" t="n">
        <v>0</v>
      </c>
      <c r="L726" t="n">
        <v>0</v>
      </c>
      <c r="M726" t="n">
        <v>0</v>
      </c>
      <c r="N726" t="n">
        <v>0</v>
      </c>
      <c r="O726" t="n">
        <v>0</v>
      </c>
      <c r="P726" t="n">
        <v>0</v>
      </c>
      <c r="Q726" t="n">
        <v>0</v>
      </c>
      <c r="R726" s="2" t="inlineStr"/>
    </row>
    <row r="727" ht="15" customHeight="1">
      <c r="A727" t="inlineStr">
        <is>
          <t>A 55123-2024</t>
        </is>
      </c>
      <c r="B727" s="1" t="n">
        <v>45621.46103009259</v>
      </c>
      <c r="C727" s="1" t="n">
        <v>46161</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49313-2022</t>
        </is>
      </c>
      <c r="B728" s="1" t="n">
        <v>44861.52505787037</v>
      </c>
      <c r="C728" s="1" t="n">
        <v>46161</v>
      </c>
      <c r="D728" t="inlineStr">
        <is>
          <t>KALMAR LÄN</t>
        </is>
      </c>
      <c r="E728" t="inlineStr">
        <is>
          <t>VIMMERBY</t>
        </is>
      </c>
      <c r="G728" t="n">
        <v>1.9</v>
      </c>
      <c r="H728" t="n">
        <v>0</v>
      </c>
      <c r="I728" t="n">
        <v>0</v>
      </c>
      <c r="J728" t="n">
        <v>0</v>
      </c>
      <c r="K728" t="n">
        <v>0</v>
      </c>
      <c r="L728" t="n">
        <v>0</v>
      </c>
      <c r="M728" t="n">
        <v>0</v>
      </c>
      <c r="N728" t="n">
        <v>0</v>
      </c>
      <c r="O728" t="n">
        <v>0</v>
      </c>
      <c r="P728" t="n">
        <v>0</v>
      </c>
      <c r="Q728" t="n">
        <v>0</v>
      </c>
      <c r="R728" s="2" t="inlineStr"/>
    </row>
    <row r="729" ht="15" customHeight="1">
      <c r="A729" t="inlineStr">
        <is>
          <t>A 1987-2024</t>
        </is>
      </c>
      <c r="B729" s="1" t="n">
        <v>45308.61152777778</v>
      </c>
      <c r="C729" s="1" t="n">
        <v>46161</v>
      </c>
      <c r="D729" t="inlineStr">
        <is>
          <t>KALMAR LÄN</t>
        </is>
      </c>
      <c r="E729" t="inlineStr">
        <is>
          <t>VIMMERBY</t>
        </is>
      </c>
      <c r="G729" t="n">
        <v>3</v>
      </c>
      <c r="H729" t="n">
        <v>0</v>
      </c>
      <c r="I729" t="n">
        <v>0</v>
      </c>
      <c r="J729" t="n">
        <v>0</v>
      </c>
      <c r="K729" t="n">
        <v>0</v>
      </c>
      <c r="L729" t="n">
        <v>0</v>
      </c>
      <c r="M729" t="n">
        <v>0</v>
      </c>
      <c r="N729" t="n">
        <v>0</v>
      </c>
      <c r="O729" t="n">
        <v>0</v>
      </c>
      <c r="P729" t="n">
        <v>0</v>
      </c>
      <c r="Q729" t="n">
        <v>0</v>
      </c>
      <c r="R729" s="2" t="inlineStr"/>
    </row>
    <row r="730" ht="15" customHeight="1">
      <c r="A730" t="inlineStr">
        <is>
          <t>A 10965-2026</t>
        </is>
      </c>
      <c r="B730" s="1" t="n">
        <v>46079.43295138889</v>
      </c>
      <c r="C730" s="1" t="n">
        <v>46161</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21507-2023</t>
        </is>
      </c>
      <c r="B731" s="1" t="n">
        <v>45063.508125</v>
      </c>
      <c r="C731" s="1" t="n">
        <v>46161</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44895.62296296296</v>
      </c>
      <c r="C732" s="1" t="n">
        <v>46161</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11273-2026</t>
        </is>
      </c>
      <c r="B733" s="1" t="n">
        <v>46080.57634259259</v>
      </c>
      <c r="C733" s="1" t="n">
        <v>46161</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48673-2021</t>
        </is>
      </c>
      <c r="B734" s="1" t="n">
        <v>44452</v>
      </c>
      <c r="C734" s="1" t="n">
        <v>46161</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17713-2026</t>
        </is>
      </c>
      <c r="B735" s="1" t="n">
        <v>46121.72810185186</v>
      </c>
      <c r="C735" s="1" t="n">
        <v>46161</v>
      </c>
      <c r="D735" t="inlineStr">
        <is>
          <t>KALMAR LÄN</t>
        </is>
      </c>
      <c r="E735" t="inlineStr">
        <is>
          <t>VIMMERBY</t>
        </is>
      </c>
      <c r="G735" t="n">
        <v>1</v>
      </c>
      <c r="H735" t="n">
        <v>0</v>
      </c>
      <c r="I735" t="n">
        <v>0</v>
      </c>
      <c r="J735" t="n">
        <v>0</v>
      </c>
      <c r="K735" t="n">
        <v>0</v>
      </c>
      <c r="L735" t="n">
        <v>0</v>
      </c>
      <c r="M735" t="n">
        <v>0</v>
      </c>
      <c r="N735" t="n">
        <v>0</v>
      </c>
      <c r="O735" t="n">
        <v>0</v>
      </c>
      <c r="P735" t="n">
        <v>0</v>
      </c>
      <c r="Q735" t="n">
        <v>0</v>
      </c>
      <c r="R735" s="2" t="inlineStr"/>
    </row>
    <row r="736" ht="15" customHeight="1">
      <c r="A736" t="inlineStr">
        <is>
          <t>A 14248-2023</t>
        </is>
      </c>
      <c r="B736" s="1" t="n">
        <v>45009</v>
      </c>
      <c r="C736" s="1" t="n">
        <v>46161</v>
      </c>
      <c r="D736" t="inlineStr">
        <is>
          <t>KALMAR LÄN</t>
        </is>
      </c>
      <c r="E736" t="inlineStr">
        <is>
          <t>VIMMERBY</t>
        </is>
      </c>
      <c r="G736" t="n">
        <v>2.6</v>
      </c>
      <c r="H736" t="n">
        <v>0</v>
      </c>
      <c r="I736" t="n">
        <v>0</v>
      </c>
      <c r="J736" t="n">
        <v>0</v>
      </c>
      <c r="K736" t="n">
        <v>0</v>
      </c>
      <c r="L736" t="n">
        <v>0</v>
      </c>
      <c r="M736" t="n">
        <v>0</v>
      </c>
      <c r="N736" t="n">
        <v>0</v>
      </c>
      <c r="O736" t="n">
        <v>0</v>
      </c>
      <c r="P736" t="n">
        <v>0</v>
      </c>
      <c r="Q736" t="n">
        <v>0</v>
      </c>
      <c r="R736" s="2" t="inlineStr"/>
    </row>
    <row r="737" ht="15" customHeight="1">
      <c r="A737" t="inlineStr">
        <is>
          <t>A 12480-2024</t>
        </is>
      </c>
      <c r="B737" s="1" t="n">
        <v>45379</v>
      </c>
      <c r="C737" s="1" t="n">
        <v>46161</v>
      </c>
      <c r="D737" t="inlineStr">
        <is>
          <t>KALMAR LÄN</t>
        </is>
      </c>
      <c r="E737" t="inlineStr">
        <is>
          <t>VIMMERBY</t>
        </is>
      </c>
      <c r="G737" t="n">
        <v>2.8</v>
      </c>
      <c r="H737" t="n">
        <v>0</v>
      </c>
      <c r="I737" t="n">
        <v>0</v>
      </c>
      <c r="J737" t="n">
        <v>0</v>
      </c>
      <c r="K737" t="n">
        <v>0</v>
      </c>
      <c r="L737" t="n">
        <v>0</v>
      </c>
      <c r="M737" t="n">
        <v>0</v>
      </c>
      <c r="N737" t="n">
        <v>0</v>
      </c>
      <c r="O737" t="n">
        <v>0</v>
      </c>
      <c r="P737" t="n">
        <v>0</v>
      </c>
      <c r="Q737" t="n">
        <v>0</v>
      </c>
      <c r="R737" s="2" t="inlineStr"/>
    </row>
    <row r="738" ht="15" customHeight="1">
      <c r="A738" t="inlineStr">
        <is>
          <t>A 40095-2022</t>
        </is>
      </c>
      <c r="B738" s="1" t="n">
        <v>44820</v>
      </c>
      <c r="C738" s="1" t="n">
        <v>46161</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50085-2023</t>
        </is>
      </c>
      <c r="B739" s="1" t="n">
        <v>45215.5959375</v>
      </c>
      <c r="C739" s="1" t="n">
        <v>46161</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50087-2023</t>
        </is>
      </c>
      <c r="B740" s="1" t="n">
        <v>45215.59743055556</v>
      </c>
      <c r="C740" s="1" t="n">
        <v>46161</v>
      </c>
      <c r="D740" t="inlineStr">
        <is>
          <t>KALMAR LÄN</t>
        </is>
      </c>
      <c r="E740" t="inlineStr">
        <is>
          <t>VIMMERBY</t>
        </is>
      </c>
      <c r="G740" t="n">
        <v>0.9</v>
      </c>
      <c r="H740" t="n">
        <v>0</v>
      </c>
      <c r="I740" t="n">
        <v>0</v>
      </c>
      <c r="J740" t="n">
        <v>0</v>
      </c>
      <c r="K740" t="n">
        <v>0</v>
      </c>
      <c r="L740" t="n">
        <v>0</v>
      </c>
      <c r="M740" t="n">
        <v>0</v>
      </c>
      <c r="N740" t="n">
        <v>0</v>
      </c>
      <c r="O740" t="n">
        <v>0</v>
      </c>
      <c r="P740" t="n">
        <v>0</v>
      </c>
      <c r="Q740" t="n">
        <v>0</v>
      </c>
      <c r="R740" s="2" t="inlineStr"/>
    </row>
    <row r="741" ht="15" customHeight="1">
      <c r="A741" t="inlineStr">
        <is>
          <t>A 18122-2026</t>
        </is>
      </c>
      <c r="B741" s="1" t="n">
        <v>46125.58524305555</v>
      </c>
      <c r="C741" s="1" t="n">
        <v>46161</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8167-2024</t>
        </is>
      </c>
      <c r="B742" s="1" t="n">
        <v>45351.6062962963</v>
      </c>
      <c r="C742" s="1" t="n">
        <v>46161</v>
      </c>
      <c r="D742" t="inlineStr">
        <is>
          <t>KALMAR LÄN</t>
        </is>
      </c>
      <c r="E742" t="inlineStr">
        <is>
          <t>VIMMERBY</t>
        </is>
      </c>
      <c r="G742" t="n">
        <v>3.8</v>
      </c>
      <c r="H742" t="n">
        <v>0</v>
      </c>
      <c r="I742" t="n">
        <v>0</v>
      </c>
      <c r="J742" t="n">
        <v>0</v>
      </c>
      <c r="K742" t="n">
        <v>0</v>
      </c>
      <c r="L742" t="n">
        <v>0</v>
      </c>
      <c r="M742" t="n">
        <v>0</v>
      </c>
      <c r="N742" t="n">
        <v>0</v>
      </c>
      <c r="O742" t="n">
        <v>0</v>
      </c>
      <c r="P742" t="n">
        <v>0</v>
      </c>
      <c r="Q742" t="n">
        <v>0</v>
      </c>
      <c r="R742" s="2" t="inlineStr"/>
    </row>
    <row r="743" ht="15" customHeight="1">
      <c r="A743" t="inlineStr">
        <is>
          <t>A 11415-2026</t>
        </is>
      </c>
      <c r="B743" s="1" t="n">
        <v>46083</v>
      </c>
      <c r="C743" s="1" t="n">
        <v>46161</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11407-2026</t>
        </is>
      </c>
      <c r="B744" s="1" t="n">
        <v>46083</v>
      </c>
      <c r="C744" s="1" t="n">
        <v>46161</v>
      </c>
      <c r="D744" t="inlineStr">
        <is>
          <t>KALMAR LÄN</t>
        </is>
      </c>
      <c r="E744" t="inlineStr">
        <is>
          <t>VIMMERBY</t>
        </is>
      </c>
      <c r="G744" t="n">
        <v>2.3</v>
      </c>
      <c r="H744" t="n">
        <v>0</v>
      </c>
      <c r="I744" t="n">
        <v>0</v>
      </c>
      <c r="J744" t="n">
        <v>0</v>
      </c>
      <c r="K744" t="n">
        <v>0</v>
      </c>
      <c r="L744" t="n">
        <v>0</v>
      </c>
      <c r="M744" t="n">
        <v>0</v>
      </c>
      <c r="N744" t="n">
        <v>0</v>
      </c>
      <c r="O744" t="n">
        <v>0</v>
      </c>
      <c r="P744" t="n">
        <v>0</v>
      </c>
      <c r="Q744" t="n">
        <v>0</v>
      </c>
      <c r="R744" s="2" t="inlineStr"/>
    </row>
    <row r="745" ht="15" customHeight="1">
      <c r="A745" t="inlineStr">
        <is>
          <t>A 2604-2025</t>
        </is>
      </c>
      <c r="B745" s="1" t="n">
        <v>45674.74094907408</v>
      </c>
      <c r="C745" s="1" t="n">
        <v>46161</v>
      </c>
      <c r="D745" t="inlineStr">
        <is>
          <t>KALMAR LÄN</t>
        </is>
      </c>
      <c r="E745" t="inlineStr">
        <is>
          <t>VIMMERBY</t>
        </is>
      </c>
      <c r="G745" t="n">
        <v>7.6</v>
      </c>
      <c r="H745" t="n">
        <v>0</v>
      </c>
      <c r="I745" t="n">
        <v>0</v>
      </c>
      <c r="J745" t="n">
        <v>0</v>
      </c>
      <c r="K745" t="n">
        <v>0</v>
      </c>
      <c r="L745" t="n">
        <v>0</v>
      </c>
      <c r="M745" t="n">
        <v>0</v>
      </c>
      <c r="N745" t="n">
        <v>0</v>
      </c>
      <c r="O745" t="n">
        <v>0</v>
      </c>
      <c r="P745" t="n">
        <v>0</v>
      </c>
      <c r="Q745" t="n">
        <v>0</v>
      </c>
      <c r="R745" s="2" t="inlineStr"/>
    </row>
    <row r="746" ht="15" customHeight="1">
      <c r="A746" t="inlineStr">
        <is>
          <t>A 37192-2024</t>
        </is>
      </c>
      <c r="B746" s="1" t="n">
        <v>45539.66027777778</v>
      </c>
      <c r="C746" s="1" t="n">
        <v>46161</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42429-2024</t>
        </is>
      </c>
      <c r="B747" s="1" t="n">
        <v>45565.40657407408</v>
      </c>
      <c r="C747" s="1" t="n">
        <v>46161</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11798-2026</t>
        </is>
      </c>
      <c r="B748" s="1" t="n">
        <v>46085.34020833333</v>
      </c>
      <c r="C748" s="1" t="n">
        <v>46161</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29180-2024</t>
        </is>
      </c>
      <c r="B749" s="1" t="n">
        <v>45482.54108796296</v>
      </c>
      <c r="C749" s="1" t="n">
        <v>46161</v>
      </c>
      <c r="D749" t="inlineStr">
        <is>
          <t>KALMAR LÄN</t>
        </is>
      </c>
      <c r="E749" t="inlineStr">
        <is>
          <t>VIMMERBY</t>
        </is>
      </c>
      <c r="G749" t="n">
        <v>3.8</v>
      </c>
      <c r="H749" t="n">
        <v>0</v>
      </c>
      <c r="I749" t="n">
        <v>0</v>
      </c>
      <c r="J749" t="n">
        <v>0</v>
      </c>
      <c r="K749" t="n">
        <v>0</v>
      </c>
      <c r="L749" t="n">
        <v>0</v>
      </c>
      <c r="M749" t="n">
        <v>0</v>
      </c>
      <c r="N749" t="n">
        <v>0</v>
      </c>
      <c r="O749" t="n">
        <v>0</v>
      </c>
      <c r="P749" t="n">
        <v>0</v>
      </c>
      <c r="Q749" t="n">
        <v>0</v>
      </c>
      <c r="R749" s="2" t="inlineStr"/>
    </row>
    <row r="750" ht="15" customHeight="1">
      <c r="A750" t="inlineStr">
        <is>
          <t>A 45846-2023</t>
        </is>
      </c>
      <c r="B750" s="1" t="n">
        <v>45195.58452546296</v>
      </c>
      <c r="C750" s="1" t="n">
        <v>46161</v>
      </c>
      <c r="D750" t="inlineStr">
        <is>
          <t>KALMAR LÄN</t>
        </is>
      </c>
      <c r="E750" t="inlineStr">
        <is>
          <t>VIMMERBY</t>
        </is>
      </c>
      <c r="G750" t="n">
        <v>0.7</v>
      </c>
      <c r="H750" t="n">
        <v>0</v>
      </c>
      <c r="I750" t="n">
        <v>0</v>
      </c>
      <c r="J750" t="n">
        <v>0</v>
      </c>
      <c r="K750" t="n">
        <v>0</v>
      </c>
      <c r="L750" t="n">
        <v>0</v>
      </c>
      <c r="M750" t="n">
        <v>0</v>
      </c>
      <c r="N750" t="n">
        <v>0</v>
      </c>
      <c r="O750" t="n">
        <v>0</v>
      </c>
      <c r="P750" t="n">
        <v>0</v>
      </c>
      <c r="Q750" t="n">
        <v>0</v>
      </c>
      <c r="R750" s="2" t="inlineStr"/>
    </row>
    <row r="751" ht="15" customHeight="1">
      <c r="A751" t="inlineStr">
        <is>
          <t>A 16020-2023</t>
        </is>
      </c>
      <c r="B751" s="1" t="n">
        <v>45026.82216435186</v>
      </c>
      <c r="C751" s="1" t="n">
        <v>46161</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18633-2026</t>
        </is>
      </c>
      <c r="B752" s="1" t="n">
        <v>46128.26289351852</v>
      </c>
      <c r="C752" s="1" t="n">
        <v>46161</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61820-2023</t>
        </is>
      </c>
      <c r="B753" s="1" t="n">
        <v>45266.32614583334</v>
      </c>
      <c r="C753" s="1" t="n">
        <v>46161</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45560-2021</t>
        </is>
      </c>
      <c r="B754" s="1" t="n">
        <v>44440</v>
      </c>
      <c r="C754" s="1" t="n">
        <v>46161</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40256-2024</t>
        </is>
      </c>
      <c r="B755" s="1" t="n">
        <v>45554.62944444444</v>
      </c>
      <c r="C755" s="1" t="n">
        <v>46161</v>
      </c>
      <c r="D755" t="inlineStr">
        <is>
          <t>KALMAR LÄN</t>
        </is>
      </c>
      <c r="E755" t="inlineStr">
        <is>
          <t>VIMMERBY</t>
        </is>
      </c>
      <c r="G755" t="n">
        <v>0.9</v>
      </c>
      <c r="H755" t="n">
        <v>0</v>
      </c>
      <c r="I755" t="n">
        <v>0</v>
      </c>
      <c r="J755" t="n">
        <v>0</v>
      </c>
      <c r="K755" t="n">
        <v>0</v>
      </c>
      <c r="L755" t="n">
        <v>0</v>
      </c>
      <c r="M755" t="n">
        <v>0</v>
      </c>
      <c r="N755" t="n">
        <v>0</v>
      </c>
      <c r="O755" t="n">
        <v>0</v>
      </c>
      <c r="P755" t="n">
        <v>0</v>
      </c>
      <c r="Q755" t="n">
        <v>0</v>
      </c>
      <c r="R755" s="2" t="inlineStr"/>
    </row>
    <row r="756" ht="15" customHeight="1">
      <c r="A756" t="inlineStr">
        <is>
          <t>A 58104-2024</t>
        </is>
      </c>
      <c r="B756" s="1" t="n">
        <v>45632.37459490741</v>
      </c>
      <c r="C756" s="1" t="n">
        <v>46161</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36259-2022</t>
        </is>
      </c>
      <c r="B757" s="1" t="n">
        <v>44803.59118055556</v>
      </c>
      <c r="C757" s="1" t="n">
        <v>46161</v>
      </c>
      <c r="D757" t="inlineStr">
        <is>
          <t>KALMAR LÄN</t>
        </is>
      </c>
      <c r="E757" t="inlineStr">
        <is>
          <t>VIMMERBY</t>
        </is>
      </c>
      <c r="G757" t="n">
        <v>3.9</v>
      </c>
      <c r="H757" t="n">
        <v>0</v>
      </c>
      <c r="I757" t="n">
        <v>0</v>
      </c>
      <c r="J757" t="n">
        <v>0</v>
      </c>
      <c r="K757" t="n">
        <v>0</v>
      </c>
      <c r="L757" t="n">
        <v>0</v>
      </c>
      <c r="M757" t="n">
        <v>0</v>
      </c>
      <c r="N757" t="n">
        <v>0</v>
      </c>
      <c r="O757" t="n">
        <v>0</v>
      </c>
      <c r="P757" t="n">
        <v>0</v>
      </c>
      <c r="Q757" t="n">
        <v>0</v>
      </c>
      <c r="R757" s="2" t="inlineStr"/>
    </row>
    <row r="758" ht="15" customHeight="1">
      <c r="A758" t="inlineStr">
        <is>
          <t>A 43034-2024</t>
        </is>
      </c>
      <c r="B758" s="1" t="n">
        <v>45567.42011574074</v>
      </c>
      <c r="C758" s="1" t="n">
        <v>46161</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3902-2022</t>
        </is>
      </c>
      <c r="B759" s="1" t="n">
        <v>44587.48847222222</v>
      </c>
      <c r="C759" s="1" t="n">
        <v>46161</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30070-2023</t>
        </is>
      </c>
      <c r="B760" s="1" t="n">
        <v>45110.4275</v>
      </c>
      <c r="C760" s="1" t="n">
        <v>46161</v>
      </c>
      <c r="D760" t="inlineStr">
        <is>
          <t>KALMAR LÄN</t>
        </is>
      </c>
      <c r="E760" t="inlineStr">
        <is>
          <t>VIMMERBY</t>
        </is>
      </c>
      <c r="G760" t="n">
        <v>1.6</v>
      </c>
      <c r="H760" t="n">
        <v>0</v>
      </c>
      <c r="I760" t="n">
        <v>0</v>
      </c>
      <c r="J760" t="n">
        <v>0</v>
      </c>
      <c r="K760" t="n">
        <v>0</v>
      </c>
      <c r="L760" t="n">
        <v>0</v>
      </c>
      <c r="M760" t="n">
        <v>0</v>
      </c>
      <c r="N760" t="n">
        <v>0</v>
      </c>
      <c r="O760" t="n">
        <v>0</v>
      </c>
      <c r="P760" t="n">
        <v>0</v>
      </c>
      <c r="Q760" t="n">
        <v>0</v>
      </c>
      <c r="R760" s="2" t="inlineStr"/>
    </row>
    <row r="761" ht="15" customHeight="1">
      <c r="A761" t="inlineStr">
        <is>
          <t>A 31209-2024</t>
        </is>
      </c>
      <c r="B761" s="1" t="n">
        <v>45503.5658912037</v>
      </c>
      <c r="C761" s="1" t="n">
        <v>46161</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46161</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5864-2022</t>
        </is>
      </c>
      <c r="B763" s="1" t="n">
        <v>44596</v>
      </c>
      <c r="C763" s="1" t="n">
        <v>46161</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12730-2026</t>
        </is>
      </c>
      <c r="B764" s="1" t="n">
        <v>46091</v>
      </c>
      <c r="C764" s="1" t="n">
        <v>46161</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12820-2026</t>
        </is>
      </c>
      <c r="B765" s="1" t="n">
        <v>46092.40909722223</v>
      </c>
      <c r="C765" s="1" t="n">
        <v>46161</v>
      </c>
      <c r="D765" t="inlineStr">
        <is>
          <t>KALMAR LÄN</t>
        </is>
      </c>
      <c r="E765" t="inlineStr">
        <is>
          <t>VIMMERBY</t>
        </is>
      </c>
      <c r="G765" t="n">
        <v>4.3</v>
      </c>
      <c r="H765" t="n">
        <v>0</v>
      </c>
      <c r="I765" t="n">
        <v>0</v>
      </c>
      <c r="J765" t="n">
        <v>0</v>
      </c>
      <c r="K765" t="n">
        <v>0</v>
      </c>
      <c r="L765" t="n">
        <v>0</v>
      </c>
      <c r="M765" t="n">
        <v>0</v>
      </c>
      <c r="N765" t="n">
        <v>0</v>
      </c>
      <c r="O765" t="n">
        <v>0</v>
      </c>
      <c r="P765" t="n">
        <v>0</v>
      </c>
      <c r="Q765" t="n">
        <v>0</v>
      </c>
      <c r="R765" s="2" t="inlineStr"/>
    </row>
    <row r="766" ht="15" customHeight="1">
      <c r="A766" t="inlineStr">
        <is>
          <t>A 12821-2026</t>
        </is>
      </c>
      <c r="B766" s="1" t="n">
        <v>46092.41256944444</v>
      </c>
      <c r="C766" s="1" t="n">
        <v>46161</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12825-2026</t>
        </is>
      </c>
      <c r="B767" s="1" t="n">
        <v>46092.41561342592</v>
      </c>
      <c r="C767" s="1" t="n">
        <v>46161</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30912-2023</t>
        </is>
      </c>
      <c r="B768" s="1" t="n">
        <v>45113.41633101852</v>
      </c>
      <c r="C768" s="1" t="n">
        <v>46161</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1146-2025</t>
        </is>
      </c>
      <c r="B769" s="1" t="n">
        <v>45666</v>
      </c>
      <c r="C769" s="1" t="n">
        <v>46161</v>
      </c>
      <c r="D769" t="inlineStr">
        <is>
          <t>KALMAR LÄN</t>
        </is>
      </c>
      <c r="E769" t="inlineStr">
        <is>
          <t>VIMMERBY</t>
        </is>
      </c>
      <c r="G769" t="n">
        <v>4</v>
      </c>
      <c r="H769" t="n">
        <v>0</v>
      </c>
      <c r="I769" t="n">
        <v>0</v>
      </c>
      <c r="J769" t="n">
        <v>0</v>
      </c>
      <c r="K769" t="n">
        <v>0</v>
      </c>
      <c r="L769" t="n">
        <v>0</v>
      </c>
      <c r="M769" t="n">
        <v>0</v>
      </c>
      <c r="N769" t="n">
        <v>0</v>
      </c>
      <c r="O769" t="n">
        <v>0</v>
      </c>
      <c r="P769" t="n">
        <v>0</v>
      </c>
      <c r="Q769" t="n">
        <v>0</v>
      </c>
      <c r="R769" s="2" t="inlineStr"/>
    </row>
    <row r="770" ht="15" customHeight="1">
      <c r="A770" t="inlineStr">
        <is>
          <t>A 62023-2022</t>
        </is>
      </c>
      <c r="B770" s="1" t="n">
        <v>44918.50106481482</v>
      </c>
      <c r="C770" s="1" t="n">
        <v>46161</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16119-2023</t>
        </is>
      </c>
      <c r="B771" s="1" t="n">
        <v>45027.59450231482</v>
      </c>
      <c r="C771" s="1" t="n">
        <v>46161</v>
      </c>
      <c r="D771" t="inlineStr">
        <is>
          <t>KALMAR LÄN</t>
        </is>
      </c>
      <c r="E771" t="inlineStr">
        <is>
          <t>VIMMERBY</t>
        </is>
      </c>
      <c r="F771" t="inlineStr">
        <is>
          <t>Kommuner</t>
        </is>
      </c>
      <c r="G771" t="n">
        <v>4.4</v>
      </c>
      <c r="H771" t="n">
        <v>0</v>
      </c>
      <c r="I771" t="n">
        <v>0</v>
      </c>
      <c r="J771" t="n">
        <v>0</v>
      </c>
      <c r="K771" t="n">
        <v>0</v>
      </c>
      <c r="L771" t="n">
        <v>0</v>
      </c>
      <c r="M771" t="n">
        <v>0</v>
      </c>
      <c r="N771" t="n">
        <v>0</v>
      </c>
      <c r="O771" t="n">
        <v>0</v>
      </c>
      <c r="P771" t="n">
        <v>0</v>
      </c>
      <c r="Q771" t="n">
        <v>0</v>
      </c>
      <c r="R771" s="2" t="inlineStr"/>
    </row>
    <row r="772" ht="15" customHeight="1">
      <c r="A772" t="inlineStr">
        <is>
          <t>A 52327-2023</t>
        </is>
      </c>
      <c r="B772" s="1" t="n">
        <v>45224.6515162037</v>
      </c>
      <c r="C772" s="1" t="n">
        <v>46161</v>
      </c>
      <c r="D772" t="inlineStr">
        <is>
          <t>KALMAR LÄN</t>
        </is>
      </c>
      <c r="E772" t="inlineStr">
        <is>
          <t>VIMMERBY</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20017-2026</t>
        </is>
      </c>
      <c r="B773" s="1" t="n">
        <v>46136.49986111111</v>
      </c>
      <c r="C773" s="1" t="n">
        <v>46161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12075-2024</t>
        </is>
      </c>
      <c r="B774" s="1" t="n">
        <v>45377</v>
      </c>
      <c r="C774" s="1" t="n">
        <v>46161</v>
      </c>
      <c r="D774" t="inlineStr">
        <is>
          <t>KALMAR LÄN</t>
        </is>
      </c>
      <c r="E774" t="inlineStr">
        <is>
          <t>VIMMERBY</t>
        </is>
      </c>
      <c r="G774" t="n">
        <v>3.7</v>
      </c>
      <c r="H774" t="n">
        <v>0</v>
      </c>
      <c r="I774" t="n">
        <v>0</v>
      </c>
      <c r="J774" t="n">
        <v>0</v>
      </c>
      <c r="K774" t="n">
        <v>0</v>
      </c>
      <c r="L774" t="n">
        <v>0</v>
      </c>
      <c r="M774" t="n">
        <v>0</v>
      </c>
      <c r="N774" t="n">
        <v>0</v>
      </c>
      <c r="O774" t="n">
        <v>0</v>
      </c>
      <c r="P774" t="n">
        <v>0</v>
      </c>
      <c r="Q774" t="n">
        <v>0</v>
      </c>
      <c r="R774" s="2" t="inlineStr"/>
    </row>
    <row r="775" ht="15" customHeight="1">
      <c r="A775" t="inlineStr">
        <is>
          <t>A 29348-2023</t>
        </is>
      </c>
      <c r="B775" s="1" t="n">
        <v>45106.25025462963</v>
      </c>
      <c r="C775" s="1" t="n">
        <v>46161</v>
      </c>
      <c r="D775" t="inlineStr">
        <is>
          <t>KALMAR LÄN</t>
        </is>
      </c>
      <c r="E775" t="inlineStr">
        <is>
          <t>VIMMERBY</t>
        </is>
      </c>
      <c r="G775" t="n">
        <v>2.4</v>
      </c>
      <c r="H775" t="n">
        <v>0</v>
      </c>
      <c r="I775" t="n">
        <v>0</v>
      </c>
      <c r="J775" t="n">
        <v>0</v>
      </c>
      <c r="K775" t="n">
        <v>0</v>
      </c>
      <c r="L775" t="n">
        <v>0</v>
      </c>
      <c r="M775" t="n">
        <v>0</v>
      </c>
      <c r="N775" t="n">
        <v>0</v>
      </c>
      <c r="O775" t="n">
        <v>0</v>
      </c>
      <c r="P775" t="n">
        <v>0</v>
      </c>
      <c r="Q775" t="n">
        <v>0</v>
      </c>
      <c r="R775" s="2" t="inlineStr"/>
    </row>
    <row r="776" ht="15" customHeight="1">
      <c r="A776" t="inlineStr">
        <is>
          <t>A 31340-2023</t>
        </is>
      </c>
      <c r="B776" s="1" t="n">
        <v>45114.47895833333</v>
      </c>
      <c r="C776" s="1" t="n">
        <v>46161</v>
      </c>
      <c r="D776" t="inlineStr">
        <is>
          <t>KALMAR LÄN</t>
        </is>
      </c>
      <c r="E776" t="inlineStr">
        <is>
          <t>VIMMERBY</t>
        </is>
      </c>
      <c r="G776" t="n">
        <v>1.8</v>
      </c>
      <c r="H776" t="n">
        <v>0</v>
      </c>
      <c r="I776" t="n">
        <v>0</v>
      </c>
      <c r="J776" t="n">
        <v>0</v>
      </c>
      <c r="K776" t="n">
        <v>0</v>
      </c>
      <c r="L776" t="n">
        <v>0</v>
      </c>
      <c r="M776" t="n">
        <v>0</v>
      </c>
      <c r="N776" t="n">
        <v>0</v>
      </c>
      <c r="O776" t="n">
        <v>0</v>
      </c>
      <c r="P776" t="n">
        <v>0</v>
      </c>
      <c r="Q776" t="n">
        <v>0</v>
      </c>
      <c r="R776" s="2" t="inlineStr"/>
    </row>
    <row r="777" ht="15" customHeight="1">
      <c r="A777" t="inlineStr">
        <is>
          <t>A 20018-2026</t>
        </is>
      </c>
      <c r="B777" s="1" t="n">
        <v>46136.50282407407</v>
      </c>
      <c r="C777" s="1" t="n">
        <v>46161</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7758-2024</t>
        </is>
      </c>
      <c r="B778" s="1" t="n">
        <v>45349.54434027777</v>
      </c>
      <c r="C778" s="1" t="n">
        <v>46161</v>
      </c>
      <c r="D778" t="inlineStr">
        <is>
          <t>KALMAR LÄN</t>
        </is>
      </c>
      <c r="E778" t="inlineStr">
        <is>
          <t>VIMMERBY</t>
        </is>
      </c>
      <c r="G778" t="n">
        <v>3.5</v>
      </c>
      <c r="H778" t="n">
        <v>0</v>
      </c>
      <c r="I778" t="n">
        <v>0</v>
      </c>
      <c r="J778" t="n">
        <v>0</v>
      </c>
      <c r="K778" t="n">
        <v>0</v>
      </c>
      <c r="L778" t="n">
        <v>0</v>
      </c>
      <c r="M778" t="n">
        <v>0</v>
      </c>
      <c r="N778" t="n">
        <v>0</v>
      </c>
      <c r="O778" t="n">
        <v>0</v>
      </c>
      <c r="P778" t="n">
        <v>0</v>
      </c>
      <c r="Q778" t="n">
        <v>0</v>
      </c>
      <c r="R778" s="2" t="inlineStr"/>
    </row>
    <row r="779" ht="15" customHeight="1">
      <c r="A779" t="inlineStr">
        <is>
          <t>A 5701-2024</t>
        </is>
      </c>
      <c r="B779" s="1" t="n">
        <v>45334.78826388889</v>
      </c>
      <c r="C779" s="1" t="n">
        <v>46161</v>
      </c>
      <c r="D779" t="inlineStr">
        <is>
          <t>KALMAR LÄN</t>
        </is>
      </c>
      <c r="E779" t="inlineStr">
        <is>
          <t>VIMMERBY</t>
        </is>
      </c>
      <c r="G779" t="n">
        <v>2.3</v>
      </c>
      <c r="H779" t="n">
        <v>0</v>
      </c>
      <c r="I779" t="n">
        <v>0</v>
      </c>
      <c r="J779" t="n">
        <v>0</v>
      </c>
      <c r="K779" t="n">
        <v>0</v>
      </c>
      <c r="L779" t="n">
        <v>0</v>
      </c>
      <c r="M779" t="n">
        <v>0</v>
      </c>
      <c r="N779" t="n">
        <v>0</v>
      </c>
      <c r="O779" t="n">
        <v>0</v>
      </c>
      <c r="P779" t="n">
        <v>0</v>
      </c>
      <c r="Q779" t="n">
        <v>0</v>
      </c>
      <c r="R779" s="2" t="inlineStr"/>
    </row>
    <row r="780" ht="15" customHeight="1">
      <c r="A780" t="inlineStr">
        <is>
          <t>A 31405-2023</t>
        </is>
      </c>
      <c r="B780" s="1" t="n">
        <v>45114.58148148148</v>
      </c>
      <c r="C780" s="1" t="n">
        <v>46161</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6355-2022</t>
        </is>
      </c>
      <c r="B781" s="1" t="n">
        <v>44600</v>
      </c>
      <c r="C781" s="1" t="n">
        <v>46161</v>
      </c>
      <c r="D781" t="inlineStr">
        <is>
          <t>KALMAR LÄN</t>
        </is>
      </c>
      <c r="E781" t="inlineStr">
        <is>
          <t>VIMMERBY</t>
        </is>
      </c>
      <c r="G781" t="n">
        <v>4.9</v>
      </c>
      <c r="H781" t="n">
        <v>0</v>
      </c>
      <c r="I781" t="n">
        <v>0</v>
      </c>
      <c r="J781" t="n">
        <v>0</v>
      </c>
      <c r="K781" t="n">
        <v>0</v>
      </c>
      <c r="L781" t="n">
        <v>0</v>
      </c>
      <c r="M781" t="n">
        <v>0</v>
      </c>
      <c r="N781" t="n">
        <v>0</v>
      </c>
      <c r="O781" t="n">
        <v>0</v>
      </c>
      <c r="P781" t="n">
        <v>0</v>
      </c>
      <c r="Q781" t="n">
        <v>0</v>
      </c>
      <c r="R781" s="2" t="inlineStr"/>
    </row>
    <row r="782" ht="15" customHeight="1">
      <c r="A782" t="inlineStr">
        <is>
          <t>A 13667-2026</t>
        </is>
      </c>
      <c r="B782" s="1" t="n">
        <v>46097</v>
      </c>
      <c r="C782" s="1" t="n">
        <v>46161</v>
      </c>
      <c r="D782" t="inlineStr">
        <is>
          <t>KALMAR LÄN</t>
        </is>
      </c>
      <c r="E782" t="inlineStr">
        <is>
          <t>VIMMERBY</t>
        </is>
      </c>
      <c r="G782" t="n">
        <v>6.8</v>
      </c>
      <c r="H782" t="n">
        <v>0</v>
      </c>
      <c r="I782" t="n">
        <v>0</v>
      </c>
      <c r="J782" t="n">
        <v>0</v>
      </c>
      <c r="K782" t="n">
        <v>0</v>
      </c>
      <c r="L782" t="n">
        <v>0</v>
      </c>
      <c r="M782" t="n">
        <v>0</v>
      </c>
      <c r="N782" t="n">
        <v>0</v>
      </c>
      <c r="O782" t="n">
        <v>0</v>
      </c>
      <c r="P782" t="n">
        <v>0</v>
      </c>
      <c r="Q782" t="n">
        <v>0</v>
      </c>
      <c r="R782" s="2" t="inlineStr"/>
    </row>
    <row r="783" ht="15" customHeight="1">
      <c r="A783" t="inlineStr">
        <is>
          <t>A 46225-2024</t>
        </is>
      </c>
      <c r="B783" s="1" t="n">
        <v>45581.57333333333</v>
      </c>
      <c r="C783" s="1" t="n">
        <v>46161</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13793-2026</t>
        </is>
      </c>
      <c r="B784" s="1" t="n">
        <v>46097.79199074074</v>
      </c>
      <c r="C784" s="1" t="n">
        <v>46161</v>
      </c>
      <c r="D784" t="inlineStr">
        <is>
          <t>KALMAR LÄN</t>
        </is>
      </c>
      <c r="E784" t="inlineStr">
        <is>
          <t>VIMMERBY</t>
        </is>
      </c>
      <c r="G784" t="n">
        <v>2.9</v>
      </c>
      <c r="H784" t="n">
        <v>0</v>
      </c>
      <c r="I784" t="n">
        <v>0</v>
      </c>
      <c r="J784" t="n">
        <v>0</v>
      </c>
      <c r="K784" t="n">
        <v>0</v>
      </c>
      <c r="L784" t="n">
        <v>0</v>
      </c>
      <c r="M784" t="n">
        <v>0</v>
      </c>
      <c r="N784" t="n">
        <v>0</v>
      </c>
      <c r="O784" t="n">
        <v>0</v>
      </c>
      <c r="P784" t="n">
        <v>0</v>
      </c>
      <c r="Q784" t="n">
        <v>0</v>
      </c>
      <c r="R784" s="2" t="inlineStr"/>
    </row>
    <row r="785" ht="15" customHeight="1">
      <c r="A785" t="inlineStr">
        <is>
          <t>A 9418-2024</t>
        </is>
      </c>
      <c r="B785" s="1" t="n">
        <v>45359.45038194444</v>
      </c>
      <c r="C785" s="1" t="n">
        <v>46161</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57091-2022</t>
        </is>
      </c>
      <c r="B786" s="1" t="n">
        <v>44895.46524305556</v>
      </c>
      <c r="C786" s="1" t="n">
        <v>46161</v>
      </c>
      <c r="D786" t="inlineStr">
        <is>
          <t>KALMAR LÄN</t>
        </is>
      </c>
      <c r="E786" t="inlineStr">
        <is>
          <t>VIMMERBY</t>
        </is>
      </c>
      <c r="G786" t="n">
        <v>2.6</v>
      </c>
      <c r="H786" t="n">
        <v>0</v>
      </c>
      <c r="I786" t="n">
        <v>0</v>
      </c>
      <c r="J786" t="n">
        <v>0</v>
      </c>
      <c r="K786" t="n">
        <v>0</v>
      </c>
      <c r="L786" t="n">
        <v>0</v>
      </c>
      <c r="M786" t="n">
        <v>0</v>
      </c>
      <c r="N786" t="n">
        <v>0</v>
      </c>
      <c r="O786" t="n">
        <v>0</v>
      </c>
      <c r="P786" t="n">
        <v>0</v>
      </c>
      <c r="Q786" t="n">
        <v>0</v>
      </c>
      <c r="R786" s="2" t="inlineStr"/>
    </row>
    <row r="787" ht="15" customHeight="1">
      <c r="A787" t="inlineStr">
        <is>
          <t>A 3816-2022</t>
        </is>
      </c>
      <c r="B787" s="1" t="n">
        <v>44587</v>
      </c>
      <c r="C787" s="1" t="n">
        <v>46161</v>
      </c>
      <c r="D787" t="inlineStr">
        <is>
          <t>KALMAR LÄN</t>
        </is>
      </c>
      <c r="E787" t="inlineStr">
        <is>
          <t>VIMMERBY</t>
        </is>
      </c>
      <c r="G787" t="n">
        <v>1.2</v>
      </c>
      <c r="H787" t="n">
        <v>0</v>
      </c>
      <c r="I787" t="n">
        <v>0</v>
      </c>
      <c r="J787" t="n">
        <v>0</v>
      </c>
      <c r="K787" t="n">
        <v>0</v>
      </c>
      <c r="L787" t="n">
        <v>0</v>
      </c>
      <c r="M787" t="n">
        <v>0</v>
      </c>
      <c r="N787" t="n">
        <v>0</v>
      </c>
      <c r="O787" t="n">
        <v>0</v>
      </c>
      <c r="P787" t="n">
        <v>0</v>
      </c>
      <c r="Q787" t="n">
        <v>0</v>
      </c>
      <c r="R787" s="2" t="inlineStr"/>
    </row>
    <row r="788" ht="15" customHeight="1">
      <c r="A788" t="inlineStr">
        <is>
          <t>A 43606-2024</t>
        </is>
      </c>
      <c r="B788" s="1" t="n">
        <v>45569.45017361111</v>
      </c>
      <c r="C788" s="1" t="n">
        <v>46161</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43617-2024</t>
        </is>
      </c>
      <c r="B789" s="1" t="n">
        <v>45569.47494212963</v>
      </c>
      <c r="C789" s="1" t="n">
        <v>46161</v>
      </c>
      <c r="D789" t="inlineStr">
        <is>
          <t>KALMAR LÄN</t>
        </is>
      </c>
      <c r="E789" t="inlineStr">
        <is>
          <t>VIMMERBY</t>
        </is>
      </c>
      <c r="G789" t="n">
        <v>2.7</v>
      </c>
      <c r="H789" t="n">
        <v>0</v>
      </c>
      <c r="I789" t="n">
        <v>0</v>
      </c>
      <c r="J789" t="n">
        <v>0</v>
      </c>
      <c r="K789" t="n">
        <v>0</v>
      </c>
      <c r="L789" t="n">
        <v>0</v>
      </c>
      <c r="M789" t="n">
        <v>0</v>
      </c>
      <c r="N789" t="n">
        <v>0</v>
      </c>
      <c r="O789" t="n">
        <v>0</v>
      </c>
      <c r="P789" t="n">
        <v>0</v>
      </c>
      <c r="Q789" t="n">
        <v>0</v>
      </c>
      <c r="R789" s="2" t="inlineStr"/>
    </row>
    <row r="790" ht="15" customHeight="1">
      <c r="A790" t="inlineStr">
        <is>
          <t>A 47859-2024</t>
        </is>
      </c>
      <c r="B790" s="1" t="n">
        <v>45588.67070601852</v>
      </c>
      <c r="C790" s="1" t="n">
        <v>46161</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8540-2024</t>
        </is>
      </c>
      <c r="B791" s="1" t="n">
        <v>45355.54138888889</v>
      </c>
      <c r="C791" s="1" t="n">
        <v>46161</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3331-2023</t>
        </is>
      </c>
      <c r="B792" s="1" t="n">
        <v>44949</v>
      </c>
      <c r="C792" s="1" t="n">
        <v>46161</v>
      </c>
      <c r="D792" t="inlineStr">
        <is>
          <t>KALMAR LÄN</t>
        </is>
      </c>
      <c r="E792" t="inlineStr">
        <is>
          <t>VIMMERBY</t>
        </is>
      </c>
      <c r="G792" t="n">
        <v>6.2</v>
      </c>
      <c r="H792" t="n">
        <v>0</v>
      </c>
      <c r="I792" t="n">
        <v>0</v>
      </c>
      <c r="J792" t="n">
        <v>0</v>
      </c>
      <c r="K792" t="n">
        <v>0</v>
      </c>
      <c r="L792" t="n">
        <v>0</v>
      </c>
      <c r="M792" t="n">
        <v>0</v>
      </c>
      <c r="N792" t="n">
        <v>0</v>
      </c>
      <c r="O792" t="n">
        <v>0</v>
      </c>
      <c r="P792" t="n">
        <v>0</v>
      </c>
      <c r="Q792" t="n">
        <v>0</v>
      </c>
      <c r="R792" s="2" t="inlineStr"/>
    </row>
    <row r="793" ht="15" customHeight="1">
      <c r="A793" t="inlineStr">
        <is>
          <t>A 598-2025</t>
        </is>
      </c>
      <c r="B793" s="1" t="n">
        <v>45660</v>
      </c>
      <c r="C793" s="1" t="n">
        <v>46161</v>
      </c>
      <c r="D793" t="inlineStr">
        <is>
          <t>KALMAR LÄN</t>
        </is>
      </c>
      <c r="E793" t="inlineStr">
        <is>
          <t>VIMMERBY</t>
        </is>
      </c>
      <c r="G793" t="n">
        <v>12</v>
      </c>
      <c r="H793" t="n">
        <v>0</v>
      </c>
      <c r="I793" t="n">
        <v>0</v>
      </c>
      <c r="J793" t="n">
        <v>0</v>
      </c>
      <c r="K793" t="n">
        <v>0</v>
      </c>
      <c r="L793" t="n">
        <v>0</v>
      </c>
      <c r="M793" t="n">
        <v>0</v>
      </c>
      <c r="N793" t="n">
        <v>0</v>
      </c>
      <c r="O793" t="n">
        <v>0</v>
      </c>
      <c r="P793" t="n">
        <v>0</v>
      </c>
      <c r="Q793" t="n">
        <v>0</v>
      </c>
      <c r="R793" s="2" t="inlineStr"/>
    </row>
    <row r="794" ht="15" customHeight="1">
      <c r="A794" t="inlineStr">
        <is>
          <t>A 13714-2026</t>
        </is>
      </c>
      <c r="B794" s="1" t="n">
        <v>46097.58472222222</v>
      </c>
      <c r="C794" s="1" t="n">
        <v>46161</v>
      </c>
      <c r="D794" t="inlineStr">
        <is>
          <t>KALMAR LÄN</t>
        </is>
      </c>
      <c r="E794" t="inlineStr">
        <is>
          <t>VIMMERBY</t>
        </is>
      </c>
      <c r="G794" t="n">
        <v>0.7</v>
      </c>
      <c r="H794" t="n">
        <v>0</v>
      </c>
      <c r="I794" t="n">
        <v>0</v>
      </c>
      <c r="J794" t="n">
        <v>0</v>
      </c>
      <c r="K794" t="n">
        <v>0</v>
      </c>
      <c r="L794" t="n">
        <v>0</v>
      </c>
      <c r="M794" t="n">
        <v>0</v>
      </c>
      <c r="N794" t="n">
        <v>0</v>
      </c>
      <c r="O794" t="n">
        <v>0</v>
      </c>
      <c r="P794" t="n">
        <v>0</v>
      </c>
      <c r="Q794" t="n">
        <v>0</v>
      </c>
      <c r="R794" s="2" t="inlineStr"/>
    </row>
    <row r="795" ht="15" customHeight="1">
      <c r="A795" t="inlineStr">
        <is>
          <t>A 25799-2023</t>
        </is>
      </c>
      <c r="B795" s="1" t="n">
        <v>45090</v>
      </c>
      <c r="C795" s="1" t="n">
        <v>46161</v>
      </c>
      <c r="D795" t="inlineStr">
        <is>
          <t>KALMAR LÄN</t>
        </is>
      </c>
      <c r="E795" t="inlineStr">
        <is>
          <t>VIMMERBY</t>
        </is>
      </c>
      <c r="G795" t="n">
        <v>7.7</v>
      </c>
      <c r="H795" t="n">
        <v>0</v>
      </c>
      <c r="I795" t="n">
        <v>0</v>
      </c>
      <c r="J795" t="n">
        <v>0</v>
      </c>
      <c r="K795" t="n">
        <v>0</v>
      </c>
      <c r="L795" t="n">
        <v>0</v>
      </c>
      <c r="M795" t="n">
        <v>0</v>
      </c>
      <c r="N795" t="n">
        <v>0</v>
      </c>
      <c r="O795" t="n">
        <v>0</v>
      </c>
      <c r="P795" t="n">
        <v>0</v>
      </c>
      <c r="Q795" t="n">
        <v>0</v>
      </c>
      <c r="R795" s="2" t="inlineStr"/>
    </row>
    <row r="796" ht="15" customHeight="1">
      <c r="A796" t="inlineStr">
        <is>
          <t>A 53083-2021</t>
        </is>
      </c>
      <c r="B796" s="1" t="n">
        <v>44467.83386574074</v>
      </c>
      <c r="C796" s="1" t="n">
        <v>46161</v>
      </c>
      <c r="D796" t="inlineStr">
        <is>
          <t>KALMAR LÄN</t>
        </is>
      </c>
      <c r="E796" t="inlineStr">
        <is>
          <t>VIMMERBY</t>
        </is>
      </c>
      <c r="G796" t="n">
        <v>6.8</v>
      </c>
      <c r="H796" t="n">
        <v>0</v>
      </c>
      <c r="I796" t="n">
        <v>0</v>
      </c>
      <c r="J796" t="n">
        <v>0</v>
      </c>
      <c r="K796" t="n">
        <v>0</v>
      </c>
      <c r="L796" t="n">
        <v>0</v>
      </c>
      <c r="M796" t="n">
        <v>0</v>
      </c>
      <c r="N796" t="n">
        <v>0</v>
      </c>
      <c r="O796" t="n">
        <v>0</v>
      </c>
      <c r="P796" t="n">
        <v>0</v>
      </c>
      <c r="Q796" t="n">
        <v>0</v>
      </c>
      <c r="R796" s="2" t="inlineStr"/>
    </row>
    <row r="797" ht="15" customHeight="1">
      <c r="A797" t="inlineStr">
        <is>
          <t>A 14318-2026</t>
        </is>
      </c>
      <c r="B797" s="1" t="n">
        <v>46099.87961805556</v>
      </c>
      <c r="C797" s="1" t="n">
        <v>46161</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24655-2021</t>
        </is>
      </c>
      <c r="B798" s="1" t="n">
        <v>44340</v>
      </c>
      <c r="C798" s="1" t="n">
        <v>46161</v>
      </c>
      <c r="D798" t="inlineStr">
        <is>
          <t>KALMAR LÄN</t>
        </is>
      </c>
      <c r="E798" t="inlineStr">
        <is>
          <t>VIMMERBY</t>
        </is>
      </c>
      <c r="G798" t="n">
        <v>14.9</v>
      </c>
      <c r="H798" t="n">
        <v>0</v>
      </c>
      <c r="I798" t="n">
        <v>0</v>
      </c>
      <c r="J798" t="n">
        <v>0</v>
      </c>
      <c r="K798" t="n">
        <v>0</v>
      </c>
      <c r="L798" t="n">
        <v>0</v>
      </c>
      <c r="M798" t="n">
        <v>0</v>
      </c>
      <c r="N798" t="n">
        <v>0</v>
      </c>
      <c r="O798" t="n">
        <v>0</v>
      </c>
      <c r="P798" t="n">
        <v>0</v>
      </c>
      <c r="Q798" t="n">
        <v>0</v>
      </c>
      <c r="R798" s="2" t="inlineStr"/>
    </row>
    <row r="799" ht="15" customHeight="1">
      <c r="A799" t="inlineStr">
        <is>
          <t>A 14279-2026</t>
        </is>
      </c>
      <c r="B799" s="1" t="n">
        <v>46099.66826388889</v>
      </c>
      <c r="C799" s="1" t="n">
        <v>46161</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33838-2022</t>
        </is>
      </c>
      <c r="B800" s="1" t="n">
        <v>44790.49040509259</v>
      </c>
      <c r="C800" s="1" t="n">
        <v>46161</v>
      </c>
      <c r="D800" t="inlineStr">
        <is>
          <t>KALMAR LÄN</t>
        </is>
      </c>
      <c r="E800" t="inlineStr">
        <is>
          <t>VIMMERBY</t>
        </is>
      </c>
      <c r="G800" t="n">
        <v>0.7</v>
      </c>
      <c r="H800" t="n">
        <v>0</v>
      </c>
      <c r="I800" t="n">
        <v>0</v>
      </c>
      <c r="J800" t="n">
        <v>0</v>
      </c>
      <c r="K800" t="n">
        <v>0</v>
      </c>
      <c r="L800" t="n">
        <v>0</v>
      </c>
      <c r="M800" t="n">
        <v>0</v>
      </c>
      <c r="N800" t="n">
        <v>0</v>
      </c>
      <c r="O800" t="n">
        <v>0</v>
      </c>
      <c r="P800" t="n">
        <v>0</v>
      </c>
      <c r="Q800" t="n">
        <v>0</v>
      </c>
      <c r="R800" s="2" t="inlineStr"/>
    </row>
    <row r="801" ht="15" customHeight="1">
      <c r="A801" t="inlineStr">
        <is>
          <t>A 14320-2026</t>
        </is>
      </c>
      <c r="B801" s="1" t="n">
        <v>46099.88449074074</v>
      </c>
      <c r="C801" s="1" t="n">
        <v>46161</v>
      </c>
      <c r="D801" t="inlineStr">
        <is>
          <t>KALMAR LÄN</t>
        </is>
      </c>
      <c r="E801" t="inlineStr">
        <is>
          <t>VIMMERBY</t>
        </is>
      </c>
      <c r="G801" t="n">
        <v>2.3</v>
      </c>
      <c r="H801" t="n">
        <v>0</v>
      </c>
      <c r="I801" t="n">
        <v>0</v>
      </c>
      <c r="J801" t="n">
        <v>0</v>
      </c>
      <c r="K801" t="n">
        <v>0</v>
      </c>
      <c r="L801" t="n">
        <v>0</v>
      </c>
      <c r="M801" t="n">
        <v>0</v>
      </c>
      <c r="N801" t="n">
        <v>0</v>
      </c>
      <c r="O801" t="n">
        <v>0</v>
      </c>
      <c r="P801" t="n">
        <v>0</v>
      </c>
      <c r="Q801" t="n">
        <v>0</v>
      </c>
      <c r="R801" s="2" t="inlineStr"/>
    </row>
    <row r="802" ht="15" customHeight="1">
      <c r="A802" t="inlineStr">
        <is>
          <t>A 32835-2022</t>
        </is>
      </c>
      <c r="B802" s="1" t="n">
        <v>44784.42528935185</v>
      </c>
      <c r="C802" s="1" t="n">
        <v>46161</v>
      </c>
      <c r="D802" t="inlineStr">
        <is>
          <t>KALMAR LÄN</t>
        </is>
      </c>
      <c r="E802" t="inlineStr">
        <is>
          <t>VIMMERBY</t>
        </is>
      </c>
      <c r="G802" t="n">
        <v>1.6</v>
      </c>
      <c r="H802" t="n">
        <v>0</v>
      </c>
      <c r="I802" t="n">
        <v>0</v>
      </c>
      <c r="J802" t="n">
        <v>0</v>
      </c>
      <c r="K802" t="n">
        <v>0</v>
      </c>
      <c r="L802" t="n">
        <v>0</v>
      </c>
      <c r="M802" t="n">
        <v>0</v>
      </c>
      <c r="N802" t="n">
        <v>0</v>
      </c>
      <c r="O802" t="n">
        <v>0</v>
      </c>
      <c r="P802" t="n">
        <v>0</v>
      </c>
      <c r="Q802" t="n">
        <v>0</v>
      </c>
      <c r="R802" s="2" t="inlineStr"/>
    </row>
    <row r="803" ht="15" customHeight="1">
      <c r="A803" t="inlineStr">
        <is>
          <t>A 1081-2023</t>
        </is>
      </c>
      <c r="B803" s="1" t="n">
        <v>44935</v>
      </c>
      <c r="C803" s="1" t="n">
        <v>46161</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47063-2022</t>
        </is>
      </c>
      <c r="B804" s="1" t="n">
        <v>44852</v>
      </c>
      <c r="C804" s="1" t="n">
        <v>46161</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14277-2026</t>
        </is>
      </c>
      <c r="B805" s="1" t="n">
        <v>46099.66305555555</v>
      </c>
      <c r="C805" s="1" t="n">
        <v>46161</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46161</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46161</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46161</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46161</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46161</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46161</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46161</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14793-2026</t>
        </is>
      </c>
      <c r="B813" s="1" t="n">
        <v>46101.92108796296</v>
      </c>
      <c r="C813" s="1" t="n">
        <v>46161</v>
      </c>
      <c r="D813" t="inlineStr">
        <is>
          <t>KALMAR LÄN</t>
        </is>
      </c>
      <c r="E813" t="inlineStr">
        <is>
          <t>VIMMERBY</t>
        </is>
      </c>
      <c r="G813" t="n">
        <v>5.7</v>
      </c>
      <c r="H813" t="n">
        <v>0</v>
      </c>
      <c r="I813" t="n">
        <v>0</v>
      </c>
      <c r="J813" t="n">
        <v>0</v>
      </c>
      <c r="K813" t="n">
        <v>0</v>
      </c>
      <c r="L813" t="n">
        <v>0</v>
      </c>
      <c r="M813" t="n">
        <v>0</v>
      </c>
      <c r="N813" t="n">
        <v>0</v>
      </c>
      <c r="O813" t="n">
        <v>0</v>
      </c>
      <c r="P813" t="n">
        <v>0</v>
      </c>
      <c r="Q813" t="n">
        <v>0</v>
      </c>
      <c r="R813" s="2" t="inlineStr"/>
    </row>
    <row r="814" ht="15" customHeight="1">
      <c r="A814" t="inlineStr">
        <is>
          <t>A 6574-2023</t>
        </is>
      </c>
      <c r="B814" s="1" t="n">
        <v>44966</v>
      </c>
      <c r="C814" s="1" t="n">
        <v>46161</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14792-2026</t>
        </is>
      </c>
      <c r="B815" s="1" t="n">
        <v>46101.91993055555</v>
      </c>
      <c r="C815" s="1" t="n">
        <v>46161</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15054-2026</t>
        </is>
      </c>
      <c r="B816" s="1" t="n">
        <v>46104.6815162037</v>
      </c>
      <c r="C816" s="1" t="n">
        <v>46161</v>
      </c>
      <c r="D816" t="inlineStr">
        <is>
          <t>KALMAR LÄN</t>
        </is>
      </c>
      <c r="E816" t="inlineStr">
        <is>
          <t>VIMMERBY</t>
        </is>
      </c>
      <c r="G816" t="n">
        <v>1.4</v>
      </c>
      <c r="H816" t="n">
        <v>0</v>
      </c>
      <c r="I816" t="n">
        <v>0</v>
      </c>
      <c r="J816" t="n">
        <v>0</v>
      </c>
      <c r="K816" t="n">
        <v>0</v>
      </c>
      <c r="L816" t="n">
        <v>0</v>
      </c>
      <c r="M816" t="n">
        <v>0</v>
      </c>
      <c r="N816" t="n">
        <v>0</v>
      </c>
      <c r="O816" t="n">
        <v>0</v>
      </c>
      <c r="P816" t="n">
        <v>0</v>
      </c>
      <c r="Q816" t="n">
        <v>0</v>
      </c>
      <c r="R816" s="2" t="inlineStr"/>
    </row>
    <row r="817" ht="15" customHeight="1">
      <c r="A817" t="inlineStr">
        <is>
          <t>A 4058-2024</t>
        </is>
      </c>
      <c r="B817" s="1" t="n">
        <v>45323.53744212963</v>
      </c>
      <c r="C817" s="1" t="n">
        <v>46161</v>
      </c>
      <c r="D817" t="inlineStr">
        <is>
          <t>KALMAR LÄN</t>
        </is>
      </c>
      <c r="E817" t="inlineStr">
        <is>
          <t>VIMMERBY</t>
        </is>
      </c>
      <c r="G817" t="n">
        <v>6.5</v>
      </c>
      <c r="H817" t="n">
        <v>0</v>
      </c>
      <c r="I817" t="n">
        <v>0</v>
      </c>
      <c r="J817" t="n">
        <v>0</v>
      </c>
      <c r="K817" t="n">
        <v>0</v>
      </c>
      <c r="L817" t="n">
        <v>0</v>
      </c>
      <c r="M817" t="n">
        <v>0</v>
      </c>
      <c r="N817" t="n">
        <v>0</v>
      </c>
      <c r="O817" t="n">
        <v>0</v>
      </c>
      <c r="P817" t="n">
        <v>0</v>
      </c>
      <c r="Q817" t="n">
        <v>0</v>
      </c>
      <c r="R817" s="2" t="inlineStr"/>
    </row>
    <row r="818" ht="15" customHeight="1">
      <c r="A818" t="inlineStr">
        <is>
          <t>A 1978-2024</t>
        </is>
      </c>
      <c r="B818" s="1" t="n">
        <v>45308.59001157407</v>
      </c>
      <c r="C818" s="1" t="n">
        <v>46161</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30318-2023</t>
        </is>
      </c>
      <c r="B819" s="1" t="n">
        <v>45111.30824074074</v>
      </c>
      <c r="C819" s="1" t="n">
        <v>46161</v>
      </c>
      <c r="D819" t="inlineStr">
        <is>
          <t>KALMAR LÄN</t>
        </is>
      </c>
      <c r="E819" t="inlineStr">
        <is>
          <t>VIMMERBY</t>
        </is>
      </c>
      <c r="G819" t="n">
        <v>2.6</v>
      </c>
      <c r="H819" t="n">
        <v>0</v>
      </c>
      <c r="I819" t="n">
        <v>0</v>
      </c>
      <c r="J819" t="n">
        <v>0</v>
      </c>
      <c r="K819" t="n">
        <v>0</v>
      </c>
      <c r="L819" t="n">
        <v>0</v>
      </c>
      <c r="M819" t="n">
        <v>0</v>
      </c>
      <c r="N819" t="n">
        <v>0</v>
      </c>
      <c r="O819" t="n">
        <v>0</v>
      </c>
      <c r="P819" t="n">
        <v>0</v>
      </c>
      <c r="Q819" t="n">
        <v>0</v>
      </c>
      <c r="R819" s="2" t="inlineStr"/>
    </row>
    <row r="820" ht="15" customHeight="1">
      <c r="A820" t="inlineStr">
        <is>
          <t>A 25234-2023</t>
        </is>
      </c>
      <c r="B820" s="1" t="n">
        <v>45086.63194444445</v>
      </c>
      <c r="C820" s="1" t="n">
        <v>46161</v>
      </c>
      <c r="D820" t="inlineStr">
        <is>
          <t>KALMAR LÄN</t>
        </is>
      </c>
      <c r="E820" t="inlineStr">
        <is>
          <t>VIMMERBY</t>
        </is>
      </c>
      <c r="G820" t="n">
        <v>2.1</v>
      </c>
      <c r="H820" t="n">
        <v>0</v>
      </c>
      <c r="I820" t="n">
        <v>0</v>
      </c>
      <c r="J820" t="n">
        <v>0</v>
      </c>
      <c r="K820" t="n">
        <v>0</v>
      </c>
      <c r="L820" t="n">
        <v>0</v>
      </c>
      <c r="M820" t="n">
        <v>0</v>
      </c>
      <c r="N820" t="n">
        <v>0</v>
      </c>
      <c r="O820" t="n">
        <v>0</v>
      </c>
      <c r="P820" t="n">
        <v>0</v>
      </c>
      <c r="Q820" t="n">
        <v>0</v>
      </c>
      <c r="R820" s="2" t="inlineStr"/>
    </row>
    <row r="821" ht="15" customHeight="1">
      <c r="A821" t="inlineStr">
        <is>
          <t>A 15205-2026</t>
        </is>
      </c>
      <c r="B821" s="1" t="n">
        <v>46105.48628472222</v>
      </c>
      <c r="C821" s="1" t="n">
        <v>46161</v>
      </c>
      <c r="D821" t="inlineStr">
        <is>
          <t>KALMAR LÄN</t>
        </is>
      </c>
      <c r="E821" t="inlineStr">
        <is>
          <t>VIMMERBY</t>
        </is>
      </c>
      <c r="G821" t="n">
        <v>2.1</v>
      </c>
      <c r="H821" t="n">
        <v>0</v>
      </c>
      <c r="I821" t="n">
        <v>0</v>
      </c>
      <c r="J821" t="n">
        <v>0</v>
      </c>
      <c r="K821" t="n">
        <v>0</v>
      </c>
      <c r="L821" t="n">
        <v>0</v>
      </c>
      <c r="M821" t="n">
        <v>0</v>
      </c>
      <c r="N821" t="n">
        <v>0</v>
      </c>
      <c r="O821" t="n">
        <v>0</v>
      </c>
      <c r="P821" t="n">
        <v>0</v>
      </c>
      <c r="Q821" t="n">
        <v>0</v>
      </c>
      <c r="R821" s="2" t="inlineStr"/>
    </row>
    <row r="822" ht="15" customHeight="1">
      <c r="A822" t="inlineStr">
        <is>
          <t>A 46078-2023</t>
        </is>
      </c>
      <c r="B822" s="1" t="n">
        <v>45196</v>
      </c>
      <c r="C822" s="1" t="n">
        <v>46161</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21882-2026</t>
        </is>
      </c>
      <c r="B823" s="1" t="n">
        <v>46150.59287037037</v>
      </c>
      <c r="C823" s="1" t="n">
        <v>46161</v>
      </c>
      <c r="D823" t="inlineStr">
        <is>
          <t>KALMAR LÄN</t>
        </is>
      </c>
      <c r="E823" t="inlineStr">
        <is>
          <t>VIMMERBY</t>
        </is>
      </c>
      <c r="G823" t="n">
        <v>0.6</v>
      </c>
      <c r="H823" t="n">
        <v>0</v>
      </c>
      <c r="I823" t="n">
        <v>0</v>
      </c>
      <c r="J823" t="n">
        <v>0</v>
      </c>
      <c r="K823" t="n">
        <v>0</v>
      </c>
      <c r="L823" t="n">
        <v>0</v>
      </c>
      <c r="M823" t="n">
        <v>0</v>
      </c>
      <c r="N823" t="n">
        <v>0</v>
      </c>
      <c r="O823" t="n">
        <v>0</v>
      </c>
      <c r="P823" t="n">
        <v>0</v>
      </c>
      <c r="Q823" t="n">
        <v>0</v>
      </c>
      <c r="R823" s="2" t="inlineStr"/>
    </row>
    <row r="824" ht="15" customHeight="1">
      <c r="A824" t="inlineStr">
        <is>
          <t>A 3609-2024</t>
        </is>
      </c>
      <c r="B824" s="1" t="n">
        <v>45320.89128472222</v>
      </c>
      <c r="C824" s="1" t="n">
        <v>46161</v>
      </c>
      <c r="D824" t="inlineStr">
        <is>
          <t>KALMAR LÄN</t>
        </is>
      </c>
      <c r="E824" t="inlineStr">
        <is>
          <t>VIMMERBY</t>
        </is>
      </c>
      <c r="G824" t="n">
        <v>1.7</v>
      </c>
      <c r="H824" t="n">
        <v>0</v>
      </c>
      <c r="I824" t="n">
        <v>0</v>
      </c>
      <c r="J824" t="n">
        <v>0</v>
      </c>
      <c r="K824" t="n">
        <v>0</v>
      </c>
      <c r="L824" t="n">
        <v>0</v>
      </c>
      <c r="M824" t="n">
        <v>0</v>
      </c>
      <c r="N824" t="n">
        <v>0</v>
      </c>
      <c r="O824" t="n">
        <v>0</v>
      </c>
      <c r="P824" t="n">
        <v>0</v>
      </c>
      <c r="Q824" t="n">
        <v>0</v>
      </c>
      <c r="R824" s="2" t="inlineStr"/>
    </row>
    <row r="825" ht="15" customHeight="1">
      <c r="A825" t="inlineStr">
        <is>
          <t>A 10424-2023</t>
        </is>
      </c>
      <c r="B825" s="1" t="n">
        <v>44987.54104166666</v>
      </c>
      <c r="C825" s="1" t="n">
        <v>46161</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49382-2023</t>
        </is>
      </c>
      <c r="B826" s="1" t="n">
        <v>45208</v>
      </c>
      <c r="C826" s="1" t="n">
        <v>46161</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12810-2023</t>
        </is>
      </c>
      <c r="B827" s="1" t="n">
        <v>45001.43854166667</v>
      </c>
      <c r="C827" s="1" t="n">
        <v>46161</v>
      </c>
      <c r="D827" t="inlineStr">
        <is>
          <t>KALMAR LÄN</t>
        </is>
      </c>
      <c r="E827" t="inlineStr">
        <is>
          <t>VIMMERBY</t>
        </is>
      </c>
      <c r="G827" t="n">
        <v>1.5</v>
      </c>
      <c r="H827" t="n">
        <v>0</v>
      </c>
      <c r="I827" t="n">
        <v>0</v>
      </c>
      <c r="J827" t="n">
        <v>0</v>
      </c>
      <c r="K827" t="n">
        <v>0</v>
      </c>
      <c r="L827" t="n">
        <v>0</v>
      </c>
      <c r="M827" t="n">
        <v>0</v>
      </c>
      <c r="N827" t="n">
        <v>0</v>
      </c>
      <c r="O827" t="n">
        <v>0</v>
      </c>
      <c r="P827" t="n">
        <v>0</v>
      </c>
      <c r="Q827" t="n">
        <v>0</v>
      </c>
      <c r="R827" s="2" t="inlineStr"/>
    </row>
    <row r="828" ht="15" customHeight="1">
      <c r="A828" t="inlineStr">
        <is>
          <t>A 3425-2022</t>
        </is>
      </c>
      <c r="B828" s="1" t="n">
        <v>44585.51060185185</v>
      </c>
      <c r="C828" s="1" t="n">
        <v>46161</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60675-2023</t>
        </is>
      </c>
      <c r="B829" s="1" t="n">
        <v>45260.4716550926</v>
      </c>
      <c r="C829" s="1" t="n">
        <v>46161</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2536-2023</t>
        </is>
      </c>
      <c r="B830" s="1" t="n">
        <v>44943.62954861111</v>
      </c>
      <c r="C830" s="1" t="n">
        <v>46161</v>
      </c>
      <c r="D830" t="inlineStr">
        <is>
          <t>KALMAR LÄN</t>
        </is>
      </c>
      <c r="E830" t="inlineStr">
        <is>
          <t>VIMMERBY</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11111-2024</t>
        </is>
      </c>
      <c r="B831" s="1" t="n">
        <v>45371.36359953704</v>
      </c>
      <c r="C831" s="1" t="n">
        <v>46161</v>
      </c>
      <c r="D831" t="inlineStr">
        <is>
          <t>KALMAR LÄN</t>
        </is>
      </c>
      <c r="E831" t="inlineStr">
        <is>
          <t>VIMMERBY</t>
        </is>
      </c>
      <c r="G831" t="n">
        <v>1.4</v>
      </c>
      <c r="H831" t="n">
        <v>0</v>
      </c>
      <c r="I831" t="n">
        <v>0</v>
      </c>
      <c r="J831" t="n">
        <v>0</v>
      </c>
      <c r="K831" t="n">
        <v>0</v>
      </c>
      <c r="L831" t="n">
        <v>0</v>
      </c>
      <c r="M831" t="n">
        <v>0</v>
      </c>
      <c r="N831" t="n">
        <v>0</v>
      </c>
      <c r="O831" t="n">
        <v>0</v>
      </c>
      <c r="P831" t="n">
        <v>0</v>
      </c>
      <c r="Q831" t="n">
        <v>0</v>
      </c>
      <c r="R831" s="2" t="inlineStr"/>
    </row>
    <row r="832" ht="15" customHeight="1">
      <c r="A832" t="inlineStr">
        <is>
          <t>A 1687-2023</t>
        </is>
      </c>
      <c r="B832" s="1" t="n">
        <v>44938</v>
      </c>
      <c r="C832" s="1" t="n">
        <v>46161</v>
      </c>
      <c r="D832" t="inlineStr">
        <is>
          <t>KALMAR LÄN</t>
        </is>
      </c>
      <c r="E832" t="inlineStr">
        <is>
          <t>VIMMERBY</t>
        </is>
      </c>
      <c r="F832" t="inlineStr">
        <is>
          <t>Kommuner</t>
        </is>
      </c>
      <c r="G832" t="n">
        <v>2.5</v>
      </c>
      <c r="H832" t="n">
        <v>0</v>
      </c>
      <c r="I832" t="n">
        <v>0</v>
      </c>
      <c r="J832" t="n">
        <v>0</v>
      </c>
      <c r="K832" t="n">
        <v>0</v>
      </c>
      <c r="L832" t="n">
        <v>0</v>
      </c>
      <c r="M832" t="n">
        <v>0</v>
      </c>
      <c r="N832" t="n">
        <v>0</v>
      </c>
      <c r="O832" t="n">
        <v>0</v>
      </c>
      <c r="P832" t="n">
        <v>0</v>
      </c>
      <c r="Q832" t="n">
        <v>0</v>
      </c>
      <c r="R832" s="2" t="inlineStr"/>
    </row>
    <row r="833" ht="15" customHeight="1">
      <c r="A833" t="inlineStr">
        <is>
          <t>A 16183-2026</t>
        </is>
      </c>
      <c r="B833" s="1" t="n">
        <v>46111</v>
      </c>
      <c r="C833" s="1" t="n">
        <v>46161</v>
      </c>
      <c r="D833" t="inlineStr">
        <is>
          <t>KALMAR LÄN</t>
        </is>
      </c>
      <c r="E833" t="inlineStr">
        <is>
          <t>VIMMERBY</t>
        </is>
      </c>
      <c r="G833" t="n">
        <v>1.7</v>
      </c>
      <c r="H833" t="n">
        <v>0</v>
      </c>
      <c r="I833" t="n">
        <v>0</v>
      </c>
      <c r="J833" t="n">
        <v>0</v>
      </c>
      <c r="K833" t="n">
        <v>0</v>
      </c>
      <c r="L833" t="n">
        <v>0</v>
      </c>
      <c r="M833" t="n">
        <v>0</v>
      </c>
      <c r="N833" t="n">
        <v>0</v>
      </c>
      <c r="O833" t="n">
        <v>0</v>
      </c>
      <c r="P833" t="n">
        <v>0</v>
      </c>
      <c r="Q833" t="n">
        <v>0</v>
      </c>
      <c r="R833" s="2" t="inlineStr"/>
    </row>
    <row r="834" ht="15" customHeight="1">
      <c r="A834" t="inlineStr">
        <is>
          <t>A 16648-2026</t>
        </is>
      </c>
      <c r="B834" s="1" t="n">
        <v>46112.64032407408</v>
      </c>
      <c r="C834" s="1" t="n">
        <v>46161</v>
      </c>
      <c r="D834" t="inlineStr">
        <is>
          <t>KALMAR LÄN</t>
        </is>
      </c>
      <c r="E834" t="inlineStr">
        <is>
          <t>VIMMERBY</t>
        </is>
      </c>
      <c r="F834" t="inlineStr">
        <is>
          <t>Kommuner</t>
        </is>
      </c>
      <c r="G834" t="n">
        <v>0.9</v>
      </c>
      <c r="H834" t="n">
        <v>0</v>
      </c>
      <c r="I834" t="n">
        <v>0</v>
      </c>
      <c r="J834" t="n">
        <v>0</v>
      </c>
      <c r="K834" t="n">
        <v>0</v>
      </c>
      <c r="L834" t="n">
        <v>0</v>
      </c>
      <c r="M834" t="n">
        <v>0</v>
      </c>
      <c r="N834" t="n">
        <v>0</v>
      </c>
      <c r="O834" t="n">
        <v>0</v>
      </c>
      <c r="P834" t="n">
        <v>0</v>
      </c>
      <c r="Q834" t="n">
        <v>0</v>
      </c>
      <c r="R834" s="2" t="inlineStr"/>
    </row>
    <row r="835" ht="15" customHeight="1">
      <c r="A835" t="inlineStr">
        <is>
          <t>A 16656-2026</t>
        </is>
      </c>
      <c r="B835" s="1" t="n">
        <v>46112.65111111111</v>
      </c>
      <c r="C835" s="1" t="n">
        <v>46161</v>
      </c>
      <c r="D835" t="inlineStr">
        <is>
          <t>KALMAR LÄN</t>
        </is>
      </c>
      <c r="E835" t="inlineStr">
        <is>
          <t>VIMMERBY</t>
        </is>
      </c>
      <c r="F835" t="inlineStr">
        <is>
          <t>Kommuner</t>
        </is>
      </c>
      <c r="G835" t="n">
        <v>5.5</v>
      </c>
      <c r="H835" t="n">
        <v>0</v>
      </c>
      <c r="I835" t="n">
        <v>0</v>
      </c>
      <c r="J835" t="n">
        <v>0</v>
      </c>
      <c r="K835" t="n">
        <v>0</v>
      </c>
      <c r="L835" t="n">
        <v>0</v>
      </c>
      <c r="M835" t="n">
        <v>0</v>
      </c>
      <c r="N835" t="n">
        <v>0</v>
      </c>
      <c r="O835" t="n">
        <v>0</v>
      </c>
      <c r="P835" t="n">
        <v>0</v>
      </c>
      <c r="Q835" t="n">
        <v>0</v>
      </c>
      <c r="R835" s="2" t="inlineStr"/>
    </row>
    <row r="836" ht="15" customHeight="1">
      <c r="A836" t="inlineStr">
        <is>
          <t>A 3494-2023</t>
        </is>
      </c>
      <c r="B836" s="1" t="n">
        <v>44949</v>
      </c>
      <c r="C836" s="1" t="n">
        <v>46161</v>
      </c>
      <c r="D836" t="inlineStr">
        <is>
          <t>KALMAR LÄN</t>
        </is>
      </c>
      <c r="E836" t="inlineStr">
        <is>
          <t>VIMMERBY</t>
        </is>
      </c>
      <c r="F836" t="inlineStr">
        <is>
          <t>Kyrkan</t>
        </is>
      </c>
      <c r="G836" t="n">
        <v>0.8</v>
      </c>
      <c r="H836" t="n">
        <v>0</v>
      </c>
      <c r="I836" t="n">
        <v>0</v>
      </c>
      <c r="J836" t="n">
        <v>0</v>
      </c>
      <c r="K836" t="n">
        <v>0</v>
      </c>
      <c r="L836" t="n">
        <v>0</v>
      </c>
      <c r="M836" t="n">
        <v>0</v>
      </c>
      <c r="N836" t="n">
        <v>0</v>
      </c>
      <c r="O836" t="n">
        <v>0</v>
      </c>
      <c r="P836" t="n">
        <v>0</v>
      </c>
      <c r="Q836" t="n">
        <v>0</v>
      </c>
      <c r="R836" s="2" t="inlineStr"/>
    </row>
    <row r="837" ht="15" customHeight="1">
      <c r="A837" t="inlineStr">
        <is>
          <t>A 16617-2026</t>
        </is>
      </c>
      <c r="B837" s="1" t="n">
        <v>46112.60607638889</v>
      </c>
      <c r="C837" s="1" t="n">
        <v>46161</v>
      </c>
      <c r="D837" t="inlineStr">
        <is>
          <t>KALMAR LÄN</t>
        </is>
      </c>
      <c r="E837" t="inlineStr">
        <is>
          <t>VIMMERBY</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15449-2023</t>
        </is>
      </c>
      <c r="B838" s="1" t="n">
        <v>45020</v>
      </c>
      <c r="C838" s="1" t="n">
        <v>46161</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16672-2026</t>
        </is>
      </c>
      <c r="B839" s="1" t="n">
        <v>46112.67336805556</v>
      </c>
      <c r="C839" s="1" t="n">
        <v>46161</v>
      </c>
      <c r="D839" t="inlineStr">
        <is>
          <t>KALMAR LÄN</t>
        </is>
      </c>
      <c r="E839" t="inlineStr">
        <is>
          <t>VIMMERBY</t>
        </is>
      </c>
      <c r="F839" t="inlineStr">
        <is>
          <t>Kommuner</t>
        </is>
      </c>
      <c r="G839" t="n">
        <v>1.4</v>
      </c>
      <c r="H839" t="n">
        <v>0</v>
      </c>
      <c r="I839" t="n">
        <v>0</v>
      </c>
      <c r="J839" t="n">
        <v>0</v>
      </c>
      <c r="K839" t="n">
        <v>0</v>
      </c>
      <c r="L839" t="n">
        <v>0</v>
      </c>
      <c r="M839" t="n">
        <v>0</v>
      </c>
      <c r="N839" t="n">
        <v>0</v>
      </c>
      <c r="O839" t="n">
        <v>0</v>
      </c>
      <c r="P839" t="n">
        <v>0</v>
      </c>
      <c r="Q839" t="n">
        <v>0</v>
      </c>
      <c r="R839" s="2" t="inlineStr"/>
    </row>
    <row r="840" ht="15" customHeight="1">
      <c r="A840" t="inlineStr">
        <is>
          <t>A 43242-2024</t>
        </is>
      </c>
      <c r="B840" s="1" t="n">
        <v>45568.30189814815</v>
      </c>
      <c r="C840" s="1" t="n">
        <v>46161</v>
      </c>
      <c r="D840" t="inlineStr">
        <is>
          <t>KALMAR LÄN</t>
        </is>
      </c>
      <c r="E840" t="inlineStr">
        <is>
          <t>VIMMERBY</t>
        </is>
      </c>
      <c r="G840" t="n">
        <v>2.6</v>
      </c>
      <c r="H840" t="n">
        <v>0</v>
      </c>
      <c r="I840" t="n">
        <v>0</v>
      </c>
      <c r="J840" t="n">
        <v>0</v>
      </c>
      <c r="K840" t="n">
        <v>0</v>
      </c>
      <c r="L840" t="n">
        <v>0</v>
      </c>
      <c r="M840" t="n">
        <v>0</v>
      </c>
      <c r="N840" t="n">
        <v>0</v>
      </c>
      <c r="O840" t="n">
        <v>0</v>
      </c>
      <c r="P840" t="n">
        <v>0</v>
      </c>
      <c r="Q840" t="n">
        <v>0</v>
      </c>
      <c r="R840" s="2" t="inlineStr"/>
    </row>
    <row r="841" ht="15" customHeight="1">
      <c r="A841" t="inlineStr">
        <is>
          <t>A 16653-2026</t>
        </is>
      </c>
      <c r="B841" s="1" t="n">
        <v>46112.64597222222</v>
      </c>
      <c r="C841" s="1" t="n">
        <v>46161</v>
      </c>
      <c r="D841" t="inlineStr">
        <is>
          <t>KALMAR LÄN</t>
        </is>
      </c>
      <c r="E841" t="inlineStr">
        <is>
          <t>VIMMERBY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56853-2022</t>
        </is>
      </c>
      <c r="B842" s="1" t="n">
        <v>44894.49538194444</v>
      </c>
      <c r="C842" s="1" t="n">
        <v>46161</v>
      </c>
      <c r="D842" t="inlineStr">
        <is>
          <t>KALMAR LÄN</t>
        </is>
      </c>
      <c r="E842" t="inlineStr">
        <is>
          <t>VIMMERBY</t>
        </is>
      </c>
      <c r="G842" t="n">
        <v>4.3</v>
      </c>
      <c r="H842" t="n">
        <v>0</v>
      </c>
      <c r="I842" t="n">
        <v>0</v>
      </c>
      <c r="J842" t="n">
        <v>0</v>
      </c>
      <c r="K842" t="n">
        <v>0</v>
      </c>
      <c r="L842" t="n">
        <v>0</v>
      </c>
      <c r="M842" t="n">
        <v>0</v>
      </c>
      <c r="N842" t="n">
        <v>0</v>
      </c>
      <c r="O842" t="n">
        <v>0</v>
      </c>
      <c r="P842" t="n">
        <v>0</v>
      </c>
      <c r="Q842" t="n">
        <v>0</v>
      </c>
      <c r="R842" s="2" t="inlineStr"/>
    </row>
    <row r="843" ht="15" customHeight="1">
      <c r="A843" t="inlineStr">
        <is>
          <t>A 16675-2026</t>
        </is>
      </c>
      <c r="B843" s="1" t="n">
        <v>46112.68202546296</v>
      </c>
      <c r="C843" s="1" t="n">
        <v>46161</v>
      </c>
      <c r="D843" t="inlineStr">
        <is>
          <t>KALMAR LÄN</t>
        </is>
      </c>
      <c r="E843" t="inlineStr">
        <is>
          <t>VIMMERBY</t>
        </is>
      </c>
      <c r="F843" t="inlineStr">
        <is>
          <t>Kommuner</t>
        </is>
      </c>
      <c r="G843" t="n">
        <v>0.8</v>
      </c>
      <c r="H843" t="n">
        <v>0</v>
      </c>
      <c r="I843" t="n">
        <v>0</v>
      </c>
      <c r="J843" t="n">
        <v>0</v>
      </c>
      <c r="K843" t="n">
        <v>0</v>
      </c>
      <c r="L843" t="n">
        <v>0</v>
      </c>
      <c r="M843" t="n">
        <v>0</v>
      </c>
      <c r="N843" t="n">
        <v>0</v>
      </c>
      <c r="O843" t="n">
        <v>0</v>
      </c>
      <c r="P843" t="n">
        <v>0</v>
      </c>
      <c r="Q843" t="n">
        <v>0</v>
      </c>
      <c r="R843" s="2" t="inlineStr"/>
    </row>
    <row r="844" ht="15" customHeight="1">
      <c r="A844" t="inlineStr">
        <is>
          <t>A 16632-2026</t>
        </is>
      </c>
      <c r="B844" s="1" t="n">
        <v>46112.62212962963</v>
      </c>
      <c r="C844" s="1" t="n">
        <v>46161</v>
      </c>
      <c r="D844" t="inlineStr">
        <is>
          <t>KALMAR LÄN</t>
        </is>
      </c>
      <c r="E844" t="inlineStr">
        <is>
          <t>VIMMERBY</t>
        </is>
      </c>
      <c r="G844" t="n">
        <v>2.1</v>
      </c>
      <c r="H844" t="n">
        <v>0</v>
      </c>
      <c r="I844" t="n">
        <v>0</v>
      </c>
      <c r="J844" t="n">
        <v>0</v>
      </c>
      <c r="K844" t="n">
        <v>0</v>
      </c>
      <c r="L844" t="n">
        <v>0</v>
      </c>
      <c r="M844" t="n">
        <v>0</v>
      </c>
      <c r="N844" t="n">
        <v>0</v>
      </c>
      <c r="O844" t="n">
        <v>0</v>
      </c>
      <c r="P844" t="n">
        <v>0</v>
      </c>
      <c r="Q844" t="n">
        <v>0</v>
      </c>
      <c r="R844" s="2" t="inlineStr"/>
    </row>
    <row r="845" ht="15" customHeight="1">
      <c r="A845" t="inlineStr">
        <is>
          <t>A 16678-2026</t>
        </is>
      </c>
      <c r="B845" s="1" t="n">
        <v>46112.69435185185</v>
      </c>
      <c r="C845" s="1" t="n">
        <v>46161</v>
      </c>
      <c r="D845" t="inlineStr">
        <is>
          <t>KALMAR LÄN</t>
        </is>
      </c>
      <c r="E845" t="inlineStr">
        <is>
          <t>VIMMERBY</t>
        </is>
      </c>
      <c r="F845" t="inlineStr">
        <is>
          <t>Kommuner</t>
        </is>
      </c>
      <c r="G845" t="n">
        <v>1.6</v>
      </c>
      <c r="H845" t="n">
        <v>0</v>
      </c>
      <c r="I845" t="n">
        <v>0</v>
      </c>
      <c r="J845" t="n">
        <v>0</v>
      </c>
      <c r="K845" t="n">
        <v>0</v>
      </c>
      <c r="L845" t="n">
        <v>0</v>
      </c>
      <c r="M845" t="n">
        <v>0</v>
      </c>
      <c r="N845" t="n">
        <v>0</v>
      </c>
      <c r="O845" t="n">
        <v>0</v>
      </c>
      <c r="P845" t="n">
        <v>0</v>
      </c>
      <c r="Q845" t="n">
        <v>0</v>
      </c>
      <c r="R845" s="2" t="inlineStr"/>
    </row>
    <row r="846" ht="15" customHeight="1">
      <c r="A846" t="inlineStr">
        <is>
          <t>A 33815-2022</t>
        </is>
      </c>
      <c r="B846" s="1" t="n">
        <v>44790.45876157407</v>
      </c>
      <c r="C846" s="1" t="n">
        <v>46161</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33842-2022</t>
        </is>
      </c>
      <c r="B847" s="1" t="n">
        <v>44790.49523148148</v>
      </c>
      <c r="C847" s="1" t="n">
        <v>46161</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16799-2026</t>
        </is>
      </c>
      <c r="B848" s="1" t="n">
        <v>46113.47913194444</v>
      </c>
      <c r="C848" s="1" t="n">
        <v>46161</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49408-2023</t>
        </is>
      </c>
      <c r="B849" s="1" t="n">
        <v>45211.43555555555</v>
      </c>
      <c r="C849" s="1" t="n">
        <v>46161</v>
      </c>
      <c r="D849" t="inlineStr">
        <is>
          <t>KALMAR LÄN</t>
        </is>
      </c>
      <c r="E849" t="inlineStr">
        <is>
          <t>VIMMERBY</t>
        </is>
      </c>
      <c r="G849" t="n">
        <v>13.1</v>
      </c>
      <c r="H849" t="n">
        <v>0</v>
      </c>
      <c r="I849" t="n">
        <v>0</v>
      </c>
      <c r="J849" t="n">
        <v>0</v>
      </c>
      <c r="K849" t="n">
        <v>0</v>
      </c>
      <c r="L849" t="n">
        <v>0</v>
      </c>
      <c r="M849" t="n">
        <v>0</v>
      </c>
      <c r="N849" t="n">
        <v>0</v>
      </c>
      <c r="O849" t="n">
        <v>0</v>
      </c>
      <c r="P849" t="n">
        <v>0</v>
      </c>
      <c r="Q849" t="n">
        <v>0</v>
      </c>
      <c r="R849" s="2" t="inlineStr"/>
    </row>
    <row r="850" ht="15" customHeight="1">
      <c r="A850" t="inlineStr">
        <is>
          <t>A 56536-2022</t>
        </is>
      </c>
      <c r="B850" s="1" t="n">
        <v>44893</v>
      </c>
      <c r="C850" s="1" t="n">
        <v>46161</v>
      </c>
      <c r="D850" t="inlineStr">
        <is>
          <t>KALMAR LÄN</t>
        </is>
      </c>
      <c r="E850" t="inlineStr">
        <is>
          <t>VIMMERBY</t>
        </is>
      </c>
      <c r="G850" t="n">
        <v>3.2</v>
      </c>
      <c r="H850" t="n">
        <v>0</v>
      </c>
      <c r="I850" t="n">
        <v>0</v>
      </c>
      <c r="J850" t="n">
        <v>0</v>
      </c>
      <c r="K850" t="n">
        <v>0</v>
      </c>
      <c r="L850" t="n">
        <v>0</v>
      </c>
      <c r="M850" t="n">
        <v>0</v>
      </c>
      <c r="N850" t="n">
        <v>0</v>
      </c>
      <c r="O850" t="n">
        <v>0</v>
      </c>
      <c r="P850" t="n">
        <v>0</v>
      </c>
      <c r="Q850" t="n">
        <v>0</v>
      </c>
      <c r="R850" s="2" t="inlineStr"/>
    </row>
    <row r="851" ht="15" customHeight="1">
      <c r="A851" t="inlineStr">
        <is>
          <t>A 41199-2023</t>
        </is>
      </c>
      <c r="B851" s="1" t="n">
        <v>45174.40454861111</v>
      </c>
      <c r="C851" s="1" t="n">
        <v>46161</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16823-2026</t>
        </is>
      </c>
      <c r="B852" s="1" t="n">
        <v>46113.51649305555</v>
      </c>
      <c r="C852" s="1" t="n">
        <v>46161</v>
      </c>
      <c r="D852" t="inlineStr">
        <is>
          <t>KALMAR LÄN</t>
        </is>
      </c>
      <c r="E852" t="inlineStr">
        <is>
          <t>VIMMERBY</t>
        </is>
      </c>
      <c r="G852" t="n">
        <v>0.8</v>
      </c>
      <c r="H852" t="n">
        <v>0</v>
      </c>
      <c r="I852" t="n">
        <v>0</v>
      </c>
      <c r="J852" t="n">
        <v>0</v>
      </c>
      <c r="K852" t="n">
        <v>0</v>
      </c>
      <c r="L852" t="n">
        <v>0</v>
      </c>
      <c r="M852" t="n">
        <v>0</v>
      </c>
      <c r="N852" t="n">
        <v>0</v>
      </c>
      <c r="O852" t="n">
        <v>0</v>
      </c>
      <c r="P852" t="n">
        <v>0</v>
      </c>
      <c r="Q852" t="n">
        <v>0</v>
      </c>
      <c r="R852" s="2" t="inlineStr"/>
    </row>
    <row r="853" ht="15" customHeight="1">
      <c r="A853" t="inlineStr">
        <is>
          <t>A 16870-2026</t>
        </is>
      </c>
      <c r="B853" s="1" t="n">
        <v>46113.5822800926</v>
      </c>
      <c r="C853" s="1" t="n">
        <v>46161</v>
      </c>
      <c r="D853" t="inlineStr">
        <is>
          <t>KALMAR LÄN</t>
        </is>
      </c>
      <c r="E853" t="inlineStr">
        <is>
          <t>VIMMERBY</t>
        </is>
      </c>
      <c r="G853" t="n">
        <v>2</v>
      </c>
      <c r="H853" t="n">
        <v>0</v>
      </c>
      <c r="I853" t="n">
        <v>0</v>
      </c>
      <c r="J853" t="n">
        <v>0</v>
      </c>
      <c r="K853" t="n">
        <v>0</v>
      </c>
      <c r="L853" t="n">
        <v>0</v>
      </c>
      <c r="M853" t="n">
        <v>0</v>
      </c>
      <c r="N853" t="n">
        <v>0</v>
      </c>
      <c r="O853" t="n">
        <v>0</v>
      </c>
      <c r="P853" t="n">
        <v>0</v>
      </c>
      <c r="Q853" t="n">
        <v>0</v>
      </c>
      <c r="R853" s="2" t="inlineStr"/>
    </row>
    <row r="854" ht="15" customHeight="1">
      <c r="A854" t="inlineStr">
        <is>
          <t>A 16801-2026</t>
        </is>
      </c>
      <c r="B854" s="1" t="n">
        <v>46113.48400462963</v>
      </c>
      <c r="C854" s="1" t="n">
        <v>46161</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8945-2025</t>
        </is>
      </c>
      <c r="B855" s="1" t="n">
        <v>45713.45311342592</v>
      </c>
      <c r="C855" s="1" t="n">
        <v>46161</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16795-2026</t>
        </is>
      </c>
      <c r="B856" s="1" t="n">
        <v>46113.47216435185</v>
      </c>
      <c r="C856" s="1" t="n">
        <v>46161</v>
      </c>
      <c r="D856" t="inlineStr">
        <is>
          <t>KALMAR LÄN</t>
        </is>
      </c>
      <c r="E856" t="inlineStr">
        <is>
          <t>VIMMERBY</t>
        </is>
      </c>
      <c r="G856" t="n">
        <v>2.1</v>
      </c>
      <c r="H856" t="n">
        <v>0</v>
      </c>
      <c r="I856" t="n">
        <v>0</v>
      </c>
      <c r="J856" t="n">
        <v>0</v>
      </c>
      <c r="K856" t="n">
        <v>0</v>
      </c>
      <c r="L856" t="n">
        <v>0</v>
      </c>
      <c r="M856" t="n">
        <v>0</v>
      </c>
      <c r="N856" t="n">
        <v>0</v>
      </c>
      <c r="O856" t="n">
        <v>0</v>
      </c>
      <c r="P856" t="n">
        <v>0</v>
      </c>
      <c r="Q856" t="n">
        <v>0</v>
      </c>
      <c r="R856" s="2" t="inlineStr"/>
    </row>
    <row r="857" ht="15" customHeight="1">
      <c r="A857" t="inlineStr">
        <is>
          <t>A 11619-2023</t>
        </is>
      </c>
      <c r="B857" s="1" t="n">
        <v>44994.42113425926</v>
      </c>
      <c r="C857" s="1" t="n">
        <v>46161</v>
      </c>
      <c r="D857" t="inlineStr">
        <is>
          <t>KALMAR LÄN</t>
        </is>
      </c>
      <c r="E857" t="inlineStr">
        <is>
          <t>VIMMERBY</t>
        </is>
      </c>
      <c r="G857" t="n">
        <v>2.5</v>
      </c>
      <c r="H857" t="n">
        <v>0</v>
      </c>
      <c r="I857" t="n">
        <v>0</v>
      </c>
      <c r="J857" t="n">
        <v>0</v>
      </c>
      <c r="K857" t="n">
        <v>0</v>
      </c>
      <c r="L857" t="n">
        <v>0</v>
      </c>
      <c r="M857" t="n">
        <v>0</v>
      </c>
      <c r="N857" t="n">
        <v>0</v>
      </c>
      <c r="O857" t="n">
        <v>0</v>
      </c>
      <c r="P857" t="n">
        <v>0</v>
      </c>
      <c r="Q857" t="n">
        <v>0</v>
      </c>
      <c r="R857" s="2" t="inlineStr"/>
    </row>
    <row r="858" ht="15" customHeight="1">
      <c r="A858" t="inlineStr">
        <is>
          <t>A 41896-2023</t>
        </is>
      </c>
      <c r="B858" s="1" t="n">
        <v>45176.72427083334</v>
      </c>
      <c r="C858" s="1" t="n">
        <v>46161</v>
      </c>
      <c r="D858" t="inlineStr">
        <is>
          <t>KALMAR LÄN</t>
        </is>
      </c>
      <c r="E858" t="inlineStr">
        <is>
          <t>VIMMERBY</t>
        </is>
      </c>
      <c r="G858" t="n">
        <v>1.3</v>
      </c>
      <c r="H858" t="n">
        <v>0</v>
      </c>
      <c r="I858" t="n">
        <v>0</v>
      </c>
      <c r="J858" t="n">
        <v>0</v>
      </c>
      <c r="K858" t="n">
        <v>0</v>
      </c>
      <c r="L858" t="n">
        <v>0</v>
      </c>
      <c r="M858" t="n">
        <v>0</v>
      </c>
      <c r="N858" t="n">
        <v>0</v>
      </c>
      <c r="O858" t="n">
        <v>0</v>
      </c>
      <c r="P858" t="n">
        <v>0</v>
      </c>
      <c r="Q858" t="n">
        <v>0</v>
      </c>
      <c r="R858" s="2" t="inlineStr"/>
    </row>
    <row r="859" ht="15" customHeight="1">
      <c r="A859" t="inlineStr">
        <is>
          <t>A 17926-2025</t>
        </is>
      </c>
      <c r="B859" s="1" t="n">
        <v>45759.38987268518</v>
      </c>
      <c r="C859" s="1" t="n">
        <v>46161</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21028-2023</t>
        </is>
      </c>
      <c r="B860" s="1" t="n">
        <v>45061</v>
      </c>
      <c r="C860" s="1" t="n">
        <v>46161</v>
      </c>
      <c r="D860" t="inlineStr">
        <is>
          <t>KALMAR LÄN</t>
        </is>
      </c>
      <c r="E860" t="inlineStr">
        <is>
          <t>VIMMERBY</t>
        </is>
      </c>
      <c r="F860" t="inlineStr">
        <is>
          <t>Övriga Aktiebolag</t>
        </is>
      </c>
      <c r="G860" t="n">
        <v>0.7</v>
      </c>
      <c r="H860" t="n">
        <v>0</v>
      </c>
      <c r="I860" t="n">
        <v>0</v>
      </c>
      <c r="J860" t="n">
        <v>0</v>
      </c>
      <c r="K860" t="n">
        <v>0</v>
      </c>
      <c r="L860" t="n">
        <v>0</v>
      </c>
      <c r="M860" t="n">
        <v>0</v>
      </c>
      <c r="N860" t="n">
        <v>0</v>
      </c>
      <c r="O860" t="n">
        <v>0</v>
      </c>
      <c r="P860" t="n">
        <v>0</v>
      </c>
      <c r="Q860" t="n">
        <v>0</v>
      </c>
      <c r="R860" s="2" t="inlineStr"/>
    </row>
    <row r="861" ht="15" customHeight="1">
      <c r="A861" t="inlineStr">
        <is>
          <t>A 27122-2023</t>
        </is>
      </c>
      <c r="B861" s="1" t="n">
        <v>45096.45247685185</v>
      </c>
      <c r="C861" s="1" t="n">
        <v>46161</v>
      </c>
      <c r="D861" t="inlineStr">
        <is>
          <t>KALMAR LÄN</t>
        </is>
      </c>
      <c r="E861" t="inlineStr">
        <is>
          <t>VIMMERBY</t>
        </is>
      </c>
      <c r="G861" t="n">
        <v>1.7</v>
      </c>
      <c r="H861" t="n">
        <v>0</v>
      </c>
      <c r="I861" t="n">
        <v>0</v>
      </c>
      <c r="J861" t="n">
        <v>0</v>
      </c>
      <c r="K861" t="n">
        <v>0</v>
      </c>
      <c r="L861" t="n">
        <v>0</v>
      </c>
      <c r="M861" t="n">
        <v>0</v>
      </c>
      <c r="N861" t="n">
        <v>0</v>
      </c>
      <c r="O861" t="n">
        <v>0</v>
      </c>
      <c r="P861" t="n">
        <v>0</v>
      </c>
      <c r="Q861" t="n">
        <v>0</v>
      </c>
      <c r="R861" s="2" t="inlineStr"/>
    </row>
    <row r="862" ht="15" customHeight="1">
      <c r="A862" t="inlineStr">
        <is>
          <t>A 13813-2024</t>
        </is>
      </c>
      <c r="B862" s="1" t="n">
        <v>45391.41310185185</v>
      </c>
      <c r="C862" s="1" t="n">
        <v>46161</v>
      </c>
      <c r="D862" t="inlineStr">
        <is>
          <t>KALMAR LÄN</t>
        </is>
      </c>
      <c r="E862" t="inlineStr">
        <is>
          <t>VIMMERBY</t>
        </is>
      </c>
      <c r="G862" t="n">
        <v>0.4</v>
      </c>
      <c r="H862" t="n">
        <v>0</v>
      </c>
      <c r="I862" t="n">
        <v>0</v>
      </c>
      <c r="J862" t="n">
        <v>0</v>
      </c>
      <c r="K862" t="n">
        <v>0</v>
      </c>
      <c r="L862" t="n">
        <v>0</v>
      </c>
      <c r="M862" t="n">
        <v>0</v>
      </c>
      <c r="N862" t="n">
        <v>0</v>
      </c>
      <c r="O862" t="n">
        <v>0</v>
      </c>
      <c r="P862" t="n">
        <v>0</v>
      </c>
      <c r="Q862" t="n">
        <v>0</v>
      </c>
      <c r="R862" s="2" t="inlineStr"/>
    </row>
    <row r="863" ht="15" customHeight="1">
      <c r="A863" t="inlineStr">
        <is>
          <t>A 38969-2023</t>
        </is>
      </c>
      <c r="B863" s="1" t="n">
        <v>45163.63621527778</v>
      </c>
      <c r="C863" s="1" t="n">
        <v>46161</v>
      </c>
      <c r="D863" t="inlineStr">
        <is>
          <t>KALMAR LÄN</t>
        </is>
      </c>
      <c r="E863" t="inlineStr">
        <is>
          <t>VIMMERBY</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26937-2023</t>
        </is>
      </c>
      <c r="B864" s="1" t="n">
        <v>45093.62777777778</v>
      </c>
      <c r="C864" s="1" t="n">
        <v>46161</v>
      </c>
      <c r="D864" t="inlineStr">
        <is>
          <t>KALMAR LÄN</t>
        </is>
      </c>
      <c r="E864" t="inlineStr">
        <is>
          <t>VIMMERBY</t>
        </is>
      </c>
      <c r="F864" t="inlineStr">
        <is>
          <t>Sveaskog</t>
        </is>
      </c>
      <c r="G864" t="n">
        <v>14.5</v>
      </c>
      <c r="H864" t="n">
        <v>0</v>
      </c>
      <c r="I864" t="n">
        <v>0</v>
      </c>
      <c r="J864" t="n">
        <v>0</v>
      </c>
      <c r="K864" t="n">
        <v>0</v>
      </c>
      <c r="L864" t="n">
        <v>0</v>
      </c>
      <c r="M864" t="n">
        <v>0</v>
      </c>
      <c r="N864" t="n">
        <v>0</v>
      </c>
      <c r="O864" t="n">
        <v>0</v>
      </c>
      <c r="P864" t="n">
        <v>0</v>
      </c>
      <c r="Q864" t="n">
        <v>0</v>
      </c>
      <c r="R864" s="2" t="inlineStr"/>
    </row>
    <row r="865" ht="15" customHeight="1">
      <c r="A865" t="inlineStr">
        <is>
          <t>A 57486-2024</t>
        </is>
      </c>
      <c r="B865" s="1" t="n">
        <v>45630.35827546296</v>
      </c>
      <c r="C865" s="1" t="n">
        <v>46161</v>
      </c>
      <c r="D865" t="inlineStr">
        <is>
          <t>KALMAR LÄN</t>
        </is>
      </c>
      <c r="E865" t="inlineStr">
        <is>
          <t>VIMMERBY</t>
        </is>
      </c>
      <c r="G865" t="n">
        <v>0.4</v>
      </c>
      <c r="H865" t="n">
        <v>0</v>
      </c>
      <c r="I865" t="n">
        <v>0</v>
      </c>
      <c r="J865" t="n">
        <v>0</v>
      </c>
      <c r="K865" t="n">
        <v>0</v>
      </c>
      <c r="L865" t="n">
        <v>0</v>
      </c>
      <c r="M865" t="n">
        <v>0</v>
      </c>
      <c r="N865" t="n">
        <v>0</v>
      </c>
      <c r="O865" t="n">
        <v>0</v>
      </c>
      <c r="P865" t="n">
        <v>0</v>
      </c>
      <c r="Q865" t="n">
        <v>0</v>
      </c>
      <c r="R865" s="2" t="inlineStr"/>
    </row>
    <row r="866" ht="15" customHeight="1">
      <c r="A866" t="inlineStr">
        <is>
          <t>A 43186-2021</t>
        </is>
      </c>
      <c r="B866" s="1" t="n">
        <v>44431.84840277778</v>
      </c>
      <c r="C866" s="1" t="n">
        <v>46161</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1799-2025</t>
        </is>
      </c>
      <c r="B867" s="1" t="n">
        <v>45671.46746527778</v>
      </c>
      <c r="C867" s="1" t="n">
        <v>46161</v>
      </c>
      <c r="D867" t="inlineStr">
        <is>
          <t>KALMAR LÄN</t>
        </is>
      </c>
      <c r="E867" t="inlineStr">
        <is>
          <t>VIMMERBY</t>
        </is>
      </c>
      <c r="G867" t="n">
        <v>3.3</v>
      </c>
      <c r="H867" t="n">
        <v>0</v>
      </c>
      <c r="I867" t="n">
        <v>0</v>
      </c>
      <c r="J867" t="n">
        <v>0</v>
      </c>
      <c r="K867" t="n">
        <v>0</v>
      </c>
      <c r="L867" t="n">
        <v>0</v>
      </c>
      <c r="M867" t="n">
        <v>0</v>
      </c>
      <c r="N867" t="n">
        <v>0</v>
      </c>
      <c r="O867" t="n">
        <v>0</v>
      </c>
      <c r="P867" t="n">
        <v>0</v>
      </c>
      <c r="Q867" t="n">
        <v>0</v>
      </c>
      <c r="R867" s="2" t="inlineStr"/>
    </row>
    <row r="868" ht="15" customHeight="1">
      <c r="A868" t="inlineStr">
        <is>
          <t>A 30063-2023</t>
        </is>
      </c>
      <c r="B868" s="1" t="n">
        <v>45110.4184375</v>
      </c>
      <c r="C868" s="1" t="n">
        <v>46161</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43068-2023</t>
        </is>
      </c>
      <c r="B869" s="1" t="n">
        <v>45182.78834490741</v>
      </c>
      <c r="C869" s="1" t="n">
        <v>46161</v>
      </c>
      <c r="D869" t="inlineStr">
        <is>
          <t>KALMAR LÄN</t>
        </is>
      </c>
      <c r="E869" t="inlineStr">
        <is>
          <t>VIMMERBY</t>
        </is>
      </c>
      <c r="G869" t="n">
        <v>1.5</v>
      </c>
      <c r="H869" t="n">
        <v>0</v>
      </c>
      <c r="I869" t="n">
        <v>0</v>
      </c>
      <c r="J869" t="n">
        <v>0</v>
      </c>
      <c r="K869" t="n">
        <v>0</v>
      </c>
      <c r="L869" t="n">
        <v>0</v>
      </c>
      <c r="M869" t="n">
        <v>0</v>
      </c>
      <c r="N869" t="n">
        <v>0</v>
      </c>
      <c r="O869" t="n">
        <v>0</v>
      </c>
      <c r="P869" t="n">
        <v>0</v>
      </c>
      <c r="Q869" t="n">
        <v>0</v>
      </c>
      <c r="R869" s="2" t="inlineStr"/>
    </row>
    <row r="870" ht="15" customHeight="1">
      <c r="A870" t="inlineStr">
        <is>
          <t>A 18020-2025</t>
        </is>
      </c>
      <c r="B870" s="1" t="n">
        <v>45761.4437962963</v>
      </c>
      <c r="C870" s="1" t="n">
        <v>46161</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33424-2023</t>
        </is>
      </c>
      <c r="B871" s="1" t="n">
        <v>45128.9325</v>
      </c>
      <c r="C871" s="1" t="n">
        <v>46161</v>
      </c>
      <c r="D871" t="inlineStr">
        <is>
          <t>KALMAR LÄN</t>
        </is>
      </c>
      <c r="E871" t="inlineStr">
        <is>
          <t>VIMMERBY</t>
        </is>
      </c>
      <c r="G871" t="n">
        <v>2.4</v>
      </c>
      <c r="H871" t="n">
        <v>0</v>
      </c>
      <c r="I871" t="n">
        <v>0</v>
      </c>
      <c r="J871" t="n">
        <v>0</v>
      </c>
      <c r="K871" t="n">
        <v>0</v>
      </c>
      <c r="L871" t="n">
        <v>0</v>
      </c>
      <c r="M871" t="n">
        <v>0</v>
      </c>
      <c r="N871" t="n">
        <v>0</v>
      </c>
      <c r="O871" t="n">
        <v>0</v>
      </c>
      <c r="P871" t="n">
        <v>0</v>
      </c>
      <c r="Q871" t="n">
        <v>0</v>
      </c>
      <c r="R871" s="2" t="inlineStr"/>
    </row>
    <row r="872" ht="15" customHeight="1">
      <c r="A872" t="inlineStr">
        <is>
          <t>A 33425-2023</t>
        </is>
      </c>
      <c r="B872" s="1" t="n">
        <v>45128.93540509259</v>
      </c>
      <c r="C872" s="1" t="n">
        <v>46161</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12327-2023</t>
        </is>
      </c>
      <c r="B873" s="1" t="n">
        <v>44999.36081018519</v>
      </c>
      <c r="C873" s="1" t="n">
        <v>46161</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43092-2024</t>
        </is>
      </c>
      <c r="B874" s="1" t="n">
        <v>45567</v>
      </c>
      <c r="C874" s="1" t="n">
        <v>46161</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52435-2021</t>
        </is>
      </c>
      <c r="B875" s="1" t="n">
        <v>44466.34962962963</v>
      </c>
      <c r="C875" s="1" t="n">
        <v>46161</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35127-2024</t>
        </is>
      </c>
      <c r="B876" s="1" t="n">
        <v>45530.33202546297</v>
      </c>
      <c r="C876" s="1" t="n">
        <v>46161</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60215-2022</t>
        </is>
      </c>
      <c r="B877" s="1" t="n">
        <v>44910.41346064815</v>
      </c>
      <c r="C877" s="1" t="n">
        <v>46161</v>
      </c>
      <c r="D877" t="inlineStr">
        <is>
          <t>KALMAR LÄN</t>
        </is>
      </c>
      <c r="E877" t="inlineStr">
        <is>
          <t>VIMMERBY</t>
        </is>
      </c>
      <c r="G877" t="n">
        <v>1.1</v>
      </c>
      <c r="H877" t="n">
        <v>0</v>
      </c>
      <c r="I877" t="n">
        <v>0</v>
      </c>
      <c r="J877" t="n">
        <v>0</v>
      </c>
      <c r="K877" t="n">
        <v>0</v>
      </c>
      <c r="L877" t="n">
        <v>0</v>
      </c>
      <c r="M877" t="n">
        <v>0</v>
      </c>
      <c r="N877" t="n">
        <v>0</v>
      </c>
      <c r="O877" t="n">
        <v>0</v>
      </c>
      <c r="P877" t="n">
        <v>0</v>
      </c>
      <c r="Q877" t="n">
        <v>0</v>
      </c>
      <c r="R877" s="2" t="inlineStr"/>
    </row>
    <row r="878" ht="15" customHeight="1">
      <c r="A878" t="inlineStr">
        <is>
          <t>A 29441-2024</t>
        </is>
      </c>
      <c r="B878" s="1" t="n">
        <v>45483.82834490741</v>
      </c>
      <c r="C878" s="1" t="n">
        <v>46161</v>
      </c>
      <c r="D878" t="inlineStr">
        <is>
          <t>KALMAR LÄN</t>
        </is>
      </c>
      <c r="E878" t="inlineStr">
        <is>
          <t>VIMMERBY</t>
        </is>
      </c>
      <c r="G878" t="n">
        <v>1.3</v>
      </c>
      <c r="H878" t="n">
        <v>0</v>
      </c>
      <c r="I878" t="n">
        <v>0</v>
      </c>
      <c r="J878" t="n">
        <v>0</v>
      </c>
      <c r="K878" t="n">
        <v>0</v>
      </c>
      <c r="L878" t="n">
        <v>0</v>
      </c>
      <c r="M878" t="n">
        <v>0</v>
      </c>
      <c r="N878" t="n">
        <v>0</v>
      </c>
      <c r="O878" t="n">
        <v>0</v>
      </c>
      <c r="P878" t="n">
        <v>0</v>
      </c>
      <c r="Q878" t="n">
        <v>0</v>
      </c>
      <c r="R878" s="2" t="inlineStr"/>
    </row>
    <row r="879" ht="15" customHeight="1">
      <c r="A879" t="inlineStr">
        <is>
          <t>A 6216-2025</t>
        </is>
      </c>
      <c r="B879" s="1" t="n">
        <v>45698.52806712963</v>
      </c>
      <c r="C879" s="1" t="n">
        <v>46161</v>
      </c>
      <c r="D879" t="inlineStr">
        <is>
          <t>KALMAR LÄN</t>
        </is>
      </c>
      <c r="E879" t="inlineStr">
        <is>
          <t>VIMMERBY</t>
        </is>
      </c>
      <c r="G879" t="n">
        <v>1.2</v>
      </c>
      <c r="H879" t="n">
        <v>0</v>
      </c>
      <c r="I879" t="n">
        <v>0</v>
      </c>
      <c r="J879" t="n">
        <v>0</v>
      </c>
      <c r="K879" t="n">
        <v>0</v>
      </c>
      <c r="L879" t="n">
        <v>0</v>
      </c>
      <c r="M879" t="n">
        <v>0</v>
      </c>
      <c r="N879" t="n">
        <v>0</v>
      </c>
      <c r="O879" t="n">
        <v>0</v>
      </c>
      <c r="P879" t="n">
        <v>0</v>
      </c>
      <c r="Q879" t="n">
        <v>0</v>
      </c>
      <c r="R879" s="2" t="inlineStr"/>
    </row>
    <row r="880" ht="15" customHeight="1">
      <c r="A880" t="inlineStr">
        <is>
          <t>A 62779-2023</t>
        </is>
      </c>
      <c r="B880" s="1" t="n">
        <v>45271.66576388889</v>
      </c>
      <c r="C880" s="1" t="n">
        <v>46161</v>
      </c>
      <c r="D880" t="inlineStr">
        <is>
          <t>KALMAR LÄN</t>
        </is>
      </c>
      <c r="E880" t="inlineStr">
        <is>
          <t>VIMMERBY</t>
        </is>
      </c>
      <c r="G880" t="n">
        <v>1.1</v>
      </c>
      <c r="H880" t="n">
        <v>0</v>
      </c>
      <c r="I880" t="n">
        <v>0</v>
      </c>
      <c r="J880" t="n">
        <v>0</v>
      </c>
      <c r="K880" t="n">
        <v>0</v>
      </c>
      <c r="L880" t="n">
        <v>0</v>
      </c>
      <c r="M880" t="n">
        <v>0</v>
      </c>
      <c r="N880" t="n">
        <v>0</v>
      </c>
      <c r="O880" t="n">
        <v>0</v>
      </c>
      <c r="P880" t="n">
        <v>0</v>
      </c>
      <c r="Q880" t="n">
        <v>0</v>
      </c>
      <c r="R880" s="2" t="inlineStr"/>
    </row>
    <row r="881" ht="15" customHeight="1">
      <c r="A881" t="inlineStr">
        <is>
          <t>A 52294-2023</t>
        </is>
      </c>
      <c r="B881" s="1" t="n">
        <v>45224.60075231481</v>
      </c>
      <c r="C881" s="1" t="n">
        <v>46161</v>
      </c>
      <c r="D881" t="inlineStr">
        <is>
          <t>KALMAR LÄN</t>
        </is>
      </c>
      <c r="E881" t="inlineStr">
        <is>
          <t>VIMMERBY</t>
        </is>
      </c>
      <c r="F881" t="inlineStr">
        <is>
          <t>Sveaskog</t>
        </is>
      </c>
      <c r="G881" t="n">
        <v>2.5</v>
      </c>
      <c r="H881" t="n">
        <v>0</v>
      </c>
      <c r="I881" t="n">
        <v>0</v>
      </c>
      <c r="J881" t="n">
        <v>0</v>
      </c>
      <c r="K881" t="n">
        <v>0</v>
      </c>
      <c r="L881" t="n">
        <v>0</v>
      </c>
      <c r="M881" t="n">
        <v>0</v>
      </c>
      <c r="N881" t="n">
        <v>0</v>
      </c>
      <c r="O881" t="n">
        <v>0</v>
      </c>
      <c r="P881" t="n">
        <v>0</v>
      </c>
      <c r="Q881" t="n">
        <v>0</v>
      </c>
      <c r="R881" s="2" t="inlineStr"/>
    </row>
    <row r="882" ht="15" customHeight="1">
      <c r="A882" t="inlineStr">
        <is>
          <t>A 31013-2023</t>
        </is>
      </c>
      <c r="B882" s="1" t="n">
        <v>45113.56574074074</v>
      </c>
      <c r="C882" s="1" t="n">
        <v>46161</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72067-2021</t>
        </is>
      </c>
      <c r="B883" s="1" t="n">
        <v>44540</v>
      </c>
      <c r="C883" s="1" t="n">
        <v>46161</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61538-2022</t>
        </is>
      </c>
      <c r="B884" s="1" t="n">
        <v>44916.55414351852</v>
      </c>
      <c r="C884" s="1" t="n">
        <v>46161</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36155-2023</t>
        </is>
      </c>
      <c r="B885" s="1" t="n">
        <v>45149.60917824074</v>
      </c>
      <c r="C885" s="1" t="n">
        <v>46161</v>
      </c>
      <c r="D885" t="inlineStr">
        <is>
          <t>KALMAR LÄN</t>
        </is>
      </c>
      <c r="E885" t="inlineStr">
        <is>
          <t>VIMMERBY</t>
        </is>
      </c>
      <c r="G885" t="n">
        <v>5</v>
      </c>
      <c r="H885" t="n">
        <v>0</v>
      </c>
      <c r="I885" t="n">
        <v>0</v>
      </c>
      <c r="J885" t="n">
        <v>0</v>
      </c>
      <c r="K885" t="n">
        <v>0</v>
      </c>
      <c r="L885" t="n">
        <v>0</v>
      </c>
      <c r="M885" t="n">
        <v>0</v>
      </c>
      <c r="N885" t="n">
        <v>0</v>
      </c>
      <c r="O885" t="n">
        <v>0</v>
      </c>
      <c r="P885" t="n">
        <v>0</v>
      </c>
      <c r="Q885" t="n">
        <v>0</v>
      </c>
      <c r="R885" s="2" t="inlineStr"/>
    </row>
    <row r="886" ht="15" customHeight="1">
      <c r="A886" t="inlineStr">
        <is>
          <t>A 29173-2024</t>
        </is>
      </c>
      <c r="B886" s="1" t="n">
        <v>45482.52887731481</v>
      </c>
      <c r="C886" s="1" t="n">
        <v>46161</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53542-2022</t>
        </is>
      </c>
      <c r="B887" s="1" t="n">
        <v>44879.62173611111</v>
      </c>
      <c r="C887" s="1" t="n">
        <v>46161</v>
      </c>
      <c r="D887" t="inlineStr">
        <is>
          <t>KALMAR LÄN</t>
        </is>
      </c>
      <c r="E887" t="inlineStr">
        <is>
          <t>VIMMERBY</t>
        </is>
      </c>
      <c r="G887" t="n">
        <v>2.6</v>
      </c>
      <c r="H887" t="n">
        <v>0</v>
      </c>
      <c r="I887" t="n">
        <v>0</v>
      </c>
      <c r="J887" t="n">
        <v>0</v>
      </c>
      <c r="K887" t="n">
        <v>0</v>
      </c>
      <c r="L887" t="n">
        <v>0</v>
      </c>
      <c r="M887" t="n">
        <v>0</v>
      </c>
      <c r="N887" t="n">
        <v>0</v>
      </c>
      <c r="O887" t="n">
        <v>0</v>
      </c>
      <c r="P887" t="n">
        <v>0</v>
      </c>
      <c r="Q887" t="n">
        <v>0</v>
      </c>
      <c r="R887" s="2" t="inlineStr"/>
    </row>
    <row r="888" ht="15" customHeight="1">
      <c r="A888" t="inlineStr">
        <is>
          <t>A 6807-2025</t>
        </is>
      </c>
      <c r="B888" s="1" t="n">
        <v>45700.68672453704</v>
      </c>
      <c r="C888" s="1" t="n">
        <v>46161</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7047-2022</t>
        </is>
      </c>
      <c r="B889" s="1" t="n">
        <v>44603</v>
      </c>
      <c r="C889" s="1" t="n">
        <v>46161</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35711-2023</t>
        </is>
      </c>
      <c r="B890" s="1" t="n">
        <v>45147.67172453704</v>
      </c>
      <c r="C890" s="1" t="n">
        <v>46161</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5382-2023</t>
        </is>
      </c>
      <c r="B891" s="1" t="n">
        <v>44959.66407407408</v>
      </c>
      <c r="C891" s="1" t="n">
        <v>46161</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40823-2023</t>
        </is>
      </c>
      <c r="B892" s="1" t="n">
        <v>45171.77335648148</v>
      </c>
      <c r="C892" s="1" t="n">
        <v>46161</v>
      </c>
      <c r="D892" t="inlineStr">
        <is>
          <t>KALMAR LÄN</t>
        </is>
      </c>
      <c r="E892" t="inlineStr">
        <is>
          <t>VIMMERBY</t>
        </is>
      </c>
      <c r="G892" t="n">
        <v>2.7</v>
      </c>
      <c r="H892" t="n">
        <v>0</v>
      </c>
      <c r="I892" t="n">
        <v>0</v>
      </c>
      <c r="J892" t="n">
        <v>0</v>
      </c>
      <c r="K892" t="n">
        <v>0</v>
      </c>
      <c r="L892" t="n">
        <v>0</v>
      </c>
      <c r="M892" t="n">
        <v>0</v>
      </c>
      <c r="N892" t="n">
        <v>0</v>
      </c>
      <c r="O892" t="n">
        <v>0</v>
      </c>
      <c r="P892" t="n">
        <v>0</v>
      </c>
      <c r="Q892" t="n">
        <v>0</v>
      </c>
      <c r="R892" s="2" t="inlineStr"/>
    </row>
    <row r="893" ht="15" customHeight="1">
      <c r="A893" t="inlineStr">
        <is>
          <t>A 6218-2025</t>
        </is>
      </c>
      <c r="B893" s="1" t="n">
        <v>45698.53336805556</v>
      </c>
      <c r="C893" s="1" t="n">
        <v>46161</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30920-2023</t>
        </is>
      </c>
      <c r="B894" s="1" t="n">
        <v>45113.43921296296</v>
      </c>
      <c r="C894" s="1" t="n">
        <v>46161</v>
      </c>
      <c r="D894" t="inlineStr">
        <is>
          <t>KALMAR LÄN</t>
        </is>
      </c>
      <c r="E894" t="inlineStr">
        <is>
          <t>VIMMERBY</t>
        </is>
      </c>
      <c r="G894" t="n">
        <v>3.1</v>
      </c>
      <c r="H894" t="n">
        <v>0</v>
      </c>
      <c r="I894" t="n">
        <v>0</v>
      </c>
      <c r="J894" t="n">
        <v>0</v>
      </c>
      <c r="K894" t="n">
        <v>0</v>
      </c>
      <c r="L894" t="n">
        <v>0</v>
      </c>
      <c r="M894" t="n">
        <v>0</v>
      </c>
      <c r="N894" t="n">
        <v>0</v>
      </c>
      <c r="O894" t="n">
        <v>0</v>
      </c>
      <c r="P894" t="n">
        <v>0</v>
      </c>
      <c r="Q894" t="n">
        <v>0</v>
      </c>
      <c r="R894" s="2" t="inlineStr"/>
    </row>
    <row r="895" ht="15" customHeight="1">
      <c r="A895" t="inlineStr">
        <is>
          <t>A 6857-2023</t>
        </is>
      </c>
      <c r="B895" s="1" t="n">
        <v>44967.45122685185</v>
      </c>
      <c r="C895" s="1" t="n">
        <v>46161</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5792-2023</t>
        </is>
      </c>
      <c r="B896" s="1" t="n">
        <v>44963.44769675926</v>
      </c>
      <c r="C896" s="1" t="n">
        <v>46161</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10303-2025</t>
        </is>
      </c>
      <c r="B897" s="1" t="n">
        <v>45720.44217592593</v>
      </c>
      <c r="C897" s="1" t="n">
        <v>46161</v>
      </c>
      <c r="D897" t="inlineStr">
        <is>
          <t>KALMAR LÄN</t>
        </is>
      </c>
      <c r="E897" t="inlineStr">
        <is>
          <t>VIMMERBY</t>
        </is>
      </c>
      <c r="G897" t="n">
        <v>0.9</v>
      </c>
      <c r="H897" t="n">
        <v>0</v>
      </c>
      <c r="I897" t="n">
        <v>0</v>
      </c>
      <c r="J897" t="n">
        <v>0</v>
      </c>
      <c r="K897" t="n">
        <v>0</v>
      </c>
      <c r="L897" t="n">
        <v>0</v>
      </c>
      <c r="M897" t="n">
        <v>0</v>
      </c>
      <c r="N897" t="n">
        <v>0</v>
      </c>
      <c r="O897" t="n">
        <v>0</v>
      </c>
      <c r="P897" t="n">
        <v>0</v>
      </c>
      <c r="Q897" t="n">
        <v>0</v>
      </c>
      <c r="R897" s="2" t="inlineStr"/>
    </row>
    <row r="898" ht="15" customHeight="1">
      <c r="A898" t="inlineStr">
        <is>
          <t>A 60110-2022</t>
        </is>
      </c>
      <c r="B898" s="1" t="n">
        <v>44909</v>
      </c>
      <c r="C898" s="1" t="n">
        <v>46161</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15394-2025</t>
        </is>
      </c>
      <c r="B899" s="1" t="n">
        <v>45747.43196759259</v>
      </c>
      <c r="C899" s="1" t="n">
        <v>46161</v>
      </c>
      <c r="D899" t="inlineStr">
        <is>
          <t>KALMAR LÄN</t>
        </is>
      </c>
      <c r="E899" t="inlineStr">
        <is>
          <t>VIMMERBY</t>
        </is>
      </c>
      <c r="G899" t="n">
        <v>0.8</v>
      </c>
      <c r="H899" t="n">
        <v>0</v>
      </c>
      <c r="I899" t="n">
        <v>0</v>
      </c>
      <c r="J899" t="n">
        <v>0</v>
      </c>
      <c r="K899" t="n">
        <v>0</v>
      </c>
      <c r="L899" t="n">
        <v>0</v>
      </c>
      <c r="M899" t="n">
        <v>0</v>
      </c>
      <c r="N899" t="n">
        <v>0</v>
      </c>
      <c r="O899" t="n">
        <v>0</v>
      </c>
      <c r="P899" t="n">
        <v>0</v>
      </c>
      <c r="Q899" t="n">
        <v>0</v>
      </c>
      <c r="R899" s="2" t="inlineStr"/>
    </row>
    <row r="900" ht="15" customHeight="1">
      <c r="A900" t="inlineStr">
        <is>
          <t>A 15388-2025</t>
        </is>
      </c>
      <c r="B900" s="1" t="n">
        <v>45747.42633101852</v>
      </c>
      <c r="C900" s="1" t="n">
        <v>46161</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15391-2025</t>
        </is>
      </c>
      <c r="B901" s="1" t="n">
        <v>45747.42958333333</v>
      </c>
      <c r="C901" s="1" t="n">
        <v>46161</v>
      </c>
      <c r="D901" t="inlineStr">
        <is>
          <t>KALMAR LÄN</t>
        </is>
      </c>
      <c r="E901" t="inlineStr">
        <is>
          <t>VIMMERBY</t>
        </is>
      </c>
      <c r="G901" t="n">
        <v>1.1</v>
      </c>
      <c r="H901" t="n">
        <v>0</v>
      </c>
      <c r="I901" t="n">
        <v>0</v>
      </c>
      <c r="J901" t="n">
        <v>0</v>
      </c>
      <c r="K901" t="n">
        <v>0</v>
      </c>
      <c r="L901" t="n">
        <v>0</v>
      </c>
      <c r="M901" t="n">
        <v>0</v>
      </c>
      <c r="N901" t="n">
        <v>0</v>
      </c>
      <c r="O901" t="n">
        <v>0</v>
      </c>
      <c r="P901" t="n">
        <v>0</v>
      </c>
      <c r="Q901" t="n">
        <v>0</v>
      </c>
      <c r="R901" s="2" t="inlineStr"/>
    </row>
    <row r="902" ht="15" customHeight="1">
      <c r="A902" t="inlineStr">
        <is>
          <t>A 6474-2025</t>
        </is>
      </c>
      <c r="B902" s="1" t="n">
        <v>45699.60055555555</v>
      </c>
      <c r="C902" s="1" t="n">
        <v>46161</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32919-2022</t>
        </is>
      </c>
      <c r="B903" s="1" t="n">
        <v>44784.62724537037</v>
      </c>
      <c r="C903" s="1" t="n">
        <v>46161</v>
      </c>
      <c r="D903" t="inlineStr">
        <is>
          <t>KALMAR LÄN</t>
        </is>
      </c>
      <c r="E903" t="inlineStr">
        <is>
          <t>VIMMERBY</t>
        </is>
      </c>
      <c r="G903" t="n">
        <v>1.7</v>
      </c>
      <c r="H903" t="n">
        <v>0</v>
      </c>
      <c r="I903" t="n">
        <v>0</v>
      </c>
      <c r="J903" t="n">
        <v>0</v>
      </c>
      <c r="K903" t="n">
        <v>0</v>
      </c>
      <c r="L903" t="n">
        <v>0</v>
      </c>
      <c r="M903" t="n">
        <v>0</v>
      </c>
      <c r="N903" t="n">
        <v>0</v>
      </c>
      <c r="O903" t="n">
        <v>0</v>
      </c>
      <c r="P903" t="n">
        <v>0</v>
      </c>
      <c r="Q903" t="n">
        <v>0</v>
      </c>
      <c r="R903" s="2" t="inlineStr"/>
    </row>
    <row r="904" ht="15" customHeight="1">
      <c r="A904" t="inlineStr">
        <is>
          <t>A 56659-2023</t>
        </is>
      </c>
      <c r="B904" s="1" t="n">
        <v>45243.84869212963</v>
      </c>
      <c r="C904" s="1" t="n">
        <v>46161</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13015-2022</t>
        </is>
      </c>
      <c r="B905" s="1" t="n">
        <v>44643</v>
      </c>
      <c r="C905" s="1" t="n">
        <v>46161</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17968-2025</t>
        </is>
      </c>
      <c r="B906" s="1" t="n">
        <v>45761.35990740741</v>
      </c>
      <c r="C906" s="1" t="n">
        <v>46161</v>
      </c>
      <c r="D906" t="inlineStr">
        <is>
          <t>KALMAR LÄN</t>
        </is>
      </c>
      <c r="E906" t="inlineStr">
        <is>
          <t>VIMMERBY</t>
        </is>
      </c>
      <c r="G906" t="n">
        <v>3.3</v>
      </c>
      <c r="H906" t="n">
        <v>0</v>
      </c>
      <c r="I906" t="n">
        <v>0</v>
      </c>
      <c r="J906" t="n">
        <v>0</v>
      </c>
      <c r="K906" t="n">
        <v>0</v>
      </c>
      <c r="L906" t="n">
        <v>0</v>
      </c>
      <c r="M906" t="n">
        <v>0</v>
      </c>
      <c r="N906" t="n">
        <v>0</v>
      </c>
      <c r="O906" t="n">
        <v>0</v>
      </c>
      <c r="P906" t="n">
        <v>0</v>
      </c>
      <c r="Q906" t="n">
        <v>0</v>
      </c>
      <c r="R906" s="2" t="inlineStr"/>
    </row>
    <row r="907" ht="15" customHeight="1">
      <c r="A907" t="inlineStr">
        <is>
          <t>A 6028-2023</t>
        </is>
      </c>
      <c r="B907" s="1" t="n">
        <v>44964.44356481481</v>
      </c>
      <c r="C907" s="1" t="n">
        <v>46161</v>
      </c>
      <c r="D907" t="inlineStr">
        <is>
          <t>KALMAR LÄN</t>
        </is>
      </c>
      <c r="E907" t="inlineStr">
        <is>
          <t>VIMMERBY</t>
        </is>
      </c>
      <c r="G907" t="n">
        <v>2.5</v>
      </c>
      <c r="H907" t="n">
        <v>0</v>
      </c>
      <c r="I907" t="n">
        <v>0</v>
      </c>
      <c r="J907" t="n">
        <v>0</v>
      </c>
      <c r="K907" t="n">
        <v>0</v>
      </c>
      <c r="L907" t="n">
        <v>0</v>
      </c>
      <c r="M907" t="n">
        <v>0</v>
      </c>
      <c r="N907" t="n">
        <v>0</v>
      </c>
      <c r="O907" t="n">
        <v>0</v>
      </c>
      <c r="P907" t="n">
        <v>0</v>
      </c>
      <c r="Q907" t="n">
        <v>0</v>
      </c>
      <c r="R907" s="2" t="inlineStr"/>
    </row>
    <row r="908" ht="15" customHeight="1">
      <c r="A908" t="inlineStr">
        <is>
          <t>A 55436-2023</t>
        </is>
      </c>
      <c r="B908" s="1" t="n">
        <v>45238.4328587963</v>
      </c>
      <c r="C908" s="1" t="n">
        <v>46161</v>
      </c>
      <c r="D908" t="inlineStr">
        <is>
          <t>KALMAR LÄN</t>
        </is>
      </c>
      <c r="E908" t="inlineStr">
        <is>
          <t>VIMMERBY</t>
        </is>
      </c>
      <c r="G908" t="n">
        <v>5.6</v>
      </c>
      <c r="H908" t="n">
        <v>0</v>
      </c>
      <c r="I908" t="n">
        <v>0</v>
      </c>
      <c r="J908" t="n">
        <v>0</v>
      </c>
      <c r="K908" t="n">
        <v>0</v>
      </c>
      <c r="L908" t="n">
        <v>0</v>
      </c>
      <c r="M908" t="n">
        <v>0</v>
      </c>
      <c r="N908" t="n">
        <v>0</v>
      </c>
      <c r="O908" t="n">
        <v>0</v>
      </c>
      <c r="P908" t="n">
        <v>0</v>
      </c>
      <c r="Q908" t="n">
        <v>0</v>
      </c>
      <c r="R908" s="2" t="inlineStr"/>
    </row>
    <row r="909" ht="15" customHeight="1">
      <c r="A909" t="inlineStr">
        <is>
          <t>A 56582-2022</t>
        </is>
      </c>
      <c r="B909" s="1" t="n">
        <v>44893</v>
      </c>
      <c r="C909" s="1" t="n">
        <v>46161</v>
      </c>
      <c r="D909" t="inlineStr">
        <is>
          <t>KALMAR LÄN</t>
        </is>
      </c>
      <c r="E909" t="inlineStr">
        <is>
          <t>VIMMERBY</t>
        </is>
      </c>
      <c r="G909" t="n">
        <v>2.2</v>
      </c>
      <c r="H909" t="n">
        <v>0</v>
      </c>
      <c r="I909" t="n">
        <v>0</v>
      </c>
      <c r="J909" t="n">
        <v>0</v>
      </c>
      <c r="K909" t="n">
        <v>0</v>
      </c>
      <c r="L909" t="n">
        <v>0</v>
      </c>
      <c r="M909" t="n">
        <v>0</v>
      </c>
      <c r="N909" t="n">
        <v>0</v>
      </c>
      <c r="O909" t="n">
        <v>0</v>
      </c>
      <c r="P909" t="n">
        <v>0</v>
      </c>
      <c r="Q909" t="n">
        <v>0</v>
      </c>
      <c r="R909" s="2" t="inlineStr"/>
    </row>
    <row r="910" ht="15" customHeight="1">
      <c r="A910" t="inlineStr">
        <is>
          <t>A 20-2025</t>
        </is>
      </c>
      <c r="B910" s="1" t="n">
        <v>45658.80232638889</v>
      </c>
      <c r="C910" s="1" t="n">
        <v>46161</v>
      </c>
      <c r="D910" t="inlineStr">
        <is>
          <t>KALMAR LÄN</t>
        </is>
      </c>
      <c r="E910" t="inlineStr">
        <is>
          <t>VIMMERBY</t>
        </is>
      </c>
      <c r="G910" t="n">
        <v>1.3</v>
      </c>
      <c r="H910" t="n">
        <v>0</v>
      </c>
      <c r="I910" t="n">
        <v>0</v>
      </c>
      <c r="J910" t="n">
        <v>0</v>
      </c>
      <c r="K910" t="n">
        <v>0</v>
      </c>
      <c r="L910" t="n">
        <v>0</v>
      </c>
      <c r="M910" t="n">
        <v>0</v>
      </c>
      <c r="N910" t="n">
        <v>0</v>
      </c>
      <c r="O910" t="n">
        <v>0</v>
      </c>
      <c r="P910" t="n">
        <v>0</v>
      </c>
      <c r="Q910" t="n">
        <v>0</v>
      </c>
      <c r="R910" s="2" t="inlineStr"/>
    </row>
    <row r="911" ht="15" customHeight="1">
      <c r="A911" t="inlineStr">
        <is>
          <t>A 23-2025</t>
        </is>
      </c>
      <c r="B911" s="1" t="n">
        <v>45658.80827546296</v>
      </c>
      <c r="C911" s="1" t="n">
        <v>46161</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43962-2024</t>
        </is>
      </c>
      <c r="B912" s="1" t="n">
        <v>45572.48293981481</v>
      </c>
      <c r="C912" s="1" t="n">
        <v>46161</v>
      </c>
      <c r="D912" t="inlineStr">
        <is>
          <t>KALMAR LÄN</t>
        </is>
      </c>
      <c r="E912" t="inlineStr">
        <is>
          <t>VIMMERBY</t>
        </is>
      </c>
      <c r="G912" t="n">
        <v>0.6</v>
      </c>
      <c r="H912" t="n">
        <v>0</v>
      </c>
      <c r="I912" t="n">
        <v>0</v>
      </c>
      <c r="J912" t="n">
        <v>0</v>
      </c>
      <c r="K912" t="n">
        <v>0</v>
      </c>
      <c r="L912" t="n">
        <v>0</v>
      </c>
      <c r="M912" t="n">
        <v>0</v>
      </c>
      <c r="N912" t="n">
        <v>0</v>
      </c>
      <c r="O912" t="n">
        <v>0</v>
      </c>
      <c r="P912" t="n">
        <v>0</v>
      </c>
      <c r="Q912" t="n">
        <v>0</v>
      </c>
      <c r="R912" s="2" t="inlineStr"/>
    </row>
    <row r="913" ht="15" customHeight="1">
      <c r="A913" t="inlineStr">
        <is>
          <t>A 35713-2023</t>
        </is>
      </c>
      <c r="B913" s="1" t="n">
        <v>45147</v>
      </c>
      <c r="C913" s="1" t="n">
        <v>46161</v>
      </c>
      <c r="D913" t="inlineStr">
        <is>
          <t>KALMAR LÄN</t>
        </is>
      </c>
      <c r="E913" t="inlineStr">
        <is>
          <t>VIMMERBY</t>
        </is>
      </c>
      <c r="G913" t="n">
        <v>1.6</v>
      </c>
      <c r="H913" t="n">
        <v>0</v>
      </c>
      <c r="I913" t="n">
        <v>0</v>
      </c>
      <c r="J913" t="n">
        <v>0</v>
      </c>
      <c r="K913" t="n">
        <v>0</v>
      </c>
      <c r="L913" t="n">
        <v>0</v>
      </c>
      <c r="M913" t="n">
        <v>0</v>
      </c>
      <c r="N913" t="n">
        <v>0</v>
      </c>
      <c r="O913" t="n">
        <v>0</v>
      </c>
      <c r="P913" t="n">
        <v>0</v>
      </c>
      <c r="Q913" t="n">
        <v>0</v>
      </c>
      <c r="R913" s="2" t="inlineStr"/>
    </row>
    <row r="914" ht="15" customHeight="1">
      <c r="A914" t="inlineStr">
        <is>
          <t>A 40147-2023</t>
        </is>
      </c>
      <c r="B914" s="1" t="n">
        <v>45169</v>
      </c>
      <c r="C914" s="1" t="n">
        <v>46161</v>
      </c>
      <c r="D914" t="inlineStr">
        <is>
          <t>KALMAR LÄN</t>
        </is>
      </c>
      <c r="E914" t="inlineStr">
        <is>
          <t>VIMMERBY</t>
        </is>
      </c>
      <c r="G914" t="n">
        <v>1.7</v>
      </c>
      <c r="H914" t="n">
        <v>0</v>
      </c>
      <c r="I914" t="n">
        <v>0</v>
      </c>
      <c r="J914" t="n">
        <v>0</v>
      </c>
      <c r="K914" t="n">
        <v>0</v>
      </c>
      <c r="L914" t="n">
        <v>0</v>
      </c>
      <c r="M914" t="n">
        <v>0</v>
      </c>
      <c r="N914" t="n">
        <v>0</v>
      </c>
      <c r="O914" t="n">
        <v>0</v>
      </c>
      <c r="P914" t="n">
        <v>0</v>
      </c>
      <c r="Q914" t="n">
        <v>0</v>
      </c>
      <c r="R914" s="2" t="inlineStr"/>
    </row>
    <row r="915" ht="15" customHeight="1">
      <c r="A915" t="inlineStr">
        <is>
          <t>A 50995-2022</t>
        </is>
      </c>
      <c r="B915" s="1" t="n">
        <v>44867</v>
      </c>
      <c r="C915" s="1" t="n">
        <v>46161</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27993-2022</t>
        </is>
      </c>
      <c r="B916" s="1" t="n">
        <v>44745.84396990741</v>
      </c>
      <c r="C916" s="1" t="n">
        <v>46161</v>
      </c>
      <c r="D916" t="inlineStr">
        <is>
          <t>KALMAR LÄN</t>
        </is>
      </c>
      <c r="E916" t="inlineStr">
        <is>
          <t>VIMMERBY</t>
        </is>
      </c>
      <c r="G916" t="n">
        <v>2.8</v>
      </c>
      <c r="H916" t="n">
        <v>0</v>
      </c>
      <c r="I916" t="n">
        <v>0</v>
      </c>
      <c r="J916" t="n">
        <v>0</v>
      </c>
      <c r="K916" t="n">
        <v>0</v>
      </c>
      <c r="L916" t="n">
        <v>0</v>
      </c>
      <c r="M916" t="n">
        <v>0</v>
      </c>
      <c r="N916" t="n">
        <v>0</v>
      </c>
      <c r="O916" t="n">
        <v>0</v>
      </c>
      <c r="P916" t="n">
        <v>0</v>
      </c>
      <c r="Q916" t="n">
        <v>0</v>
      </c>
      <c r="R916" s="2" t="inlineStr"/>
    </row>
    <row r="917" ht="15" customHeight="1">
      <c r="A917" t="inlineStr">
        <is>
          <t>A 57555-2024</t>
        </is>
      </c>
      <c r="B917" s="1" t="n">
        <v>45630.45069444444</v>
      </c>
      <c r="C917" s="1" t="n">
        <v>46161</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36014-2024</t>
        </is>
      </c>
      <c r="B918" s="1" t="n">
        <v>45533.56108796296</v>
      </c>
      <c r="C918" s="1" t="n">
        <v>46161</v>
      </c>
      <c r="D918" t="inlineStr">
        <is>
          <t>KALMAR LÄN</t>
        </is>
      </c>
      <c r="E918" t="inlineStr">
        <is>
          <t>VIMMERBY</t>
        </is>
      </c>
      <c r="G918" t="n">
        <v>2.3</v>
      </c>
      <c r="H918" t="n">
        <v>0</v>
      </c>
      <c r="I918" t="n">
        <v>0</v>
      </c>
      <c r="J918" t="n">
        <v>0</v>
      </c>
      <c r="K918" t="n">
        <v>0</v>
      </c>
      <c r="L918" t="n">
        <v>0</v>
      </c>
      <c r="M918" t="n">
        <v>0</v>
      </c>
      <c r="N918" t="n">
        <v>0</v>
      </c>
      <c r="O918" t="n">
        <v>0</v>
      </c>
      <c r="P918" t="n">
        <v>0</v>
      </c>
      <c r="Q918" t="n">
        <v>0</v>
      </c>
      <c r="R918" s="2" t="inlineStr"/>
    </row>
    <row r="919" ht="15" customHeight="1">
      <c r="A919" t="inlineStr">
        <is>
          <t>A 36030-2024</t>
        </is>
      </c>
      <c r="B919" s="1" t="n">
        <v>45533.58302083334</v>
      </c>
      <c r="C919" s="1" t="n">
        <v>46161</v>
      </c>
      <c r="D919" t="inlineStr">
        <is>
          <t>KALMAR LÄN</t>
        </is>
      </c>
      <c r="E919" t="inlineStr">
        <is>
          <t>VIMMERBY</t>
        </is>
      </c>
      <c r="F919" t="inlineStr">
        <is>
          <t>Kommuner</t>
        </is>
      </c>
      <c r="G919" t="n">
        <v>4</v>
      </c>
      <c r="H919" t="n">
        <v>0</v>
      </c>
      <c r="I919" t="n">
        <v>0</v>
      </c>
      <c r="J919" t="n">
        <v>0</v>
      </c>
      <c r="K919" t="n">
        <v>0</v>
      </c>
      <c r="L919" t="n">
        <v>0</v>
      </c>
      <c r="M919" t="n">
        <v>0</v>
      </c>
      <c r="N919" t="n">
        <v>0</v>
      </c>
      <c r="O919" t="n">
        <v>0</v>
      </c>
      <c r="P919" t="n">
        <v>0</v>
      </c>
      <c r="Q919" t="n">
        <v>0</v>
      </c>
      <c r="R919" s="2" t="inlineStr"/>
    </row>
    <row r="920">
      <c r="A920" t="inlineStr">
        <is>
          <t>A 32865-2023</t>
        </is>
      </c>
      <c r="B920" s="1" t="n">
        <v>45124</v>
      </c>
      <c r="C920" s="1" t="n">
        <v>46161</v>
      </c>
      <c r="D920" t="inlineStr">
        <is>
          <t>KALMAR LÄN</t>
        </is>
      </c>
      <c r="E920" t="inlineStr">
        <is>
          <t>VIMMERBY</t>
        </is>
      </c>
      <c r="G920" t="n">
        <v>0.5</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2026-05-19T10:55:59Z</dcterms:created>
  <dcterms:modified xmlns:dcterms="http://purl.org/dc/terms/" xmlns:xsi="http://www.w3.org/2001/XMLSchema-instance" xsi:type="dcterms:W3CDTF">2026-05-19T10:56:00Z</dcterms:modified>
</cp:coreProperties>
</file>