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46092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46092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46092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46092</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46092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46092</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46092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55604-2025</t>
        </is>
      </c>
      <c r="B14" s="1" t="n">
        <v>45971</v>
      </c>
      <c r="C14" s="1" t="n">
        <v>46092</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58997-2025</t>
        </is>
      </c>
      <c r="B15" s="1" t="n">
        <v>45987</v>
      </c>
      <c r="C15" s="1" t="n">
        <v>46092</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15808-2025</t>
        </is>
      </c>
      <c r="B16" s="1" t="n">
        <v>45748</v>
      </c>
      <c r="C16" s="1" t="n">
        <v>46092</v>
      </c>
      <c r="D16" t="inlineStr">
        <is>
          <t>KALMAR LÄN</t>
        </is>
      </c>
      <c r="E16" t="inlineStr">
        <is>
          <t>VIMMERBY</t>
        </is>
      </c>
      <c r="G16" t="n">
        <v>6.1</v>
      </c>
      <c r="H16" t="n">
        <v>4</v>
      </c>
      <c r="I16" t="n">
        <v>0</v>
      </c>
      <c r="J16" t="n">
        <v>1</v>
      </c>
      <c r="K16" t="n">
        <v>0</v>
      </c>
      <c r="L16" t="n">
        <v>0</v>
      </c>
      <c r="M16" t="n">
        <v>0</v>
      </c>
      <c r="N16" t="n">
        <v>0</v>
      </c>
      <c r="O16" t="n">
        <v>1</v>
      </c>
      <c r="P16" t="n">
        <v>0</v>
      </c>
      <c r="Q16" t="n">
        <v>4</v>
      </c>
      <c r="R16" s="2" t="inlineStr">
        <is>
          <t>Talltita
Kungsfågel
Åkergroda
Mattlummer</t>
        </is>
      </c>
      <c r="S16">
        <f>HYPERLINK("https://klasma.github.io/Logging_0884/artfynd/A 15808-2025 artfynd.xlsx", "A 15808-2025")</f>
        <v/>
      </c>
      <c r="T16">
        <f>HYPERLINK("https://klasma.github.io/Logging_0884/kartor/A 15808-2025 karta.png", "A 15808-2025")</f>
        <v/>
      </c>
      <c r="V16">
        <f>HYPERLINK("https://klasma.github.io/Logging_0884/klagomål/A 15808-2025 FSC-klagomål.docx", "A 15808-2025")</f>
        <v/>
      </c>
      <c r="W16">
        <f>HYPERLINK("https://klasma.github.io/Logging_0884/klagomålsmail/A 15808-2025 FSC-klagomål mail.docx", "A 15808-2025")</f>
        <v/>
      </c>
      <c r="X16">
        <f>HYPERLINK("https://klasma.github.io/Logging_0884/tillsyn/A 15808-2025 tillsynsbegäran.docx", "A 15808-2025")</f>
        <v/>
      </c>
      <c r="Y16">
        <f>HYPERLINK("https://klasma.github.io/Logging_0884/tillsynsmail/A 15808-2025 tillsynsbegäran mail.docx", "A 15808-2025")</f>
        <v/>
      </c>
      <c r="Z16">
        <f>HYPERLINK("https://klasma.github.io/Logging_0884/fåglar/A 15808-2025 prioriterade fågelarter.docx", "A 15808-2025")</f>
        <v/>
      </c>
    </row>
    <row r="17" ht="15" customHeight="1">
      <c r="A17" t="inlineStr">
        <is>
          <t>A 32645-2023</t>
        </is>
      </c>
      <c r="B17" s="1" t="n">
        <v>45121.60543981481</v>
      </c>
      <c r="C17" s="1" t="n">
        <v>46092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46092</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46092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46092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46092</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46092</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46092</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46092</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46092</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46092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46092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46092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46092</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46092</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46092</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46092</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46092</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46092</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46092</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57062-2025</t>
        </is>
      </c>
      <c r="B36" s="1" t="n">
        <v>45979.37598379629</v>
      </c>
      <c r="C36" s="1" t="n">
        <v>46092</v>
      </c>
      <c r="D36" t="inlineStr">
        <is>
          <t>KALMAR LÄN</t>
        </is>
      </c>
      <c r="E36" t="inlineStr">
        <is>
          <t>VIMMERBY</t>
        </is>
      </c>
      <c r="F36" t="inlineStr">
        <is>
          <t>Sveaskog</t>
        </is>
      </c>
      <c r="G36" t="n">
        <v>4.9</v>
      </c>
      <c r="H36" t="n">
        <v>1</v>
      </c>
      <c r="I36" t="n">
        <v>0</v>
      </c>
      <c r="J36" t="n">
        <v>0</v>
      </c>
      <c r="K36" t="n">
        <v>1</v>
      </c>
      <c r="L36" t="n">
        <v>0</v>
      </c>
      <c r="M36" t="n">
        <v>0</v>
      </c>
      <c r="N36" t="n">
        <v>0</v>
      </c>
      <c r="O36" t="n">
        <v>1</v>
      </c>
      <c r="P36" t="n">
        <v>1</v>
      </c>
      <c r="Q36" t="n">
        <v>1</v>
      </c>
      <c r="R36" s="2" t="inlineStr">
        <is>
          <t>Knärot</t>
        </is>
      </c>
      <c r="S36">
        <f>HYPERLINK("https://klasma.github.io/Logging_0884/artfynd/A 57062-2025 artfynd.xlsx", "A 57062-2025")</f>
        <v/>
      </c>
      <c r="T36">
        <f>HYPERLINK("https://klasma.github.io/Logging_0884/kartor/A 57062-2025 karta.png", "A 57062-2025")</f>
        <v/>
      </c>
      <c r="U36">
        <f>HYPERLINK("https://klasma.github.io/Logging_0884/knärot/A 57062-2025 karta knärot.png", "A 57062-2025")</f>
        <v/>
      </c>
      <c r="V36">
        <f>HYPERLINK("https://klasma.github.io/Logging_0884/klagomål/A 57062-2025 FSC-klagomål.docx", "A 57062-2025")</f>
        <v/>
      </c>
      <c r="W36">
        <f>HYPERLINK("https://klasma.github.io/Logging_0884/klagomålsmail/A 57062-2025 FSC-klagomål mail.docx", "A 57062-2025")</f>
        <v/>
      </c>
      <c r="X36">
        <f>HYPERLINK("https://klasma.github.io/Logging_0884/tillsyn/A 57062-2025 tillsynsbegäran.docx", "A 57062-2025")</f>
        <v/>
      </c>
      <c r="Y36">
        <f>HYPERLINK("https://klasma.github.io/Logging_0884/tillsynsmail/A 57062-2025 tillsynsbegäran mail.docx", "A 57062-2025")</f>
        <v/>
      </c>
    </row>
    <row r="37" ht="15" customHeight="1">
      <c r="A37" t="inlineStr">
        <is>
          <t>A 28852-2023</t>
        </is>
      </c>
      <c r="B37" s="1" t="n">
        <v>45104</v>
      </c>
      <c r="C37" s="1" t="n">
        <v>46092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61860-2024</t>
        </is>
      </c>
      <c r="B38" s="1" t="n">
        <v>45649</v>
      </c>
      <c r="C38" s="1" t="n">
        <v>46092</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52301-2023</t>
        </is>
      </c>
      <c r="B39" s="1" t="n">
        <v>45224</v>
      </c>
      <c r="C39" s="1" t="n">
        <v>46092</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40083-2023</t>
        </is>
      </c>
      <c r="B40" s="1" t="n">
        <v>45168</v>
      </c>
      <c r="C40" s="1" t="n">
        <v>46092</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46092</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1201-2025</t>
        </is>
      </c>
      <c r="B42" s="1" t="n">
        <v>45667</v>
      </c>
      <c r="C42" s="1" t="n">
        <v>46092</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29183-2025</t>
        </is>
      </c>
      <c r="B43" s="1" t="n">
        <v>45821</v>
      </c>
      <c r="C43" s="1" t="n">
        <v>46092</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53404-2025</t>
        </is>
      </c>
      <c r="B44" s="1" t="n">
        <v>45959.57126157408</v>
      </c>
      <c r="C44" s="1" t="n">
        <v>46092</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46092</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23602-2023</t>
        </is>
      </c>
      <c r="B46" s="1" t="n">
        <v>45077</v>
      </c>
      <c r="C46" s="1" t="n">
        <v>46092</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55384-2025</t>
        </is>
      </c>
      <c r="B47" s="1" t="n">
        <v>45971.43178240741</v>
      </c>
      <c r="C47" s="1" t="n">
        <v>46092</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32985-2023</t>
        </is>
      </c>
      <c r="B48" s="1" t="n">
        <v>45125</v>
      </c>
      <c r="C48" s="1" t="n">
        <v>46092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46092</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46092</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46092</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46092</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46092</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46092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46092</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46092</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46092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12757-2021</t>
        </is>
      </c>
      <c r="B58" s="1" t="n">
        <v>44270.67071759259</v>
      </c>
      <c r="C58" s="1" t="n">
        <v>46092</v>
      </c>
      <c r="D58" t="inlineStr">
        <is>
          <t>KALMAR LÄN</t>
        </is>
      </c>
      <c r="E58" t="inlineStr">
        <is>
          <t>VIMMERBY</t>
        </is>
      </c>
      <c r="G58" t="n">
        <v>1</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46092</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46092</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46092</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46092</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46092</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46092</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46092</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46092</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46092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46092</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40073-2021</t>
        </is>
      </c>
      <c r="B71" s="1" t="n">
        <v>44418</v>
      </c>
      <c r="C71" s="1" t="n">
        <v>46092</v>
      </c>
      <c r="D71" t="inlineStr">
        <is>
          <t>KALMAR LÄN</t>
        </is>
      </c>
      <c r="E71" t="inlineStr">
        <is>
          <t>VIMMERBY</t>
        </is>
      </c>
      <c r="G71" t="n">
        <v>1</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46092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46092</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46092</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46092</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46092</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46092</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46092</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46092</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46092</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46092</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46092</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46092</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46092</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46092</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46092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46092</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46092</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46092</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46092</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46092</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35531-2021</t>
        </is>
      </c>
      <c r="B93" s="1" t="n">
        <v>44385</v>
      </c>
      <c r="C93" s="1" t="n">
        <v>46092</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46092</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46092</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46092</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46092</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46092</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13492-2021</t>
        </is>
      </c>
      <c r="B99" s="1" t="n">
        <v>44273</v>
      </c>
      <c r="C99" s="1" t="n">
        <v>46092</v>
      </c>
      <c r="D99" t="inlineStr">
        <is>
          <t>KALMAR LÄN</t>
        </is>
      </c>
      <c r="E99" t="inlineStr">
        <is>
          <t>VIMMERBY</t>
        </is>
      </c>
      <c r="G99" t="n">
        <v>3.1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46092</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46092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12848-2021</t>
        </is>
      </c>
      <c r="B102" s="1" t="n">
        <v>44271.37226851852</v>
      </c>
      <c r="C102" s="1" t="n">
        <v>46092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24723-2021</t>
        </is>
      </c>
      <c r="B103" s="1" t="n">
        <v>44340.54472222222</v>
      </c>
      <c r="C103" s="1" t="n">
        <v>46092</v>
      </c>
      <c r="D103" t="inlineStr">
        <is>
          <t>KALMAR LÄN</t>
        </is>
      </c>
      <c r="E103" t="inlineStr">
        <is>
          <t>VIMMERBY</t>
        </is>
      </c>
      <c r="G103" t="n">
        <v>3.3</v>
      </c>
      <c r="H103" t="n">
        <v>0</v>
      </c>
      <c r="I103" t="n">
        <v>0</v>
      </c>
      <c r="J103" t="n">
        <v>0</v>
      </c>
      <c r="K103" t="n">
        <v>0</v>
      </c>
      <c r="L103" t="n">
        <v>0</v>
      </c>
      <c r="M103" t="n">
        <v>0</v>
      </c>
      <c r="N103" t="n">
        <v>0</v>
      </c>
      <c r="O103" t="n">
        <v>0</v>
      </c>
      <c r="P103" t="n">
        <v>0</v>
      </c>
      <c r="Q103" t="n">
        <v>0</v>
      </c>
      <c r="R103" s="2" t="inlineStr"/>
    </row>
    <row r="104" ht="15" customHeight="1">
      <c r="A104" t="inlineStr">
        <is>
          <t>A 24752-2021</t>
        </is>
      </c>
      <c r="B104" s="1" t="n">
        <v>44340</v>
      </c>
      <c r="C104" s="1" t="n">
        <v>46092</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31533-2022</t>
        </is>
      </c>
      <c r="B105" s="1" t="n">
        <v>44774</v>
      </c>
      <c r="C105" s="1" t="n">
        <v>46092</v>
      </c>
      <c r="D105" t="inlineStr">
        <is>
          <t>KALMAR LÄN</t>
        </is>
      </c>
      <c r="E105" t="inlineStr">
        <is>
          <t>VIMMERBY</t>
        </is>
      </c>
      <c r="G105" t="n">
        <v>2.5</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46092</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46092</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46092</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35633-2021</t>
        </is>
      </c>
      <c r="B109" s="1" t="n">
        <v>44386.40783564815</v>
      </c>
      <c r="C109" s="1" t="n">
        <v>46092</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56343-2021</t>
        </is>
      </c>
      <c r="B110" s="1" t="n">
        <v>44480</v>
      </c>
      <c r="C110" s="1" t="n">
        <v>46092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46092</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46092</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46092</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46092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46092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34036-2021</t>
        </is>
      </c>
      <c r="B116" s="1" t="n">
        <v>44379</v>
      </c>
      <c r="C116" s="1" t="n">
        <v>46092</v>
      </c>
      <c r="D116" t="inlineStr">
        <is>
          <t>KALMAR LÄN</t>
        </is>
      </c>
      <c r="E116" t="inlineStr">
        <is>
          <t>VIMMERBY</t>
        </is>
      </c>
      <c r="F116" t="inlineStr">
        <is>
          <t>Sveaskog</t>
        </is>
      </c>
      <c r="G116" t="n">
        <v>7</v>
      </c>
      <c r="H116" t="n">
        <v>0</v>
      </c>
      <c r="I116" t="n">
        <v>0</v>
      </c>
      <c r="J116" t="n">
        <v>0</v>
      </c>
      <c r="K116" t="n">
        <v>0</v>
      </c>
      <c r="L116" t="n">
        <v>0</v>
      </c>
      <c r="M116" t="n">
        <v>0</v>
      </c>
      <c r="N116" t="n">
        <v>0</v>
      </c>
      <c r="O116" t="n">
        <v>0</v>
      </c>
      <c r="P116" t="n">
        <v>0</v>
      </c>
      <c r="Q116" t="n">
        <v>0</v>
      </c>
      <c r="R116" s="2" t="inlineStr"/>
    </row>
    <row r="117" ht="15" customHeight="1">
      <c r="A117" t="inlineStr">
        <is>
          <t>A 63244-2021</t>
        </is>
      </c>
      <c r="B117" s="1" t="n">
        <v>44508</v>
      </c>
      <c r="C117" s="1" t="n">
        <v>46092</v>
      </c>
      <c r="D117" t="inlineStr">
        <is>
          <t>KALMAR LÄN</t>
        </is>
      </c>
      <c r="E117" t="inlineStr">
        <is>
          <t>VIMMERBY</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46092</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46092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46092</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31053-2022</t>
        </is>
      </c>
      <c r="B121" s="1" t="n">
        <v>44769.45422453704</v>
      </c>
      <c r="C121" s="1" t="n">
        <v>46092</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46092</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65887-2021</t>
        </is>
      </c>
      <c r="B123" s="1" t="n">
        <v>44517</v>
      </c>
      <c r="C123" s="1" t="n">
        <v>46092</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39959-2022</t>
        </is>
      </c>
      <c r="B124" s="1" t="n">
        <v>44819</v>
      </c>
      <c r="C124" s="1" t="n">
        <v>46092</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47208-2021</t>
        </is>
      </c>
      <c r="B125" s="1" t="n">
        <v>44447.34237268518</v>
      </c>
      <c r="C125" s="1" t="n">
        <v>46092</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7917-2022</t>
        </is>
      </c>
      <c r="B126" s="1" t="n">
        <v>44608</v>
      </c>
      <c r="C126" s="1" t="n">
        <v>46092</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12661-2021</t>
        </is>
      </c>
      <c r="B127" s="1" t="n">
        <v>44270</v>
      </c>
      <c r="C127" s="1" t="n">
        <v>46092</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46092</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46092</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56389-2021</t>
        </is>
      </c>
      <c r="B130" s="1" t="n">
        <v>44480</v>
      </c>
      <c r="C130" s="1" t="n">
        <v>46092</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67952-2021</t>
        </is>
      </c>
      <c r="B131" s="1" t="n">
        <v>44525.63913194444</v>
      </c>
      <c r="C131" s="1" t="n">
        <v>46092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46092</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46092</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46092</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46092</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46092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46092</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46092</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46092</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46092</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46092</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18356-2021</t>
        </is>
      </c>
      <c r="B142" s="1" t="n">
        <v>44305</v>
      </c>
      <c r="C142" s="1" t="n">
        <v>46092</v>
      </c>
      <c r="D142" t="inlineStr">
        <is>
          <t>KALMAR LÄN</t>
        </is>
      </c>
      <c r="E142" t="inlineStr">
        <is>
          <t>VIMMERBY</t>
        </is>
      </c>
      <c r="G142" t="n">
        <v>3.4</v>
      </c>
      <c r="H142" t="n">
        <v>0</v>
      </c>
      <c r="I142" t="n">
        <v>0</v>
      </c>
      <c r="J142" t="n">
        <v>0</v>
      </c>
      <c r="K142" t="n">
        <v>0</v>
      </c>
      <c r="L142" t="n">
        <v>0</v>
      </c>
      <c r="M142" t="n">
        <v>0</v>
      </c>
      <c r="N142" t="n">
        <v>0</v>
      </c>
      <c r="O142" t="n">
        <v>0</v>
      </c>
      <c r="P142" t="n">
        <v>0</v>
      </c>
      <c r="Q142" t="n">
        <v>0</v>
      </c>
      <c r="R142" s="2" t="inlineStr"/>
    </row>
    <row r="143" ht="15" customHeight="1">
      <c r="A143" t="inlineStr">
        <is>
          <t>A 35001-2021</t>
        </is>
      </c>
      <c r="B143" s="1" t="n">
        <v>44383</v>
      </c>
      <c r="C143" s="1" t="n">
        <v>46092</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55674-2021</t>
        </is>
      </c>
      <c r="B144" s="1" t="n">
        <v>44476</v>
      </c>
      <c r="C144" s="1" t="n">
        <v>46092</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40077-2021</t>
        </is>
      </c>
      <c r="B145" s="1" t="n">
        <v>44418</v>
      </c>
      <c r="C145" s="1" t="n">
        <v>46092</v>
      </c>
      <c r="D145" t="inlineStr">
        <is>
          <t>KALMAR LÄN</t>
        </is>
      </c>
      <c r="E145" t="inlineStr">
        <is>
          <t>VIMMERBY</t>
        </is>
      </c>
      <c r="G145" t="n">
        <v>2.9</v>
      </c>
      <c r="H145" t="n">
        <v>0</v>
      </c>
      <c r="I145" t="n">
        <v>0</v>
      </c>
      <c r="J145" t="n">
        <v>0</v>
      </c>
      <c r="K145" t="n">
        <v>0</v>
      </c>
      <c r="L145" t="n">
        <v>0</v>
      </c>
      <c r="M145" t="n">
        <v>0</v>
      </c>
      <c r="N145" t="n">
        <v>0</v>
      </c>
      <c r="O145" t="n">
        <v>0</v>
      </c>
      <c r="P145" t="n">
        <v>0</v>
      </c>
      <c r="Q145" t="n">
        <v>0</v>
      </c>
      <c r="R145" s="2" t="inlineStr"/>
    </row>
    <row r="146" ht="15" customHeight="1">
      <c r="A146" t="inlineStr">
        <is>
          <t>A 47769-2022</t>
        </is>
      </c>
      <c r="B146" s="1" t="n">
        <v>44854</v>
      </c>
      <c r="C146" s="1" t="n">
        <v>46092</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7167-2022</t>
        </is>
      </c>
      <c r="B147" s="1" t="n">
        <v>44604</v>
      </c>
      <c r="C147" s="1" t="n">
        <v>46092</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46092</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46092</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35316-2021</t>
        </is>
      </c>
      <c r="B150" s="1" t="n">
        <v>44384</v>
      </c>
      <c r="C150" s="1" t="n">
        <v>46092</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33831-2022</t>
        </is>
      </c>
      <c r="B151" s="1" t="n">
        <v>44790.48503472222</v>
      </c>
      <c r="C151" s="1" t="n">
        <v>46092</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47708-2022</t>
        </is>
      </c>
      <c r="B152" s="1" t="n">
        <v>44854.59157407407</v>
      </c>
      <c r="C152" s="1" t="n">
        <v>46092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46092</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12662-2021</t>
        </is>
      </c>
      <c r="B154" s="1" t="n">
        <v>44270.49743055556</v>
      </c>
      <c r="C154" s="1" t="n">
        <v>46092</v>
      </c>
      <c r="D154" t="inlineStr">
        <is>
          <t>KALMAR LÄN</t>
        </is>
      </c>
      <c r="E154" t="inlineStr">
        <is>
          <t>VIMMERBY</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46092</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46092</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46092</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46092</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46092</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46092</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46092</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46092</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46092</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46092</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46092</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46092</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46092</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46092</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53145-2022</t>
        </is>
      </c>
      <c r="B169" s="1" t="n">
        <v>44876.48346064815</v>
      </c>
      <c r="C169" s="1" t="n">
        <v>46092</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25738-2022</t>
        </is>
      </c>
      <c r="B170" s="1" t="n">
        <v>44733.43092592592</v>
      </c>
      <c r="C170" s="1" t="n">
        <v>46092</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15191-2021</t>
        </is>
      </c>
      <c r="B171" s="1" t="n">
        <v>44284.42348379629</v>
      </c>
      <c r="C171" s="1" t="n">
        <v>46092</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46092</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40971-2021</t>
        </is>
      </c>
      <c r="B173" s="1" t="n">
        <v>44421</v>
      </c>
      <c r="C173" s="1" t="n">
        <v>46092</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13457-2021</t>
        </is>
      </c>
      <c r="B174" s="1" t="n">
        <v>44273</v>
      </c>
      <c r="C174" s="1" t="n">
        <v>46092</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8453-2022</t>
        </is>
      </c>
      <c r="B175" s="1" t="n">
        <v>44612.86554398148</v>
      </c>
      <c r="C175" s="1" t="n">
        <v>46092</v>
      </c>
      <c r="D175" t="inlineStr">
        <is>
          <t>KALMAR LÄN</t>
        </is>
      </c>
      <c r="E175" t="inlineStr">
        <is>
          <t>VIMMERBY</t>
        </is>
      </c>
      <c r="G175" t="n">
        <v>1.7</v>
      </c>
      <c r="H175" t="n">
        <v>0</v>
      </c>
      <c r="I175" t="n">
        <v>0</v>
      </c>
      <c r="J175" t="n">
        <v>0</v>
      </c>
      <c r="K175" t="n">
        <v>0</v>
      </c>
      <c r="L175" t="n">
        <v>0</v>
      </c>
      <c r="M175" t="n">
        <v>0</v>
      </c>
      <c r="N175" t="n">
        <v>0</v>
      </c>
      <c r="O175" t="n">
        <v>0</v>
      </c>
      <c r="P175" t="n">
        <v>0</v>
      </c>
      <c r="Q175" t="n">
        <v>0</v>
      </c>
      <c r="R175" s="2" t="inlineStr"/>
    </row>
    <row r="176" ht="15" customHeight="1">
      <c r="A176" t="inlineStr">
        <is>
          <t>A 54065-2021</t>
        </is>
      </c>
      <c r="B176" s="1" t="n">
        <v>44470.44232638889</v>
      </c>
      <c r="C176" s="1" t="n">
        <v>46092</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52433-2021</t>
        </is>
      </c>
      <c r="B177" s="1" t="n">
        <v>44466.34726851852</v>
      </c>
      <c r="C177" s="1" t="n">
        <v>46092</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50621-2022</t>
        </is>
      </c>
      <c r="B178" s="1" t="n">
        <v>44866.81100694444</v>
      </c>
      <c r="C178" s="1" t="n">
        <v>46092</v>
      </c>
      <c r="D178" t="inlineStr">
        <is>
          <t>KALMAR LÄN</t>
        </is>
      </c>
      <c r="E178" t="inlineStr">
        <is>
          <t>VIMMERBY</t>
        </is>
      </c>
      <c r="F178" t="inlineStr">
        <is>
          <t>Övriga Aktiebolag</t>
        </is>
      </c>
      <c r="G178" t="n">
        <v>5.1</v>
      </c>
      <c r="H178" t="n">
        <v>0</v>
      </c>
      <c r="I178" t="n">
        <v>0</v>
      </c>
      <c r="J178" t="n">
        <v>0</v>
      </c>
      <c r="K178" t="n">
        <v>0</v>
      </c>
      <c r="L178" t="n">
        <v>0</v>
      </c>
      <c r="M178" t="n">
        <v>0</v>
      </c>
      <c r="N178" t="n">
        <v>0</v>
      </c>
      <c r="O178" t="n">
        <v>0</v>
      </c>
      <c r="P178" t="n">
        <v>0</v>
      </c>
      <c r="Q178" t="n">
        <v>0</v>
      </c>
      <c r="R178" s="2" t="inlineStr"/>
    </row>
    <row r="179" ht="15" customHeight="1">
      <c r="A179" t="inlineStr">
        <is>
          <t>A 31824-2022</t>
        </is>
      </c>
      <c r="B179" s="1" t="n">
        <v>44776</v>
      </c>
      <c r="C179" s="1" t="n">
        <v>46092</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46092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39042-2022</t>
        </is>
      </c>
      <c r="B181" s="1" t="n">
        <v>44817</v>
      </c>
      <c r="C181" s="1" t="n">
        <v>46092</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46092</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16288-2021</t>
        </is>
      </c>
      <c r="B183" s="1" t="n">
        <v>44292</v>
      </c>
      <c r="C183" s="1" t="n">
        <v>46092</v>
      </c>
      <c r="D183" t="inlineStr">
        <is>
          <t>KALMAR LÄN</t>
        </is>
      </c>
      <c r="E183" t="inlineStr">
        <is>
          <t>VIMMERBY</t>
        </is>
      </c>
      <c r="F183" t="inlineStr">
        <is>
          <t>Övriga Aktiebolag</t>
        </is>
      </c>
      <c r="G183" t="n">
        <v>27.6</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46092</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4076-2022</t>
        </is>
      </c>
      <c r="B185" s="1" t="n">
        <v>44588.37998842593</v>
      </c>
      <c r="C185" s="1" t="n">
        <v>46092</v>
      </c>
      <c r="D185" t="inlineStr">
        <is>
          <t>KALMAR LÄN</t>
        </is>
      </c>
      <c r="E185" t="inlineStr">
        <is>
          <t>VIMMERBY</t>
        </is>
      </c>
      <c r="G185" t="n">
        <v>3</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46092</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58374-2024</t>
        </is>
      </c>
      <c r="B187" s="1" t="n">
        <v>45632.72635416667</v>
      </c>
      <c r="C187" s="1" t="n">
        <v>46092</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16983-2023</t>
        </is>
      </c>
      <c r="B188" s="1" t="n">
        <v>45033.76043981482</v>
      </c>
      <c r="C188" s="1" t="n">
        <v>46092</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46144-2023</t>
        </is>
      </c>
      <c r="B189" s="1" t="n">
        <v>45196.57247685185</v>
      </c>
      <c r="C189" s="1" t="n">
        <v>46092</v>
      </c>
      <c r="D189" t="inlineStr">
        <is>
          <t>KALMAR LÄN</t>
        </is>
      </c>
      <c r="E189" t="inlineStr">
        <is>
          <t>VIMMERBY</t>
        </is>
      </c>
      <c r="G189" t="n">
        <v>6.5</v>
      </c>
      <c r="H189" t="n">
        <v>0</v>
      </c>
      <c r="I189" t="n">
        <v>0</v>
      </c>
      <c r="J189" t="n">
        <v>0</v>
      </c>
      <c r="K189" t="n">
        <v>0</v>
      </c>
      <c r="L189" t="n">
        <v>0</v>
      </c>
      <c r="M189" t="n">
        <v>0</v>
      </c>
      <c r="N189" t="n">
        <v>0</v>
      </c>
      <c r="O189" t="n">
        <v>0</v>
      </c>
      <c r="P189" t="n">
        <v>0</v>
      </c>
      <c r="Q189" t="n">
        <v>0</v>
      </c>
      <c r="R189" s="2" t="inlineStr"/>
    </row>
    <row r="190" ht="15" customHeight="1">
      <c r="A190" t="inlineStr">
        <is>
          <t>A 30402-2023</t>
        </is>
      </c>
      <c r="B190" s="1" t="n">
        <v>45111.48395833333</v>
      </c>
      <c r="C190" s="1" t="n">
        <v>46092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46092</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31382-2023</t>
        </is>
      </c>
      <c r="B192" s="1" t="n">
        <v>45114.55136574074</v>
      </c>
      <c r="C192" s="1" t="n">
        <v>46092</v>
      </c>
      <c r="D192" t="inlineStr">
        <is>
          <t>KALMAR LÄN</t>
        </is>
      </c>
      <c r="E192" t="inlineStr">
        <is>
          <t>VIMMERBY</t>
        </is>
      </c>
      <c r="G192" t="n">
        <v>3.7</v>
      </c>
      <c r="H192" t="n">
        <v>0</v>
      </c>
      <c r="I192" t="n">
        <v>0</v>
      </c>
      <c r="J192" t="n">
        <v>0</v>
      </c>
      <c r="K192" t="n">
        <v>0</v>
      </c>
      <c r="L192" t="n">
        <v>0</v>
      </c>
      <c r="M192" t="n">
        <v>0</v>
      </c>
      <c r="N192" t="n">
        <v>0</v>
      </c>
      <c r="O192" t="n">
        <v>0</v>
      </c>
      <c r="P192" t="n">
        <v>0</v>
      </c>
      <c r="Q192" t="n">
        <v>0</v>
      </c>
      <c r="R192" s="2" t="inlineStr"/>
    </row>
    <row r="193" ht="15" customHeight="1">
      <c r="A193" t="inlineStr">
        <is>
          <t>A 58962-2022</t>
        </is>
      </c>
      <c r="B193" s="1" t="n">
        <v>44903</v>
      </c>
      <c r="C193" s="1" t="n">
        <v>46092</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7643-2022</t>
        </is>
      </c>
      <c r="B194" s="1" t="n">
        <v>44607</v>
      </c>
      <c r="C194" s="1" t="n">
        <v>46092</v>
      </c>
      <c r="D194" t="inlineStr">
        <is>
          <t>KALMAR LÄN</t>
        </is>
      </c>
      <c r="E194" t="inlineStr">
        <is>
          <t>VIMMERBY</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10837-2023</t>
        </is>
      </c>
      <c r="B195" s="1" t="n">
        <v>44991.30547453704</v>
      </c>
      <c r="C195" s="1" t="n">
        <v>46092</v>
      </c>
      <c r="D195" t="inlineStr">
        <is>
          <t>KALMAR LÄN</t>
        </is>
      </c>
      <c r="E195" t="inlineStr">
        <is>
          <t>VIMMERBY</t>
        </is>
      </c>
      <c r="G195" t="n">
        <v>7.3</v>
      </c>
      <c r="H195" t="n">
        <v>0</v>
      </c>
      <c r="I195" t="n">
        <v>0</v>
      </c>
      <c r="J195" t="n">
        <v>0</v>
      </c>
      <c r="K195" t="n">
        <v>0</v>
      </c>
      <c r="L195" t="n">
        <v>0</v>
      </c>
      <c r="M195" t="n">
        <v>0</v>
      </c>
      <c r="N195" t="n">
        <v>0</v>
      </c>
      <c r="O195" t="n">
        <v>0</v>
      </c>
      <c r="P195" t="n">
        <v>0</v>
      </c>
      <c r="Q195" t="n">
        <v>0</v>
      </c>
      <c r="R195" s="2" t="inlineStr"/>
    </row>
    <row r="196" ht="15" customHeight="1">
      <c r="A196" t="inlineStr">
        <is>
          <t>A 10838-2023</t>
        </is>
      </c>
      <c r="B196" s="1" t="n">
        <v>44991</v>
      </c>
      <c r="C196" s="1" t="n">
        <v>46092</v>
      </c>
      <c r="D196" t="inlineStr">
        <is>
          <t>KALMAR LÄN</t>
        </is>
      </c>
      <c r="E196" t="inlineStr">
        <is>
          <t>VIMMERBY</t>
        </is>
      </c>
      <c r="G196" t="n">
        <v>5.1</v>
      </c>
      <c r="H196" t="n">
        <v>0</v>
      </c>
      <c r="I196" t="n">
        <v>0</v>
      </c>
      <c r="J196" t="n">
        <v>0</v>
      </c>
      <c r="K196" t="n">
        <v>0</v>
      </c>
      <c r="L196" t="n">
        <v>0</v>
      </c>
      <c r="M196" t="n">
        <v>0</v>
      </c>
      <c r="N196" t="n">
        <v>0</v>
      </c>
      <c r="O196" t="n">
        <v>0</v>
      </c>
      <c r="P196" t="n">
        <v>0</v>
      </c>
      <c r="Q196" t="n">
        <v>0</v>
      </c>
      <c r="R196" s="2" t="inlineStr"/>
    </row>
    <row r="197" ht="15" customHeight="1">
      <c r="A197" t="inlineStr">
        <is>
          <t>A 56213-2024</t>
        </is>
      </c>
      <c r="B197" s="1" t="n">
        <v>45624.60141203704</v>
      </c>
      <c r="C197" s="1" t="n">
        <v>46092</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54409-2024</t>
        </is>
      </c>
      <c r="B198" s="1" t="n">
        <v>45617.47570601852</v>
      </c>
      <c r="C198" s="1" t="n">
        <v>46092</v>
      </c>
      <c r="D198" t="inlineStr">
        <is>
          <t>KALMAR LÄN</t>
        </is>
      </c>
      <c r="E198" t="inlineStr">
        <is>
          <t>VIMMERBY</t>
        </is>
      </c>
      <c r="G198" t="n">
        <v>4.3</v>
      </c>
      <c r="H198" t="n">
        <v>0</v>
      </c>
      <c r="I198" t="n">
        <v>0</v>
      </c>
      <c r="J198" t="n">
        <v>0</v>
      </c>
      <c r="K198" t="n">
        <v>0</v>
      </c>
      <c r="L198" t="n">
        <v>0</v>
      </c>
      <c r="M198" t="n">
        <v>0</v>
      </c>
      <c r="N198" t="n">
        <v>0</v>
      </c>
      <c r="O198" t="n">
        <v>0</v>
      </c>
      <c r="P198" t="n">
        <v>0</v>
      </c>
      <c r="Q198" t="n">
        <v>0</v>
      </c>
      <c r="R198" s="2" t="inlineStr"/>
    </row>
    <row r="199" ht="15" customHeight="1">
      <c r="A199" t="inlineStr">
        <is>
          <t>A 11027-2023</t>
        </is>
      </c>
      <c r="B199" s="1" t="n">
        <v>44991.89657407408</v>
      </c>
      <c r="C199" s="1" t="n">
        <v>46092</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16825-2024</t>
        </is>
      </c>
      <c r="B200" s="1" t="n">
        <v>45411.47335648148</v>
      </c>
      <c r="C200" s="1" t="n">
        <v>46092</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53483-2022</t>
        </is>
      </c>
      <c r="B201" s="1" t="n">
        <v>44879.55940972222</v>
      </c>
      <c r="C201" s="1" t="n">
        <v>46092</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18899-2025</t>
        </is>
      </c>
      <c r="B202" s="1" t="n">
        <v>45764.44931712963</v>
      </c>
      <c r="C202" s="1" t="n">
        <v>46092</v>
      </c>
      <c r="D202" t="inlineStr">
        <is>
          <t>KALMAR LÄN</t>
        </is>
      </c>
      <c r="E202" t="inlineStr">
        <is>
          <t>VIMMERBY</t>
        </is>
      </c>
      <c r="F202" t="inlineStr">
        <is>
          <t>Kommuner</t>
        </is>
      </c>
      <c r="G202" t="n">
        <v>4</v>
      </c>
      <c r="H202" t="n">
        <v>0</v>
      </c>
      <c r="I202" t="n">
        <v>0</v>
      </c>
      <c r="J202" t="n">
        <v>0</v>
      </c>
      <c r="K202" t="n">
        <v>0</v>
      </c>
      <c r="L202" t="n">
        <v>0</v>
      </c>
      <c r="M202" t="n">
        <v>0</v>
      </c>
      <c r="N202" t="n">
        <v>0</v>
      </c>
      <c r="O202" t="n">
        <v>0</v>
      </c>
      <c r="P202" t="n">
        <v>0</v>
      </c>
      <c r="Q202" t="n">
        <v>0</v>
      </c>
      <c r="R202" s="2" t="inlineStr"/>
    </row>
    <row r="203" ht="15" customHeight="1">
      <c r="A203" t="inlineStr">
        <is>
          <t>A 11946-2025</t>
        </is>
      </c>
      <c r="B203" s="1" t="n">
        <v>45728.54832175926</v>
      </c>
      <c r="C203" s="1" t="n">
        <v>46092</v>
      </c>
      <c r="D203" t="inlineStr">
        <is>
          <t>KALMAR LÄN</t>
        </is>
      </c>
      <c r="E203" t="inlineStr">
        <is>
          <t>VIMMERBY</t>
        </is>
      </c>
      <c r="G203" t="n">
        <v>0.4</v>
      </c>
      <c r="H203" t="n">
        <v>0</v>
      </c>
      <c r="I203" t="n">
        <v>0</v>
      </c>
      <c r="J203" t="n">
        <v>0</v>
      </c>
      <c r="K203" t="n">
        <v>0</v>
      </c>
      <c r="L203" t="n">
        <v>0</v>
      </c>
      <c r="M203" t="n">
        <v>0</v>
      </c>
      <c r="N203" t="n">
        <v>0</v>
      </c>
      <c r="O203" t="n">
        <v>0</v>
      </c>
      <c r="P203" t="n">
        <v>0</v>
      </c>
      <c r="Q203" t="n">
        <v>0</v>
      </c>
      <c r="R203" s="2" t="inlineStr"/>
    </row>
    <row r="204" ht="15" customHeight="1">
      <c r="A204" t="inlineStr">
        <is>
          <t>A 19537-2022</t>
        </is>
      </c>
      <c r="B204" s="1" t="n">
        <v>44693.62822916666</v>
      </c>
      <c r="C204" s="1" t="n">
        <v>46092</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60951-2023</t>
        </is>
      </c>
      <c r="B205" s="1" t="n">
        <v>45261.44914351852</v>
      </c>
      <c r="C205" s="1" t="n">
        <v>46092</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60292-2022</t>
        </is>
      </c>
      <c r="B206" s="1" t="n">
        <v>44910.54231481482</v>
      </c>
      <c r="C206" s="1" t="n">
        <v>46092</v>
      </c>
      <c r="D206" t="inlineStr">
        <is>
          <t>KALMAR LÄN</t>
        </is>
      </c>
      <c r="E206" t="inlineStr">
        <is>
          <t>VIMMERBY</t>
        </is>
      </c>
      <c r="G206" t="n">
        <v>4.4</v>
      </c>
      <c r="H206" t="n">
        <v>0</v>
      </c>
      <c r="I206" t="n">
        <v>0</v>
      </c>
      <c r="J206" t="n">
        <v>0</v>
      </c>
      <c r="K206" t="n">
        <v>0</v>
      </c>
      <c r="L206" t="n">
        <v>0</v>
      </c>
      <c r="M206" t="n">
        <v>0</v>
      </c>
      <c r="N206" t="n">
        <v>0</v>
      </c>
      <c r="O206" t="n">
        <v>0</v>
      </c>
      <c r="P206" t="n">
        <v>0</v>
      </c>
      <c r="Q206" t="n">
        <v>0</v>
      </c>
      <c r="R206" s="2" t="inlineStr"/>
    </row>
    <row r="207" ht="15" customHeight="1">
      <c r="A207" t="inlineStr">
        <is>
          <t>A 20054-2023</t>
        </is>
      </c>
      <c r="B207" s="1" t="n">
        <v>45054.6750462963</v>
      </c>
      <c r="C207" s="1" t="n">
        <v>46092</v>
      </c>
      <c r="D207" t="inlineStr">
        <is>
          <t>KALMAR LÄN</t>
        </is>
      </c>
      <c r="E207" t="inlineStr">
        <is>
          <t>VIMMERBY</t>
        </is>
      </c>
      <c r="G207" t="n">
        <v>2.4</v>
      </c>
      <c r="H207" t="n">
        <v>0</v>
      </c>
      <c r="I207" t="n">
        <v>0</v>
      </c>
      <c r="J207" t="n">
        <v>0</v>
      </c>
      <c r="K207" t="n">
        <v>0</v>
      </c>
      <c r="L207" t="n">
        <v>0</v>
      </c>
      <c r="M207" t="n">
        <v>0</v>
      </c>
      <c r="N207" t="n">
        <v>0</v>
      </c>
      <c r="O207" t="n">
        <v>0</v>
      </c>
      <c r="P207" t="n">
        <v>0</v>
      </c>
      <c r="Q207" t="n">
        <v>0</v>
      </c>
      <c r="R207" s="2" t="inlineStr"/>
    </row>
    <row r="208" ht="15" customHeight="1">
      <c r="A208" t="inlineStr">
        <is>
          <t>A 13290-2025</t>
        </is>
      </c>
      <c r="B208" s="1" t="n">
        <v>45735.56751157407</v>
      </c>
      <c r="C208" s="1" t="n">
        <v>46092</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7485-2024</t>
        </is>
      </c>
      <c r="B209" s="1" t="n">
        <v>45346.67184027778</v>
      </c>
      <c r="C209" s="1" t="n">
        <v>46092</v>
      </c>
      <c r="D209" t="inlineStr">
        <is>
          <t>KALMAR LÄN</t>
        </is>
      </c>
      <c r="E209" t="inlineStr">
        <is>
          <t>VIMMERBY</t>
        </is>
      </c>
      <c r="G209" t="n">
        <v>1.9</v>
      </c>
      <c r="H209" t="n">
        <v>0</v>
      </c>
      <c r="I209" t="n">
        <v>0</v>
      </c>
      <c r="J209" t="n">
        <v>0</v>
      </c>
      <c r="K209" t="n">
        <v>0</v>
      </c>
      <c r="L209" t="n">
        <v>0</v>
      </c>
      <c r="M209" t="n">
        <v>0</v>
      </c>
      <c r="N209" t="n">
        <v>0</v>
      </c>
      <c r="O209" t="n">
        <v>0</v>
      </c>
      <c r="P209" t="n">
        <v>0</v>
      </c>
      <c r="Q209" t="n">
        <v>0</v>
      </c>
      <c r="R209" s="2" t="inlineStr"/>
    </row>
    <row r="210" ht="15" customHeight="1">
      <c r="A210" t="inlineStr">
        <is>
          <t>A 19162-2023</t>
        </is>
      </c>
      <c r="B210" s="1" t="n">
        <v>45048.59699074074</v>
      </c>
      <c r="C210" s="1" t="n">
        <v>46092</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22399-2025</t>
        </is>
      </c>
      <c r="B211" s="1" t="n">
        <v>45786.52996527778</v>
      </c>
      <c r="C211" s="1" t="n">
        <v>46092</v>
      </c>
      <c r="D211" t="inlineStr">
        <is>
          <t>KALMAR LÄN</t>
        </is>
      </c>
      <c r="E211" t="inlineStr">
        <is>
          <t>VIMMERBY</t>
        </is>
      </c>
      <c r="G211" t="n">
        <v>2.1</v>
      </c>
      <c r="H211" t="n">
        <v>0</v>
      </c>
      <c r="I211" t="n">
        <v>0</v>
      </c>
      <c r="J211" t="n">
        <v>0</v>
      </c>
      <c r="K211" t="n">
        <v>0</v>
      </c>
      <c r="L211" t="n">
        <v>0</v>
      </c>
      <c r="M211" t="n">
        <v>0</v>
      </c>
      <c r="N211" t="n">
        <v>0</v>
      </c>
      <c r="O211" t="n">
        <v>0</v>
      </c>
      <c r="P211" t="n">
        <v>0</v>
      </c>
      <c r="Q211" t="n">
        <v>0</v>
      </c>
      <c r="R211" s="2" t="inlineStr"/>
    </row>
    <row r="212" ht="15" customHeight="1">
      <c r="A212" t="inlineStr">
        <is>
          <t>A 9475-2023</t>
        </is>
      </c>
      <c r="B212" s="1" t="n">
        <v>44981.58834490741</v>
      </c>
      <c r="C212" s="1" t="n">
        <v>46092</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46092</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35710-2023</t>
        </is>
      </c>
      <c r="B214" s="1" t="n">
        <v>45147.67096064815</v>
      </c>
      <c r="C214" s="1" t="n">
        <v>46092</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52823-2024</t>
        </is>
      </c>
      <c r="B215" s="1" t="n">
        <v>45610.59094907407</v>
      </c>
      <c r="C215" s="1" t="n">
        <v>46092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22397-2025</t>
        </is>
      </c>
      <c r="B216" s="1" t="n">
        <v>45786.52878472222</v>
      </c>
      <c r="C216" s="1" t="n">
        <v>46092</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25582-2024</t>
        </is>
      </c>
      <c r="B217" s="1" t="n">
        <v>45463</v>
      </c>
      <c r="C217" s="1" t="n">
        <v>46092</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11147-2023</t>
        </is>
      </c>
      <c r="B218" s="1" t="n">
        <v>44992</v>
      </c>
      <c r="C218" s="1" t="n">
        <v>46092</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55603-2025</t>
        </is>
      </c>
      <c r="B219" s="1" t="n">
        <v>45971</v>
      </c>
      <c r="C219" s="1" t="n">
        <v>46092</v>
      </c>
      <c r="D219" t="inlineStr">
        <is>
          <t>KALMAR LÄN</t>
        </is>
      </c>
      <c r="E219" t="inlineStr">
        <is>
          <t>VIMMERBY</t>
        </is>
      </c>
      <c r="G219" t="n">
        <v>0.9</v>
      </c>
      <c r="H219" t="n">
        <v>0</v>
      </c>
      <c r="I219" t="n">
        <v>0</v>
      </c>
      <c r="J219" t="n">
        <v>0</v>
      </c>
      <c r="K219" t="n">
        <v>0</v>
      </c>
      <c r="L219" t="n">
        <v>0</v>
      </c>
      <c r="M219" t="n">
        <v>0</v>
      </c>
      <c r="N219" t="n">
        <v>0</v>
      </c>
      <c r="O219" t="n">
        <v>0</v>
      </c>
      <c r="P219" t="n">
        <v>0</v>
      </c>
      <c r="Q219" t="n">
        <v>0</v>
      </c>
      <c r="R219" s="2" t="inlineStr"/>
    </row>
    <row r="220" ht="15" customHeight="1">
      <c r="A220" t="inlineStr">
        <is>
          <t>A 55605-2025</t>
        </is>
      </c>
      <c r="B220" s="1" t="n">
        <v>45971</v>
      </c>
      <c r="C220" s="1" t="n">
        <v>46092</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19833-2023</t>
        </is>
      </c>
      <c r="B221" s="1" t="n">
        <v>45052</v>
      </c>
      <c r="C221" s="1" t="n">
        <v>46092</v>
      </c>
      <c r="D221" t="inlineStr">
        <is>
          <t>KALMAR LÄN</t>
        </is>
      </c>
      <c r="E221" t="inlineStr">
        <is>
          <t>VIMMERBY</t>
        </is>
      </c>
      <c r="G221" t="n">
        <v>6.7</v>
      </c>
      <c r="H221" t="n">
        <v>0</v>
      </c>
      <c r="I221" t="n">
        <v>0</v>
      </c>
      <c r="J221" t="n">
        <v>0</v>
      </c>
      <c r="K221" t="n">
        <v>0</v>
      </c>
      <c r="L221" t="n">
        <v>0</v>
      </c>
      <c r="M221" t="n">
        <v>0</v>
      </c>
      <c r="N221" t="n">
        <v>0</v>
      </c>
      <c r="O221" t="n">
        <v>0</v>
      </c>
      <c r="P221" t="n">
        <v>0</v>
      </c>
      <c r="Q221" t="n">
        <v>0</v>
      </c>
      <c r="R221" s="2" t="inlineStr"/>
    </row>
    <row r="222" ht="15" customHeight="1">
      <c r="A222" t="inlineStr">
        <is>
          <t>A 55385-2025</t>
        </is>
      </c>
      <c r="B222" s="1" t="n">
        <v>45971.43350694444</v>
      </c>
      <c r="C222" s="1" t="n">
        <v>46092</v>
      </c>
      <c r="D222" t="inlineStr">
        <is>
          <t>KALMAR LÄN</t>
        </is>
      </c>
      <c r="E222" t="inlineStr">
        <is>
          <t>VIMMERBY</t>
        </is>
      </c>
      <c r="G222" t="n">
        <v>5</v>
      </c>
      <c r="H222" t="n">
        <v>0</v>
      </c>
      <c r="I222" t="n">
        <v>0</v>
      </c>
      <c r="J222" t="n">
        <v>0</v>
      </c>
      <c r="K222" t="n">
        <v>0</v>
      </c>
      <c r="L222" t="n">
        <v>0</v>
      </c>
      <c r="M222" t="n">
        <v>0</v>
      </c>
      <c r="N222" t="n">
        <v>0</v>
      </c>
      <c r="O222" t="n">
        <v>0</v>
      </c>
      <c r="P222" t="n">
        <v>0</v>
      </c>
      <c r="Q222" t="n">
        <v>0</v>
      </c>
      <c r="R222" s="2" t="inlineStr"/>
    </row>
    <row r="223" ht="15" customHeight="1">
      <c r="A223" t="inlineStr">
        <is>
          <t>A 14548-2024</t>
        </is>
      </c>
      <c r="B223" s="1" t="n">
        <v>45394.66887731481</v>
      </c>
      <c r="C223" s="1" t="n">
        <v>46092</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585-2024</t>
        </is>
      </c>
      <c r="B224" s="1" t="n">
        <v>45299.62576388889</v>
      </c>
      <c r="C224" s="1" t="n">
        <v>46092</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57578-2024</t>
        </is>
      </c>
      <c r="B225" s="1" t="n">
        <v>45630.47564814815</v>
      </c>
      <c r="C225" s="1" t="n">
        <v>46092</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56020-2024</t>
        </is>
      </c>
      <c r="B226" s="1" t="n">
        <v>45623.9525462963</v>
      </c>
      <c r="C226" s="1" t="n">
        <v>46092</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23252-2024</t>
        </is>
      </c>
      <c r="B227" s="1" t="n">
        <v>45453.36067129629</v>
      </c>
      <c r="C227" s="1" t="n">
        <v>46092</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15550-2023</t>
        </is>
      </c>
      <c r="B228" s="1" t="n">
        <v>45020</v>
      </c>
      <c r="C228" s="1" t="n">
        <v>46092</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6307-2025</t>
        </is>
      </c>
      <c r="B229" s="1" t="n">
        <v>45698.69016203703</v>
      </c>
      <c r="C229" s="1" t="n">
        <v>46092</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11219-2023</t>
        </is>
      </c>
      <c r="B230" s="1" t="n">
        <v>44992.62498842592</v>
      </c>
      <c r="C230" s="1" t="n">
        <v>46092</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18411-2021</t>
        </is>
      </c>
      <c r="B231" s="1" t="n">
        <v>44302</v>
      </c>
      <c r="C231" s="1" t="n">
        <v>46092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47855-2024</t>
        </is>
      </c>
      <c r="B232" s="1" t="n">
        <v>45588.66457175926</v>
      </c>
      <c r="C232" s="1" t="n">
        <v>46092</v>
      </c>
      <c r="D232" t="inlineStr">
        <is>
          <t>KALMAR LÄN</t>
        </is>
      </c>
      <c r="E232" t="inlineStr">
        <is>
          <t>VIMMERBY</t>
        </is>
      </c>
      <c r="G232" t="n">
        <v>0.8</v>
      </c>
      <c r="H232" t="n">
        <v>0</v>
      </c>
      <c r="I232" t="n">
        <v>0</v>
      </c>
      <c r="J232" t="n">
        <v>0</v>
      </c>
      <c r="K232" t="n">
        <v>0</v>
      </c>
      <c r="L232" t="n">
        <v>0</v>
      </c>
      <c r="M232" t="n">
        <v>0</v>
      </c>
      <c r="N232" t="n">
        <v>0</v>
      </c>
      <c r="O232" t="n">
        <v>0</v>
      </c>
      <c r="P232" t="n">
        <v>0</v>
      </c>
      <c r="Q232" t="n">
        <v>0</v>
      </c>
      <c r="R232" s="2" t="inlineStr"/>
    </row>
    <row r="233" ht="15" customHeight="1">
      <c r="A233" t="inlineStr">
        <is>
          <t>A 172-2022</t>
        </is>
      </c>
      <c r="B233" s="1" t="n">
        <v>44564.62598379629</v>
      </c>
      <c r="C233" s="1" t="n">
        <v>46092</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39584-2024</t>
        </is>
      </c>
      <c r="B234" s="1" t="n">
        <v>45552.36759259259</v>
      </c>
      <c r="C234" s="1" t="n">
        <v>46092</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38604-2025</t>
        </is>
      </c>
      <c r="B235" s="1" t="n">
        <v>45884.50613425926</v>
      </c>
      <c r="C235" s="1" t="n">
        <v>46092</v>
      </c>
      <c r="D235" t="inlineStr">
        <is>
          <t>KALMAR LÄN</t>
        </is>
      </c>
      <c r="E235" t="inlineStr">
        <is>
          <t>VIMMERBY</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11442-2025</t>
        </is>
      </c>
      <c r="B236" s="1" t="n">
        <v>45726.62721064815</v>
      </c>
      <c r="C236" s="1" t="n">
        <v>46092</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51881-2024</t>
        </is>
      </c>
      <c r="B237" s="1" t="n">
        <v>45607.56773148148</v>
      </c>
      <c r="C237" s="1" t="n">
        <v>46092</v>
      </c>
      <c r="D237" t="inlineStr">
        <is>
          <t>KALMAR LÄN</t>
        </is>
      </c>
      <c r="E237" t="inlineStr">
        <is>
          <t>VIMMERBY</t>
        </is>
      </c>
      <c r="G237" t="n">
        <v>3.4</v>
      </c>
      <c r="H237" t="n">
        <v>0</v>
      </c>
      <c r="I237" t="n">
        <v>0</v>
      </c>
      <c r="J237" t="n">
        <v>0</v>
      </c>
      <c r="K237" t="n">
        <v>0</v>
      </c>
      <c r="L237" t="n">
        <v>0</v>
      </c>
      <c r="M237" t="n">
        <v>0</v>
      </c>
      <c r="N237" t="n">
        <v>0</v>
      </c>
      <c r="O237" t="n">
        <v>0</v>
      </c>
      <c r="P237" t="n">
        <v>0</v>
      </c>
      <c r="Q237" t="n">
        <v>0</v>
      </c>
      <c r="R237" s="2" t="inlineStr"/>
    </row>
    <row r="238" ht="15" customHeight="1">
      <c r="A238" t="inlineStr">
        <is>
          <t>A 2596-2025</t>
        </is>
      </c>
      <c r="B238" s="1" t="n">
        <v>45674.71810185185</v>
      </c>
      <c r="C238" s="1" t="n">
        <v>46092</v>
      </c>
      <c r="D238" t="inlineStr">
        <is>
          <t>KALMAR LÄN</t>
        </is>
      </c>
      <c r="E238" t="inlineStr">
        <is>
          <t>VIMMERBY</t>
        </is>
      </c>
      <c r="G238" t="n">
        <v>9</v>
      </c>
      <c r="H238" t="n">
        <v>0</v>
      </c>
      <c r="I238" t="n">
        <v>0</v>
      </c>
      <c r="J238" t="n">
        <v>0</v>
      </c>
      <c r="K238" t="n">
        <v>0</v>
      </c>
      <c r="L238" t="n">
        <v>0</v>
      </c>
      <c r="M238" t="n">
        <v>0</v>
      </c>
      <c r="N238" t="n">
        <v>0</v>
      </c>
      <c r="O238" t="n">
        <v>0</v>
      </c>
      <c r="P238" t="n">
        <v>0</v>
      </c>
      <c r="Q238" t="n">
        <v>0</v>
      </c>
      <c r="R238" s="2" t="inlineStr"/>
    </row>
    <row r="239" ht="15" customHeight="1">
      <c r="A239" t="inlineStr">
        <is>
          <t>A 16734-2023</t>
        </is>
      </c>
      <c r="B239" s="1" t="n">
        <v>45030.71012731481</v>
      </c>
      <c r="C239" s="1" t="n">
        <v>46092</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20129-2024</t>
        </is>
      </c>
      <c r="B240" s="1" t="n">
        <v>45434.55831018519</v>
      </c>
      <c r="C240" s="1" t="n">
        <v>46092</v>
      </c>
      <c r="D240" t="inlineStr">
        <is>
          <t>KALMAR LÄN</t>
        </is>
      </c>
      <c r="E240" t="inlineStr">
        <is>
          <t>VIMMERBY</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20137-2024</t>
        </is>
      </c>
      <c r="B241" s="1" t="n">
        <v>45434.56398148148</v>
      </c>
      <c r="C241" s="1" t="n">
        <v>46092</v>
      </c>
      <c r="D241" t="inlineStr">
        <is>
          <t>KALMAR LÄN</t>
        </is>
      </c>
      <c r="E241" t="inlineStr">
        <is>
          <t>VIMMERBY</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7456-2024</t>
        </is>
      </c>
      <c r="B242" s="1" t="n">
        <v>45345.83557870371</v>
      </c>
      <c r="C242" s="1" t="n">
        <v>46092</v>
      </c>
      <c r="D242" t="inlineStr">
        <is>
          <t>KALMAR LÄN</t>
        </is>
      </c>
      <c r="E242" t="inlineStr">
        <is>
          <t>VIMMERBY</t>
        </is>
      </c>
      <c r="G242" t="n">
        <v>4.1</v>
      </c>
      <c r="H242" t="n">
        <v>0</v>
      </c>
      <c r="I242" t="n">
        <v>0</v>
      </c>
      <c r="J242" t="n">
        <v>0</v>
      </c>
      <c r="K242" t="n">
        <v>0</v>
      </c>
      <c r="L242" t="n">
        <v>0</v>
      </c>
      <c r="M242" t="n">
        <v>0</v>
      </c>
      <c r="N242" t="n">
        <v>0</v>
      </c>
      <c r="O242" t="n">
        <v>0</v>
      </c>
      <c r="P242" t="n">
        <v>0</v>
      </c>
      <c r="Q242" t="n">
        <v>0</v>
      </c>
      <c r="R242" s="2" t="inlineStr"/>
    </row>
    <row r="243" ht="15" customHeight="1">
      <c r="A243" t="inlineStr">
        <is>
          <t>A 52324-2023</t>
        </is>
      </c>
      <c r="B243" s="1" t="n">
        <v>45224.64659722222</v>
      </c>
      <c r="C243" s="1" t="n">
        <v>46092</v>
      </c>
      <c r="D243" t="inlineStr">
        <is>
          <t>KALMAR LÄN</t>
        </is>
      </c>
      <c r="E243" t="inlineStr">
        <is>
          <t>VIMMERBY</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57728-2025</t>
        </is>
      </c>
      <c r="B244" s="1" t="n">
        <v>45981</v>
      </c>
      <c r="C244" s="1" t="n">
        <v>46092</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17988-2025</t>
        </is>
      </c>
      <c r="B245" s="1" t="n">
        <v>45761.39600694444</v>
      </c>
      <c r="C245" s="1" t="n">
        <v>46092</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23341-2022</t>
        </is>
      </c>
      <c r="B246" s="1" t="n">
        <v>44720.53898148148</v>
      </c>
      <c r="C246" s="1" t="n">
        <v>46092</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29726-2025</t>
        </is>
      </c>
      <c r="B247" s="1" t="n">
        <v>45825.57805555555</v>
      </c>
      <c r="C247" s="1" t="n">
        <v>46092</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37028-2024</t>
        </is>
      </c>
      <c r="B248" s="1" t="n">
        <v>45539.38744212963</v>
      </c>
      <c r="C248" s="1" t="n">
        <v>46092</v>
      </c>
      <c r="D248" t="inlineStr">
        <is>
          <t>KALMAR LÄN</t>
        </is>
      </c>
      <c r="E248" t="inlineStr">
        <is>
          <t>VIMMERBY</t>
        </is>
      </c>
      <c r="G248" t="n">
        <v>5.2</v>
      </c>
      <c r="H248" t="n">
        <v>0</v>
      </c>
      <c r="I248" t="n">
        <v>0</v>
      </c>
      <c r="J248" t="n">
        <v>0</v>
      </c>
      <c r="K248" t="n">
        <v>0</v>
      </c>
      <c r="L248" t="n">
        <v>0</v>
      </c>
      <c r="M248" t="n">
        <v>0</v>
      </c>
      <c r="N248" t="n">
        <v>0</v>
      </c>
      <c r="O248" t="n">
        <v>0</v>
      </c>
      <c r="P248" t="n">
        <v>0</v>
      </c>
      <c r="Q248" t="n">
        <v>0</v>
      </c>
      <c r="R248" s="2" t="inlineStr"/>
    </row>
    <row r="249" ht="15" customHeight="1">
      <c r="A249" t="inlineStr">
        <is>
          <t>A 58503-2025</t>
        </is>
      </c>
      <c r="B249" s="1" t="n">
        <v>45985.69509259259</v>
      </c>
      <c r="C249" s="1" t="n">
        <v>46092</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58498-2025</t>
        </is>
      </c>
      <c r="B250" s="1" t="n">
        <v>45985.68671296296</v>
      </c>
      <c r="C250" s="1" t="n">
        <v>46092</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58501-2025</t>
        </is>
      </c>
      <c r="B251" s="1" t="n">
        <v>45985.69153935185</v>
      </c>
      <c r="C251" s="1" t="n">
        <v>46092</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58514-2025</t>
        </is>
      </c>
      <c r="B252" s="1" t="n">
        <v>45985.70513888889</v>
      </c>
      <c r="C252" s="1" t="n">
        <v>46092</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58442-2025</t>
        </is>
      </c>
      <c r="B253" s="1" t="n">
        <v>45985.61635416667</v>
      </c>
      <c r="C253" s="1" t="n">
        <v>46092</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58435-2025</t>
        </is>
      </c>
      <c r="B254" s="1" t="n">
        <v>45985.61501157407</v>
      </c>
      <c r="C254" s="1" t="n">
        <v>46092</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58446-2025</t>
        </is>
      </c>
      <c r="B255" s="1" t="n">
        <v>45985.62168981481</v>
      </c>
      <c r="C255" s="1" t="n">
        <v>46092</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6668-2023</t>
        </is>
      </c>
      <c r="B256" s="1" t="n">
        <v>44966</v>
      </c>
      <c r="C256" s="1" t="n">
        <v>46092</v>
      </c>
      <c r="D256" t="inlineStr">
        <is>
          <t>KALMAR LÄN</t>
        </is>
      </c>
      <c r="E256" t="inlineStr">
        <is>
          <t>VIMMERBY</t>
        </is>
      </c>
      <c r="G256" t="n">
        <v>0.9</v>
      </c>
      <c r="H256" t="n">
        <v>0</v>
      </c>
      <c r="I256" t="n">
        <v>0</v>
      </c>
      <c r="J256" t="n">
        <v>0</v>
      </c>
      <c r="K256" t="n">
        <v>0</v>
      </c>
      <c r="L256" t="n">
        <v>0</v>
      </c>
      <c r="M256" t="n">
        <v>0</v>
      </c>
      <c r="N256" t="n">
        <v>0</v>
      </c>
      <c r="O256" t="n">
        <v>0</v>
      </c>
      <c r="P256" t="n">
        <v>0</v>
      </c>
      <c r="Q256" t="n">
        <v>0</v>
      </c>
      <c r="R256" s="2" t="inlineStr"/>
    </row>
    <row r="257" ht="15" customHeight="1">
      <c r="A257" t="inlineStr">
        <is>
          <t>A 29168-2024</t>
        </is>
      </c>
      <c r="B257" s="1" t="n">
        <v>45482.49870370371</v>
      </c>
      <c r="C257" s="1" t="n">
        <v>46092</v>
      </c>
      <c r="D257" t="inlineStr">
        <is>
          <t>KALMAR LÄN</t>
        </is>
      </c>
      <c r="E257" t="inlineStr">
        <is>
          <t>VIMMERBY</t>
        </is>
      </c>
      <c r="G257" t="n">
        <v>1.4</v>
      </c>
      <c r="H257" t="n">
        <v>0</v>
      </c>
      <c r="I257" t="n">
        <v>0</v>
      </c>
      <c r="J257" t="n">
        <v>0</v>
      </c>
      <c r="K257" t="n">
        <v>0</v>
      </c>
      <c r="L257" t="n">
        <v>0</v>
      </c>
      <c r="M257" t="n">
        <v>0</v>
      </c>
      <c r="N257" t="n">
        <v>0</v>
      </c>
      <c r="O257" t="n">
        <v>0</v>
      </c>
      <c r="P257" t="n">
        <v>0</v>
      </c>
      <c r="Q257" t="n">
        <v>0</v>
      </c>
      <c r="R257" s="2" t="inlineStr"/>
    </row>
    <row r="258" ht="15" customHeight="1">
      <c r="A258" t="inlineStr">
        <is>
          <t>A 55236-2023</t>
        </is>
      </c>
      <c r="B258" s="1" t="n">
        <v>45237.63225694445</v>
      </c>
      <c r="C258" s="1" t="n">
        <v>46092</v>
      </c>
      <c r="D258" t="inlineStr">
        <is>
          <t>KALMAR LÄN</t>
        </is>
      </c>
      <c r="E258" t="inlineStr">
        <is>
          <t>VIMMERBY</t>
        </is>
      </c>
      <c r="G258" t="n">
        <v>1.1</v>
      </c>
      <c r="H258" t="n">
        <v>0</v>
      </c>
      <c r="I258" t="n">
        <v>0</v>
      </c>
      <c r="J258" t="n">
        <v>0</v>
      </c>
      <c r="K258" t="n">
        <v>0</v>
      </c>
      <c r="L258" t="n">
        <v>0</v>
      </c>
      <c r="M258" t="n">
        <v>0</v>
      </c>
      <c r="N258" t="n">
        <v>0</v>
      </c>
      <c r="O258" t="n">
        <v>0</v>
      </c>
      <c r="P258" t="n">
        <v>0</v>
      </c>
      <c r="Q258" t="n">
        <v>0</v>
      </c>
      <c r="R258" s="2" t="inlineStr"/>
    </row>
    <row r="259" ht="15" customHeight="1">
      <c r="A259" t="inlineStr">
        <is>
          <t>A 55245-2023</t>
        </is>
      </c>
      <c r="B259" s="1" t="n">
        <v>45237.64408564815</v>
      </c>
      <c r="C259" s="1" t="n">
        <v>46092</v>
      </c>
      <c r="D259" t="inlineStr">
        <is>
          <t>KALMAR LÄN</t>
        </is>
      </c>
      <c r="E259" t="inlineStr">
        <is>
          <t>VIMMERBY</t>
        </is>
      </c>
      <c r="G259" t="n">
        <v>1.3</v>
      </c>
      <c r="H259" t="n">
        <v>0</v>
      </c>
      <c r="I259" t="n">
        <v>0</v>
      </c>
      <c r="J259" t="n">
        <v>0</v>
      </c>
      <c r="K259" t="n">
        <v>0</v>
      </c>
      <c r="L259" t="n">
        <v>0</v>
      </c>
      <c r="M259" t="n">
        <v>0</v>
      </c>
      <c r="N259" t="n">
        <v>0</v>
      </c>
      <c r="O259" t="n">
        <v>0</v>
      </c>
      <c r="P259" t="n">
        <v>0</v>
      </c>
      <c r="Q259" t="n">
        <v>0</v>
      </c>
      <c r="R259" s="2" t="inlineStr"/>
    </row>
    <row r="260" ht="15" customHeight="1">
      <c r="A260" t="inlineStr">
        <is>
          <t>A 36055-2024</t>
        </is>
      </c>
      <c r="B260" s="1" t="n">
        <v>45533.63056712963</v>
      </c>
      <c r="C260" s="1" t="n">
        <v>46092</v>
      </c>
      <c r="D260" t="inlineStr">
        <is>
          <t>KALMAR LÄN</t>
        </is>
      </c>
      <c r="E260" t="inlineStr">
        <is>
          <t>VIMMERBY</t>
        </is>
      </c>
      <c r="F260" t="inlineStr">
        <is>
          <t>Kommuner</t>
        </is>
      </c>
      <c r="G260" t="n">
        <v>1.9</v>
      </c>
      <c r="H260" t="n">
        <v>0</v>
      </c>
      <c r="I260" t="n">
        <v>0</v>
      </c>
      <c r="J260" t="n">
        <v>0</v>
      </c>
      <c r="K260" t="n">
        <v>0</v>
      </c>
      <c r="L260" t="n">
        <v>0</v>
      </c>
      <c r="M260" t="n">
        <v>0</v>
      </c>
      <c r="N260" t="n">
        <v>0</v>
      </c>
      <c r="O260" t="n">
        <v>0</v>
      </c>
      <c r="P260" t="n">
        <v>0</v>
      </c>
      <c r="Q260" t="n">
        <v>0</v>
      </c>
      <c r="R260" s="2" t="inlineStr"/>
    </row>
    <row r="261" ht="15" customHeight="1">
      <c r="A261" t="inlineStr">
        <is>
          <t>A 39801-2025</t>
        </is>
      </c>
      <c r="B261" s="1" t="n">
        <v>45891.50216435185</v>
      </c>
      <c r="C261" s="1" t="n">
        <v>46092</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58500-2025</t>
        </is>
      </c>
      <c r="B262" s="1" t="n">
        <v>45985.69008101852</v>
      </c>
      <c r="C262" s="1" t="n">
        <v>46092</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58841-2025</t>
        </is>
      </c>
      <c r="B263" s="1" t="n">
        <v>45987.36275462963</v>
      </c>
      <c r="C263" s="1" t="n">
        <v>46092</v>
      </c>
      <c r="D263" t="inlineStr">
        <is>
          <t>KALMAR LÄN</t>
        </is>
      </c>
      <c r="E263" t="inlineStr">
        <is>
          <t>VIMMERBY</t>
        </is>
      </c>
      <c r="G263" t="n">
        <v>3.5</v>
      </c>
      <c r="H263" t="n">
        <v>0</v>
      </c>
      <c r="I263" t="n">
        <v>0</v>
      </c>
      <c r="J263" t="n">
        <v>0</v>
      </c>
      <c r="K263" t="n">
        <v>0</v>
      </c>
      <c r="L263" t="n">
        <v>0</v>
      </c>
      <c r="M263" t="n">
        <v>0</v>
      </c>
      <c r="N263" t="n">
        <v>0</v>
      </c>
      <c r="O263" t="n">
        <v>0</v>
      </c>
      <c r="P263" t="n">
        <v>0</v>
      </c>
      <c r="Q263" t="n">
        <v>0</v>
      </c>
      <c r="R263" s="2" t="inlineStr"/>
    </row>
    <row r="264" ht="15" customHeight="1">
      <c r="A264" t="inlineStr">
        <is>
          <t>A 39807-2025</t>
        </is>
      </c>
      <c r="B264" s="1" t="n">
        <v>45891.50986111111</v>
      </c>
      <c r="C264" s="1" t="n">
        <v>46092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39736-2025</t>
        </is>
      </c>
      <c r="B265" s="1" t="n">
        <v>45891</v>
      </c>
      <c r="C265" s="1" t="n">
        <v>46092</v>
      </c>
      <c r="D265" t="inlineStr">
        <is>
          <t>KALMAR LÄN</t>
        </is>
      </c>
      <c r="E265" t="inlineStr">
        <is>
          <t>VIMMERBY</t>
        </is>
      </c>
      <c r="G265" t="n">
        <v>12.8</v>
      </c>
      <c r="H265" t="n">
        <v>0</v>
      </c>
      <c r="I265" t="n">
        <v>0</v>
      </c>
      <c r="J265" t="n">
        <v>0</v>
      </c>
      <c r="K265" t="n">
        <v>0</v>
      </c>
      <c r="L265" t="n">
        <v>0</v>
      </c>
      <c r="M265" t="n">
        <v>0</v>
      </c>
      <c r="N265" t="n">
        <v>0</v>
      </c>
      <c r="O265" t="n">
        <v>0</v>
      </c>
      <c r="P265" t="n">
        <v>0</v>
      </c>
      <c r="Q265" t="n">
        <v>0</v>
      </c>
      <c r="R265" s="2" t="inlineStr"/>
    </row>
    <row r="266" ht="15" customHeight="1">
      <c r="A266" t="inlineStr">
        <is>
          <t>A 58858-2025</t>
        </is>
      </c>
      <c r="B266" s="1" t="n">
        <v>45987.4243287037</v>
      </c>
      <c r="C266" s="1" t="n">
        <v>46092</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27443-2023</t>
        </is>
      </c>
      <c r="B267" s="1" t="n">
        <v>45097.40524305555</v>
      </c>
      <c r="C267" s="1" t="n">
        <v>46092</v>
      </c>
      <c r="D267" t="inlineStr">
        <is>
          <t>KALMAR LÄN</t>
        </is>
      </c>
      <c r="E267" t="inlineStr">
        <is>
          <t>VIMMERBY</t>
        </is>
      </c>
      <c r="F267" t="inlineStr">
        <is>
          <t>Övriga Aktiebolag</t>
        </is>
      </c>
      <c r="G267" t="n">
        <v>2.3</v>
      </c>
      <c r="H267" t="n">
        <v>0</v>
      </c>
      <c r="I267" t="n">
        <v>0</v>
      </c>
      <c r="J267" t="n">
        <v>0</v>
      </c>
      <c r="K267" t="n">
        <v>0</v>
      </c>
      <c r="L267" t="n">
        <v>0</v>
      </c>
      <c r="M267" t="n">
        <v>0</v>
      </c>
      <c r="N267" t="n">
        <v>0</v>
      </c>
      <c r="O267" t="n">
        <v>0</v>
      </c>
      <c r="P267" t="n">
        <v>0</v>
      </c>
      <c r="Q267" t="n">
        <v>0</v>
      </c>
      <c r="R267" s="2" t="inlineStr"/>
    </row>
    <row r="268" ht="15" customHeight="1">
      <c r="A268" t="inlineStr">
        <is>
          <t>A 845-2023</t>
        </is>
      </c>
      <c r="B268" s="1" t="n">
        <v>44931</v>
      </c>
      <c r="C268" s="1" t="n">
        <v>46092</v>
      </c>
      <c r="D268" t="inlineStr">
        <is>
          <t>KALMAR LÄN</t>
        </is>
      </c>
      <c r="E268" t="inlineStr">
        <is>
          <t>VIMMERBY</t>
        </is>
      </c>
      <c r="F268" t="inlineStr">
        <is>
          <t>Övriga Aktiebolag</t>
        </is>
      </c>
      <c r="G268" t="n">
        <v>19</v>
      </c>
      <c r="H268" t="n">
        <v>0</v>
      </c>
      <c r="I268" t="n">
        <v>0</v>
      </c>
      <c r="J268" t="n">
        <v>0</v>
      </c>
      <c r="K268" t="n">
        <v>0</v>
      </c>
      <c r="L268" t="n">
        <v>0</v>
      </c>
      <c r="M268" t="n">
        <v>0</v>
      </c>
      <c r="N268" t="n">
        <v>0</v>
      </c>
      <c r="O268" t="n">
        <v>0</v>
      </c>
      <c r="P268" t="n">
        <v>0</v>
      </c>
      <c r="Q268" t="n">
        <v>0</v>
      </c>
      <c r="R268" s="2" t="inlineStr"/>
    </row>
    <row r="269" ht="15" customHeight="1">
      <c r="A269" t="inlineStr">
        <is>
          <t>A 39803-2025</t>
        </is>
      </c>
      <c r="B269" s="1" t="n">
        <v>45891.50525462963</v>
      </c>
      <c r="C269" s="1" t="n">
        <v>46092</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39889-2025</t>
        </is>
      </c>
      <c r="B270" s="1" t="n">
        <v>45891</v>
      </c>
      <c r="C270" s="1" t="n">
        <v>46092</v>
      </c>
      <c r="D270" t="inlineStr">
        <is>
          <t>KALMAR LÄN</t>
        </is>
      </c>
      <c r="E270" t="inlineStr">
        <is>
          <t>VIMMERBY</t>
        </is>
      </c>
      <c r="G270" t="n">
        <v>4.5</v>
      </c>
      <c r="H270" t="n">
        <v>0</v>
      </c>
      <c r="I270" t="n">
        <v>0</v>
      </c>
      <c r="J270" t="n">
        <v>0</v>
      </c>
      <c r="K270" t="n">
        <v>0</v>
      </c>
      <c r="L270" t="n">
        <v>0</v>
      </c>
      <c r="M270" t="n">
        <v>0</v>
      </c>
      <c r="N270" t="n">
        <v>0</v>
      </c>
      <c r="O270" t="n">
        <v>0</v>
      </c>
      <c r="P270" t="n">
        <v>0</v>
      </c>
      <c r="Q270" t="n">
        <v>0</v>
      </c>
      <c r="R270" s="2" t="inlineStr"/>
    </row>
    <row r="271" ht="15" customHeight="1">
      <c r="A271" t="inlineStr">
        <is>
          <t>A 59039-2025</t>
        </is>
      </c>
      <c r="B271" s="1" t="n">
        <v>45988.36790509259</v>
      </c>
      <c r="C271" s="1" t="n">
        <v>46092</v>
      </c>
      <c r="D271" t="inlineStr">
        <is>
          <t>KALMAR LÄN</t>
        </is>
      </c>
      <c r="E271" t="inlineStr">
        <is>
          <t>VIMMERBY</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6321-2023</t>
        </is>
      </c>
      <c r="B272" s="1" t="n">
        <v>44965.4815162037</v>
      </c>
      <c r="C272" s="1" t="n">
        <v>46092</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4624-2024</t>
        </is>
      </c>
      <c r="B273" s="1" t="n">
        <v>45328.38755787037</v>
      </c>
      <c r="C273" s="1" t="n">
        <v>46092</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59034-2025</t>
        </is>
      </c>
      <c r="B274" s="1" t="n">
        <v>45988.36243055556</v>
      </c>
      <c r="C274" s="1" t="n">
        <v>46092</v>
      </c>
      <c r="D274" t="inlineStr">
        <is>
          <t>KALMAR LÄN</t>
        </is>
      </c>
      <c r="E274" t="inlineStr">
        <is>
          <t>VIMMERBY</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59037-2025</t>
        </is>
      </c>
      <c r="B275" s="1" t="n">
        <v>45988.36508101852</v>
      </c>
      <c r="C275" s="1" t="n">
        <v>46092</v>
      </c>
      <c r="D275" t="inlineStr">
        <is>
          <t>KALMAR LÄN</t>
        </is>
      </c>
      <c r="E275" t="inlineStr">
        <is>
          <t>VIMMERBY</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59068-2025</t>
        </is>
      </c>
      <c r="B276" s="1" t="n">
        <v>45988.41725694444</v>
      </c>
      <c r="C276" s="1" t="n">
        <v>46092</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40730-2024</t>
        </is>
      </c>
      <c r="B277" s="1" t="n">
        <v>45558.44914351852</v>
      </c>
      <c r="C277" s="1" t="n">
        <v>46092</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2157-2024</t>
        </is>
      </c>
      <c r="B278" s="1" t="n">
        <v>45309.59487268519</v>
      </c>
      <c r="C278" s="1" t="n">
        <v>46092</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59579-2025</t>
        </is>
      </c>
      <c r="B279" s="1" t="n">
        <v>45992.30569444445</v>
      </c>
      <c r="C279" s="1" t="n">
        <v>46092</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40925-2025</t>
        </is>
      </c>
      <c r="B280" s="1" t="n">
        <v>45897.64208333333</v>
      </c>
      <c r="C280" s="1" t="n">
        <v>46092</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49461-2022</t>
        </is>
      </c>
      <c r="B281" s="1" t="n">
        <v>44861</v>
      </c>
      <c r="C281" s="1" t="n">
        <v>46092</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40921-2025</t>
        </is>
      </c>
      <c r="B282" s="1" t="n">
        <v>45897.63520833333</v>
      </c>
      <c r="C282" s="1" t="n">
        <v>46092</v>
      </c>
      <c r="D282" t="inlineStr">
        <is>
          <t>KALMAR LÄN</t>
        </is>
      </c>
      <c r="E282" t="inlineStr">
        <is>
          <t>VIMMERBY</t>
        </is>
      </c>
      <c r="G282" t="n">
        <v>4.2</v>
      </c>
      <c r="H282" t="n">
        <v>0</v>
      </c>
      <c r="I282" t="n">
        <v>0</v>
      </c>
      <c r="J282" t="n">
        <v>0</v>
      </c>
      <c r="K282" t="n">
        <v>0</v>
      </c>
      <c r="L282" t="n">
        <v>0</v>
      </c>
      <c r="M282" t="n">
        <v>0</v>
      </c>
      <c r="N282" t="n">
        <v>0</v>
      </c>
      <c r="O282" t="n">
        <v>0</v>
      </c>
      <c r="P282" t="n">
        <v>0</v>
      </c>
      <c r="Q282" t="n">
        <v>0</v>
      </c>
      <c r="R282" s="2" t="inlineStr"/>
    </row>
    <row r="283" ht="15" customHeight="1">
      <c r="A283" t="inlineStr">
        <is>
          <t>A 694-2024</t>
        </is>
      </c>
      <c r="B283" s="1" t="n">
        <v>45300.3794212963</v>
      </c>
      <c r="C283" s="1" t="n">
        <v>46092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59598-2023</t>
        </is>
      </c>
      <c r="B284" s="1" t="n">
        <v>45254.62489583333</v>
      </c>
      <c r="C284" s="1" t="n">
        <v>46092</v>
      </c>
      <c r="D284" t="inlineStr">
        <is>
          <t>KALMAR LÄN</t>
        </is>
      </c>
      <c r="E284" t="inlineStr">
        <is>
          <t>VIMMERBY</t>
        </is>
      </c>
      <c r="F284" t="inlineStr">
        <is>
          <t>Övriga Aktiebolag</t>
        </is>
      </c>
      <c r="G284" t="n">
        <v>4</v>
      </c>
      <c r="H284" t="n">
        <v>0</v>
      </c>
      <c r="I284" t="n">
        <v>0</v>
      </c>
      <c r="J284" t="n">
        <v>0</v>
      </c>
      <c r="K284" t="n">
        <v>0</v>
      </c>
      <c r="L284" t="n">
        <v>0</v>
      </c>
      <c r="M284" t="n">
        <v>0</v>
      </c>
      <c r="N284" t="n">
        <v>0</v>
      </c>
      <c r="O284" t="n">
        <v>0</v>
      </c>
      <c r="P284" t="n">
        <v>0</v>
      </c>
      <c r="Q284" t="n">
        <v>0</v>
      </c>
      <c r="R284" s="2" t="inlineStr"/>
    </row>
    <row r="285" ht="15" customHeight="1">
      <c r="A285" t="inlineStr">
        <is>
          <t>A 7944-2024</t>
        </is>
      </c>
      <c r="B285" s="1" t="n">
        <v>45350.53306712963</v>
      </c>
      <c r="C285" s="1" t="n">
        <v>46092</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21496-2023</t>
        </is>
      </c>
      <c r="B286" s="1" t="n">
        <v>45063.49936342592</v>
      </c>
      <c r="C286" s="1" t="n">
        <v>46092</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41224-2025</t>
        </is>
      </c>
      <c r="B287" s="1" t="n">
        <v>45898.58861111111</v>
      </c>
      <c r="C287" s="1" t="n">
        <v>46092</v>
      </c>
      <c r="D287" t="inlineStr">
        <is>
          <t>KALMAR LÄN</t>
        </is>
      </c>
      <c r="E287" t="inlineStr">
        <is>
          <t>VIMMERBY</t>
        </is>
      </c>
      <c r="G287" t="n">
        <v>4.4</v>
      </c>
      <c r="H287" t="n">
        <v>0</v>
      </c>
      <c r="I287" t="n">
        <v>0</v>
      </c>
      <c r="J287" t="n">
        <v>0</v>
      </c>
      <c r="K287" t="n">
        <v>0</v>
      </c>
      <c r="L287" t="n">
        <v>0</v>
      </c>
      <c r="M287" t="n">
        <v>0</v>
      </c>
      <c r="N287" t="n">
        <v>0</v>
      </c>
      <c r="O287" t="n">
        <v>0</v>
      </c>
      <c r="P287" t="n">
        <v>0</v>
      </c>
      <c r="Q287" t="n">
        <v>0</v>
      </c>
      <c r="R287" s="2" t="inlineStr"/>
    </row>
    <row r="288" ht="15" customHeight="1">
      <c r="A288" t="inlineStr">
        <is>
          <t>A 60180-2025</t>
        </is>
      </c>
      <c r="B288" s="1" t="n">
        <v>45994.46428240741</v>
      </c>
      <c r="C288" s="1" t="n">
        <v>46092</v>
      </c>
      <c r="D288" t="inlineStr">
        <is>
          <t>KALMAR LÄN</t>
        </is>
      </c>
      <c r="E288" t="inlineStr">
        <is>
          <t>VIMMERBY</t>
        </is>
      </c>
      <c r="G288" t="n">
        <v>6.8</v>
      </c>
      <c r="H288" t="n">
        <v>0</v>
      </c>
      <c r="I288" t="n">
        <v>0</v>
      </c>
      <c r="J288" t="n">
        <v>0</v>
      </c>
      <c r="K288" t="n">
        <v>0</v>
      </c>
      <c r="L288" t="n">
        <v>0</v>
      </c>
      <c r="M288" t="n">
        <v>0</v>
      </c>
      <c r="N288" t="n">
        <v>0</v>
      </c>
      <c r="O288" t="n">
        <v>0</v>
      </c>
      <c r="P288" t="n">
        <v>0</v>
      </c>
      <c r="Q288" t="n">
        <v>0</v>
      </c>
      <c r="R288" s="2" t="inlineStr"/>
    </row>
    <row r="289" ht="15" customHeight="1">
      <c r="A289" t="inlineStr">
        <is>
          <t>A 41591-2025</t>
        </is>
      </c>
      <c r="B289" s="1" t="n">
        <v>45901.6327662037</v>
      </c>
      <c r="C289" s="1" t="n">
        <v>46092</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40971-2025</t>
        </is>
      </c>
      <c r="B290" s="1" t="n">
        <v>45897.88836805556</v>
      </c>
      <c r="C290" s="1" t="n">
        <v>46092</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41589-2025</t>
        </is>
      </c>
      <c r="B291" s="1" t="n">
        <v>45901.63219907408</v>
      </c>
      <c r="C291" s="1" t="n">
        <v>46092</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60297-2025</t>
        </is>
      </c>
      <c r="B292" s="1" t="n">
        <v>45994</v>
      </c>
      <c r="C292" s="1" t="n">
        <v>46092</v>
      </c>
      <c r="D292" t="inlineStr">
        <is>
          <t>KALMAR LÄN</t>
        </is>
      </c>
      <c r="E292" t="inlineStr">
        <is>
          <t>VIMMERBY</t>
        </is>
      </c>
      <c r="G292" t="n">
        <v>4.2</v>
      </c>
      <c r="H292" t="n">
        <v>0</v>
      </c>
      <c r="I292" t="n">
        <v>0</v>
      </c>
      <c r="J292" t="n">
        <v>0</v>
      </c>
      <c r="K292" t="n">
        <v>0</v>
      </c>
      <c r="L292" t="n">
        <v>0</v>
      </c>
      <c r="M292" t="n">
        <v>0</v>
      </c>
      <c r="N292" t="n">
        <v>0</v>
      </c>
      <c r="O292" t="n">
        <v>0</v>
      </c>
      <c r="P292" t="n">
        <v>0</v>
      </c>
      <c r="Q292" t="n">
        <v>0</v>
      </c>
      <c r="R292" s="2" t="inlineStr"/>
    </row>
    <row r="293" ht="15" customHeight="1">
      <c r="A293" t="inlineStr">
        <is>
          <t>A 40970-2025</t>
        </is>
      </c>
      <c r="B293" s="1" t="n">
        <v>45897.88706018519</v>
      </c>
      <c r="C293" s="1" t="n">
        <v>46092</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40973-2025</t>
        </is>
      </c>
      <c r="B294" s="1" t="n">
        <v>45897.89737268518</v>
      </c>
      <c r="C294" s="1" t="n">
        <v>46092</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29783-2024</t>
        </is>
      </c>
      <c r="B295" s="1" t="n">
        <v>45485.45778935185</v>
      </c>
      <c r="C295" s="1" t="n">
        <v>46092</v>
      </c>
      <c r="D295" t="inlineStr">
        <is>
          <t>KALMAR LÄN</t>
        </is>
      </c>
      <c r="E295" t="inlineStr">
        <is>
          <t>VIMMERBY</t>
        </is>
      </c>
      <c r="G295" t="n">
        <v>3.1</v>
      </c>
      <c r="H295" t="n">
        <v>0</v>
      </c>
      <c r="I295" t="n">
        <v>0</v>
      </c>
      <c r="J295" t="n">
        <v>0</v>
      </c>
      <c r="K295" t="n">
        <v>0</v>
      </c>
      <c r="L295" t="n">
        <v>0</v>
      </c>
      <c r="M295" t="n">
        <v>0</v>
      </c>
      <c r="N295" t="n">
        <v>0</v>
      </c>
      <c r="O295" t="n">
        <v>0</v>
      </c>
      <c r="P295" t="n">
        <v>0</v>
      </c>
      <c r="Q295" t="n">
        <v>0</v>
      </c>
      <c r="R295" s="2" t="inlineStr"/>
    </row>
    <row r="296" ht="15" customHeight="1">
      <c r="A296" t="inlineStr">
        <is>
          <t>A 23394-2025</t>
        </is>
      </c>
      <c r="B296" s="1" t="n">
        <v>45791.89865740741</v>
      </c>
      <c r="C296" s="1" t="n">
        <v>46092</v>
      </c>
      <c r="D296" t="inlineStr">
        <is>
          <t>KALMAR LÄN</t>
        </is>
      </c>
      <c r="E296" t="inlineStr">
        <is>
          <t>VIMMERBY</t>
        </is>
      </c>
      <c r="G296" t="n">
        <v>3.1</v>
      </c>
      <c r="H296" t="n">
        <v>0</v>
      </c>
      <c r="I296" t="n">
        <v>0</v>
      </c>
      <c r="J296" t="n">
        <v>0</v>
      </c>
      <c r="K296" t="n">
        <v>0</v>
      </c>
      <c r="L296" t="n">
        <v>0</v>
      </c>
      <c r="M296" t="n">
        <v>0</v>
      </c>
      <c r="N296" t="n">
        <v>0</v>
      </c>
      <c r="O296" t="n">
        <v>0</v>
      </c>
      <c r="P296" t="n">
        <v>0</v>
      </c>
      <c r="Q296" t="n">
        <v>0</v>
      </c>
      <c r="R296" s="2" t="inlineStr"/>
    </row>
    <row r="297" ht="15" customHeight="1">
      <c r="A297" t="inlineStr">
        <is>
          <t>A 34090-2025</t>
        </is>
      </c>
      <c r="B297" s="1" t="n">
        <v>45845</v>
      </c>
      <c r="C297" s="1" t="n">
        <v>46092</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35198-2023</t>
        </is>
      </c>
      <c r="B298" s="1" t="n">
        <v>45145</v>
      </c>
      <c r="C298" s="1" t="n">
        <v>46092</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43853-2023</t>
        </is>
      </c>
      <c r="B299" s="1" t="n">
        <v>45187.60813657408</v>
      </c>
      <c r="C299" s="1" t="n">
        <v>46092</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23984-2025</t>
        </is>
      </c>
      <c r="B300" s="1" t="n">
        <v>45796</v>
      </c>
      <c r="C300" s="1" t="n">
        <v>46092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41735-2025</t>
        </is>
      </c>
      <c r="B301" s="1" t="n">
        <v>45902.47164351852</v>
      </c>
      <c r="C301" s="1" t="n">
        <v>46092</v>
      </c>
      <c r="D301" t="inlineStr">
        <is>
          <t>KALMAR LÄN</t>
        </is>
      </c>
      <c r="E301" t="inlineStr">
        <is>
          <t>VIMMERBY</t>
        </is>
      </c>
      <c r="G301" t="n">
        <v>3</v>
      </c>
      <c r="H301" t="n">
        <v>0</v>
      </c>
      <c r="I301" t="n">
        <v>0</v>
      </c>
      <c r="J301" t="n">
        <v>0</v>
      </c>
      <c r="K301" t="n">
        <v>0</v>
      </c>
      <c r="L301" t="n">
        <v>0</v>
      </c>
      <c r="M301" t="n">
        <v>0</v>
      </c>
      <c r="N301" t="n">
        <v>0</v>
      </c>
      <c r="O301" t="n">
        <v>0</v>
      </c>
      <c r="P301" t="n">
        <v>0</v>
      </c>
      <c r="Q301" t="n">
        <v>0</v>
      </c>
      <c r="R301" s="2" t="inlineStr"/>
    </row>
    <row r="302" ht="15" customHeight="1">
      <c r="A302" t="inlineStr">
        <is>
          <t>A 9511-2023</t>
        </is>
      </c>
      <c r="B302" s="1" t="n">
        <v>44981.64725694444</v>
      </c>
      <c r="C302" s="1" t="n">
        <v>46092</v>
      </c>
      <c r="D302" t="inlineStr">
        <is>
          <t>KALMAR LÄN</t>
        </is>
      </c>
      <c r="E302" t="inlineStr">
        <is>
          <t>VIMMERBY</t>
        </is>
      </c>
      <c r="G302" t="n">
        <v>3.5</v>
      </c>
      <c r="H302" t="n">
        <v>0</v>
      </c>
      <c r="I302" t="n">
        <v>0</v>
      </c>
      <c r="J302" t="n">
        <v>0</v>
      </c>
      <c r="K302" t="n">
        <v>0</v>
      </c>
      <c r="L302" t="n">
        <v>0</v>
      </c>
      <c r="M302" t="n">
        <v>0</v>
      </c>
      <c r="N302" t="n">
        <v>0</v>
      </c>
      <c r="O302" t="n">
        <v>0</v>
      </c>
      <c r="P302" t="n">
        <v>0</v>
      </c>
      <c r="Q302" t="n">
        <v>0</v>
      </c>
      <c r="R302" s="2" t="inlineStr"/>
    </row>
    <row r="303" ht="15" customHeight="1">
      <c r="A303" t="inlineStr">
        <is>
          <t>A 38757-2023</t>
        </is>
      </c>
      <c r="B303" s="1" t="n">
        <v>45163.41376157408</v>
      </c>
      <c r="C303" s="1" t="n">
        <v>46092</v>
      </c>
      <c r="D303" t="inlineStr">
        <is>
          <t>KALMAR LÄN</t>
        </is>
      </c>
      <c r="E303" t="inlineStr">
        <is>
          <t>VIMMERBY</t>
        </is>
      </c>
      <c r="G303" t="n">
        <v>2.5</v>
      </c>
      <c r="H303" t="n">
        <v>0</v>
      </c>
      <c r="I303" t="n">
        <v>0</v>
      </c>
      <c r="J303" t="n">
        <v>0</v>
      </c>
      <c r="K303" t="n">
        <v>0</v>
      </c>
      <c r="L303" t="n">
        <v>0</v>
      </c>
      <c r="M303" t="n">
        <v>0</v>
      </c>
      <c r="N303" t="n">
        <v>0</v>
      </c>
      <c r="O303" t="n">
        <v>0</v>
      </c>
      <c r="P303" t="n">
        <v>0</v>
      </c>
      <c r="Q303" t="n">
        <v>0</v>
      </c>
      <c r="R303" s="2" t="inlineStr"/>
    </row>
    <row r="304" ht="15" customHeight="1">
      <c r="A304" t="inlineStr">
        <is>
          <t>A 61725-2025</t>
        </is>
      </c>
      <c r="B304" s="1" t="n">
        <v>46002.58680555555</v>
      </c>
      <c r="C304" s="1" t="n">
        <v>46092</v>
      </c>
      <c r="D304" t="inlineStr">
        <is>
          <t>KALMAR LÄN</t>
        </is>
      </c>
      <c r="E304" t="inlineStr">
        <is>
          <t>VIMMERBY</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35082-2024</t>
        </is>
      </c>
      <c r="B305" s="1" t="n">
        <v>45527.68784722222</v>
      </c>
      <c r="C305" s="1" t="n">
        <v>46092</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29973-2023</t>
        </is>
      </c>
      <c r="B306" s="1" t="n">
        <v>45108.703125</v>
      </c>
      <c r="C306" s="1" t="n">
        <v>46092</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61790-2025</t>
        </is>
      </c>
      <c r="B307" s="1" t="n">
        <v>46002.68768518518</v>
      </c>
      <c r="C307" s="1" t="n">
        <v>46092</v>
      </c>
      <c r="D307" t="inlineStr">
        <is>
          <t>KALMAR LÄN</t>
        </is>
      </c>
      <c r="E307" t="inlineStr">
        <is>
          <t>VIMMERBY</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51278-2024</t>
        </is>
      </c>
      <c r="B308" s="1" t="n">
        <v>45603.74959490741</v>
      </c>
      <c r="C308" s="1" t="n">
        <v>46092</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64143-2021</t>
        </is>
      </c>
      <c r="B309" s="1" t="n">
        <v>44510.52157407408</v>
      </c>
      <c r="C309" s="1" t="n">
        <v>46092</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73938-2021</t>
        </is>
      </c>
      <c r="B310" s="1" t="n">
        <v>44553</v>
      </c>
      <c r="C310" s="1" t="n">
        <v>46092</v>
      </c>
      <c r="D310" t="inlineStr">
        <is>
          <t>KALMAR LÄN</t>
        </is>
      </c>
      <c r="E310" t="inlineStr">
        <is>
          <t>VIMMERBY</t>
        </is>
      </c>
      <c r="G310" t="n">
        <v>3.2</v>
      </c>
      <c r="H310" t="n">
        <v>0</v>
      </c>
      <c r="I310" t="n">
        <v>0</v>
      </c>
      <c r="J310" t="n">
        <v>0</v>
      </c>
      <c r="K310" t="n">
        <v>0</v>
      </c>
      <c r="L310" t="n">
        <v>0</v>
      </c>
      <c r="M310" t="n">
        <v>0</v>
      </c>
      <c r="N310" t="n">
        <v>0</v>
      </c>
      <c r="O310" t="n">
        <v>0</v>
      </c>
      <c r="P310" t="n">
        <v>0</v>
      </c>
      <c r="Q310" t="n">
        <v>0</v>
      </c>
      <c r="R310" s="2" t="inlineStr"/>
    </row>
    <row r="311" ht="15" customHeight="1">
      <c r="A311" t="inlineStr">
        <is>
          <t>A 9456-2025</t>
        </is>
      </c>
      <c r="B311" s="1" t="n">
        <v>45715.44159722222</v>
      </c>
      <c r="C311" s="1" t="n">
        <v>46092</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11111-2023</t>
        </is>
      </c>
      <c r="B312" s="1" t="n">
        <v>44992.4255787037</v>
      </c>
      <c r="C312" s="1" t="n">
        <v>46092</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61726-2025</t>
        </is>
      </c>
      <c r="B313" s="1" t="n">
        <v>46002.58822916666</v>
      </c>
      <c r="C313" s="1" t="n">
        <v>46092</v>
      </c>
      <c r="D313" t="inlineStr">
        <is>
          <t>KALMAR LÄN</t>
        </is>
      </c>
      <c r="E313" t="inlineStr">
        <is>
          <t>VIMMERBY</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40076-2021</t>
        </is>
      </c>
      <c r="B314" s="1" t="n">
        <v>44418</v>
      </c>
      <c r="C314" s="1" t="n">
        <v>46092</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50648-2023</t>
        </is>
      </c>
      <c r="B315" s="1" t="n">
        <v>45217.47834490741</v>
      </c>
      <c r="C315" s="1" t="n">
        <v>46092</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529-2022</t>
        </is>
      </c>
      <c r="B316" s="1" t="n">
        <v>44566</v>
      </c>
      <c r="C316" s="1" t="n">
        <v>46092</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58318-2021</t>
        </is>
      </c>
      <c r="B317" s="1" t="n">
        <v>44488.35878472222</v>
      </c>
      <c r="C317" s="1" t="n">
        <v>46092</v>
      </c>
      <c r="D317" t="inlineStr">
        <is>
          <t>KALMAR LÄN</t>
        </is>
      </c>
      <c r="E317" t="inlineStr">
        <is>
          <t>VIMMERBY</t>
        </is>
      </c>
      <c r="G317" t="n">
        <v>4</v>
      </c>
      <c r="H317" t="n">
        <v>0</v>
      </c>
      <c r="I317" t="n">
        <v>0</v>
      </c>
      <c r="J317" t="n">
        <v>0</v>
      </c>
      <c r="K317" t="n">
        <v>0</v>
      </c>
      <c r="L317" t="n">
        <v>0</v>
      </c>
      <c r="M317" t="n">
        <v>0</v>
      </c>
      <c r="N317" t="n">
        <v>0</v>
      </c>
      <c r="O317" t="n">
        <v>0</v>
      </c>
      <c r="P317" t="n">
        <v>0</v>
      </c>
      <c r="Q317" t="n">
        <v>0</v>
      </c>
      <c r="R317" s="2" t="inlineStr"/>
    </row>
    <row r="318" ht="15" customHeight="1">
      <c r="A318" t="inlineStr">
        <is>
          <t>A 89-2023</t>
        </is>
      </c>
      <c r="B318" s="1" t="n">
        <v>44918</v>
      </c>
      <c r="C318" s="1" t="n">
        <v>46092</v>
      </c>
      <c r="D318" t="inlineStr">
        <is>
          <t>KALMAR LÄN</t>
        </is>
      </c>
      <c r="E318" t="inlineStr">
        <is>
          <t>VIMMERBY</t>
        </is>
      </c>
      <c r="G318" t="n">
        <v>16.1</v>
      </c>
      <c r="H318" t="n">
        <v>0</v>
      </c>
      <c r="I318" t="n">
        <v>0</v>
      </c>
      <c r="J318" t="n">
        <v>0</v>
      </c>
      <c r="K318" t="n">
        <v>0</v>
      </c>
      <c r="L318" t="n">
        <v>0</v>
      </c>
      <c r="M318" t="n">
        <v>0</v>
      </c>
      <c r="N318" t="n">
        <v>0</v>
      </c>
      <c r="O318" t="n">
        <v>0</v>
      </c>
      <c r="P318" t="n">
        <v>0</v>
      </c>
      <c r="Q318" t="n">
        <v>0</v>
      </c>
      <c r="R318" s="2" t="inlineStr"/>
    </row>
    <row r="319" ht="15" customHeight="1">
      <c r="A319" t="inlineStr">
        <is>
          <t>A 23088-2024</t>
        </is>
      </c>
      <c r="B319" s="1" t="n">
        <v>45450.51092592593</v>
      </c>
      <c r="C319" s="1" t="n">
        <v>46092</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44582-2024</t>
        </is>
      </c>
      <c r="B320" s="1" t="n">
        <v>45574.49298611111</v>
      </c>
      <c r="C320" s="1" t="n">
        <v>46092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42828-2025</t>
        </is>
      </c>
      <c r="B321" s="1" t="n">
        <v>45908.57716435185</v>
      </c>
      <c r="C321" s="1" t="n">
        <v>46092</v>
      </c>
      <c r="D321" t="inlineStr">
        <is>
          <t>KALMAR LÄN</t>
        </is>
      </c>
      <c r="E321" t="inlineStr">
        <is>
          <t>VIMMERBY</t>
        </is>
      </c>
      <c r="G321" t="n">
        <v>5.2</v>
      </c>
      <c r="H321" t="n">
        <v>0</v>
      </c>
      <c r="I321" t="n">
        <v>0</v>
      </c>
      <c r="J321" t="n">
        <v>0</v>
      </c>
      <c r="K321" t="n">
        <v>0</v>
      </c>
      <c r="L321" t="n">
        <v>0</v>
      </c>
      <c r="M321" t="n">
        <v>0</v>
      </c>
      <c r="N321" t="n">
        <v>0</v>
      </c>
      <c r="O321" t="n">
        <v>0</v>
      </c>
      <c r="P321" t="n">
        <v>0</v>
      </c>
      <c r="Q321" t="n">
        <v>0</v>
      </c>
      <c r="R321" s="2" t="inlineStr"/>
    </row>
    <row r="322" ht="15" customHeight="1">
      <c r="A322" t="inlineStr">
        <is>
          <t>A 38851-2023</t>
        </is>
      </c>
      <c r="B322" s="1" t="n">
        <v>45163</v>
      </c>
      <c r="C322" s="1" t="n">
        <v>46092</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10759-2023</t>
        </is>
      </c>
      <c r="B323" s="1" t="n">
        <v>44988</v>
      </c>
      <c r="C323" s="1" t="n">
        <v>46092</v>
      </c>
      <c r="D323" t="inlineStr">
        <is>
          <t>KALMAR LÄN</t>
        </is>
      </c>
      <c r="E323" t="inlineStr">
        <is>
          <t>VIMMERBY</t>
        </is>
      </c>
      <c r="G323" t="n">
        <v>0.4</v>
      </c>
      <c r="H323" t="n">
        <v>0</v>
      </c>
      <c r="I323" t="n">
        <v>0</v>
      </c>
      <c r="J323" t="n">
        <v>0</v>
      </c>
      <c r="K323" t="n">
        <v>0</v>
      </c>
      <c r="L323" t="n">
        <v>0</v>
      </c>
      <c r="M323" t="n">
        <v>0</v>
      </c>
      <c r="N323" t="n">
        <v>0</v>
      </c>
      <c r="O323" t="n">
        <v>0</v>
      </c>
      <c r="P323" t="n">
        <v>0</v>
      </c>
      <c r="Q323" t="n">
        <v>0</v>
      </c>
      <c r="R323" s="2" t="inlineStr"/>
    </row>
    <row r="324" ht="15" customHeight="1">
      <c r="A324" t="inlineStr">
        <is>
          <t>A 42794-2025</t>
        </is>
      </c>
      <c r="B324" s="1" t="n">
        <v>45908</v>
      </c>
      <c r="C324" s="1" t="n">
        <v>46092</v>
      </c>
      <c r="D324" t="inlineStr">
        <is>
          <t>KALMAR LÄN</t>
        </is>
      </c>
      <c r="E324" t="inlineStr">
        <is>
          <t>VIMMERBY</t>
        </is>
      </c>
      <c r="G324" t="n">
        <v>0.9</v>
      </c>
      <c r="H324" t="n">
        <v>0</v>
      </c>
      <c r="I324" t="n">
        <v>0</v>
      </c>
      <c r="J324" t="n">
        <v>0</v>
      </c>
      <c r="K324" t="n">
        <v>0</v>
      </c>
      <c r="L324" t="n">
        <v>0</v>
      </c>
      <c r="M324" t="n">
        <v>0</v>
      </c>
      <c r="N324" t="n">
        <v>0</v>
      </c>
      <c r="O324" t="n">
        <v>0</v>
      </c>
      <c r="P324" t="n">
        <v>0</v>
      </c>
      <c r="Q324" t="n">
        <v>0</v>
      </c>
      <c r="R324" s="2" t="inlineStr"/>
    </row>
    <row r="325" ht="15" customHeight="1">
      <c r="A325" t="inlineStr">
        <is>
          <t>A 63583-2023</t>
        </is>
      </c>
      <c r="B325" s="1" t="n">
        <v>45275.41833333333</v>
      </c>
      <c r="C325" s="1" t="n">
        <v>46092</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40079-2023</t>
        </is>
      </c>
      <c r="B326" s="1" t="n">
        <v>45168.89298611111</v>
      </c>
      <c r="C326" s="1" t="n">
        <v>46092</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43774-2023</t>
        </is>
      </c>
      <c r="B327" s="1" t="n">
        <v>45187</v>
      </c>
      <c r="C327" s="1" t="n">
        <v>46092</v>
      </c>
      <c r="D327" t="inlineStr">
        <is>
          <t>KALMAR LÄN</t>
        </is>
      </c>
      <c r="E327" t="inlineStr">
        <is>
          <t>VIMMERBY</t>
        </is>
      </c>
      <c r="G327" t="n">
        <v>3.4</v>
      </c>
      <c r="H327" t="n">
        <v>0</v>
      </c>
      <c r="I327" t="n">
        <v>0</v>
      </c>
      <c r="J327" t="n">
        <v>0</v>
      </c>
      <c r="K327" t="n">
        <v>0</v>
      </c>
      <c r="L327" t="n">
        <v>0</v>
      </c>
      <c r="M327" t="n">
        <v>0</v>
      </c>
      <c r="N327" t="n">
        <v>0</v>
      </c>
      <c r="O327" t="n">
        <v>0</v>
      </c>
      <c r="P327" t="n">
        <v>0</v>
      </c>
      <c r="Q327" t="n">
        <v>0</v>
      </c>
      <c r="R327" s="2" t="inlineStr"/>
    </row>
    <row r="328" ht="15" customHeight="1">
      <c r="A328" t="inlineStr">
        <is>
          <t>A 42820-2025</t>
        </is>
      </c>
      <c r="B328" s="1" t="n">
        <v>45908</v>
      </c>
      <c r="C328" s="1" t="n">
        <v>46092</v>
      </c>
      <c r="D328" t="inlineStr">
        <is>
          <t>KALMAR LÄN</t>
        </is>
      </c>
      <c r="E328" t="inlineStr">
        <is>
          <t>VIMMERBY</t>
        </is>
      </c>
      <c r="G328" t="n">
        <v>1.2</v>
      </c>
      <c r="H328" t="n">
        <v>0</v>
      </c>
      <c r="I328" t="n">
        <v>0</v>
      </c>
      <c r="J328" t="n">
        <v>0</v>
      </c>
      <c r="K328" t="n">
        <v>0</v>
      </c>
      <c r="L328" t="n">
        <v>0</v>
      </c>
      <c r="M328" t="n">
        <v>0</v>
      </c>
      <c r="N328" t="n">
        <v>0</v>
      </c>
      <c r="O328" t="n">
        <v>0</v>
      </c>
      <c r="P328" t="n">
        <v>0</v>
      </c>
      <c r="Q328" t="n">
        <v>0</v>
      </c>
      <c r="R328" s="2" t="inlineStr"/>
    </row>
    <row r="329" ht="15" customHeight="1">
      <c r="A329" t="inlineStr">
        <is>
          <t>A 29616-2022</t>
        </is>
      </c>
      <c r="B329" s="1" t="n">
        <v>44754</v>
      </c>
      <c r="C329" s="1" t="n">
        <v>46092</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39578-2024</t>
        </is>
      </c>
      <c r="B330" s="1" t="n">
        <v>45552.36484953704</v>
      </c>
      <c r="C330" s="1" t="n">
        <v>46092</v>
      </c>
      <c r="D330" t="inlineStr">
        <is>
          <t>KALMAR LÄN</t>
        </is>
      </c>
      <c r="E330" t="inlineStr">
        <is>
          <t>VIMMERBY</t>
        </is>
      </c>
      <c r="G330" t="n">
        <v>1.5</v>
      </c>
      <c r="H330" t="n">
        <v>0</v>
      </c>
      <c r="I330" t="n">
        <v>0</v>
      </c>
      <c r="J330" t="n">
        <v>0</v>
      </c>
      <c r="K330" t="n">
        <v>0</v>
      </c>
      <c r="L330" t="n">
        <v>0</v>
      </c>
      <c r="M330" t="n">
        <v>0</v>
      </c>
      <c r="N330" t="n">
        <v>0</v>
      </c>
      <c r="O330" t="n">
        <v>0</v>
      </c>
      <c r="P330" t="n">
        <v>0</v>
      </c>
      <c r="Q330" t="n">
        <v>0</v>
      </c>
      <c r="R330" s="2" t="inlineStr"/>
    </row>
    <row r="331" ht="15" customHeight="1">
      <c r="A331" t="inlineStr">
        <is>
          <t>A 24707-2024</t>
        </is>
      </c>
      <c r="B331" s="1" t="n">
        <v>45460.62172453704</v>
      </c>
      <c r="C331" s="1" t="n">
        <v>46092</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34060-2025</t>
        </is>
      </c>
      <c r="B332" s="1" t="n">
        <v>45845.42015046296</v>
      </c>
      <c r="C332" s="1" t="n">
        <v>46092</v>
      </c>
      <c r="D332" t="inlineStr">
        <is>
          <t>KALMAR LÄN</t>
        </is>
      </c>
      <c r="E332" t="inlineStr">
        <is>
          <t>VIMMERBY</t>
        </is>
      </c>
      <c r="G332" t="n">
        <v>5.7</v>
      </c>
      <c r="H332" t="n">
        <v>0</v>
      </c>
      <c r="I332" t="n">
        <v>0</v>
      </c>
      <c r="J332" t="n">
        <v>0</v>
      </c>
      <c r="K332" t="n">
        <v>0</v>
      </c>
      <c r="L332" t="n">
        <v>0</v>
      </c>
      <c r="M332" t="n">
        <v>0</v>
      </c>
      <c r="N332" t="n">
        <v>0</v>
      </c>
      <c r="O332" t="n">
        <v>0</v>
      </c>
      <c r="P332" t="n">
        <v>0</v>
      </c>
      <c r="Q332" t="n">
        <v>0</v>
      </c>
      <c r="R332" s="2" t="inlineStr"/>
    </row>
    <row r="333" ht="15" customHeight="1">
      <c r="A333" t="inlineStr">
        <is>
          <t>A 43465-2025</t>
        </is>
      </c>
      <c r="B333" s="1" t="n">
        <v>45911.47138888889</v>
      </c>
      <c r="C333" s="1" t="n">
        <v>46092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31056-2022</t>
        </is>
      </c>
      <c r="B334" s="1" t="n">
        <v>44769.45805555556</v>
      </c>
      <c r="C334" s="1" t="n">
        <v>46092</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33383-2023</t>
        </is>
      </c>
      <c r="B335" s="1" t="n">
        <v>45128.58414351852</v>
      </c>
      <c r="C335" s="1" t="n">
        <v>46092</v>
      </c>
      <c r="D335" t="inlineStr">
        <is>
          <t>KALMAR LÄN</t>
        </is>
      </c>
      <c r="E335" t="inlineStr">
        <is>
          <t>VIMMERBY</t>
        </is>
      </c>
      <c r="G335" t="n">
        <v>2.3</v>
      </c>
      <c r="H335" t="n">
        <v>0</v>
      </c>
      <c r="I335" t="n">
        <v>0</v>
      </c>
      <c r="J335" t="n">
        <v>0</v>
      </c>
      <c r="K335" t="n">
        <v>0</v>
      </c>
      <c r="L335" t="n">
        <v>0</v>
      </c>
      <c r="M335" t="n">
        <v>0</v>
      </c>
      <c r="N335" t="n">
        <v>0</v>
      </c>
      <c r="O335" t="n">
        <v>0</v>
      </c>
      <c r="P335" t="n">
        <v>0</v>
      </c>
      <c r="Q335" t="n">
        <v>0</v>
      </c>
      <c r="R335" s="2" t="inlineStr"/>
    </row>
    <row r="336" ht="15" customHeight="1">
      <c r="A336" t="inlineStr">
        <is>
          <t>A 15494-2024</t>
        </is>
      </c>
      <c r="B336" s="1" t="n">
        <v>45401.53033564815</v>
      </c>
      <c r="C336" s="1" t="n">
        <v>46092</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43617-2025</t>
        </is>
      </c>
      <c r="B337" s="1" t="n">
        <v>45911.67798611111</v>
      </c>
      <c r="C337" s="1" t="n">
        <v>46092</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40828-2023</t>
        </is>
      </c>
      <c r="B338" s="1" t="n">
        <v>45171.96248842592</v>
      </c>
      <c r="C338" s="1" t="n">
        <v>46092</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61861-2024</t>
        </is>
      </c>
      <c r="B339" s="1" t="n">
        <v>45650.37370370371</v>
      </c>
      <c r="C339" s="1" t="n">
        <v>46092</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8650-2022</t>
        </is>
      </c>
      <c r="B340" s="1" t="n">
        <v>44613</v>
      </c>
      <c r="C340" s="1" t="n">
        <v>46092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33340-2023</t>
        </is>
      </c>
      <c r="B341" s="1" t="n">
        <v>45128.37305555555</v>
      </c>
      <c r="C341" s="1" t="n">
        <v>46092</v>
      </c>
      <c r="D341" t="inlineStr">
        <is>
          <t>KALMAR LÄN</t>
        </is>
      </c>
      <c r="E341" t="inlineStr">
        <is>
          <t>VIMMERBY</t>
        </is>
      </c>
      <c r="G341" t="n">
        <v>1.5</v>
      </c>
      <c r="H341" t="n">
        <v>0</v>
      </c>
      <c r="I341" t="n">
        <v>0</v>
      </c>
      <c r="J341" t="n">
        <v>0</v>
      </c>
      <c r="K341" t="n">
        <v>0</v>
      </c>
      <c r="L341" t="n">
        <v>0</v>
      </c>
      <c r="M341" t="n">
        <v>0</v>
      </c>
      <c r="N341" t="n">
        <v>0</v>
      </c>
      <c r="O341" t="n">
        <v>0</v>
      </c>
      <c r="P341" t="n">
        <v>0</v>
      </c>
      <c r="Q341" t="n">
        <v>0</v>
      </c>
      <c r="R341" s="2" t="inlineStr"/>
    </row>
    <row r="342" ht="15" customHeight="1">
      <c r="A342" t="inlineStr">
        <is>
          <t>A 44095-2025</t>
        </is>
      </c>
      <c r="B342" s="1" t="n">
        <v>45915.56430555556</v>
      </c>
      <c r="C342" s="1" t="n">
        <v>46092</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44423-2023</t>
        </is>
      </c>
      <c r="B343" s="1" t="n">
        <v>45189</v>
      </c>
      <c r="C343" s="1" t="n">
        <v>46092</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37323-2024</t>
        </is>
      </c>
      <c r="B344" s="1" t="n">
        <v>45540.50098379629</v>
      </c>
      <c r="C344" s="1" t="n">
        <v>46092</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44091-2025</t>
        </is>
      </c>
      <c r="B345" s="1" t="n">
        <v>45915.55950231481</v>
      </c>
      <c r="C345" s="1" t="n">
        <v>46092</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44517-2025</t>
        </is>
      </c>
      <c r="B346" s="1" t="n">
        <v>45916.7103587963</v>
      </c>
      <c r="C346" s="1" t="n">
        <v>46092</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18501-2024</t>
        </is>
      </c>
      <c r="B347" s="1" t="n">
        <v>45425.57538194444</v>
      </c>
      <c r="C347" s="1" t="n">
        <v>46092</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44742-2025</t>
        </is>
      </c>
      <c r="B348" s="1" t="n">
        <v>45917.67054398148</v>
      </c>
      <c r="C348" s="1" t="n">
        <v>46092</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44329-2025</t>
        </is>
      </c>
      <c r="B349" s="1" t="n">
        <v>45916.41019675926</v>
      </c>
      <c r="C349" s="1" t="n">
        <v>46092</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41896-2025</t>
        </is>
      </c>
      <c r="B350" s="1" t="n">
        <v>45903.38800925926</v>
      </c>
      <c r="C350" s="1" t="n">
        <v>46092</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27758-2024</t>
        </is>
      </c>
      <c r="B351" s="1" t="n">
        <v>45475.48303240741</v>
      </c>
      <c r="C351" s="1" t="n">
        <v>46092</v>
      </c>
      <c r="D351" t="inlineStr">
        <is>
          <t>KALMAR LÄN</t>
        </is>
      </c>
      <c r="E351" t="inlineStr">
        <is>
          <t>VIMMERBY</t>
        </is>
      </c>
      <c r="G351" t="n">
        <v>2.6</v>
      </c>
      <c r="H351" t="n">
        <v>0</v>
      </c>
      <c r="I351" t="n">
        <v>0</v>
      </c>
      <c r="J351" t="n">
        <v>0</v>
      </c>
      <c r="K351" t="n">
        <v>0</v>
      </c>
      <c r="L351" t="n">
        <v>0</v>
      </c>
      <c r="M351" t="n">
        <v>0</v>
      </c>
      <c r="N351" t="n">
        <v>0</v>
      </c>
      <c r="O351" t="n">
        <v>0</v>
      </c>
      <c r="P351" t="n">
        <v>0</v>
      </c>
      <c r="Q351" t="n">
        <v>0</v>
      </c>
      <c r="R351" s="2" t="inlineStr"/>
    </row>
    <row r="352" ht="15" customHeight="1">
      <c r="A352" t="inlineStr">
        <is>
          <t>A 13307-2025</t>
        </is>
      </c>
      <c r="B352" s="1" t="n">
        <v>45735.58024305556</v>
      </c>
      <c r="C352" s="1" t="n">
        <v>46092</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6817-2026</t>
        </is>
      </c>
      <c r="B353" s="1" t="n">
        <v>46057.38412037037</v>
      </c>
      <c r="C353" s="1" t="n">
        <v>46092</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55716-2023</t>
        </is>
      </c>
      <c r="B354" s="1" t="n">
        <v>45232</v>
      </c>
      <c r="C354" s="1" t="n">
        <v>46092</v>
      </c>
      <c r="D354" t="inlineStr">
        <is>
          <t>KALMAR LÄN</t>
        </is>
      </c>
      <c r="E354" t="inlineStr">
        <is>
          <t>VIMMERBY</t>
        </is>
      </c>
      <c r="G354" t="n">
        <v>2.3</v>
      </c>
      <c r="H354" t="n">
        <v>0</v>
      </c>
      <c r="I354" t="n">
        <v>0</v>
      </c>
      <c r="J354" t="n">
        <v>0</v>
      </c>
      <c r="K354" t="n">
        <v>0</v>
      </c>
      <c r="L354" t="n">
        <v>0</v>
      </c>
      <c r="M354" t="n">
        <v>0</v>
      </c>
      <c r="N354" t="n">
        <v>0</v>
      </c>
      <c r="O354" t="n">
        <v>0</v>
      </c>
      <c r="P354" t="n">
        <v>0</v>
      </c>
      <c r="Q354" t="n">
        <v>0</v>
      </c>
      <c r="R354" s="2" t="inlineStr"/>
    </row>
    <row r="355" ht="15" customHeight="1">
      <c r="A355" t="inlineStr">
        <is>
          <t>A 63711-2025</t>
        </is>
      </c>
      <c r="B355" s="1" t="n">
        <v>46014.62724537037</v>
      </c>
      <c r="C355" s="1" t="n">
        <v>46092</v>
      </c>
      <c r="D355" t="inlineStr">
        <is>
          <t>KALMAR LÄN</t>
        </is>
      </c>
      <c r="E355" t="inlineStr">
        <is>
          <t>VIMMERBY</t>
        </is>
      </c>
      <c r="G355" t="n">
        <v>2.1</v>
      </c>
      <c r="H355" t="n">
        <v>0</v>
      </c>
      <c r="I355" t="n">
        <v>0</v>
      </c>
      <c r="J355" t="n">
        <v>0</v>
      </c>
      <c r="K355" t="n">
        <v>0</v>
      </c>
      <c r="L355" t="n">
        <v>0</v>
      </c>
      <c r="M355" t="n">
        <v>0</v>
      </c>
      <c r="N355" t="n">
        <v>0</v>
      </c>
      <c r="O355" t="n">
        <v>0</v>
      </c>
      <c r="P355" t="n">
        <v>0</v>
      </c>
      <c r="Q355" t="n">
        <v>0</v>
      </c>
      <c r="R355" s="2" t="inlineStr"/>
    </row>
    <row r="356" ht="15" customHeight="1">
      <c r="A356" t="inlineStr">
        <is>
          <t>A 18329-2023</t>
        </is>
      </c>
      <c r="B356" s="1" t="n">
        <v>45041.63380787037</v>
      </c>
      <c r="C356" s="1" t="n">
        <v>46092</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45114-2025</t>
        </is>
      </c>
      <c r="B357" s="1" t="n">
        <v>45919.42387731482</v>
      </c>
      <c r="C357" s="1" t="n">
        <v>46092</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7040-2026</t>
        </is>
      </c>
      <c r="B358" s="1" t="n">
        <v>46057.69520833333</v>
      </c>
      <c r="C358" s="1" t="n">
        <v>46092</v>
      </c>
      <c r="D358" t="inlineStr">
        <is>
          <t>KALMAR LÄN</t>
        </is>
      </c>
      <c r="E358" t="inlineStr">
        <is>
          <t>VIMMERBY</t>
        </is>
      </c>
      <c r="G358" t="n">
        <v>2.7</v>
      </c>
      <c r="H358" t="n">
        <v>0</v>
      </c>
      <c r="I358" t="n">
        <v>0</v>
      </c>
      <c r="J358" t="n">
        <v>0</v>
      </c>
      <c r="K358" t="n">
        <v>0</v>
      </c>
      <c r="L358" t="n">
        <v>0</v>
      </c>
      <c r="M358" t="n">
        <v>0</v>
      </c>
      <c r="N358" t="n">
        <v>0</v>
      </c>
      <c r="O358" t="n">
        <v>0</v>
      </c>
      <c r="P358" t="n">
        <v>0</v>
      </c>
      <c r="Q358" t="n">
        <v>0</v>
      </c>
      <c r="R358" s="2" t="inlineStr"/>
    </row>
    <row r="359" ht="15" customHeight="1">
      <c r="A359" t="inlineStr">
        <is>
          <t>A 61937-2025</t>
        </is>
      </c>
      <c r="B359" s="1" t="n">
        <v>46003</v>
      </c>
      <c r="C359" s="1" t="n">
        <v>46092</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45319-2025</t>
        </is>
      </c>
      <c r="B360" s="1" t="n">
        <v>45921.95611111111</v>
      </c>
      <c r="C360" s="1" t="n">
        <v>46092</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13015-2023</t>
        </is>
      </c>
      <c r="B361" s="1" t="n">
        <v>45002</v>
      </c>
      <c r="C361" s="1" t="n">
        <v>46092</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29186-2024</t>
        </is>
      </c>
      <c r="B362" s="1" t="n">
        <v>45482.54844907407</v>
      </c>
      <c r="C362" s="1" t="n">
        <v>46092</v>
      </c>
      <c r="D362" t="inlineStr">
        <is>
          <t>KALMAR LÄN</t>
        </is>
      </c>
      <c r="E362" t="inlineStr">
        <is>
          <t>VIMMERBY</t>
        </is>
      </c>
      <c r="G362" t="n">
        <v>2.6</v>
      </c>
      <c r="H362" t="n">
        <v>0</v>
      </c>
      <c r="I362" t="n">
        <v>0</v>
      </c>
      <c r="J362" t="n">
        <v>0</v>
      </c>
      <c r="K362" t="n">
        <v>0</v>
      </c>
      <c r="L362" t="n">
        <v>0</v>
      </c>
      <c r="M362" t="n">
        <v>0</v>
      </c>
      <c r="N362" t="n">
        <v>0</v>
      </c>
      <c r="O362" t="n">
        <v>0</v>
      </c>
      <c r="P362" t="n">
        <v>0</v>
      </c>
      <c r="Q362" t="n">
        <v>0</v>
      </c>
      <c r="R362" s="2" t="inlineStr"/>
    </row>
    <row r="363" ht="15" customHeight="1">
      <c r="A363" t="inlineStr">
        <is>
          <t>A 50993-2022</t>
        </is>
      </c>
      <c r="B363" s="1" t="n">
        <v>44867</v>
      </c>
      <c r="C363" s="1" t="n">
        <v>46092</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45320-2025</t>
        </is>
      </c>
      <c r="B364" s="1" t="n">
        <v>45921.96395833333</v>
      </c>
      <c r="C364" s="1" t="n">
        <v>46092</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63762-2025</t>
        </is>
      </c>
      <c r="B365" s="1" t="n">
        <v>46018.67197916667</v>
      </c>
      <c r="C365" s="1" t="n">
        <v>46092</v>
      </c>
      <c r="D365" t="inlineStr">
        <is>
          <t>KALMAR LÄN</t>
        </is>
      </c>
      <c r="E365" t="inlineStr">
        <is>
          <t>VIMMERBY</t>
        </is>
      </c>
      <c r="G365" t="n">
        <v>2.5</v>
      </c>
      <c r="H365" t="n">
        <v>0</v>
      </c>
      <c r="I365" t="n">
        <v>0</v>
      </c>
      <c r="J365" t="n">
        <v>0</v>
      </c>
      <c r="K365" t="n">
        <v>0</v>
      </c>
      <c r="L365" t="n">
        <v>0</v>
      </c>
      <c r="M365" t="n">
        <v>0</v>
      </c>
      <c r="N365" t="n">
        <v>0</v>
      </c>
      <c r="O365" t="n">
        <v>0</v>
      </c>
      <c r="P365" t="n">
        <v>0</v>
      </c>
      <c r="Q365" t="n">
        <v>0</v>
      </c>
      <c r="R365" s="2" t="inlineStr"/>
    </row>
    <row r="366" ht="15" customHeight="1">
      <c r="A366" t="inlineStr">
        <is>
          <t>A 54787-2023</t>
        </is>
      </c>
      <c r="B366" s="1" t="n">
        <v>45236</v>
      </c>
      <c r="C366" s="1" t="n">
        <v>46092</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63758-2025</t>
        </is>
      </c>
      <c r="B367" s="1" t="n">
        <v>46018.46483796297</v>
      </c>
      <c r="C367" s="1" t="n">
        <v>46092</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63845-2025</t>
        </is>
      </c>
      <c r="B368" s="1" t="n">
        <v>46020.43715277778</v>
      </c>
      <c r="C368" s="1" t="n">
        <v>46092</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63848-2025</t>
        </is>
      </c>
      <c r="B369" s="1" t="n">
        <v>46020.44902777778</v>
      </c>
      <c r="C369" s="1" t="n">
        <v>46092</v>
      </c>
      <c r="D369" t="inlineStr">
        <is>
          <t>KALMAR LÄN</t>
        </is>
      </c>
      <c r="E369" t="inlineStr">
        <is>
          <t>VIMMERBY</t>
        </is>
      </c>
      <c r="G369" t="n">
        <v>3.4</v>
      </c>
      <c r="H369" t="n">
        <v>0</v>
      </c>
      <c r="I369" t="n">
        <v>0</v>
      </c>
      <c r="J369" t="n">
        <v>0</v>
      </c>
      <c r="K369" t="n">
        <v>0</v>
      </c>
      <c r="L369" t="n">
        <v>0</v>
      </c>
      <c r="M369" t="n">
        <v>0</v>
      </c>
      <c r="N369" t="n">
        <v>0</v>
      </c>
      <c r="O369" t="n">
        <v>0</v>
      </c>
      <c r="P369" t="n">
        <v>0</v>
      </c>
      <c r="Q369" t="n">
        <v>0</v>
      </c>
      <c r="R369" s="2" t="inlineStr"/>
    </row>
    <row r="370" ht="15" customHeight="1">
      <c r="A370" t="inlineStr">
        <is>
          <t>A 32614-2023</t>
        </is>
      </c>
      <c r="B370" s="1" t="n">
        <v>45121</v>
      </c>
      <c r="C370" s="1" t="n">
        <v>46092</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6850-2023</t>
        </is>
      </c>
      <c r="B371" s="1" t="n">
        <v>44967.44255787037</v>
      </c>
      <c r="C371" s="1" t="n">
        <v>46092</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46118-2025</t>
        </is>
      </c>
      <c r="B372" s="1" t="n">
        <v>45924.57697916667</v>
      </c>
      <c r="C372" s="1" t="n">
        <v>46092</v>
      </c>
      <c r="D372" t="inlineStr">
        <is>
          <t>KALMAR LÄN</t>
        </is>
      </c>
      <c r="E372" t="inlineStr">
        <is>
          <t>VIMMERBY</t>
        </is>
      </c>
      <c r="G372" t="n">
        <v>2.9</v>
      </c>
      <c r="H372" t="n">
        <v>0</v>
      </c>
      <c r="I372" t="n">
        <v>0</v>
      </c>
      <c r="J372" t="n">
        <v>0</v>
      </c>
      <c r="K372" t="n">
        <v>0</v>
      </c>
      <c r="L372" t="n">
        <v>0</v>
      </c>
      <c r="M372" t="n">
        <v>0</v>
      </c>
      <c r="N372" t="n">
        <v>0</v>
      </c>
      <c r="O372" t="n">
        <v>0</v>
      </c>
      <c r="P372" t="n">
        <v>0</v>
      </c>
      <c r="Q372" t="n">
        <v>0</v>
      </c>
      <c r="R372" s="2" t="inlineStr"/>
    </row>
    <row r="373" ht="15" customHeight="1">
      <c r="A373" t="inlineStr">
        <is>
          <t>A 58750-2022</t>
        </is>
      </c>
      <c r="B373" s="1" t="n">
        <v>44903.33363425926</v>
      </c>
      <c r="C373" s="1" t="n">
        <v>46092</v>
      </c>
      <c r="D373" t="inlineStr">
        <is>
          <t>KALMAR LÄN</t>
        </is>
      </c>
      <c r="E373" t="inlineStr">
        <is>
          <t>VIMMERBY</t>
        </is>
      </c>
      <c r="G373" t="n">
        <v>3.3</v>
      </c>
      <c r="H373" t="n">
        <v>0</v>
      </c>
      <c r="I373" t="n">
        <v>0</v>
      </c>
      <c r="J373" t="n">
        <v>0</v>
      </c>
      <c r="K373" t="n">
        <v>0</v>
      </c>
      <c r="L373" t="n">
        <v>0</v>
      </c>
      <c r="M373" t="n">
        <v>0</v>
      </c>
      <c r="N373" t="n">
        <v>0</v>
      </c>
      <c r="O373" t="n">
        <v>0</v>
      </c>
      <c r="P373" t="n">
        <v>0</v>
      </c>
      <c r="Q373" t="n">
        <v>0</v>
      </c>
      <c r="R373" s="2" t="inlineStr"/>
    </row>
    <row r="374" ht="15" customHeight="1">
      <c r="A374" t="inlineStr">
        <is>
          <t>A 46365-2025</t>
        </is>
      </c>
      <c r="B374" s="1" t="n">
        <v>45925.50075231482</v>
      </c>
      <c r="C374" s="1" t="n">
        <v>46092</v>
      </c>
      <c r="D374" t="inlineStr">
        <is>
          <t>KALMAR LÄN</t>
        </is>
      </c>
      <c r="E374" t="inlineStr">
        <is>
          <t>VIMMERBY</t>
        </is>
      </c>
      <c r="G374" t="n">
        <v>5.6</v>
      </c>
      <c r="H374" t="n">
        <v>0</v>
      </c>
      <c r="I374" t="n">
        <v>0</v>
      </c>
      <c r="J374" t="n">
        <v>0</v>
      </c>
      <c r="K374" t="n">
        <v>0</v>
      </c>
      <c r="L374" t="n">
        <v>0</v>
      </c>
      <c r="M374" t="n">
        <v>0</v>
      </c>
      <c r="N374" t="n">
        <v>0</v>
      </c>
      <c r="O374" t="n">
        <v>0</v>
      </c>
      <c r="P374" t="n">
        <v>0</v>
      </c>
      <c r="Q374" t="n">
        <v>0</v>
      </c>
      <c r="R374" s="2" t="inlineStr"/>
    </row>
    <row r="375" ht="15" customHeight="1">
      <c r="A375" t="inlineStr">
        <is>
          <t>A 41158-2023</t>
        </is>
      </c>
      <c r="B375" s="1" t="n">
        <v>45174.31395833333</v>
      </c>
      <c r="C375" s="1" t="n">
        <v>46092</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2510-2023</t>
        </is>
      </c>
      <c r="B376" s="1" t="n">
        <v>44943.57309027778</v>
      </c>
      <c r="C376" s="1" t="n">
        <v>46092</v>
      </c>
      <c r="D376" t="inlineStr">
        <is>
          <t>KALMAR LÄN</t>
        </is>
      </c>
      <c r="E376" t="inlineStr">
        <is>
          <t>VIMMERBY</t>
        </is>
      </c>
      <c r="G376" t="n">
        <v>8.6</v>
      </c>
      <c r="H376" t="n">
        <v>0</v>
      </c>
      <c r="I376" t="n">
        <v>0</v>
      </c>
      <c r="J376" t="n">
        <v>0</v>
      </c>
      <c r="K376" t="n">
        <v>0</v>
      </c>
      <c r="L376" t="n">
        <v>0</v>
      </c>
      <c r="M376" t="n">
        <v>0</v>
      </c>
      <c r="N376" t="n">
        <v>0</v>
      </c>
      <c r="O376" t="n">
        <v>0</v>
      </c>
      <c r="P376" t="n">
        <v>0</v>
      </c>
      <c r="Q376" t="n">
        <v>0</v>
      </c>
      <c r="R376" s="2" t="inlineStr"/>
    </row>
    <row r="377" ht="15" customHeight="1">
      <c r="A377" t="inlineStr">
        <is>
          <t>A 58724-2024</t>
        </is>
      </c>
      <c r="B377" s="1" t="n">
        <v>45635.66409722222</v>
      </c>
      <c r="C377" s="1" t="n">
        <v>46092</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46361-2025</t>
        </is>
      </c>
      <c r="B378" s="1" t="n">
        <v>45925.49670138889</v>
      </c>
      <c r="C378" s="1" t="n">
        <v>46092</v>
      </c>
      <c r="D378" t="inlineStr">
        <is>
          <t>KALMAR LÄN</t>
        </is>
      </c>
      <c r="E378" t="inlineStr">
        <is>
          <t>VIMMERBY</t>
        </is>
      </c>
      <c r="G378" t="n">
        <v>4.2</v>
      </c>
      <c r="H378" t="n">
        <v>0</v>
      </c>
      <c r="I378" t="n">
        <v>0</v>
      </c>
      <c r="J378" t="n">
        <v>0</v>
      </c>
      <c r="K378" t="n">
        <v>0</v>
      </c>
      <c r="L378" t="n">
        <v>0</v>
      </c>
      <c r="M378" t="n">
        <v>0</v>
      </c>
      <c r="N378" t="n">
        <v>0</v>
      </c>
      <c r="O378" t="n">
        <v>0</v>
      </c>
      <c r="P378" t="n">
        <v>0</v>
      </c>
      <c r="Q378" t="n">
        <v>0</v>
      </c>
      <c r="R378" s="2" t="inlineStr"/>
    </row>
    <row r="379" ht="15" customHeight="1">
      <c r="A379" t="inlineStr">
        <is>
          <t>A 63839-2025</t>
        </is>
      </c>
      <c r="B379" s="1" t="n">
        <v>46020.41998842593</v>
      </c>
      <c r="C379" s="1" t="n">
        <v>46092</v>
      </c>
      <c r="D379" t="inlineStr">
        <is>
          <t>KALMAR LÄN</t>
        </is>
      </c>
      <c r="E379" t="inlineStr">
        <is>
          <t>VIMMERBY</t>
        </is>
      </c>
      <c r="G379" t="n">
        <v>2.9</v>
      </c>
      <c r="H379" t="n">
        <v>0</v>
      </c>
      <c r="I379" t="n">
        <v>0</v>
      </c>
      <c r="J379" t="n">
        <v>0</v>
      </c>
      <c r="K379" t="n">
        <v>0</v>
      </c>
      <c r="L379" t="n">
        <v>0</v>
      </c>
      <c r="M379" t="n">
        <v>0</v>
      </c>
      <c r="N379" t="n">
        <v>0</v>
      </c>
      <c r="O379" t="n">
        <v>0</v>
      </c>
      <c r="P379" t="n">
        <v>0</v>
      </c>
      <c r="Q379" t="n">
        <v>0</v>
      </c>
      <c r="R379" s="2" t="inlineStr"/>
    </row>
    <row r="380" ht="15" customHeight="1">
      <c r="A380" t="inlineStr">
        <is>
          <t>A 25792-2025</t>
        </is>
      </c>
      <c r="B380" s="1" t="n">
        <v>45804.39141203704</v>
      </c>
      <c r="C380" s="1" t="n">
        <v>46092</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26039-2025</t>
        </is>
      </c>
      <c r="B381" s="1" t="n">
        <v>45804.6953587963</v>
      </c>
      <c r="C381" s="1" t="n">
        <v>46092</v>
      </c>
      <c r="D381" t="inlineStr">
        <is>
          <t>KALMAR LÄN</t>
        </is>
      </c>
      <c r="E381" t="inlineStr">
        <is>
          <t>VIMMERBY</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3269-2024</t>
        </is>
      </c>
      <c r="B382" s="1" t="n">
        <v>45317.40372685185</v>
      </c>
      <c r="C382" s="1" t="n">
        <v>46092</v>
      </c>
      <c r="D382" t="inlineStr">
        <is>
          <t>KALMAR LÄN</t>
        </is>
      </c>
      <c r="E382" t="inlineStr">
        <is>
          <t>VIMMERBY</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48120-2022</t>
        </is>
      </c>
      <c r="B383" s="1" t="n">
        <v>44857.65989583333</v>
      </c>
      <c r="C383" s="1" t="n">
        <v>46092</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6368-2023</t>
        </is>
      </c>
      <c r="B384" s="1" t="n">
        <v>44965</v>
      </c>
      <c r="C384" s="1" t="n">
        <v>46092</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9416-2024</t>
        </is>
      </c>
      <c r="B385" s="1" t="n">
        <v>45359.44837962963</v>
      </c>
      <c r="C385" s="1" t="n">
        <v>46092</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46887-2025</t>
        </is>
      </c>
      <c r="B386" s="1" t="n">
        <v>45929.3672337963</v>
      </c>
      <c r="C386" s="1" t="n">
        <v>46092</v>
      </c>
      <c r="D386" t="inlineStr">
        <is>
          <t>KALMAR LÄN</t>
        </is>
      </c>
      <c r="E386" t="inlineStr">
        <is>
          <t>VIMMERBY</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45856-2025</t>
        </is>
      </c>
      <c r="B387" s="1" t="n">
        <v>45923</v>
      </c>
      <c r="C387" s="1" t="n">
        <v>46092</v>
      </c>
      <c r="D387" t="inlineStr">
        <is>
          <t>KALMAR LÄN</t>
        </is>
      </c>
      <c r="E387" t="inlineStr">
        <is>
          <t>VIMMERBY</t>
        </is>
      </c>
      <c r="G387" t="n">
        <v>2.1</v>
      </c>
      <c r="H387" t="n">
        <v>0</v>
      </c>
      <c r="I387" t="n">
        <v>0</v>
      </c>
      <c r="J387" t="n">
        <v>0</v>
      </c>
      <c r="K387" t="n">
        <v>0</v>
      </c>
      <c r="L387" t="n">
        <v>0</v>
      </c>
      <c r="M387" t="n">
        <v>0</v>
      </c>
      <c r="N387" t="n">
        <v>0</v>
      </c>
      <c r="O387" t="n">
        <v>0</v>
      </c>
      <c r="P387" t="n">
        <v>0</v>
      </c>
      <c r="Q387" t="n">
        <v>0</v>
      </c>
      <c r="R387" s="2" t="inlineStr"/>
    </row>
    <row r="388" ht="15" customHeight="1">
      <c r="A388" t="inlineStr">
        <is>
          <t>A 26046-2025</t>
        </is>
      </c>
      <c r="B388" s="1" t="n">
        <v>45804.708125</v>
      </c>
      <c r="C388" s="1" t="n">
        <v>46092</v>
      </c>
      <c r="D388" t="inlineStr">
        <is>
          <t>KALMAR LÄN</t>
        </is>
      </c>
      <c r="E388" t="inlineStr">
        <is>
          <t>VIMMERBY</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2797-2023</t>
        </is>
      </c>
      <c r="B389" s="1" t="n">
        <v>44944.71386574074</v>
      </c>
      <c r="C389" s="1" t="n">
        <v>46092</v>
      </c>
      <c r="D389" t="inlineStr">
        <is>
          <t>KALMAR LÄN</t>
        </is>
      </c>
      <c r="E389" t="inlineStr">
        <is>
          <t>VIMMERBY</t>
        </is>
      </c>
      <c r="G389" t="n">
        <v>3.4</v>
      </c>
      <c r="H389" t="n">
        <v>0</v>
      </c>
      <c r="I389" t="n">
        <v>0</v>
      </c>
      <c r="J389" t="n">
        <v>0</v>
      </c>
      <c r="K389" t="n">
        <v>0</v>
      </c>
      <c r="L389" t="n">
        <v>0</v>
      </c>
      <c r="M389" t="n">
        <v>0</v>
      </c>
      <c r="N389" t="n">
        <v>0</v>
      </c>
      <c r="O389" t="n">
        <v>0</v>
      </c>
      <c r="P389" t="n">
        <v>0</v>
      </c>
      <c r="Q389" t="n">
        <v>0</v>
      </c>
      <c r="R389" s="2" t="inlineStr"/>
    </row>
    <row r="390" ht="15" customHeight="1">
      <c r="A390" t="inlineStr">
        <is>
          <t>A 2799-2023</t>
        </is>
      </c>
      <c r="B390" s="1" t="n">
        <v>44944.72100694444</v>
      </c>
      <c r="C390" s="1" t="n">
        <v>46092</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25987-2024</t>
        </is>
      </c>
      <c r="B391" s="1" t="n">
        <v>45467.74417824074</v>
      </c>
      <c r="C391" s="1" t="n">
        <v>46092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22194-2024</t>
        </is>
      </c>
      <c r="B392" s="1" t="n">
        <v>45446.36482638889</v>
      </c>
      <c r="C392" s="1" t="n">
        <v>46092</v>
      </c>
      <c r="D392" t="inlineStr">
        <is>
          <t>KALMAR LÄN</t>
        </is>
      </c>
      <c r="E392" t="inlineStr">
        <is>
          <t>VIMMERBY</t>
        </is>
      </c>
      <c r="F392" t="inlineStr">
        <is>
          <t>Sveaskog</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26124-2025</t>
        </is>
      </c>
      <c r="B393" s="1" t="n">
        <v>45805.39247685186</v>
      </c>
      <c r="C393" s="1" t="n">
        <v>46092</v>
      </c>
      <c r="D393" t="inlineStr">
        <is>
          <t>KALMAR LÄN</t>
        </is>
      </c>
      <c r="E393" t="inlineStr">
        <is>
          <t>VIMMERBY</t>
        </is>
      </c>
      <c r="G393" t="n">
        <v>6.6</v>
      </c>
      <c r="H393" t="n">
        <v>0</v>
      </c>
      <c r="I393" t="n">
        <v>0</v>
      </c>
      <c r="J393" t="n">
        <v>0</v>
      </c>
      <c r="K393" t="n">
        <v>0</v>
      </c>
      <c r="L393" t="n">
        <v>0</v>
      </c>
      <c r="M393" t="n">
        <v>0</v>
      </c>
      <c r="N393" t="n">
        <v>0</v>
      </c>
      <c r="O393" t="n">
        <v>0</v>
      </c>
      <c r="P393" t="n">
        <v>0</v>
      </c>
      <c r="Q393" t="n">
        <v>0</v>
      </c>
      <c r="R393" s="2" t="inlineStr"/>
    </row>
    <row r="394" ht="15" customHeight="1">
      <c r="A394" t="inlineStr">
        <is>
          <t>A 19865-2021</t>
        </is>
      </c>
      <c r="B394" s="1" t="n">
        <v>44312</v>
      </c>
      <c r="C394" s="1" t="n">
        <v>46092</v>
      </c>
      <c r="D394" t="inlineStr">
        <is>
          <t>KALMAR LÄN</t>
        </is>
      </c>
      <c r="E394" t="inlineStr">
        <is>
          <t>VIMMERBY</t>
        </is>
      </c>
      <c r="G394" t="n">
        <v>8.6</v>
      </c>
      <c r="H394" t="n">
        <v>0</v>
      </c>
      <c r="I394" t="n">
        <v>0</v>
      </c>
      <c r="J394" t="n">
        <v>0</v>
      </c>
      <c r="K394" t="n">
        <v>0</v>
      </c>
      <c r="L394" t="n">
        <v>0</v>
      </c>
      <c r="M394" t="n">
        <v>0</v>
      </c>
      <c r="N394" t="n">
        <v>0</v>
      </c>
      <c r="O394" t="n">
        <v>0</v>
      </c>
      <c r="P394" t="n">
        <v>0</v>
      </c>
      <c r="Q394" t="n">
        <v>0</v>
      </c>
      <c r="R394" s="2" t="inlineStr"/>
    </row>
    <row r="395" ht="15" customHeight="1">
      <c r="A395" t="inlineStr">
        <is>
          <t>A 45854-2025</t>
        </is>
      </c>
      <c r="B395" s="1" t="n">
        <v>45923</v>
      </c>
      <c r="C395" s="1" t="n">
        <v>46092</v>
      </c>
      <c r="D395" t="inlineStr">
        <is>
          <t>KALMAR LÄN</t>
        </is>
      </c>
      <c r="E395" t="inlineStr">
        <is>
          <t>VIMMERBY</t>
        </is>
      </c>
      <c r="G395" t="n">
        <v>2.2</v>
      </c>
      <c r="H395" t="n">
        <v>0</v>
      </c>
      <c r="I395" t="n">
        <v>0</v>
      </c>
      <c r="J395" t="n">
        <v>0</v>
      </c>
      <c r="K395" t="n">
        <v>0</v>
      </c>
      <c r="L395" t="n">
        <v>0</v>
      </c>
      <c r="M395" t="n">
        <v>0</v>
      </c>
      <c r="N395" t="n">
        <v>0</v>
      </c>
      <c r="O395" t="n">
        <v>0</v>
      </c>
      <c r="P395" t="n">
        <v>0</v>
      </c>
      <c r="Q395" t="n">
        <v>0</v>
      </c>
      <c r="R395" s="2" t="inlineStr"/>
    </row>
    <row r="396" ht="15" customHeight="1">
      <c r="A396" t="inlineStr">
        <is>
          <t>A 45855-2025</t>
        </is>
      </c>
      <c r="B396" s="1" t="n">
        <v>45923</v>
      </c>
      <c r="C396" s="1" t="n">
        <v>46092</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26207-2025</t>
        </is>
      </c>
      <c r="B397" s="1" t="n">
        <v>45805.52983796296</v>
      </c>
      <c r="C397" s="1" t="n">
        <v>46092</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25830-2025</t>
        </is>
      </c>
      <c r="B398" s="1" t="n">
        <v>45804.44519675926</v>
      </c>
      <c r="C398" s="1" t="n">
        <v>46092</v>
      </c>
      <c r="D398" t="inlineStr">
        <is>
          <t>KALMAR LÄN</t>
        </is>
      </c>
      <c r="E398" t="inlineStr">
        <is>
          <t>VIMMERBY</t>
        </is>
      </c>
      <c r="G398" t="n">
        <v>4.9</v>
      </c>
      <c r="H398" t="n">
        <v>0</v>
      </c>
      <c r="I398" t="n">
        <v>0</v>
      </c>
      <c r="J398" t="n">
        <v>0</v>
      </c>
      <c r="K398" t="n">
        <v>0</v>
      </c>
      <c r="L398" t="n">
        <v>0</v>
      </c>
      <c r="M398" t="n">
        <v>0</v>
      </c>
      <c r="N398" t="n">
        <v>0</v>
      </c>
      <c r="O398" t="n">
        <v>0</v>
      </c>
      <c r="P398" t="n">
        <v>0</v>
      </c>
      <c r="Q398" t="n">
        <v>0</v>
      </c>
      <c r="R398" s="2" t="inlineStr"/>
    </row>
    <row r="399" ht="15" customHeight="1">
      <c r="A399" t="inlineStr">
        <is>
          <t>A 12630-2023</t>
        </is>
      </c>
      <c r="B399" s="1" t="n">
        <v>45000.47998842593</v>
      </c>
      <c r="C399" s="1" t="n">
        <v>46092</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26254-2025</t>
        </is>
      </c>
      <c r="B400" s="1" t="n">
        <v>45805</v>
      </c>
      <c r="C400" s="1" t="n">
        <v>46092</v>
      </c>
      <c r="D400" t="inlineStr">
        <is>
          <t>KALMAR LÄN</t>
        </is>
      </c>
      <c r="E400" t="inlineStr">
        <is>
          <t>VIMMERBY</t>
        </is>
      </c>
      <c r="G400" t="n">
        <v>2</v>
      </c>
      <c r="H400" t="n">
        <v>0</v>
      </c>
      <c r="I400" t="n">
        <v>0</v>
      </c>
      <c r="J400" t="n">
        <v>0</v>
      </c>
      <c r="K400" t="n">
        <v>0</v>
      </c>
      <c r="L400" t="n">
        <v>0</v>
      </c>
      <c r="M400" t="n">
        <v>0</v>
      </c>
      <c r="N400" t="n">
        <v>0</v>
      </c>
      <c r="O400" t="n">
        <v>0</v>
      </c>
      <c r="P400" t="n">
        <v>0</v>
      </c>
      <c r="Q400" t="n">
        <v>0</v>
      </c>
      <c r="R400" s="2" t="inlineStr"/>
    </row>
    <row r="401" ht="15" customHeight="1">
      <c r="A401" t="inlineStr">
        <is>
          <t>A 21109-2024</t>
        </is>
      </c>
      <c r="B401" s="1" t="n">
        <v>45440.28329861111</v>
      </c>
      <c r="C401" s="1" t="n">
        <v>46092</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30634-2024</t>
        </is>
      </c>
      <c r="B402" s="1" t="n">
        <v>45495</v>
      </c>
      <c r="C402" s="1" t="n">
        <v>46092</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40260-2024</t>
        </is>
      </c>
      <c r="B403" s="1" t="n">
        <v>45554.63225694445</v>
      </c>
      <c r="C403" s="1" t="n">
        <v>46092</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47227-2025</t>
        </is>
      </c>
      <c r="B404" s="1" t="n">
        <v>45930.39769675926</v>
      </c>
      <c r="C404" s="1" t="n">
        <v>46092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59943-2023</t>
        </is>
      </c>
      <c r="B405" s="1" t="n">
        <v>45257.67958333333</v>
      </c>
      <c r="C405" s="1" t="n">
        <v>46092</v>
      </c>
      <c r="D405" t="inlineStr">
        <is>
          <t>KALMAR LÄN</t>
        </is>
      </c>
      <c r="E405" t="inlineStr">
        <is>
          <t>VIMMERBY</t>
        </is>
      </c>
      <c r="G405" t="n">
        <v>6.4</v>
      </c>
      <c r="H405" t="n">
        <v>0</v>
      </c>
      <c r="I405" t="n">
        <v>0</v>
      </c>
      <c r="J405" t="n">
        <v>0</v>
      </c>
      <c r="K405" t="n">
        <v>0</v>
      </c>
      <c r="L405" t="n">
        <v>0</v>
      </c>
      <c r="M405" t="n">
        <v>0</v>
      </c>
      <c r="N405" t="n">
        <v>0</v>
      </c>
      <c r="O405" t="n">
        <v>0</v>
      </c>
      <c r="P405" t="n">
        <v>0</v>
      </c>
      <c r="Q405" t="n">
        <v>0</v>
      </c>
      <c r="R405" s="2" t="inlineStr"/>
    </row>
    <row r="406" ht="15" customHeight="1">
      <c r="A406" t="inlineStr">
        <is>
          <t>A 8696-2026</t>
        </is>
      </c>
      <c r="B406" s="1" t="n">
        <v>46066.45273148148</v>
      </c>
      <c r="C406" s="1" t="n">
        <v>46092</v>
      </c>
      <c r="D406" t="inlineStr">
        <is>
          <t>KALMAR LÄN</t>
        </is>
      </c>
      <c r="E406" t="inlineStr">
        <is>
          <t>VIMMERBY</t>
        </is>
      </c>
      <c r="G406" t="n">
        <v>0.6</v>
      </c>
      <c r="H406" t="n">
        <v>0</v>
      </c>
      <c r="I406" t="n">
        <v>0</v>
      </c>
      <c r="J406" t="n">
        <v>0</v>
      </c>
      <c r="K406" t="n">
        <v>0</v>
      </c>
      <c r="L406" t="n">
        <v>0</v>
      </c>
      <c r="M406" t="n">
        <v>0</v>
      </c>
      <c r="N406" t="n">
        <v>0</v>
      </c>
      <c r="O406" t="n">
        <v>0</v>
      </c>
      <c r="P406" t="n">
        <v>0</v>
      </c>
      <c r="Q406" t="n">
        <v>0</v>
      </c>
      <c r="R406" s="2" t="inlineStr"/>
    </row>
    <row r="407" ht="15" customHeight="1">
      <c r="A407" t="inlineStr">
        <is>
          <t>A 8595-2026</t>
        </is>
      </c>
      <c r="B407" s="1" t="n">
        <v>46065.7372337963</v>
      </c>
      <c r="C407" s="1" t="n">
        <v>46092</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5527-2022</t>
        </is>
      </c>
      <c r="B408" s="1" t="n">
        <v>44595.583125</v>
      </c>
      <c r="C408" s="1" t="n">
        <v>46092</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12325-2023</t>
        </is>
      </c>
      <c r="B409" s="1" t="n">
        <v>44999.35858796296</v>
      </c>
      <c r="C409" s="1" t="n">
        <v>46092</v>
      </c>
      <c r="D409" t="inlineStr">
        <is>
          <t>KALMAR LÄN</t>
        </is>
      </c>
      <c r="E409" t="inlineStr">
        <is>
          <t>VIMMERBY</t>
        </is>
      </c>
      <c r="G409" t="n">
        <v>3.4</v>
      </c>
      <c r="H409" t="n">
        <v>0</v>
      </c>
      <c r="I409" t="n">
        <v>0</v>
      </c>
      <c r="J409" t="n">
        <v>0</v>
      </c>
      <c r="K409" t="n">
        <v>0</v>
      </c>
      <c r="L409" t="n">
        <v>0</v>
      </c>
      <c r="M409" t="n">
        <v>0</v>
      </c>
      <c r="N409" t="n">
        <v>0</v>
      </c>
      <c r="O409" t="n">
        <v>0</v>
      </c>
      <c r="P409" t="n">
        <v>0</v>
      </c>
      <c r="Q409" t="n">
        <v>0</v>
      </c>
      <c r="R409" s="2" t="inlineStr"/>
    </row>
    <row r="410" ht="15" customHeight="1">
      <c r="A410" t="inlineStr">
        <is>
          <t>A 48299-2025</t>
        </is>
      </c>
      <c r="B410" s="1" t="n">
        <v>45933.60982638889</v>
      </c>
      <c r="C410" s="1" t="n">
        <v>46092</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1016-2024</t>
        </is>
      </c>
      <c r="B411" s="1" t="n">
        <v>45301</v>
      </c>
      <c r="C411" s="1" t="n">
        <v>46092</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579-2026</t>
        </is>
      </c>
      <c r="B412" s="1" t="n">
        <v>46029.47912037037</v>
      </c>
      <c r="C412" s="1" t="n">
        <v>46092</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47965-2025</t>
        </is>
      </c>
      <c r="B413" s="1" t="n">
        <v>45932.59597222223</v>
      </c>
      <c r="C413" s="1" t="n">
        <v>46092</v>
      </c>
      <c r="D413" t="inlineStr">
        <is>
          <t>KALMAR LÄN</t>
        </is>
      </c>
      <c r="E413" t="inlineStr">
        <is>
          <t>VIMMERBY</t>
        </is>
      </c>
      <c r="G413" t="n">
        <v>2.2</v>
      </c>
      <c r="H413" t="n">
        <v>0</v>
      </c>
      <c r="I413" t="n">
        <v>0</v>
      </c>
      <c r="J413" t="n">
        <v>0</v>
      </c>
      <c r="K413" t="n">
        <v>0</v>
      </c>
      <c r="L413" t="n">
        <v>0</v>
      </c>
      <c r="M413" t="n">
        <v>0</v>
      </c>
      <c r="N413" t="n">
        <v>0</v>
      </c>
      <c r="O413" t="n">
        <v>0</v>
      </c>
      <c r="P413" t="n">
        <v>0</v>
      </c>
      <c r="Q413" t="n">
        <v>0</v>
      </c>
      <c r="R413" s="2" t="inlineStr"/>
    </row>
    <row r="414" ht="15" customHeight="1">
      <c r="A414" t="inlineStr">
        <is>
          <t>A 33681-2022</t>
        </is>
      </c>
      <c r="B414" s="1" t="n">
        <v>44789</v>
      </c>
      <c r="C414" s="1" t="n">
        <v>46092</v>
      </c>
      <c r="D414" t="inlineStr">
        <is>
          <t>KALMAR LÄN</t>
        </is>
      </c>
      <c r="E414" t="inlineStr">
        <is>
          <t>VIMMERBY</t>
        </is>
      </c>
      <c r="G414" t="n">
        <v>3.2</v>
      </c>
      <c r="H414" t="n">
        <v>0</v>
      </c>
      <c r="I414" t="n">
        <v>0</v>
      </c>
      <c r="J414" t="n">
        <v>0</v>
      </c>
      <c r="K414" t="n">
        <v>0</v>
      </c>
      <c r="L414" t="n">
        <v>0</v>
      </c>
      <c r="M414" t="n">
        <v>0</v>
      </c>
      <c r="N414" t="n">
        <v>0</v>
      </c>
      <c r="O414" t="n">
        <v>0</v>
      </c>
      <c r="P414" t="n">
        <v>0</v>
      </c>
      <c r="Q414" t="n">
        <v>0</v>
      </c>
      <c r="R414" s="2" t="inlineStr"/>
    </row>
    <row r="415" ht="15" customHeight="1">
      <c r="A415" t="inlineStr">
        <is>
          <t>A 409-2026</t>
        </is>
      </c>
      <c r="B415" s="1" t="n">
        <v>46028.69432870371</v>
      </c>
      <c r="C415" s="1" t="n">
        <v>46092</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406-2026</t>
        </is>
      </c>
      <c r="B416" s="1" t="n">
        <v>46028.68663194445</v>
      </c>
      <c r="C416" s="1" t="n">
        <v>46092</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47955-2025</t>
        </is>
      </c>
      <c r="B417" s="1" t="n">
        <v>45932.58896990741</v>
      </c>
      <c r="C417" s="1" t="n">
        <v>46092</v>
      </c>
      <c r="D417" t="inlineStr">
        <is>
          <t>KALMAR LÄN</t>
        </is>
      </c>
      <c r="E417" t="inlineStr">
        <is>
          <t>VIMMERBY</t>
        </is>
      </c>
      <c r="G417" t="n">
        <v>3.4</v>
      </c>
      <c r="H417" t="n">
        <v>0</v>
      </c>
      <c r="I417" t="n">
        <v>0</v>
      </c>
      <c r="J417" t="n">
        <v>0</v>
      </c>
      <c r="K417" t="n">
        <v>0</v>
      </c>
      <c r="L417" t="n">
        <v>0</v>
      </c>
      <c r="M417" t="n">
        <v>0</v>
      </c>
      <c r="N417" t="n">
        <v>0</v>
      </c>
      <c r="O417" t="n">
        <v>0</v>
      </c>
      <c r="P417" t="n">
        <v>0</v>
      </c>
      <c r="Q417" t="n">
        <v>0</v>
      </c>
      <c r="R417" s="2" t="inlineStr"/>
    </row>
    <row r="418" ht="15" customHeight="1">
      <c r="A418" t="inlineStr">
        <is>
          <t>A 5074-2023</t>
        </is>
      </c>
      <c r="B418" s="1" t="n">
        <v>44958.61047453704</v>
      </c>
      <c r="C418" s="1" t="n">
        <v>46092</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48723-2025</t>
        </is>
      </c>
      <c r="B419" s="1" t="n">
        <v>45936.65121527778</v>
      </c>
      <c r="C419" s="1" t="n">
        <v>46092</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842-2026</t>
        </is>
      </c>
      <c r="B420" s="1" t="n">
        <v>46030.380625</v>
      </c>
      <c r="C420" s="1" t="n">
        <v>46092</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51187-2023</t>
        </is>
      </c>
      <c r="B421" s="1" t="n">
        <v>45219.40528935185</v>
      </c>
      <c r="C421" s="1" t="n">
        <v>46092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48712-2025</t>
        </is>
      </c>
      <c r="B422" s="1" t="n">
        <v>45936.63373842592</v>
      </c>
      <c r="C422" s="1" t="n">
        <v>46092</v>
      </c>
      <c r="D422" t="inlineStr">
        <is>
          <t>KALMAR LÄN</t>
        </is>
      </c>
      <c r="E422" t="inlineStr">
        <is>
          <t>VIMMERBY</t>
        </is>
      </c>
      <c r="G422" t="n">
        <v>3</v>
      </c>
      <c r="H422" t="n">
        <v>0</v>
      </c>
      <c r="I422" t="n">
        <v>0</v>
      </c>
      <c r="J422" t="n">
        <v>0</v>
      </c>
      <c r="K422" t="n">
        <v>0</v>
      </c>
      <c r="L422" t="n">
        <v>0</v>
      </c>
      <c r="M422" t="n">
        <v>0</v>
      </c>
      <c r="N422" t="n">
        <v>0</v>
      </c>
      <c r="O422" t="n">
        <v>0</v>
      </c>
      <c r="P422" t="n">
        <v>0</v>
      </c>
      <c r="Q422" t="n">
        <v>0</v>
      </c>
      <c r="R422" s="2" t="inlineStr"/>
    </row>
    <row r="423" ht="15" customHeight="1">
      <c r="A423" t="inlineStr">
        <is>
          <t>A 28286-2025</t>
        </is>
      </c>
      <c r="B423" s="1" t="n">
        <v>45818.58993055556</v>
      </c>
      <c r="C423" s="1" t="n">
        <v>46092</v>
      </c>
      <c r="D423" t="inlineStr">
        <is>
          <t>KALMAR LÄN</t>
        </is>
      </c>
      <c r="E423" t="inlineStr">
        <is>
          <t>VIMMERBY</t>
        </is>
      </c>
      <c r="F423" t="inlineStr">
        <is>
          <t>Sveaskog</t>
        </is>
      </c>
      <c r="G423" t="n">
        <v>8</v>
      </c>
      <c r="H423" t="n">
        <v>0</v>
      </c>
      <c r="I423" t="n">
        <v>0</v>
      </c>
      <c r="J423" t="n">
        <v>0</v>
      </c>
      <c r="K423" t="n">
        <v>0</v>
      </c>
      <c r="L423" t="n">
        <v>0</v>
      </c>
      <c r="M423" t="n">
        <v>0</v>
      </c>
      <c r="N423" t="n">
        <v>0</v>
      </c>
      <c r="O423" t="n">
        <v>0</v>
      </c>
      <c r="P423" t="n">
        <v>0</v>
      </c>
      <c r="Q423" t="n">
        <v>0</v>
      </c>
      <c r="R423" s="2" t="inlineStr"/>
    </row>
    <row r="424" ht="15" customHeight="1">
      <c r="A424" t="inlineStr">
        <is>
          <t>A 48408-2025</t>
        </is>
      </c>
      <c r="B424" s="1" t="n">
        <v>45934.40527777778</v>
      </c>
      <c r="C424" s="1" t="n">
        <v>46092</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15715-2022</t>
        </is>
      </c>
      <c r="B425" s="1" t="n">
        <v>44663</v>
      </c>
      <c r="C425" s="1" t="n">
        <v>46092</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28282-2025</t>
        </is>
      </c>
      <c r="B426" s="1" t="n">
        <v>45818.58769675926</v>
      </c>
      <c r="C426" s="1" t="n">
        <v>46092</v>
      </c>
      <c r="D426" t="inlineStr">
        <is>
          <t>KALMAR LÄN</t>
        </is>
      </c>
      <c r="E426" t="inlineStr">
        <is>
          <t>VIMMERBY</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28294-2025</t>
        </is>
      </c>
      <c r="B427" s="1" t="n">
        <v>45818.595625</v>
      </c>
      <c r="C427" s="1" t="n">
        <v>46092</v>
      </c>
      <c r="D427" t="inlineStr">
        <is>
          <t>KALMAR LÄN</t>
        </is>
      </c>
      <c r="E427" t="inlineStr">
        <is>
          <t>VIMMERBY</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28290-2025</t>
        </is>
      </c>
      <c r="B428" s="1" t="n">
        <v>45818.59261574074</v>
      </c>
      <c r="C428" s="1" t="n">
        <v>46092</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43093-2024</t>
        </is>
      </c>
      <c r="B429" s="1" t="n">
        <v>45567</v>
      </c>
      <c r="C429" s="1" t="n">
        <v>46092</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48409-2025</t>
        </is>
      </c>
      <c r="B430" s="1" t="n">
        <v>45934.41387731482</v>
      </c>
      <c r="C430" s="1" t="n">
        <v>46092</v>
      </c>
      <c r="D430" t="inlineStr">
        <is>
          <t>KALMAR LÄN</t>
        </is>
      </c>
      <c r="E430" t="inlineStr">
        <is>
          <t>VIMMERBY</t>
        </is>
      </c>
      <c r="G430" t="n">
        <v>1.2</v>
      </c>
      <c r="H430" t="n">
        <v>0</v>
      </c>
      <c r="I430" t="n">
        <v>0</v>
      </c>
      <c r="J430" t="n">
        <v>0</v>
      </c>
      <c r="K430" t="n">
        <v>0</v>
      </c>
      <c r="L430" t="n">
        <v>0</v>
      </c>
      <c r="M430" t="n">
        <v>0</v>
      </c>
      <c r="N430" t="n">
        <v>0</v>
      </c>
      <c r="O430" t="n">
        <v>0</v>
      </c>
      <c r="P430" t="n">
        <v>0</v>
      </c>
      <c r="Q430" t="n">
        <v>0</v>
      </c>
      <c r="R430" s="2" t="inlineStr"/>
    </row>
    <row r="431" ht="15" customHeight="1">
      <c r="A431" t="inlineStr">
        <is>
          <t>A 28280-2025</t>
        </is>
      </c>
      <c r="B431" s="1" t="n">
        <v>45818.5862037037</v>
      </c>
      <c r="C431" s="1" t="n">
        <v>46092</v>
      </c>
      <c r="D431" t="inlineStr">
        <is>
          <t>KALMAR LÄN</t>
        </is>
      </c>
      <c r="E431" t="inlineStr">
        <is>
          <t>VIMMERBY</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56022-2024</t>
        </is>
      </c>
      <c r="B432" s="1" t="n">
        <v>45623.95947916667</v>
      </c>
      <c r="C432" s="1" t="n">
        <v>46092</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48600-2025</t>
        </is>
      </c>
      <c r="B433" s="1" t="n">
        <v>45935</v>
      </c>
      <c r="C433" s="1" t="n">
        <v>46092</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28620-2025</t>
        </is>
      </c>
      <c r="B434" s="1" t="n">
        <v>45819.61060185185</v>
      </c>
      <c r="C434" s="1" t="n">
        <v>46092</v>
      </c>
      <c r="D434" t="inlineStr">
        <is>
          <t>KALMAR LÄN</t>
        </is>
      </c>
      <c r="E434" t="inlineStr">
        <is>
          <t>VIMMERBY</t>
        </is>
      </c>
      <c r="G434" t="n">
        <v>5.6</v>
      </c>
      <c r="H434" t="n">
        <v>0</v>
      </c>
      <c r="I434" t="n">
        <v>0</v>
      </c>
      <c r="J434" t="n">
        <v>0</v>
      </c>
      <c r="K434" t="n">
        <v>0</v>
      </c>
      <c r="L434" t="n">
        <v>0</v>
      </c>
      <c r="M434" t="n">
        <v>0</v>
      </c>
      <c r="N434" t="n">
        <v>0</v>
      </c>
      <c r="O434" t="n">
        <v>0</v>
      </c>
      <c r="P434" t="n">
        <v>0</v>
      </c>
      <c r="Q434" t="n">
        <v>0</v>
      </c>
      <c r="R434" s="2" t="inlineStr"/>
    </row>
    <row r="435" ht="15" customHeight="1">
      <c r="A435" t="inlineStr">
        <is>
          <t>A 18330-2023</t>
        </is>
      </c>
      <c r="B435" s="1" t="n">
        <v>45041</v>
      </c>
      <c r="C435" s="1" t="n">
        <v>46092</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1069-2026</t>
        </is>
      </c>
      <c r="B436" s="1" t="n">
        <v>46030</v>
      </c>
      <c r="C436" s="1" t="n">
        <v>46092</v>
      </c>
      <c r="D436" t="inlineStr">
        <is>
          <t>KALMAR LÄN</t>
        </is>
      </c>
      <c r="E436" t="inlineStr">
        <is>
          <t>VIMMERBY</t>
        </is>
      </c>
      <c r="G436" t="n">
        <v>3.3</v>
      </c>
      <c r="H436" t="n">
        <v>0</v>
      </c>
      <c r="I436" t="n">
        <v>0</v>
      </c>
      <c r="J436" t="n">
        <v>0</v>
      </c>
      <c r="K436" t="n">
        <v>0</v>
      </c>
      <c r="L436" t="n">
        <v>0</v>
      </c>
      <c r="M436" t="n">
        <v>0</v>
      </c>
      <c r="N436" t="n">
        <v>0</v>
      </c>
      <c r="O436" t="n">
        <v>0</v>
      </c>
      <c r="P436" t="n">
        <v>0</v>
      </c>
      <c r="Q436" t="n">
        <v>0</v>
      </c>
      <c r="R436" s="2" t="inlineStr"/>
    </row>
    <row r="437" ht="15" customHeight="1">
      <c r="A437" t="inlineStr">
        <is>
          <t>A 20126-2024</t>
        </is>
      </c>
      <c r="B437" s="1" t="n">
        <v>45434.55471064815</v>
      </c>
      <c r="C437" s="1" t="n">
        <v>46092</v>
      </c>
      <c r="D437" t="inlineStr">
        <is>
          <t>KALMAR LÄN</t>
        </is>
      </c>
      <c r="E437" t="inlineStr">
        <is>
          <t>VIMMERBY</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20136-2024</t>
        </is>
      </c>
      <c r="B438" s="1" t="n">
        <v>45434.56291666667</v>
      </c>
      <c r="C438" s="1" t="n">
        <v>46092</v>
      </c>
      <c r="D438" t="inlineStr">
        <is>
          <t>KALMAR LÄN</t>
        </is>
      </c>
      <c r="E438" t="inlineStr">
        <is>
          <t>VIMMERBY</t>
        </is>
      </c>
      <c r="F438" t="inlineStr">
        <is>
          <t>Sveaskog</t>
        </is>
      </c>
      <c r="G438" t="n">
        <v>8.4</v>
      </c>
      <c r="H438" t="n">
        <v>0</v>
      </c>
      <c r="I438" t="n">
        <v>0</v>
      </c>
      <c r="J438" t="n">
        <v>0</v>
      </c>
      <c r="K438" t="n">
        <v>0</v>
      </c>
      <c r="L438" t="n">
        <v>0</v>
      </c>
      <c r="M438" t="n">
        <v>0</v>
      </c>
      <c r="N438" t="n">
        <v>0</v>
      </c>
      <c r="O438" t="n">
        <v>0</v>
      </c>
      <c r="P438" t="n">
        <v>0</v>
      </c>
      <c r="Q438" t="n">
        <v>0</v>
      </c>
      <c r="R438" s="2" t="inlineStr"/>
    </row>
    <row r="439" ht="15" customHeight="1">
      <c r="A439" t="inlineStr">
        <is>
          <t>A 28712-2025</t>
        </is>
      </c>
      <c r="B439" s="1" t="n">
        <v>45820.33708333333</v>
      </c>
      <c r="C439" s="1" t="n">
        <v>46092</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28714-2025</t>
        </is>
      </c>
      <c r="B440" s="1" t="n">
        <v>45820.34128472222</v>
      </c>
      <c r="C440" s="1" t="n">
        <v>46092</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46921-2023</t>
        </is>
      </c>
      <c r="B441" s="1" t="n">
        <v>45201.39996527778</v>
      </c>
      <c r="C441" s="1" t="n">
        <v>46092</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25236-2023</t>
        </is>
      </c>
      <c r="B442" s="1" t="n">
        <v>45086.63334490741</v>
      </c>
      <c r="C442" s="1" t="n">
        <v>46092</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28713-2025</t>
        </is>
      </c>
      <c r="B443" s="1" t="n">
        <v>45820.33930555556</v>
      </c>
      <c r="C443" s="1" t="n">
        <v>46092</v>
      </c>
      <c r="D443" t="inlineStr">
        <is>
          <t>KALMAR LÄN</t>
        </is>
      </c>
      <c r="E443" t="inlineStr">
        <is>
          <t>VIMMERBY</t>
        </is>
      </c>
      <c r="G443" t="n">
        <v>2.3</v>
      </c>
      <c r="H443" t="n">
        <v>0</v>
      </c>
      <c r="I443" t="n">
        <v>0</v>
      </c>
      <c r="J443" t="n">
        <v>0</v>
      </c>
      <c r="K443" t="n">
        <v>0</v>
      </c>
      <c r="L443" t="n">
        <v>0</v>
      </c>
      <c r="M443" t="n">
        <v>0</v>
      </c>
      <c r="N443" t="n">
        <v>0</v>
      </c>
      <c r="O443" t="n">
        <v>0</v>
      </c>
      <c r="P443" t="n">
        <v>0</v>
      </c>
      <c r="Q443" t="n">
        <v>0</v>
      </c>
      <c r="R443" s="2" t="inlineStr"/>
    </row>
    <row r="444" ht="15" customHeight="1">
      <c r="A444" t="inlineStr">
        <is>
          <t>A 1734-2026</t>
        </is>
      </c>
      <c r="B444" s="1" t="n">
        <v>46034</v>
      </c>
      <c r="C444" s="1" t="n">
        <v>46092</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1743-2026</t>
        </is>
      </c>
      <c r="B445" s="1" t="n">
        <v>46034</v>
      </c>
      <c r="C445" s="1" t="n">
        <v>46092</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29737-2025</t>
        </is>
      </c>
      <c r="B446" s="1" t="n">
        <v>45825.58672453704</v>
      </c>
      <c r="C446" s="1" t="n">
        <v>46092</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29727-2025</t>
        </is>
      </c>
      <c r="B447" s="1" t="n">
        <v>45825.5796875</v>
      </c>
      <c r="C447" s="1" t="n">
        <v>46092</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6082-2022</t>
        </is>
      </c>
      <c r="B448" s="1" t="n">
        <v>44599</v>
      </c>
      <c r="C448" s="1" t="n">
        <v>46092</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2801-2023</t>
        </is>
      </c>
      <c r="B449" s="1" t="n">
        <v>44944.73487268519</v>
      </c>
      <c r="C449" s="1" t="n">
        <v>46092</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1748-2026</t>
        </is>
      </c>
      <c r="B450" s="1" t="n">
        <v>46034.65589120371</v>
      </c>
      <c r="C450" s="1" t="n">
        <v>46092</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5146-2024</t>
        </is>
      </c>
      <c r="B451" s="1" t="n">
        <v>45330</v>
      </c>
      <c r="C451" s="1" t="n">
        <v>46092</v>
      </c>
      <c r="D451" t="inlineStr">
        <is>
          <t>KALMAR LÄN</t>
        </is>
      </c>
      <c r="E451" t="inlineStr">
        <is>
          <t>VIMMERBY</t>
        </is>
      </c>
      <c r="G451" t="n">
        <v>5.3</v>
      </c>
      <c r="H451" t="n">
        <v>0</v>
      </c>
      <c r="I451" t="n">
        <v>0</v>
      </c>
      <c r="J451" t="n">
        <v>0</v>
      </c>
      <c r="K451" t="n">
        <v>0</v>
      </c>
      <c r="L451" t="n">
        <v>0</v>
      </c>
      <c r="M451" t="n">
        <v>0</v>
      </c>
      <c r="N451" t="n">
        <v>0</v>
      </c>
      <c r="O451" t="n">
        <v>0</v>
      </c>
      <c r="P451" t="n">
        <v>0</v>
      </c>
      <c r="Q451" t="n">
        <v>0</v>
      </c>
      <c r="R451" s="2" t="inlineStr"/>
    </row>
    <row r="452" ht="15" customHeight="1">
      <c r="A452" t="inlineStr">
        <is>
          <t>A 5148-2024</t>
        </is>
      </c>
      <c r="B452" s="1" t="n">
        <v>45330</v>
      </c>
      <c r="C452" s="1" t="n">
        <v>46092</v>
      </c>
      <c r="D452" t="inlineStr">
        <is>
          <t>KALMAR LÄN</t>
        </is>
      </c>
      <c r="E452" t="inlineStr">
        <is>
          <t>VIMMERBY</t>
        </is>
      </c>
      <c r="G452" t="n">
        <v>5.6</v>
      </c>
      <c r="H452" t="n">
        <v>0</v>
      </c>
      <c r="I452" t="n">
        <v>0</v>
      </c>
      <c r="J452" t="n">
        <v>0</v>
      </c>
      <c r="K452" t="n">
        <v>0</v>
      </c>
      <c r="L452" t="n">
        <v>0</v>
      </c>
      <c r="M452" t="n">
        <v>0</v>
      </c>
      <c r="N452" t="n">
        <v>0</v>
      </c>
      <c r="O452" t="n">
        <v>0</v>
      </c>
      <c r="P452" t="n">
        <v>0</v>
      </c>
      <c r="Q452" t="n">
        <v>0</v>
      </c>
      <c r="R452" s="2" t="inlineStr"/>
    </row>
    <row r="453" ht="15" customHeight="1">
      <c r="A453" t="inlineStr">
        <is>
          <t>A 1862-2026</t>
        </is>
      </c>
      <c r="B453" s="1" t="n">
        <v>46035.44689814815</v>
      </c>
      <c r="C453" s="1" t="n">
        <v>46092</v>
      </c>
      <c r="D453" t="inlineStr">
        <is>
          <t>KALMAR LÄN</t>
        </is>
      </c>
      <c r="E453" t="inlineStr">
        <is>
          <t>VIMMERBY</t>
        </is>
      </c>
      <c r="G453" t="n">
        <v>3.1</v>
      </c>
      <c r="H453" t="n">
        <v>0</v>
      </c>
      <c r="I453" t="n">
        <v>0</v>
      </c>
      <c r="J453" t="n">
        <v>0</v>
      </c>
      <c r="K453" t="n">
        <v>0</v>
      </c>
      <c r="L453" t="n">
        <v>0</v>
      </c>
      <c r="M453" t="n">
        <v>0</v>
      </c>
      <c r="N453" t="n">
        <v>0</v>
      </c>
      <c r="O453" t="n">
        <v>0</v>
      </c>
      <c r="P453" t="n">
        <v>0</v>
      </c>
      <c r="Q453" t="n">
        <v>0</v>
      </c>
      <c r="R453" s="2" t="inlineStr"/>
    </row>
    <row r="454" ht="15" customHeight="1">
      <c r="A454" t="inlineStr">
        <is>
          <t>A 58278-2023</t>
        </is>
      </c>
      <c r="B454" s="1" t="n">
        <v>45250.5278587963</v>
      </c>
      <c r="C454" s="1" t="n">
        <v>46092</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22266-2023</t>
        </is>
      </c>
      <c r="B455" s="1" t="n">
        <v>45070</v>
      </c>
      <c r="C455" s="1" t="n">
        <v>46092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52588-2023</t>
        </is>
      </c>
      <c r="B456" s="1" t="n">
        <v>45225.60192129629</v>
      </c>
      <c r="C456" s="1" t="n">
        <v>46092</v>
      </c>
      <c r="D456" t="inlineStr">
        <is>
          <t>KALMAR LÄN</t>
        </is>
      </c>
      <c r="E456" t="inlineStr">
        <is>
          <t>VIMMERBY</t>
        </is>
      </c>
      <c r="G456" t="n">
        <v>2.9</v>
      </c>
      <c r="H456" t="n">
        <v>0</v>
      </c>
      <c r="I456" t="n">
        <v>0</v>
      </c>
      <c r="J456" t="n">
        <v>0</v>
      </c>
      <c r="K456" t="n">
        <v>0</v>
      </c>
      <c r="L456" t="n">
        <v>0</v>
      </c>
      <c r="M456" t="n">
        <v>0</v>
      </c>
      <c r="N456" t="n">
        <v>0</v>
      </c>
      <c r="O456" t="n">
        <v>0</v>
      </c>
      <c r="P456" t="n">
        <v>0</v>
      </c>
      <c r="Q456" t="n">
        <v>0</v>
      </c>
      <c r="R456" s="2" t="inlineStr"/>
    </row>
    <row r="457" ht="15" customHeight="1">
      <c r="A457" t="inlineStr">
        <is>
          <t>A 30293-2025</t>
        </is>
      </c>
      <c r="B457" s="1" t="n">
        <v>45827</v>
      </c>
      <c r="C457" s="1" t="n">
        <v>46092</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30290-2025</t>
        </is>
      </c>
      <c r="B458" s="1" t="n">
        <v>45827</v>
      </c>
      <c r="C458" s="1" t="n">
        <v>46092</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49871-2025</t>
        </is>
      </c>
      <c r="B459" s="1" t="n">
        <v>45940.54104166666</v>
      </c>
      <c r="C459" s="1" t="n">
        <v>46092</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6802-2025</t>
        </is>
      </c>
      <c r="B460" s="1" t="n">
        <v>45700.68289351852</v>
      </c>
      <c r="C460" s="1" t="n">
        <v>46092</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2518-2026</t>
        </is>
      </c>
      <c r="B461" s="1" t="n">
        <v>46037.42511574074</v>
      </c>
      <c r="C461" s="1" t="n">
        <v>46092</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71793-2021</t>
        </is>
      </c>
      <c r="B462" s="1" t="n">
        <v>44539</v>
      </c>
      <c r="C462" s="1" t="n">
        <v>46092</v>
      </c>
      <c r="D462" t="inlineStr">
        <is>
          <t>KALMAR LÄN</t>
        </is>
      </c>
      <c r="E462" t="inlineStr">
        <is>
          <t>VIMMERBY</t>
        </is>
      </c>
      <c r="G462" t="n">
        <v>2.7</v>
      </c>
      <c r="H462" t="n">
        <v>0</v>
      </c>
      <c r="I462" t="n">
        <v>0</v>
      </c>
      <c r="J462" t="n">
        <v>0</v>
      </c>
      <c r="K462" t="n">
        <v>0</v>
      </c>
      <c r="L462" t="n">
        <v>0</v>
      </c>
      <c r="M462" t="n">
        <v>0</v>
      </c>
      <c r="N462" t="n">
        <v>0</v>
      </c>
      <c r="O462" t="n">
        <v>0</v>
      </c>
      <c r="P462" t="n">
        <v>0</v>
      </c>
      <c r="Q462" t="n">
        <v>0</v>
      </c>
      <c r="R462" s="2" t="inlineStr"/>
    </row>
    <row r="463" ht="15" customHeight="1">
      <c r="A463" t="inlineStr">
        <is>
          <t>A 50544-2025</t>
        </is>
      </c>
      <c r="B463" s="1" t="n">
        <v>45945.50736111111</v>
      </c>
      <c r="C463" s="1" t="n">
        <v>46092</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527-2024</t>
        </is>
      </c>
      <c r="B464" s="1" t="n">
        <v>45299.47513888889</v>
      </c>
      <c r="C464" s="1" t="n">
        <v>46092</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60230-2022</t>
        </is>
      </c>
      <c r="B465" s="1" t="n">
        <v>44910</v>
      </c>
      <c r="C465" s="1" t="n">
        <v>46092</v>
      </c>
      <c r="D465" t="inlineStr">
        <is>
          <t>KALMAR LÄN</t>
        </is>
      </c>
      <c r="E465" t="inlineStr">
        <is>
          <t>VIMMERBY</t>
        </is>
      </c>
      <c r="G465" t="n">
        <v>11.3</v>
      </c>
      <c r="H465" t="n">
        <v>0</v>
      </c>
      <c r="I465" t="n">
        <v>0</v>
      </c>
      <c r="J465" t="n">
        <v>0</v>
      </c>
      <c r="K465" t="n">
        <v>0</v>
      </c>
      <c r="L465" t="n">
        <v>0</v>
      </c>
      <c r="M465" t="n">
        <v>0</v>
      </c>
      <c r="N465" t="n">
        <v>0</v>
      </c>
      <c r="O465" t="n">
        <v>0</v>
      </c>
      <c r="P465" t="n">
        <v>0</v>
      </c>
      <c r="Q465" t="n">
        <v>0</v>
      </c>
      <c r="R465" s="2" t="inlineStr"/>
    </row>
    <row r="466" ht="15" customHeight="1">
      <c r="A466" t="inlineStr">
        <is>
          <t>A 30850-2025</t>
        </is>
      </c>
      <c r="B466" s="1" t="n">
        <v>45831</v>
      </c>
      <c r="C466" s="1" t="n">
        <v>46092</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5925-2022</t>
        </is>
      </c>
      <c r="B467" s="1" t="n">
        <v>44598.7384837963</v>
      </c>
      <c r="C467" s="1" t="n">
        <v>46092</v>
      </c>
      <c r="D467" t="inlineStr">
        <is>
          <t>KALMAR LÄN</t>
        </is>
      </c>
      <c r="E467" t="inlineStr">
        <is>
          <t>VIMMERBY</t>
        </is>
      </c>
      <c r="G467" t="n">
        <v>2.1</v>
      </c>
      <c r="H467" t="n">
        <v>0</v>
      </c>
      <c r="I467" t="n">
        <v>0</v>
      </c>
      <c r="J467" t="n">
        <v>0</v>
      </c>
      <c r="K467" t="n">
        <v>0</v>
      </c>
      <c r="L467" t="n">
        <v>0</v>
      </c>
      <c r="M467" t="n">
        <v>0</v>
      </c>
      <c r="N467" t="n">
        <v>0</v>
      </c>
      <c r="O467" t="n">
        <v>0</v>
      </c>
      <c r="P467" t="n">
        <v>0</v>
      </c>
      <c r="Q467" t="n">
        <v>0</v>
      </c>
      <c r="R467" s="2" t="inlineStr"/>
    </row>
    <row r="468" ht="15" customHeight="1">
      <c r="A468" t="inlineStr">
        <is>
          <t>A 50324-2025</t>
        </is>
      </c>
      <c r="B468" s="1" t="n">
        <v>45944.45962962963</v>
      </c>
      <c r="C468" s="1" t="n">
        <v>46092</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10965-2026</t>
        </is>
      </c>
      <c r="B469" s="1" t="n">
        <v>46079.43295138889</v>
      </c>
      <c r="C469" s="1" t="n">
        <v>46092</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2514-2026</t>
        </is>
      </c>
      <c r="B470" s="1" t="n">
        <v>46037.42219907408</v>
      </c>
      <c r="C470" s="1" t="n">
        <v>46092</v>
      </c>
      <c r="D470" t="inlineStr">
        <is>
          <t>KALMAR LÄN</t>
        </is>
      </c>
      <c r="E470" t="inlineStr">
        <is>
          <t>VIMMERBY</t>
        </is>
      </c>
      <c r="G470" t="n">
        <v>0.7</v>
      </c>
      <c r="H470" t="n">
        <v>0</v>
      </c>
      <c r="I470" t="n">
        <v>0</v>
      </c>
      <c r="J470" t="n">
        <v>0</v>
      </c>
      <c r="K470" t="n">
        <v>0</v>
      </c>
      <c r="L470" t="n">
        <v>0</v>
      </c>
      <c r="M470" t="n">
        <v>0</v>
      </c>
      <c r="N470" t="n">
        <v>0</v>
      </c>
      <c r="O470" t="n">
        <v>0</v>
      </c>
      <c r="P470" t="n">
        <v>0</v>
      </c>
      <c r="Q470" t="n">
        <v>0</v>
      </c>
      <c r="R470" s="2" t="inlineStr"/>
    </row>
    <row r="471" ht="15" customHeight="1">
      <c r="A471" t="inlineStr">
        <is>
          <t>A 46522-2022</t>
        </is>
      </c>
      <c r="B471" s="1" t="n">
        <v>44848.59133101852</v>
      </c>
      <c r="C471" s="1" t="n">
        <v>46092</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31552-2025</t>
        </is>
      </c>
      <c r="B472" s="1" t="n">
        <v>45833.64563657407</v>
      </c>
      <c r="C472" s="1" t="n">
        <v>46092</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31555-2025</t>
        </is>
      </c>
      <c r="B473" s="1" t="n">
        <v>45833.64814814815</v>
      </c>
      <c r="C473" s="1" t="n">
        <v>46092</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30971-2025</t>
        </is>
      </c>
      <c r="B474" s="1" t="n">
        <v>45832.46146990741</v>
      </c>
      <c r="C474" s="1" t="n">
        <v>46092</v>
      </c>
      <c r="D474" t="inlineStr">
        <is>
          <t>KALMAR LÄN</t>
        </is>
      </c>
      <c r="E474" t="inlineStr">
        <is>
          <t>VIMMERBY</t>
        </is>
      </c>
      <c r="G474" t="n">
        <v>1.2</v>
      </c>
      <c r="H474" t="n">
        <v>0</v>
      </c>
      <c r="I474" t="n">
        <v>0</v>
      </c>
      <c r="J474" t="n">
        <v>0</v>
      </c>
      <c r="K474" t="n">
        <v>0</v>
      </c>
      <c r="L474" t="n">
        <v>0</v>
      </c>
      <c r="M474" t="n">
        <v>0</v>
      </c>
      <c r="N474" t="n">
        <v>0</v>
      </c>
      <c r="O474" t="n">
        <v>0</v>
      </c>
      <c r="P474" t="n">
        <v>0</v>
      </c>
      <c r="Q474" t="n">
        <v>0</v>
      </c>
      <c r="R474" s="2" t="inlineStr"/>
    </row>
    <row r="475" ht="15" customHeight="1">
      <c r="A475" t="inlineStr">
        <is>
          <t>A 31551-2025</t>
        </is>
      </c>
      <c r="B475" s="1" t="n">
        <v>45833.64237268519</v>
      </c>
      <c r="C475" s="1" t="n">
        <v>46092</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41066-2024</t>
        </is>
      </c>
      <c r="B476" s="1" t="n">
        <v>45559.38876157408</v>
      </c>
      <c r="C476" s="1" t="n">
        <v>46092</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52279-2023</t>
        </is>
      </c>
      <c r="B477" s="1" t="n">
        <v>45224</v>
      </c>
      <c r="C477" s="1" t="n">
        <v>46092</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51062-2025</t>
        </is>
      </c>
      <c r="B478" s="1" t="n">
        <v>45947.44685185186</v>
      </c>
      <c r="C478" s="1" t="n">
        <v>46092</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30882-2025</t>
        </is>
      </c>
      <c r="B479" s="1" t="n">
        <v>45832.34540509259</v>
      </c>
      <c r="C479" s="1" t="n">
        <v>46092</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17486-2024</t>
        </is>
      </c>
      <c r="B480" s="1" t="n">
        <v>45415.48979166667</v>
      </c>
      <c r="C480" s="1" t="n">
        <v>46092</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71631-2021</t>
        </is>
      </c>
      <c r="B481" s="1" t="n">
        <v>44542.90072916666</v>
      </c>
      <c r="C481" s="1" t="n">
        <v>46092</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2523-2026</t>
        </is>
      </c>
      <c r="B482" s="1" t="n">
        <v>46037.42825231481</v>
      </c>
      <c r="C482" s="1" t="n">
        <v>46092</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31872-2025</t>
        </is>
      </c>
      <c r="B483" s="1" t="n">
        <v>45834.65040509259</v>
      </c>
      <c r="C483" s="1" t="n">
        <v>46092</v>
      </c>
      <c r="D483" t="inlineStr">
        <is>
          <t>KALMAR LÄN</t>
        </is>
      </c>
      <c r="E483" t="inlineStr">
        <is>
          <t>VIMMERBY</t>
        </is>
      </c>
      <c r="F483" t="inlineStr">
        <is>
          <t>Sveaskog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8559-2025</t>
        </is>
      </c>
      <c r="B484" s="1" t="n">
        <v>45709.62280092593</v>
      </c>
      <c r="C484" s="1" t="n">
        <v>46092</v>
      </c>
      <c r="D484" t="inlineStr">
        <is>
          <t>KALMAR LÄN</t>
        </is>
      </c>
      <c r="E484" t="inlineStr">
        <is>
          <t>VIMMERBY</t>
        </is>
      </c>
      <c r="G484" t="n">
        <v>8.9</v>
      </c>
      <c r="H484" t="n">
        <v>0</v>
      </c>
      <c r="I484" t="n">
        <v>0</v>
      </c>
      <c r="J484" t="n">
        <v>0</v>
      </c>
      <c r="K484" t="n">
        <v>0</v>
      </c>
      <c r="L484" t="n">
        <v>0</v>
      </c>
      <c r="M484" t="n">
        <v>0</v>
      </c>
      <c r="N484" t="n">
        <v>0</v>
      </c>
      <c r="O484" t="n">
        <v>0</v>
      </c>
      <c r="P484" t="n">
        <v>0</v>
      </c>
      <c r="Q484" t="n">
        <v>0</v>
      </c>
      <c r="R484" s="2" t="inlineStr"/>
    </row>
    <row r="485" ht="15" customHeight="1">
      <c r="A485" t="inlineStr">
        <is>
          <t>A 32064-2025</t>
        </is>
      </c>
      <c r="B485" s="1" t="n">
        <v>45835.44709490741</v>
      </c>
      <c r="C485" s="1" t="n">
        <v>46092</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32109-2025</t>
        </is>
      </c>
      <c r="B486" s="1" t="n">
        <v>45835.48267361111</v>
      </c>
      <c r="C486" s="1" t="n">
        <v>46092</v>
      </c>
      <c r="D486" t="inlineStr">
        <is>
          <t>KALMAR LÄN</t>
        </is>
      </c>
      <c r="E486" t="inlineStr">
        <is>
          <t>VIMMERBY</t>
        </is>
      </c>
      <c r="G486" t="n">
        <v>2.5</v>
      </c>
      <c r="H486" t="n">
        <v>0</v>
      </c>
      <c r="I486" t="n">
        <v>0</v>
      </c>
      <c r="J486" t="n">
        <v>0</v>
      </c>
      <c r="K486" t="n">
        <v>0</v>
      </c>
      <c r="L486" t="n">
        <v>0</v>
      </c>
      <c r="M486" t="n">
        <v>0</v>
      </c>
      <c r="N486" t="n">
        <v>0</v>
      </c>
      <c r="O486" t="n">
        <v>0</v>
      </c>
      <c r="P486" t="n">
        <v>0</v>
      </c>
      <c r="Q486" t="n">
        <v>0</v>
      </c>
      <c r="R486" s="2" t="inlineStr"/>
    </row>
    <row r="487" ht="15" customHeight="1">
      <c r="A487" t="inlineStr">
        <is>
          <t>A 32113-2025</t>
        </is>
      </c>
      <c r="B487" s="1" t="n">
        <v>45835.48445601852</v>
      </c>
      <c r="C487" s="1" t="n">
        <v>46092</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32116-2025</t>
        </is>
      </c>
      <c r="B488" s="1" t="n">
        <v>45835.48862268519</v>
      </c>
      <c r="C488" s="1" t="n">
        <v>46092</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3266-2026</t>
        </is>
      </c>
      <c r="B489" s="1" t="n">
        <v>46041</v>
      </c>
      <c r="C489" s="1" t="n">
        <v>46092</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31870-2025</t>
        </is>
      </c>
      <c r="B490" s="1" t="n">
        <v>45834.64667824074</v>
      </c>
      <c r="C490" s="1" t="n">
        <v>46092</v>
      </c>
      <c r="D490" t="inlineStr">
        <is>
          <t>KALMAR LÄN</t>
        </is>
      </c>
      <c r="E490" t="inlineStr">
        <is>
          <t>VIMMERBY</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32065-2025</t>
        </is>
      </c>
      <c r="B491" s="1" t="n">
        <v>45835.44732638889</v>
      </c>
      <c r="C491" s="1" t="n">
        <v>46092</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31987-2025</t>
        </is>
      </c>
      <c r="B492" s="1" t="n">
        <v>45835.36229166666</v>
      </c>
      <c r="C492" s="1" t="n">
        <v>46092</v>
      </c>
      <c r="D492" t="inlineStr">
        <is>
          <t>KALMAR LÄN</t>
        </is>
      </c>
      <c r="E492" t="inlineStr">
        <is>
          <t>VIMMERBY</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32077-2025</t>
        </is>
      </c>
      <c r="B493" s="1" t="n">
        <v>45835.45099537037</v>
      </c>
      <c r="C493" s="1" t="n">
        <v>46092</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32120-2025</t>
        </is>
      </c>
      <c r="B494" s="1" t="n">
        <v>45835.4924537037</v>
      </c>
      <c r="C494" s="1" t="n">
        <v>46092</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16015-2025</t>
        </is>
      </c>
      <c r="B495" s="1" t="n">
        <v>45749.60487268519</v>
      </c>
      <c r="C495" s="1" t="n">
        <v>46092</v>
      </c>
      <c r="D495" t="inlineStr">
        <is>
          <t>KALMAR LÄN</t>
        </is>
      </c>
      <c r="E495" t="inlineStr">
        <is>
          <t>VIMMERBY</t>
        </is>
      </c>
      <c r="F495" t="inlineStr">
        <is>
          <t>Kyrkan</t>
        </is>
      </c>
      <c r="G495" t="n">
        <v>2.7</v>
      </c>
      <c r="H495" t="n">
        <v>0</v>
      </c>
      <c r="I495" t="n">
        <v>0</v>
      </c>
      <c r="J495" t="n">
        <v>0</v>
      </c>
      <c r="K495" t="n">
        <v>0</v>
      </c>
      <c r="L495" t="n">
        <v>0</v>
      </c>
      <c r="M495" t="n">
        <v>0</v>
      </c>
      <c r="N495" t="n">
        <v>0</v>
      </c>
      <c r="O495" t="n">
        <v>0</v>
      </c>
      <c r="P495" t="n">
        <v>0</v>
      </c>
      <c r="Q495" t="n">
        <v>0</v>
      </c>
      <c r="R495" s="2" t="inlineStr"/>
    </row>
    <row r="496" ht="15" customHeight="1">
      <c r="A496" t="inlineStr">
        <is>
          <t>A 31876-2025</t>
        </is>
      </c>
      <c r="B496" s="1" t="n">
        <v>45834.65197916667</v>
      </c>
      <c r="C496" s="1" t="n">
        <v>46092</v>
      </c>
      <c r="D496" t="inlineStr">
        <is>
          <t>KALMAR LÄN</t>
        </is>
      </c>
      <c r="E496" t="inlineStr">
        <is>
          <t>VIMMERBY</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9694-2023</t>
        </is>
      </c>
      <c r="B497" s="1" t="n">
        <v>44984.45895833334</v>
      </c>
      <c r="C497" s="1" t="n">
        <v>46092</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22198-2024</t>
        </is>
      </c>
      <c r="B498" s="1" t="n">
        <v>45446.36865740741</v>
      </c>
      <c r="C498" s="1" t="n">
        <v>46092</v>
      </c>
      <c r="D498" t="inlineStr">
        <is>
          <t>KALMAR LÄN</t>
        </is>
      </c>
      <c r="E498" t="inlineStr">
        <is>
          <t>VIMMERBY</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51990-2025</t>
        </is>
      </c>
      <c r="B499" s="1" t="n">
        <v>45952.58061342593</v>
      </c>
      <c r="C499" s="1" t="n">
        <v>46092</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3292-2026</t>
        </is>
      </c>
      <c r="B500" s="1" t="n">
        <v>46041</v>
      </c>
      <c r="C500" s="1" t="n">
        <v>46092</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57311-2023</t>
        </is>
      </c>
      <c r="B501" s="1" t="n">
        <v>45245.63574074074</v>
      </c>
      <c r="C501" s="1" t="n">
        <v>46092</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12588-2025</t>
        </is>
      </c>
      <c r="B502" s="1" t="n">
        <v>45732.76936342593</v>
      </c>
      <c r="C502" s="1" t="n">
        <v>46092</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51993-2025</t>
        </is>
      </c>
      <c r="B503" s="1" t="n">
        <v>45952.58194444444</v>
      </c>
      <c r="C503" s="1" t="n">
        <v>46092</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46092</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52465-2025</t>
        </is>
      </c>
      <c r="B505" s="1" t="n">
        <v>45954.44543981482</v>
      </c>
      <c r="C505" s="1" t="n">
        <v>46092</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11273-2026</t>
        </is>
      </c>
      <c r="B506" s="1" t="n">
        <v>46080.57634259259</v>
      </c>
      <c r="C506" s="1" t="n">
        <v>46092</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52451-2025</t>
        </is>
      </c>
      <c r="B507" s="1" t="n">
        <v>45954.42326388889</v>
      </c>
      <c r="C507" s="1" t="n">
        <v>46092</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32380-2025</t>
        </is>
      </c>
      <c r="B508" s="1" t="n">
        <v>45837.77701388889</v>
      </c>
      <c r="C508" s="1" t="n">
        <v>46092</v>
      </c>
      <c r="D508" t="inlineStr">
        <is>
          <t>KALMAR LÄN</t>
        </is>
      </c>
      <c r="E508" t="inlineStr">
        <is>
          <t>VIMMERBY</t>
        </is>
      </c>
      <c r="G508" t="n">
        <v>3.1</v>
      </c>
      <c r="H508" t="n">
        <v>0</v>
      </c>
      <c r="I508" t="n">
        <v>0</v>
      </c>
      <c r="J508" t="n">
        <v>0</v>
      </c>
      <c r="K508" t="n">
        <v>0</v>
      </c>
      <c r="L508" t="n">
        <v>0</v>
      </c>
      <c r="M508" t="n">
        <v>0</v>
      </c>
      <c r="N508" t="n">
        <v>0</v>
      </c>
      <c r="O508" t="n">
        <v>0</v>
      </c>
      <c r="P508" t="n">
        <v>0</v>
      </c>
      <c r="Q508" t="n">
        <v>0</v>
      </c>
      <c r="R508" s="2" t="inlineStr"/>
    </row>
    <row r="509" ht="15" customHeight="1">
      <c r="A509" t="inlineStr">
        <is>
          <t>A 33186-2025</t>
        </is>
      </c>
      <c r="B509" s="1" t="n">
        <v>45840.59474537037</v>
      </c>
      <c r="C509" s="1" t="n">
        <v>46092</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33695-2025</t>
        </is>
      </c>
      <c r="B510" s="1" t="n">
        <v>45841.70569444444</v>
      </c>
      <c r="C510" s="1" t="n">
        <v>46092</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33698-2025</t>
        </is>
      </c>
      <c r="B511" s="1" t="n">
        <v>45841.70868055556</v>
      </c>
      <c r="C511" s="1" t="n">
        <v>46092</v>
      </c>
      <c r="D511" t="inlineStr">
        <is>
          <t>KALMAR LÄN</t>
        </is>
      </c>
      <c r="E511" t="inlineStr">
        <is>
          <t>VIMMERBY</t>
        </is>
      </c>
      <c r="G511" t="n">
        <v>3.7</v>
      </c>
      <c r="H511" t="n">
        <v>0</v>
      </c>
      <c r="I511" t="n">
        <v>0</v>
      </c>
      <c r="J511" t="n">
        <v>0</v>
      </c>
      <c r="K511" t="n">
        <v>0</v>
      </c>
      <c r="L511" t="n">
        <v>0</v>
      </c>
      <c r="M511" t="n">
        <v>0</v>
      </c>
      <c r="N511" t="n">
        <v>0</v>
      </c>
      <c r="O511" t="n">
        <v>0</v>
      </c>
      <c r="P511" t="n">
        <v>0</v>
      </c>
      <c r="Q511" t="n">
        <v>0</v>
      </c>
      <c r="R511" s="2" t="inlineStr"/>
    </row>
    <row r="512" ht="15" customHeight="1">
      <c r="A512" t="inlineStr">
        <is>
          <t>A 2121-2022</t>
        </is>
      </c>
      <c r="B512" s="1" t="n">
        <v>44578.32717592592</v>
      </c>
      <c r="C512" s="1" t="n">
        <v>46092</v>
      </c>
      <c r="D512" t="inlineStr">
        <is>
          <t>KALMAR LÄN</t>
        </is>
      </c>
      <c r="E512" t="inlineStr">
        <is>
          <t>VIMMERBY</t>
        </is>
      </c>
      <c r="G512" t="n">
        <v>2</v>
      </c>
      <c r="H512" t="n">
        <v>0</v>
      </c>
      <c r="I512" t="n">
        <v>0</v>
      </c>
      <c r="J512" t="n">
        <v>0</v>
      </c>
      <c r="K512" t="n">
        <v>0</v>
      </c>
      <c r="L512" t="n">
        <v>0</v>
      </c>
      <c r="M512" t="n">
        <v>0</v>
      </c>
      <c r="N512" t="n">
        <v>0</v>
      </c>
      <c r="O512" t="n">
        <v>0</v>
      </c>
      <c r="P512" t="n">
        <v>0</v>
      </c>
      <c r="Q512" t="n">
        <v>0</v>
      </c>
      <c r="R512" s="2" t="inlineStr"/>
    </row>
    <row r="513" ht="15" customHeight="1">
      <c r="A513" t="inlineStr">
        <is>
          <t>A 30977-2025</t>
        </is>
      </c>
      <c r="B513" s="1" t="n">
        <v>45832.46649305556</v>
      </c>
      <c r="C513" s="1" t="n">
        <v>46092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34386-2024</t>
        </is>
      </c>
      <c r="B514" s="1" t="n">
        <v>45525.41762731481</v>
      </c>
      <c r="C514" s="1" t="n">
        <v>46092</v>
      </c>
      <c r="D514" t="inlineStr">
        <is>
          <t>KALMAR LÄN</t>
        </is>
      </c>
      <c r="E514" t="inlineStr">
        <is>
          <t>VIMMERBY</t>
        </is>
      </c>
      <c r="G514" t="n">
        <v>0.3</v>
      </c>
      <c r="H514" t="n">
        <v>0</v>
      </c>
      <c r="I514" t="n">
        <v>0</v>
      </c>
      <c r="J514" t="n">
        <v>0</v>
      </c>
      <c r="K514" t="n">
        <v>0</v>
      </c>
      <c r="L514" t="n">
        <v>0</v>
      </c>
      <c r="M514" t="n">
        <v>0</v>
      </c>
      <c r="N514" t="n">
        <v>0</v>
      </c>
      <c r="O514" t="n">
        <v>0</v>
      </c>
      <c r="P514" t="n">
        <v>0</v>
      </c>
      <c r="Q514" t="n">
        <v>0</v>
      </c>
      <c r="R514" s="2" t="inlineStr"/>
    </row>
    <row r="515" ht="15" customHeight="1">
      <c r="A515" t="inlineStr">
        <is>
          <t>A 3868-2026</t>
        </is>
      </c>
      <c r="B515" s="1" t="n">
        <v>46043.6360300926</v>
      </c>
      <c r="C515" s="1" t="n">
        <v>46092</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33696-2025</t>
        </is>
      </c>
      <c r="B516" s="1" t="n">
        <v>45841.7072337963</v>
      </c>
      <c r="C516" s="1" t="n">
        <v>46092</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6069-2023</t>
        </is>
      </c>
      <c r="B517" s="1" t="n">
        <v>44964.5115162037</v>
      </c>
      <c r="C517" s="1" t="n">
        <v>46092</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52516-2025</t>
        </is>
      </c>
      <c r="B518" s="1" t="n">
        <v>45954.51412037037</v>
      </c>
      <c r="C518" s="1" t="n">
        <v>46092</v>
      </c>
      <c r="D518" t="inlineStr">
        <is>
          <t>KALMAR LÄN</t>
        </is>
      </c>
      <c r="E518" t="inlineStr">
        <is>
          <t>VIMMERBY</t>
        </is>
      </c>
      <c r="G518" t="n">
        <v>2.8</v>
      </c>
      <c r="H518" t="n">
        <v>0</v>
      </c>
      <c r="I518" t="n">
        <v>0</v>
      </c>
      <c r="J518" t="n">
        <v>0</v>
      </c>
      <c r="K518" t="n">
        <v>0</v>
      </c>
      <c r="L518" t="n">
        <v>0</v>
      </c>
      <c r="M518" t="n">
        <v>0</v>
      </c>
      <c r="N518" t="n">
        <v>0</v>
      </c>
      <c r="O518" t="n">
        <v>0</v>
      </c>
      <c r="P518" t="n">
        <v>0</v>
      </c>
      <c r="Q518" t="n">
        <v>0</v>
      </c>
      <c r="R518" s="2" t="inlineStr"/>
    </row>
    <row r="519" ht="15" customHeight="1">
      <c r="A519" t="inlineStr">
        <is>
          <t>A 52466-2025</t>
        </is>
      </c>
      <c r="B519" s="1" t="n">
        <v>45954.44707175926</v>
      </c>
      <c r="C519" s="1" t="n">
        <v>46092</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52473-2025</t>
        </is>
      </c>
      <c r="B520" s="1" t="n">
        <v>45954.45947916667</v>
      </c>
      <c r="C520" s="1" t="n">
        <v>46092</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52480-2025</t>
        </is>
      </c>
      <c r="B521" s="1" t="n">
        <v>45954.47172453703</v>
      </c>
      <c r="C521" s="1" t="n">
        <v>46092</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3869-2026</t>
        </is>
      </c>
      <c r="B522" s="1" t="n">
        <v>46043.63940972222</v>
      </c>
      <c r="C522" s="1" t="n">
        <v>46092</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52475-2025</t>
        </is>
      </c>
      <c r="B523" s="1" t="n">
        <v>45954.468125</v>
      </c>
      <c r="C523" s="1" t="n">
        <v>46092</v>
      </c>
      <c r="D523" t="inlineStr">
        <is>
          <t>KALMAR LÄN</t>
        </is>
      </c>
      <c r="E523" t="inlineStr">
        <is>
          <t>VIMMERBY</t>
        </is>
      </c>
      <c r="G523" t="n">
        <v>1.5</v>
      </c>
      <c r="H523" t="n">
        <v>0</v>
      </c>
      <c r="I523" t="n">
        <v>0</v>
      </c>
      <c r="J523" t="n">
        <v>0</v>
      </c>
      <c r="K523" t="n">
        <v>0</v>
      </c>
      <c r="L523" t="n">
        <v>0</v>
      </c>
      <c r="M523" t="n">
        <v>0</v>
      </c>
      <c r="N523" t="n">
        <v>0</v>
      </c>
      <c r="O523" t="n">
        <v>0</v>
      </c>
      <c r="P523" t="n">
        <v>0</v>
      </c>
      <c r="Q523" t="n">
        <v>0</v>
      </c>
      <c r="R523" s="2" t="inlineStr"/>
    </row>
    <row r="524" ht="15" customHeight="1">
      <c r="A524" t="inlineStr">
        <is>
          <t>A 26956-2025</t>
        </is>
      </c>
      <c r="B524" s="1" t="n">
        <v>45811.45460648148</v>
      </c>
      <c r="C524" s="1" t="n">
        <v>46092</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53396-2025</t>
        </is>
      </c>
      <c r="B525" s="1" t="n">
        <v>45959.55577546296</v>
      </c>
      <c r="C525" s="1" t="n">
        <v>46092</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53416-2025</t>
        </is>
      </c>
      <c r="B526" s="1" t="n">
        <v>45959.58387731481</v>
      </c>
      <c r="C526" s="1" t="n">
        <v>46092</v>
      </c>
      <c r="D526" t="inlineStr">
        <is>
          <t>KALMAR LÄN</t>
        </is>
      </c>
      <c r="E526" t="inlineStr">
        <is>
          <t>VIMMERBY</t>
        </is>
      </c>
      <c r="G526" t="n">
        <v>4.4</v>
      </c>
      <c r="H526" t="n">
        <v>0</v>
      </c>
      <c r="I526" t="n">
        <v>0</v>
      </c>
      <c r="J526" t="n">
        <v>0</v>
      </c>
      <c r="K526" t="n">
        <v>0</v>
      </c>
      <c r="L526" t="n">
        <v>0</v>
      </c>
      <c r="M526" t="n">
        <v>0</v>
      </c>
      <c r="N526" t="n">
        <v>0</v>
      </c>
      <c r="O526" t="n">
        <v>0</v>
      </c>
      <c r="P526" t="n">
        <v>0</v>
      </c>
      <c r="Q526" t="n">
        <v>0</v>
      </c>
      <c r="R526" s="2" t="inlineStr"/>
    </row>
    <row r="527" ht="15" customHeight="1">
      <c r="A527" t="inlineStr">
        <is>
          <t>A 53398-2025</t>
        </is>
      </c>
      <c r="B527" s="1" t="n">
        <v>45959.56247685185</v>
      </c>
      <c r="C527" s="1" t="n">
        <v>46092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32633-2023</t>
        </is>
      </c>
      <c r="B528" s="1" t="n">
        <v>45121.58699074074</v>
      </c>
      <c r="C528" s="1" t="n">
        <v>46092</v>
      </c>
      <c r="D528" t="inlineStr">
        <is>
          <t>KALMAR LÄN</t>
        </is>
      </c>
      <c r="E528" t="inlineStr">
        <is>
          <t>VIMMERBY</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53397-2025</t>
        </is>
      </c>
      <c r="B529" s="1" t="n">
        <v>45959.55918981481</v>
      </c>
      <c r="C529" s="1" t="n">
        <v>46092</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53220-2025</t>
        </is>
      </c>
      <c r="B530" s="1" t="n">
        <v>45958.60146990741</v>
      </c>
      <c r="C530" s="1" t="n">
        <v>46092</v>
      </c>
      <c r="D530" t="inlineStr">
        <is>
          <t>KALMAR LÄN</t>
        </is>
      </c>
      <c r="E530" t="inlineStr">
        <is>
          <t>VIMMERBY</t>
        </is>
      </c>
      <c r="G530" t="n">
        <v>2.2</v>
      </c>
      <c r="H530" t="n">
        <v>0</v>
      </c>
      <c r="I530" t="n">
        <v>0</v>
      </c>
      <c r="J530" t="n">
        <v>0</v>
      </c>
      <c r="K530" t="n">
        <v>0</v>
      </c>
      <c r="L530" t="n">
        <v>0</v>
      </c>
      <c r="M530" t="n">
        <v>0</v>
      </c>
      <c r="N530" t="n">
        <v>0</v>
      </c>
      <c r="O530" t="n">
        <v>0</v>
      </c>
      <c r="P530" t="n">
        <v>0</v>
      </c>
      <c r="Q530" t="n">
        <v>0</v>
      </c>
      <c r="R530" s="2" t="inlineStr"/>
    </row>
    <row r="531" ht="15" customHeight="1">
      <c r="A531" t="inlineStr">
        <is>
          <t>A 11407-2026</t>
        </is>
      </c>
      <c r="B531" s="1" t="n">
        <v>46083</v>
      </c>
      <c r="C531" s="1" t="n">
        <v>46092</v>
      </c>
      <c r="D531" t="inlineStr">
        <is>
          <t>KALMAR LÄN</t>
        </is>
      </c>
      <c r="E531" t="inlineStr">
        <is>
          <t>VIMMERBY</t>
        </is>
      </c>
      <c r="G531" t="n">
        <v>2.3</v>
      </c>
      <c r="H531" t="n">
        <v>0</v>
      </c>
      <c r="I531" t="n">
        <v>0</v>
      </c>
      <c r="J531" t="n">
        <v>0</v>
      </c>
      <c r="K531" t="n">
        <v>0</v>
      </c>
      <c r="L531" t="n">
        <v>0</v>
      </c>
      <c r="M531" t="n">
        <v>0</v>
      </c>
      <c r="N531" t="n">
        <v>0</v>
      </c>
      <c r="O531" t="n">
        <v>0</v>
      </c>
      <c r="P531" t="n">
        <v>0</v>
      </c>
      <c r="Q531" t="n">
        <v>0</v>
      </c>
      <c r="R531" s="2" t="inlineStr"/>
    </row>
    <row r="532" ht="15" customHeight="1">
      <c r="A532" t="inlineStr">
        <is>
          <t>A 53393-2025</t>
        </is>
      </c>
      <c r="B532" s="1" t="n">
        <v>45959.55284722222</v>
      </c>
      <c r="C532" s="1" t="n">
        <v>46092</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49461-2023</t>
        </is>
      </c>
      <c r="B533" s="1" t="n">
        <v>45211.52642361111</v>
      </c>
      <c r="C533" s="1" t="n">
        <v>46092</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53413-2025</t>
        </is>
      </c>
      <c r="B534" s="1" t="n">
        <v>45959.5787037037</v>
      </c>
      <c r="C534" s="1" t="n">
        <v>46092</v>
      </c>
      <c r="D534" t="inlineStr">
        <is>
          <t>KALMAR LÄN</t>
        </is>
      </c>
      <c r="E534" t="inlineStr">
        <is>
          <t>VIMMERBY</t>
        </is>
      </c>
      <c r="G534" t="n">
        <v>4.3</v>
      </c>
      <c r="H534" t="n">
        <v>0</v>
      </c>
      <c r="I534" t="n">
        <v>0</v>
      </c>
      <c r="J534" t="n">
        <v>0</v>
      </c>
      <c r="K534" t="n">
        <v>0</v>
      </c>
      <c r="L534" t="n">
        <v>0</v>
      </c>
      <c r="M534" t="n">
        <v>0</v>
      </c>
      <c r="N534" t="n">
        <v>0</v>
      </c>
      <c r="O534" t="n">
        <v>0</v>
      </c>
      <c r="P534" t="n">
        <v>0</v>
      </c>
      <c r="Q534" t="n">
        <v>0</v>
      </c>
      <c r="R534" s="2" t="inlineStr"/>
    </row>
    <row r="535" ht="15" customHeight="1">
      <c r="A535" t="inlineStr">
        <is>
          <t>A 34071-2025</t>
        </is>
      </c>
      <c r="B535" s="1" t="n">
        <v>45845.43803240741</v>
      </c>
      <c r="C535" s="1" t="n">
        <v>46092</v>
      </c>
      <c r="D535" t="inlineStr">
        <is>
          <t>KALMAR LÄN</t>
        </is>
      </c>
      <c r="E535" t="inlineStr">
        <is>
          <t>VIMMERBY</t>
        </is>
      </c>
      <c r="G535" t="n">
        <v>6.8</v>
      </c>
      <c r="H535" t="n">
        <v>0</v>
      </c>
      <c r="I535" t="n">
        <v>0</v>
      </c>
      <c r="J535" t="n">
        <v>0</v>
      </c>
      <c r="K535" t="n">
        <v>0</v>
      </c>
      <c r="L535" t="n">
        <v>0</v>
      </c>
      <c r="M535" t="n">
        <v>0</v>
      </c>
      <c r="N535" t="n">
        <v>0</v>
      </c>
      <c r="O535" t="n">
        <v>0</v>
      </c>
      <c r="P535" t="n">
        <v>0</v>
      </c>
      <c r="Q535" t="n">
        <v>0</v>
      </c>
      <c r="R535" s="2" t="inlineStr"/>
    </row>
    <row r="536" ht="15" customHeight="1">
      <c r="A536" t="inlineStr">
        <is>
          <t>A 34106-2025</t>
        </is>
      </c>
      <c r="B536" s="1" t="n">
        <v>45845.49414351852</v>
      </c>
      <c r="C536" s="1" t="n">
        <v>46092</v>
      </c>
      <c r="D536" t="inlineStr">
        <is>
          <t>KALMAR LÄN</t>
        </is>
      </c>
      <c r="E536" t="inlineStr">
        <is>
          <t>VIMMERBY</t>
        </is>
      </c>
      <c r="G536" t="n">
        <v>6</v>
      </c>
      <c r="H536" t="n">
        <v>0</v>
      </c>
      <c r="I536" t="n">
        <v>0</v>
      </c>
      <c r="J536" t="n">
        <v>0</v>
      </c>
      <c r="K536" t="n">
        <v>0</v>
      </c>
      <c r="L536" t="n">
        <v>0</v>
      </c>
      <c r="M536" t="n">
        <v>0</v>
      </c>
      <c r="N536" t="n">
        <v>0</v>
      </c>
      <c r="O536" t="n">
        <v>0</v>
      </c>
      <c r="P536" t="n">
        <v>0</v>
      </c>
      <c r="Q536" t="n">
        <v>0</v>
      </c>
      <c r="R536" s="2" t="inlineStr"/>
    </row>
    <row r="537" ht="15" customHeight="1">
      <c r="A537" t="inlineStr">
        <is>
          <t>A 23095-2023</t>
        </is>
      </c>
      <c r="B537" s="1" t="n">
        <v>45075.43059027778</v>
      </c>
      <c r="C537" s="1" t="n">
        <v>46092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11429-2022</t>
        </is>
      </c>
      <c r="B538" s="1" t="n">
        <v>44630</v>
      </c>
      <c r="C538" s="1" t="n">
        <v>46092</v>
      </c>
      <c r="D538" t="inlineStr">
        <is>
          <t>KALMAR LÄN</t>
        </is>
      </c>
      <c r="E538" t="inlineStr">
        <is>
          <t>VIMMERBY</t>
        </is>
      </c>
      <c r="G538" t="n">
        <v>2.6</v>
      </c>
      <c r="H538" t="n">
        <v>0</v>
      </c>
      <c r="I538" t="n">
        <v>0</v>
      </c>
      <c r="J538" t="n">
        <v>0</v>
      </c>
      <c r="K538" t="n">
        <v>0</v>
      </c>
      <c r="L538" t="n">
        <v>0</v>
      </c>
      <c r="M538" t="n">
        <v>0</v>
      </c>
      <c r="N538" t="n">
        <v>0</v>
      </c>
      <c r="O538" t="n">
        <v>0</v>
      </c>
      <c r="P538" t="n">
        <v>0</v>
      </c>
      <c r="Q538" t="n">
        <v>0</v>
      </c>
      <c r="R538" s="2" t="inlineStr"/>
    </row>
    <row r="539" ht="15" customHeight="1">
      <c r="A539" t="inlineStr">
        <is>
          <t>A 28702-2025</t>
        </is>
      </c>
      <c r="B539" s="1" t="n">
        <v>45820.03976851852</v>
      </c>
      <c r="C539" s="1" t="n">
        <v>46092</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53903-2025</t>
        </is>
      </c>
      <c r="B540" s="1" t="n">
        <v>45961.43738425926</v>
      </c>
      <c r="C540" s="1" t="n">
        <v>46092</v>
      </c>
      <c r="D540" t="inlineStr">
        <is>
          <t>KALMAR LÄN</t>
        </is>
      </c>
      <c r="E540" t="inlineStr">
        <is>
          <t>VIMMERBY</t>
        </is>
      </c>
      <c r="G540" t="n">
        <v>0.8</v>
      </c>
      <c r="H540" t="n">
        <v>0</v>
      </c>
      <c r="I540" t="n">
        <v>0</v>
      </c>
      <c r="J540" t="n">
        <v>0</v>
      </c>
      <c r="K540" t="n">
        <v>0</v>
      </c>
      <c r="L540" t="n">
        <v>0</v>
      </c>
      <c r="M540" t="n">
        <v>0</v>
      </c>
      <c r="N540" t="n">
        <v>0</v>
      </c>
      <c r="O540" t="n">
        <v>0</v>
      </c>
      <c r="P540" t="n">
        <v>0</v>
      </c>
      <c r="Q540" t="n">
        <v>0</v>
      </c>
      <c r="R540" s="2" t="inlineStr"/>
    </row>
    <row r="541" ht="15" customHeight="1">
      <c r="A541" t="inlineStr">
        <is>
          <t>A 53920-2025</t>
        </is>
      </c>
      <c r="B541" s="1" t="n">
        <v>45961.44951388889</v>
      </c>
      <c r="C541" s="1" t="n">
        <v>46092</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53927-2025</t>
        </is>
      </c>
      <c r="B542" s="1" t="n">
        <v>45961.46740740741</v>
      </c>
      <c r="C542" s="1" t="n">
        <v>46092</v>
      </c>
      <c r="D542" t="inlineStr">
        <is>
          <t>KALMAR LÄN</t>
        </is>
      </c>
      <c r="E542" t="inlineStr">
        <is>
          <t>VIMMERBY</t>
        </is>
      </c>
      <c r="G542" t="n">
        <v>2.5</v>
      </c>
      <c r="H542" t="n">
        <v>0</v>
      </c>
      <c r="I542" t="n">
        <v>0</v>
      </c>
      <c r="J542" t="n">
        <v>0</v>
      </c>
      <c r="K542" t="n">
        <v>0</v>
      </c>
      <c r="L542" t="n">
        <v>0</v>
      </c>
      <c r="M542" t="n">
        <v>0</v>
      </c>
      <c r="N542" t="n">
        <v>0</v>
      </c>
      <c r="O542" t="n">
        <v>0</v>
      </c>
      <c r="P542" t="n">
        <v>0</v>
      </c>
      <c r="Q542" t="n">
        <v>0</v>
      </c>
      <c r="R542" s="2" t="inlineStr"/>
    </row>
    <row r="543" ht="15" customHeight="1">
      <c r="A543" t="inlineStr">
        <is>
          <t>A 11415-2026</t>
        </is>
      </c>
      <c r="B543" s="1" t="n">
        <v>46083</v>
      </c>
      <c r="C543" s="1" t="n">
        <v>46092</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53789-2025</t>
        </is>
      </c>
      <c r="B544" s="1" t="n">
        <v>45960</v>
      </c>
      <c r="C544" s="1" t="n">
        <v>46092</v>
      </c>
      <c r="D544" t="inlineStr">
        <is>
          <t>KALMAR LÄN</t>
        </is>
      </c>
      <c r="E544" t="inlineStr">
        <is>
          <t>VIMMERBY</t>
        </is>
      </c>
      <c r="F544" t="inlineStr">
        <is>
          <t>Övriga statliga verk och myndigheter</t>
        </is>
      </c>
      <c r="G544" t="n">
        <v>1.6</v>
      </c>
      <c r="H544" t="n">
        <v>0</v>
      </c>
      <c r="I544" t="n">
        <v>0</v>
      </c>
      <c r="J544" t="n">
        <v>0</v>
      </c>
      <c r="K544" t="n">
        <v>0</v>
      </c>
      <c r="L544" t="n">
        <v>0</v>
      </c>
      <c r="M544" t="n">
        <v>0</v>
      </c>
      <c r="N544" t="n">
        <v>0</v>
      </c>
      <c r="O544" t="n">
        <v>0</v>
      </c>
      <c r="P544" t="n">
        <v>0</v>
      </c>
      <c r="Q544" t="n">
        <v>0</v>
      </c>
      <c r="R544" s="2" t="inlineStr"/>
    </row>
    <row r="545" ht="15" customHeight="1">
      <c r="A545" t="inlineStr">
        <is>
          <t>A 53923-2025</t>
        </is>
      </c>
      <c r="B545" s="1" t="n">
        <v>45961.4569212963</v>
      </c>
      <c r="C545" s="1" t="n">
        <v>46092</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11141-2024</t>
        </is>
      </c>
      <c r="B546" s="1" t="n">
        <v>45371.45865740741</v>
      </c>
      <c r="C546" s="1" t="n">
        <v>46092</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28395-2023</t>
        </is>
      </c>
      <c r="B547" s="1" t="n">
        <v>45100.4062962963</v>
      </c>
      <c r="C547" s="1" t="n">
        <v>46092</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34597-2022</t>
        </is>
      </c>
      <c r="B548" s="1" t="n">
        <v>44795</v>
      </c>
      <c r="C548" s="1" t="n">
        <v>46092</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53933-2025</t>
        </is>
      </c>
      <c r="B549" s="1" t="n">
        <v>45961.47650462963</v>
      </c>
      <c r="C549" s="1" t="n">
        <v>46092</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53788-2025</t>
        </is>
      </c>
      <c r="B550" s="1" t="n">
        <v>45960</v>
      </c>
      <c r="C550" s="1" t="n">
        <v>46092</v>
      </c>
      <c r="D550" t="inlineStr">
        <is>
          <t>KALMAR LÄN</t>
        </is>
      </c>
      <c r="E550" t="inlineStr">
        <is>
          <t>VIMMERBY</t>
        </is>
      </c>
      <c r="F550" t="inlineStr">
        <is>
          <t>Övriga statliga verk och myndigheter</t>
        </is>
      </c>
      <c r="G550" t="n">
        <v>6.3</v>
      </c>
      <c r="H550" t="n">
        <v>0</v>
      </c>
      <c r="I550" t="n">
        <v>0</v>
      </c>
      <c r="J550" t="n">
        <v>0</v>
      </c>
      <c r="K550" t="n">
        <v>0</v>
      </c>
      <c r="L550" t="n">
        <v>0</v>
      </c>
      <c r="M550" t="n">
        <v>0</v>
      </c>
      <c r="N550" t="n">
        <v>0</v>
      </c>
      <c r="O550" t="n">
        <v>0</v>
      </c>
      <c r="P550" t="n">
        <v>0</v>
      </c>
      <c r="Q550" t="n">
        <v>0</v>
      </c>
      <c r="R550" s="2" t="inlineStr"/>
    </row>
    <row r="551" ht="15" customHeight="1">
      <c r="A551" t="inlineStr">
        <is>
          <t>A 64428-2023</t>
        </is>
      </c>
      <c r="B551" s="1" t="n">
        <v>45280.66769675926</v>
      </c>
      <c r="C551" s="1" t="n">
        <v>46092</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30588-2023</t>
        </is>
      </c>
      <c r="B552" s="1" t="n">
        <v>45112.33599537037</v>
      </c>
      <c r="C552" s="1" t="n">
        <v>46092</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30503-2023</t>
        </is>
      </c>
      <c r="B553" s="1" t="n">
        <v>45111</v>
      </c>
      <c r="C553" s="1" t="n">
        <v>46092</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54236-2025</t>
        </is>
      </c>
      <c r="B554" s="1" t="n">
        <v>45964.62671296296</v>
      </c>
      <c r="C554" s="1" t="n">
        <v>46092</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11798-2026</t>
        </is>
      </c>
      <c r="B555" s="1" t="n">
        <v>46085.34020833333</v>
      </c>
      <c r="C555" s="1" t="n">
        <v>46092</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3965-2026</t>
        </is>
      </c>
      <c r="B556" s="1" t="n">
        <v>46044.34563657407</v>
      </c>
      <c r="C556" s="1" t="n">
        <v>46092</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34628-2025</t>
        </is>
      </c>
      <c r="B557" s="1" t="n">
        <v>45847.91280092593</v>
      </c>
      <c r="C557" s="1" t="n">
        <v>46092</v>
      </c>
      <c r="D557" t="inlineStr">
        <is>
          <t>KALMAR LÄN</t>
        </is>
      </c>
      <c r="E557" t="inlineStr">
        <is>
          <t>VIMMERBY</t>
        </is>
      </c>
      <c r="G557" t="n">
        <v>4.2</v>
      </c>
      <c r="H557" t="n">
        <v>0</v>
      </c>
      <c r="I557" t="n">
        <v>0</v>
      </c>
      <c r="J557" t="n">
        <v>0</v>
      </c>
      <c r="K557" t="n">
        <v>0</v>
      </c>
      <c r="L557" t="n">
        <v>0</v>
      </c>
      <c r="M557" t="n">
        <v>0</v>
      </c>
      <c r="N557" t="n">
        <v>0</v>
      </c>
      <c r="O557" t="n">
        <v>0</v>
      </c>
      <c r="P557" t="n">
        <v>0</v>
      </c>
      <c r="Q557" t="n">
        <v>0</v>
      </c>
      <c r="R557" s="2" t="inlineStr"/>
    </row>
    <row r="558" ht="15" customHeight="1">
      <c r="A558" t="inlineStr">
        <is>
          <t>A 47263-2023</t>
        </is>
      </c>
      <c r="B558" s="1" t="n">
        <v>45202.4209837963</v>
      </c>
      <c r="C558" s="1" t="n">
        <v>46092</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58100-2024</t>
        </is>
      </c>
      <c r="B559" s="1" t="n">
        <v>45632.36706018518</v>
      </c>
      <c r="C559" s="1" t="n">
        <v>46092</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58159-2024</t>
        </is>
      </c>
      <c r="B560" s="1" t="n">
        <v>45632.44886574074</v>
      </c>
      <c r="C560" s="1" t="n">
        <v>46092</v>
      </c>
      <c r="D560" t="inlineStr">
        <is>
          <t>KALMAR LÄN</t>
        </is>
      </c>
      <c r="E560" t="inlineStr">
        <is>
          <t>VIMMERBY</t>
        </is>
      </c>
      <c r="G560" t="n">
        <v>7.5</v>
      </c>
      <c r="H560" t="n">
        <v>0</v>
      </c>
      <c r="I560" t="n">
        <v>0</v>
      </c>
      <c r="J560" t="n">
        <v>0</v>
      </c>
      <c r="K560" t="n">
        <v>0</v>
      </c>
      <c r="L560" t="n">
        <v>0</v>
      </c>
      <c r="M560" t="n">
        <v>0</v>
      </c>
      <c r="N560" t="n">
        <v>0</v>
      </c>
      <c r="O560" t="n">
        <v>0</v>
      </c>
      <c r="P560" t="n">
        <v>0</v>
      </c>
      <c r="Q560" t="n">
        <v>0</v>
      </c>
      <c r="R560" s="2" t="inlineStr"/>
    </row>
    <row r="561" ht="15" customHeight="1">
      <c r="A561" t="inlineStr">
        <is>
          <t>A 54234-2025</t>
        </is>
      </c>
      <c r="B561" s="1" t="n">
        <v>45964.62486111111</v>
      </c>
      <c r="C561" s="1" t="n">
        <v>46092</v>
      </c>
      <c r="D561" t="inlineStr">
        <is>
          <t>KALMAR LÄN</t>
        </is>
      </c>
      <c r="E561" t="inlineStr">
        <is>
          <t>VIMMERBY</t>
        </is>
      </c>
      <c r="G561" t="n">
        <v>4.1</v>
      </c>
      <c r="H561" t="n">
        <v>0</v>
      </c>
      <c r="I561" t="n">
        <v>0</v>
      </c>
      <c r="J561" t="n">
        <v>0</v>
      </c>
      <c r="K561" t="n">
        <v>0</v>
      </c>
      <c r="L561" t="n">
        <v>0</v>
      </c>
      <c r="M561" t="n">
        <v>0</v>
      </c>
      <c r="N561" t="n">
        <v>0</v>
      </c>
      <c r="O561" t="n">
        <v>0</v>
      </c>
      <c r="P561" t="n">
        <v>0</v>
      </c>
      <c r="Q561" t="n">
        <v>0</v>
      </c>
      <c r="R561" s="2" t="inlineStr"/>
    </row>
    <row r="562" ht="15" customHeight="1">
      <c r="A562" t="inlineStr">
        <is>
          <t>A 57114-2023</t>
        </is>
      </c>
      <c r="B562" s="1" t="n">
        <v>45245.36174768519</v>
      </c>
      <c r="C562" s="1" t="n">
        <v>46092</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3423-2022</t>
        </is>
      </c>
      <c r="B563" s="1" t="n">
        <v>44585.50431712963</v>
      </c>
      <c r="C563" s="1" t="n">
        <v>46092</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40665-2023</t>
        </is>
      </c>
      <c r="B564" s="1" t="n">
        <v>45170</v>
      </c>
      <c r="C564" s="1" t="n">
        <v>46092</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54737-2025</t>
        </is>
      </c>
      <c r="B565" s="1" t="n">
        <v>45966.56826388889</v>
      </c>
      <c r="C565" s="1" t="n">
        <v>46092</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54813-2025</t>
        </is>
      </c>
      <c r="B566" s="1" t="n">
        <v>45966.64881944445</v>
      </c>
      <c r="C566" s="1" t="n">
        <v>46092</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35270-2025</t>
        </is>
      </c>
      <c r="B567" s="1" t="n">
        <v>45853.87112268519</v>
      </c>
      <c r="C567" s="1" t="n">
        <v>46092</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35271-2025</t>
        </is>
      </c>
      <c r="B568" s="1" t="n">
        <v>45853.87599537037</v>
      </c>
      <c r="C568" s="1" t="n">
        <v>46092</v>
      </c>
      <c r="D568" t="inlineStr">
        <is>
          <t>KALMAR LÄN</t>
        </is>
      </c>
      <c r="E568" t="inlineStr">
        <is>
          <t>VIMMERBY</t>
        </is>
      </c>
      <c r="G568" t="n">
        <v>0.4</v>
      </c>
      <c r="H568" t="n">
        <v>0</v>
      </c>
      <c r="I568" t="n">
        <v>0</v>
      </c>
      <c r="J568" t="n">
        <v>0</v>
      </c>
      <c r="K568" t="n">
        <v>0</v>
      </c>
      <c r="L568" t="n">
        <v>0</v>
      </c>
      <c r="M568" t="n">
        <v>0</v>
      </c>
      <c r="N568" t="n">
        <v>0</v>
      </c>
      <c r="O568" t="n">
        <v>0</v>
      </c>
      <c r="P568" t="n">
        <v>0</v>
      </c>
      <c r="Q568" t="n">
        <v>0</v>
      </c>
      <c r="R568" s="2" t="inlineStr"/>
    </row>
    <row r="569" ht="15" customHeight="1">
      <c r="A569" t="inlineStr">
        <is>
          <t>A 35272-2025</t>
        </is>
      </c>
      <c r="B569" s="1" t="n">
        <v>45853.88070601852</v>
      </c>
      <c r="C569" s="1" t="n">
        <v>46092</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16953-2025</t>
        </is>
      </c>
      <c r="B570" s="1" t="n">
        <v>45755.44333333334</v>
      </c>
      <c r="C570" s="1" t="n">
        <v>46092</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35596-2025</t>
        </is>
      </c>
      <c r="B571" s="1" t="n">
        <v>45858.60641203704</v>
      </c>
      <c r="C571" s="1" t="n">
        <v>46092</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35597-2025</t>
        </is>
      </c>
      <c r="B572" s="1" t="n">
        <v>45858.66019675926</v>
      </c>
      <c r="C572" s="1" t="n">
        <v>46092</v>
      </c>
      <c r="D572" t="inlineStr">
        <is>
          <t>KALMAR LÄN</t>
        </is>
      </c>
      <c r="E572" t="inlineStr">
        <is>
          <t>VIMMERBY</t>
        </is>
      </c>
      <c r="G572" t="n">
        <v>6.4</v>
      </c>
      <c r="H572" t="n">
        <v>0</v>
      </c>
      <c r="I572" t="n">
        <v>0</v>
      </c>
      <c r="J572" t="n">
        <v>0</v>
      </c>
      <c r="K572" t="n">
        <v>0</v>
      </c>
      <c r="L572" t="n">
        <v>0</v>
      </c>
      <c r="M572" t="n">
        <v>0</v>
      </c>
      <c r="N572" t="n">
        <v>0</v>
      </c>
      <c r="O572" t="n">
        <v>0</v>
      </c>
      <c r="P572" t="n">
        <v>0</v>
      </c>
      <c r="Q572" t="n">
        <v>0</v>
      </c>
      <c r="R572" s="2" t="inlineStr"/>
    </row>
    <row r="573" ht="15" customHeight="1">
      <c r="A573" t="inlineStr">
        <is>
          <t>A 55602-2025</t>
        </is>
      </c>
      <c r="B573" s="1" t="n">
        <v>45971</v>
      </c>
      <c r="C573" s="1" t="n">
        <v>46092</v>
      </c>
      <c r="D573" t="inlineStr">
        <is>
          <t>KALMAR LÄN</t>
        </is>
      </c>
      <c r="E573" t="inlineStr">
        <is>
          <t>VIMMERBY</t>
        </is>
      </c>
      <c r="G573" t="n">
        <v>2.7</v>
      </c>
      <c r="H573" t="n">
        <v>0</v>
      </c>
      <c r="I573" t="n">
        <v>0</v>
      </c>
      <c r="J573" t="n">
        <v>0</v>
      </c>
      <c r="K573" t="n">
        <v>0</v>
      </c>
      <c r="L573" t="n">
        <v>0</v>
      </c>
      <c r="M573" t="n">
        <v>0</v>
      </c>
      <c r="N573" t="n">
        <v>0</v>
      </c>
      <c r="O573" t="n">
        <v>0</v>
      </c>
      <c r="P573" t="n">
        <v>0</v>
      </c>
      <c r="Q573" t="n">
        <v>0</v>
      </c>
      <c r="R573" s="2" t="inlineStr"/>
    </row>
    <row r="574" ht="15" customHeight="1">
      <c r="A574" t="inlineStr">
        <is>
          <t>A 50860-2022</t>
        </is>
      </c>
      <c r="B574" s="1" t="n">
        <v>44867</v>
      </c>
      <c r="C574" s="1" t="n">
        <v>46092</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25370-2022</t>
        </is>
      </c>
      <c r="B575" s="1" t="n">
        <v>44732.3659837963</v>
      </c>
      <c r="C575" s="1" t="n">
        <v>46092</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58577-2024</t>
        </is>
      </c>
      <c r="B576" s="1" t="n">
        <v>45635.4874537037</v>
      </c>
      <c r="C576" s="1" t="n">
        <v>46092</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29440-2024</t>
        </is>
      </c>
      <c r="B577" s="1" t="n">
        <v>45483.82479166667</v>
      </c>
      <c r="C577" s="1" t="n">
        <v>46092</v>
      </c>
      <c r="D577" t="inlineStr">
        <is>
          <t>KALMAR LÄN</t>
        </is>
      </c>
      <c r="E577" t="inlineStr">
        <is>
          <t>VIMMERBY</t>
        </is>
      </c>
      <c r="G577" t="n">
        <v>4.5</v>
      </c>
      <c r="H577" t="n">
        <v>0</v>
      </c>
      <c r="I577" t="n">
        <v>0</v>
      </c>
      <c r="J577" t="n">
        <v>0</v>
      </c>
      <c r="K577" t="n">
        <v>0</v>
      </c>
      <c r="L577" t="n">
        <v>0</v>
      </c>
      <c r="M577" t="n">
        <v>0</v>
      </c>
      <c r="N577" t="n">
        <v>0</v>
      </c>
      <c r="O577" t="n">
        <v>0</v>
      </c>
      <c r="P577" t="n">
        <v>0</v>
      </c>
      <c r="Q577" t="n">
        <v>0</v>
      </c>
      <c r="R577" s="2" t="inlineStr"/>
    </row>
    <row r="578" ht="15" customHeight="1">
      <c r="A578" t="inlineStr">
        <is>
          <t>A 36226-2025</t>
        </is>
      </c>
      <c r="B578" s="1" t="n">
        <v>45867.51630787037</v>
      </c>
      <c r="C578" s="1" t="n">
        <v>46092</v>
      </c>
      <c r="D578" t="inlineStr">
        <is>
          <t>KALMAR LÄN</t>
        </is>
      </c>
      <c r="E578" t="inlineStr">
        <is>
          <t>VIMMERBY</t>
        </is>
      </c>
      <c r="G578" t="n">
        <v>3.1</v>
      </c>
      <c r="H578" t="n">
        <v>0</v>
      </c>
      <c r="I578" t="n">
        <v>0</v>
      </c>
      <c r="J578" t="n">
        <v>0</v>
      </c>
      <c r="K578" t="n">
        <v>0</v>
      </c>
      <c r="L578" t="n">
        <v>0</v>
      </c>
      <c r="M578" t="n">
        <v>0</v>
      </c>
      <c r="N578" t="n">
        <v>0</v>
      </c>
      <c r="O578" t="n">
        <v>0</v>
      </c>
      <c r="P578" t="n">
        <v>0</v>
      </c>
      <c r="Q578" t="n">
        <v>0</v>
      </c>
      <c r="R578" s="2" t="inlineStr"/>
    </row>
    <row r="579" ht="15" customHeight="1">
      <c r="A579" t="inlineStr">
        <is>
          <t>A 36273-2025</t>
        </is>
      </c>
      <c r="B579" s="1" t="n">
        <v>45867.63094907408</v>
      </c>
      <c r="C579" s="1" t="n">
        <v>46092</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36282-2025</t>
        </is>
      </c>
      <c r="B580" s="1" t="n">
        <v>45867.64663194444</v>
      </c>
      <c r="C580" s="1" t="n">
        <v>46092</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36246-2025</t>
        </is>
      </c>
      <c r="B581" s="1" t="n">
        <v>45867.56320601852</v>
      </c>
      <c r="C581" s="1" t="n">
        <v>46092</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36297-2025</t>
        </is>
      </c>
      <c r="B582" s="1" t="n">
        <v>45867.68625</v>
      </c>
      <c r="C582" s="1" t="n">
        <v>46092</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36221-2025</t>
        </is>
      </c>
      <c r="B583" s="1" t="n">
        <v>45867.50792824074</v>
      </c>
      <c r="C583" s="1" t="n">
        <v>46092</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19502-2025</t>
        </is>
      </c>
      <c r="B584" s="1" t="n">
        <v>45769</v>
      </c>
      <c r="C584" s="1" t="n">
        <v>46092</v>
      </c>
      <c r="D584" t="inlineStr">
        <is>
          <t>KALMAR LÄN</t>
        </is>
      </c>
      <c r="E584" t="inlineStr">
        <is>
          <t>VIMMERBY</t>
        </is>
      </c>
      <c r="G584" t="n">
        <v>1.9</v>
      </c>
      <c r="H584" t="n">
        <v>0</v>
      </c>
      <c r="I584" t="n">
        <v>0</v>
      </c>
      <c r="J584" t="n">
        <v>0</v>
      </c>
      <c r="K584" t="n">
        <v>0</v>
      </c>
      <c r="L584" t="n">
        <v>0</v>
      </c>
      <c r="M584" t="n">
        <v>0</v>
      </c>
      <c r="N584" t="n">
        <v>0</v>
      </c>
      <c r="O584" t="n">
        <v>0</v>
      </c>
      <c r="P584" t="n">
        <v>0</v>
      </c>
      <c r="Q584" t="n">
        <v>0</v>
      </c>
      <c r="R584" s="2" t="inlineStr"/>
    </row>
    <row r="585" ht="15" customHeight="1">
      <c r="A585" t="inlineStr">
        <is>
          <t>A 36299-2025</t>
        </is>
      </c>
      <c r="B585" s="1" t="n">
        <v>45867.69346064814</v>
      </c>
      <c r="C585" s="1" t="n">
        <v>46092</v>
      </c>
      <c r="D585" t="inlineStr">
        <is>
          <t>KALMAR LÄN</t>
        </is>
      </c>
      <c r="E585" t="inlineStr">
        <is>
          <t>VIMMERBY</t>
        </is>
      </c>
      <c r="G585" t="n">
        <v>7.6</v>
      </c>
      <c r="H585" t="n">
        <v>0</v>
      </c>
      <c r="I585" t="n">
        <v>0</v>
      </c>
      <c r="J585" t="n">
        <v>0</v>
      </c>
      <c r="K585" t="n">
        <v>0</v>
      </c>
      <c r="L585" t="n">
        <v>0</v>
      </c>
      <c r="M585" t="n">
        <v>0</v>
      </c>
      <c r="N585" t="n">
        <v>0</v>
      </c>
      <c r="O585" t="n">
        <v>0</v>
      </c>
      <c r="P585" t="n">
        <v>0</v>
      </c>
      <c r="Q585" t="n">
        <v>0</v>
      </c>
      <c r="R585" s="2" t="inlineStr"/>
    </row>
    <row r="586" ht="15" customHeight="1">
      <c r="A586" t="inlineStr">
        <is>
          <t>A 9129-2025</t>
        </is>
      </c>
      <c r="B586" s="1" t="n">
        <v>45713.92412037037</v>
      </c>
      <c r="C586" s="1" t="n">
        <v>46092</v>
      </c>
      <c r="D586" t="inlineStr">
        <is>
          <t>KALMAR LÄN</t>
        </is>
      </c>
      <c r="E586" t="inlineStr">
        <is>
          <t>VIMMERBY</t>
        </is>
      </c>
      <c r="G586" t="n">
        <v>2.8</v>
      </c>
      <c r="H586" t="n">
        <v>0</v>
      </c>
      <c r="I586" t="n">
        <v>0</v>
      </c>
      <c r="J586" t="n">
        <v>0</v>
      </c>
      <c r="K586" t="n">
        <v>0</v>
      </c>
      <c r="L586" t="n">
        <v>0</v>
      </c>
      <c r="M586" t="n">
        <v>0</v>
      </c>
      <c r="N586" t="n">
        <v>0</v>
      </c>
      <c r="O586" t="n">
        <v>0</v>
      </c>
      <c r="P586" t="n">
        <v>0</v>
      </c>
      <c r="Q586" t="n">
        <v>0</v>
      </c>
      <c r="R586" s="2" t="inlineStr"/>
    </row>
    <row r="587" ht="15" customHeight="1">
      <c r="A587" t="inlineStr">
        <is>
          <t>A 22197-2024</t>
        </is>
      </c>
      <c r="B587" s="1" t="n">
        <v>45446.36774305555</v>
      </c>
      <c r="C587" s="1" t="n">
        <v>46092</v>
      </c>
      <c r="D587" t="inlineStr">
        <is>
          <t>KALMAR LÄN</t>
        </is>
      </c>
      <c r="E587" t="inlineStr">
        <is>
          <t>VIMMERBY</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53752-2024</t>
        </is>
      </c>
      <c r="B588" s="1" t="n">
        <v>45615.48927083334</v>
      </c>
      <c r="C588" s="1" t="n">
        <v>46092</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36538-2025</t>
        </is>
      </c>
      <c r="B589" s="1" t="n">
        <v>45869.62276620371</v>
      </c>
      <c r="C589" s="1" t="n">
        <v>46092</v>
      </c>
      <c r="D589" t="inlineStr">
        <is>
          <t>KALMAR LÄN</t>
        </is>
      </c>
      <c r="E589" t="inlineStr">
        <is>
          <t>VIMMERBY</t>
        </is>
      </c>
      <c r="G589" t="n">
        <v>2.6</v>
      </c>
      <c r="H589" t="n">
        <v>0</v>
      </c>
      <c r="I589" t="n">
        <v>0</v>
      </c>
      <c r="J589" t="n">
        <v>0</v>
      </c>
      <c r="K589" t="n">
        <v>0</v>
      </c>
      <c r="L589" t="n">
        <v>0</v>
      </c>
      <c r="M589" t="n">
        <v>0</v>
      </c>
      <c r="N589" t="n">
        <v>0</v>
      </c>
      <c r="O589" t="n">
        <v>0</v>
      </c>
      <c r="P589" t="n">
        <v>0</v>
      </c>
      <c r="Q589" t="n">
        <v>0</v>
      </c>
      <c r="R589" s="2" t="inlineStr"/>
    </row>
    <row r="590" ht="15" customHeight="1">
      <c r="A590" t="inlineStr">
        <is>
          <t>A 12121-2025</t>
        </is>
      </c>
      <c r="B590" s="1" t="n">
        <v>45729.36868055556</v>
      </c>
      <c r="C590" s="1" t="n">
        <v>46092</v>
      </c>
      <c r="D590" t="inlineStr">
        <is>
          <t>KALMAR LÄN</t>
        </is>
      </c>
      <c r="E590" t="inlineStr">
        <is>
          <t>VIMMERBY</t>
        </is>
      </c>
      <c r="G590" t="n">
        <v>4.3</v>
      </c>
      <c r="H590" t="n">
        <v>0</v>
      </c>
      <c r="I590" t="n">
        <v>0</v>
      </c>
      <c r="J590" t="n">
        <v>0</v>
      </c>
      <c r="K590" t="n">
        <v>0</v>
      </c>
      <c r="L590" t="n">
        <v>0</v>
      </c>
      <c r="M590" t="n">
        <v>0</v>
      </c>
      <c r="N590" t="n">
        <v>0</v>
      </c>
      <c r="O590" t="n">
        <v>0</v>
      </c>
      <c r="P590" t="n">
        <v>0</v>
      </c>
      <c r="Q590" t="n">
        <v>0</v>
      </c>
      <c r="R590" s="2" t="inlineStr"/>
    </row>
    <row r="591" ht="15" customHeight="1">
      <c r="A591" t="inlineStr">
        <is>
          <t>A 36598-2025</t>
        </is>
      </c>
      <c r="B591" s="1" t="n">
        <v>45870.51708333333</v>
      </c>
      <c r="C591" s="1" t="n">
        <v>46092</v>
      </c>
      <c r="D591" t="inlineStr">
        <is>
          <t>KALMAR LÄN</t>
        </is>
      </c>
      <c r="E591" t="inlineStr">
        <is>
          <t>VIMMERBY</t>
        </is>
      </c>
      <c r="G591" t="n">
        <v>3.7</v>
      </c>
      <c r="H591" t="n">
        <v>0</v>
      </c>
      <c r="I591" t="n">
        <v>0</v>
      </c>
      <c r="J591" t="n">
        <v>0</v>
      </c>
      <c r="K591" t="n">
        <v>0</v>
      </c>
      <c r="L591" t="n">
        <v>0</v>
      </c>
      <c r="M591" t="n">
        <v>0</v>
      </c>
      <c r="N591" t="n">
        <v>0</v>
      </c>
      <c r="O591" t="n">
        <v>0</v>
      </c>
      <c r="P591" t="n">
        <v>0</v>
      </c>
      <c r="Q591" t="n">
        <v>0</v>
      </c>
      <c r="R591" s="2" t="inlineStr"/>
    </row>
    <row r="592" ht="15" customHeight="1">
      <c r="A592" t="inlineStr">
        <is>
          <t>A 36602-2025</t>
        </is>
      </c>
      <c r="B592" s="1" t="n">
        <v>45870.52111111111</v>
      </c>
      <c r="C592" s="1" t="n">
        <v>46092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9710-2023</t>
        </is>
      </c>
      <c r="B593" s="1" t="n">
        <v>44984</v>
      </c>
      <c r="C593" s="1" t="n">
        <v>46092</v>
      </c>
      <c r="D593" t="inlineStr">
        <is>
          <t>KALMAR LÄN</t>
        </is>
      </c>
      <c r="E593" t="inlineStr">
        <is>
          <t>VIMMERBY</t>
        </is>
      </c>
      <c r="G593" t="n">
        <v>3.7</v>
      </c>
      <c r="H593" t="n">
        <v>0</v>
      </c>
      <c r="I593" t="n">
        <v>0</v>
      </c>
      <c r="J593" t="n">
        <v>0</v>
      </c>
      <c r="K593" t="n">
        <v>0</v>
      </c>
      <c r="L593" t="n">
        <v>0</v>
      </c>
      <c r="M593" t="n">
        <v>0</v>
      </c>
      <c r="N593" t="n">
        <v>0</v>
      </c>
      <c r="O593" t="n">
        <v>0</v>
      </c>
      <c r="P593" t="n">
        <v>0</v>
      </c>
      <c r="Q593" t="n">
        <v>0</v>
      </c>
      <c r="R593" s="2" t="inlineStr"/>
    </row>
    <row r="594" ht="15" customHeight="1">
      <c r="A594" t="inlineStr">
        <is>
          <t>A 9720-2023</t>
        </is>
      </c>
      <c r="B594" s="1" t="n">
        <v>44984</v>
      </c>
      <c r="C594" s="1" t="n">
        <v>46092</v>
      </c>
      <c r="D594" t="inlineStr">
        <is>
          <t>KALMAR LÄN</t>
        </is>
      </c>
      <c r="E594" t="inlineStr">
        <is>
          <t>VIMMERBY</t>
        </is>
      </c>
      <c r="G594" t="n">
        <v>4.4</v>
      </c>
      <c r="H594" t="n">
        <v>0</v>
      </c>
      <c r="I594" t="n">
        <v>0</v>
      </c>
      <c r="J594" t="n">
        <v>0</v>
      </c>
      <c r="K594" t="n">
        <v>0</v>
      </c>
      <c r="L594" t="n">
        <v>0</v>
      </c>
      <c r="M594" t="n">
        <v>0</v>
      </c>
      <c r="N594" t="n">
        <v>0</v>
      </c>
      <c r="O594" t="n">
        <v>0</v>
      </c>
      <c r="P594" t="n">
        <v>0</v>
      </c>
      <c r="Q594" t="n">
        <v>0</v>
      </c>
      <c r="R594" s="2" t="inlineStr"/>
    </row>
    <row r="595" ht="15" customHeight="1">
      <c r="A595" t="inlineStr">
        <is>
          <t>A 15493-2023</t>
        </is>
      </c>
      <c r="B595" s="1" t="n">
        <v>45018</v>
      </c>
      <c r="C595" s="1" t="n">
        <v>46092</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36603-2025</t>
        </is>
      </c>
      <c r="B596" s="1" t="n">
        <v>45870.52142361111</v>
      </c>
      <c r="C596" s="1" t="n">
        <v>46092</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36600-2025</t>
        </is>
      </c>
      <c r="B597" s="1" t="n">
        <v>45870.51958333333</v>
      </c>
      <c r="C597" s="1" t="n">
        <v>46092</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36601-2025</t>
        </is>
      </c>
      <c r="B598" s="1" t="n">
        <v>45870.52005787037</v>
      </c>
      <c r="C598" s="1" t="n">
        <v>46092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37088-2025</t>
        </is>
      </c>
      <c r="B599" s="1" t="n">
        <v>45875.45716435185</v>
      </c>
      <c r="C599" s="1" t="n">
        <v>46092</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37102-2025</t>
        </is>
      </c>
      <c r="B600" s="1" t="n">
        <v>45875.47454861111</v>
      </c>
      <c r="C600" s="1" t="n">
        <v>46092</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29093-2023</t>
        </is>
      </c>
      <c r="B601" s="1" t="n">
        <v>45105</v>
      </c>
      <c r="C601" s="1" t="n">
        <v>46092</v>
      </c>
      <c r="D601" t="inlineStr">
        <is>
          <t>KALMAR LÄN</t>
        </is>
      </c>
      <c r="E601" t="inlineStr">
        <is>
          <t>VIMMERBY</t>
        </is>
      </c>
      <c r="G601" t="n">
        <v>2.9</v>
      </c>
      <c r="H601" t="n">
        <v>0</v>
      </c>
      <c r="I601" t="n">
        <v>0</v>
      </c>
      <c r="J601" t="n">
        <v>0</v>
      </c>
      <c r="K601" t="n">
        <v>0</v>
      </c>
      <c r="L601" t="n">
        <v>0</v>
      </c>
      <c r="M601" t="n">
        <v>0</v>
      </c>
      <c r="N601" t="n">
        <v>0</v>
      </c>
      <c r="O601" t="n">
        <v>0</v>
      </c>
      <c r="P601" t="n">
        <v>0</v>
      </c>
      <c r="Q601" t="n">
        <v>0</v>
      </c>
      <c r="R601" s="2" t="inlineStr"/>
    </row>
    <row r="602" ht="15" customHeight="1">
      <c r="A602" t="inlineStr">
        <is>
          <t>A 33352-2022</t>
        </is>
      </c>
      <c r="B602" s="1" t="n">
        <v>44788</v>
      </c>
      <c r="C602" s="1" t="n">
        <v>46092</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22264-2023</t>
        </is>
      </c>
      <c r="B603" s="1" t="n">
        <v>45070.3665625</v>
      </c>
      <c r="C603" s="1" t="n">
        <v>46092</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37079-2025</t>
        </is>
      </c>
      <c r="B604" s="1" t="n">
        <v>45875.42716435185</v>
      </c>
      <c r="C604" s="1" t="n">
        <v>46092</v>
      </c>
      <c r="D604" t="inlineStr">
        <is>
          <t>KALMAR LÄN</t>
        </is>
      </c>
      <c r="E604" t="inlineStr">
        <is>
          <t>VIMMERBY</t>
        </is>
      </c>
      <c r="G604" t="n">
        <v>0.8</v>
      </c>
      <c r="H604" t="n">
        <v>0</v>
      </c>
      <c r="I604" t="n">
        <v>0</v>
      </c>
      <c r="J604" t="n">
        <v>0</v>
      </c>
      <c r="K604" t="n">
        <v>0</v>
      </c>
      <c r="L604" t="n">
        <v>0</v>
      </c>
      <c r="M604" t="n">
        <v>0</v>
      </c>
      <c r="N604" t="n">
        <v>0</v>
      </c>
      <c r="O604" t="n">
        <v>0</v>
      </c>
      <c r="P604" t="n">
        <v>0</v>
      </c>
      <c r="Q604" t="n">
        <v>0</v>
      </c>
      <c r="R604" s="2" t="inlineStr"/>
    </row>
    <row r="605" ht="15" customHeight="1">
      <c r="A605" t="inlineStr">
        <is>
          <t>A 16676-2023</t>
        </is>
      </c>
      <c r="B605" s="1" t="n">
        <v>45028</v>
      </c>
      <c r="C605" s="1" t="n">
        <v>46092</v>
      </c>
      <c r="D605" t="inlineStr">
        <is>
          <t>KALMAR LÄN</t>
        </is>
      </c>
      <c r="E605" t="inlineStr">
        <is>
          <t>VIMMERBY</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6220-2025</t>
        </is>
      </c>
      <c r="B606" s="1" t="n">
        <v>45698.53725694444</v>
      </c>
      <c r="C606" s="1" t="n">
        <v>46092</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24096-2024</t>
        </is>
      </c>
      <c r="B607" s="1" t="n">
        <v>45456.59289351852</v>
      </c>
      <c r="C607" s="1" t="n">
        <v>46092</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36934-2025</t>
        </is>
      </c>
      <c r="B608" s="1" t="n">
        <v>45874.57109953704</v>
      </c>
      <c r="C608" s="1" t="n">
        <v>46092</v>
      </c>
      <c r="D608" t="inlineStr">
        <is>
          <t>KALMAR LÄN</t>
        </is>
      </c>
      <c r="E608" t="inlineStr">
        <is>
          <t>VIMMERBY</t>
        </is>
      </c>
      <c r="G608" t="n">
        <v>4.2</v>
      </c>
      <c r="H608" t="n">
        <v>0</v>
      </c>
      <c r="I608" t="n">
        <v>0</v>
      </c>
      <c r="J608" t="n">
        <v>0</v>
      </c>
      <c r="K608" t="n">
        <v>0</v>
      </c>
      <c r="L608" t="n">
        <v>0</v>
      </c>
      <c r="M608" t="n">
        <v>0</v>
      </c>
      <c r="N608" t="n">
        <v>0</v>
      </c>
      <c r="O608" t="n">
        <v>0</v>
      </c>
      <c r="P608" t="n">
        <v>0</v>
      </c>
      <c r="Q608" t="n">
        <v>0</v>
      </c>
      <c r="R608" s="2" t="inlineStr"/>
    </row>
    <row r="609" ht="15" customHeight="1">
      <c r="A609" t="inlineStr">
        <is>
          <t>A 29013-2024</t>
        </is>
      </c>
      <c r="B609" s="1" t="n">
        <v>45481.55984953704</v>
      </c>
      <c r="C609" s="1" t="n">
        <v>46092</v>
      </c>
      <c r="D609" t="inlineStr">
        <is>
          <t>KALMAR LÄN</t>
        </is>
      </c>
      <c r="E609" t="inlineStr">
        <is>
          <t>VIMMERBY</t>
        </is>
      </c>
      <c r="G609" t="n">
        <v>3.4</v>
      </c>
      <c r="H609" t="n">
        <v>0</v>
      </c>
      <c r="I609" t="n">
        <v>0</v>
      </c>
      <c r="J609" t="n">
        <v>0</v>
      </c>
      <c r="K609" t="n">
        <v>0</v>
      </c>
      <c r="L609" t="n">
        <v>0</v>
      </c>
      <c r="M609" t="n">
        <v>0</v>
      </c>
      <c r="N609" t="n">
        <v>0</v>
      </c>
      <c r="O609" t="n">
        <v>0</v>
      </c>
      <c r="P609" t="n">
        <v>0</v>
      </c>
      <c r="Q609" t="n">
        <v>0</v>
      </c>
      <c r="R609" s="2" t="inlineStr"/>
    </row>
    <row r="610" ht="15" customHeight="1">
      <c r="A610" t="inlineStr">
        <is>
          <t>A 6066-2023</t>
        </is>
      </c>
      <c r="B610" s="1" t="n">
        <v>44964.50894675926</v>
      </c>
      <c r="C610" s="1" t="n">
        <v>46092</v>
      </c>
      <c r="D610" t="inlineStr">
        <is>
          <t>KALMAR LÄN</t>
        </is>
      </c>
      <c r="E610" t="inlineStr">
        <is>
          <t>VIMMERBY</t>
        </is>
      </c>
      <c r="G610" t="n">
        <v>2.8</v>
      </c>
      <c r="H610" t="n">
        <v>0</v>
      </c>
      <c r="I610" t="n">
        <v>0</v>
      </c>
      <c r="J610" t="n">
        <v>0</v>
      </c>
      <c r="K610" t="n">
        <v>0</v>
      </c>
      <c r="L610" t="n">
        <v>0</v>
      </c>
      <c r="M610" t="n">
        <v>0</v>
      </c>
      <c r="N610" t="n">
        <v>0</v>
      </c>
      <c r="O610" t="n">
        <v>0</v>
      </c>
      <c r="P610" t="n">
        <v>0</v>
      </c>
      <c r="Q610" t="n">
        <v>0</v>
      </c>
      <c r="R610" s="2" t="inlineStr"/>
    </row>
    <row r="611" ht="15" customHeight="1">
      <c r="A611" t="inlineStr">
        <is>
          <t>A 59955-2023</t>
        </is>
      </c>
      <c r="B611" s="1" t="n">
        <v>45257.70313657408</v>
      </c>
      <c r="C611" s="1" t="n">
        <v>46092</v>
      </c>
      <c r="D611" t="inlineStr">
        <is>
          <t>KALMAR LÄN</t>
        </is>
      </c>
      <c r="E611" t="inlineStr">
        <is>
          <t>VIMMERBY</t>
        </is>
      </c>
      <c r="G611" t="n">
        <v>13.8</v>
      </c>
      <c r="H611" t="n">
        <v>0</v>
      </c>
      <c r="I611" t="n">
        <v>0</v>
      </c>
      <c r="J611" t="n">
        <v>0</v>
      </c>
      <c r="K611" t="n">
        <v>0</v>
      </c>
      <c r="L611" t="n">
        <v>0</v>
      </c>
      <c r="M611" t="n">
        <v>0</v>
      </c>
      <c r="N611" t="n">
        <v>0</v>
      </c>
      <c r="O611" t="n">
        <v>0</v>
      </c>
      <c r="P611" t="n">
        <v>0</v>
      </c>
      <c r="Q611" t="n">
        <v>0</v>
      </c>
      <c r="R611" s="2" t="inlineStr"/>
    </row>
    <row r="612" ht="15" customHeight="1">
      <c r="A612" t="inlineStr">
        <is>
          <t>A 36040-2024</t>
        </is>
      </c>
      <c r="B612" s="1" t="n">
        <v>45533.60232638889</v>
      </c>
      <c r="C612" s="1" t="n">
        <v>46092</v>
      </c>
      <c r="D612" t="inlineStr">
        <is>
          <t>KALMAR LÄN</t>
        </is>
      </c>
      <c r="E612" t="inlineStr">
        <is>
          <t>VIMMERBY</t>
        </is>
      </c>
      <c r="F612" t="inlineStr">
        <is>
          <t>Kommuner</t>
        </is>
      </c>
      <c r="G612" t="n">
        <v>3.6</v>
      </c>
      <c r="H612" t="n">
        <v>0</v>
      </c>
      <c r="I612" t="n">
        <v>0</v>
      </c>
      <c r="J612" t="n">
        <v>0</v>
      </c>
      <c r="K612" t="n">
        <v>0</v>
      </c>
      <c r="L612" t="n">
        <v>0</v>
      </c>
      <c r="M612" t="n">
        <v>0</v>
      </c>
      <c r="N612" t="n">
        <v>0</v>
      </c>
      <c r="O612" t="n">
        <v>0</v>
      </c>
      <c r="P612" t="n">
        <v>0</v>
      </c>
      <c r="Q612" t="n">
        <v>0</v>
      </c>
      <c r="R612" s="2" t="inlineStr"/>
    </row>
    <row r="613" ht="15" customHeight="1">
      <c r="A613" t="inlineStr">
        <is>
          <t>A 36043-2024</t>
        </is>
      </c>
      <c r="B613" s="1" t="n">
        <v>45533.60770833334</v>
      </c>
      <c r="C613" s="1" t="n">
        <v>46092</v>
      </c>
      <c r="D613" t="inlineStr">
        <is>
          <t>KALMAR LÄN</t>
        </is>
      </c>
      <c r="E613" t="inlineStr">
        <is>
          <t>VIMMERBY</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12890-2023</t>
        </is>
      </c>
      <c r="B614" s="1" t="n">
        <v>45001.59209490741</v>
      </c>
      <c r="C614" s="1" t="n">
        <v>46092</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43594-2024</t>
        </is>
      </c>
      <c r="B615" s="1" t="n">
        <v>45569.44295138889</v>
      </c>
      <c r="C615" s="1" t="n">
        <v>46092</v>
      </c>
      <c r="D615" t="inlineStr">
        <is>
          <t>KALMAR LÄN</t>
        </is>
      </c>
      <c r="E615" t="inlineStr">
        <is>
          <t>VIMMERBY</t>
        </is>
      </c>
      <c r="G615" t="n">
        <v>3.9</v>
      </c>
      <c r="H615" t="n">
        <v>0</v>
      </c>
      <c r="I615" t="n">
        <v>0</v>
      </c>
      <c r="J615" t="n">
        <v>0</v>
      </c>
      <c r="K615" t="n">
        <v>0</v>
      </c>
      <c r="L615" t="n">
        <v>0</v>
      </c>
      <c r="M615" t="n">
        <v>0</v>
      </c>
      <c r="N615" t="n">
        <v>0</v>
      </c>
      <c r="O615" t="n">
        <v>0</v>
      </c>
      <c r="P615" t="n">
        <v>0</v>
      </c>
      <c r="Q615" t="n">
        <v>0</v>
      </c>
      <c r="R615" s="2" t="inlineStr"/>
    </row>
    <row r="616" ht="15" customHeight="1">
      <c r="A616" t="inlineStr">
        <is>
          <t>A 37578-2025</t>
        </is>
      </c>
      <c r="B616" s="1" t="n">
        <v>45880.38380787037</v>
      </c>
      <c r="C616" s="1" t="n">
        <v>46092</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53482-2022</t>
        </is>
      </c>
      <c r="B617" s="1" t="n">
        <v>44879</v>
      </c>
      <c r="C617" s="1" t="n">
        <v>46092</v>
      </c>
      <c r="D617" t="inlineStr">
        <is>
          <t>KALMAR LÄN</t>
        </is>
      </c>
      <c r="E617" t="inlineStr">
        <is>
          <t>VIMMERBY</t>
        </is>
      </c>
      <c r="G617" t="n">
        <v>10.1</v>
      </c>
      <c r="H617" t="n">
        <v>0</v>
      </c>
      <c r="I617" t="n">
        <v>0</v>
      </c>
      <c r="J617" t="n">
        <v>0</v>
      </c>
      <c r="K617" t="n">
        <v>0</v>
      </c>
      <c r="L617" t="n">
        <v>0</v>
      </c>
      <c r="M617" t="n">
        <v>0</v>
      </c>
      <c r="N617" t="n">
        <v>0</v>
      </c>
      <c r="O617" t="n">
        <v>0</v>
      </c>
      <c r="P617" t="n">
        <v>0</v>
      </c>
      <c r="Q617" t="n">
        <v>0</v>
      </c>
      <c r="R617" s="2" t="inlineStr"/>
    </row>
    <row r="618" ht="15" customHeight="1">
      <c r="A618" t="inlineStr">
        <is>
          <t>A 27761-2024</t>
        </is>
      </c>
      <c r="B618" s="1" t="n">
        <v>45475.49018518518</v>
      </c>
      <c r="C618" s="1" t="n">
        <v>46092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64203-2021</t>
        </is>
      </c>
      <c r="B619" s="1" t="n">
        <v>44510.60921296296</v>
      </c>
      <c r="C619" s="1" t="n">
        <v>46092</v>
      </c>
      <c r="D619" t="inlineStr">
        <is>
          <t>KALMAR LÄN</t>
        </is>
      </c>
      <c r="E619" t="inlineStr">
        <is>
          <t>VIMMERBY</t>
        </is>
      </c>
      <c r="F619" t="inlineStr">
        <is>
          <t>Övriga Aktiebolag</t>
        </is>
      </c>
      <c r="G619" t="n">
        <v>5.4</v>
      </c>
      <c r="H619" t="n">
        <v>0</v>
      </c>
      <c r="I619" t="n">
        <v>0</v>
      </c>
      <c r="J619" t="n">
        <v>0</v>
      </c>
      <c r="K619" t="n">
        <v>0</v>
      </c>
      <c r="L619" t="n">
        <v>0</v>
      </c>
      <c r="M619" t="n">
        <v>0</v>
      </c>
      <c r="N619" t="n">
        <v>0</v>
      </c>
      <c r="O619" t="n">
        <v>0</v>
      </c>
      <c r="P619" t="n">
        <v>0</v>
      </c>
      <c r="Q619" t="n">
        <v>0</v>
      </c>
      <c r="R619" s="2" t="inlineStr"/>
    </row>
    <row r="620" ht="15" customHeight="1">
      <c r="A620" t="inlineStr">
        <is>
          <t>A 5720-2023</t>
        </is>
      </c>
      <c r="B620" s="1" t="n">
        <v>44961</v>
      </c>
      <c r="C620" s="1" t="n">
        <v>46092</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9643-2023</t>
        </is>
      </c>
      <c r="B621" s="1" t="n">
        <v>44984</v>
      </c>
      <c r="C621" s="1" t="n">
        <v>46092</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25728-2023</t>
        </is>
      </c>
      <c r="B622" s="1" t="n">
        <v>45090.38012731481</v>
      </c>
      <c r="C622" s="1" t="n">
        <v>46092</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37668-2025</t>
        </is>
      </c>
      <c r="B623" s="1" t="n">
        <v>45880.51550925926</v>
      </c>
      <c r="C623" s="1" t="n">
        <v>46092</v>
      </c>
      <c r="D623" t="inlineStr">
        <is>
          <t>KALMAR LÄN</t>
        </is>
      </c>
      <c r="E623" t="inlineStr">
        <is>
          <t>VIMMERBY</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37939-2025</t>
        </is>
      </c>
      <c r="B624" s="1" t="n">
        <v>45881.59877314815</v>
      </c>
      <c r="C624" s="1" t="n">
        <v>46092</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37866-2025</t>
        </is>
      </c>
      <c r="B625" s="1" t="n">
        <v>45881</v>
      </c>
      <c r="C625" s="1" t="n">
        <v>46092</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41311-2023</t>
        </is>
      </c>
      <c r="B626" s="1" t="n">
        <v>45174</v>
      </c>
      <c r="C626" s="1" t="n">
        <v>46092</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26318-2023</t>
        </is>
      </c>
      <c r="B627" s="1" t="n">
        <v>45091.67936342592</v>
      </c>
      <c r="C627" s="1" t="n">
        <v>46092</v>
      </c>
      <c r="D627" t="inlineStr">
        <is>
          <t>KALMAR LÄN</t>
        </is>
      </c>
      <c r="E627" t="inlineStr">
        <is>
          <t>VIMMERBY</t>
        </is>
      </c>
      <c r="G627" t="n">
        <v>3.8</v>
      </c>
      <c r="H627" t="n">
        <v>0</v>
      </c>
      <c r="I627" t="n">
        <v>0</v>
      </c>
      <c r="J627" t="n">
        <v>0</v>
      </c>
      <c r="K627" t="n">
        <v>0</v>
      </c>
      <c r="L627" t="n">
        <v>0</v>
      </c>
      <c r="M627" t="n">
        <v>0</v>
      </c>
      <c r="N627" t="n">
        <v>0</v>
      </c>
      <c r="O627" t="n">
        <v>0</v>
      </c>
      <c r="P627" t="n">
        <v>0</v>
      </c>
      <c r="Q627" t="n">
        <v>0</v>
      </c>
      <c r="R627" s="2" t="inlineStr"/>
    </row>
    <row r="628" ht="15" customHeight="1">
      <c r="A628" t="inlineStr">
        <is>
          <t>A 38964-2025</t>
        </is>
      </c>
      <c r="B628" s="1" t="n">
        <v>45887.68759259259</v>
      </c>
      <c r="C628" s="1" t="n">
        <v>46092</v>
      </c>
      <c r="D628" t="inlineStr">
        <is>
          <t>KALMAR LÄN</t>
        </is>
      </c>
      <c r="E628" t="inlineStr">
        <is>
          <t>VIMMERBY</t>
        </is>
      </c>
      <c r="G628" t="n">
        <v>7.5</v>
      </c>
      <c r="H628" t="n">
        <v>0</v>
      </c>
      <c r="I628" t="n">
        <v>0</v>
      </c>
      <c r="J628" t="n">
        <v>0</v>
      </c>
      <c r="K628" t="n">
        <v>0</v>
      </c>
      <c r="L628" t="n">
        <v>0</v>
      </c>
      <c r="M628" t="n">
        <v>0</v>
      </c>
      <c r="N628" t="n">
        <v>0</v>
      </c>
      <c r="O628" t="n">
        <v>0</v>
      </c>
      <c r="P628" t="n">
        <v>0</v>
      </c>
      <c r="Q628" t="n">
        <v>0</v>
      </c>
      <c r="R628" s="2" t="inlineStr"/>
    </row>
    <row r="629" ht="15" customHeight="1">
      <c r="A629" t="inlineStr">
        <is>
          <t>A 61355-2024</t>
        </is>
      </c>
      <c r="B629" s="1" t="n">
        <v>45646.38200231481</v>
      </c>
      <c r="C629" s="1" t="n">
        <v>46092</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36802-2021</t>
        </is>
      </c>
      <c r="B630" s="1" t="n">
        <v>44392</v>
      </c>
      <c r="C630" s="1" t="n">
        <v>46092</v>
      </c>
      <c r="D630" t="inlineStr">
        <is>
          <t>KALMAR LÄN</t>
        </is>
      </c>
      <c r="E630" t="inlineStr">
        <is>
          <t>VIMMERBY</t>
        </is>
      </c>
      <c r="F630" t="inlineStr">
        <is>
          <t>Sveaskog</t>
        </is>
      </c>
      <c r="G630" t="n">
        <v>4.6</v>
      </c>
      <c r="H630" t="n">
        <v>0</v>
      </c>
      <c r="I630" t="n">
        <v>0</v>
      </c>
      <c r="J630" t="n">
        <v>0</v>
      </c>
      <c r="K630" t="n">
        <v>0</v>
      </c>
      <c r="L630" t="n">
        <v>0</v>
      </c>
      <c r="M630" t="n">
        <v>0</v>
      </c>
      <c r="N630" t="n">
        <v>0</v>
      </c>
      <c r="O630" t="n">
        <v>0</v>
      </c>
      <c r="P630" t="n">
        <v>0</v>
      </c>
      <c r="Q630" t="n">
        <v>0</v>
      </c>
      <c r="R630" s="2" t="inlineStr"/>
    </row>
    <row r="631" ht="15" customHeight="1">
      <c r="A631" t="inlineStr">
        <is>
          <t>A 38198-2024</t>
        </is>
      </c>
      <c r="B631" s="1" t="n">
        <v>45545.49508101852</v>
      </c>
      <c r="C631" s="1" t="n">
        <v>46092</v>
      </c>
      <c r="D631" t="inlineStr">
        <is>
          <t>KALMAR LÄN</t>
        </is>
      </c>
      <c r="E631" t="inlineStr">
        <is>
          <t>VIMMERBY</t>
        </is>
      </c>
      <c r="G631" t="n">
        <v>7.9</v>
      </c>
      <c r="H631" t="n">
        <v>0</v>
      </c>
      <c r="I631" t="n">
        <v>0</v>
      </c>
      <c r="J631" t="n">
        <v>0</v>
      </c>
      <c r="K631" t="n">
        <v>0</v>
      </c>
      <c r="L631" t="n">
        <v>0</v>
      </c>
      <c r="M631" t="n">
        <v>0</v>
      </c>
      <c r="N631" t="n">
        <v>0</v>
      </c>
      <c r="O631" t="n">
        <v>0</v>
      </c>
      <c r="P631" t="n">
        <v>0</v>
      </c>
      <c r="Q631" t="n">
        <v>0</v>
      </c>
      <c r="R631" s="2" t="inlineStr"/>
    </row>
    <row r="632" ht="15" customHeight="1">
      <c r="A632" t="inlineStr">
        <is>
          <t>A 9623-2024</t>
        </is>
      </c>
      <c r="B632" s="1" t="n">
        <v>45361.87975694444</v>
      </c>
      <c r="C632" s="1" t="n">
        <v>46092</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58967-2022</t>
        </is>
      </c>
      <c r="B633" s="1" t="n">
        <v>44896</v>
      </c>
      <c r="C633" s="1" t="n">
        <v>46092</v>
      </c>
      <c r="D633" t="inlineStr">
        <is>
          <t>KALMAR LÄN</t>
        </is>
      </c>
      <c r="E633" t="inlineStr">
        <is>
          <t>VIMMERBY</t>
        </is>
      </c>
      <c r="G633" t="n">
        <v>5</v>
      </c>
      <c r="H633" t="n">
        <v>0</v>
      </c>
      <c r="I633" t="n">
        <v>0</v>
      </c>
      <c r="J633" t="n">
        <v>0</v>
      </c>
      <c r="K633" t="n">
        <v>0</v>
      </c>
      <c r="L633" t="n">
        <v>0</v>
      </c>
      <c r="M633" t="n">
        <v>0</v>
      </c>
      <c r="N633" t="n">
        <v>0</v>
      </c>
      <c r="O633" t="n">
        <v>0</v>
      </c>
      <c r="P633" t="n">
        <v>0</v>
      </c>
      <c r="Q633" t="n">
        <v>0</v>
      </c>
      <c r="R633" s="2" t="inlineStr"/>
    </row>
    <row r="634" ht="15" customHeight="1">
      <c r="A634" t="inlineStr">
        <is>
          <t>A 6399-2025</t>
        </is>
      </c>
      <c r="B634" s="1" t="n">
        <v>45699.44291666667</v>
      </c>
      <c r="C634" s="1" t="n">
        <v>46092</v>
      </c>
      <c r="D634" t="inlineStr">
        <is>
          <t>KALMAR LÄN</t>
        </is>
      </c>
      <c r="E634" t="inlineStr">
        <is>
          <t>VIMMERBY</t>
        </is>
      </c>
      <c r="G634" t="n">
        <v>3.1</v>
      </c>
      <c r="H634" t="n">
        <v>0</v>
      </c>
      <c r="I634" t="n">
        <v>0</v>
      </c>
      <c r="J634" t="n">
        <v>0</v>
      </c>
      <c r="K634" t="n">
        <v>0</v>
      </c>
      <c r="L634" t="n">
        <v>0</v>
      </c>
      <c r="M634" t="n">
        <v>0</v>
      </c>
      <c r="N634" t="n">
        <v>0</v>
      </c>
      <c r="O634" t="n">
        <v>0</v>
      </c>
      <c r="P634" t="n">
        <v>0</v>
      </c>
      <c r="Q634" t="n">
        <v>0</v>
      </c>
      <c r="R634" s="2" t="inlineStr"/>
    </row>
    <row r="635" ht="15" customHeight="1">
      <c r="A635" t="inlineStr">
        <is>
          <t>A 31355-2023</t>
        </is>
      </c>
      <c r="B635" s="1" t="n">
        <v>45114.49505787037</v>
      </c>
      <c r="C635" s="1" t="n">
        <v>46092</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30400-2023</t>
        </is>
      </c>
      <c r="B636" s="1" t="n">
        <v>45111.48225694444</v>
      </c>
      <c r="C636" s="1" t="n">
        <v>46092</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30404-2023</t>
        </is>
      </c>
      <c r="B637" s="1" t="n">
        <v>45111.48636574074</v>
      </c>
      <c r="C637" s="1" t="n">
        <v>46092</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27705-2023</t>
        </is>
      </c>
      <c r="B638" s="1" t="n">
        <v>45098.30535879629</v>
      </c>
      <c r="C638" s="1" t="n">
        <v>46092</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36843-2023</t>
        </is>
      </c>
      <c r="B639" s="1" t="n">
        <v>45154.49831018518</v>
      </c>
      <c r="C639" s="1" t="n">
        <v>46092</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10785-2025</t>
        </is>
      </c>
      <c r="B640" s="1" t="n">
        <v>45722.48634259259</v>
      </c>
      <c r="C640" s="1" t="n">
        <v>46092</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29017-2024</t>
        </is>
      </c>
      <c r="B641" s="1" t="n">
        <v>45481.56722222222</v>
      </c>
      <c r="C641" s="1" t="n">
        <v>46092</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23263-2024</t>
        </is>
      </c>
      <c r="B642" s="1" t="n">
        <v>45453.36854166666</v>
      </c>
      <c r="C642" s="1" t="n">
        <v>46092</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11074-2023</t>
        </is>
      </c>
      <c r="B643" s="1" t="n">
        <v>44992.34151620371</v>
      </c>
      <c r="C643" s="1" t="n">
        <v>46092</v>
      </c>
      <c r="D643" t="inlineStr">
        <is>
          <t>KALMAR LÄN</t>
        </is>
      </c>
      <c r="E643" t="inlineStr">
        <is>
          <t>VIMMERBY</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61939-2021</t>
        </is>
      </c>
      <c r="B644" s="1" t="n">
        <v>44502</v>
      </c>
      <c r="C644" s="1" t="n">
        <v>46092</v>
      </c>
      <c r="D644" t="inlineStr">
        <is>
          <t>KALMAR LÄN</t>
        </is>
      </c>
      <c r="E644" t="inlineStr">
        <is>
          <t>VIMMERBY</t>
        </is>
      </c>
      <c r="G644" t="n">
        <v>2.7</v>
      </c>
      <c r="H644" t="n">
        <v>0</v>
      </c>
      <c r="I644" t="n">
        <v>0</v>
      </c>
      <c r="J644" t="n">
        <v>0</v>
      </c>
      <c r="K644" t="n">
        <v>0</v>
      </c>
      <c r="L644" t="n">
        <v>0</v>
      </c>
      <c r="M644" t="n">
        <v>0</v>
      </c>
      <c r="N644" t="n">
        <v>0</v>
      </c>
      <c r="O644" t="n">
        <v>0</v>
      </c>
      <c r="P644" t="n">
        <v>0</v>
      </c>
      <c r="Q644" t="n">
        <v>0</v>
      </c>
      <c r="R644" s="2" t="inlineStr"/>
    </row>
    <row r="645" ht="15" customHeight="1">
      <c r="A645" t="inlineStr">
        <is>
          <t>A 12215-2024</t>
        </is>
      </c>
      <c r="B645" s="1" t="n">
        <v>45378.32185185186</v>
      </c>
      <c r="C645" s="1" t="n">
        <v>46092</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11303-2025</t>
        </is>
      </c>
      <c r="B646" s="1" t="n">
        <v>45726.44471064815</v>
      </c>
      <c r="C646" s="1" t="n">
        <v>46092</v>
      </c>
      <c r="D646" t="inlineStr">
        <is>
          <t>KALMAR LÄN</t>
        </is>
      </c>
      <c r="E646" t="inlineStr">
        <is>
          <t>VIMMERBY</t>
        </is>
      </c>
      <c r="G646" t="n">
        <v>2.1</v>
      </c>
      <c r="H646" t="n">
        <v>0</v>
      </c>
      <c r="I646" t="n">
        <v>0</v>
      </c>
      <c r="J646" t="n">
        <v>0</v>
      </c>
      <c r="K646" t="n">
        <v>0</v>
      </c>
      <c r="L646" t="n">
        <v>0</v>
      </c>
      <c r="M646" t="n">
        <v>0</v>
      </c>
      <c r="N646" t="n">
        <v>0</v>
      </c>
      <c r="O646" t="n">
        <v>0</v>
      </c>
      <c r="P646" t="n">
        <v>0</v>
      </c>
      <c r="Q646" t="n">
        <v>0</v>
      </c>
      <c r="R646" s="2" t="inlineStr"/>
    </row>
    <row r="647" ht="15" customHeight="1">
      <c r="A647" t="inlineStr">
        <is>
          <t>A 12033-2024</t>
        </is>
      </c>
      <c r="B647" s="1" t="n">
        <v>45377.40043981482</v>
      </c>
      <c r="C647" s="1" t="n">
        <v>46092</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51408-2023</t>
        </is>
      </c>
      <c r="B648" s="1" t="n">
        <v>45219.69356481481</v>
      </c>
      <c r="C648" s="1" t="n">
        <v>46092</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49488-2023</t>
        </is>
      </c>
      <c r="B649" s="1" t="n">
        <v>45211.55472222222</v>
      </c>
      <c r="C649" s="1" t="n">
        <v>46092</v>
      </c>
      <c r="D649" t="inlineStr">
        <is>
          <t>KALMAR LÄN</t>
        </is>
      </c>
      <c r="E649" t="inlineStr">
        <is>
          <t>VIMMERBY</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8410-2023</t>
        </is>
      </c>
      <c r="B650" s="1" t="n">
        <v>44977</v>
      </c>
      <c r="C650" s="1" t="n">
        <v>46092</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30920-2024</t>
        </is>
      </c>
      <c r="B651" s="1" t="n">
        <v>45498.673125</v>
      </c>
      <c r="C651" s="1" t="n">
        <v>46092</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40929-2022</t>
        </is>
      </c>
      <c r="B652" s="1" t="n">
        <v>44825.4336574074</v>
      </c>
      <c r="C652" s="1" t="n">
        <v>46092</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50091-2023</t>
        </is>
      </c>
      <c r="B653" s="1" t="n">
        <v>45215.60199074074</v>
      </c>
      <c r="C653" s="1" t="n">
        <v>46092</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36008-2024</t>
        </is>
      </c>
      <c r="B654" s="1" t="n">
        <v>45533.55362268518</v>
      </c>
      <c r="C654" s="1" t="n">
        <v>46092</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16622-2025</t>
        </is>
      </c>
      <c r="B655" s="1" t="n">
        <v>45754.33641203704</v>
      </c>
      <c r="C655" s="1" t="n">
        <v>46092</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17511-2024</t>
        </is>
      </c>
      <c r="B656" s="1" t="n">
        <v>45415.57682870371</v>
      </c>
      <c r="C656" s="1" t="n">
        <v>46092</v>
      </c>
      <c r="D656" t="inlineStr">
        <is>
          <t>KALMAR LÄN</t>
        </is>
      </c>
      <c r="E656" t="inlineStr">
        <is>
          <t>VIMMERBY</t>
        </is>
      </c>
      <c r="G656" t="n">
        <v>5.3</v>
      </c>
      <c r="H656" t="n">
        <v>0</v>
      </c>
      <c r="I656" t="n">
        <v>0</v>
      </c>
      <c r="J656" t="n">
        <v>0</v>
      </c>
      <c r="K656" t="n">
        <v>0</v>
      </c>
      <c r="L656" t="n">
        <v>0</v>
      </c>
      <c r="M656" t="n">
        <v>0</v>
      </c>
      <c r="N656" t="n">
        <v>0</v>
      </c>
      <c r="O656" t="n">
        <v>0</v>
      </c>
      <c r="P656" t="n">
        <v>0</v>
      </c>
      <c r="Q656" t="n">
        <v>0</v>
      </c>
      <c r="R656" s="2" t="inlineStr"/>
    </row>
    <row r="657" ht="15" customHeight="1">
      <c r="A657" t="inlineStr">
        <is>
          <t>A 43705-2023</t>
        </is>
      </c>
      <c r="B657" s="1" t="n">
        <v>45187.42854166667</v>
      </c>
      <c r="C657" s="1" t="n">
        <v>46092</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55300-2021</t>
        </is>
      </c>
      <c r="B658" s="1" t="n">
        <v>44475</v>
      </c>
      <c r="C658" s="1" t="n">
        <v>46092</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44179-2022</t>
        </is>
      </c>
      <c r="B659" s="1" t="n">
        <v>44839.4528125</v>
      </c>
      <c r="C659" s="1" t="n">
        <v>46092</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52755-2022</t>
        </is>
      </c>
      <c r="B660" s="1" t="n">
        <v>44875.27736111111</v>
      </c>
      <c r="C660" s="1" t="n">
        <v>46092</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35998-2024</t>
        </is>
      </c>
      <c r="B661" s="1" t="n">
        <v>45533.54429398148</v>
      </c>
      <c r="C661" s="1" t="n">
        <v>46092</v>
      </c>
      <c r="D661" t="inlineStr">
        <is>
          <t>KALMAR LÄN</t>
        </is>
      </c>
      <c r="E661" t="inlineStr">
        <is>
          <t>VIMMERBY</t>
        </is>
      </c>
      <c r="G661" t="n">
        <v>8.6</v>
      </c>
      <c r="H661" t="n">
        <v>0</v>
      </c>
      <c r="I661" t="n">
        <v>0</v>
      </c>
      <c r="J661" t="n">
        <v>0</v>
      </c>
      <c r="K661" t="n">
        <v>0</v>
      </c>
      <c r="L661" t="n">
        <v>0</v>
      </c>
      <c r="M661" t="n">
        <v>0</v>
      </c>
      <c r="N661" t="n">
        <v>0</v>
      </c>
      <c r="O661" t="n">
        <v>0</v>
      </c>
      <c r="P661" t="n">
        <v>0</v>
      </c>
      <c r="Q661" t="n">
        <v>0</v>
      </c>
      <c r="R661" s="2" t="inlineStr"/>
    </row>
    <row r="662" ht="15" customHeight="1">
      <c r="A662" t="inlineStr">
        <is>
          <t>A 7797-2023</t>
        </is>
      </c>
      <c r="B662" s="1" t="n">
        <v>44973.43075231482</v>
      </c>
      <c r="C662" s="1" t="n">
        <v>46092</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29351-2023</t>
        </is>
      </c>
      <c r="B663" s="1" t="n">
        <v>45106.2610300926</v>
      </c>
      <c r="C663" s="1" t="n">
        <v>46092</v>
      </c>
      <c r="D663" t="inlineStr">
        <is>
          <t>KALMAR LÄN</t>
        </is>
      </c>
      <c r="E663" t="inlineStr">
        <is>
          <t>VIMMERBY</t>
        </is>
      </c>
      <c r="G663" t="n">
        <v>0.4</v>
      </c>
      <c r="H663" t="n">
        <v>0</v>
      </c>
      <c r="I663" t="n">
        <v>0</v>
      </c>
      <c r="J663" t="n">
        <v>0</v>
      </c>
      <c r="K663" t="n">
        <v>0</v>
      </c>
      <c r="L663" t="n">
        <v>0</v>
      </c>
      <c r="M663" t="n">
        <v>0</v>
      </c>
      <c r="N663" t="n">
        <v>0</v>
      </c>
      <c r="O663" t="n">
        <v>0</v>
      </c>
      <c r="P663" t="n">
        <v>0</v>
      </c>
      <c r="Q663" t="n">
        <v>0</v>
      </c>
      <c r="R663" s="2" t="inlineStr"/>
    </row>
    <row r="664" ht="15" customHeight="1">
      <c r="A664" t="inlineStr">
        <is>
          <t>A 7630-2025</t>
        </is>
      </c>
      <c r="B664" s="1" t="n">
        <v>45705.74418981482</v>
      </c>
      <c r="C664" s="1" t="n">
        <v>46092</v>
      </c>
      <c r="D664" t="inlineStr">
        <is>
          <t>KALMAR LÄN</t>
        </is>
      </c>
      <c r="E664" t="inlineStr">
        <is>
          <t>VIMMERBY</t>
        </is>
      </c>
      <c r="G664" t="n">
        <v>2.5</v>
      </c>
      <c r="H664" t="n">
        <v>0</v>
      </c>
      <c r="I664" t="n">
        <v>0</v>
      </c>
      <c r="J664" t="n">
        <v>0</v>
      </c>
      <c r="K664" t="n">
        <v>0</v>
      </c>
      <c r="L664" t="n">
        <v>0</v>
      </c>
      <c r="M664" t="n">
        <v>0</v>
      </c>
      <c r="N664" t="n">
        <v>0</v>
      </c>
      <c r="O664" t="n">
        <v>0</v>
      </c>
      <c r="P664" t="n">
        <v>0</v>
      </c>
      <c r="Q664" t="n">
        <v>0</v>
      </c>
      <c r="R664" s="2" t="inlineStr"/>
    </row>
    <row r="665" ht="15" customHeight="1">
      <c r="A665" t="inlineStr">
        <is>
          <t>A 1024-2024</t>
        </is>
      </c>
      <c r="B665" s="1" t="n">
        <v>45301.68237268519</v>
      </c>
      <c r="C665" s="1" t="n">
        <v>46092</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10787-2025</t>
        </is>
      </c>
      <c r="B666" s="1" t="n">
        <v>45722.48915509259</v>
      </c>
      <c r="C666" s="1" t="n">
        <v>46092</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29350-2023</t>
        </is>
      </c>
      <c r="B667" s="1" t="n">
        <v>45106</v>
      </c>
      <c r="C667" s="1" t="n">
        <v>46092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14855-2025</t>
        </is>
      </c>
      <c r="B668" s="1" t="n">
        <v>45743.41148148148</v>
      </c>
      <c r="C668" s="1" t="n">
        <v>46092</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43601-2024</t>
        </is>
      </c>
      <c r="B669" s="1" t="n">
        <v>45569.44684027778</v>
      </c>
      <c r="C669" s="1" t="n">
        <v>46092</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35913-2023</t>
        </is>
      </c>
      <c r="B670" s="1" t="n">
        <v>45148</v>
      </c>
      <c r="C670" s="1" t="n">
        <v>46092</v>
      </c>
      <c r="D670" t="inlineStr">
        <is>
          <t>KALMAR LÄN</t>
        </is>
      </c>
      <c r="E670" t="inlineStr">
        <is>
          <t>VIMMERBY</t>
        </is>
      </c>
      <c r="G670" t="n">
        <v>6.9</v>
      </c>
      <c r="H670" t="n">
        <v>0</v>
      </c>
      <c r="I670" t="n">
        <v>0</v>
      </c>
      <c r="J670" t="n">
        <v>0</v>
      </c>
      <c r="K670" t="n">
        <v>0</v>
      </c>
      <c r="L670" t="n">
        <v>0</v>
      </c>
      <c r="M670" t="n">
        <v>0</v>
      </c>
      <c r="N670" t="n">
        <v>0</v>
      </c>
      <c r="O670" t="n">
        <v>0</v>
      </c>
      <c r="P670" t="n">
        <v>0</v>
      </c>
      <c r="Q670" t="n">
        <v>0</v>
      </c>
      <c r="R670" s="2" t="inlineStr"/>
    </row>
    <row r="671" ht="15" customHeight="1">
      <c r="A671" t="inlineStr">
        <is>
          <t>A 9624-2024</t>
        </is>
      </c>
      <c r="B671" s="1" t="n">
        <v>45361.90282407407</v>
      </c>
      <c r="C671" s="1" t="n">
        <v>46092</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3938-2023</t>
        </is>
      </c>
      <c r="B672" s="1" t="n">
        <v>44952.35775462963</v>
      </c>
      <c r="C672" s="1" t="n">
        <v>46092</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39053-2024</t>
        </is>
      </c>
      <c r="B673" s="1" t="n">
        <v>45548</v>
      </c>
      <c r="C673" s="1" t="n">
        <v>46092</v>
      </c>
      <c r="D673" t="inlineStr">
        <is>
          <t>KALMAR LÄN</t>
        </is>
      </c>
      <c r="E673" t="inlineStr">
        <is>
          <t>VIMMERBY</t>
        </is>
      </c>
      <c r="G673" t="n">
        <v>5</v>
      </c>
      <c r="H673" t="n">
        <v>0</v>
      </c>
      <c r="I673" t="n">
        <v>0</v>
      </c>
      <c r="J673" t="n">
        <v>0</v>
      </c>
      <c r="K673" t="n">
        <v>0</v>
      </c>
      <c r="L673" t="n">
        <v>0</v>
      </c>
      <c r="M673" t="n">
        <v>0</v>
      </c>
      <c r="N673" t="n">
        <v>0</v>
      </c>
      <c r="O673" t="n">
        <v>0</v>
      </c>
      <c r="P673" t="n">
        <v>0</v>
      </c>
      <c r="Q673" t="n">
        <v>0</v>
      </c>
      <c r="R673" s="2" t="inlineStr"/>
    </row>
    <row r="674" ht="15" customHeight="1">
      <c r="A674" t="inlineStr">
        <is>
          <t>A 14451-2024</t>
        </is>
      </c>
      <c r="B674" s="1" t="n">
        <v>45394.50028935185</v>
      </c>
      <c r="C674" s="1" t="n">
        <v>46092</v>
      </c>
      <c r="D674" t="inlineStr">
        <is>
          <t>KALMAR LÄN</t>
        </is>
      </c>
      <c r="E674" t="inlineStr">
        <is>
          <t>VIMMERBY</t>
        </is>
      </c>
      <c r="G674" t="n">
        <v>1.9</v>
      </c>
      <c r="H674" t="n">
        <v>0</v>
      </c>
      <c r="I674" t="n">
        <v>0</v>
      </c>
      <c r="J674" t="n">
        <v>0</v>
      </c>
      <c r="K674" t="n">
        <v>0</v>
      </c>
      <c r="L674" t="n">
        <v>0</v>
      </c>
      <c r="M674" t="n">
        <v>0</v>
      </c>
      <c r="N674" t="n">
        <v>0</v>
      </c>
      <c r="O674" t="n">
        <v>0</v>
      </c>
      <c r="P674" t="n">
        <v>0</v>
      </c>
      <c r="Q674" t="n">
        <v>0</v>
      </c>
      <c r="R674" s="2" t="inlineStr"/>
    </row>
    <row r="675" ht="15" customHeight="1">
      <c r="A675" t="inlineStr">
        <is>
          <t>A 34205-2023</t>
        </is>
      </c>
      <c r="B675" s="1" t="n">
        <v>45138</v>
      </c>
      <c r="C675" s="1" t="n">
        <v>46092</v>
      </c>
      <c r="D675" t="inlineStr">
        <is>
          <t>KALMAR LÄN</t>
        </is>
      </c>
      <c r="E675" t="inlineStr">
        <is>
          <t>VIMMERBY</t>
        </is>
      </c>
      <c r="G675" t="n">
        <v>0.6</v>
      </c>
      <c r="H675" t="n">
        <v>0</v>
      </c>
      <c r="I675" t="n">
        <v>0</v>
      </c>
      <c r="J675" t="n">
        <v>0</v>
      </c>
      <c r="K675" t="n">
        <v>0</v>
      </c>
      <c r="L675" t="n">
        <v>0</v>
      </c>
      <c r="M675" t="n">
        <v>0</v>
      </c>
      <c r="N675" t="n">
        <v>0</v>
      </c>
      <c r="O675" t="n">
        <v>0</v>
      </c>
      <c r="P675" t="n">
        <v>0</v>
      </c>
      <c r="Q675" t="n">
        <v>0</v>
      </c>
      <c r="R675" s="2" t="inlineStr"/>
    </row>
    <row r="676" ht="15" customHeight="1">
      <c r="A676" t="inlineStr">
        <is>
          <t>A 3268-2024</t>
        </is>
      </c>
      <c r="B676" s="1" t="n">
        <v>45317</v>
      </c>
      <c r="C676" s="1" t="n">
        <v>46092</v>
      </c>
      <c r="D676" t="inlineStr">
        <is>
          <t>KALMAR LÄN</t>
        </is>
      </c>
      <c r="E676" t="inlineStr">
        <is>
          <t>VIMMERBY</t>
        </is>
      </c>
      <c r="F676" t="inlineStr">
        <is>
          <t>Övriga Aktiebolag</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12819-2024</t>
        </is>
      </c>
      <c r="B677" s="1" t="n">
        <v>45384.66917824074</v>
      </c>
      <c r="C677" s="1" t="n">
        <v>46092</v>
      </c>
      <c r="D677" t="inlineStr">
        <is>
          <t>KALMAR LÄN</t>
        </is>
      </c>
      <c r="E677" t="inlineStr">
        <is>
          <t>VIMMERBY</t>
        </is>
      </c>
      <c r="G677" t="n">
        <v>5.1</v>
      </c>
      <c r="H677" t="n">
        <v>0</v>
      </c>
      <c r="I677" t="n">
        <v>0</v>
      </c>
      <c r="J677" t="n">
        <v>0</v>
      </c>
      <c r="K677" t="n">
        <v>0</v>
      </c>
      <c r="L677" t="n">
        <v>0</v>
      </c>
      <c r="M677" t="n">
        <v>0</v>
      </c>
      <c r="N677" t="n">
        <v>0</v>
      </c>
      <c r="O677" t="n">
        <v>0</v>
      </c>
      <c r="P677" t="n">
        <v>0</v>
      </c>
      <c r="Q677" t="n">
        <v>0</v>
      </c>
      <c r="R677" s="2" t="inlineStr"/>
    </row>
    <row r="678" ht="15" customHeight="1">
      <c r="A678" t="inlineStr">
        <is>
          <t>A 6214-2025</t>
        </is>
      </c>
      <c r="B678" s="1" t="n">
        <v>45698.51711805556</v>
      </c>
      <c r="C678" s="1" t="n">
        <v>46092</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32569-2024</t>
        </is>
      </c>
      <c r="B679" s="1" t="n">
        <v>45513.55840277778</v>
      </c>
      <c r="C679" s="1" t="n">
        <v>46092</v>
      </c>
      <c r="D679" t="inlineStr">
        <is>
          <t>KALMAR LÄN</t>
        </is>
      </c>
      <c r="E679" t="inlineStr">
        <is>
          <t>VIMMERBY</t>
        </is>
      </c>
      <c r="G679" t="n">
        <v>3.7</v>
      </c>
      <c r="H679" t="n">
        <v>0</v>
      </c>
      <c r="I679" t="n">
        <v>0</v>
      </c>
      <c r="J679" t="n">
        <v>0</v>
      </c>
      <c r="K679" t="n">
        <v>0</v>
      </c>
      <c r="L679" t="n">
        <v>0</v>
      </c>
      <c r="M679" t="n">
        <v>0</v>
      </c>
      <c r="N679" t="n">
        <v>0</v>
      </c>
      <c r="O679" t="n">
        <v>0</v>
      </c>
      <c r="P679" t="n">
        <v>0</v>
      </c>
      <c r="Q679" t="n">
        <v>0</v>
      </c>
      <c r="R679" s="2" t="inlineStr"/>
    </row>
    <row r="680" ht="15" customHeight="1">
      <c r="A680" t="inlineStr">
        <is>
          <t>A 32575-2024</t>
        </is>
      </c>
      <c r="B680" s="1" t="n">
        <v>45513.56527777778</v>
      </c>
      <c r="C680" s="1" t="n">
        <v>46092</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59300-2024</t>
        </is>
      </c>
      <c r="B681" s="1" t="n">
        <v>45637.66542824074</v>
      </c>
      <c r="C681" s="1" t="n">
        <v>46092</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59768-2024</t>
        </is>
      </c>
      <c r="B682" s="1" t="n">
        <v>45639.56185185185</v>
      </c>
      <c r="C682" s="1" t="n">
        <v>46092</v>
      </c>
      <c r="D682" t="inlineStr">
        <is>
          <t>KALMAR LÄN</t>
        </is>
      </c>
      <c r="E682" t="inlineStr">
        <is>
          <t>VIMMERBY</t>
        </is>
      </c>
      <c r="G682" t="n">
        <v>5.9</v>
      </c>
      <c r="H682" t="n">
        <v>0</v>
      </c>
      <c r="I682" t="n">
        <v>0</v>
      </c>
      <c r="J682" t="n">
        <v>0</v>
      </c>
      <c r="K682" t="n">
        <v>0</v>
      </c>
      <c r="L682" t="n">
        <v>0</v>
      </c>
      <c r="M682" t="n">
        <v>0</v>
      </c>
      <c r="N682" t="n">
        <v>0</v>
      </c>
      <c r="O682" t="n">
        <v>0</v>
      </c>
      <c r="P682" t="n">
        <v>0</v>
      </c>
      <c r="Q682" t="n">
        <v>0</v>
      </c>
      <c r="R682" s="2" t="inlineStr"/>
    </row>
    <row r="683" ht="15" customHeight="1">
      <c r="A683" t="inlineStr">
        <is>
          <t>A 36526-2023</t>
        </is>
      </c>
      <c r="B683" s="1" t="n">
        <v>45153.32778935185</v>
      </c>
      <c r="C683" s="1" t="n">
        <v>46092</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58728-2024</t>
        </is>
      </c>
      <c r="B684" s="1" t="n">
        <v>45635.66695601852</v>
      </c>
      <c r="C684" s="1" t="n">
        <v>46092</v>
      </c>
      <c r="D684" t="inlineStr">
        <is>
          <t>KALMAR LÄN</t>
        </is>
      </c>
      <c r="E684" t="inlineStr">
        <is>
          <t>VIMMERBY</t>
        </is>
      </c>
      <c r="G684" t="n">
        <v>0.4</v>
      </c>
      <c r="H684" t="n">
        <v>0</v>
      </c>
      <c r="I684" t="n">
        <v>0</v>
      </c>
      <c r="J684" t="n">
        <v>0</v>
      </c>
      <c r="K684" t="n">
        <v>0</v>
      </c>
      <c r="L684" t="n">
        <v>0</v>
      </c>
      <c r="M684" t="n">
        <v>0</v>
      </c>
      <c r="N684" t="n">
        <v>0</v>
      </c>
      <c r="O684" t="n">
        <v>0</v>
      </c>
      <c r="P684" t="n">
        <v>0</v>
      </c>
      <c r="Q684" t="n">
        <v>0</v>
      </c>
      <c r="R684" s="2" t="inlineStr"/>
    </row>
    <row r="685" ht="15" customHeight="1">
      <c r="A685" t="inlineStr">
        <is>
          <t>A 49474-2023</t>
        </is>
      </c>
      <c r="B685" s="1" t="n">
        <v>45211.541875</v>
      </c>
      <c r="C685" s="1" t="n">
        <v>46092</v>
      </c>
      <c r="D685" t="inlineStr">
        <is>
          <t>KALMAR LÄN</t>
        </is>
      </c>
      <c r="E685" t="inlineStr">
        <is>
          <t>VIMMERBY</t>
        </is>
      </c>
      <c r="G685" t="n">
        <v>3.6</v>
      </c>
      <c r="H685" t="n">
        <v>0</v>
      </c>
      <c r="I685" t="n">
        <v>0</v>
      </c>
      <c r="J685" t="n">
        <v>0</v>
      </c>
      <c r="K685" t="n">
        <v>0</v>
      </c>
      <c r="L685" t="n">
        <v>0</v>
      </c>
      <c r="M685" t="n">
        <v>0</v>
      </c>
      <c r="N685" t="n">
        <v>0</v>
      </c>
      <c r="O685" t="n">
        <v>0</v>
      </c>
      <c r="P685" t="n">
        <v>0</v>
      </c>
      <c r="Q685" t="n">
        <v>0</v>
      </c>
      <c r="R685" s="2" t="inlineStr"/>
    </row>
    <row r="686" ht="15" customHeight="1">
      <c r="A686" t="inlineStr">
        <is>
          <t>A 57682-2022</t>
        </is>
      </c>
      <c r="B686" s="1" t="n">
        <v>44890</v>
      </c>
      <c r="C686" s="1" t="n">
        <v>46092</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14220-2021</t>
        </is>
      </c>
      <c r="B687" s="1" t="n">
        <v>44278.54855324074</v>
      </c>
      <c r="C687" s="1" t="n">
        <v>46092</v>
      </c>
      <c r="D687" t="inlineStr">
        <is>
          <t>KALMAR LÄN</t>
        </is>
      </c>
      <c r="E687" t="inlineStr">
        <is>
          <t>VIMMERBY</t>
        </is>
      </c>
      <c r="G687" t="n">
        <v>0.3</v>
      </c>
      <c r="H687" t="n">
        <v>0</v>
      </c>
      <c r="I687" t="n">
        <v>0</v>
      </c>
      <c r="J687" t="n">
        <v>0</v>
      </c>
      <c r="K687" t="n">
        <v>0</v>
      </c>
      <c r="L687" t="n">
        <v>0</v>
      </c>
      <c r="M687" t="n">
        <v>0</v>
      </c>
      <c r="N687" t="n">
        <v>0</v>
      </c>
      <c r="O687" t="n">
        <v>0</v>
      </c>
      <c r="P687" t="n">
        <v>0</v>
      </c>
      <c r="Q687" t="n">
        <v>0</v>
      </c>
      <c r="R687" s="2" t="inlineStr"/>
    </row>
    <row r="688" ht="15" customHeight="1">
      <c r="A688" t="inlineStr">
        <is>
          <t>A 63950-2023</t>
        </is>
      </c>
      <c r="B688" s="1" t="n">
        <v>45278</v>
      </c>
      <c r="C688" s="1" t="n">
        <v>46092</v>
      </c>
      <c r="D688" t="inlineStr">
        <is>
          <t>KALMAR LÄN</t>
        </is>
      </c>
      <c r="E688" t="inlineStr">
        <is>
          <t>VIMMERBY</t>
        </is>
      </c>
      <c r="F688" t="inlineStr">
        <is>
          <t>Kyrkan</t>
        </is>
      </c>
      <c r="G688" t="n">
        <v>2.7</v>
      </c>
      <c r="H688" t="n">
        <v>0</v>
      </c>
      <c r="I688" t="n">
        <v>0</v>
      </c>
      <c r="J688" t="n">
        <v>0</v>
      </c>
      <c r="K688" t="n">
        <v>0</v>
      </c>
      <c r="L688" t="n">
        <v>0</v>
      </c>
      <c r="M688" t="n">
        <v>0</v>
      </c>
      <c r="N688" t="n">
        <v>0</v>
      </c>
      <c r="O688" t="n">
        <v>0</v>
      </c>
      <c r="P688" t="n">
        <v>0</v>
      </c>
      <c r="Q688" t="n">
        <v>0</v>
      </c>
      <c r="R688" s="2" t="inlineStr"/>
    </row>
    <row r="689" ht="15" customHeight="1">
      <c r="A689" t="inlineStr">
        <is>
          <t>A 16516-2023</t>
        </is>
      </c>
      <c r="B689" s="1" t="n">
        <v>45029</v>
      </c>
      <c r="C689" s="1" t="n">
        <v>46092</v>
      </c>
      <c r="D689" t="inlineStr">
        <is>
          <t>KALMAR LÄN</t>
        </is>
      </c>
      <c r="E689" t="inlineStr">
        <is>
          <t>VIMMERBY</t>
        </is>
      </c>
      <c r="G689" t="n">
        <v>4.3</v>
      </c>
      <c r="H689" t="n">
        <v>0</v>
      </c>
      <c r="I689" t="n">
        <v>0</v>
      </c>
      <c r="J689" t="n">
        <v>0</v>
      </c>
      <c r="K689" t="n">
        <v>0</v>
      </c>
      <c r="L689" t="n">
        <v>0</v>
      </c>
      <c r="M689" t="n">
        <v>0</v>
      </c>
      <c r="N689" t="n">
        <v>0</v>
      </c>
      <c r="O689" t="n">
        <v>0</v>
      </c>
      <c r="P689" t="n">
        <v>0</v>
      </c>
      <c r="Q689" t="n">
        <v>0</v>
      </c>
      <c r="R689" s="2" t="inlineStr"/>
    </row>
    <row r="690" ht="15" customHeight="1">
      <c r="A690" t="inlineStr">
        <is>
          <t>A 47842-2024</t>
        </is>
      </c>
      <c r="B690" s="1" t="n">
        <v>45588.65545138889</v>
      </c>
      <c r="C690" s="1" t="n">
        <v>46092</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6408-2025</t>
        </is>
      </c>
      <c r="B691" s="1" t="n">
        <v>45699.45671296296</v>
      </c>
      <c r="C691" s="1" t="n">
        <v>46092</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25109-2023</t>
        </is>
      </c>
      <c r="B692" s="1" t="n">
        <v>45086</v>
      </c>
      <c r="C692" s="1" t="n">
        <v>46092</v>
      </c>
      <c r="D692" t="inlineStr">
        <is>
          <t>KALMAR LÄN</t>
        </is>
      </c>
      <c r="E692" t="inlineStr">
        <is>
          <t>VIMMERBY</t>
        </is>
      </c>
      <c r="G692" t="n">
        <v>1.5</v>
      </c>
      <c r="H692" t="n">
        <v>0</v>
      </c>
      <c r="I692" t="n">
        <v>0</v>
      </c>
      <c r="J692" t="n">
        <v>0</v>
      </c>
      <c r="K692" t="n">
        <v>0</v>
      </c>
      <c r="L692" t="n">
        <v>0</v>
      </c>
      <c r="M692" t="n">
        <v>0</v>
      </c>
      <c r="N692" t="n">
        <v>0</v>
      </c>
      <c r="O692" t="n">
        <v>0</v>
      </c>
      <c r="P692" t="n">
        <v>0</v>
      </c>
      <c r="Q692" t="n">
        <v>0</v>
      </c>
      <c r="R692" s="2" t="inlineStr"/>
    </row>
    <row r="693" ht="15" customHeight="1">
      <c r="A693" t="inlineStr">
        <is>
          <t>A 33380-2023</t>
        </is>
      </c>
      <c r="B693" s="1" t="n">
        <v>45128</v>
      </c>
      <c r="C693" s="1" t="n">
        <v>46092</v>
      </c>
      <c r="D693" t="inlineStr">
        <is>
          <t>KALMAR LÄN</t>
        </is>
      </c>
      <c r="E693" t="inlineStr">
        <is>
          <t>VIMMERBY</t>
        </is>
      </c>
      <c r="G693" t="n">
        <v>5.2</v>
      </c>
      <c r="H693" t="n">
        <v>0</v>
      </c>
      <c r="I693" t="n">
        <v>0</v>
      </c>
      <c r="J693" t="n">
        <v>0</v>
      </c>
      <c r="K693" t="n">
        <v>0</v>
      </c>
      <c r="L693" t="n">
        <v>0</v>
      </c>
      <c r="M693" t="n">
        <v>0</v>
      </c>
      <c r="N693" t="n">
        <v>0</v>
      </c>
      <c r="O693" t="n">
        <v>0</v>
      </c>
      <c r="P693" t="n">
        <v>0</v>
      </c>
      <c r="Q693" t="n">
        <v>0</v>
      </c>
      <c r="R693" s="2" t="inlineStr"/>
    </row>
    <row r="694" ht="15" customHeight="1">
      <c r="A694" t="inlineStr">
        <is>
          <t>A 32639-2023</t>
        </is>
      </c>
      <c r="B694" s="1" t="n">
        <v>45121.5965162037</v>
      </c>
      <c r="C694" s="1" t="n">
        <v>46092</v>
      </c>
      <c r="D694" t="inlineStr">
        <is>
          <t>KALMAR LÄN</t>
        </is>
      </c>
      <c r="E694" t="inlineStr">
        <is>
          <t>VIMMERBY</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32642-2023</t>
        </is>
      </c>
      <c r="B695" s="1" t="n">
        <v>45121.59954861111</v>
      </c>
      <c r="C695" s="1" t="n">
        <v>46092</v>
      </c>
      <c r="D695" t="inlineStr">
        <is>
          <t>KALMAR LÄN</t>
        </is>
      </c>
      <c r="E695" t="inlineStr">
        <is>
          <t>VIMMERBY</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32651-2023</t>
        </is>
      </c>
      <c r="B696" s="1" t="n">
        <v>45121.6096875</v>
      </c>
      <c r="C696" s="1" t="n">
        <v>46092</v>
      </c>
      <c r="D696" t="inlineStr">
        <is>
          <t>KALMAR LÄN</t>
        </is>
      </c>
      <c r="E696" t="inlineStr">
        <is>
          <t>VIMMERBY</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11928-2022</t>
        </is>
      </c>
      <c r="B697" s="1" t="n">
        <v>44635</v>
      </c>
      <c r="C697" s="1" t="n">
        <v>46092</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7068-2024</t>
        </is>
      </c>
      <c r="B698" s="1" t="n">
        <v>45343.68038194445</v>
      </c>
      <c r="C698" s="1" t="n">
        <v>46092</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46234-2024</t>
        </is>
      </c>
      <c r="B699" s="1" t="n">
        <v>45581.57958333333</v>
      </c>
      <c r="C699" s="1" t="n">
        <v>46092</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37187-2024</t>
        </is>
      </c>
      <c r="B700" s="1" t="n">
        <v>45539.65212962963</v>
      </c>
      <c r="C700" s="1" t="n">
        <v>46092</v>
      </c>
      <c r="D700" t="inlineStr">
        <is>
          <t>KALMAR LÄN</t>
        </is>
      </c>
      <c r="E700" t="inlineStr">
        <is>
          <t>VIMMERBY</t>
        </is>
      </c>
      <c r="G700" t="n">
        <v>2.7</v>
      </c>
      <c r="H700" t="n">
        <v>0</v>
      </c>
      <c r="I700" t="n">
        <v>0</v>
      </c>
      <c r="J700" t="n">
        <v>0</v>
      </c>
      <c r="K700" t="n">
        <v>0</v>
      </c>
      <c r="L700" t="n">
        <v>0</v>
      </c>
      <c r="M700" t="n">
        <v>0</v>
      </c>
      <c r="N700" t="n">
        <v>0</v>
      </c>
      <c r="O700" t="n">
        <v>0</v>
      </c>
      <c r="P700" t="n">
        <v>0</v>
      </c>
      <c r="Q700" t="n">
        <v>0</v>
      </c>
      <c r="R700" s="2" t="inlineStr"/>
    </row>
    <row r="701" ht="15" customHeight="1">
      <c r="A701" t="inlineStr">
        <is>
          <t>A 1021-2024</t>
        </is>
      </c>
      <c r="B701" s="1" t="n">
        <v>45301.67736111111</v>
      </c>
      <c r="C701" s="1" t="n">
        <v>46092</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72701-2021</t>
        </is>
      </c>
      <c r="B702" s="1" t="n">
        <v>44546</v>
      </c>
      <c r="C702" s="1" t="n">
        <v>46092</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19111-2025</t>
        </is>
      </c>
      <c r="B703" s="1" t="n">
        <v>45768.65611111111</v>
      </c>
      <c r="C703" s="1" t="n">
        <v>46092</v>
      </c>
      <c r="D703" t="inlineStr">
        <is>
          <t>KALMAR LÄN</t>
        </is>
      </c>
      <c r="E703" t="inlineStr">
        <is>
          <t>VIMMERBY</t>
        </is>
      </c>
      <c r="G703" t="n">
        <v>6.2</v>
      </c>
      <c r="H703" t="n">
        <v>0</v>
      </c>
      <c r="I703" t="n">
        <v>0</v>
      </c>
      <c r="J703" t="n">
        <v>0</v>
      </c>
      <c r="K703" t="n">
        <v>0</v>
      </c>
      <c r="L703" t="n">
        <v>0</v>
      </c>
      <c r="M703" t="n">
        <v>0</v>
      </c>
      <c r="N703" t="n">
        <v>0</v>
      </c>
      <c r="O703" t="n">
        <v>0</v>
      </c>
      <c r="P703" t="n">
        <v>0</v>
      </c>
      <c r="Q703" t="n">
        <v>0</v>
      </c>
      <c r="R703" s="2" t="inlineStr"/>
    </row>
    <row r="704" ht="15" customHeight="1">
      <c r="A704" t="inlineStr">
        <is>
          <t>A 33374-2021</t>
        </is>
      </c>
      <c r="B704" s="1" t="n">
        <v>44377</v>
      </c>
      <c r="C704" s="1" t="n">
        <v>46092</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10807-2024</t>
        </is>
      </c>
      <c r="B705" s="1" t="n">
        <v>45369.62780092593</v>
      </c>
      <c r="C705" s="1" t="n">
        <v>46092</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33359-2021</t>
        </is>
      </c>
      <c r="B706" s="1" t="n">
        <v>44377.49684027778</v>
      </c>
      <c r="C706" s="1" t="n">
        <v>46092</v>
      </c>
      <c r="D706" t="inlineStr">
        <is>
          <t>KALMAR LÄN</t>
        </is>
      </c>
      <c r="E706" t="inlineStr">
        <is>
          <t>VIMMERBY</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34588-2024</t>
        </is>
      </c>
      <c r="B707" s="1" t="n">
        <v>45526.3865625</v>
      </c>
      <c r="C707" s="1" t="n">
        <v>46092</v>
      </c>
      <c r="D707" t="inlineStr">
        <is>
          <t>KALMAR LÄN</t>
        </is>
      </c>
      <c r="E707" t="inlineStr">
        <is>
          <t>VIMMERBY</t>
        </is>
      </c>
      <c r="F707" t="inlineStr">
        <is>
          <t>Övriga Aktiebolag</t>
        </is>
      </c>
      <c r="G707" t="n">
        <v>3.3</v>
      </c>
      <c r="H707" t="n">
        <v>0</v>
      </c>
      <c r="I707" t="n">
        <v>0</v>
      </c>
      <c r="J707" t="n">
        <v>0</v>
      </c>
      <c r="K707" t="n">
        <v>0</v>
      </c>
      <c r="L707" t="n">
        <v>0</v>
      </c>
      <c r="M707" t="n">
        <v>0</v>
      </c>
      <c r="N707" t="n">
        <v>0</v>
      </c>
      <c r="O707" t="n">
        <v>0</v>
      </c>
      <c r="P707" t="n">
        <v>0</v>
      </c>
      <c r="Q707" t="n">
        <v>0</v>
      </c>
      <c r="R707" s="2" t="inlineStr"/>
    </row>
    <row r="708" ht="15" customHeight="1">
      <c r="A708" t="inlineStr">
        <is>
          <t>A 17084-2025</t>
        </is>
      </c>
      <c r="B708" s="1" t="n">
        <v>45755.64450231481</v>
      </c>
      <c r="C708" s="1" t="n">
        <v>46092</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33161-2024</t>
        </is>
      </c>
      <c r="B709" s="1" t="n">
        <v>45518.40657407408</v>
      </c>
      <c r="C709" s="1" t="n">
        <v>46092</v>
      </c>
      <c r="D709" t="inlineStr">
        <is>
          <t>KALMAR LÄN</t>
        </is>
      </c>
      <c r="E709" t="inlineStr">
        <is>
          <t>VIMMERBY</t>
        </is>
      </c>
      <c r="G709" t="n">
        <v>4.7</v>
      </c>
      <c r="H709" t="n">
        <v>0</v>
      </c>
      <c r="I709" t="n">
        <v>0</v>
      </c>
      <c r="J709" t="n">
        <v>0</v>
      </c>
      <c r="K709" t="n">
        <v>0</v>
      </c>
      <c r="L709" t="n">
        <v>0</v>
      </c>
      <c r="M709" t="n">
        <v>0</v>
      </c>
      <c r="N709" t="n">
        <v>0</v>
      </c>
      <c r="O709" t="n">
        <v>0</v>
      </c>
      <c r="P709" t="n">
        <v>0</v>
      </c>
      <c r="Q709" t="n">
        <v>0</v>
      </c>
      <c r="R709" s="2" t="inlineStr"/>
    </row>
    <row r="710" ht="15" customHeight="1">
      <c r="A710" t="inlineStr">
        <is>
          <t>A 14359-2025</t>
        </is>
      </c>
      <c r="B710" s="1" t="n">
        <v>45741.37270833334</v>
      </c>
      <c r="C710" s="1" t="n">
        <v>46092</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55605-2024</t>
        </is>
      </c>
      <c r="B711" s="1" t="n">
        <v>45622</v>
      </c>
      <c r="C711" s="1" t="n">
        <v>46092</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44464-2024</t>
        </is>
      </c>
      <c r="B712" s="1" t="n">
        <v>45574.35809027778</v>
      </c>
      <c r="C712" s="1" t="n">
        <v>46092</v>
      </c>
      <c r="D712" t="inlineStr">
        <is>
          <t>KALMAR LÄN</t>
        </is>
      </c>
      <c r="E712" t="inlineStr">
        <is>
          <t>VIMMERBY</t>
        </is>
      </c>
      <c r="G712" t="n">
        <v>0.7</v>
      </c>
      <c r="H712" t="n">
        <v>0</v>
      </c>
      <c r="I712" t="n">
        <v>0</v>
      </c>
      <c r="J712" t="n">
        <v>0</v>
      </c>
      <c r="K712" t="n">
        <v>0</v>
      </c>
      <c r="L712" t="n">
        <v>0</v>
      </c>
      <c r="M712" t="n">
        <v>0</v>
      </c>
      <c r="N712" t="n">
        <v>0</v>
      </c>
      <c r="O712" t="n">
        <v>0</v>
      </c>
      <c r="P712" t="n">
        <v>0</v>
      </c>
      <c r="Q712" t="n">
        <v>0</v>
      </c>
      <c r="R712" s="2" t="inlineStr"/>
    </row>
    <row r="713" ht="15" customHeight="1">
      <c r="A713" t="inlineStr">
        <is>
          <t>A 36049-2024</t>
        </is>
      </c>
      <c r="B713" s="1" t="n">
        <v>45533.61996527778</v>
      </c>
      <c r="C713" s="1" t="n">
        <v>46092</v>
      </c>
      <c r="D713" t="inlineStr">
        <is>
          <t>KALMAR LÄN</t>
        </is>
      </c>
      <c r="E713" t="inlineStr">
        <is>
          <t>VIMMERBY</t>
        </is>
      </c>
      <c r="F713" t="inlineStr">
        <is>
          <t>Kommuner</t>
        </is>
      </c>
      <c r="G713" t="n">
        <v>2.6</v>
      </c>
      <c r="H713" t="n">
        <v>0</v>
      </c>
      <c r="I713" t="n">
        <v>0</v>
      </c>
      <c r="J713" t="n">
        <v>0</v>
      </c>
      <c r="K713" t="n">
        <v>0</v>
      </c>
      <c r="L713" t="n">
        <v>0</v>
      </c>
      <c r="M713" t="n">
        <v>0</v>
      </c>
      <c r="N713" t="n">
        <v>0</v>
      </c>
      <c r="O713" t="n">
        <v>0</v>
      </c>
      <c r="P713" t="n">
        <v>0</v>
      </c>
      <c r="Q713" t="n">
        <v>0</v>
      </c>
      <c r="R713" s="2" t="inlineStr"/>
    </row>
    <row r="714" ht="15" customHeight="1">
      <c r="A714" t="inlineStr">
        <is>
          <t>A 4297-2022</t>
        </is>
      </c>
      <c r="B714" s="1" t="n">
        <v>44588</v>
      </c>
      <c r="C714" s="1" t="n">
        <v>46092</v>
      </c>
      <c r="D714" t="inlineStr">
        <is>
          <t>KALMAR LÄN</t>
        </is>
      </c>
      <c r="E714" t="inlineStr">
        <is>
          <t>VIMMERBY</t>
        </is>
      </c>
      <c r="G714" t="n">
        <v>1</v>
      </c>
      <c r="H714" t="n">
        <v>0</v>
      </c>
      <c r="I714" t="n">
        <v>0</v>
      </c>
      <c r="J714" t="n">
        <v>0</v>
      </c>
      <c r="K714" t="n">
        <v>0</v>
      </c>
      <c r="L714" t="n">
        <v>0</v>
      </c>
      <c r="M714" t="n">
        <v>0</v>
      </c>
      <c r="N714" t="n">
        <v>0</v>
      </c>
      <c r="O714" t="n">
        <v>0</v>
      </c>
      <c r="P714" t="n">
        <v>0</v>
      </c>
      <c r="Q714" t="n">
        <v>0</v>
      </c>
      <c r="R714" s="2" t="inlineStr"/>
    </row>
    <row r="715" ht="15" customHeight="1">
      <c r="A715" t="inlineStr">
        <is>
          <t>A 46399-2024</t>
        </is>
      </c>
      <c r="B715" s="1" t="n">
        <v>45582.41200231481</v>
      </c>
      <c r="C715" s="1" t="n">
        <v>46092</v>
      </c>
      <c r="D715" t="inlineStr">
        <is>
          <t>KALMAR LÄN</t>
        </is>
      </c>
      <c r="E715" t="inlineStr">
        <is>
          <t>VIMMERBY</t>
        </is>
      </c>
      <c r="G715" t="n">
        <v>4.6</v>
      </c>
      <c r="H715" t="n">
        <v>0</v>
      </c>
      <c r="I715" t="n">
        <v>0</v>
      </c>
      <c r="J715" t="n">
        <v>0</v>
      </c>
      <c r="K715" t="n">
        <v>0</v>
      </c>
      <c r="L715" t="n">
        <v>0</v>
      </c>
      <c r="M715" t="n">
        <v>0</v>
      </c>
      <c r="N715" t="n">
        <v>0</v>
      </c>
      <c r="O715" t="n">
        <v>0</v>
      </c>
      <c r="P715" t="n">
        <v>0</v>
      </c>
      <c r="Q715" t="n">
        <v>0</v>
      </c>
      <c r="R715" s="2" t="inlineStr"/>
    </row>
    <row r="716" ht="15" customHeight="1">
      <c r="A716" t="inlineStr">
        <is>
          <t>A 13532-2025</t>
        </is>
      </c>
      <c r="B716" s="1" t="n">
        <v>45736.50743055555</v>
      </c>
      <c r="C716" s="1" t="n">
        <v>46092</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43038-2022</t>
        </is>
      </c>
      <c r="B717" s="1" t="n">
        <v>44833.60123842592</v>
      </c>
      <c r="C717" s="1" t="n">
        <v>46092</v>
      </c>
      <c r="D717" t="inlineStr">
        <is>
          <t>KALMAR LÄN</t>
        </is>
      </c>
      <c r="E717" t="inlineStr">
        <is>
          <t>VIMMERBY</t>
        </is>
      </c>
      <c r="G717" t="n">
        <v>4.2</v>
      </c>
      <c r="H717" t="n">
        <v>0</v>
      </c>
      <c r="I717" t="n">
        <v>0</v>
      </c>
      <c r="J717" t="n">
        <v>0</v>
      </c>
      <c r="K717" t="n">
        <v>0</v>
      </c>
      <c r="L717" t="n">
        <v>0</v>
      </c>
      <c r="M717" t="n">
        <v>0</v>
      </c>
      <c r="N717" t="n">
        <v>0</v>
      </c>
      <c r="O717" t="n">
        <v>0</v>
      </c>
      <c r="P717" t="n">
        <v>0</v>
      </c>
      <c r="Q717" t="n">
        <v>0</v>
      </c>
      <c r="R717" s="2" t="inlineStr"/>
    </row>
    <row r="718" ht="15" customHeight="1">
      <c r="A718" t="inlineStr">
        <is>
          <t>A 12596-2021</t>
        </is>
      </c>
      <c r="B718" s="1" t="n">
        <v>44270.39765046296</v>
      </c>
      <c r="C718" s="1" t="n">
        <v>46092</v>
      </c>
      <c r="D718" t="inlineStr">
        <is>
          <t>KALMAR LÄN</t>
        </is>
      </c>
      <c r="E718" t="inlineStr">
        <is>
          <t>VIMMERBY</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46092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30921-2024</t>
        </is>
      </c>
      <c r="B720" s="1" t="n">
        <v>45498</v>
      </c>
      <c r="C720" s="1" t="n">
        <v>46092</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14137-2023</t>
        </is>
      </c>
      <c r="B721" s="1" t="n">
        <v>45009.4671875</v>
      </c>
      <c r="C721" s="1" t="n">
        <v>46092</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11152-2023</t>
        </is>
      </c>
      <c r="B722" s="1" t="n">
        <v>44992</v>
      </c>
      <c r="C722" s="1" t="n">
        <v>46092</v>
      </c>
      <c r="D722" t="inlineStr">
        <is>
          <t>KALMAR LÄN</t>
        </is>
      </c>
      <c r="E722" t="inlineStr">
        <is>
          <t>VIMMERBY</t>
        </is>
      </c>
      <c r="G722" t="n">
        <v>10.6</v>
      </c>
      <c r="H722" t="n">
        <v>0</v>
      </c>
      <c r="I722" t="n">
        <v>0</v>
      </c>
      <c r="J722" t="n">
        <v>0</v>
      </c>
      <c r="K722" t="n">
        <v>0</v>
      </c>
      <c r="L722" t="n">
        <v>0</v>
      </c>
      <c r="M722" t="n">
        <v>0</v>
      </c>
      <c r="N722" t="n">
        <v>0</v>
      </c>
      <c r="O722" t="n">
        <v>0</v>
      </c>
      <c r="P722" t="n">
        <v>0</v>
      </c>
      <c r="Q722" t="n">
        <v>0</v>
      </c>
      <c r="R722" s="2" t="inlineStr"/>
    </row>
    <row r="723" ht="15" customHeight="1">
      <c r="A723" t="inlineStr">
        <is>
          <t>A 12499-2023</t>
        </is>
      </c>
      <c r="B723" s="1" t="n">
        <v>44999.86172453704</v>
      </c>
      <c r="C723" s="1" t="n">
        <v>46092</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12500-2023</t>
        </is>
      </c>
      <c r="B724" s="1" t="n">
        <v>44999.8625</v>
      </c>
      <c r="C724" s="1" t="n">
        <v>46092</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35846-2023</t>
        </is>
      </c>
      <c r="B725" s="1" t="n">
        <v>45148</v>
      </c>
      <c r="C725" s="1" t="n">
        <v>46092</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49039-2021</t>
        </is>
      </c>
      <c r="B726" s="1" t="n">
        <v>44453.56578703703</v>
      </c>
      <c r="C726" s="1" t="n">
        <v>46092</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46224-2024</t>
        </is>
      </c>
      <c r="B727" s="1" t="n">
        <v>45581.57016203704</v>
      </c>
      <c r="C727" s="1" t="n">
        <v>46092</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46238-2024</t>
        </is>
      </c>
      <c r="B728" s="1" t="n">
        <v>45581.58418981481</v>
      </c>
      <c r="C728" s="1" t="n">
        <v>46092</v>
      </c>
      <c r="D728" t="inlineStr">
        <is>
          <t>KALMAR LÄN</t>
        </is>
      </c>
      <c r="E728" t="inlineStr">
        <is>
          <t>VIMMERBY</t>
        </is>
      </c>
      <c r="G728" t="n">
        <v>2.1</v>
      </c>
      <c r="H728" t="n">
        <v>0</v>
      </c>
      <c r="I728" t="n">
        <v>0</v>
      </c>
      <c r="J728" t="n">
        <v>0</v>
      </c>
      <c r="K728" t="n">
        <v>0</v>
      </c>
      <c r="L728" t="n">
        <v>0</v>
      </c>
      <c r="M728" t="n">
        <v>0</v>
      </c>
      <c r="N728" t="n">
        <v>0</v>
      </c>
      <c r="O728" t="n">
        <v>0</v>
      </c>
      <c r="P728" t="n">
        <v>0</v>
      </c>
      <c r="Q728" t="n">
        <v>0</v>
      </c>
      <c r="R728" s="2" t="inlineStr"/>
    </row>
    <row r="729" ht="15" customHeight="1">
      <c r="A729" t="inlineStr">
        <is>
          <t>A 30633-2024</t>
        </is>
      </c>
      <c r="B729" s="1" t="n">
        <v>45495</v>
      </c>
      <c r="C729" s="1" t="n">
        <v>46092</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54838-2024</t>
        </is>
      </c>
      <c r="B730" s="1" t="n">
        <v>45618.56787037037</v>
      </c>
      <c r="C730" s="1" t="n">
        <v>46092</v>
      </c>
      <c r="D730" t="inlineStr">
        <is>
          <t>KALMAR LÄN</t>
        </is>
      </c>
      <c r="E730" t="inlineStr">
        <is>
          <t>VIMMERBY</t>
        </is>
      </c>
      <c r="G730" t="n">
        <v>3.3</v>
      </c>
      <c r="H730" t="n">
        <v>0</v>
      </c>
      <c r="I730" t="n">
        <v>0</v>
      </c>
      <c r="J730" t="n">
        <v>0</v>
      </c>
      <c r="K730" t="n">
        <v>0</v>
      </c>
      <c r="L730" t="n">
        <v>0</v>
      </c>
      <c r="M730" t="n">
        <v>0</v>
      </c>
      <c r="N730" t="n">
        <v>0</v>
      </c>
      <c r="O730" t="n">
        <v>0</v>
      </c>
      <c r="P730" t="n">
        <v>0</v>
      </c>
      <c r="Q730" t="n">
        <v>0</v>
      </c>
      <c r="R730" s="2" t="inlineStr"/>
    </row>
    <row r="731" ht="15" customHeight="1">
      <c r="A731" t="inlineStr">
        <is>
          <t>A 6405-2025</t>
        </is>
      </c>
      <c r="B731" s="1" t="n">
        <v>45699.45392361111</v>
      </c>
      <c r="C731" s="1" t="n">
        <v>46092</v>
      </c>
      <c r="D731" t="inlineStr">
        <is>
          <t>KALMAR LÄN</t>
        </is>
      </c>
      <c r="E731" t="inlineStr">
        <is>
          <t>VIMMERBY</t>
        </is>
      </c>
      <c r="G731" t="n">
        <v>1.2</v>
      </c>
      <c r="H731" t="n">
        <v>0</v>
      </c>
      <c r="I731" t="n">
        <v>0</v>
      </c>
      <c r="J731" t="n">
        <v>0</v>
      </c>
      <c r="K731" t="n">
        <v>0</v>
      </c>
      <c r="L731" t="n">
        <v>0</v>
      </c>
      <c r="M731" t="n">
        <v>0</v>
      </c>
      <c r="N731" t="n">
        <v>0</v>
      </c>
      <c r="O731" t="n">
        <v>0</v>
      </c>
      <c r="P731" t="n">
        <v>0</v>
      </c>
      <c r="Q731" t="n">
        <v>0</v>
      </c>
      <c r="R731" s="2" t="inlineStr"/>
    </row>
    <row r="732" ht="15" customHeight="1">
      <c r="A732" t="inlineStr">
        <is>
          <t>A 60437-2023</t>
        </is>
      </c>
      <c r="B732" s="1" t="n">
        <v>45259.51916666667</v>
      </c>
      <c r="C732" s="1" t="n">
        <v>46092</v>
      </c>
      <c r="D732" t="inlineStr">
        <is>
          <t>KALMAR LÄN</t>
        </is>
      </c>
      <c r="E732" t="inlineStr">
        <is>
          <t>VIMMERBY</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60438-2023</t>
        </is>
      </c>
      <c r="B733" s="1" t="n">
        <v>45259.52020833334</v>
      </c>
      <c r="C733" s="1" t="n">
        <v>46092</v>
      </c>
      <c r="D733" t="inlineStr">
        <is>
          <t>KALMAR LÄN</t>
        </is>
      </c>
      <c r="E733" t="inlineStr">
        <is>
          <t>VIMMERBY</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42165-2024</t>
        </is>
      </c>
      <c r="B734" s="1" t="n">
        <v>45562.46342592593</v>
      </c>
      <c r="C734" s="1" t="n">
        <v>46092</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25244-2023</t>
        </is>
      </c>
      <c r="B735" s="1" t="n">
        <v>45086</v>
      </c>
      <c r="C735" s="1" t="n">
        <v>46092</v>
      </c>
      <c r="D735" t="inlineStr">
        <is>
          <t>KALMAR LÄN</t>
        </is>
      </c>
      <c r="E735" t="inlineStr">
        <is>
          <t>VIMMERBY</t>
        </is>
      </c>
      <c r="G735" t="n">
        <v>4.7</v>
      </c>
      <c r="H735" t="n">
        <v>0</v>
      </c>
      <c r="I735" t="n">
        <v>0</v>
      </c>
      <c r="J735" t="n">
        <v>0</v>
      </c>
      <c r="K735" t="n">
        <v>0</v>
      </c>
      <c r="L735" t="n">
        <v>0</v>
      </c>
      <c r="M735" t="n">
        <v>0</v>
      </c>
      <c r="N735" t="n">
        <v>0</v>
      </c>
      <c r="O735" t="n">
        <v>0</v>
      </c>
      <c r="P735" t="n">
        <v>0</v>
      </c>
      <c r="Q735" t="n">
        <v>0</v>
      </c>
      <c r="R735" s="2" t="inlineStr"/>
    </row>
    <row r="736" ht="15" customHeight="1">
      <c r="A736" t="inlineStr">
        <is>
          <t>A 66022-2021</t>
        </is>
      </c>
      <c r="B736" s="1" t="n">
        <v>44517</v>
      </c>
      <c r="C736" s="1" t="n">
        <v>46092</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35895-2024</t>
        </is>
      </c>
      <c r="B737" s="1" t="n">
        <v>45533.38870370371</v>
      </c>
      <c r="C737" s="1" t="n">
        <v>46092</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11073-2023</t>
        </is>
      </c>
      <c r="B738" s="1" t="n">
        <v>44992</v>
      </c>
      <c r="C738" s="1" t="n">
        <v>46092</v>
      </c>
      <c r="D738" t="inlineStr">
        <is>
          <t>KALMAR LÄN</t>
        </is>
      </c>
      <c r="E738" t="inlineStr">
        <is>
          <t>VIMMERBY</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17-2025</t>
        </is>
      </c>
      <c r="B739" s="1" t="n">
        <v>45658.78774305555</v>
      </c>
      <c r="C739" s="1" t="n">
        <v>46092</v>
      </c>
      <c r="D739" t="inlineStr">
        <is>
          <t>KALMAR LÄN</t>
        </is>
      </c>
      <c r="E739" t="inlineStr">
        <is>
          <t>VIMMERBY</t>
        </is>
      </c>
      <c r="G739" t="n">
        <v>4.4</v>
      </c>
      <c r="H739" t="n">
        <v>0</v>
      </c>
      <c r="I739" t="n">
        <v>0</v>
      </c>
      <c r="J739" t="n">
        <v>0</v>
      </c>
      <c r="K739" t="n">
        <v>0</v>
      </c>
      <c r="L739" t="n">
        <v>0</v>
      </c>
      <c r="M739" t="n">
        <v>0</v>
      </c>
      <c r="N739" t="n">
        <v>0</v>
      </c>
      <c r="O739" t="n">
        <v>0</v>
      </c>
      <c r="P739" t="n">
        <v>0</v>
      </c>
      <c r="Q739" t="n">
        <v>0</v>
      </c>
      <c r="R739" s="2" t="inlineStr"/>
    </row>
    <row r="740" ht="15" customHeight="1">
      <c r="A740" t="inlineStr">
        <is>
          <t>A 32655-2023</t>
        </is>
      </c>
      <c r="B740" s="1" t="n">
        <v>45121.61318287037</v>
      </c>
      <c r="C740" s="1" t="n">
        <v>46092</v>
      </c>
      <c r="D740" t="inlineStr">
        <is>
          <t>KALMAR LÄN</t>
        </is>
      </c>
      <c r="E740" t="inlineStr">
        <is>
          <t>VIMMERBY</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63541-2023</t>
        </is>
      </c>
      <c r="B741" s="1" t="n">
        <v>45275.32266203704</v>
      </c>
      <c r="C741" s="1" t="n">
        <v>46092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28034-2022</t>
        </is>
      </c>
      <c r="B742" s="1" t="n">
        <v>44746.38834490741</v>
      </c>
      <c r="C742" s="1" t="n">
        <v>46092</v>
      </c>
      <c r="D742" t="inlineStr">
        <is>
          <t>KALMAR LÄN</t>
        </is>
      </c>
      <c r="E742" t="inlineStr">
        <is>
          <t>VIMMERBY</t>
        </is>
      </c>
      <c r="G742" t="n">
        <v>2</v>
      </c>
      <c r="H742" t="n">
        <v>0</v>
      </c>
      <c r="I742" t="n">
        <v>0</v>
      </c>
      <c r="J742" t="n">
        <v>0</v>
      </c>
      <c r="K742" t="n">
        <v>0</v>
      </c>
      <c r="L742" t="n">
        <v>0</v>
      </c>
      <c r="M742" t="n">
        <v>0</v>
      </c>
      <c r="N742" t="n">
        <v>0</v>
      </c>
      <c r="O742" t="n">
        <v>0</v>
      </c>
      <c r="P742" t="n">
        <v>0</v>
      </c>
      <c r="Q742" t="n">
        <v>0</v>
      </c>
      <c r="R742" s="2" t="inlineStr"/>
    </row>
    <row r="743" ht="15" customHeight="1">
      <c r="A743" t="inlineStr">
        <is>
          <t>A 5938-2022</t>
        </is>
      </c>
      <c r="B743" s="1" t="n">
        <v>44598</v>
      </c>
      <c r="C743" s="1" t="n">
        <v>46092</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24283-2023</t>
        </is>
      </c>
      <c r="B744" s="1" t="n">
        <v>45079.87827546296</v>
      </c>
      <c r="C744" s="1" t="n">
        <v>46092</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2462-2022</t>
        </is>
      </c>
      <c r="B745" s="1" t="n">
        <v>44579.62225694444</v>
      </c>
      <c r="C745" s="1" t="n">
        <v>46092</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60228-2021</t>
        </is>
      </c>
      <c r="B746" s="1" t="n">
        <v>44495</v>
      </c>
      <c r="C746" s="1" t="n">
        <v>46092</v>
      </c>
      <c r="D746" t="inlineStr">
        <is>
          <t>KALMAR LÄN</t>
        </is>
      </c>
      <c r="E746" t="inlineStr">
        <is>
          <t>VIMMERBY</t>
        </is>
      </c>
      <c r="G746" t="n">
        <v>4.1</v>
      </c>
      <c r="H746" t="n">
        <v>0</v>
      </c>
      <c r="I746" t="n">
        <v>0</v>
      </c>
      <c r="J746" t="n">
        <v>0</v>
      </c>
      <c r="K746" t="n">
        <v>0</v>
      </c>
      <c r="L746" t="n">
        <v>0</v>
      </c>
      <c r="M746" t="n">
        <v>0</v>
      </c>
      <c r="N746" t="n">
        <v>0</v>
      </c>
      <c r="O746" t="n">
        <v>0</v>
      </c>
      <c r="P746" t="n">
        <v>0</v>
      </c>
      <c r="Q746" t="n">
        <v>0</v>
      </c>
      <c r="R746" s="2" t="inlineStr"/>
    </row>
    <row r="747" ht="15" customHeight="1">
      <c r="A747" t="inlineStr">
        <is>
          <t>A 25979-2023</t>
        </is>
      </c>
      <c r="B747" s="1" t="n">
        <v>45090.89653935185</v>
      </c>
      <c r="C747" s="1" t="n">
        <v>46092</v>
      </c>
      <c r="D747" t="inlineStr">
        <is>
          <t>KALMAR LÄN</t>
        </is>
      </c>
      <c r="E747" t="inlineStr">
        <is>
          <t>VIMMERBY</t>
        </is>
      </c>
      <c r="G747" t="n">
        <v>2</v>
      </c>
      <c r="H747" t="n">
        <v>0</v>
      </c>
      <c r="I747" t="n">
        <v>0</v>
      </c>
      <c r="J747" t="n">
        <v>0</v>
      </c>
      <c r="K747" t="n">
        <v>0</v>
      </c>
      <c r="L747" t="n">
        <v>0</v>
      </c>
      <c r="M747" t="n">
        <v>0</v>
      </c>
      <c r="N747" t="n">
        <v>0</v>
      </c>
      <c r="O747" t="n">
        <v>0</v>
      </c>
      <c r="P747" t="n">
        <v>0</v>
      </c>
      <c r="Q747" t="n">
        <v>0</v>
      </c>
      <c r="R747" s="2" t="inlineStr"/>
    </row>
    <row r="748" ht="15" customHeight="1">
      <c r="A748" t="inlineStr">
        <is>
          <t>A 25980-2023</t>
        </is>
      </c>
      <c r="B748" s="1" t="n">
        <v>45090.89880787037</v>
      </c>
      <c r="C748" s="1" t="n">
        <v>46092</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12510-2022</t>
        </is>
      </c>
      <c r="B749" s="1" t="n">
        <v>44638.55256944444</v>
      </c>
      <c r="C749" s="1" t="n">
        <v>46092</v>
      </c>
      <c r="D749" t="inlineStr">
        <is>
          <t>KALMAR LÄN</t>
        </is>
      </c>
      <c r="E749" t="inlineStr">
        <is>
          <t>VIMMERBY</t>
        </is>
      </c>
      <c r="G749" t="n">
        <v>2.4</v>
      </c>
      <c r="H749" t="n">
        <v>0</v>
      </c>
      <c r="I749" t="n">
        <v>0</v>
      </c>
      <c r="J749" t="n">
        <v>0</v>
      </c>
      <c r="K749" t="n">
        <v>0</v>
      </c>
      <c r="L749" t="n">
        <v>0</v>
      </c>
      <c r="M749" t="n">
        <v>0</v>
      </c>
      <c r="N749" t="n">
        <v>0</v>
      </c>
      <c r="O749" t="n">
        <v>0</v>
      </c>
      <c r="P749" t="n">
        <v>0</v>
      </c>
      <c r="Q749" t="n">
        <v>0</v>
      </c>
      <c r="R749" s="2" t="inlineStr"/>
    </row>
    <row r="750" ht="15" customHeight="1">
      <c r="A750" t="inlineStr">
        <is>
          <t>A 6358-2022</t>
        </is>
      </c>
      <c r="B750" s="1" t="n">
        <v>44600</v>
      </c>
      <c r="C750" s="1" t="n">
        <v>46092</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48373-2021</t>
        </is>
      </c>
      <c r="B751" s="1" t="n">
        <v>44451</v>
      </c>
      <c r="C751" s="1" t="n">
        <v>46092</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57256-2023</t>
        </is>
      </c>
      <c r="B752" s="1" t="n">
        <v>45245.5735300926</v>
      </c>
      <c r="C752" s="1" t="n">
        <v>46092</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17482-2024</t>
        </is>
      </c>
      <c r="B753" s="1" t="n">
        <v>45415.47848379629</v>
      </c>
      <c r="C753" s="1" t="n">
        <v>46092</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55123-2024</t>
        </is>
      </c>
      <c r="B754" s="1" t="n">
        <v>45621.46103009259</v>
      </c>
      <c r="C754" s="1" t="n">
        <v>46092</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49313-2022</t>
        </is>
      </c>
      <c r="B755" s="1" t="n">
        <v>44861.52505787037</v>
      </c>
      <c r="C755" s="1" t="n">
        <v>46092</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1987-2024</t>
        </is>
      </c>
      <c r="B756" s="1" t="n">
        <v>45308.61152777778</v>
      </c>
      <c r="C756" s="1" t="n">
        <v>46092</v>
      </c>
      <c r="D756" t="inlineStr">
        <is>
          <t>KALMAR LÄN</t>
        </is>
      </c>
      <c r="E756" t="inlineStr">
        <is>
          <t>VIMMERBY</t>
        </is>
      </c>
      <c r="G756" t="n">
        <v>3</v>
      </c>
      <c r="H756" t="n">
        <v>0</v>
      </c>
      <c r="I756" t="n">
        <v>0</v>
      </c>
      <c r="J756" t="n">
        <v>0</v>
      </c>
      <c r="K756" t="n">
        <v>0</v>
      </c>
      <c r="L756" t="n">
        <v>0</v>
      </c>
      <c r="M756" t="n">
        <v>0</v>
      </c>
      <c r="N756" t="n">
        <v>0</v>
      </c>
      <c r="O756" t="n">
        <v>0</v>
      </c>
      <c r="P756" t="n">
        <v>0</v>
      </c>
      <c r="Q756" t="n">
        <v>0</v>
      </c>
      <c r="R756" s="2" t="inlineStr"/>
    </row>
    <row r="757" ht="15" customHeight="1">
      <c r="A757" t="inlineStr">
        <is>
          <t>A 21507-2023</t>
        </is>
      </c>
      <c r="B757" s="1" t="n">
        <v>45063.508125</v>
      </c>
      <c r="C757" s="1" t="n">
        <v>46092</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57189-2022</t>
        </is>
      </c>
      <c r="B758" s="1" t="n">
        <v>44895.62296296296</v>
      </c>
      <c r="C758" s="1" t="n">
        <v>46092</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48673-2021</t>
        </is>
      </c>
      <c r="B759" s="1" t="n">
        <v>44452</v>
      </c>
      <c r="C759" s="1" t="n">
        <v>46092</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14248-2023</t>
        </is>
      </c>
      <c r="B760" s="1" t="n">
        <v>45009</v>
      </c>
      <c r="C760" s="1" t="n">
        <v>46092</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12480-2024</t>
        </is>
      </c>
      <c r="B761" s="1" t="n">
        <v>45379</v>
      </c>
      <c r="C761" s="1" t="n">
        <v>46092</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40095-2022</t>
        </is>
      </c>
      <c r="B762" s="1" t="n">
        <v>44820</v>
      </c>
      <c r="C762" s="1" t="n">
        <v>46092</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50085-2023</t>
        </is>
      </c>
      <c r="B763" s="1" t="n">
        <v>45215.5959375</v>
      </c>
      <c r="C763" s="1" t="n">
        <v>46092</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50087-2023</t>
        </is>
      </c>
      <c r="B764" s="1" t="n">
        <v>45215.59743055556</v>
      </c>
      <c r="C764" s="1" t="n">
        <v>46092</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8167-2024</t>
        </is>
      </c>
      <c r="B765" s="1" t="n">
        <v>45351.6062962963</v>
      </c>
      <c r="C765" s="1" t="n">
        <v>46092</v>
      </c>
      <c r="D765" t="inlineStr">
        <is>
          <t>KALMAR LÄN</t>
        </is>
      </c>
      <c r="E765" t="inlineStr">
        <is>
          <t>VIMMERBY</t>
        </is>
      </c>
      <c r="G765" t="n">
        <v>3.8</v>
      </c>
      <c r="H765" t="n">
        <v>0</v>
      </c>
      <c r="I765" t="n">
        <v>0</v>
      </c>
      <c r="J765" t="n">
        <v>0</v>
      </c>
      <c r="K765" t="n">
        <v>0</v>
      </c>
      <c r="L765" t="n">
        <v>0</v>
      </c>
      <c r="M765" t="n">
        <v>0</v>
      </c>
      <c r="N765" t="n">
        <v>0</v>
      </c>
      <c r="O765" t="n">
        <v>0</v>
      </c>
      <c r="P765" t="n">
        <v>0</v>
      </c>
      <c r="Q765" t="n">
        <v>0</v>
      </c>
      <c r="R765" s="2" t="inlineStr"/>
    </row>
    <row r="766" ht="15" customHeight="1">
      <c r="A766" t="inlineStr">
        <is>
          <t>A 2604-2025</t>
        </is>
      </c>
      <c r="B766" s="1" t="n">
        <v>45674.74094907408</v>
      </c>
      <c r="C766" s="1" t="n">
        <v>46092</v>
      </c>
      <c r="D766" t="inlineStr">
        <is>
          <t>KALMAR LÄN</t>
        </is>
      </c>
      <c r="E766" t="inlineStr">
        <is>
          <t>VIMMERBY</t>
        </is>
      </c>
      <c r="G766" t="n">
        <v>7.6</v>
      </c>
      <c r="H766" t="n">
        <v>0</v>
      </c>
      <c r="I766" t="n">
        <v>0</v>
      </c>
      <c r="J766" t="n">
        <v>0</v>
      </c>
      <c r="K766" t="n">
        <v>0</v>
      </c>
      <c r="L766" t="n">
        <v>0</v>
      </c>
      <c r="M766" t="n">
        <v>0</v>
      </c>
      <c r="N766" t="n">
        <v>0</v>
      </c>
      <c r="O766" t="n">
        <v>0</v>
      </c>
      <c r="P766" t="n">
        <v>0</v>
      </c>
      <c r="Q766" t="n">
        <v>0</v>
      </c>
      <c r="R766" s="2" t="inlineStr"/>
    </row>
    <row r="767" ht="15" customHeight="1">
      <c r="A767" t="inlineStr">
        <is>
          <t>A 37192-2024</t>
        </is>
      </c>
      <c r="B767" s="1" t="n">
        <v>45539.66027777778</v>
      </c>
      <c r="C767" s="1" t="n">
        <v>46092</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42429-2024</t>
        </is>
      </c>
      <c r="B768" s="1" t="n">
        <v>45565.40657407408</v>
      </c>
      <c r="C768" s="1" t="n">
        <v>46092</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29180-2024</t>
        </is>
      </c>
      <c r="B769" s="1" t="n">
        <v>45482.54108796296</v>
      </c>
      <c r="C769" s="1" t="n">
        <v>46092</v>
      </c>
      <c r="D769" t="inlineStr">
        <is>
          <t>KALMAR LÄN</t>
        </is>
      </c>
      <c r="E769" t="inlineStr">
        <is>
          <t>VIMMERBY</t>
        </is>
      </c>
      <c r="G769" t="n">
        <v>3.8</v>
      </c>
      <c r="H769" t="n">
        <v>0</v>
      </c>
      <c r="I769" t="n">
        <v>0</v>
      </c>
      <c r="J769" t="n">
        <v>0</v>
      </c>
      <c r="K769" t="n">
        <v>0</v>
      </c>
      <c r="L769" t="n">
        <v>0</v>
      </c>
      <c r="M769" t="n">
        <v>0</v>
      </c>
      <c r="N769" t="n">
        <v>0</v>
      </c>
      <c r="O769" t="n">
        <v>0</v>
      </c>
      <c r="P769" t="n">
        <v>0</v>
      </c>
      <c r="Q769" t="n">
        <v>0</v>
      </c>
      <c r="R769" s="2" t="inlineStr"/>
    </row>
    <row r="770" ht="15" customHeight="1">
      <c r="A770" t="inlineStr">
        <is>
          <t>A 45846-2023</t>
        </is>
      </c>
      <c r="B770" s="1" t="n">
        <v>45195.58452546296</v>
      </c>
      <c r="C770" s="1" t="n">
        <v>46092</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16020-2023</t>
        </is>
      </c>
      <c r="B771" s="1" t="n">
        <v>45026.82216435186</v>
      </c>
      <c r="C771" s="1" t="n">
        <v>46092</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61820-2023</t>
        </is>
      </c>
      <c r="B772" s="1" t="n">
        <v>45266.32614583334</v>
      </c>
      <c r="C772" s="1" t="n">
        <v>46092</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45560-2021</t>
        </is>
      </c>
      <c r="B773" s="1" t="n">
        <v>44440</v>
      </c>
      <c r="C773" s="1" t="n">
        <v>46092</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40256-2024</t>
        </is>
      </c>
      <c r="B774" s="1" t="n">
        <v>45554.62944444444</v>
      </c>
      <c r="C774" s="1" t="n">
        <v>46092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58104-2024</t>
        </is>
      </c>
      <c r="B775" s="1" t="n">
        <v>45632.37459490741</v>
      </c>
      <c r="C775" s="1" t="n">
        <v>46092</v>
      </c>
      <c r="D775" t="inlineStr">
        <is>
          <t>KALMAR LÄN</t>
        </is>
      </c>
      <c r="E775" t="inlineStr">
        <is>
          <t>VIMMERBY</t>
        </is>
      </c>
      <c r="G775" t="n">
        <v>5</v>
      </c>
      <c r="H775" t="n">
        <v>0</v>
      </c>
      <c r="I775" t="n">
        <v>0</v>
      </c>
      <c r="J775" t="n">
        <v>0</v>
      </c>
      <c r="K775" t="n">
        <v>0</v>
      </c>
      <c r="L775" t="n">
        <v>0</v>
      </c>
      <c r="M775" t="n">
        <v>0</v>
      </c>
      <c r="N775" t="n">
        <v>0</v>
      </c>
      <c r="O775" t="n">
        <v>0</v>
      </c>
      <c r="P775" t="n">
        <v>0</v>
      </c>
      <c r="Q775" t="n">
        <v>0</v>
      </c>
      <c r="R775" s="2" t="inlineStr"/>
    </row>
    <row r="776" ht="15" customHeight="1">
      <c r="A776" t="inlineStr">
        <is>
          <t>A 36259-2022</t>
        </is>
      </c>
      <c r="B776" s="1" t="n">
        <v>44803.59118055556</v>
      </c>
      <c r="C776" s="1" t="n">
        <v>46092</v>
      </c>
      <c r="D776" t="inlineStr">
        <is>
          <t>KALMAR LÄN</t>
        </is>
      </c>
      <c r="E776" t="inlineStr">
        <is>
          <t>VIMMERBY</t>
        </is>
      </c>
      <c r="G776" t="n">
        <v>3.9</v>
      </c>
      <c r="H776" t="n">
        <v>0</v>
      </c>
      <c r="I776" t="n">
        <v>0</v>
      </c>
      <c r="J776" t="n">
        <v>0</v>
      </c>
      <c r="K776" t="n">
        <v>0</v>
      </c>
      <c r="L776" t="n">
        <v>0</v>
      </c>
      <c r="M776" t="n">
        <v>0</v>
      </c>
      <c r="N776" t="n">
        <v>0</v>
      </c>
      <c r="O776" t="n">
        <v>0</v>
      </c>
      <c r="P776" t="n">
        <v>0</v>
      </c>
      <c r="Q776" t="n">
        <v>0</v>
      </c>
      <c r="R776" s="2" t="inlineStr"/>
    </row>
    <row r="777" ht="15" customHeight="1">
      <c r="A777" t="inlineStr">
        <is>
          <t>A 43034-2024</t>
        </is>
      </c>
      <c r="B777" s="1" t="n">
        <v>45567.42011574074</v>
      </c>
      <c r="C777" s="1" t="n">
        <v>46092</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3902-2022</t>
        </is>
      </c>
      <c r="B778" s="1" t="n">
        <v>44587.48847222222</v>
      </c>
      <c r="C778" s="1" t="n">
        <v>46092</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30070-2023</t>
        </is>
      </c>
      <c r="B779" s="1" t="n">
        <v>45110.4275</v>
      </c>
      <c r="C779" s="1" t="n">
        <v>46092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31209-2024</t>
        </is>
      </c>
      <c r="B780" s="1" t="n">
        <v>45503.5658912037</v>
      </c>
      <c r="C780" s="1" t="n">
        <v>46092</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4527-2023</t>
        </is>
      </c>
      <c r="B781" s="1" t="n">
        <v>44956</v>
      </c>
      <c r="C781" s="1" t="n">
        <v>46092</v>
      </c>
      <c r="D781" t="inlineStr">
        <is>
          <t>KALMAR LÄN</t>
        </is>
      </c>
      <c r="E781" t="inlineStr">
        <is>
          <t>VIMMERBY</t>
        </is>
      </c>
      <c r="F781" t="inlineStr">
        <is>
          <t>Kommuner</t>
        </is>
      </c>
      <c r="G781" t="n">
        <v>8.5</v>
      </c>
      <c r="H781" t="n">
        <v>0</v>
      </c>
      <c r="I781" t="n">
        <v>0</v>
      </c>
      <c r="J781" t="n">
        <v>0</v>
      </c>
      <c r="K781" t="n">
        <v>0</v>
      </c>
      <c r="L781" t="n">
        <v>0</v>
      </c>
      <c r="M781" t="n">
        <v>0</v>
      </c>
      <c r="N781" t="n">
        <v>0</v>
      </c>
      <c r="O781" t="n">
        <v>0</v>
      </c>
      <c r="P781" t="n">
        <v>0</v>
      </c>
      <c r="Q781" t="n">
        <v>0</v>
      </c>
      <c r="R781" s="2" t="inlineStr"/>
    </row>
    <row r="782" ht="15" customHeight="1">
      <c r="A782" t="inlineStr">
        <is>
          <t>A 12586-2021</t>
        </is>
      </c>
      <c r="B782" s="1" t="n">
        <v>44270.38002314815</v>
      </c>
      <c r="C782" s="1" t="n">
        <v>46092</v>
      </c>
      <c r="D782" t="inlineStr">
        <is>
          <t>KALMAR LÄN</t>
        </is>
      </c>
      <c r="E782" t="inlineStr">
        <is>
          <t>VIMMERBY</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5864-2022</t>
        </is>
      </c>
      <c r="B783" s="1" t="n">
        <v>44596</v>
      </c>
      <c r="C783" s="1" t="n">
        <v>46092</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30912-2023</t>
        </is>
      </c>
      <c r="B784" s="1" t="n">
        <v>45113.41633101852</v>
      </c>
      <c r="C784" s="1" t="n">
        <v>46092</v>
      </c>
      <c r="D784" t="inlineStr">
        <is>
          <t>KALMAR LÄN</t>
        </is>
      </c>
      <c r="E784" t="inlineStr">
        <is>
          <t>VIMMERBY</t>
        </is>
      </c>
      <c r="G784" t="n">
        <v>5</v>
      </c>
      <c r="H784" t="n">
        <v>0</v>
      </c>
      <c r="I784" t="n">
        <v>0</v>
      </c>
      <c r="J784" t="n">
        <v>0</v>
      </c>
      <c r="K784" t="n">
        <v>0</v>
      </c>
      <c r="L784" t="n">
        <v>0</v>
      </c>
      <c r="M784" t="n">
        <v>0</v>
      </c>
      <c r="N784" t="n">
        <v>0</v>
      </c>
      <c r="O784" t="n">
        <v>0</v>
      </c>
      <c r="P784" t="n">
        <v>0</v>
      </c>
      <c r="Q784" t="n">
        <v>0</v>
      </c>
      <c r="R784" s="2" t="inlineStr"/>
    </row>
    <row r="785" ht="15" customHeight="1">
      <c r="A785" t="inlineStr">
        <is>
          <t>A 1146-2025</t>
        </is>
      </c>
      <c r="B785" s="1" t="n">
        <v>45666</v>
      </c>
      <c r="C785" s="1" t="n">
        <v>46092</v>
      </c>
      <c r="D785" t="inlineStr">
        <is>
          <t>KALMAR LÄN</t>
        </is>
      </c>
      <c r="E785" t="inlineStr">
        <is>
          <t>VIMMERBY</t>
        </is>
      </c>
      <c r="G785" t="n">
        <v>4</v>
      </c>
      <c r="H785" t="n">
        <v>0</v>
      </c>
      <c r="I785" t="n">
        <v>0</v>
      </c>
      <c r="J785" t="n">
        <v>0</v>
      </c>
      <c r="K785" t="n">
        <v>0</v>
      </c>
      <c r="L785" t="n">
        <v>0</v>
      </c>
      <c r="M785" t="n">
        <v>0</v>
      </c>
      <c r="N785" t="n">
        <v>0</v>
      </c>
      <c r="O785" t="n">
        <v>0</v>
      </c>
      <c r="P785" t="n">
        <v>0</v>
      </c>
      <c r="Q785" t="n">
        <v>0</v>
      </c>
      <c r="R785" s="2" t="inlineStr"/>
    </row>
    <row r="786" ht="15" customHeight="1">
      <c r="A786" t="inlineStr">
        <is>
          <t>A 62023-2022</t>
        </is>
      </c>
      <c r="B786" s="1" t="n">
        <v>44918.50106481482</v>
      </c>
      <c r="C786" s="1" t="n">
        <v>46092</v>
      </c>
      <c r="D786" t="inlineStr">
        <is>
          <t>KALMAR LÄN</t>
        </is>
      </c>
      <c r="E786" t="inlineStr">
        <is>
          <t>VIMMERBY</t>
        </is>
      </c>
      <c r="G786" t="n">
        <v>0.3</v>
      </c>
      <c r="H786" t="n">
        <v>0</v>
      </c>
      <c r="I786" t="n">
        <v>0</v>
      </c>
      <c r="J786" t="n">
        <v>0</v>
      </c>
      <c r="K786" t="n">
        <v>0</v>
      </c>
      <c r="L786" t="n">
        <v>0</v>
      </c>
      <c r="M786" t="n">
        <v>0</v>
      </c>
      <c r="N786" t="n">
        <v>0</v>
      </c>
      <c r="O786" t="n">
        <v>0</v>
      </c>
      <c r="P786" t="n">
        <v>0</v>
      </c>
      <c r="Q786" t="n">
        <v>0</v>
      </c>
      <c r="R786" s="2" t="inlineStr"/>
    </row>
    <row r="787" ht="15" customHeight="1">
      <c r="A787" t="inlineStr">
        <is>
          <t>A 16119-2023</t>
        </is>
      </c>
      <c r="B787" s="1" t="n">
        <v>45027.59450231482</v>
      </c>
      <c r="C787" s="1" t="n">
        <v>46092</v>
      </c>
      <c r="D787" t="inlineStr">
        <is>
          <t>KALMAR LÄN</t>
        </is>
      </c>
      <c r="E787" t="inlineStr">
        <is>
          <t>VIMMERBY</t>
        </is>
      </c>
      <c r="F787" t="inlineStr">
        <is>
          <t>Kommuner</t>
        </is>
      </c>
      <c r="G787" t="n">
        <v>4.4</v>
      </c>
      <c r="H787" t="n">
        <v>0</v>
      </c>
      <c r="I787" t="n">
        <v>0</v>
      </c>
      <c r="J787" t="n">
        <v>0</v>
      </c>
      <c r="K787" t="n">
        <v>0</v>
      </c>
      <c r="L787" t="n">
        <v>0</v>
      </c>
      <c r="M787" t="n">
        <v>0</v>
      </c>
      <c r="N787" t="n">
        <v>0</v>
      </c>
      <c r="O787" t="n">
        <v>0</v>
      </c>
      <c r="P787" t="n">
        <v>0</v>
      </c>
      <c r="Q787" t="n">
        <v>0</v>
      </c>
      <c r="R787" s="2" t="inlineStr"/>
    </row>
    <row r="788" ht="15" customHeight="1">
      <c r="A788" t="inlineStr">
        <is>
          <t>A 52327-2023</t>
        </is>
      </c>
      <c r="B788" s="1" t="n">
        <v>45224.6515162037</v>
      </c>
      <c r="C788" s="1" t="n">
        <v>46092</v>
      </c>
      <c r="D788" t="inlineStr">
        <is>
          <t>KALMAR LÄN</t>
        </is>
      </c>
      <c r="E788" t="inlineStr">
        <is>
          <t>VIMMERBY</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12075-2024</t>
        </is>
      </c>
      <c r="B789" s="1" t="n">
        <v>45377</v>
      </c>
      <c r="C789" s="1" t="n">
        <v>46092</v>
      </c>
      <c r="D789" t="inlineStr">
        <is>
          <t>KALMAR LÄN</t>
        </is>
      </c>
      <c r="E789" t="inlineStr">
        <is>
          <t>VIMMERBY</t>
        </is>
      </c>
      <c r="G789" t="n">
        <v>3.7</v>
      </c>
      <c r="H789" t="n">
        <v>0</v>
      </c>
      <c r="I789" t="n">
        <v>0</v>
      </c>
      <c r="J789" t="n">
        <v>0</v>
      </c>
      <c r="K789" t="n">
        <v>0</v>
      </c>
      <c r="L789" t="n">
        <v>0</v>
      </c>
      <c r="M789" t="n">
        <v>0</v>
      </c>
      <c r="N789" t="n">
        <v>0</v>
      </c>
      <c r="O789" t="n">
        <v>0</v>
      </c>
      <c r="P789" t="n">
        <v>0</v>
      </c>
      <c r="Q789" t="n">
        <v>0</v>
      </c>
      <c r="R789" s="2" t="inlineStr"/>
    </row>
    <row r="790" ht="15" customHeight="1">
      <c r="A790" t="inlineStr">
        <is>
          <t>A 29348-2023</t>
        </is>
      </c>
      <c r="B790" s="1" t="n">
        <v>45106.25025462963</v>
      </c>
      <c r="C790" s="1" t="n">
        <v>46092</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31340-2023</t>
        </is>
      </c>
      <c r="B791" s="1" t="n">
        <v>45114.47895833333</v>
      </c>
      <c r="C791" s="1" t="n">
        <v>46092</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7758-2024</t>
        </is>
      </c>
      <c r="B792" s="1" t="n">
        <v>45349.54434027777</v>
      </c>
      <c r="C792" s="1" t="n">
        <v>46092</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5701-2024</t>
        </is>
      </c>
      <c r="B793" s="1" t="n">
        <v>45334.78826388889</v>
      </c>
      <c r="C793" s="1" t="n">
        <v>46092</v>
      </c>
      <c r="D793" t="inlineStr">
        <is>
          <t>KALMAR LÄN</t>
        </is>
      </c>
      <c r="E793" t="inlineStr">
        <is>
          <t>VIMMERBY</t>
        </is>
      </c>
      <c r="G793" t="n">
        <v>2.3</v>
      </c>
      <c r="H793" t="n">
        <v>0</v>
      </c>
      <c r="I793" t="n">
        <v>0</v>
      </c>
      <c r="J793" t="n">
        <v>0</v>
      </c>
      <c r="K793" t="n">
        <v>0</v>
      </c>
      <c r="L793" t="n">
        <v>0</v>
      </c>
      <c r="M793" t="n">
        <v>0</v>
      </c>
      <c r="N793" t="n">
        <v>0</v>
      </c>
      <c r="O793" t="n">
        <v>0</v>
      </c>
      <c r="P793" t="n">
        <v>0</v>
      </c>
      <c r="Q793" t="n">
        <v>0</v>
      </c>
      <c r="R793" s="2" t="inlineStr"/>
    </row>
    <row r="794" ht="15" customHeight="1">
      <c r="A794" t="inlineStr">
        <is>
          <t>A 31405-2023</t>
        </is>
      </c>
      <c r="B794" s="1" t="n">
        <v>45114.58148148148</v>
      </c>
      <c r="C794" s="1" t="n">
        <v>46092</v>
      </c>
      <c r="D794" t="inlineStr">
        <is>
          <t>KALMAR LÄN</t>
        </is>
      </c>
      <c r="E794" t="inlineStr">
        <is>
          <t>VIMMERBY</t>
        </is>
      </c>
      <c r="G794" t="n">
        <v>2.6</v>
      </c>
      <c r="H794" t="n">
        <v>0</v>
      </c>
      <c r="I794" t="n">
        <v>0</v>
      </c>
      <c r="J794" t="n">
        <v>0</v>
      </c>
      <c r="K794" t="n">
        <v>0</v>
      </c>
      <c r="L794" t="n">
        <v>0</v>
      </c>
      <c r="M794" t="n">
        <v>0</v>
      </c>
      <c r="N794" t="n">
        <v>0</v>
      </c>
      <c r="O794" t="n">
        <v>0</v>
      </c>
      <c r="P794" t="n">
        <v>0</v>
      </c>
      <c r="Q794" t="n">
        <v>0</v>
      </c>
      <c r="R794" s="2" t="inlineStr"/>
    </row>
    <row r="795" ht="15" customHeight="1">
      <c r="A795" t="inlineStr">
        <is>
          <t>A 6355-2022</t>
        </is>
      </c>
      <c r="B795" s="1" t="n">
        <v>44600</v>
      </c>
      <c r="C795" s="1" t="n">
        <v>46092</v>
      </c>
      <c r="D795" t="inlineStr">
        <is>
          <t>KALMAR LÄN</t>
        </is>
      </c>
      <c r="E795" t="inlineStr">
        <is>
          <t>VIMMERBY</t>
        </is>
      </c>
      <c r="G795" t="n">
        <v>4.9</v>
      </c>
      <c r="H795" t="n">
        <v>0</v>
      </c>
      <c r="I795" t="n">
        <v>0</v>
      </c>
      <c r="J795" t="n">
        <v>0</v>
      </c>
      <c r="K795" t="n">
        <v>0</v>
      </c>
      <c r="L795" t="n">
        <v>0</v>
      </c>
      <c r="M795" t="n">
        <v>0</v>
      </c>
      <c r="N795" t="n">
        <v>0</v>
      </c>
      <c r="O795" t="n">
        <v>0</v>
      </c>
      <c r="P795" t="n">
        <v>0</v>
      </c>
      <c r="Q795" t="n">
        <v>0</v>
      </c>
      <c r="R795" s="2" t="inlineStr"/>
    </row>
    <row r="796" ht="15" customHeight="1">
      <c r="A796" t="inlineStr">
        <is>
          <t>A 46225-2024</t>
        </is>
      </c>
      <c r="B796" s="1" t="n">
        <v>45581.57333333333</v>
      </c>
      <c r="C796" s="1" t="n">
        <v>46092</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9418-2024</t>
        </is>
      </c>
      <c r="B797" s="1" t="n">
        <v>45359.45038194444</v>
      </c>
      <c r="C797" s="1" t="n">
        <v>46092</v>
      </c>
      <c r="D797" t="inlineStr">
        <is>
          <t>KALMAR LÄN</t>
        </is>
      </c>
      <c r="E797" t="inlineStr">
        <is>
          <t>VIMMERBY</t>
        </is>
      </c>
      <c r="G797" t="n">
        <v>1.9</v>
      </c>
      <c r="H797" t="n">
        <v>0</v>
      </c>
      <c r="I797" t="n">
        <v>0</v>
      </c>
      <c r="J797" t="n">
        <v>0</v>
      </c>
      <c r="K797" t="n">
        <v>0</v>
      </c>
      <c r="L797" t="n">
        <v>0</v>
      </c>
      <c r="M797" t="n">
        <v>0</v>
      </c>
      <c r="N797" t="n">
        <v>0</v>
      </c>
      <c r="O797" t="n">
        <v>0</v>
      </c>
      <c r="P797" t="n">
        <v>0</v>
      </c>
      <c r="Q797" t="n">
        <v>0</v>
      </c>
      <c r="R797" s="2" t="inlineStr"/>
    </row>
    <row r="798" ht="15" customHeight="1">
      <c r="A798" t="inlineStr">
        <is>
          <t>A 57091-2022</t>
        </is>
      </c>
      <c r="B798" s="1" t="n">
        <v>44895.46524305556</v>
      </c>
      <c r="C798" s="1" t="n">
        <v>46092</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3816-2022</t>
        </is>
      </c>
      <c r="B799" s="1" t="n">
        <v>44587</v>
      </c>
      <c r="C799" s="1" t="n">
        <v>46092</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43606-2024</t>
        </is>
      </c>
      <c r="B800" s="1" t="n">
        <v>45569.45017361111</v>
      </c>
      <c r="C800" s="1" t="n">
        <v>46092</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43617-2024</t>
        </is>
      </c>
      <c r="B801" s="1" t="n">
        <v>45569.47494212963</v>
      </c>
      <c r="C801" s="1" t="n">
        <v>46092</v>
      </c>
      <c r="D801" t="inlineStr">
        <is>
          <t>KALMAR LÄN</t>
        </is>
      </c>
      <c r="E801" t="inlineStr">
        <is>
          <t>VIMMERBY</t>
        </is>
      </c>
      <c r="G801" t="n">
        <v>2.7</v>
      </c>
      <c r="H801" t="n">
        <v>0</v>
      </c>
      <c r="I801" t="n">
        <v>0</v>
      </c>
      <c r="J801" t="n">
        <v>0</v>
      </c>
      <c r="K801" t="n">
        <v>0</v>
      </c>
      <c r="L801" t="n">
        <v>0</v>
      </c>
      <c r="M801" t="n">
        <v>0</v>
      </c>
      <c r="N801" t="n">
        <v>0</v>
      </c>
      <c r="O801" t="n">
        <v>0</v>
      </c>
      <c r="P801" t="n">
        <v>0</v>
      </c>
      <c r="Q801" t="n">
        <v>0</v>
      </c>
      <c r="R801" s="2" t="inlineStr"/>
    </row>
    <row r="802" ht="15" customHeight="1">
      <c r="A802" t="inlineStr">
        <is>
          <t>A 47859-2024</t>
        </is>
      </c>
      <c r="B802" s="1" t="n">
        <v>45588.67070601852</v>
      </c>
      <c r="C802" s="1" t="n">
        <v>46092</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8540-2024</t>
        </is>
      </c>
      <c r="B803" s="1" t="n">
        <v>45355.54138888889</v>
      </c>
      <c r="C803" s="1" t="n">
        <v>46092</v>
      </c>
      <c r="D803" t="inlineStr">
        <is>
          <t>KALMAR LÄN</t>
        </is>
      </c>
      <c r="E803" t="inlineStr">
        <is>
          <t>VIMMERBY</t>
        </is>
      </c>
      <c r="G803" t="n">
        <v>1.9</v>
      </c>
      <c r="H803" t="n">
        <v>0</v>
      </c>
      <c r="I803" t="n">
        <v>0</v>
      </c>
      <c r="J803" t="n">
        <v>0</v>
      </c>
      <c r="K803" t="n">
        <v>0</v>
      </c>
      <c r="L803" t="n">
        <v>0</v>
      </c>
      <c r="M803" t="n">
        <v>0</v>
      </c>
      <c r="N803" t="n">
        <v>0</v>
      </c>
      <c r="O803" t="n">
        <v>0</v>
      </c>
      <c r="P803" t="n">
        <v>0</v>
      </c>
      <c r="Q803" t="n">
        <v>0</v>
      </c>
      <c r="R803" s="2" t="inlineStr"/>
    </row>
    <row r="804" ht="15" customHeight="1">
      <c r="A804" t="inlineStr">
        <is>
          <t>A 3331-2023</t>
        </is>
      </c>
      <c r="B804" s="1" t="n">
        <v>44949</v>
      </c>
      <c r="C804" s="1" t="n">
        <v>46092</v>
      </c>
      <c r="D804" t="inlineStr">
        <is>
          <t>KALMAR LÄN</t>
        </is>
      </c>
      <c r="E804" t="inlineStr">
        <is>
          <t>VIMMERBY</t>
        </is>
      </c>
      <c r="G804" t="n">
        <v>6.2</v>
      </c>
      <c r="H804" t="n">
        <v>0</v>
      </c>
      <c r="I804" t="n">
        <v>0</v>
      </c>
      <c r="J804" t="n">
        <v>0</v>
      </c>
      <c r="K804" t="n">
        <v>0</v>
      </c>
      <c r="L804" t="n">
        <v>0</v>
      </c>
      <c r="M804" t="n">
        <v>0</v>
      </c>
      <c r="N804" t="n">
        <v>0</v>
      </c>
      <c r="O804" t="n">
        <v>0</v>
      </c>
      <c r="P804" t="n">
        <v>0</v>
      </c>
      <c r="Q804" t="n">
        <v>0</v>
      </c>
      <c r="R804" s="2" t="inlineStr"/>
    </row>
    <row r="805" ht="15" customHeight="1">
      <c r="A805" t="inlineStr">
        <is>
          <t>A 598-2025</t>
        </is>
      </c>
      <c r="B805" s="1" t="n">
        <v>45660</v>
      </c>
      <c r="C805" s="1" t="n">
        <v>46092</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25799-2023</t>
        </is>
      </c>
      <c r="B806" s="1" t="n">
        <v>45090</v>
      </c>
      <c r="C806" s="1" t="n">
        <v>46092</v>
      </c>
      <c r="D806" t="inlineStr">
        <is>
          <t>KALMAR LÄN</t>
        </is>
      </c>
      <c r="E806" t="inlineStr">
        <is>
          <t>VIMMERBY</t>
        </is>
      </c>
      <c r="G806" t="n">
        <v>7.7</v>
      </c>
      <c r="H806" t="n">
        <v>0</v>
      </c>
      <c r="I806" t="n">
        <v>0</v>
      </c>
      <c r="J806" t="n">
        <v>0</v>
      </c>
      <c r="K806" t="n">
        <v>0</v>
      </c>
      <c r="L806" t="n">
        <v>0</v>
      </c>
      <c r="M806" t="n">
        <v>0</v>
      </c>
      <c r="N806" t="n">
        <v>0</v>
      </c>
      <c r="O806" t="n">
        <v>0</v>
      </c>
      <c r="P806" t="n">
        <v>0</v>
      </c>
      <c r="Q806" t="n">
        <v>0</v>
      </c>
      <c r="R806" s="2" t="inlineStr"/>
    </row>
    <row r="807" ht="15" customHeight="1">
      <c r="A807" t="inlineStr">
        <is>
          <t>A 53083-2021</t>
        </is>
      </c>
      <c r="B807" s="1" t="n">
        <v>44467.83386574074</v>
      </c>
      <c r="C807" s="1" t="n">
        <v>46092</v>
      </c>
      <c r="D807" t="inlineStr">
        <is>
          <t>KALMAR LÄN</t>
        </is>
      </c>
      <c r="E807" t="inlineStr">
        <is>
          <t>VIMMERBY</t>
        </is>
      </c>
      <c r="G807" t="n">
        <v>6.8</v>
      </c>
      <c r="H807" t="n">
        <v>0</v>
      </c>
      <c r="I807" t="n">
        <v>0</v>
      </c>
      <c r="J807" t="n">
        <v>0</v>
      </c>
      <c r="K807" t="n">
        <v>0</v>
      </c>
      <c r="L807" t="n">
        <v>0</v>
      </c>
      <c r="M807" t="n">
        <v>0</v>
      </c>
      <c r="N807" t="n">
        <v>0</v>
      </c>
      <c r="O807" t="n">
        <v>0</v>
      </c>
      <c r="P807" t="n">
        <v>0</v>
      </c>
      <c r="Q807" t="n">
        <v>0</v>
      </c>
      <c r="R807" s="2" t="inlineStr"/>
    </row>
    <row r="808" ht="15" customHeight="1">
      <c r="A808" t="inlineStr">
        <is>
          <t>A 24655-2021</t>
        </is>
      </c>
      <c r="B808" s="1" t="n">
        <v>44340</v>
      </c>
      <c r="C808" s="1" t="n">
        <v>46092</v>
      </c>
      <c r="D808" t="inlineStr">
        <is>
          <t>KALMAR LÄN</t>
        </is>
      </c>
      <c r="E808" t="inlineStr">
        <is>
          <t>VIMMERBY</t>
        </is>
      </c>
      <c r="G808" t="n">
        <v>14.9</v>
      </c>
      <c r="H808" t="n">
        <v>0</v>
      </c>
      <c r="I808" t="n">
        <v>0</v>
      </c>
      <c r="J808" t="n">
        <v>0</v>
      </c>
      <c r="K808" t="n">
        <v>0</v>
      </c>
      <c r="L808" t="n">
        <v>0</v>
      </c>
      <c r="M808" t="n">
        <v>0</v>
      </c>
      <c r="N808" t="n">
        <v>0</v>
      </c>
      <c r="O808" t="n">
        <v>0</v>
      </c>
      <c r="P808" t="n">
        <v>0</v>
      </c>
      <c r="Q808" t="n">
        <v>0</v>
      </c>
      <c r="R808" s="2" t="inlineStr"/>
    </row>
    <row r="809" ht="15" customHeight="1">
      <c r="A809" t="inlineStr">
        <is>
          <t>A 33838-2022</t>
        </is>
      </c>
      <c r="B809" s="1" t="n">
        <v>44790.49040509259</v>
      </c>
      <c r="C809" s="1" t="n">
        <v>46092</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32835-2022</t>
        </is>
      </c>
      <c r="B810" s="1" t="n">
        <v>44784.42528935185</v>
      </c>
      <c r="C810" s="1" t="n">
        <v>46092</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1081-2023</t>
        </is>
      </c>
      <c r="B811" s="1" t="n">
        <v>44935</v>
      </c>
      <c r="C811" s="1" t="n">
        <v>46092</v>
      </c>
      <c r="D811" t="inlineStr">
        <is>
          <t>KALMAR LÄN</t>
        </is>
      </c>
      <c r="E811" t="inlineStr">
        <is>
          <t>VIMMERBY</t>
        </is>
      </c>
      <c r="G811" t="n">
        <v>1.3</v>
      </c>
      <c r="H811" t="n">
        <v>0</v>
      </c>
      <c r="I811" t="n">
        <v>0</v>
      </c>
      <c r="J811" t="n">
        <v>0</v>
      </c>
      <c r="K811" t="n">
        <v>0</v>
      </c>
      <c r="L811" t="n">
        <v>0</v>
      </c>
      <c r="M811" t="n">
        <v>0</v>
      </c>
      <c r="N811" t="n">
        <v>0</v>
      </c>
      <c r="O811" t="n">
        <v>0</v>
      </c>
      <c r="P811" t="n">
        <v>0</v>
      </c>
      <c r="Q811" t="n">
        <v>0</v>
      </c>
      <c r="R811" s="2" t="inlineStr"/>
    </row>
    <row r="812" ht="15" customHeight="1">
      <c r="A812" t="inlineStr">
        <is>
          <t>A 47063-2022</t>
        </is>
      </c>
      <c r="B812" s="1" t="n">
        <v>44852</v>
      </c>
      <c r="C812" s="1" t="n">
        <v>46092</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28403-2023</t>
        </is>
      </c>
      <c r="B813" s="1" t="n">
        <v>45100.85270833333</v>
      </c>
      <c r="C813" s="1" t="n">
        <v>46092</v>
      </c>
      <c r="D813" t="inlineStr">
        <is>
          <t>KALMAR LÄN</t>
        </is>
      </c>
      <c r="E813" t="inlineStr">
        <is>
          <t>VIMMERBY</t>
        </is>
      </c>
      <c r="G813" t="n">
        <v>1.8</v>
      </c>
      <c r="H813" t="n">
        <v>0</v>
      </c>
      <c r="I813" t="n">
        <v>0</v>
      </c>
      <c r="J813" t="n">
        <v>0</v>
      </c>
      <c r="K813" t="n">
        <v>0</v>
      </c>
      <c r="L813" t="n">
        <v>0</v>
      </c>
      <c r="M813" t="n">
        <v>0</v>
      </c>
      <c r="N813" t="n">
        <v>0</v>
      </c>
      <c r="O813" t="n">
        <v>0</v>
      </c>
      <c r="P813" t="n">
        <v>0</v>
      </c>
      <c r="Q813" t="n">
        <v>0</v>
      </c>
      <c r="R813" s="2" t="inlineStr"/>
    </row>
    <row r="814" ht="15" customHeight="1">
      <c r="A814" t="inlineStr">
        <is>
          <t>A 33103-2024</t>
        </is>
      </c>
      <c r="B814" s="1" t="n">
        <v>45517.8162037037</v>
      </c>
      <c r="C814" s="1" t="n">
        <v>46092</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2260-2022</t>
        </is>
      </c>
      <c r="B815" s="1" t="n">
        <v>44578.62943287037</v>
      </c>
      <c r="C815" s="1" t="n">
        <v>46092</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11661-2023</t>
        </is>
      </c>
      <c r="B816" s="1" t="n">
        <v>44994.46908564815</v>
      </c>
      <c r="C816" s="1" t="n">
        <v>46092</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58046-2022</t>
        </is>
      </c>
      <c r="B817" s="1" t="n">
        <v>44900.57393518519</v>
      </c>
      <c r="C817" s="1" t="n">
        <v>46092</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45528-2021</t>
        </is>
      </c>
      <c r="B818" s="1" t="n">
        <v>44440.60415509259</v>
      </c>
      <c r="C818" s="1" t="n">
        <v>46092</v>
      </c>
      <c r="D818" t="inlineStr">
        <is>
          <t>KALMAR LÄN</t>
        </is>
      </c>
      <c r="E818" t="inlineStr">
        <is>
          <t>VIMMERBY</t>
        </is>
      </c>
      <c r="G818" t="n">
        <v>2.2</v>
      </c>
      <c r="H818" t="n">
        <v>0</v>
      </c>
      <c r="I818" t="n">
        <v>0</v>
      </c>
      <c r="J818" t="n">
        <v>0</v>
      </c>
      <c r="K818" t="n">
        <v>0</v>
      </c>
      <c r="L818" t="n">
        <v>0</v>
      </c>
      <c r="M818" t="n">
        <v>0</v>
      </c>
      <c r="N818" t="n">
        <v>0</v>
      </c>
      <c r="O818" t="n">
        <v>0</v>
      </c>
      <c r="P818" t="n">
        <v>0</v>
      </c>
      <c r="Q818" t="n">
        <v>0</v>
      </c>
      <c r="R818" s="2" t="inlineStr"/>
    </row>
    <row r="819" ht="15" customHeight="1">
      <c r="A819" t="inlineStr">
        <is>
          <t>A 46979-2023</t>
        </is>
      </c>
      <c r="B819" s="1" t="n">
        <v>45201</v>
      </c>
      <c r="C819" s="1" t="n">
        <v>46092</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6574-2023</t>
        </is>
      </c>
      <c r="B820" s="1" t="n">
        <v>44966</v>
      </c>
      <c r="C820" s="1" t="n">
        <v>46092</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4058-2024</t>
        </is>
      </c>
      <c r="B821" s="1" t="n">
        <v>45323.53744212963</v>
      </c>
      <c r="C821" s="1" t="n">
        <v>46092</v>
      </c>
      <c r="D821" t="inlineStr">
        <is>
          <t>KALMAR LÄN</t>
        </is>
      </c>
      <c r="E821" t="inlineStr">
        <is>
          <t>VIMMERBY</t>
        </is>
      </c>
      <c r="G821" t="n">
        <v>6.5</v>
      </c>
      <c r="H821" t="n">
        <v>0</v>
      </c>
      <c r="I821" t="n">
        <v>0</v>
      </c>
      <c r="J821" t="n">
        <v>0</v>
      </c>
      <c r="K821" t="n">
        <v>0</v>
      </c>
      <c r="L821" t="n">
        <v>0</v>
      </c>
      <c r="M821" t="n">
        <v>0</v>
      </c>
      <c r="N821" t="n">
        <v>0</v>
      </c>
      <c r="O821" t="n">
        <v>0</v>
      </c>
      <c r="P821" t="n">
        <v>0</v>
      </c>
      <c r="Q821" t="n">
        <v>0</v>
      </c>
      <c r="R821" s="2" t="inlineStr"/>
    </row>
    <row r="822" ht="15" customHeight="1">
      <c r="A822" t="inlineStr">
        <is>
          <t>A 1978-2024</t>
        </is>
      </c>
      <c r="B822" s="1" t="n">
        <v>45308.59001157407</v>
      </c>
      <c r="C822" s="1" t="n">
        <v>46092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30318-2023</t>
        </is>
      </c>
      <c r="B823" s="1" t="n">
        <v>45111.30824074074</v>
      </c>
      <c r="C823" s="1" t="n">
        <v>46092</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25234-2023</t>
        </is>
      </c>
      <c r="B824" s="1" t="n">
        <v>45086.63194444445</v>
      </c>
      <c r="C824" s="1" t="n">
        <v>46092</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46078-2023</t>
        </is>
      </c>
      <c r="B825" s="1" t="n">
        <v>45196</v>
      </c>
      <c r="C825" s="1" t="n">
        <v>46092</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3609-2024</t>
        </is>
      </c>
      <c r="B826" s="1" t="n">
        <v>45320.89128472222</v>
      </c>
      <c r="C826" s="1" t="n">
        <v>46092</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10424-2023</t>
        </is>
      </c>
      <c r="B827" s="1" t="n">
        <v>44987.54104166666</v>
      </c>
      <c r="C827" s="1" t="n">
        <v>46092</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49382-2023</t>
        </is>
      </c>
      <c r="B828" s="1" t="n">
        <v>45208</v>
      </c>
      <c r="C828" s="1" t="n">
        <v>46092</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45001.43854166667</v>
      </c>
      <c r="C829" s="1" t="n">
        <v>46092</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3425-2022</t>
        </is>
      </c>
      <c r="B830" s="1" t="n">
        <v>44585.51060185185</v>
      </c>
      <c r="C830" s="1" t="n">
        <v>46092</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60675-2023</t>
        </is>
      </c>
      <c r="B831" s="1" t="n">
        <v>45260.4716550926</v>
      </c>
      <c r="C831" s="1" t="n">
        <v>46092</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2536-2023</t>
        </is>
      </c>
      <c r="B832" s="1" t="n">
        <v>44943.62954861111</v>
      </c>
      <c r="C832" s="1" t="n">
        <v>46092</v>
      </c>
      <c r="D832" t="inlineStr">
        <is>
          <t>KALMAR LÄN</t>
        </is>
      </c>
      <c r="E832" t="inlineStr">
        <is>
          <t>VIMMERBY</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11111-2024</t>
        </is>
      </c>
      <c r="B833" s="1" t="n">
        <v>45371.36359953704</v>
      </c>
      <c r="C833" s="1" t="n">
        <v>46092</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1687-2023</t>
        </is>
      </c>
      <c r="B834" s="1" t="n">
        <v>44938</v>
      </c>
      <c r="C834" s="1" t="n">
        <v>46092</v>
      </c>
      <c r="D834" t="inlineStr">
        <is>
          <t>KALMAR LÄN</t>
        </is>
      </c>
      <c r="E834" t="inlineStr">
        <is>
          <t>VIMMERBY</t>
        </is>
      </c>
      <c r="F834" t="inlineStr">
        <is>
          <t>Kommuner</t>
        </is>
      </c>
      <c r="G834" t="n">
        <v>2.5</v>
      </c>
      <c r="H834" t="n">
        <v>0</v>
      </c>
      <c r="I834" t="n">
        <v>0</v>
      </c>
      <c r="J834" t="n">
        <v>0</v>
      </c>
      <c r="K834" t="n">
        <v>0</v>
      </c>
      <c r="L834" t="n">
        <v>0</v>
      </c>
      <c r="M834" t="n">
        <v>0</v>
      </c>
      <c r="N834" t="n">
        <v>0</v>
      </c>
      <c r="O834" t="n">
        <v>0</v>
      </c>
      <c r="P834" t="n">
        <v>0</v>
      </c>
      <c r="Q834" t="n">
        <v>0</v>
      </c>
      <c r="R834" s="2" t="inlineStr"/>
    </row>
    <row r="835" ht="15" customHeight="1">
      <c r="A835" t="inlineStr">
        <is>
          <t>A 3494-2023</t>
        </is>
      </c>
      <c r="B835" s="1" t="n">
        <v>44949</v>
      </c>
      <c r="C835" s="1" t="n">
        <v>46092</v>
      </c>
      <c r="D835" t="inlineStr">
        <is>
          <t>KALMAR LÄN</t>
        </is>
      </c>
      <c r="E835" t="inlineStr">
        <is>
          <t>VIMMERBY</t>
        </is>
      </c>
      <c r="F835" t="inlineStr">
        <is>
          <t>Kyrkan</t>
        </is>
      </c>
      <c r="G835" t="n">
        <v>0.8</v>
      </c>
      <c r="H835" t="n">
        <v>0</v>
      </c>
      <c r="I835" t="n">
        <v>0</v>
      </c>
      <c r="J835" t="n">
        <v>0</v>
      </c>
      <c r="K835" t="n">
        <v>0</v>
      </c>
      <c r="L835" t="n">
        <v>0</v>
      </c>
      <c r="M835" t="n">
        <v>0</v>
      </c>
      <c r="N835" t="n">
        <v>0</v>
      </c>
      <c r="O835" t="n">
        <v>0</v>
      </c>
      <c r="P835" t="n">
        <v>0</v>
      </c>
      <c r="Q835" t="n">
        <v>0</v>
      </c>
      <c r="R835" s="2" t="inlineStr"/>
    </row>
    <row r="836" ht="15" customHeight="1">
      <c r="A836" t="inlineStr">
        <is>
          <t>A 15449-2023</t>
        </is>
      </c>
      <c r="B836" s="1" t="n">
        <v>45020</v>
      </c>
      <c r="C836" s="1" t="n">
        <v>46092</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43242-2024</t>
        </is>
      </c>
      <c r="B837" s="1" t="n">
        <v>45568.30189814815</v>
      </c>
      <c r="C837" s="1" t="n">
        <v>46092</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56853-2022</t>
        </is>
      </c>
      <c r="B838" s="1" t="n">
        <v>44894.49538194444</v>
      </c>
      <c r="C838" s="1" t="n">
        <v>46092</v>
      </c>
      <c r="D838" t="inlineStr">
        <is>
          <t>KALMAR LÄN</t>
        </is>
      </c>
      <c r="E838" t="inlineStr">
        <is>
          <t>VIMMERBY</t>
        </is>
      </c>
      <c r="G838" t="n">
        <v>4.3</v>
      </c>
      <c r="H838" t="n">
        <v>0</v>
      </c>
      <c r="I838" t="n">
        <v>0</v>
      </c>
      <c r="J838" t="n">
        <v>0</v>
      </c>
      <c r="K838" t="n">
        <v>0</v>
      </c>
      <c r="L838" t="n">
        <v>0</v>
      </c>
      <c r="M838" t="n">
        <v>0</v>
      </c>
      <c r="N838" t="n">
        <v>0</v>
      </c>
      <c r="O838" t="n">
        <v>0</v>
      </c>
      <c r="P838" t="n">
        <v>0</v>
      </c>
      <c r="Q838" t="n">
        <v>0</v>
      </c>
      <c r="R838" s="2" t="inlineStr"/>
    </row>
    <row r="839" ht="15" customHeight="1">
      <c r="A839" t="inlineStr">
        <is>
          <t>A 33815-2022</t>
        </is>
      </c>
      <c r="B839" s="1" t="n">
        <v>44790.45876157407</v>
      </c>
      <c r="C839" s="1" t="n">
        <v>46092</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33842-2022</t>
        </is>
      </c>
      <c r="B840" s="1" t="n">
        <v>44790.49523148148</v>
      </c>
      <c r="C840" s="1" t="n">
        <v>46092</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49408-2023</t>
        </is>
      </c>
      <c r="B841" s="1" t="n">
        <v>45211.43555555555</v>
      </c>
      <c r="C841" s="1" t="n">
        <v>46092</v>
      </c>
      <c r="D841" t="inlineStr">
        <is>
          <t>KALMAR LÄN</t>
        </is>
      </c>
      <c r="E841" t="inlineStr">
        <is>
          <t>VIMMERBY</t>
        </is>
      </c>
      <c r="G841" t="n">
        <v>13.1</v>
      </c>
      <c r="H841" t="n">
        <v>0</v>
      </c>
      <c r="I841" t="n">
        <v>0</v>
      </c>
      <c r="J841" t="n">
        <v>0</v>
      </c>
      <c r="K841" t="n">
        <v>0</v>
      </c>
      <c r="L841" t="n">
        <v>0</v>
      </c>
      <c r="M841" t="n">
        <v>0</v>
      </c>
      <c r="N841" t="n">
        <v>0</v>
      </c>
      <c r="O841" t="n">
        <v>0</v>
      </c>
      <c r="P841" t="n">
        <v>0</v>
      </c>
      <c r="Q841" t="n">
        <v>0</v>
      </c>
      <c r="R841" s="2" t="inlineStr"/>
    </row>
    <row r="842" ht="15" customHeight="1">
      <c r="A842" t="inlineStr">
        <is>
          <t>A 56536-2022</t>
        </is>
      </c>
      <c r="B842" s="1" t="n">
        <v>44893</v>
      </c>
      <c r="C842" s="1" t="n">
        <v>46092</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41199-2023</t>
        </is>
      </c>
      <c r="B843" s="1" t="n">
        <v>45174.40454861111</v>
      </c>
      <c r="C843" s="1" t="n">
        <v>46092</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8945-2025</t>
        </is>
      </c>
      <c r="B844" s="1" t="n">
        <v>45713.45311342592</v>
      </c>
      <c r="C844" s="1" t="n">
        <v>46092</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11619-2023</t>
        </is>
      </c>
      <c r="B845" s="1" t="n">
        <v>44994.42113425926</v>
      </c>
      <c r="C845" s="1" t="n">
        <v>46092</v>
      </c>
      <c r="D845" t="inlineStr">
        <is>
          <t>KALMAR LÄN</t>
        </is>
      </c>
      <c r="E845" t="inlineStr">
        <is>
          <t>VIMMERBY</t>
        </is>
      </c>
      <c r="G845" t="n">
        <v>2.5</v>
      </c>
      <c r="H845" t="n">
        <v>0</v>
      </c>
      <c r="I845" t="n">
        <v>0</v>
      </c>
      <c r="J845" t="n">
        <v>0</v>
      </c>
      <c r="K845" t="n">
        <v>0</v>
      </c>
      <c r="L845" t="n">
        <v>0</v>
      </c>
      <c r="M845" t="n">
        <v>0</v>
      </c>
      <c r="N845" t="n">
        <v>0</v>
      </c>
      <c r="O845" t="n">
        <v>0</v>
      </c>
      <c r="P845" t="n">
        <v>0</v>
      </c>
      <c r="Q845" t="n">
        <v>0</v>
      </c>
      <c r="R845" s="2" t="inlineStr"/>
    </row>
    <row r="846" ht="15" customHeight="1">
      <c r="A846" t="inlineStr">
        <is>
          <t>A 41896-2023</t>
        </is>
      </c>
      <c r="B846" s="1" t="n">
        <v>45176.72427083334</v>
      </c>
      <c r="C846" s="1" t="n">
        <v>46092</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17926-2025</t>
        </is>
      </c>
      <c r="B847" s="1" t="n">
        <v>45759.38987268518</v>
      </c>
      <c r="C847" s="1" t="n">
        <v>46092</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21028-2023</t>
        </is>
      </c>
      <c r="B848" s="1" t="n">
        <v>45061</v>
      </c>
      <c r="C848" s="1" t="n">
        <v>46092</v>
      </c>
      <c r="D848" t="inlineStr">
        <is>
          <t>KALMAR LÄN</t>
        </is>
      </c>
      <c r="E848" t="inlineStr">
        <is>
          <t>VIMMERBY</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19445-2021</t>
        </is>
      </c>
      <c r="B849" s="1" t="n">
        <v>44310</v>
      </c>
      <c r="C849" s="1" t="n">
        <v>46092</v>
      </c>
      <c r="D849" t="inlineStr">
        <is>
          <t>KALMAR LÄN</t>
        </is>
      </c>
      <c r="E849" t="inlineStr">
        <is>
          <t>VIMMERBY</t>
        </is>
      </c>
      <c r="G849" t="n">
        <v>6.8</v>
      </c>
      <c r="H849" t="n">
        <v>0</v>
      </c>
      <c r="I849" t="n">
        <v>0</v>
      </c>
      <c r="J849" t="n">
        <v>0</v>
      </c>
      <c r="K849" t="n">
        <v>0</v>
      </c>
      <c r="L849" t="n">
        <v>0</v>
      </c>
      <c r="M849" t="n">
        <v>0</v>
      </c>
      <c r="N849" t="n">
        <v>0</v>
      </c>
      <c r="O849" t="n">
        <v>0</v>
      </c>
      <c r="P849" t="n">
        <v>0</v>
      </c>
      <c r="Q849" t="n">
        <v>0</v>
      </c>
      <c r="R849" s="2" t="inlineStr"/>
    </row>
    <row r="850" ht="15" customHeight="1">
      <c r="A850" t="inlineStr">
        <is>
          <t>A 27122-2023</t>
        </is>
      </c>
      <c r="B850" s="1" t="n">
        <v>45096.45247685185</v>
      </c>
      <c r="C850" s="1" t="n">
        <v>46092</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13813-2024</t>
        </is>
      </c>
      <c r="B851" s="1" t="n">
        <v>45391.41310185185</v>
      </c>
      <c r="C851" s="1" t="n">
        <v>46092</v>
      </c>
      <c r="D851" t="inlineStr">
        <is>
          <t>KALMAR LÄN</t>
        </is>
      </c>
      <c r="E851" t="inlineStr">
        <is>
          <t>VIMMERBY</t>
        </is>
      </c>
      <c r="G851" t="n">
        <v>0.4</v>
      </c>
      <c r="H851" t="n">
        <v>0</v>
      </c>
      <c r="I851" t="n">
        <v>0</v>
      </c>
      <c r="J851" t="n">
        <v>0</v>
      </c>
      <c r="K851" t="n">
        <v>0</v>
      </c>
      <c r="L851" t="n">
        <v>0</v>
      </c>
      <c r="M851" t="n">
        <v>0</v>
      </c>
      <c r="N851" t="n">
        <v>0</v>
      </c>
      <c r="O851" t="n">
        <v>0</v>
      </c>
      <c r="P851" t="n">
        <v>0</v>
      </c>
      <c r="Q851" t="n">
        <v>0</v>
      </c>
      <c r="R851" s="2" t="inlineStr"/>
    </row>
    <row r="852" ht="15" customHeight="1">
      <c r="A852" t="inlineStr">
        <is>
          <t>A 38969-2023</t>
        </is>
      </c>
      <c r="B852" s="1" t="n">
        <v>45163.63621527778</v>
      </c>
      <c r="C852" s="1" t="n">
        <v>46092</v>
      </c>
      <c r="D852" t="inlineStr">
        <is>
          <t>KALMAR LÄN</t>
        </is>
      </c>
      <c r="E852" t="inlineStr">
        <is>
          <t>VIMMERBY</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26937-2023</t>
        </is>
      </c>
      <c r="B853" s="1" t="n">
        <v>45093.62777777778</v>
      </c>
      <c r="C853" s="1" t="n">
        <v>46092</v>
      </c>
      <c r="D853" t="inlineStr">
        <is>
          <t>KALMAR LÄN</t>
        </is>
      </c>
      <c r="E853" t="inlineStr">
        <is>
          <t>VIMMERBY</t>
        </is>
      </c>
      <c r="F853" t="inlineStr">
        <is>
          <t>Sveaskog</t>
        </is>
      </c>
      <c r="G853" t="n">
        <v>14.5</v>
      </c>
      <c r="H853" t="n">
        <v>0</v>
      </c>
      <c r="I853" t="n">
        <v>0</v>
      </c>
      <c r="J853" t="n">
        <v>0</v>
      </c>
      <c r="K853" t="n">
        <v>0</v>
      </c>
      <c r="L853" t="n">
        <v>0</v>
      </c>
      <c r="M853" t="n">
        <v>0</v>
      </c>
      <c r="N853" t="n">
        <v>0</v>
      </c>
      <c r="O853" t="n">
        <v>0</v>
      </c>
      <c r="P853" t="n">
        <v>0</v>
      </c>
      <c r="Q853" t="n">
        <v>0</v>
      </c>
      <c r="R853" s="2" t="inlineStr"/>
    </row>
    <row r="854" ht="15" customHeight="1">
      <c r="A854" t="inlineStr">
        <is>
          <t>A 57486-2024</t>
        </is>
      </c>
      <c r="B854" s="1" t="n">
        <v>45630.35827546296</v>
      </c>
      <c r="C854" s="1" t="n">
        <v>46092</v>
      </c>
      <c r="D854" t="inlineStr">
        <is>
          <t>KALMAR LÄN</t>
        </is>
      </c>
      <c r="E854" t="inlineStr">
        <is>
          <t>VIMMERBY</t>
        </is>
      </c>
      <c r="G854" t="n">
        <v>0.4</v>
      </c>
      <c r="H854" t="n">
        <v>0</v>
      </c>
      <c r="I854" t="n">
        <v>0</v>
      </c>
      <c r="J854" t="n">
        <v>0</v>
      </c>
      <c r="K854" t="n">
        <v>0</v>
      </c>
      <c r="L854" t="n">
        <v>0</v>
      </c>
      <c r="M854" t="n">
        <v>0</v>
      </c>
      <c r="N854" t="n">
        <v>0</v>
      </c>
      <c r="O854" t="n">
        <v>0</v>
      </c>
      <c r="P854" t="n">
        <v>0</v>
      </c>
      <c r="Q854" t="n">
        <v>0</v>
      </c>
      <c r="R854" s="2" t="inlineStr"/>
    </row>
    <row r="855" ht="15" customHeight="1">
      <c r="A855" t="inlineStr">
        <is>
          <t>A 43186-2021</t>
        </is>
      </c>
      <c r="B855" s="1" t="n">
        <v>44431.84840277778</v>
      </c>
      <c r="C855" s="1" t="n">
        <v>46092</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1799-2025</t>
        </is>
      </c>
      <c r="B856" s="1" t="n">
        <v>45671.46746527778</v>
      </c>
      <c r="C856" s="1" t="n">
        <v>46092</v>
      </c>
      <c r="D856" t="inlineStr">
        <is>
          <t>KALMAR LÄN</t>
        </is>
      </c>
      <c r="E856" t="inlineStr">
        <is>
          <t>VIMMERBY</t>
        </is>
      </c>
      <c r="G856" t="n">
        <v>3.3</v>
      </c>
      <c r="H856" t="n">
        <v>0</v>
      </c>
      <c r="I856" t="n">
        <v>0</v>
      </c>
      <c r="J856" t="n">
        <v>0</v>
      </c>
      <c r="K856" t="n">
        <v>0</v>
      </c>
      <c r="L856" t="n">
        <v>0</v>
      </c>
      <c r="M856" t="n">
        <v>0</v>
      </c>
      <c r="N856" t="n">
        <v>0</v>
      </c>
      <c r="O856" t="n">
        <v>0</v>
      </c>
      <c r="P856" t="n">
        <v>0</v>
      </c>
      <c r="Q856" t="n">
        <v>0</v>
      </c>
      <c r="R856" s="2" t="inlineStr"/>
    </row>
    <row r="857" ht="15" customHeight="1">
      <c r="A857" t="inlineStr">
        <is>
          <t>A 30063-2023</t>
        </is>
      </c>
      <c r="B857" s="1" t="n">
        <v>45110.4184375</v>
      </c>
      <c r="C857" s="1" t="n">
        <v>46092</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43068-2023</t>
        </is>
      </c>
      <c r="B858" s="1" t="n">
        <v>45182.78834490741</v>
      </c>
      <c r="C858" s="1" t="n">
        <v>46092</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18020-2025</t>
        </is>
      </c>
      <c r="B859" s="1" t="n">
        <v>45761.4437962963</v>
      </c>
      <c r="C859" s="1" t="n">
        <v>46092</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33424-2023</t>
        </is>
      </c>
      <c r="B860" s="1" t="n">
        <v>45128.9325</v>
      </c>
      <c r="C860" s="1" t="n">
        <v>46092</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33425-2023</t>
        </is>
      </c>
      <c r="B861" s="1" t="n">
        <v>45128.93540509259</v>
      </c>
      <c r="C861" s="1" t="n">
        <v>46092</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12327-2023</t>
        </is>
      </c>
      <c r="B862" s="1" t="n">
        <v>44999.36081018519</v>
      </c>
      <c r="C862" s="1" t="n">
        <v>46092</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43092-2024</t>
        </is>
      </c>
      <c r="B863" s="1" t="n">
        <v>45567</v>
      </c>
      <c r="C863" s="1" t="n">
        <v>46092</v>
      </c>
      <c r="D863" t="inlineStr">
        <is>
          <t>KALMAR LÄN</t>
        </is>
      </c>
      <c r="E863" t="inlineStr">
        <is>
          <t>VIMMERBY</t>
        </is>
      </c>
      <c r="G863" t="n">
        <v>2.7</v>
      </c>
      <c r="H863" t="n">
        <v>0</v>
      </c>
      <c r="I863" t="n">
        <v>0</v>
      </c>
      <c r="J863" t="n">
        <v>0</v>
      </c>
      <c r="K863" t="n">
        <v>0</v>
      </c>
      <c r="L863" t="n">
        <v>0</v>
      </c>
      <c r="M863" t="n">
        <v>0</v>
      </c>
      <c r="N863" t="n">
        <v>0</v>
      </c>
      <c r="O863" t="n">
        <v>0</v>
      </c>
      <c r="P863" t="n">
        <v>0</v>
      </c>
      <c r="Q863" t="n">
        <v>0</v>
      </c>
      <c r="R863" s="2" t="inlineStr"/>
    </row>
    <row r="864" ht="15" customHeight="1">
      <c r="A864" t="inlineStr">
        <is>
          <t>A 52435-2021</t>
        </is>
      </c>
      <c r="B864" s="1" t="n">
        <v>44466.34962962963</v>
      </c>
      <c r="C864" s="1" t="n">
        <v>46092</v>
      </c>
      <c r="D864" t="inlineStr">
        <is>
          <t>KALMAR LÄN</t>
        </is>
      </c>
      <c r="E864" t="inlineStr">
        <is>
          <t>VIMMERBY</t>
        </is>
      </c>
      <c r="G864" t="n">
        <v>2.8</v>
      </c>
      <c r="H864" t="n">
        <v>0</v>
      </c>
      <c r="I864" t="n">
        <v>0</v>
      </c>
      <c r="J864" t="n">
        <v>0</v>
      </c>
      <c r="K864" t="n">
        <v>0</v>
      </c>
      <c r="L864" t="n">
        <v>0</v>
      </c>
      <c r="M864" t="n">
        <v>0</v>
      </c>
      <c r="N864" t="n">
        <v>0</v>
      </c>
      <c r="O864" t="n">
        <v>0</v>
      </c>
      <c r="P864" t="n">
        <v>0</v>
      </c>
      <c r="Q864" t="n">
        <v>0</v>
      </c>
      <c r="R864" s="2" t="inlineStr"/>
    </row>
    <row r="865" ht="15" customHeight="1">
      <c r="A865" t="inlineStr">
        <is>
          <t>A 35127-2024</t>
        </is>
      </c>
      <c r="B865" s="1" t="n">
        <v>45530.33202546297</v>
      </c>
      <c r="C865" s="1" t="n">
        <v>46092</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60215-2022</t>
        </is>
      </c>
      <c r="B866" s="1" t="n">
        <v>44910.41346064815</v>
      </c>
      <c r="C866" s="1" t="n">
        <v>46092</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29441-2024</t>
        </is>
      </c>
      <c r="B867" s="1" t="n">
        <v>45483.82834490741</v>
      </c>
      <c r="C867" s="1" t="n">
        <v>46092</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6216-2025</t>
        </is>
      </c>
      <c r="B868" s="1" t="n">
        <v>45698.52806712963</v>
      </c>
      <c r="C868" s="1" t="n">
        <v>46092</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62779-2023</t>
        </is>
      </c>
      <c r="B869" s="1" t="n">
        <v>45271.66576388889</v>
      </c>
      <c r="C869" s="1" t="n">
        <v>46092</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52294-2023</t>
        </is>
      </c>
      <c r="B870" s="1" t="n">
        <v>45224.60075231481</v>
      </c>
      <c r="C870" s="1" t="n">
        <v>46092</v>
      </c>
      <c r="D870" t="inlineStr">
        <is>
          <t>KALMAR LÄN</t>
        </is>
      </c>
      <c r="E870" t="inlineStr">
        <is>
          <t>VIMMERBY</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31013-2023</t>
        </is>
      </c>
      <c r="B871" s="1" t="n">
        <v>45113.56574074074</v>
      </c>
      <c r="C871" s="1" t="n">
        <v>46092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72067-2021</t>
        </is>
      </c>
      <c r="B872" s="1" t="n">
        <v>44540</v>
      </c>
      <c r="C872" s="1" t="n">
        <v>46092</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61538-2022</t>
        </is>
      </c>
      <c r="B873" s="1" t="n">
        <v>44916.55414351852</v>
      </c>
      <c r="C873" s="1" t="n">
        <v>46092</v>
      </c>
      <c r="D873" t="inlineStr">
        <is>
          <t>KALMAR LÄN</t>
        </is>
      </c>
      <c r="E873" t="inlineStr">
        <is>
          <t>VIMMERBY</t>
        </is>
      </c>
      <c r="G873" t="n">
        <v>1.5</v>
      </c>
      <c r="H873" t="n">
        <v>0</v>
      </c>
      <c r="I873" t="n">
        <v>0</v>
      </c>
      <c r="J873" t="n">
        <v>0</v>
      </c>
      <c r="K873" t="n">
        <v>0</v>
      </c>
      <c r="L873" t="n">
        <v>0</v>
      </c>
      <c r="M873" t="n">
        <v>0</v>
      </c>
      <c r="N873" t="n">
        <v>0</v>
      </c>
      <c r="O873" t="n">
        <v>0</v>
      </c>
      <c r="P873" t="n">
        <v>0</v>
      </c>
      <c r="Q873" t="n">
        <v>0</v>
      </c>
      <c r="R873" s="2" t="inlineStr"/>
    </row>
    <row r="874" ht="15" customHeight="1">
      <c r="A874" t="inlineStr">
        <is>
          <t>A 36155-2023</t>
        </is>
      </c>
      <c r="B874" s="1" t="n">
        <v>45149.60917824074</v>
      </c>
      <c r="C874" s="1" t="n">
        <v>46092</v>
      </c>
      <c r="D874" t="inlineStr">
        <is>
          <t>KALMAR LÄN</t>
        </is>
      </c>
      <c r="E874" t="inlineStr">
        <is>
          <t>VIMMERBY</t>
        </is>
      </c>
      <c r="G874" t="n">
        <v>5</v>
      </c>
      <c r="H874" t="n">
        <v>0</v>
      </c>
      <c r="I874" t="n">
        <v>0</v>
      </c>
      <c r="J874" t="n">
        <v>0</v>
      </c>
      <c r="K874" t="n">
        <v>0</v>
      </c>
      <c r="L874" t="n">
        <v>0</v>
      </c>
      <c r="M874" t="n">
        <v>0</v>
      </c>
      <c r="N874" t="n">
        <v>0</v>
      </c>
      <c r="O874" t="n">
        <v>0</v>
      </c>
      <c r="P874" t="n">
        <v>0</v>
      </c>
      <c r="Q874" t="n">
        <v>0</v>
      </c>
      <c r="R874" s="2" t="inlineStr"/>
    </row>
    <row r="875" ht="15" customHeight="1">
      <c r="A875" t="inlineStr">
        <is>
          <t>A 29173-2024</t>
        </is>
      </c>
      <c r="B875" s="1" t="n">
        <v>45482.52887731481</v>
      </c>
      <c r="C875" s="1" t="n">
        <v>46092</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53542-2022</t>
        </is>
      </c>
      <c r="B876" s="1" t="n">
        <v>44879.62173611111</v>
      </c>
      <c r="C876" s="1" t="n">
        <v>46092</v>
      </c>
      <c r="D876" t="inlineStr">
        <is>
          <t>KALMAR LÄN</t>
        </is>
      </c>
      <c r="E876" t="inlineStr">
        <is>
          <t>VIMMERBY</t>
        </is>
      </c>
      <c r="G876" t="n">
        <v>2.6</v>
      </c>
      <c r="H876" t="n">
        <v>0</v>
      </c>
      <c r="I876" t="n">
        <v>0</v>
      </c>
      <c r="J876" t="n">
        <v>0</v>
      </c>
      <c r="K876" t="n">
        <v>0</v>
      </c>
      <c r="L876" t="n">
        <v>0</v>
      </c>
      <c r="M876" t="n">
        <v>0</v>
      </c>
      <c r="N876" t="n">
        <v>0</v>
      </c>
      <c r="O876" t="n">
        <v>0</v>
      </c>
      <c r="P876" t="n">
        <v>0</v>
      </c>
      <c r="Q876" t="n">
        <v>0</v>
      </c>
      <c r="R876" s="2" t="inlineStr"/>
    </row>
    <row r="877" ht="15" customHeight="1">
      <c r="A877" t="inlineStr">
        <is>
          <t>A 6807-2025</t>
        </is>
      </c>
      <c r="B877" s="1" t="n">
        <v>45700.68672453704</v>
      </c>
      <c r="C877" s="1" t="n">
        <v>46092</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7047-2022</t>
        </is>
      </c>
      <c r="B878" s="1" t="n">
        <v>44603</v>
      </c>
      <c r="C878" s="1" t="n">
        <v>46092</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35711-2023</t>
        </is>
      </c>
      <c r="B879" s="1" t="n">
        <v>45147.67172453704</v>
      </c>
      <c r="C879" s="1" t="n">
        <v>46092</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5382-2023</t>
        </is>
      </c>
      <c r="B880" s="1" t="n">
        <v>44959.66407407408</v>
      </c>
      <c r="C880" s="1" t="n">
        <v>46092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40823-2023</t>
        </is>
      </c>
      <c r="B881" s="1" t="n">
        <v>45171.77335648148</v>
      </c>
      <c r="C881" s="1" t="n">
        <v>46092</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6218-2025</t>
        </is>
      </c>
      <c r="B882" s="1" t="n">
        <v>45698.53336805556</v>
      </c>
      <c r="C882" s="1" t="n">
        <v>46092</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30920-2023</t>
        </is>
      </c>
      <c r="B883" s="1" t="n">
        <v>45113.43921296296</v>
      </c>
      <c r="C883" s="1" t="n">
        <v>46092</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6857-2023</t>
        </is>
      </c>
      <c r="B884" s="1" t="n">
        <v>44967.45122685185</v>
      </c>
      <c r="C884" s="1" t="n">
        <v>46092</v>
      </c>
      <c r="D884" t="inlineStr">
        <is>
          <t>KALMAR LÄN</t>
        </is>
      </c>
      <c r="E884" t="inlineStr">
        <is>
          <t>VIMMERBY</t>
        </is>
      </c>
      <c r="G884" t="n">
        <v>2.1</v>
      </c>
      <c r="H884" t="n">
        <v>0</v>
      </c>
      <c r="I884" t="n">
        <v>0</v>
      </c>
      <c r="J884" t="n">
        <v>0</v>
      </c>
      <c r="K884" t="n">
        <v>0</v>
      </c>
      <c r="L884" t="n">
        <v>0</v>
      </c>
      <c r="M884" t="n">
        <v>0</v>
      </c>
      <c r="N884" t="n">
        <v>0</v>
      </c>
      <c r="O884" t="n">
        <v>0</v>
      </c>
      <c r="P884" t="n">
        <v>0</v>
      </c>
      <c r="Q884" t="n">
        <v>0</v>
      </c>
      <c r="R884" s="2" t="inlineStr"/>
    </row>
    <row r="885" ht="15" customHeight="1">
      <c r="A885" t="inlineStr">
        <is>
          <t>A 5792-2023</t>
        </is>
      </c>
      <c r="B885" s="1" t="n">
        <v>44963.44769675926</v>
      </c>
      <c r="C885" s="1" t="n">
        <v>46092</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10303-2025</t>
        </is>
      </c>
      <c r="B886" s="1" t="n">
        <v>45720.44217592593</v>
      </c>
      <c r="C886" s="1" t="n">
        <v>46092</v>
      </c>
      <c r="D886" t="inlineStr">
        <is>
          <t>KALMAR LÄN</t>
        </is>
      </c>
      <c r="E886" t="inlineStr">
        <is>
          <t>VIMMERBY</t>
        </is>
      </c>
      <c r="G886" t="n">
        <v>0.9</v>
      </c>
      <c r="H886" t="n">
        <v>0</v>
      </c>
      <c r="I886" t="n">
        <v>0</v>
      </c>
      <c r="J886" t="n">
        <v>0</v>
      </c>
      <c r="K886" t="n">
        <v>0</v>
      </c>
      <c r="L886" t="n">
        <v>0</v>
      </c>
      <c r="M886" t="n">
        <v>0</v>
      </c>
      <c r="N886" t="n">
        <v>0</v>
      </c>
      <c r="O886" t="n">
        <v>0</v>
      </c>
      <c r="P886" t="n">
        <v>0</v>
      </c>
      <c r="Q886" t="n">
        <v>0</v>
      </c>
      <c r="R886" s="2" t="inlineStr"/>
    </row>
    <row r="887" ht="15" customHeight="1">
      <c r="A887" t="inlineStr">
        <is>
          <t>A 60110-2022</t>
        </is>
      </c>
      <c r="B887" s="1" t="n">
        <v>44909</v>
      </c>
      <c r="C887" s="1" t="n">
        <v>46092</v>
      </c>
      <c r="D887" t="inlineStr">
        <is>
          <t>KALMAR LÄN</t>
        </is>
      </c>
      <c r="E887" t="inlineStr">
        <is>
          <t>VIMMERBY</t>
        </is>
      </c>
      <c r="G887" t="n">
        <v>1.7</v>
      </c>
      <c r="H887" t="n">
        <v>0</v>
      </c>
      <c r="I887" t="n">
        <v>0</v>
      </c>
      <c r="J887" t="n">
        <v>0</v>
      </c>
      <c r="K887" t="n">
        <v>0</v>
      </c>
      <c r="L887" t="n">
        <v>0</v>
      </c>
      <c r="M887" t="n">
        <v>0</v>
      </c>
      <c r="N887" t="n">
        <v>0</v>
      </c>
      <c r="O887" t="n">
        <v>0</v>
      </c>
      <c r="P887" t="n">
        <v>0</v>
      </c>
      <c r="Q887" t="n">
        <v>0</v>
      </c>
      <c r="R887" s="2" t="inlineStr"/>
    </row>
    <row r="888" ht="15" customHeight="1">
      <c r="A888" t="inlineStr">
        <is>
          <t>A 15394-2025</t>
        </is>
      </c>
      <c r="B888" s="1" t="n">
        <v>45747.43196759259</v>
      </c>
      <c r="C888" s="1" t="n">
        <v>46092</v>
      </c>
      <c r="D888" t="inlineStr">
        <is>
          <t>KALMAR LÄN</t>
        </is>
      </c>
      <c r="E888" t="inlineStr">
        <is>
          <t>VIMMERBY</t>
        </is>
      </c>
      <c r="G888" t="n">
        <v>0.8</v>
      </c>
      <c r="H888" t="n">
        <v>0</v>
      </c>
      <c r="I888" t="n">
        <v>0</v>
      </c>
      <c r="J888" t="n">
        <v>0</v>
      </c>
      <c r="K888" t="n">
        <v>0</v>
      </c>
      <c r="L888" t="n">
        <v>0</v>
      </c>
      <c r="M888" t="n">
        <v>0</v>
      </c>
      <c r="N888" t="n">
        <v>0</v>
      </c>
      <c r="O888" t="n">
        <v>0</v>
      </c>
      <c r="P888" t="n">
        <v>0</v>
      </c>
      <c r="Q888" t="n">
        <v>0</v>
      </c>
      <c r="R888" s="2" t="inlineStr"/>
    </row>
    <row r="889" ht="15" customHeight="1">
      <c r="A889" t="inlineStr">
        <is>
          <t>A 15388-2025</t>
        </is>
      </c>
      <c r="B889" s="1" t="n">
        <v>45747.42633101852</v>
      </c>
      <c r="C889" s="1" t="n">
        <v>46092</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15391-2025</t>
        </is>
      </c>
      <c r="B890" s="1" t="n">
        <v>45747.42958333333</v>
      </c>
      <c r="C890" s="1" t="n">
        <v>46092</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6474-2025</t>
        </is>
      </c>
      <c r="B891" s="1" t="n">
        <v>45699.60055555555</v>
      </c>
      <c r="C891" s="1" t="n">
        <v>46092</v>
      </c>
      <c r="D891" t="inlineStr">
        <is>
          <t>KALMAR LÄN</t>
        </is>
      </c>
      <c r="E891" t="inlineStr">
        <is>
          <t>VIMMERBY</t>
        </is>
      </c>
      <c r="G891" t="n">
        <v>1.6</v>
      </c>
      <c r="H891" t="n">
        <v>0</v>
      </c>
      <c r="I891" t="n">
        <v>0</v>
      </c>
      <c r="J891" t="n">
        <v>0</v>
      </c>
      <c r="K891" t="n">
        <v>0</v>
      </c>
      <c r="L891" t="n">
        <v>0</v>
      </c>
      <c r="M891" t="n">
        <v>0</v>
      </c>
      <c r="N891" t="n">
        <v>0</v>
      </c>
      <c r="O891" t="n">
        <v>0</v>
      </c>
      <c r="P891" t="n">
        <v>0</v>
      </c>
      <c r="Q891" t="n">
        <v>0</v>
      </c>
      <c r="R891" s="2" t="inlineStr"/>
    </row>
    <row r="892" ht="15" customHeight="1">
      <c r="A892" t="inlineStr">
        <is>
          <t>A 32919-2022</t>
        </is>
      </c>
      <c r="B892" s="1" t="n">
        <v>44784.62724537037</v>
      </c>
      <c r="C892" s="1" t="n">
        <v>46092</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56659-2023</t>
        </is>
      </c>
      <c r="B893" s="1" t="n">
        <v>45243.84869212963</v>
      </c>
      <c r="C893" s="1" t="n">
        <v>46092</v>
      </c>
      <c r="D893" t="inlineStr">
        <is>
          <t>KALMAR LÄN</t>
        </is>
      </c>
      <c r="E893" t="inlineStr">
        <is>
          <t>VIMMERBY</t>
        </is>
      </c>
      <c r="G893" t="n">
        <v>0.6</v>
      </c>
      <c r="H893" t="n">
        <v>0</v>
      </c>
      <c r="I893" t="n">
        <v>0</v>
      </c>
      <c r="J893" t="n">
        <v>0</v>
      </c>
      <c r="K893" t="n">
        <v>0</v>
      </c>
      <c r="L893" t="n">
        <v>0</v>
      </c>
      <c r="M893" t="n">
        <v>0</v>
      </c>
      <c r="N893" t="n">
        <v>0</v>
      </c>
      <c r="O893" t="n">
        <v>0</v>
      </c>
      <c r="P893" t="n">
        <v>0</v>
      </c>
      <c r="Q893" t="n">
        <v>0</v>
      </c>
      <c r="R893" s="2" t="inlineStr"/>
    </row>
    <row r="894" ht="15" customHeight="1">
      <c r="A894" t="inlineStr">
        <is>
          <t>A 13015-2022</t>
        </is>
      </c>
      <c r="B894" s="1" t="n">
        <v>44643</v>
      </c>
      <c r="C894" s="1" t="n">
        <v>46092</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ht="15" customHeight="1">
      <c r="A895" t="inlineStr">
        <is>
          <t>A 17968-2025</t>
        </is>
      </c>
      <c r="B895" s="1" t="n">
        <v>45761.35990740741</v>
      </c>
      <c r="C895" s="1" t="n">
        <v>46092</v>
      </c>
      <c r="D895" t="inlineStr">
        <is>
          <t>KALMAR LÄN</t>
        </is>
      </c>
      <c r="E895" t="inlineStr">
        <is>
          <t>VIMMERBY</t>
        </is>
      </c>
      <c r="G895" t="n">
        <v>3.3</v>
      </c>
      <c r="H895" t="n">
        <v>0</v>
      </c>
      <c r="I895" t="n">
        <v>0</v>
      </c>
      <c r="J895" t="n">
        <v>0</v>
      </c>
      <c r="K895" t="n">
        <v>0</v>
      </c>
      <c r="L895" t="n">
        <v>0</v>
      </c>
      <c r="M895" t="n">
        <v>0</v>
      </c>
      <c r="N895" t="n">
        <v>0</v>
      </c>
      <c r="O895" t="n">
        <v>0</v>
      </c>
      <c r="P895" t="n">
        <v>0</v>
      </c>
      <c r="Q895" t="n">
        <v>0</v>
      </c>
      <c r="R895" s="2" t="inlineStr"/>
    </row>
    <row r="896" ht="15" customHeight="1">
      <c r="A896" t="inlineStr">
        <is>
          <t>A 6028-2023</t>
        </is>
      </c>
      <c r="B896" s="1" t="n">
        <v>44964.44356481481</v>
      </c>
      <c r="C896" s="1" t="n">
        <v>46092</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55436-2023</t>
        </is>
      </c>
      <c r="B897" s="1" t="n">
        <v>45238.4328587963</v>
      </c>
      <c r="C897" s="1" t="n">
        <v>46092</v>
      </c>
      <c r="D897" t="inlineStr">
        <is>
          <t>KALMAR LÄN</t>
        </is>
      </c>
      <c r="E897" t="inlineStr">
        <is>
          <t>VIMMERBY</t>
        </is>
      </c>
      <c r="G897" t="n">
        <v>5.6</v>
      </c>
      <c r="H897" t="n">
        <v>0</v>
      </c>
      <c r="I897" t="n">
        <v>0</v>
      </c>
      <c r="J897" t="n">
        <v>0</v>
      </c>
      <c r="K897" t="n">
        <v>0</v>
      </c>
      <c r="L897" t="n">
        <v>0</v>
      </c>
      <c r="M897" t="n">
        <v>0</v>
      </c>
      <c r="N897" t="n">
        <v>0</v>
      </c>
      <c r="O897" t="n">
        <v>0</v>
      </c>
      <c r="P897" t="n">
        <v>0</v>
      </c>
      <c r="Q897" t="n">
        <v>0</v>
      </c>
      <c r="R897" s="2" t="inlineStr"/>
    </row>
    <row r="898" ht="15" customHeight="1">
      <c r="A898" t="inlineStr">
        <is>
          <t>A 56582-2022</t>
        </is>
      </c>
      <c r="B898" s="1" t="n">
        <v>44893</v>
      </c>
      <c r="C898" s="1" t="n">
        <v>46092</v>
      </c>
      <c r="D898" t="inlineStr">
        <is>
          <t>KALMAR LÄN</t>
        </is>
      </c>
      <c r="E898" t="inlineStr">
        <is>
          <t>VIMMERBY</t>
        </is>
      </c>
      <c r="G898" t="n">
        <v>2.2</v>
      </c>
      <c r="H898" t="n">
        <v>0</v>
      </c>
      <c r="I898" t="n">
        <v>0</v>
      </c>
      <c r="J898" t="n">
        <v>0</v>
      </c>
      <c r="K898" t="n">
        <v>0</v>
      </c>
      <c r="L898" t="n">
        <v>0</v>
      </c>
      <c r="M898" t="n">
        <v>0</v>
      </c>
      <c r="N898" t="n">
        <v>0</v>
      </c>
      <c r="O898" t="n">
        <v>0</v>
      </c>
      <c r="P898" t="n">
        <v>0</v>
      </c>
      <c r="Q898" t="n">
        <v>0</v>
      </c>
      <c r="R898" s="2" t="inlineStr"/>
    </row>
    <row r="899" ht="15" customHeight="1">
      <c r="A899" t="inlineStr">
        <is>
          <t>A 20-2025</t>
        </is>
      </c>
      <c r="B899" s="1" t="n">
        <v>45658.80232638889</v>
      </c>
      <c r="C899" s="1" t="n">
        <v>46092</v>
      </c>
      <c r="D899" t="inlineStr">
        <is>
          <t>KALMAR LÄN</t>
        </is>
      </c>
      <c r="E899" t="inlineStr">
        <is>
          <t>VIMMERBY</t>
        </is>
      </c>
      <c r="G899" t="n">
        <v>1.3</v>
      </c>
      <c r="H899" t="n">
        <v>0</v>
      </c>
      <c r="I899" t="n">
        <v>0</v>
      </c>
      <c r="J899" t="n">
        <v>0</v>
      </c>
      <c r="K899" t="n">
        <v>0</v>
      </c>
      <c r="L899" t="n">
        <v>0</v>
      </c>
      <c r="M899" t="n">
        <v>0</v>
      </c>
      <c r="N899" t="n">
        <v>0</v>
      </c>
      <c r="O899" t="n">
        <v>0</v>
      </c>
      <c r="P899" t="n">
        <v>0</v>
      </c>
      <c r="Q899" t="n">
        <v>0</v>
      </c>
      <c r="R899" s="2" t="inlineStr"/>
    </row>
    <row r="900" ht="15" customHeight="1">
      <c r="A900" t="inlineStr">
        <is>
          <t>A 23-2025</t>
        </is>
      </c>
      <c r="B900" s="1" t="n">
        <v>45658.80827546296</v>
      </c>
      <c r="C900" s="1" t="n">
        <v>46092</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43962-2024</t>
        </is>
      </c>
      <c r="B901" s="1" t="n">
        <v>45572.48293981481</v>
      </c>
      <c r="C901" s="1" t="n">
        <v>46092</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35713-2023</t>
        </is>
      </c>
      <c r="B902" s="1" t="n">
        <v>45147</v>
      </c>
      <c r="C902" s="1" t="n">
        <v>46092</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40147-2023</t>
        </is>
      </c>
      <c r="B903" s="1" t="n">
        <v>45169</v>
      </c>
      <c r="C903" s="1" t="n">
        <v>46092</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50995-2022</t>
        </is>
      </c>
      <c r="B904" s="1" t="n">
        <v>44867</v>
      </c>
      <c r="C904" s="1" t="n">
        <v>46092</v>
      </c>
      <c r="D904" t="inlineStr">
        <is>
          <t>KALMAR LÄN</t>
        </is>
      </c>
      <c r="E904" t="inlineStr">
        <is>
          <t>VIMMERBY</t>
        </is>
      </c>
      <c r="G904" t="n">
        <v>2.4</v>
      </c>
      <c r="H904" t="n">
        <v>0</v>
      </c>
      <c r="I904" t="n">
        <v>0</v>
      </c>
      <c r="J904" t="n">
        <v>0</v>
      </c>
      <c r="K904" t="n">
        <v>0</v>
      </c>
      <c r="L904" t="n">
        <v>0</v>
      </c>
      <c r="M904" t="n">
        <v>0</v>
      </c>
      <c r="N904" t="n">
        <v>0</v>
      </c>
      <c r="O904" t="n">
        <v>0</v>
      </c>
      <c r="P904" t="n">
        <v>0</v>
      </c>
      <c r="Q904" t="n">
        <v>0</v>
      </c>
      <c r="R904" s="2" t="inlineStr"/>
    </row>
    <row r="905" ht="15" customHeight="1">
      <c r="A905" t="inlineStr">
        <is>
          <t>A 27993-2022</t>
        </is>
      </c>
      <c r="B905" s="1" t="n">
        <v>44745.84396990741</v>
      </c>
      <c r="C905" s="1" t="n">
        <v>46092</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57555-2024</t>
        </is>
      </c>
      <c r="B906" s="1" t="n">
        <v>45630.45069444444</v>
      </c>
      <c r="C906" s="1" t="n">
        <v>46092</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36014-2024</t>
        </is>
      </c>
      <c r="B907" s="1" t="n">
        <v>45533.56108796296</v>
      </c>
      <c r="C907" s="1" t="n">
        <v>46092</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36030-2024</t>
        </is>
      </c>
      <c r="B908" s="1" t="n">
        <v>45533.58302083334</v>
      </c>
      <c r="C908" s="1" t="n">
        <v>46092</v>
      </c>
      <c r="D908" t="inlineStr">
        <is>
          <t>KALMAR LÄN</t>
        </is>
      </c>
      <c r="E908" t="inlineStr">
        <is>
          <t>VIMMERBY</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32865-2023</t>
        </is>
      </c>
      <c r="B909" s="1" t="n">
        <v>45124</v>
      </c>
      <c r="C909" s="1" t="n">
        <v>46092</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42918-2021</t>
        </is>
      </c>
      <c r="B910" s="1" t="n">
        <v>44431</v>
      </c>
      <c r="C910" s="1" t="n">
        <v>46092</v>
      </c>
      <c r="D910" t="inlineStr">
        <is>
          <t>KALMAR LÄN</t>
        </is>
      </c>
      <c r="E910" t="inlineStr">
        <is>
          <t>VIMMERBY</t>
        </is>
      </c>
      <c r="G910" t="n">
        <v>1.6</v>
      </c>
      <c r="H910" t="n">
        <v>0</v>
      </c>
      <c r="I910" t="n">
        <v>0</v>
      </c>
      <c r="J910" t="n">
        <v>0</v>
      </c>
      <c r="K910" t="n">
        <v>0</v>
      </c>
      <c r="L910" t="n">
        <v>0</v>
      </c>
      <c r="M910" t="n">
        <v>0</v>
      </c>
      <c r="N910" t="n">
        <v>0</v>
      </c>
      <c r="O910" t="n">
        <v>0</v>
      </c>
      <c r="P910" t="n">
        <v>0</v>
      </c>
      <c r="Q910" t="n">
        <v>0</v>
      </c>
      <c r="R910" s="2" t="inlineStr"/>
    </row>
    <row r="911" ht="15" customHeight="1">
      <c r="A911" t="inlineStr">
        <is>
          <t>A 22643-2023</t>
        </is>
      </c>
      <c r="B911" s="1" t="n">
        <v>45071</v>
      </c>
      <c r="C911" s="1" t="n">
        <v>46092</v>
      </c>
      <c r="D911" t="inlineStr">
        <is>
          <t>KALMAR LÄN</t>
        </is>
      </c>
      <c r="E911" t="inlineStr">
        <is>
          <t>VIMMERBY</t>
        </is>
      </c>
      <c r="G911" t="n">
        <v>3.9</v>
      </c>
      <c r="H911" t="n">
        <v>0</v>
      </c>
      <c r="I911" t="n">
        <v>0</v>
      </c>
      <c r="J911" t="n">
        <v>0</v>
      </c>
      <c r="K911" t="n">
        <v>0</v>
      </c>
      <c r="L911" t="n">
        <v>0</v>
      </c>
      <c r="M911" t="n">
        <v>0</v>
      </c>
      <c r="N911" t="n">
        <v>0</v>
      </c>
      <c r="O911" t="n">
        <v>0</v>
      </c>
      <c r="P911" t="n">
        <v>0</v>
      </c>
      <c r="Q911" t="n">
        <v>0</v>
      </c>
      <c r="R911" s="2" t="inlineStr"/>
    </row>
    <row r="912" ht="15" customHeight="1">
      <c r="A912" t="inlineStr">
        <is>
          <t>A 18669-2025</t>
        </is>
      </c>
      <c r="B912" s="1" t="n">
        <v>45763.59436342592</v>
      </c>
      <c r="C912" s="1" t="n">
        <v>46092</v>
      </c>
      <c r="D912" t="inlineStr">
        <is>
          <t>KALMAR LÄN</t>
        </is>
      </c>
      <c r="E912" t="inlineStr">
        <is>
          <t>VIMMERBY</t>
        </is>
      </c>
      <c r="G912" t="n">
        <v>2.7</v>
      </c>
      <c r="H912" t="n">
        <v>0</v>
      </c>
      <c r="I912" t="n">
        <v>0</v>
      </c>
      <c r="J912" t="n">
        <v>0</v>
      </c>
      <c r="K912" t="n">
        <v>0</v>
      </c>
      <c r="L912" t="n">
        <v>0</v>
      </c>
      <c r="M912" t="n">
        <v>0</v>
      </c>
      <c r="N912" t="n">
        <v>0</v>
      </c>
      <c r="O912" t="n">
        <v>0</v>
      </c>
      <c r="P912" t="n">
        <v>0</v>
      </c>
      <c r="Q912" t="n">
        <v>0</v>
      </c>
      <c r="R912" s="2" t="inlineStr"/>
    </row>
    <row r="913" ht="15" customHeight="1">
      <c r="A913" t="inlineStr">
        <is>
          <t>A 38780-2021</t>
        </is>
      </c>
      <c r="B913" s="1" t="n">
        <v>44410</v>
      </c>
      <c r="C913" s="1" t="n">
        <v>46092</v>
      </c>
      <c r="D913" t="inlineStr">
        <is>
          <t>KALMAR LÄN</t>
        </is>
      </c>
      <c r="E913" t="inlineStr">
        <is>
          <t>VIMMERBY</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29020-2024</t>
        </is>
      </c>
      <c r="B914" s="1" t="n">
        <v>45481.58048611111</v>
      </c>
      <c r="C914" s="1" t="n">
        <v>46092</v>
      </c>
      <c r="D914" t="inlineStr">
        <is>
          <t>KALMAR LÄN</t>
        </is>
      </c>
      <c r="E914" t="inlineStr">
        <is>
          <t>VIMMERBY</t>
        </is>
      </c>
      <c r="G914" t="n">
        <v>2.3</v>
      </c>
      <c r="H914" t="n">
        <v>0</v>
      </c>
      <c r="I914" t="n">
        <v>0</v>
      </c>
      <c r="J914" t="n">
        <v>0</v>
      </c>
      <c r="K914" t="n">
        <v>0</v>
      </c>
      <c r="L914" t="n">
        <v>0</v>
      </c>
      <c r="M914" t="n">
        <v>0</v>
      </c>
      <c r="N914" t="n">
        <v>0</v>
      </c>
      <c r="O914" t="n">
        <v>0</v>
      </c>
      <c r="P914" t="n">
        <v>0</v>
      </c>
      <c r="Q914" t="n">
        <v>0</v>
      </c>
      <c r="R914" s="2" t="inlineStr"/>
    </row>
    <row r="915" ht="15" customHeight="1">
      <c r="A915" t="inlineStr">
        <is>
          <t>A 30406-2023</t>
        </is>
      </c>
      <c r="B915" s="1" t="n">
        <v>45111.48787037037</v>
      </c>
      <c r="C915" s="1" t="n">
        <v>46092</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c r="A916" t="inlineStr">
        <is>
          <t>A 13817-2024</t>
        </is>
      </c>
      <c r="B916" s="1" t="n">
        <v>45391.41976851852</v>
      </c>
      <c r="C916" s="1" t="n">
        <v>46092</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2026-03-11T11:23:23Z</dcterms:created>
  <dcterms:modified xmlns:dcterms="http://purl.org/dc/terms/" xmlns:xsi="http://www.w3.org/2001/XMLSchema-instance" xsi:type="dcterms:W3CDTF">2026-03-11T11:23:24Z</dcterms:modified>
</cp:coreProperties>
</file>