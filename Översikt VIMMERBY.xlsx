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46188</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16954-2025</t>
        </is>
      </c>
      <c r="B7" s="1" t="n">
        <v>45755</v>
      </c>
      <c r="C7" s="1" t="n">
        <v>46188</v>
      </c>
      <c r="D7" t="inlineStr">
        <is>
          <t>KALMAR LÄN</t>
        </is>
      </c>
      <c r="E7" t="inlineStr">
        <is>
          <t>VIMMERBY</t>
        </is>
      </c>
      <c r="G7" t="n">
        <v>3.5</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16954-2025 artfynd.xlsx", "A 16954-2025")</f>
        <v/>
      </c>
      <c r="T7">
        <f>HYPERLINK("https://klasma.github.io/Logging_0884/kartor/A 16954-2025 karta.png", "A 16954-2025")</f>
        <v/>
      </c>
      <c r="U7">
        <f>HYPERLINK("https://klasma.github.io/Logging_0884/knärot/A 16954-2025 karta knärot.png", "A 16954-2025")</f>
        <v/>
      </c>
      <c r="V7">
        <f>HYPERLINK("https://klasma.github.io/Logging_0884/klagomål/A 16954-2025 FSC-klagomål.docx", "A 16954-2025")</f>
        <v/>
      </c>
      <c r="W7">
        <f>HYPERLINK("https://klasma.github.io/Logging_0884/klagomålsmail/A 16954-2025 FSC-klagomål mail.docx", "A 16954-2025")</f>
        <v/>
      </c>
      <c r="X7">
        <f>HYPERLINK("https://klasma.github.io/Logging_0884/tillsyn/A 16954-2025 tillsynsbegäran.docx", "A 16954-2025")</f>
        <v/>
      </c>
      <c r="Y7">
        <f>HYPERLINK("https://klasma.github.io/Logging_0884/tillsynsmail/A 16954-2025 tillsynsbegäran mail.docx", "A 16954-2025")</f>
        <v/>
      </c>
      <c r="Z7">
        <f>HYPERLINK("https://klasma.github.io/Logging_0884/fåglar/A 16954-2025 prioriterade fågelarter.docx", "A 16954-2025")</f>
        <v/>
      </c>
    </row>
    <row r="8" ht="15" customHeight="1">
      <c r="A8" t="inlineStr">
        <is>
          <t>A 1023-2024</t>
        </is>
      </c>
      <c r="B8" s="1" t="n">
        <v>45301.67922453704</v>
      </c>
      <c r="C8" s="1" t="n">
        <v>46188</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46188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3075-2025</t>
        </is>
      </c>
      <c r="B10" s="1" t="n">
        <v>45678</v>
      </c>
      <c r="C10" s="1" t="n">
        <v>46188</v>
      </c>
      <c r="D10" t="inlineStr">
        <is>
          <t>KALMAR LÄN</t>
        </is>
      </c>
      <c r="E10" t="inlineStr">
        <is>
          <t>VIMMERBY</t>
        </is>
      </c>
      <c r="G10" t="n">
        <v>4.5</v>
      </c>
      <c r="H10" t="n">
        <v>4</v>
      </c>
      <c r="I10" t="n">
        <v>0</v>
      </c>
      <c r="J10" t="n">
        <v>2</v>
      </c>
      <c r="K10" t="n">
        <v>1</v>
      </c>
      <c r="L10" t="n">
        <v>0</v>
      </c>
      <c r="M10" t="n">
        <v>0</v>
      </c>
      <c r="N10" t="n">
        <v>0</v>
      </c>
      <c r="O10" t="n">
        <v>3</v>
      </c>
      <c r="P10" t="n">
        <v>1</v>
      </c>
      <c r="Q10" t="n">
        <v>4</v>
      </c>
      <c r="R10" s="2" t="inlineStr">
        <is>
          <t>Knärot
Spillkråka
Talltita
Kungsfågel</t>
        </is>
      </c>
      <c r="S10">
        <f>HYPERLINK("https://klasma.github.io/Logging_0884/artfynd/A 3075-2025 artfynd.xlsx", "A 3075-2025")</f>
        <v/>
      </c>
      <c r="T10">
        <f>HYPERLINK("https://klasma.github.io/Logging_0884/kartor/A 3075-2025 karta.png", "A 3075-2025")</f>
        <v/>
      </c>
      <c r="U10">
        <f>HYPERLINK("https://klasma.github.io/Logging_0884/knärot/A 3075-2025 karta knärot.png", "A 3075-2025")</f>
        <v/>
      </c>
      <c r="V10">
        <f>HYPERLINK("https://klasma.github.io/Logging_0884/klagomål/A 3075-2025 FSC-klagomål.docx", "A 3075-2025")</f>
        <v/>
      </c>
      <c r="W10">
        <f>HYPERLINK("https://klasma.github.io/Logging_0884/klagomålsmail/A 3075-2025 FSC-klagomål mail.docx", "A 3075-2025")</f>
        <v/>
      </c>
      <c r="X10">
        <f>HYPERLINK("https://klasma.github.io/Logging_0884/tillsyn/A 3075-2025 tillsynsbegäran.docx", "A 3075-2025")</f>
        <v/>
      </c>
      <c r="Y10">
        <f>HYPERLINK("https://klasma.github.io/Logging_0884/tillsynsmail/A 3075-2025 tillsynsbegäran mail.docx", "A 3075-2025")</f>
        <v/>
      </c>
      <c r="Z10">
        <f>HYPERLINK("https://klasma.github.io/Logging_0884/fåglar/A 3075-2025 prioriterade fågelarter.docx", "A 3075-2025")</f>
        <v/>
      </c>
    </row>
    <row r="11" ht="15" customHeight="1">
      <c r="A11" t="inlineStr">
        <is>
          <t>A 32645-2023</t>
        </is>
      </c>
      <c r="B11" s="1" t="n">
        <v>45121.60543981481</v>
      </c>
      <c r="C11" s="1" t="n">
        <v>46188</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46824-2025</t>
        </is>
      </c>
      <c r="B12" s="1" t="n">
        <v>45926.90006944445</v>
      </c>
      <c r="C12" s="1" t="n">
        <v>46188</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46188</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46188</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46188</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46188</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46188</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46188</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46188</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2518-2023</t>
        </is>
      </c>
      <c r="B20" s="1" t="n">
        <v>44943</v>
      </c>
      <c r="C20" s="1" t="n">
        <v>46188</v>
      </c>
      <c r="D20" t="inlineStr">
        <is>
          <t>KALMAR LÄN</t>
        </is>
      </c>
      <c r="E20" t="inlineStr">
        <is>
          <t>VIMMERBY</t>
        </is>
      </c>
      <c r="G20" t="n">
        <v>6.1</v>
      </c>
      <c r="H20" t="n">
        <v>1</v>
      </c>
      <c r="I20" t="n">
        <v>1</v>
      </c>
      <c r="J20" t="n">
        <v>0</v>
      </c>
      <c r="K20" t="n">
        <v>1</v>
      </c>
      <c r="L20" t="n">
        <v>0</v>
      </c>
      <c r="M20" t="n">
        <v>0</v>
      </c>
      <c r="N20" t="n">
        <v>0</v>
      </c>
      <c r="O20" t="n">
        <v>1</v>
      </c>
      <c r="P20" t="n">
        <v>1</v>
      </c>
      <c r="Q20" t="n">
        <v>2</v>
      </c>
      <c r="R20" s="2" t="inlineStr">
        <is>
          <t>Knärot
Grönpyrola</t>
        </is>
      </c>
      <c r="S20">
        <f>HYPERLINK("https://klasma.github.io/Logging_0884/artfynd/A 2518-2023 artfynd.xlsx", "A 2518-2023")</f>
        <v/>
      </c>
      <c r="T20">
        <f>HYPERLINK("https://klasma.github.io/Logging_0884/kartor/A 2518-2023 karta.png", "A 2518-2023")</f>
        <v/>
      </c>
      <c r="U20">
        <f>HYPERLINK("https://klasma.github.io/Logging_0884/knärot/A 2518-2023 karta knärot.png", "A 2518-2023")</f>
        <v/>
      </c>
      <c r="V20">
        <f>HYPERLINK("https://klasma.github.io/Logging_0884/klagomål/A 2518-2023 FSC-klagomål.docx", "A 2518-2023")</f>
        <v/>
      </c>
      <c r="W20">
        <f>HYPERLINK("https://klasma.github.io/Logging_0884/klagomålsmail/A 2518-2023 FSC-klagomål mail.docx", "A 2518-2023")</f>
        <v/>
      </c>
      <c r="X20">
        <f>HYPERLINK("https://klasma.github.io/Logging_0884/tillsyn/A 2518-2023 tillsynsbegäran.docx", "A 2518-2023")</f>
        <v/>
      </c>
      <c r="Y20">
        <f>HYPERLINK("https://klasma.github.io/Logging_0884/tillsynsmail/A 2518-2023 tillsynsbegäran mail.docx", "A 2518-2023")</f>
        <v/>
      </c>
    </row>
    <row r="21" ht="15" customHeight="1">
      <c r="A21" t="inlineStr">
        <is>
          <t>A 42802-2025</t>
        </is>
      </c>
      <c r="B21" s="1" t="n">
        <v>45908</v>
      </c>
      <c r="C21" s="1" t="n">
        <v>46188</v>
      </c>
      <c r="D21" t="inlineStr">
        <is>
          <t>KALMAR LÄN</t>
        </is>
      </c>
      <c r="E21" t="inlineStr">
        <is>
          <t>VIMMERBY</t>
        </is>
      </c>
      <c r="G21" t="n">
        <v>2.8</v>
      </c>
      <c r="H21" t="n">
        <v>1</v>
      </c>
      <c r="I21" t="n">
        <v>1</v>
      </c>
      <c r="J21" t="n">
        <v>0</v>
      </c>
      <c r="K21" t="n">
        <v>0</v>
      </c>
      <c r="L21" t="n">
        <v>0</v>
      </c>
      <c r="M21" t="n">
        <v>0</v>
      </c>
      <c r="N21" t="n">
        <v>0</v>
      </c>
      <c r="O21" t="n">
        <v>0</v>
      </c>
      <c r="P21" t="n">
        <v>0</v>
      </c>
      <c r="Q21" t="n">
        <v>2</v>
      </c>
      <c r="R21" s="2" t="inlineStr">
        <is>
          <t>Tibast
Fläcknycklar</t>
        </is>
      </c>
      <c r="S21">
        <f>HYPERLINK("https://klasma.github.io/Logging_0884/artfynd/A 42802-2025 artfynd.xlsx", "A 42802-2025")</f>
        <v/>
      </c>
      <c r="T21">
        <f>HYPERLINK("https://klasma.github.io/Logging_0884/kartor/A 42802-2025 karta.png", "A 42802-2025")</f>
        <v/>
      </c>
      <c r="V21">
        <f>HYPERLINK("https://klasma.github.io/Logging_0884/klagomål/A 42802-2025 FSC-klagomål.docx", "A 42802-2025")</f>
        <v/>
      </c>
      <c r="W21">
        <f>HYPERLINK("https://klasma.github.io/Logging_0884/klagomålsmail/A 42802-2025 FSC-klagomål mail.docx", "A 42802-2025")</f>
        <v/>
      </c>
      <c r="X21">
        <f>HYPERLINK("https://klasma.github.io/Logging_0884/tillsyn/A 42802-2025 tillsynsbegäran.docx", "A 42802-2025")</f>
        <v/>
      </c>
      <c r="Y21">
        <f>HYPERLINK("https://klasma.github.io/Logging_0884/tillsynsmail/A 42802-2025 tillsynsbegäran mail.docx", "A 42802-2025")</f>
        <v/>
      </c>
    </row>
    <row r="22" ht="15" customHeight="1">
      <c r="A22" t="inlineStr">
        <is>
          <t>A 22825-2023</t>
        </is>
      </c>
      <c r="B22" s="1" t="n">
        <v>45072</v>
      </c>
      <c r="C22" s="1" t="n">
        <v>46188</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22825-2023 artfynd.xlsx", "A 22825-2023")</f>
        <v/>
      </c>
      <c r="T22">
        <f>HYPERLINK("https://klasma.github.io/Logging_0884/kartor/A 22825-2023 karta.png", "A 22825-2023")</f>
        <v/>
      </c>
      <c r="V22">
        <f>HYPERLINK("https://klasma.github.io/Logging_0884/klagomål/A 22825-2023 FSC-klagomål.docx", "A 22825-2023")</f>
        <v/>
      </c>
      <c r="W22">
        <f>HYPERLINK("https://klasma.github.io/Logging_0884/klagomålsmail/A 22825-2023 FSC-klagomål mail.docx", "A 22825-2023")</f>
        <v/>
      </c>
      <c r="X22">
        <f>HYPERLINK("https://klasma.github.io/Logging_0884/tillsyn/A 22825-2023 tillsynsbegäran.docx", "A 22825-2023")</f>
        <v/>
      </c>
      <c r="Y22">
        <f>HYPERLINK("https://klasma.github.io/Logging_0884/tillsynsmail/A 22825-2023 tillsynsbegäran mail.docx", "A 22825-2023")</f>
        <v/>
      </c>
    </row>
    <row r="23" ht="15" customHeight="1">
      <c r="A23" t="inlineStr">
        <is>
          <t>A 14426-2026</t>
        </is>
      </c>
      <c r="B23" s="1" t="n">
        <v>46100.46956018519</v>
      </c>
      <c r="C23" s="1" t="n">
        <v>46188</v>
      </c>
      <c r="D23" t="inlineStr">
        <is>
          <t>KALMAR LÄN</t>
        </is>
      </c>
      <c r="E23" t="inlineStr">
        <is>
          <t>VIMMERBY</t>
        </is>
      </c>
      <c r="F23" t="inlineStr">
        <is>
          <t>Kyrkan</t>
        </is>
      </c>
      <c r="G23" t="n">
        <v>8.6</v>
      </c>
      <c r="H23" t="n">
        <v>1</v>
      </c>
      <c r="I23" t="n">
        <v>0</v>
      </c>
      <c r="J23" t="n">
        <v>1</v>
      </c>
      <c r="K23" t="n">
        <v>1</v>
      </c>
      <c r="L23" t="n">
        <v>0</v>
      </c>
      <c r="M23" t="n">
        <v>0</v>
      </c>
      <c r="N23" t="n">
        <v>0</v>
      </c>
      <c r="O23" t="n">
        <v>2</v>
      </c>
      <c r="P23" t="n">
        <v>1</v>
      </c>
      <c r="Q23" t="n">
        <v>2</v>
      </c>
      <c r="R23" s="2" t="inlineStr">
        <is>
          <t>Knärot
Tallticka</t>
        </is>
      </c>
      <c r="S23">
        <f>HYPERLINK("https://klasma.github.io/Logging_0884/artfynd/A 14426-2026 artfynd.xlsx", "A 14426-2026")</f>
        <v/>
      </c>
      <c r="T23">
        <f>HYPERLINK("https://klasma.github.io/Logging_0884/kartor/A 14426-2026 karta.png", "A 14426-2026")</f>
        <v/>
      </c>
      <c r="U23">
        <f>HYPERLINK("https://klasma.github.io/Logging_0884/knärot/A 14426-2026 karta knärot.png", "A 14426-2026")</f>
        <v/>
      </c>
      <c r="V23">
        <f>HYPERLINK("https://klasma.github.io/Logging_0884/klagomål/A 14426-2026 FSC-klagomål.docx", "A 14426-2026")</f>
        <v/>
      </c>
      <c r="W23">
        <f>HYPERLINK("https://klasma.github.io/Logging_0884/klagomålsmail/A 14426-2026 FSC-klagomål mail.docx", "A 14426-2026")</f>
        <v/>
      </c>
      <c r="X23">
        <f>HYPERLINK("https://klasma.github.io/Logging_0884/tillsyn/A 14426-2026 tillsynsbegäran.docx", "A 14426-2026")</f>
        <v/>
      </c>
      <c r="Y23">
        <f>HYPERLINK("https://klasma.github.io/Logging_0884/tillsynsmail/A 14426-2026 tillsynsbegäran mail.docx", "A 14426-2026")</f>
        <v/>
      </c>
    </row>
    <row r="24" ht="15" customHeight="1">
      <c r="A24" t="inlineStr">
        <is>
          <t>A 25155-2026</t>
        </is>
      </c>
      <c r="B24" s="1" t="n">
        <v>46175.44809027778</v>
      </c>
      <c r="C24" s="1" t="n">
        <v>46188</v>
      </c>
      <c r="D24" t="inlineStr">
        <is>
          <t>KALMAR LÄN</t>
        </is>
      </c>
      <c r="E24" t="inlineStr">
        <is>
          <t>VIMMERBY</t>
        </is>
      </c>
      <c r="G24" t="n">
        <v>2.9</v>
      </c>
      <c r="H24" t="n">
        <v>0</v>
      </c>
      <c r="I24" t="n">
        <v>1</v>
      </c>
      <c r="J24" t="n">
        <v>0</v>
      </c>
      <c r="K24" t="n">
        <v>0</v>
      </c>
      <c r="L24" t="n">
        <v>1</v>
      </c>
      <c r="M24" t="n">
        <v>0</v>
      </c>
      <c r="N24" t="n">
        <v>0</v>
      </c>
      <c r="O24" t="n">
        <v>1</v>
      </c>
      <c r="P24" t="n">
        <v>1</v>
      </c>
      <c r="Q24" t="n">
        <v>2</v>
      </c>
      <c r="R24" s="2" t="inlineStr">
        <is>
          <t>Ryl
Grönpyrola</t>
        </is>
      </c>
      <c r="S24">
        <f>HYPERLINK("https://klasma.github.io/Logging_0884/artfynd/A 25155-2026 artfynd.xlsx", "A 25155-2026")</f>
        <v/>
      </c>
      <c r="T24">
        <f>HYPERLINK("https://klasma.github.io/Logging_0884/kartor/A 25155-2026 karta.png", "A 25155-2026")</f>
        <v/>
      </c>
      <c r="V24">
        <f>HYPERLINK("https://klasma.github.io/Logging_0884/klagomål/A 25155-2026 FSC-klagomål.docx", "A 25155-2026")</f>
        <v/>
      </c>
      <c r="W24">
        <f>HYPERLINK("https://klasma.github.io/Logging_0884/klagomålsmail/A 25155-2026 FSC-klagomål mail.docx", "A 25155-2026")</f>
        <v/>
      </c>
      <c r="X24">
        <f>HYPERLINK("https://klasma.github.io/Logging_0884/tillsyn/A 25155-2026 tillsynsbegäran.docx", "A 25155-2026")</f>
        <v/>
      </c>
      <c r="Y24">
        <f>HYPERLINK("https://klasma.github.io/Logging_0884/tillsynsmail/A 25155-2026 tillsynsbegäran mail.docx", "A 25155-2026")</f>
        <v/>
      </c>
    </row>
    <row r="25" ht="15" customHeight="1">
      <c r="A25" t="inlineStr">
        <is>
          <t>A 22396-2025</t>
        </is>
      </c>
      <c r="B25" s="1" t="n">
        <v>45786.52827546297</v>
      </c>
      <c r="C25" s="1" t="n">
        <v>46188</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46188</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46188</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46188</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46188</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53404-2025</t>
        </is>
      </c>
      <c r="B30" s="1" t="n">
        <v>45959.57126157408</v>
      </c>
      <c r="C30" s="1" t="n">
        <v>46188</v>
      </c>
      <c r="D30" t="inlineStr">
        <is>
          <t>KALMAR LÄN</t>
        </is>
      </c>
      <c r="E30" t="inlineStr">
        <is>
          <t>VIMMERBY</t>
        </is>
      </c>
      <c r="G30" t="n">
        <v>6.4</v>
      </c>
      <c r="H30" t="n">
        <v>1</v>
      </c>
      <c r="I30" t="n">
        <v>0</v>
      </c>
      <c r="J30" t="n">
        <v>0</v>
      </c>
      <c r="K30" t="n">
        <v>1</v>
      </c>
      <c r="L30" t="n">
        <v>0</v>
      </c>
      <c r="M30" t="n">
        <v>0</v>
      </c>
      <c r="N30" t="n">
        <v>0</v>
      </c>
      <c r="O30" t="n">
        <v>1</v>
      </c>
      <c r="P30" t="n">
        <v>1</v>
      </c>
      <c r="Q30" t="n">
        <v>1</v>
      </c>
      <c r="R30" s="2" t="inlineStr">
        <is>
          <t>Knärot</t>
        </is>
      </c>
      <c r="S30">
        <f>HYPERLINK("https://klasma.github.io/Logging_0884/artfynd/A 53404-2025 artfynd.xlsx", "A 53404-2025")</f>
        <v/>
      </c>
      <c r="T30">
        <f>HYPERLINK("https://klasma.github.io/Logging_0884/kartor/A 53404-2025 karta.png", "A 53404-2025")</f>
        <v/>
      </c>
      <c r="U30">
        <f>HYPERLINK("https://klasma.github.io/Logging_0884/knärot/A 53404-2025 karta knärot.png", "A 53404-2025")</f>
        <v/>
      </c>
      <c r="V30">
        <f>HYPERLINK("https://klasma.github.io/Logging_0884/klagomål/A 53404-2025 FSC-klagomål.docx", "A 53404-2025")</f>
        <v/>
      </c>
      <c r="W30">
        <f>HYPERLINK("https://klasma.github.io/Logging_0884/klagomålsmail/A 53404-2025 FSC-klagomål mail.docx", "A 53404-2025")</f>
        <v/>
      </c>
      <c r="X30">
        <f>HYPERLINK("https://klasma.github.io/Logging_0884/tillsyn/A 53404-2025 tillsynsbegäran.docx", "A 53404-2025")</f>
        <v/>
      </c>
      <c r="Y30">
        <f>HYPERLINK("https://klasma.github.io/Logging_0884/tillsynsmail/A 53404-2025 tillsynsbegäran mail.docx", "A 53404-2025")</f>
        <v/>
      </c>
    </row>
    <row r="31" ht="15" customHeight="1">
      <c r="A31" t="inlineStr">
        <is>
          <t>A 28852-2023</t>
        </is>
      </c>
      <c r="B31" s="1" t="n">
        <v>45104</v>
      </c>
      <c r="C31" s="1" t="n">
        <v>46188</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57062-2025</t>
        </is>
      </c>
      <c r="B32" s="1" t="n">
        <v>45979.37598379629</v>
      </c>
      <c r="C32" s="1" t="n">
        <v>46188</v>
      </c>
      <c r="D32" t="inlineStr">
        <is>
          <t>KALMAR LÄN</t>
        </is>
      </c>
      <c r="E32" t="inlineStr">
        <is>
          <t>VIMMERBY</t>
        </is>
      </c>
      <c r="F32" t="inlineStr">
        <is>
          <t>Sveaskog</t>
        </is>
      </c>
      <c r="G32" t="n">
        <v>4.9</v>
      </c>
      <c r="H32" t="n">
        <v>1</v>
      </c>
      <c r="I32" t="n">
        <v>0</v>
      </c>
      <c r="J32" t="n">
        <v>0</v>
      </c>
      <c r="K32" t="n">
        <v>1</v>
      </c>
      <c r="L32" t="n">
        <v>0</v>
      </c>
      <c r="M32" t="n">
        <v>0</v>
      </c>
      <c r="N32" t="n">
        <v>0</v>
      </c>
      <c r="O32" t="n">
        <v>1</v>
      </c>
      <c r="P32" t="n">
        <v>1</v>
      </c>
      <c r="Q32" t="n">
        <v>1</v>
      </c>
      <c r="R32" s="2" t="inlineStr">
        <is>
          <t>Knärot</t>
        </is>
      </c>
      <c r="S32">
        <f>HYPERLINK("https://klasma.github.io/Logging_0884/artfynd/A 57062-2025 artfynd.xlsx", "A 57062-2025")</f>
        <v/>
      </c>
      <c r="T32">
        <f>HYPERLINK("https://klasma.github.io/Logging_0884/kartor/A 57062-2025 karta.png", "A 57062-2025")</f>
        <v/>
      </c>
      <c r="U32">
        <f>HYPERLINK("https://klasma.github.io/Logging_0884/knärot/A 57062-2025 karta knärot.png", "A 57062-2025")</f>
        <v/>
      </c>
      <c r="V32">
        <f>HYPERLINK("https://klasma.github.io/Logging_0884/klagomål/A 57062-2025 FSC-klagomål.docx", "A 57062-2025")</f>
        <v/>
      </c>
      <c r="W32">
        <f>HYPERLINK("https://klasma.github.io/Logging_0884/klagomålsmail/A 57062-2025 FSC-klagomål mail.docx", "A 57062-2025")</f>
        <v/>
      </c>
      <c r="X32">
        <f>HYPERLINK("https://klasma.github.io/Logging_0884/tillsyn/A 57062-2025 tillsynsbegäran.docx", "A 57062-2025")</f>
        <v/>
      </c>
      <c r="Y32">
        <f>HYPERLINK("https://klasma.github.io/Logging_0884/tillsynsmail/A 57062-2025 tillsynsbegäran mail.docx", "A 57062-2025")</f>
        <v/>
      </c>
    </row>
    <row r="33" ht="15" customHeight="1">
      <c r="A33" t="inlineStr">
        <is>
          <t>A 52301-2023</t>
        </is>
      </c>
      <c r="B33" s="1" t="n">
        <v>45224</v>
      </c>
      <c r="C33" s="1" t="n">
        <v>46188</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40083-2023</t>
        </is>
      </c>
      <c r="B34" s="1" t="n">
        <v>45168</v>
      </c>
      <c r="C34" s="1" t="n">
        <v>46188</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46188</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29183-2025</t>
        </is>
      </c>
      <c r="B36" s="1" t="n">
        <v>45821</v>
      </c>
      <c r="C36" s="1" t="n">
        <v>46188</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23602-2023</t>
        </is>
      </c>
      <c r="B37" s="1" t="n">
        <v>45077</v>
      </c>
      <c r="C37" s="1" t="n">
        <v>46188</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61860-2024</t>
        </is>
      </c>
      <c r="B38" s="1" t="n">
        <v>45649</v>
      </c>
      <c r="C38" s="1" t="n">
        <v>46188</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32985-2023</t>
        </is>
      </c>
      <c r="B39" s="1" t="n">
        <v>45125</v>
      </c>
      <c r="C39" s="1" t="n">
        <v>46188</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15122-2024</t>
        </is>
      </c>
      <c r="B40" s="1" t="n">
        <v>45399.71412037037</v>
      </c>
      <c r="C40" s="1" t="n">
        <v>46188</v>
      </c>
      <c r="D40" t="inlineStr">
        <is>
          <t>KALMAR LÄN</t>
        </is>
      </c>
      <c r="E40" t="inlineStr">
        <is>
          <t>VIMMERBY</t>
        </is>
      </c>
      <c r="G40" t="n">
        <v>1.7</v>
      </c>
      <c r="H40" t="n">
        <v>0</v>
      </c>
      <c r="I40" t="n">
        <v>0</v>
      </c>
      <c r="J40" t="n">
        <v>0</v>
      </c>
      <c r="K40" t="n">
        <v>1</v>
      </c>
      <c r="L40" t="n">
        <v>0</v>
      </c>
      <c r="M40" t="n">
        <v>0</v>
      </c>
      <c r="N40" t="n">
        <v>0</v>
      </c>
      <c r="O40" t="n">
        <v>1</v>
      </c>
      <c r="P40" t="n">
        <v>1</v>
      </c>
      <c r="Q40" t="n">
        <v>1</v>
      </c>
      <c r="R40" s="2" t="inlineStr">
        <is>
          <t>Sågfibbla</t>
        </is>
      </c>
      <c r="S40">
        <f>HYPERLINK("https://klasma.github.io/Logging_0884/artfynd/A 15122-2024 artfynd.xlsx", "A 15122-2024")</f>
        <v/>
      </c>
      <c r="T40">
        <f>HYPERLINK("https://klasma.github.io/Logging_0884/kartor/A 15122-2024 karta.png", "A 15122-2024")</f>
        <v/>
      </c>
      <c r="V40">
        <f>HYPERLINK("https://klasma.github.io/Logging_0884/klagomål/A 15122-2024 FSC-klagomål.docx", "A 15122-2024")</f>
        <v/>
      </c>
      <c r="W40">
        <f>HYPERLINK("https://klasma.github.io/Logging_0884/klagomålsmail/A 15122-2024 FSC-klagomål mail.docx", "A 15122-2024")</f>
        <v/>
      </c>
      <c r="X40">
        <f>HYPERLINK("https://klasma.github.io/Logging_0884/tillsyn/A 15122-2024 tillsynsbegäran.docx", "A 15122-2024")</f>
        <v/>
      </c>
      <c r="Y40">
        <f>HYPERLINK("https://klasma.github.io/Logging_0884/tillsynsmail/A 15122-2024 tillsynsbegäran mail.docx", "A 15122-2024")</f>
        <v/>
      </c>
    </row>
    <row r="41" ht="15" customHeight="1">
      <c r="A41" t="inlineStr">
        <is>
          <t>A 1201-2025</t>
        </is>
      </c>
      <c r="B41" s="1" t="n">
        <v>45667</v>
      </c>
      <c r="C41" s="1" t="n">
        <v>46188</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37930-2021</t>
        </is>
      </c>
      <c r="B42" s="1" t="n">
        <v>44403</v>
      </c>
      <c r="C42" s="1" t="n">
        <v>46188</v>
      </c>
      <c r="D42" t="inlineStr">
        <is>
          <t>KALMAR LÄN</t>
        </is>
      </c>
      <c r="E42" t="inlineStr">
        <is>
          <t>VIMMERBY</t>
        </is>
      </c>
      <c r="G42" t="n">
        <v>4.4</v>
      </c>
      <c r="H42" t="n">
        <v>0</v>
      </c>
      <c r="I42" t="n">
        <v>0</v>
      </c>
      <c r="J42" t="n">
        <v>1</v>
      </c>
      <c r="K42" t="n">
        <v>0</v>
      </c>
      <c r="L42" t="n">
        <v>0</v>
      </c>
      <c r="M42" t="n">
        <v>0</v>
      </c>
      <c r="N42" t="n">
        <v>0</v>
      </c>
      <c r="O42" t="n">
        <v>1</v>
      </c>
      <c r="P42" t="n">
        <v>0</v>
      </c>
      <c r="Q42" t="n">
        <v>1</v>
      </c>
      <c r="R42" s="2" t="inlineStr">
        <is>
          <t>Spindelört</t>
        </is>
      </c>
      <c r="S42">
        <f>HYPERLINK("https://klasma.github.io/Logging_0884/artfynd/A 37930-2021 artfynd.xlsx", "A 37930-2021")</f>
        <v/>
      </c>
      <c r="T42">
        <f>HYPERLINK("https://klasma.github.io/Logging_0884/kartor/A 37930-2021 karta.png", "A 37930-2021")</f>
        <v/>
      </c>
      <c r="V42">
        <f>HYPERLINK("https://klasma.github.io/Logging_0884/klagomål/A 37930-2021 FSC-klagomål.docx", "A 37930-2021")</f>
        <v/>
      </c>
      <c r="W42">
        <f>HYPERLINK("https://klasma.github.io/Logging_0884/klagomålsmail/A 37930-2021 FSC-klagomål mail.docx", "A 37930-2021")</f>
        <v/>
      </c>
      <c r="X42">
        <f>HYPERLINK("https://klasma.github.io/Logging_0884/tillsyn/A 37930-2021 tillsynsbegäran.docx", "A 37930-2021")</f>
        <v/>
      </c>
      <c r="Y42">
        <f>HYPERLINK("https://klasma.github.io/Logging_0884/tillsynsmail/A 37930-2021 tillsynsbegäran mail.docx", "A 37930-2021")</f>
        <v/>
      </c>
    </row>
    <row r="43" ht="15" customHeight="1">
      <c r="A43" t="inlineStr">
        <is>
          <t>A 33436-2021</t>
        </is>
      </c>
      <c r="B43" s="1" t="n">
        <v>44377.61104166666</v>
      </c>
      <c r="C43" s="1" t="n">
        <v>46188</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44515-2024</t>
        </is>
      </c>
      <c r="B44" s="1" t="n">
        <v>45574.42767361111</v>
      </c>
      <c r="C44" s="1" t="n">
        <v>46188</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59070-2021</t>
        </is>
      </c>
      <c r="B45" s="1" t="n">
        <v>44490.38613425926</v>
      </c>
      <c r="C45" s="1" t="n">
        <v>46188</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46188</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56754-2021</t>
        </is>
      </c>
      <c r="B47" s="1" t="n">
        <v>44481.47483796296</v>
      </c>
      <c r="C47" s="1" t="n">
        <v>46188</v>
      </c>
      <c r="D47" t="inlineStr">
        <is>
          <t>KALMAR LÄN</t>
        </is>
      </c>
      <c r="E47" t="inlineStr">
        <is>
          <t>VIMMERBY</t>
        </is>
      </c>
      <c r="G47" t="n">
        <v>1.4</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46188</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16283-2022</t>
        </is>
      </c>
      <c r="B49" s="1" t="n">
        <v>44670</v>
      </c>
      <c r="C49" s="1" t="n">
        <v>46188</v>
      </c>
      <c r="D49" t="inlineStr">
        <is>
          <t>KALMAR LÄN</t>
        </is>
      </c>
      <c r="E49" t="inlineStr">
        <is>
          <t>VIMMERBY</t>
        </is>
      </c>
      <c r="G49" t="n">
        <v>1.4</v>
      </c>
      <c r="H49" t="n">
        <v>0</v>
      </c>
      <c r="I49" t="n">
        <v>0</v>
      </c>
      <c r="J49" t="n">
        <v>0</v>
      </c>
      <c r="K49" t="n">
        <v>0</v>
      </c>
      <c r="L49" t="n">
        <v>0</v>
      </c>
      <c r="M49" t="n">
        <v>0</v>
      </c>
      <c r="N49" t="n">
        <v>0</v>
      </c>
      <c r="O49" t="n">
        <v>0</v>
      </c>
      <c r="P49" t="n">
        <v>0</v>
      </c>
      <c r="Q49" t="n">
        <v>0</v>
      </c>
      <c r="R49" s="2" t="inlineStr"/>
    </row>
    <row r="50" ht="15" customHeight="1">
      <c r="A50" t="inlineStr">
        <is>
          <t>A 16288-2022</t>
        </is>
      </c>
      <c r="B50" s="1" t="n">
        <v>44670</v>
      </c>
      <c r="C50" s="1" t="n">
        <v>46188</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8908-2022</t>
        </is>
      </c>
      <c r="B51" s="1" t="n">
        <v>44614</v>
      </c>
      <c r="C51" s="1" t="n">
        <v>46188</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38348-2021</t>
        </is>
      </c>
      <c r="B52" s="1" t="n">
        <v>44406</v>
      </c>
      <c r="C52" s="1" t="n">
        <v>46188</v>
      </c>
      <c r="D52" t="inlineStr">
        <is>
          <t>KALMAR LÄN</t>
        </is>
      </c>
      <c r="E52" t="inlineStr">
        <is>
          <t>VIMMERBY</t>
        </is>
      </c>
      <c r="G52" t="n">
        <v>2.2</v>
      </c>
      <c r="H52" t="n">
        <v>0</v>
      </c>
      <c r="I52" t="n">
        <v>0</v>
      </c>
      <c r="J52" t="n">
        <v>0</v>
      </c>
      <c r="K52" t="n">
        <v>0</v>
      </c>
      <c r="L52" t="n">
        <v>0</v>
      </c>
      <c r="M52" t="n">
        <v>0</v>
      </c>
      <c r="N52" t="n">
        <v>0</v>
      </c>
      <c r="O52" t="n">
        <v>0</v>
      </c>
      <c r="P52" t="n">
        <v>0</v>
      </c>
      <c r="Q52" t="n">
        <v>0</v>
      </c>
      <c r="R52" s="2" t="inlineStr"/>
    </row>
    <row r="53" ht="15" customHeight="1">
      <c r="A53" t="inlineStr">
        <is>
          <t>A 63926-2021</t>
        </is>
      </c>
      <c r="B53" s="1" t="n">
        <v>44509</v>
      </c>
      <c r="C53" s="1" t="n">
        <v>46188</v>
      </c>
      <c r="D53" t="inlineStr">
        <is>
          <t>KALMAR LÄN</t>
        </is>
      </c>
      <c r="E53" t="inlineStr">
        <is>
          <t>VIMMERBY</t>
        </is>
      </c>
      <c r="G53" t="n">
        <v>0.7</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46188</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46188</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46188</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46188</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46188</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2183-2022</t>
        </is>
      </c>
      <c r="B59" s="1" t="n">
        <v>44578.47597222222</v>
      </c>
      <c r="C59" s="1" t="n">
        <v>46188</v>
      </c>
      <c r="D59" t="inlineStr">
        <is>
          <t>KALMAR LÄN</t>
        </is>
      </c>
      <c r="E59" t="inlineStr">
        <is>
          <t>VIMMERBY</t>
        </is>
      </c>
      <c r="G59" t="n">
        <v>4.8</v>
      </c>
      <c r="H59" t="n">
        <v>0</v>
      </c>
      <c r="I59" t="n">
        <v>0</v>
      </c>
      <c r="J59" t="n">
        <v>0</v>
      </c>
      <c r="K59" t="n">
        <v>0</v>
      </c>
      <c r="L59" t="n">
        <v>0</v>
      </c>
      <c r="M59" t="n">
        <v>0</v>
      </c>
      <c r="N59" t="n">
        <v>0</v>
      </c>
      <c r="O59" t="n">
        <v>0</v>
      </c>
      <c r="P59" t="n">
        <v>0</v>
      </c>
      <c r="Q59" t="n">
        <v>0</v>
      </c>
      <c r="R59" s="2" t="inlineStr"/>
    </row>
    <row r="60" ht="15" customHeight="1">
      <c r="A60" t="inlineStr">
        <is>
          <t>A 65670-2021</t>
        </is>
      </c>
      <c r="B60" s="1" t="n">
        <v>44516.59703703703</v>
      </c>
      <c r="C60" s="1" t="n">
        <v>46188</v>
      </c>
      <c r="D60" t="inlineStr">
        <is>
          <t>KALMAR LÄN</t>
        </is>
      </c>
      <c r="E60" t="inlineStr">
        <is>
          <t>VIMMERBY</t>
        </is>
      </c>
      <c r="G60" t="n">
        <v>1.9</v>
      </c>
      <c r="H60" t="n">
        <v>0</v>
      </c>
      <c r="I60" t="n">
        <v>0</v>
      </c>
      <c r="J60" t="n">
        <v>0</v>
      </c>
      <c r="K60" t="n">
        <v>0</v>
      </c>
      <c r="L60" t="n">
        <v>0</v>
      </c>
      <c r="M60" t="n">
        <v>0</v>
      </c>
      <c r="N60" t="n">
        <v>0</v>
      </c>
      <c r="O60" t="n">
        <v>0</v>
      </c>
      <c r="P60" t="n">
        <v>0</v>
      </c>
      <c r="Q60" t="n">
        <v>0</v>
      </c>
      <c r="R60" s="2" t="inlineStr"/>
    </row>
    <row r="61" ht="15" customHeight="1">
      <c r="A61" t="inlineStr">
        <is>
          <t>A 41438-2022</t>
        </is>
      </c>
      <c r="B61" s="1" t="n">
        <v>44826.68010416667</v>
      </c>
      <c r="C61" s="1" t="n">
        <v>46188</v>
      </c>
      <c r="D61" t="inlineStr">
        <is>
          <t>KALMAR LÄN</t>
        </is>
      </c>
      <c r="E61" t="inlineStr">
        <is>
          <t>VIMMERBY</t>
        </is>
      </c>
      <c r="G61" t="n">
        <v>3.1</v>
      </c>
      <c r="H61" t="n">
        <v>0</v>
      </c>
      <c r="I61" t="n">
        <v>0</v>
      </c>
      <c r="J61" t="n">
        <v>0</v>
      </c>
      <c r="K61" t="n">
        <v>0</v>
      </c>
      <c r="L61" t="n">
        <v>0</v>
      </c>
      <c r="M61" t="n">
        <v>0</v>
      </c>
      <c r="N61" t="n">
        <v>0</v>
      </c>
      <c r="O61" t="n">
        <v>0</v>
      </c>
      <c r="P61" t="n">
        <v>0</v>
      </c>
      <c r="Q61" t="n">
        <v>0</v>
      </c>
      <c r="R61" s="2" t="inlineStr"/>
    </row>
    <row r="62" ht="15" customHeight="1">
      <c r="A62" t="inlineStr">
        <is>
          <t>A 50809-2022</t>
        </is>
      </c>
      <c r="B62" s="1" t="n">
        <v>44862</v>
      </c>
      <c r="C62" s="1" t="n">
        <v>46188</v>
      </c>
      <c r="D62" t="inlineStr">
        <is>
          <t>KALMAR LÄN</t>
        </is>
      </c>
      <c r="E62" t="inlineStr">
        <is>
          <t>VIMMERBY</t>
        </is>
      </c>
      <c r="G62" t="n">
        <v>3.7</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46188</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46188</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46188</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46188</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71626-2021</t>
        </is>
      </c>
      <c r="B67" s="1" t="n">
        <v>44542.8859375</v>
      </c>
      <c r="C67" s="1" t="n">
        <v>46188</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59791-2021</t>
        </is>
      </c>
      <c r="B68" s="1" t="n">
        <v>44494</v>
      </c>
      <c r="C68" s="1" t="n">
        <v>46188</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46188</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46188</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46188</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46188</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46188</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46188</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46188</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46188</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46188</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46188</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46188</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46188</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46188</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46188</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46188</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46188</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46188</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46188</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46188</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33690-2022</t>
        </is>
      </c>
      <c r="B89" s="1" t="n">
        <v>44789</v>
      </c>
      <c r="C89" s="1" t="n">
        <v>46188</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35198-2021</t>
        </is>
      </c>
      <c r="B90" s="1" t="n">
        <v>44377</v>
      </c>
      <c r="C90" s="1" t="n">
        <v>46188</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4042-2022</t>
        </is>
      </c>
      <c r="B91" s="1" t="n">
        <v>44588</v>
      </c>
      <c r="C91" s="1" t="n">
        <v>46188</v>
      </c>
      <c r="D91" t="inlineStr">
        <is>
          <t>KALMAR LÄN</t>
        </is>
      </c>
      <c r="E91" t="inlineStr">
        <is>
          <t>VIMMERBY</t>
        </is>
      </c>
      <c r="G91" t="n">
        <v>4.7</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46188</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56385-2021</t>
        </is>
      </c>
      <c r="B93" s="1" t="n">
        <v>44480</v>
      </c>
      <c r="C93" s="1" t="n">
        <v>46188</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31053-2022</t>
        </is>
      </c>
      <c r="B94" s="1" t="n">
        <v>44769.45422453704</v>
      </c>
      <c r="C94" s="1" t="n">
        <v>46188</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11814-2022</t>
        </is>
      </c>
      <c r="B95" s="1" t="n">
        <v>44634.69703703704</v>
      </c>
      <c r="C95" s="1" t="n">
        <v>46188</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46188</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46188</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46188</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46188</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46188</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46188</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46188</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46188</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46188</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46188</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46188</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46188</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46188</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46188</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46188</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47769-2022</t>
        </is>
      </c>
      <c r="B112" s="1" t="n">
        <v>44854</v>
      </c>
      <c r="C112" s="1" t="n">
        <v>46188</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40077-2021</t>
        </is>
      </c>
      <c r="B113" s="1" t="n">
        <v>44418</v>
      </c>
      <c r="C113" s="1" t="n">
        <v>46188</v>
      </c>
      <c r="D113" t="inlineStr">
        <is>
          <t>KALMAR LÄN</t>
        </is>
      </c>
      <c r="E113" t="inlineStr">
        <is>
          <t>VIMMERBY</t>
        </is>
      </c>
      <c r="G113" t="n">
        <v>2.9</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46188</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46188</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47708-2022</t>
        </is>
      </c>
      <c r="B116" s="1" t="n">
        <v>44854.59157407407</v>
      </c>
      <c r="C116" s="1" t="n">
        <v>46188</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9918-2022</t>
        </is>
      </c>
      <c r="B117" s="1" t="n">
        <v>44620</v>
      </c>
      <c r="C117" s="1" t="n">
        <v>46188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23825-2022</t>
        </is>
      </c>
      <c r="B118" s="1" t="n">
        <v>44722.48768518519</v>
      </c>
      <c r="C118" s="1" t="n">
        <v>46188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47473-2021</t>
        </is>
      </c>
      <c r="B119" s="1" t="n">
        <v>44447</v>
      </c>
      <c r="C119" s="1" t="n">
        <v>46188</v>
      </c>
      <c r="D119" t="inlineStr">
        <is>
          <t>KALMAR LÄN</t>
        </is>
      </c>
      <c r="E119" t="inlineStr">
        <is>
          <t>VIMMERBY</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41056-2022</t>
        </is>
      </c>
      <c r="B120" s="1" t="n">
        <v>44824</v>
      </c>
      <c r="C120" s="1" t="n">
        <v>46188</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31660-2021</t>
        </is>
      </c>
      <c r="B121" s="1" t="n">
        <v>44369</v>
      </c>
      <c r="C121" s="1" t="n">
        <v>46188</v>
      </c>
      <c r="D121" t="inlineStr">
        <is>
          <t>KALMAR LÄN</t>
        </is>
      </c>
      <c r="E121" t="inlineStr">
        <is>
          <t>VIMMERBY</t>
        </is>
      </c>
      <c r="G121" t="n">
        <v>4.2</v>
      </c>
      <c r="H121" t="n">
        <v>0</v>
      </c>
      <c r="I121" t="n">
        <v>0</v>
      </c>
      <c r="J121" t="n">
        <v>0</v>
      </c>
      <c r="K121" t="n">
        <v>0</v>
      </c>
      <c r="L121" t="n">
        <v>0</v>
      </c>
      <c r="M121" t="n">
        <v>0</v>
      </c>
      <c r="N121" t="n">
        <v>0</v>
      </c>
      <c r="O121" t="n">
        <v>0</v>
      </c>
      <c r="P121" t="n">
        <v>0</v>
      </c>
      <c r="Q121" t="n">
        <v>0</v>
      </c>
      <c r="R121" s="2" t="inlineStr"/>
    </row>
    <row r="122" ht="15" customHeight="1">
      <c r="A122" t="inlineStr">
        <is>
          <t>A 27455-2022</t>
        </is>
      </c>
      <c r="B122" s="1" t="n">
        <v>44742</v>
      </c>
      <c r="C122" s="1" t="n">
        <v>46188</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35316-2021</t>
        </is>
      </c>
      <c r="B123" s="1" t="n">
        <v>44384</v>
      </c>
      <c r="C123" s="1" t="n">
        <v>46188</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33831-2022</t>
        </is>
      </c>
      <c r="B124" s="1" t="n">
        <v>44790.48503472222</v>
      </c>
      <c r="C124" s="1" t="n">
        <v>46188</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36117-2021</t>
        </is>
      </c>
      <c r="B125" s="1" t="n">
        <v>44386</v>
      </c>
      <c r="C125" s="1" t="n">
        <v>46188</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42521-2021</t>
        </is>
      </c>
      <c r="B126" s="1" t="n">
        <v>44427</v>
      </c>
      <c r="C126" s="1" t="n">
        <v>46188</v>
      </c>
      <c r="D126" t="inlineStr">
        <is>
          <t>KALMAR LÄN</t>
        </is>
      </c>
      <c r="E126" t="inlineStr">
        <is>
          <t>VIMMERBY</t>
        </is>
      </c>
      <c r="G126" t="n">
        <v>5.4</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44851.95016203704</v>
      </c>
      <c r="C127" s="1" t="n">
        <v>46188</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46188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32603-2021</t>
        </is>
      </c>
      <c r="B129" s="1" t="n">
        <v>44375.38789351852</v>
      </c>
      <c r="C129" s="1" t="n">
        <v>46188</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46188</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44876.48346064815</v>
      </c>
      <c r="C131" s="1" t="n">
        <v>46188</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44733.43092592592</v>
      </c>
      <c r="C132" s="1" t="n">
        <v>46188</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46188</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46188</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8453-2022</t>
        </is>
      </c>
      <c r="B135" s="1" t="n">
        <v>44612.86554398148</v>
      </c>
      <c r="C135" s="1" t="n">
        <v>46188</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52433-2021</t>
        </is>
      </c>
      <c r="B136" s="1" t="n">
        <v>44466.34726851852</v>
      </c>
      <c r="C136" s="1" t="n">
        <v>46188</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50621-2022</t>
        </is>
      </c>
      <c r="B137" s="1" t="n">
        <v>44866.81100694444</v>
      </c>
      <c r="C137" s="1" t="n">
        <v>46188</v>
      </c>
      <c r="D137" t="inlineStr">
        <is>
          <t>KALMAR LÄN</t>
        </is>
      </c>
      <c r="E137" t="inlineStr">
        <is>
          <t>VIMMERBY</t>
        </is>
      </c>
      <c r="F137" t="inlineStr">
        <is>
          <t>Övriga Aktiebolag</t>
        </is>
      </c>
      <c r="G137" t="n">
        <v>5.1</v>
      </c>
      <c r="H137" t="n">
        <v>0</v>
      </c>
      <c r="I137" t="n">
        <v>0</v>
      </c>
      <c r="J137" t="n">
        <v>0</v>
      </c>
      <c r="K137" t="n">
        <v>0</v>
      </c>
      <c r="L137" t="n">
        <v>0</v>
      </c>
      <c r="M137" t="n">
        <v>0</v>
      </c>
      <c r="N137" t="n">
        <v>0</v>
      </c>
      <c r="O137" t="n">
        <v>0</v>
      </c>
      <c r="P137" t="n">
        <v>0</v>
      </c>
      <c r="Q137" t="n">
        <v>0</v>
      </c>
      <c r="R137" s="2" t="inlineStr"/>
    </row>
    <row r="138" ht="15" customHeight="1">
      <c r="A138" t="inlineStr">
        <is>
          <t>A 54065-2021</t>
        </is>
      </c>
      <c r="B138" s="1" t="n">
        <v>44470.44232638889</v>
      </c>
      <c r="C138" s="1" t="n">
        <v>46188</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11733-2022</t>
        </is>
      </c>
      <c r="B139" s="1" t="n">
        <v>44634</v>
      </c>
      <c r="C139" s="1" t="n">
        <v>46188</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31824-2022</t>
        </is>
      </c>
      <c r="B140" s="1" t="n">
        <v>44776</v>
      </c>
      <c r="C140" s="1" t="n">
        <v>46188</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7804-2022</t>
        </is>
      </c>
      <c r="B141" s="1" t="n">
        <v>44608.50458333334</v>
      </c>
      <c r="C141" s="1" t="n">
        <v>46188</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39042-2022</t>
        </is>
      </c>
      <c r="B142" s="1" t="n">
        <v>44817</v>
      </c>
      <c r="C142" s="1" t="n">
        <v>46188</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4076-2022</t>
        </is>
      </c>
      <c r="B143" s="1" t="n">
        <v>44588.37998842593</v>
      </c>
      <c r="C143" s="1" t="n">
        <v>46188</v>
      </c>
      <c r="D143" t="inlineStr">
        <is>
          <t>KALMAR LÄN</t>
        </is>
      </c>
      <c r="E143" t="inlineStr">
        <is>
          <t>VIMMERBY</t>
        </is>
      </c>
      <c r="G143" t="n">
        <v>3</v>
      </c>
      <c r="H143" t="n">
        <v>0</v>
      </c>
      <c r="I143" t="n">
        <v>0</v>
      </c>
      <c r="J143" t="n">
        <v>0</v>
      </c>
      <c r="K143" t="n">
        <v>0</v>
      </c>
      <c r="L143" t="n">
        <v>0</v>
      </c>
      <c r="M143" t="n">
        <v>0</v>
      </c>
      <c r="N143" t="n">
        <v>0</v>
      </c>
      <c r="O143" t="n">
        <v>0</v>
      </c>
      <c r="P143" t="n">
        <v>0</v>
      </c>
      <c r="Q143" t="n">
        <v>0</v>
      </c>
      <c r="R143" s="2" t="inlineStr"/>
    </row>
    <row r="144" ht="15" customHeight="1">
      <c r="A144" t="inlineStr">
        <is>
          <t>A 4122-2022</t>
        </is>
      </c>
      <c r="B144" s="1" t="n">
        <v>44588</v>
      </c>
      <c r="C144" s="1" t="n">
        <v>46188</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11609-2023</t>
        </is>
      </c>
      <c r="B145" s="1" t="n">
        <v>44994.40635416667</v>
      </c>
      <c r="C145" s="1" t="n">
        <v>46188</v>
      </c>
      <c r="D145" t="inlineStr">
        <is>
          <t>KALMAR LÄN</t>
        </is>
      </c>
      <c r="E145" t="inlineStr">
        <is>
          <t>VIMMERBY</t>
        </is>
      </c>
      <c r="G145" t="n">
        <v>4.9</v>
      </c>
      <c r="H145" t="n">
        <v>0</v>
      </c>
      <c r="I145" t="n">
        <v>0</v>
      </c>
      <c r="J145" t="n">
        <v>0</v>
      </c>
      <c r="K145" t="n">
        <v>0</v>
      </c>
      <c r="L145" t="n">
        <v>0</v>
      </c>
      <c r="M145" t="n">
        <v>0</v>
      </c>
      <c r="N145" t="n">
        <v>0</v>
      </c>
      <c r="O145" t="n">
        <v>0</v>
      </c>
      <c r="P145" t="n">
        <v>0</v>
      </c>
      <c r="Q145" t="n">
        <v>0</v>
      </c>
      <c r="R145" s="2" t="inlineStr"/>
    </row>
    <row r="146" ht="15" customHeight="1">
      <c r="A146" t="inlineStr">
        <is>
          <t>A 16983-2023</t>
        </is>
      </c>
      <c r="B146" s="1" t="n">
        <v>45033.76043981482</v>
      </c>
      <c r="C146" s="1" t="n">
        <v>46188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46144-2023</t>
        </is>
      </c>
      <c r="B147" s="1" t="n">
        <v>45196.57247685185</v>
      </c>
      <c r="C147" s="1" t="n">
        <v>46188</v>
      </c>
      <c r="D147" t="inlineStr">
        <is>
          <t>KALMAR LÄN</t>
        </is>
      </c>
      <c r="E147" t="inlineStr">
        <is>
          <t>VIMMERBY</t>
        </is>
      </c>
      <c r="G147" t="n">
        <v>6.5</v>
      </c>
      <c r="H147" t="n">
        <v>0</v>
      </c>
      <c r="I147" t="n">
        <v>0</v>
      </c>
      <c r="J147" t="n">
        <v>0</v>
      </c>
      <c r="K147" t="n">
        <v>0</v>
      </c>
      <c r="L147" t="n">
        <v>0</v>
      </c>
      <c r="M147" t="n">
        <v>0</v>
      </c>
      <c r="N147" t="n">
        <v>0</v>
      </c>
      <c r="O147" t="n">
        <v>0</v>
      </c>
      <c r="P147" t="n">
        <v>0</v>
      </c>
      <c r="Q147" t="n">
        <v>0</v>
      </c>
      <c r="R147" s="2" t="inlineStr"/>
    </row>
    <row r="148" ht="15" customHeight="1">
      <c r="A148" t="inlineStr">
        <is>
          <t>A 30402-2023</t>
        </is>
      </c>
      <c r="B148" s="1" t="n">
        <v>45111.48395833333</v>
      </c>
      <c r="C148" s="1" t="n">
        <v>46188</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56213-2024</t>
        </is>
      </c>
      <c r="B149" s="1" t="n">
        <v>45624.60141203704</v>
      </c>
      <c r="C149" s="1" t="n">
        <v>46188</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58962-2022</t>
        </is>
      </c>
      <c r="B150" s="1" t="n">
        <v>44903</v>
      </c>
      <c r="C150" s="1" t="n">
        <v>46188</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7643-2022</t>
        </is>
      </c>
      <c r="B151" s="1" t="n">
        <v>44607</v>
      </c>
      <c r="C151" s="1" t="n">
        <v>46188</v>
      </c>
      <c r="D151" t="inlineStr">
        <is>
          <t>KALMAR LÄN</t>
        </is>
      </c>
      <c r="E151" t="inlineStr">
        <is>
          <t>VIMMERBY</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54409-2024</t>
        </is>
      </c>
      <c r="B152" s="1" t="n">
        <v>45617.47570601852</v>
      </c>
      <c r="C152" s="1" t="n">
        <v>46188</v>
      </c>
      <c r="D152" t="inlineStr">
        <is>
          <t>KALMAR LÄN</t>
        </is>
      </c>
      <c r="E152" t="inlineStr">
        <is>
          <t>VIMMERBY</t>
        </is>
      </c>
      <c r="G152" t="n">
        <v>4.3</v>
      </c>
      <c r="H152" t="n">
        <v>0</v>
      </c>
      <c r="I152" t="n">
        <v>0</v>
      </c>
      <c r="J152" t="n">
        <v>0</v>
      </c>
      <c r="K152" t="n">
        <v>0</v>
      </c>
      <c r="L152" t="n">
        <v>0</v>
      </c>
      <c r="M152" t="n">
        <v>0</v>
      </c>
      <c r="N152" t="n">
        <v>0</v>
      </c>
      <c r="O152" t="n">
        <v>0</v>
      </c>
      <c r="P152" t="n">
        <v>0</v>
      </c>
      <c r="Q152" t="n">
        <v>0</v>
      </c>
      <c r="R152" s="2" t="inlineStr"/>
    </row>
    <row r="153" ht="15" customHeight="1">
      <c r="A153" t="inlineStr">
        <is>
          <t>A 31382-2023</t>
        </is>
      </c>
      <c r="B153" s="1" t="n">
        <v>45114.55136574074</v>
      </c>
      <c r="C153" s="1" t="n">
        <v>46188</v>
      </c>
      <c r="D153" t="inlineStr">
        <is>
          <t>KALMAR LÄN</t>
        </is>
      </c>
      <c r="E153" t="inlineStr">
        <is>
          <t>VIMMERBY</t>
        </is>
      </c>
      <c r="G153" t="n">
        <v>3.7</v>
      </c>
      <c r="H153" t="n">
        <v>0</v>
      </c>
      <c r="I153" t="n">
        <v>0</v>
      </c>
      <c r="J153" t="n">
        <v>0</v>
      </c>
      <c r="K153" t="n">
        <v>0</v>
      </c>
      <c r="L153" t="n">
        <v>0</v>
      </c>
      <c r="M153" t="n">
        <v>0</v>
      </c>
      <c r="N153" t="n">
        <v>0</v>
      </c>
      <c r="O153" t="n">
        <v>0</v>
      </c>
      <c r="P153" t="n">
        <v>0</v>
      </c>
      <c r="Q153" t="n">
        <v>0</v>
      </c>
      <c r="R153" s="2" t="inlineStr"/>
    </row>
    <row r="154" ht="15" customHeight="1">
      <c r="A154" t="inlineStr">
        <is>
          <t>A 10837-2023</t>
        </is>
      </c>
      <c r="B154" s="1" t="n">
        <v>44991.30547453704</v>
      </c>
      <c r="C154" s="1" t="n">
        <v>46188</v>
      </c>
      <c r="D154" t="inlineStr">
        <is>
          <t>KALMAR LÄN</t>
        </is>
      </c>
      <c r="E154" t="inlineStr">
        <is>
          <t>VIMMERBY</t>
        </is>
      </c>
      <c r="G154" t="n">
        <v>7.3</v>
      </c>
      <c r="H154" t="n">
        <v>0</v>
      </c>
      <c r="I154" t="n">
        <v>0</v>
      </c>
      <c r="J154" t="n">
        <v>0</v>
      </c>
      <c r="K154" t="n">
        <v>0</v>
      </c>
      <c r="L154" t="n">
        <v>0</v>
      </c>
      <c r="M154" t="n">
        <v>0</v>
      </c>
      <c r="N154" t="n">
        <v>0</v>
      </c>
      <c r="O154" t="n">
        <v>0</v>
      </c>
      <c r="P154" t="n">
        <v>0</v>
      </c>
      <c r="Q154" t="n">
        <v>0</v>
      </c>
      <c r="R154" s="2" t="inlineStr"/>
    </row>
    <row r="155" ht="15" customHeight="1">
      <c r="A155" t="inlineStr">
        <is>
          <t>A 10838-2023</t>
        </is>
      </c>
      <c r="B155" s="1" t="n">
        <v>44991</v>
      </c>
      <c r="C155" s="1" t="n">
        <v>46188</v>
      </c>
      <c r="D155" t="inlineStr">
        <is>
          <t>KALMAR LÄN</t>
        </is>
      </c>
      <c r="E155" t="inlineStr">
        <is>
          <t>VIMMERBY</t>
        </is>
      </c>
      <c r="G155" t="n">
        <v>5.1</v>
      </c>
      <c r="H155" t="n">
        <v>0</v>
      </c>
      <c r="I155" t="n">
        <v>0</v>
      </c>
      <c r="J155" t="n">
        <v>0</v>
      </c>
      <c r="K155" t="n">
        <v>0</v>
      </c>
      <c r="L155" t="n">
        <v>0</v>
      </c>
      <c r="M155" t="n">
        <v>0</v>
      </c>
      <c r="N155" t="n">
        <v>0</v>
      </c>
      <c r="O155" t="n">
        <v>0</v>
      </c>
      <c r="P155" t="n">
        <v>0</v>
      </c>
      <c r="Q155" t="n">
        <v>0</v>
      </c>
      <c r="R155" s="2" t="inlineStr"/>
    </row>
    <row r="156" ht="15" customHeight="1">
      <c r="A156" t="inlineStr">
        <is>
          <t>A 16825-2024</t>
        </is>
      </c>
      <c r="B156" s="1" t="n">
        <v>45411.47335648148</v>
      </c>
      <c r="C156" s="1" t="n">
        <v>46188</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11027-2023</t>
        </is>
      </c>
      <c r="B157" s="1" t="n">
        <v>44991.89657407408</v>
      </c>
      <c r="C157" s="1" t="n">
        <v>46188</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53483-2022</t>
        </is>
      </c>
      <c r="B158" s="1" t="n">
        <v>44879.55940972222</v>
      </c>
      <c r="C158" s="1" t="n">
        <v>46188</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48408-2025</t>
        </is>
      </c>
      <c r="B159" s="1" t="n">
        <v>45934.40527777778</v>
      </c>
      <c r="C159" s="1" t="n">
        <v>46188</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42918-2021</t>
        </is>
      </c>
      <c r="B160" s="1" t="n">
        <v>44431</v>
      </c>
      <c r="C160" s="1" t="n">
        <v>46188</v>
      </c>
      <c r="D160" t="inlineStr">
        <is>
          <t>KALMAR LÄN</t>
        </is>
      </c>
      <c r="E160" t="inlineStr">
        <is>
          <t>VIMMERBY</t>
        </is>
      </c>
      <c r="G160" t="n">
        <v>1.6</v>
      </c>
      <c r="H160" t="n">
        <v>0</v>
      </c>
      <c r="I160" t="n">
        <v>0</v>
      </c>
      <c r="J160" t="n">
        <v>0</v>
      </c>
      <c r="K160" t="n">
        <v>0</v>
      </c>
      <c r="L160" t="n">
        <v>0</v>
      </c>
      <c r="M160" t="n">
        <v>0</v>
      </c>
      <c r="N160" t="n">
        <v>0</v>
      </c>
      <c r="O160" t="n">
        <v>0</v>
      </c>
      <c r="P160" t="n">
        <v>0</v>
      </c>
      <c r="Q160" t="n">
        <v>0</v>
      </c>
      <c r="R160" s="2" t="inlineStr"/>
    </row>
    <row r="161" ht="15" customHeight="1">
      <c r="A161" t="inlineStr">
        <is>
          <t>A 19162-2023</t>
        </is>
      </c>
      <c r="B161" s="1" t="n">
        <v>45048.59699074074</v>
      </c>
      <c r="C161" s="1" t="n">
        <v>46188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22643-2023</t>
        </is>
      </c>
      <c r="B162" s="1" t="n">
        <v>45071</v>
      </c>
      <c r="C162" s="1" t="n">
        <v>46188</v>
      </c>
      <c r="D162" t="inlineStr">
        <is>
          <t>KALMAR LÄN</t>
        </is>
      </c>
      <c r="E162" t="inlineStr">
        <is>
          <t>VIMMERBY</t>
        </is>
      </c>
      <c r="G162" t="n">
        <v>3.9</v>
      </c>
      <c r="H162" t="n">
        <v>0</v>
      </c>
      <c r="I162" t="n">
        <v>0</v>
      </c>
      <c r="J162" t="n">
        <v>0</v>
      </c>
      <c r="K162" t="n">
        <v>0</v>
      </c>
      <c r="L162" t="n">
        <v>0</v>
      </c>
      <c r="M162" t="n">
        <v>0</v>
      </c>
      <c r="N162" t="n">
        <v>0</v>
      </c>
      <c r="O162" t="n">
        <v>0</v>
      </c>
      <c r="P162" t="n">
        <v>0</v>
      </c>
      <c r="Q162" t="n">
        <v>0</v>
      </c>
      <c r="R162" s="2" t="inlineStr"/>
    </row>
    <row r="163" ht="15" customHeight="1">
      <c r="A163" t="inlineStr">
        <is>
          <t>A 9475-2023</t>
        </is>
      </c>
      <c r="B163" s="1" t="n">
        <v>44981.58834490741</v>
      </c>
      <c r="C163" s="1" t="n">
        <v>46188</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38780-2021</t>
        </is>
      </c>
      <c r="B164" s="1" t="n">
        <v>44410</v>
      </c>
      <c r="C164" s="1" t="n">
        <v>46188</v>
      </c>
      <c r="D164" t="inlineStr">
        <is>
          <t>KALMAR LÄN</t>
        </is>
      </c>
      <c r="E164" t="inlineStr">
        <is>
          <t>VIMMERBY</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19537-2022</t>
        </is>
      </c>
      <c r="B165" s="1" t="n">
        <v>44693.62822916666</v>
      </c>
      <c r="C165" s="1" t="n">
        <v>46188</v>
      </c>
      <c r="D165" t="inlineStr">
        <is>
          <t>KALMAR LÄN</t>
        </is>
      </c>
      <c r="E165" t="inlineStr">
        <is>
          <t>VIMMERBY</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29020-2024</t>
        </is>
      </c>
      <c r="B166" s="1" t="n">
        <v>45481.58048611111</v>
      </c>
      <c r="C166" s="1" t="n">
        <v>46188</v>
      </c>
      <c r="D166" t="inlineStr">
        <is>
          <t>KALMAR LÄN</t>
        </is>
      </c>
      <c r="E166" t="inlineStr">
        <is>
          <t>VIMMERBY</t>
        </is>
      </c>
      <c r="G166" t="n">
        <v>2.3</v>
      </c>
      <c r="H166" t="n">
        <v>0</v>
      </c>
      <c r="I166" t="n">
        <v>0</v>
      </c>
      <c r="J166" t="n">
        <v>0</v>
      </c>
      <c r="K166" t="n">
        <v>0</v>
      </c>
      <c r="L166" t="n">
        <v>0</v>
      </c>
      <c r="M166" t="n">
        <v>0</v>
      </c>
      <c r="N166" t="n">
        <v>0</v>
      </c>
      <c r="O166" t="n">
        <v>0</v>
      </c>
      <c r="P166" t="n">
        <v>0</v>
      </c>
      <c r="Q166" t="n">
        <v>0</v>
      </c>
      <c r="R166" s="2" t="inlineStr"/>
    </row>
    <row r="167" ht="15" customHeight="1">
      <c r="A167" t="inlineStr">
        <is>
          <t>A 30406-2023</t>
        </is>
      </c>
      <c r="B167" s="1" t="n">
        <v>45111.48787037037</v>
      </c>
      <c r="C167" s="1" t="n">
        <v>46188</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13817-2024</t>
        </is>
      </c>
      <c r="B168" s="1" t="n">
        <v>45391.41976851852</v>
      </c>
      <c r="C168" s="1" t="n">
        <v>46188</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60951-2023</t>
        </is>
      </c>
      <c r="B169" s="1" t="n">
        <v>45261.44914351852</v>
      </c>
      <c r="C169" s="1" t="n">
        <v>46188</v>
      </c>
      <c r="D169" t="inlineStr">
        <is>
          <t>KALMAR LÄN</t>
        </is>
      </c>
      <c r="E169" t="inlineStr">
        <is>
          <t>VIMMERBY</t>
        </is>
      </c>
      <c r="G169" t="n">
        <v>4.3</v>
      </c>
      <c r="H169" t="n">
        <v>0</v>
      </c>
      <c r="I169" t="n">
        <v>0</v>
      </c>
      <c r="J169" t="n">
        <v>0</v>
      </c>
      <c r="K169" t="n">
        <v>0</v>
      </c>
      <c r="L169" t="n">
        <v>0</v>
      </c>
      <c r="M169" t="n">
        <v>0</v>
      </c>
      <c r="N169" t="n">
        <v>0</v>
      </c>
      <c r="O169" t="n">
        <v>0</v>
      </c>
      <c r="P169" t="n">
        <v>0</v>
      </c>
      <c r="Q169" t="n">
        <v>0</v>
      </c>
      <c r="R169" s="2" t="inlineStr"/>
    </row>
    <row r="170" ht="15" customHeight="1">
      <c r="A170" t="inlineStr">
        <is>
          <t>A 60292-2022</t>
        </is>
      </c>
      <c r="B170" s="1" t="n">
        <v>44910.54231481482</v>
      </c>
      <c r="C170" s="1" t="n">
        <v>46188</v>
      </c>
      <c r="D170" t="inlineStr">
        <is>
          <t>KALMAR LÄN</t>
        </is>
      </c>
      <c r="E170" t="inlineStr">
        <is>
          <t>VIMMERBY</t>
        </is>
      </c>
      <c r="G170" t="n">
        <v>4.4</v>
      </c>
      <c r="H170" t="n">
        <v>0</v>
      </c>
      <c r="I170" t="n">
        <v>0</v>
      </c>
      <c r="J170" t="n">
        <v>0</v>
      </c>
      <c r="K170" t="n">
        <v>0</v>
      </c>
      <c r="L170" t="n">
        <v>0</v>
      </c>
      <c r="M170" t="n">
        <v>0</v>
      </c>
      <c r="N170" t="n">
        <v>0</v>
      </c>
      <c r="O170" t="n">
        <v>0</v>
      </c>
      <c r="P170" t="n">
        <v>0</v>
      </c>
      <c r="Q170" t="n">
        <v>0</v>
      </c>
      <c r="R170" s="2" t="inlineStr"/>
    </row>
    <row r="171" ht="15" customHeight="1">
      <c r="A171" t="inlineStr">
        <is>
          <t>A 7485-2024</t>
        </is>
      </c>
      <c r="B171" s="1" t="n">
        <v>45346.67184027778</v>
      </c>
      <c r="C171" s="1" t="n">
        <v>46188</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12590-2025</t>
        </is>
      </c>
      <c r="B172" s="1" t="n">
        <v>45732.79925925926</v>
      </c>
      <c r="C172" s="1" t="n">
        <v>46188</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35710-2023</t>
        </is>
      </c>
      <c r="B173" s="1" t="n">
        <v>45147.67096064815</v>
      </c>
      <c r="C173" s="1" t="n">
        <v>46188</v>
      </c>
      <c r="D173" t="inlineStr">
        <is>
          <t>KALMAR LÄN</t>
        </is>
      </c>
      <c r="E173" t="inlineStr">
        <is>
          <t>VIMMERBY</t>
        </is>
      </c>
      <c r="G173" t="n">
        <v>3.1</v>
      </c>
      <c r="H173" t="n">
        <v>0</v>
      </c>
      <c r="I173" t="n">
        <v>0</v>
      </c>
      <c r="J173" t="n">
        <v>0</v>
      </c>
      <c r="K173" t="n">
        <v>0</v>
      </c>
      <c r="L173" t="n">
        <v>0</v>
      </c>
      <c r="M173" t="n">
        <v>0</v>
      </c>
      <c r="N173" t="n">
        <v>0</v>
      </c>
      <c r="O173" t="n">
        <v>0</v>
      </c>
      <c r="P173" t="n">
        <v>0</v>
      </c>
      <c r="Q173" t="n">
        <v>0</v>
      </c>
      <c r="R173" s="2" t="inlineStr"/>
    </row>
    <row r="174" ht="15" customHeight="1">
      <c r="A174" t="inlineStr">
        <is>
          <t>A 38604-2025</t>
        </is>
      </c>
      <c r="B174" s="1" t="n">
        <v>45884.50613425926</v>
      </c>
      <c r="C174" s="1" t="n">
        <v>46188</v>
      </c>
      <c r="D174" t="inlineStr">
        <is>
          <t>KALMAR LÄN</t>
        </is>
      </c>
      <c r="E174" t="inlineStr">
        <is>
          <t>VIMMERBY</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52823-2024</t>
        </is>
      </c>
      <c r="B175" s="1" t="n">
        <v>45610.59094907407</v>
      </c>
      <c r="C175" s="1" t="n">
        <v>46188</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51062-2025</t>
        </is>
      </c>
      <c r="B176" s="1" t="n">
        <v>45947.44685185186</v>
      </c>
      <c r="C176" s="1" t="n">
        <v>46188</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11147-2023</t>
        </is>
      </c>
      <c r="B177" s="1" t="n">
        <v>44992</v>
      </c>
      <c r="C177" s="1" t="n">
        <v>46188</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19833-2023</t>
        </is>
      </c>
      <c r="B178" s="1" t="n">
        <v>45052</v>
      </c>
      <c r="C178" s="1" t="n">
        <v>46188</v>
      </c>
      <c r="D178" t="inlineStr">
        <is>
          <t>KALMAR LÄN</t>
        </is>
      </c>
      <c r="E178" t="inlineStr">
        <is>
          <t>VIMMERBY</t>
        </is>
      </c>
      <c r="G178" t="n">
        <v>6.7</v>
      </c>
      <c r="H178" t="n">
        <v>0</v>
      </c>
      <c r="I178" t="n">
        <v>0</v>
      </c>
      <c r="J178" t="n">
        <v>0</v>
      </c>
      <c r="K178" t="n">
        <v>0</v>
      </c>
      <c r="L178" t="n">
        <v>0</v>
      </c>
      <c r="M178" t="n">
        <v>0</v>
      </c>
      <c r="N178" t="n">
        <v>0</v>
      </c>
      <c r="O178" t="n">
        <v>0</v>
      </c>
      <c r="P178" t="n">
        <v>0</v>
      </c>
      <c r="Q178" t="n">
        <v>0</v>
      </c>
      <c r="R178" s="2" t="inlineStr"/>
    </row>
    <row r="179" ht="15" customHeight="1">
      <c r="A179" t="inlineStr">
        <is>
          <t>A 14548-2024</t>
        </is>
      </c>
      <c r="B179" s="1" t="n">
        <v>45394.66887731481</v>
      </c>
      <c r="C179" s="1" t="n">
        <v>46188</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585-2024</t>
        </is>
      </c>
      <c r="B180" s="1" t="n">
        <v>45299.62576388889</v>
      </c>
      <c r="C180" s="1" t="n">
        <v>46188</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56020-2024</t>
        </is>
      </c>
      <c r="B181" s="1" t="n">
        <v>45623.9525462963</v>
      </c>
      <c r="C181" s="1" t="n">
        <v>46188</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23252-2024</t>
        </is>
      </c>
      <c r="B182" s="1" t="n">
        <v>45453.36067129629</v>
      </c>
      <c r="C182" s="1" t="n">
        <v>46188</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51990-2025</t>
        </is>
      </c>
      <c r="B183" s="1" t="n">
        <v>45952.58061342593</v>
      </c>
      <c r="C183" s="1" t="n">
        <v>46188</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15550-2023</t>
        </is>
      </c>
      <c r="B184" s="1" t="n">
        <v>45020</v>
      </c>
      <c r="C184" s="1" t="n">
        <v>46188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11219-2023</t>
        </is>
      </c>
      <c r="B185" s="1" t="n">
        <v>44992.62498842592</v>
      </c>
      <c r="C185" s="1" t="n">
        <v>46188</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47855-2024</t>
        </is>
      </c>
      <c r="B186" s="1" t="n">
        <v>45588.66457175926</v>
      </c>
      <c r="C186" s="1" t="n">
        <v>46188</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39584-2024</t>
        </is>
      </c>
      <c r="B187" s="1" t="n">
        <v>45552.36759259259</v>
      </c>
      <c r="C187" s="1" t="n">
        <v>46188</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52466-2025</t>
        </is>
      </c>
      <c r="B188" s="1" t="n">
        <v>45954.44707175926</v>
      </c>
      <c r="C188" s="1" t="n">
        <v>46188</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52475-2025</t>
        </is>
      </c>
      <c r="B189" s="1" t="n">
        <v>45954.468125</v>
      </c>
      <c r="C189" s="1" t="n">
        <v>46188</v>
      </c>
      <c r="D189" t="inlineStr">
        <is>
          <t>KALMAR LÄN</t>
        </is>
      </c>
      <c r="E189" t="inlineStr">
        <is>
          <t>VIMMERBY</t>
        </is>
      </c>
      <c r="G189" t="n">
        <v>1.5</v>
      </c>
      <c r="H189" t="n">
        <v>0</v>
      </c>
      <c r="I189" t="n">
        <v>0</v>
      </c>
      <c r="J189" t="n">
        <v>0</v>
      </c>
      <c r="K189" t="n">
        <v>0</v>
      </c>
      <c r="L189" t="n">
        <v>0</v>
      </c>
      <c r="M189" t="n">
        <v>0</v>
      </c>
      <c r="N189" t="n">
        <v>0</v>
      </c>
      <c r="O189" t="n">
        <v>0</v>
      </c>
      <c r="P189" t="n">
        <v>0</v>
      </c>
      <c r="Q189" t="n">
        <v>0</v>
      </c>
      <c r="R189" s="2" t="inlineStr"/>
    </row>
    <row r="190" ht="15" customHeight="1">
      <c r="A190" t="inlineStr">
        <is>
          <t>A 51881-2024</t>
        </is>
      </c>
      <c r="B190" s="1" t="n">
        <v>45607.56773148148</v>
      </c>
      <c r="C190" s="1" t="n">
        <v>46188</v>
      </c>
      <c r="D190" t="inlineStr">
        <is>
          <t>KALMAR LÄN</t>
        </is>
      </c>
      <c r="E190" t="inlineStr">
        <is>
          <t>VIMMERBY</t>
        </is>
      </c>
      <c r="G190" t="n">
        <v>3.4</v>
      </c>
      <c r="H190" t="n">
        <v>0</v>
      </c>
      <c r="I190" t="n">
        <v>0</v>
      </c>
      <c r="J190" t="n">
        <v>0</v>
      </c>
      <c r="K190" t="n">
        <v>0</v>
      </c>
      <c r="L190" t="n">
        <v>0</v>
      </c>
      <c r="M190" t="n">
        <v>0</v>
      </c>
      <c r="N190" t="n">
        <v>0</v>
      </c>
      <c r="O190" t="n">
        <v>0</v>
      </c>
      <c r="P190" t="n">
        <v>0</v>
      </c>
      <c r="Q190" t="n">
        <v>0</v>
      </c>
      <c r="R190" s="2" t="inlineStr"/>
    </row>
    <row r="191" ht="15" customHeight="1">
      <c r="A191" t="inlineStr">
        <is>
          <t>A 39807-2025</t>
        </is>
      </c>
      <c r="B191" s="1" t="n">
        <v>45891.50986111111</v>
      </c>
      <c r="C191" s="1" t="n">
        <v>46188</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39736-2025</t>
        </is>
      </c>
      <c r="B192" s="1" t="n">
        <v>45891</v>
      </c>
      <c r="C192" s="1" t="n">
        <v>46188</v>
      </c>
      <c r="D192" t="inlineStr">
        <is>
          <t>KALMAR LÄN</t>
        </is>
      </c>
      <c r="E192" t="inlineStr">
        <is>
          <t>VIMMERBY</t>
        </is>
      </c>
      <c r="G192" t="n">
        <v>12.8</v>
      </c>
      <c r="H192" t="n">
        <v>0</v>
      </c>
      <c r="I192" t="n">
        <v>0</v>
      </c>
      <c r="J192" t="n">
        <v>0</v>
      </c>
      <c r="K192" t="n">
        <v>0</v>
      </c>
      <c r="L192" t="n">
        <v>0</v>
      </c>
      <c r="M192" t="n">
        <v>0</v>
      </c>
      <c r="N192" t="n">
        <v>0</v>
      </c>
      <c r="O192" t="n">
        <v>0</v>
      </c>
      <c r="P192" t="n">
        <v>0</v>
      </c>
      <c r="Q192" t="n">
        <v>0</v>
      </c>
      <c r="R192" s="2" t="inlineStr"/>
    </row>
    <row r="193" ht="15" customHeight="1">
      <c r="A193" t="inlineStr">
        <is>
          <t>A 2596-2025</t>
        </is>
      </c>
      <c r="B193" s="1" t="n">
        <v>45674.71810185185</v>
      </c>
      <c r="C193" s="1" t="n">
        <v>46188</v>
      </c>
      <c r="D193" t="inlineStr">
        <is>
          <t>KALMAR LÄN</t>
        </is>
      </c>
      <c r="E193" t="inlineStr">
        <is>
          <t>VIMMERBY</t>
        </is>
      </c>
      <c r="G193" t="n">
        <v>9</v>
      </c>
      <c r="H193" t="n">
        <v>0</v>
      </c>
      <c r="I193" t="n">
        <v>0</v>
      </c>
      <c r="J193" t="n">
        <v>0</v>
      </c>
      <c r="K193" t="n">
        <v>0</v>
      </c>
      <c r="L193" t="n">
        <v>0</v>
      </c>
      <c r="M193" t="n">
        <v>0</v>
      </c>
      <c r="N193" t="n">
        <v>0</v>
      </c>
      <c r="O193" t="n">
        <v>0</v>
      </c>
      <c r="P193" t="n">
        <v>0</v>
      </c>
      <c r="Q193" t="n">
        <v>0</v>
      </c>
      <c r="R193" s="2" t="inlineStr"/>
    </row>
    <row r="194" ht="15" customHeight="1">
      <c r="A194" t="inlineStr">
        <is>
          <t>A 39803-2025</t>
        </is>
      </c>
      <c r="B194" s="1" t="n">
        <v>45891.50525462963</v>
      </c>
      <c r="C194" s="1" t="n">
        <v>46188</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53396-2025</t>
        </is>
      </c>
      <c r="B195" s="1" t="n">
        <v>45959.55577546296</v>
      </c>
      <c r="C195" s="1" t="n">
        <v>46188</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53398-2025</t>
        </is>
      </c>
      <c r="B196" s="1" t="n">
        <v>45959.56247685185</v>
      </c>
      <c r="C196" s="1" t="n">
        <v>46188</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53397-2025</t>
        </is>
      </c>
      <c r="B197" s="1" t="n">
        <v>45959.55918981481</v>
      </c>
      <c r="C197" s="1" t="n">
        <v>46188</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53920-2025</t>
        </is>
      </c>
      <c r="B198" s="1" t="n">
        <v>45961.44951388889</v>
      </c>
      <c r="C198" s="1" t="n">
        <v>46188</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16734-2023</t>
        </is>
      </c>
      <c r="B199" s="1" t="n">
        <v>45030.71012731481</v>
      </c>
      <c r="C199" s="1" t="n">
        <v>46188</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53933-2025</t>
        </is>
      </c>
      <c r="B200" s="1" t="n">
        <v>45961.47650462963</v>
      </c>
      <c r="C200" s="1" t="n">
        <v>46188</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54236-2025</t>
        </is>
      </c>
      <c r="B201" s="1" t="n">
        <v>45964.62671296296</v>
      </c>
      <c r="C201" s="1" t="n">
        <v>46188</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52324-2023</t>
        </is>
      </c>
      <c r="B202" s="1" t="n">
        <v>45224.64659722222</v>
      </c>
      <c r="C202" s="1" t="n">
        <v>46188</v>
      </c>
      <c r="D202" t="inlineStr">
        <is>
          <t>KALMAR LÄN</t>
        </is>
      </c>
      <c r="E202" t="inlineStr">
        <is>
          <t>VIMMERBY</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54234-2025</t>
        </is>
      </c>
      <c r="B203" s="1" t="n">
        <v>45964.62486111111</v>
      </c>
      <c r="C203" s="1" t="n">
        <v>46188</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41591-2025</t>
        </is>
      </c>
      <c r="B204" s="1" t="n">
        <v>45901.6327662037</v>
      </c>
      <c r="C204" s="1" t="n">
        <v>46188</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40971-2025</t>
        </is>
      </c>
      <c r="B205" s="1" t="n">
        <v>45897.88836805556</v>
      </c>
      <c r="C205" s="1" t="n">
        <v>46188</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41589-2025</t>
        </is>
      </c>
      <c r="B206" s="1" t="n">
        <v>45901.63219907408</v>
      </c>
      <c r="C206" s="1" t="n">
        <v>46188</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40970-2025</t>
        </is>
      </c>
      <c r="B207" s="1" t="n">
        <v>45897.88706018519</v>
      </c>
      <c r="C207" s="1" t="n">
        <v>46188</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40973-2025</t>
        </is>
      </c>
      <c r="B208" s="1" t="n">
        <v>45897.89737268518</v>
      </c>
      <c r="C208" s="1" t="n">
        <v>46188</v>
      </c>
      <c r="D208" t="inlineStr">
        <is>
          <t>KALMAR LÄN</t>
        </is>
      </c>
      <c r="E208" t="inlineStr">
        <is>
          <t>VIMMERBY</t>
        </is>
      </c>
      <c r="G208" t="n">
        <v>1.8</v>
      </c>
      <c r="H208" t="n">
        <v>0</v>
      </c>
      <c r="I208" t="n">
        <v>0</v>
      </c>
      <c r="J208" t="n">
        <v>0</v>
      </c>
      <c r="K208" t="n">
        <v>0</v>
      </c>
      <c r="L208" t="n">
        <v>0</v>
      </c>
      <c r="M208" t="n">
        <v>0</v>
      </c>
      <c r="N208" t="n">
        <v>0</v>
      </c>
      <c r="O208" t="n">
        <v>0</v>
      </c>
      <c r="P208" t="n">
        <v>0</v>
      </c>
      <c r="Q208" t="n">
        <v>0</v>
      </c>
      <c r="R208" s="2" t="inlineStr"/>
    </row>
    <row r="209" ht="15" customHeight="1">
      <c r="A209" t="inlineStr">
        <is>
          <t>A 23341-2022</t>
        </is>
      </c>
      <c r="B209" s="1" t="n">
        <v>44720.53898148148</v>
      </c>
      <c r="C209" s="1" t="n">
        <v>46188</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34090-2025</t>
        </is>
      </c>
      <c r="B210" s="1" t="n">
        <v>45845</v>
      </c>
      <c r="C210" s="1" t="n">
        <v>46188</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37028-2024</t>
        </is>
      </c>
      <c r="B211" s="1" t="n">
        <v>45539.38744212963</v>
      </c>
      <c r="C211" s="1" t="n">
        <v>46188</v>
      </c>
      <c r="D211" t="inlineStr">
        <is>
          <t>KALMAR LÄN</t>
        </is>
      </c>
      <c r="E211" t="inlineStr">
        <is>
          <t>VIMMERBY</t>
        </is>
      </c>
      <c r="G211" t="n">
        <v>5.2</v>
      </c>
      <c r="H211" t="n">
        <v>0</v>
      </c>
      <c r="I211" t="n">
        <v>0</v>
      </c>
      <c r="J211" t="n">
        <v>0</v>
      </c>
      <c r="K211" t="n">
        <v>0</v>
      </c>
      <c r="L211" t="n">
        <v>0</v>
      </c>
      <c r="M211" t="n">
        <v>0</v>
      </c>
      <c r="N211" t="n">
        <v>0</v>
      </c>
      <c r="O211" t="n">
        <v>0</v>
      </c>
      <c r="P211" t="n">
        <v>0</v>
      </c>
      <c r="Q211" t="n">
        <v>0</v>
      </c>
      <c r="R211" s="2" t="inlineStr"/>
    </row>
    <row r="212" ht="15" customHeight="1">
      <c r="A212" t="inlineStr">
        <is>
          <t>A 6668-2023</t>
        </is>
      </c>
      <c r="B212" s="1" t="n">
        <v>44966</v>
      </c>
      <c r="C212" s="1" t="n">
        <v>46188</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29168-2024</t>
        </is>
      </c>
      <c r="B213" s="1" t="n">
        <v>45482.49870370371</v>
      </c>
      <c r="C213" s="1" t="n">
        <v>46188</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55236-2023</t>
        </is>
      </c>
      <c r="B214" s="1" t="n">
        <v>45237.63225694445</v>
      </c>
      <c r="C214" s="1" t="n">
        <v>46188</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55245-2023</t>
        </is>
      </c>
      <c r="B215" s="1" t="n">
        <v>45237.64408564815</v>
      </c>
      <c r="C215" s="1" t="n">
        <v>46188</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36055-2024</t>
        </is>
      </c>
      <c r="B216" s="1" t="n">
        <v>45533.63056712963</v>
      </c>
      <c r="C216" s="1" t="n">
        <v>46188</v>
      </c>
      <c r="D216" t="inlineStr">
        <is>
          <t>KALMAR LÄN</t>
        </is>
      </c>
      <c r="E216" t="inlineStr">
        <is>
          <t>VIMMERBY</t>
        </is>
      </c>
      <c r="F216" t="inlineStr">
        <is>
          <t>Kommuner</t>
        </is>
      </c>
      <c r="G216" t="n">
        <v>1.9</v>
      </c>
      <c r="H216" t="n">
        <v>0</v>
      </c>
      <c r="I216" t="n">
        <v>0</v>
      </c>
      <c r="J216" t="n">
        <v>0</v>
      </c>
      <c r="K216" t="n">
        <v>0</v>
      </c>
      <c r="L216" t="n">
        <v>0</v>
      </c>
      <c r="M216" t="n">
        <v>0</v>
      </c>
      <c r="N216" t="n">
        <v>0</v>
      </c>
      <c r="O216" t="n">
        <v>0</v>
      </c>
      <c r="P216" t="n">
        <v>0</v>
      </c>
      <c r="Q216" t="n">
        <v>0</v>
      </c>
      <c r="R216" s="2" t="inlineStr"/>
    </row>
    <row r="217" ht="15" customHeight="1">
      <c r="A217" t="inlineStr">
        <is>
          <t>A 25582-2024</t>
        </is>
      </c>
      <c r="B217" s="1" t="n">
        <v>45463</v>
      </c>
      <c r="C217" s="1" t="n">
        <v>46188</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55603-2025</t>
        </is>
      </c>
      <c r="B218" s="1" t="n">
        <v>45971</v>
      </c>
      <c r="C218" s="1" t="n">
        <v>46188</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46188</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845-2023</t>
        </is>
      </c>
      <c r="B220" s="1" t="n">
        <v>44931</v>
      </c>
      <c r="C220" s="1" t="n">
        <v>46188</v>
      </c>
      <c r="D220" t="inlineStr">
        <is>
          <t>KALMAR LÄN</t>
        </is>
      </c>
      <c r="E220" t="inlineStr">
        <is>
          <t>VIMMERBY</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55385-2025</t>
        </is>
      </c>
      <c r="B221" s="1" t="n">
        <v>45971.43350694444</v>
      </c>
      <c r="C221" s="1" t="n">
        <v>46188</v>
      </c>
      <c r="D221" t="inlineStr">
        <is>
          <t>KALMAR LÄN</t>
        </is>
      </c>
      <c r="E221" t="inlineStr">
        <is>
          <t>VIMMERBY</t>
        </is>
      </c>
      <c r="G221" t="n">
        <v>5</v>
      </c>
      <c r="H221" t="n">
        <v>0</v>
      </c>
      <c r="I221" t="n">
        <v>0</v>
      </c>
      <c r="J221" t="n">
        <v>0</v>
      </c>
      <c r="K221" t="n">
        <v>0</v>
      </c>
      <c r="L221" t="n">
        <v>0</v>
      </c>
      <c r="M221" t="n">
        <v>0</v>
      </c>
      <c r="N221" t="n">
        <v>0</v>
      </c>
      <c r="O221" t="n">
        <v>0</v>
      </c>
      <c r="P221" t="n">
        <v>0</v>
      </c>
      <c r="Q221" t="n">
        <v>0</v>
      </c>
      <c r="R221" s="2" t="inlineStr"/>
    </row>
    <row r="222" ht="15" customHeight="1">
      <c r="A222" t="inlineStr">
        <is>
          <t>A 57578-2024</t>
        </is>
      </c>
      <c r="B222" s="1" t="n">
        <v>45630.47564814815</v>
      </c>
      <c r="C222" s="1" t="n">
        <v>46188</v>
      </c>
      <c r="D222" t="inlineStr">
        <is>
          <t>KALMAR LÄN</t>
        </is>
      </c>
      <c r="E222" t="inlineStr">
        <is>
          <t>VIMMERBY</t>
        </is>
      </c>
      <c r="G222" t="n">
        <v>2.6</v>
      </c>
      <c r="H222" t="n">
        <v>0</v>
      </c>
      <c r="I222" t="n">
        <v>0</v>
      </c>
      <c r="J222" t="n">
        <v>0</v>
      </c>
      <c r="K222" t="n">
        <v>0</v>
      </c>
      <c r="L222" t="n">
        <v>0</v>
      </c>
      <c r="M222" t="n">
        <v>0</v>
      </c>
      <c r="N222" t="n">
        <v>0</v>
      </c>
      <c r="O222" t="n">
        <v>0</v>
      </c>
      <c r="P222" t="n">
        <v>0</v>
      </c>
      <c r="Q222" t="n">
        <v>0</v>
      </c>
      <c r="R222" s="2" t="inlineStr"/>
    </row>
    <row r="223" ht="15" customHeight="1">
      <c r="A223" t="inlineStr">
        <is>
          <t>A 6321-2023</t>
        </is>
      </c>
      <c r="B223" s="1" t="n">
        <v>44965.4815162037</v>
      </c>
      <c r="C223" s="1" t="n">
        <v>46188</v>
      </c>
      <c r="D223" t="inlineStr">
        <is>
          <t>KALMAR LÄN</t>
        </is>
      </c>
      <c r="E223" t="inlineStr">
        <is>
          <t>VIMMERBY</t>
        </is>
      </c>
      <c r="G223" t="n">
        <v>1.8</v>
      </c>
      <c r="H223" t="n">
        <v>0</v>
      </c>
      <c r="I223" t="n">
        <v>0</v>
      </c>
      <c r="J223" t="n">
        <v>0</v>
      </c>
      <c r="K223" t="n">
        <v>0</v>
      </c>
      <c r="L223" t="n">
        <v>0</v>
      </c>
      <c r="M223" t="n">
        <v>0</v>
      </c>
      <c r="N223" t="n">
        <v>0</v>
      </c>
      <c r="O223" t="n">
        <v>0</v>
      </c>
      <c r="P223" t="n">
        <v>0</v>
      </c>
      <c r="Q223" t="n">
        <v>0</v>
      </c>
      <c r="R223" s="2" t="inlineStr"/>
    </row>
    <row r="224" ht="15" customHeight="1">
      <c r="A224" t="inlineStr">
        <is>
          <t>A 4624-2024</t>
        </is>
      </c>
      <c r="B224" s="1" t="n">
        <v>45328.38755787037</v>
      </c>
      <c r="C224" s="1" t="n">
        <v>46188</v>
      </c>
      <c r="D224" t="inlineStr">
        <is>
          <t>KALMAR LÄN</t>
        </is>
      </c>
      <c r="E224" t="inlineStr">
        <is>
          <t>VIMMERBY</t>
        </is>
      </c>
      <c r="G224" t="n">
        <v>1.7</v>
      </c>
      <c r="H224" t="n">
        <v>0</v>
      </c>
      <c r="I224" t="n">
        <v>0</v>
      </c>
      <c r="J224" t="n">
        <v>0</v>
      </c>
      <c r="K224" t="n">
        <v>0</v>
      </c>
      <c r="L224" t="n">
        <v>0</v>
      </c>
      <c r="M224" t="n">
        <v>0</v>
      </c>
      <c r="N224" t="n">
        <v>0</v>
      </c>
      <c r="O224" t="n">
        <v>0</v>
      </c>
      <c r="P224" t="n">
        <v>0</v>
      </c>
      <c r="Q224" t="n">
        <v>0</v>
      </c>
      <c r="R224" s="2" t="inlineStr"/>
    </row>
    <row r="225" ht="15" customHeight="1">
      <c r="A225" t="inlineStr">
        <is>
          <t>A 6307-2025</t>
        </is>
      </c>
      <c r="B225" s="1" t="n">
        <v>45698.69016203703</v>
      </c>
      <c r="C225" s="1" t="n">
        <v>46188</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11442-2025</t>
        </is>
      </c>
      <c r="B226" s="1" t="n">
        <v>45726.62721064815</v>
      </c>
      <c r="C226" s="1" t="n">
        <v>46188</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40730-2024</t>
        </is>
      </c>
      <c r="B227" s="1" t="n">
        <v>45558.44914351852</v>
      </c>
      <c r="C227" s="1" t="n">
        <v>46188</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2157-2024</t>
        </is>
      </c>
      <c r="B228" s="1" t="n">
        <v>45309.59487268519</v>
      </c>
      <c r="C228" s="1" t="n">
        <v>46188</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49461-2022</t>
        </is>
      </c>
      <c r="B229" s="1" t="n">
        <v>44861</v>
      </c>
      <c r="C229" s="1" t="n">
        <v>46188</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694-2024</t>
        </is>
      </c>
      <c r="B230" s="1" t="n">
        <v>45300.3794212963</v>
      </c>
      <c r="C230" s="1" t="n">
        <v>46188</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44095-2025</t>
        </is>
      </c>
      <c r="B231" s="1" t="n">
        <v>45915.56430555556</v>
      </c>
      <c r="C231" s="1" t="n">
        <v>46188</v>
      </c>
      <c r="D231" t="inlineStr">
        <is>
          <t>KALMAR LÄN</t>
        </is>
      </c>
      <c r="E231" t="inlineStr">
        <is>
          <t>VIMMERBY</t>
        </is>
      </c>
      <c r="G231" t="n">
        <v>2.4</v>
      </c>
      <c r="H231" t="n">
        <v>0</v>
      </c>
      <c r="I231" t="n">
        <v>0</v>
      </c>
      <c r="J231" t="n">
        <v>0</v>
      </c>
      <c r="K231" t="n">
        <v>0</v>
      </c>
      <c r="L231" t="n">
        <v>0</v>
      </c>
      <c r="M231" t="n">
        <v>0</v>
      </c>
      <c r="N231" t="n">
        <v>0</v>
      </c>
      <c r="O231" t="n">
        <v>0</v>
      </c>
      <c r="P231" t="n">
        <v>0</v>
      </c>
      <c r="Q231" t="n">
        <v>0</v>
      </c>
      <c r="R231" s="2" t="inlineStr"/>
    </row>
    <row r="232" ht="15" customHeight="1">
      <c r="A232" t="inlineStr">
        <is>
          <t>A 59598-2023</t>
        </is>
      </c>
      <c r="B232" s="1" t="n">
        <v>45254.62489583333</v>
      </c>
      <c r="C232" s="1" t="n">
        <v>46188</v>
      </c>
      <c r="D232" t="inlineStr">
        <is>
          <t>KALMAR LÄN</t>
        </is>
      </c>
      <c r="E232" t="inlineStr">
        <is>
          <t>VIMMERBY</t>
        </is>
      </c>
      <c r="F232" t="inlineStr">
        <is>
          <t>Övriga Aktiebolag</t>
        </is>
      </c>
      <c r="G232" t="n">
        <v>4</v>
      </c>
      <c r="H232" t="n">
        <v>0</v>
      </c>
      <c r="I232" t="n">
        <v>0</v>
      </c>
      <c r="J232" t="n">
        <v>0</v>
      </c>
      <c r="K232" t="n">
        <v>0</v>
      </c>
      <c r="L232" t="n">
        <v>0</v>
      </c>
      <c r="M232" t="n">
        <v>0</v>
      </c>
      <c r="N232" t="n">
        <v>0</v>
      </c>
      <c r="O232" t="n">
        <v>0</v>
      </c>
      <c r="P232" t="n">
        <v>0</v>
      </c>
      <c r="Q232" t="n">
        <v>0</v>
      </c>
      <c r="R232" s="2" t="inlineStr"/>
    </row>
    <row r="233" ht="15" customHeight="1">
      <c r="A233" t="inlineStr">
        <is>
          <t>A 7944-2024</t>
        </is>
      </c>
      <c r="B233" s="1" t="n">
        <v>45350.53306712963</v>
      </c>
      <c r="C233" s="1" t="n">
        <v>46188</v>
      </c>
      <c r="D233" t="inlineStr">
        <is>
          <t>KALMAR LÄN</t>
        </is>
      </c>
      <c r="E233" t="inlineStr">
        <is>
          <t>VIMMERBY</t>
        </is>
      </c>
      <c r="G233" t="n">
        <v>1.2</v>
      </c>
      <c r="H233" t="n">
        <v>0</v>
      </c>
      <c r="I233" t="n">
        <v>0</v>
      </c>
      <c r="J233" t="n">
        <v>0</v>
      </c>
      <c r="K233" t="n">
        <v>0</v>
      </c>
      <c r="L233" t="n">
        <v>0</v>
      </c>
      <c r="M233" t="n">
        <v>0</v>
      </c>
      <c r="N233" t="n">
        <v>0</v>
      </c>
      <c r="O233" t="n">
        <v>0</v>
      </c>
      <c r="P233" t="n">
        <v>0</v>
      </c>
      <c r="Q233" t="n">
        <v>0</v>
      </c>
      <c r="R233" s="2" t="inlineStr"/>
    </row>
    <row r="234" ht="15" customHeight="1">
      <c r="A234" t="inlineStr">
        <is>
          <t>A 21496-2023</t>
        </is>
      </c>
      <c r="B234" s="1" t="n">
        <v>45063.49936342592</v>
      </c>
      <c r="C234" s="1" t="n">
        <v>46188</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44091-2025</t>
        </is>
      </c>
      <c r="B235" s="1" t="n">
        <v>45915.55950231481</v>
      </c>
      <c r="C235" s="1" t="n">
        <v>46188</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57728-2025</t>
        </is>
      </c>
      <c r="B236" s="1" t="n">
        <v>45981</v>
      </c>
      <c r="C236" s="1" t="n">
        <v>46188</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58503-2025</t>
        </is>
      </c>
      <c r="B237" s="1" t="n">
        <v>45985.69509259259</v>
      </c>
      <c r="C237" s="1" t="n">
        <v>46188</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58498-2025</t>
        </is>
      </c>
      <c r="B238" s="1" t="n">
        <v>45985.68671296296</v>
      </c>
      <c r="C238" s="1" t="n">
        <v>46188</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58501-2025</t>
        </is>
      </c>
      <c r="B239" s="1" t="n">
        <v>45985.69153935185</v>
      </c>
      <c r="C239" s="1" t="n">
        <v>46188</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58446-2025</t>
        </is>
      </c>
      <c r="B240" s="1" t="n">
        <v>45985.62168981481</v>
      </c>
      <c r="C240" s="1" t="n">
        <v>46188</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35198-2023</t>
        </is>
      </c>
      <c r="B241" s="1" t="n">
        <v>45145</v>
      </c>
      <c r="C241" s="1" t="n">
        <v>46188</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43853-2023</t>
        </is>
      </c>
      <c r="B242" s="1" t="n">
        <v>45187.60813657408</v>
      </c>
      <c r="C242" s="1" t="n">
        <v>46188</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58500-2025</t>
        </is>
      </c>
      <c r="B243" s="1" t="n">
        <v>45985.69008101852</v>
      </c>
      <c r="C243" s="1" t="n">
        <v>46188</v>
      </c>
      <c r="D243" t="inlineStr">
        <is>
          <t>KALMAR LÄN</t>
        </is>
      </c>
      <c r="E243" t="inlineStr">
        <is>
          <t>VIMMERBY</t>
        </is>
      </c>
      <c r="G243" t="n">
        <v>1.8</v>
      </c>
      <c r="H243" t="n">
        <v>0</v>
      </c>
      <c r="I243" t="n">
        <v>0</v>
      </c>
      <c r="J243" t="n">
        <v>0</v>
      </c>
      <c r="K243" t="n">
        <v>0</v>
      </c>
      <c r="L243" t="n">
        <v>0</v>
      </c>
      <c r="M243" t="n">
        <v>0</v>
      </c>
      <c r="N243" t="n">
        <v>0</v>
      </c>
      <c r="O243" t="n">
        <v>0</v>
      </c>
      <c r="P243" t="n">
        <v>0</v>
      </c>
      <c r="Q243" t="n">
        <v>0</v>
      </c>
      <c r="R243" s="2" t="inlineStr"/>
    </row>
    <row r="244" ht="15" customHeight="1">
      <c r="A244" t="inlineStr">
        <is>
          <t>A 58841-2025</t>
        </is>
      </c>
      <c r="B244" s="1" t="n">
        <v>45987.36275462963</v>
      </c>
      <c r="C244" s="1" t="n">
        <v>46188</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58858-2025</t>
        </is>
      </c>
      <c r="B245" s="1" t="n">
        <v>45987.4243287037</v>
      </c>
      <c r="C245" s="1" t="n">
        <v>46188</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59039-2025</t>
        </is>
      </c>
      <c r="B246" s="1" t="n">
        <v>45988.36790509259</v>
      </c>
      <c r="C246" s="1" t="n">
        <v>46188</v>
      </c>
      <c r="D246" t="inlineStr">
        <is>
          <t>KALMAR LÄN</t>
        </is>
      </c>
      <c r="E246" t="inlineStr">
        <is>
          <t>VIMMERBY</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9511-2023</t>
        </is>
      </c>
      <c r="B247" s="1" t="n">
        <v>44981.64725694444</v>
      </c>
      <c r="C247" s="1" t="n">
        <v>46188</v>
      </c>
      <c r="D247" t="inlineStr">
        <is>
          <t>KALMAR LÄN</t>
        </is>
      </c>
      <c r="E247" t="inlineStr">
        <is>
          <t>VIMMERBY</t>
        </is>
      </c>
      <c r="G247" t="n">
        <v>3.5</v>
      </c>
      <c r="H247" t="n">
        <v>0</v>
      </c>
      <c r="I247" t="n">
        <v>0</v>
      </c>
      <c r="J247" t="n">
        <v>0</v>
      </c>
      <c r="K247" t="n">
        <v>0</v>
      </c>
      <c r="L247" t="n">
        <v>0</v>
      </c>
      <c r="M247" t="n">
        <v>0</v>
      </c>
      <c r="N247" t="n">
        <v>0</v>
      </c>
      <c r="O247" t="n">
        <v>0</v>
      </c>
      <c r="P247" t="n">
        <v>0</v>
      </c>
      <c r="Q247" t="n">
        <v>0</v>
      </c>
      <c r="R247" s="2" t="inlineStr"/>
    </row>
    <row r="248" ht="15" customHeight="1">
      <c r="A248" t="inlineStr">
        <is>
          <t>A 38757-2023</t>
        </is>
      </c>
      <c r="B248" s="1" t="n">
        <v>45163.41376157408</v>
      </c>
      <c r="C248" s="1" t="n">
        <v>46188</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59034-2025</t>
        </is>
      </c>
      <c r="B249" s="1" t="n">
        <v>45988.36243055556</v>
      </c>
      <c r="C249" s="1" t="n">
        <v>46188</v>
      </c>
      <c r="D249" t="inlineStr">
        <is>
          <t>KALMAR LÄN</t>
        </is>
      </c>
      <c r="E249" t="inlineStr">
        <is>
          <t>VIMMERBY</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59037-2025</t>
        </is>
      </c>
      <c r="B250" s="1" t="n">
        <v>45988.36508101852</v>
      </c>
      <c r="C250" s="1" t="n">
        <v>46188</v>
      </c>
      <c r="D250" t="inlineStr">
        <is>
          <t>KALMAR LÄN</t>
        </is>
      </c>
      <c r="E250" t="inlineStr">
        <is>
          <t>VIMMERBY</t>
        </is>
      </c>
      <c r="F250" t="inlineStr">
        <is>
          <t>Sveaskog</t>
        </is>
      </c>
      <c r="G250" t="n">
        <v>4</v>
      </c>
      <c r="H250" t="n">
        <v>0</v>
      </c>
      <c r="I250" t="n">
        <v>0</v>
      </c>
      <c r="J250" t="n">
        <v>0</v>
      </c>
      <c r="K250" t="n">
        <v>0</v>
      </c>
      <c r="L250" t="n">
        <v>0</v>
      </c>
      <c r="M250" t="n">
        <v>0</v>
      </c>
      <c r="N250" t="n">
        <v>0</v>
      </c>
      <c r="O250" t="n">
        <v>0</v>
      </c>
      <c r="P250" t="n">
        <v>0</v>
      </c>
      <c r="Q250" t="n">
        <v>0</v>
      </c>
      <c r="R250" s="2" t="inlineStr"/>
    </row>
    <row r="251" ht="15" customHeight="1">
      <c r="A251" t="inlineStr">
        <is>
          <t>A 64143-2021</t>
        </is>
      </c>
      <c r="B251" s="1" t="n">
        <v>44510.52157407408</v>
      </c>
      <c r="C251" s="1" t="n">
        <v>46188</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73938-2021</t>
        </is>
      </c>
      <c r="B252" s="1" t="n">
        <v>44553</v>
      </c>
      <c r="C252" s="1" t="n">
        <v>46188</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40076-2021</t>
        </is>
      </c>
      <c r="B253" s="1" t="n">
        <v>44418</v>
      </c>
      <c r="C253" s="1" t="n">
        <v>46188</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60180-2025</t>
        </is>
      </c>
      <c r="B254" s="1" t="n">
        <v>45994.46428240741</v>
      </c>
      <c r="C254" s="1" t="n">
        <v>46188</v>
      </c>
      <c r="D254" t="inlineStr">
        <is>
          <t>KALMAR LÄN</t>
        </is>
      </c>
      <c r="E254" t="inlineStr">
        <is>
          <t>VIMMERBY</t>
        </is>
      </c>
      <c r="G254" t="n">
        <v>6.8</v>
      </c>
      <c r="H254" t="n">
        <v>0</v>
      </c>
      <c r="I254" t="n">
        <v>0</v>
      </c>
      <c r="J254" t="n">
        <v>0</v>
      </c>
      <c r="K254" t="n">
        <v>0</v>
      </c>
      <c r="L254" t="n">
        <v>0</v>
      </c>
      <c r="M254" t="n">
        <v>0</v>
      </c>
      <c r="N254" t="n">
        <v>0</v>
      </c>
      <c r="O254" t="n">
        <v>0</v>
      </c>
      <c r="P254" t="n">
        <v>0</v>
      </c>
      <c r="Q254" t="n">
        <v>0</v>
      </c>
      <c r="R254" s="2" t="inlineStr"/>
    </row>
    <row r="255" ht="15" customHeight="1">
      <c r="A255" t="inlineStr">
        <is>
          <t>A 60297-2025</t>
        </is>
      </c>
      <c r="B255" s="1" t="n">
        <v>45994</v>
      </c>
      <c r="C255" s="1" t="n">
        <v>46188</v>
      </c>
      <c r="D255" t="inlineStr">
        <is>
          <t>KALMAR LÄN</t>
        </is>
      </c>
      <c r="E255" t="inlineStr">
        <is>
          <t>VIMMERBY</t>
        </is>
      </c>
      <c r="G255" t="n">
        <v>4.2</v>
      </c>
      <c r="H255" t="n">
        <v>0</v>
      </c>
      <c r="I255" t="n">
        <v>0</v>
      </c>
      <c r="J255" t="n">
        <v>0</v>
      </c>
      <c r="K255" t="n">
        <v>0</v>
      </c>
      <c r="L255" t="n">
        <v>0</v>
      </c>
      <c r="M255" t="n">
        <v>0</v>
      </c>
      <c r="N255" t="n">
        <v>0</v>
      </c>
      <c r="O255" t="n">
        <v>0</v>
      </c>
      <c r="P255" t="n">
        <v>0</v>
      </c>
      <c r="Q255" t="n">
        <v>0</v>
      </c>
      <c r="R255" s="2" t="inlineStr"/>
    </row>
    <row r="256" ht="15" customHeight="1">
      <c r="A256" t="inlineStr">
        <is>
          <t>A 50648-2023</t>
        </is>
      </c>
      <c r="B256" s="1" t="n">
        <v>45217.47834490741</v>
      </c>
      <c r="C256" s="1" t="n">
        <v>46188</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529-2022</t>
        </is>
      </c>
      <c r="B257" s="1" t="n">
        <v>44566</v>
      </c>
      <c r="C257" s="1" t="n">
        <v>46188</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58318-2021</t>
        </is>
      </c>
      <c r="B258" s="1" t="n">
        <v>44488.35878472222</v>
      </c>
      <c r="C258" s="1" t="n">
        <v>46188</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89-2023</t>
        </is>
      </c>
      <c r="B259" s="1" t="n">
        <v>44918</v>
      </c>
      <c r="C259" s="1" t="n">
        <v>46188</v>
      </c>
      <c r="D259" t="inlineStr">
        <is>
          <t>KALMAR LÄN</t>
        </is>
      </c>
      <c r="E259" t="inlineStr">
        <is>
          <t>VIMMERBY</t>
        </is>
      </c>
      <c r="G259" t="n">
        <v>16.1</v>
      </c>
      <c r="H259" t="n">
        <v>0</v>
      </c>
      <c r="I259" t="n">
        <v>0</v>
      </c>
      <c r="J259" t="n">
        <v>0</v>
      </c>
      <c r="K259" t="n">
        <v>0</v>
      </c>
      <c r="L259" t="n">
        <v>0</v>
      </c>
      <c r="M259" t="n">
        <v>0</v>
      </c>
      <c r="N259" t="n">
        <v>0</v>
      </c>
      <c r="O259" t="n">
        <v>0</v>
      </c>
      <c r="P259" t="n">
        <v>0</v>
      </c>
      <c r="Q259" t="n">
        <v>0</v>
      </c>
      <c r="R259" s="2" t="inlineStr"/>
    </row>
    <row r="260" ht="15" customHeight="1">
      <c r="A260" t="inlineStr">
        <is>
          <t>A 23088-2024</t>
        </is>
      </c>
      <c r="B260" s="1" t="n">
        <v>45450.51092592593</v>
      </c>
      <c r="C260" s="1" t="n">
        <v>46188</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47227-2025</t>
        </is>
      </c>
      <c r="B261" s="1" t="n">
        <v>45930.39769675926</v>
      </c>
      <c r="C261" s="1" t="n">
        <v>46188</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38851-2023</t>
        </is>
      </c>
      <c r="B262" s="1" t="n">
        <v>45163</v>
      </c>
      <c r="C262" s="1" t="n">
        <v>46188</v>
      </c>
      <c r="D262" t="inlineStr">
        <is>
          <t>KALMAR LÄN</t>
        </is>
      </c>
      <c r="E262" t="inlineStr">
        <is>
          <t>VIMMERBY</t>
        </is>
      </c>
      <c r="G262" t="n">
        <v>4.3</v>
      </c>
      <c r="H262" t="n">
        <v>0</v>
      </c>
      <c r="I262" t="n">
        <v>0</v>
      </c>
      <c r="J262" t="n">
        <v>0</v>
      </c>
      <c r="K262" t="n">
        <v>0</v>
      </c>
      <c r="L262" t="n">
        <v>0</v>
      </c>
      <c r="M262" t="n">
        <v>0</v>
      </c>
      <c r="N262" t="n">
        <v>0</v>
      </c>
      <c r="O262" t="n">
        <v>0</v>
      </c>
      <c r="P262" t="n">
        <v>0</v>
      </c>
      <c r="Q262" t="n">
        <v>0</v>
      </c>
      <c r="R262" s="2" t="inlineStr"/>
    </row>
    <row r="263" ht="15" customHeight="1">
      <c r="A263" t="inlineStr">
        <is>
          <t>A 10759-2023</t>
        </is>
      </c>
      <c r="B263" s="1" t="n">
        <v>44988</v>
      </c>
      <c r="C263" s="1" t="n">
        <v>46188</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63583-2023</t>
        </is>
      </c>
      <c r="B264" s="1" t="n">
        <v>45275.41833333333</v>
      </c>
      <c r="C264" s="1" t="n">
        <v>46188</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40079-2023</t>
        </is>
      </c>
      <c r="B265" s="1" t="n">
        <v>45168.89298611111</v>
      </c>
      <c r="C265" s="1" t="n">
        <v>46188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43774-2023</t>
        </is>
      </c>
      <c r="B266" s="1" t="n">
        <v>45187</v>
      </c>
      <c r="C266" s="1" t="n">
        <v>46188</v>
      </c>
      <c r="D266" t="inlineStr">
        <is>
          <t>KALMAR LÄN</t>
        </is>
      </c>
      <c r="E266" t="inlineStr">
        <is>
          <t>VIMMERBY</t>
        </is>
      </c>
      <c r="G266" t="n">
        <v>3.4</v>
      </c>
      <c r="H266" t="n">
        <v>0</v>
      </c>
      <c r="I266" t="n">
        <v>0</v>
      </c>
      <c r="J266" t="n">
        <v>0</v>
      </c>
      <c r="K266" t="n">
        <v>0</v>
      </c>
      <c r="L266" t="n">
        <v>0</v>
      </c>
      <c r="M266" t="n">
        <v>0</v>
      </c>
      <c r="N266" t="n">
        <v>0</v>
      </c>
      <c r="O266" t="n">
        <v>0</v>
      </c>
      <c r="P266" t="n">
        <v>0</v>
      </c>
      <c r="Q266" t="n">
        <v>0</v>
      </c>
      <c r="R266" s="2" t="inlineStr"/>
    </row>
    <row r="267" ht="15" customHeight="1">
      <c r="A267" t="inlineStr">
        <is>
          <t>A 61725-2025</t>
        </is>
      </c>
      <c r="B267" s="1" t="n">
        <v>46002.58680555555</v>
      </c>
      <c r="C267" s="1" t="n">
        <v>46188</v>
      </c>
      <c r="D267" t="inlineStr">
        <is>
          <t>KALMAR LÄN</t>
        </is>
      </c>
      <c r="E267" t="inlineStr">
        <is>
          <t>VIMMERBY</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61790-2025</t>
        </is>
      </c>
      <c r="B268" s="1" t="n">
        <v>46002.68768518518</v>
      </c>
      <c r="C268" s="1" t="n">
        <v>46188</v>
      </c>
      <c r="D268" t="inlineStr">
        <is>
          <t>KALMAR LÄN</t>
        </is>
      </c>
      <c r="E268" t="inlineStr">
        <is>
          <t>VIMMERBY</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29616-2022</t>
        </is>
      </c>
      <c r="B269" s="1" t="n">
        <v>44754</v>
      </c>
      <c r="C269" s="1" t="n">
        <v>46188</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39578-2024</t>
        </is>
      </c>
      <c r="B270" s="1" t="n">
        <v>45552.36484953704</v>
      </c>
      <c r="C270" s="1" t="n">
        <v>46188</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24707-2024</t>
        </is>
      </c>
      <c r="B271" s="1" t="n">
        <v>45460.62172453704</v>
      </c>
      <c r="C271" s="1" t="n">
        <v>46188</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61726-2025</t>
        </is>
      </c>
      <c r="B272" s="1" t="n">
        <v>46002.58822916666</v>
      </c>
      <c r="C272" s="1" t="n">
        <v>46188</v>
      </c>
      <c r="D272" t="inlineStr">
        <is>
          <t>KALMAR LÄN</t>
        </is>
      </c>
      <c r="E272" t="inlineStr">
        <is>
          <t>VIMMERBY</t>
        </is>
      </c>
      <c r="F272" t="inlineStr">
        <is>
          <t>Sveaskog</t>
        </is>
      </c>
      <c r="G272" t="n">
        <v>0.2</v>
      </c>
      <c r="H272" t="n">
        <v>0</v>
      </c>
      <c r="I272" t="n">
        <v>0</v>
      </c>
      <c r="J272" t="n">
        <v>0</v>
      </c>
      <c r="K272" t="n">
        <v>0</v>
      </c>
      <c r="L272" t="n">
        <v>0</v>
      </c>
      <c r="M272" t="n">
        <v>0</v>
      </c>
      <c r="N272" t="n">
        <v>0</v>
      </c>
      <c r="O272" t="n">
        <v>0</v>
      </c>
      <c r="P272" t="n">
        <v>0</v>
      </c>
      <c r="Q272" t="n">
        <v>0</v>
      </c>
      <c r="R272" s="2" t="inlineStr"/>
    </row>
    <row r="273" ht="15" customHeight="1">
      <c r="A273" t="inlineStr">
        <is>
          <t>A 31056-2022</t>
        </is>
      </c>
      <c r="B273" s="1" t="n">
        <v>44769.45805555556</v>
      </c>
      <c r="C273" s="1" t="n">
        <v>46188</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33383-2023</t>
        </is>
      </c>
      <c r="B274" s="1" t="n">
        <v>45128.58414351852</v>
      </c>
      <c r="C274" s="1" t="n">
        <v>46188</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40828-2023</t>
        </is>
      </c>
      <c r="B275" s="1" t="n">
        <v>45171.96248842592</v>
      </c>
      <c r="C275" s="1" t="n">
        <v>46188</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61861-2024</t>
        </is>
      </c>
      <c r="B276" s="1" t="n">
        <v>45650.37370370371</v>
      </c>
      <c r="C276" s="1" t="n">
        <v>46188</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8650-2022</t>
        </is>
      </c>
      <c r="B277" s="1" t="n">
        <v>44613</v>
      </c>
      <c r="C277" s="1" t="n">
        <v>46188</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33340-2023</t>
        </is>
      </c>
      <c r="B278" s="1" t="n">
        <v>45128.37305555555</v>
      </c>
      <c r="C278" s="1" t="n">
        <v>46188</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44423-2023</t>
        </is>
      </c>
      <c r="B279" s="1" t="n">
        <v>45189</v>
      </c>
      <c r="C279" s="1" t="n">
        <v>46188</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37323-2024</t>
        </is>
      </c>
      <c r="B280" s="1" t="n">
        <v>45540.50098379629</v>
      </c>
      <c r="C280" s="1" t="n">
        <v>46188</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63758-2025</t>
        </is>
      </c>
      <c r="B281" s="1" t="n">
        <v>46018.46483796297</v>
      </c>
      <c r="C281" s="1" t="n">
        <v>46188</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63848-2025</t>
        </is>
      </c>
      <c r="B282" s="1" t="n">
        <v>46020.44902777778</v>
      </c>
      <c r="C282" s="1" t="n">
        <v>46188</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18501-2024</t>
        </is>
      </c>
      <c r="B283" s="1" t="n">
        <v>45425.57538194444</v>
      </c>
      <c r="C283" s="1" t="n">
        <v>46188</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27758-2024</t>
        </is>
      </c>
      <c r="B284" s="1" t="n">
        <v>45475.48303240741</v>
      </c>
      <c r="C284" s="1" t="n">
        <v>46188</v>
      </c>
      <c r="D284" t="inlineStr">
        <is>
          <t>KALMAR LÄN</t>
        </is>
      </c>
      <c r="E284" t="inlineStr">
        <is>
          <t>VIMMERBY</t>
        </is>
      </c>
      <c r="G284" t="n">
        <v>2.6</v>
      </c>
      <c r="H284" t="n">
        <v>0</v>
      </c>
      <c r="I284" t="n">
        <v>0</v>
      </c>
      <c r="J284" t="n">
        <v>0</v>
      </c>
      <c r="K284" t="n">
        <v>0</v>
      </c>
      <c r="L284" t="n">
        <v>0</v>
      </c>
      <c r="M284" t="n">
        <v>0</v>
      </c>
      <c r="N284" t="n">
        <v>0</v>
      </c>
      <c r="O284" t="n">
        <v>0</v>
      </c>
      <c r="P284" t="n">
        <v>0</v>
      </c>
      <c r="Q284" t="n">
        <v>0</v>
      </c>
      <c r="R284" s="2" t="inlineStr"/>
    </row>
    <row r="285" ht="15" customHeight="1">
      <c r="A285" t="inlineStr">
        <is>
          <t>A 55716-2023</t>
        </is>
      </c>
      <c r="B285" s="1" t="n">
        <v>45232</v>
      </c>
      <c r="C285" s="1" t="n">
        <v>46188</v>
      </c>
      <c r="D285" t="inlineStr">
        <is>
          <t>KALMAR LÄN</t>
        </is>
      </c>
      <c r="E285" t="inlineStr">
        <is>
          <t>VIMMERBY</t>
        </is>
      </c>
      <c r="G285" t="n">
        <v>2.3</v>
      </c>
      <c r="H285" t="n">
        <v>0</v>
      </c>
      <c r="I285" t="n">
        <v>0</v>
      </c>
      <c r="J285" t="n">
        <v>0</v>
      </c>
      <c r="K285" t="n">
        <v>0</v>
      </c>
      <c r="L285" t="n">
        <v>0</v>
      </c>
      <c r="M285" t="n">
        <v>0</v>
      </c>
      <c r="N285" t="n">
        <v>0</v>
      </c>
      <c r="O285" t="n">
        <v>0</v>
      </c>
      <c r="P285" t="n">
        <v>0</v>
      </c>
      <c r="Q285" t="n">
        <v>0</v>
      </c>
      <c r="R285" s="2" t="inlineStr"/>
    </row>
    <row r="286" ht="15" customHeight="1">
      <c r="A286" t="inlineStr">
        <is>
          <t>A 18329-2023</t>
        </is>
      </c>
      <c r="B286" s="1" t="n">
        <v>45041.63380787037</v>
      </c>
      <c r="C286" s="1" t="n">
        <v>46188</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579-2026</t>
        </is>
      </c>
      <c r="B287" s="1" t="n">
        <v>46029.47912037037</v>
      </c>
      <c r="C287" s="1" t="n">
        <v>46188</v>
      </c>
      <c r="D287" t="inlineStr">
        <is>
          <t>KALMAR LÄN</t>
        </is>
      </c>
      <c r="E287" t="inlineStr">
        <is>
          <t>VIMMERBY</t>
        </is>
      </c>
      <c r="G287" t="n">
        <v>3</v>
      </c>
      <c r="H287" t="n">
        <v>0</v>
      </c>
      <c r="I287" t="n">
        <v>0</v>
      </c>
      <c r="J287" t="n">
        <v>0</v>
      </c>
      <c r="K287" t="n">
        <v>0</v>
      </c>
      <c r="L287" t="n">
        <v>0</v>
      </c>
      <c r="M287" t="n">
        <v>0</v>
      </c>
      <c r="N287" t="n">
        <v>0</v>
      </c>
      <c r="O287" t="n">
        <v>0</v>
      </c>
      <c r="P287" t="n">
        <v>0</v>
      </c>
      <c r="Q287" t="n">
        <v>0</v>
      </c>
      <c r="R287" s="2" t="inlineStr"/>
    </row>
    <row r="288" ht="15" customHeight="1">
      <c r="A288" t="inlineStr">
        <is>
          <t>A 409-2026</t>
        </is>
      </c>
      <c r="B288" s="1" t="n">
        <v>46028.69432870371</v>
      </c>
      <c r="C288" s="1" t="n">
        <v>46188</v>
      </c>
      <c r="D288" t="inlineStr">
        <is>
          <t>KALMAR LÄN</t>
        </is>
      </c>
      <c r="E288" t="inlineStr">
        <is>
          <t>VIMMERBY</t>
        </is>
      </c>
      <c r="G288" t="n">
        <v>2.2</v>
      </c>
      <c r="H288" t="n">
        <v>0</v>
      </c>
      <c r="I288" t="n">
        <v>0</v>
      </c>
      <c r="J288" t="n">
        <v>0</v>
      </c>
      <c r="K288" t="n">
        <v>0</v>
      </c>
      <c r="L288" t="n">
        <v>0</v>
      </c>
      <c r="M288" t="n">
        <v>0</v>
      </c>
      <c r="N288" t="n">
        <v>0</v>
      </c>
      <c r="O288" t="n">
        <v>0</v>
      </c>
      <c r="P288" t="n">
        <v>0</v>
      </c>
      <c r="Q288" t="n">
        <v>0</v>
      </c>
      <c r="R288" s="2" t="inlineStr"/>
    </row>
    <row r="289" ht="15" customHeight="1">
      <c r="A289" t="inlineStr">
        <is>
          <t>A 406-2026</t>
        </is>
      </c>
      <c r="B289" s="1" t="n">
        <v>46028.68663194445</v>
      </c>
      <c r="C289" s="1" t="n">
        <v>46188</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23984-2025</t>
        </is>
      </c>
      <c r="B290" s="1" t="n">
        <v>45796</v>
      </c>
      <c r="C290" s="1" t="n">
        <v>46188</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13015-2023</t>
        </is>
      </c>
      <c r="B291" s="1" t="n">
        <v>45002</v>
      </c>
      <c r="C291" s="1" t="n">
        <v>46188</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29186-2024</t>
        </is>
      </c>
      <c r="B292" s="1" t="n">
        <v>45482.54844907407</v>
      </c>
      <c r="C292" s="1" t="n">
        <v>46188</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842-2026</t>
        </is>
      </c>
      <c r="B293" s="1" t="n">
        <v>46030.380625</v>
      </c>
      <c r="C293" s="1" t="n">
        <v>46188</v>
      </c>
      <c r="D293" t="inlineStr">
        <is>
          <t>KALMAR LÄN</t>
        </is>
      </c>
      <c r="E293" t="inlineStr">
        <is>
          <t>VIMMERBY</t>
        </is>
      </c>
      <c r="G293" t="n">
        <v>0.9</v>
      </c>
      <c r="H293" t="n">
        <v>0</v>
      </c>
      <c r="I293" t="n">
        <v>0</v>
      </c>
      <c r="J293" t="n">
        <v>0</v>
      </c>
      <c r="K293" t="n">
        <v>0</v>
      </c>
      <c r="L293" t="n">
        <v>0</v>
      </c>
      <c r="M293" t="n">
        <v>0</v>
      </c>
      <c r="N293" t="n">
        <v>0</v>
      </c>
      <c r="O293" t="n">
        <v>0</v>
      </c>
      <c r="P293" t="n">
        <v>0</v>
      </c>
      <c r="Q293" t="n">
        <v>0</v>
      </c>
      <c r="R293" s="2" t="inlineStr"/>
    </row>
    <row r="294" ht="15" customHeight="1">
      <c r="A294" t="inlineStr">
        <is>
          <t>A 50993-2022</t>
        </is>
      </c>
      <c r="B294" s="1" t="n">
        <v>44867</v>
      </c>
      <c r="C294" s="1" t="n">
        <v>46188</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35082-2024</t>
        </is>
      </c>
      <c r="B295" s="1" t="n">
        <v>45527.68784722222</v>
      </c>
      <c r="C295" s="1" t="n">
        <v>46188</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1069-2026</t>
        </is>
      </c>
      <c r="B296" s="1" t="n">
        <v>46030</v>
      </c>
      <c r="C296" s="1" t="n">
        <v>46188</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54787-2023</t>
        </is>
      </c>
      <c r="B297" s="1" t="n">
        <v>45236</v>
      </c>
      <c r="C297" s="1" t="n">
        <v>46188</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1743-2026</t>
        </is>
      </c>
      <c r="B298" s="1" t="n">
        <v>46034</v>
      </c>
      <c r="C298" s="1" t="n">
        <v>46188</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51278-2024</t>
        </is>
      </c>
      <c r="B299" s="1" t="n">
        <v>45603.74959490741</v>
      </c>
      <c r="C299" s="1" t="n">
        <v>46188</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32614-2023</t>
        </is>
      </c>
      <c r="B300" s="1" t="n">
        <v>45121</v>
      </c>
      <c r="C300" s="1" t="n">
        <v>46188</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6850-2023</t>
        </is>
      </c>
      <c r="B301" s="1" t="n">
        <v>44967.44255787037</v>
      </c>
      <c r="C301" s="1" t="n">
        <v>46188</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58750-2022</t>
        </is>
      </c>
      <c r="B302" s="1" t="n">
        <v>44903.33363425926</v>
      </c>
      <c r="C302" s="1" t="n">
        <v>46188</v>
      </c>
      <c r="D302" t="inlineStr">
        <is>
          <t>KALMAR LÄN</t>
        </is>
      </c>
      <c r="E302" t="inlineStr">
        <is>
          <t>VIMMERBY</t>
        </is>
      </c>
      <c r="G302" t="n">
        <v>3.3</v>
      </c>
      <c r="H302" t="n">
        <v>0</v>
      </c>
      <c r="I302" t="n">
        <v>0</v>
      </c>
      <c r="J302" t="n">
        <v>0</v>
      </c>
      <c r="K302" t="n">
        <v>0</v>
      </c>
      <c r="L302" t="n">
        <v>0</v>
      </c>
      <c r="M302" t="n">
        <v>0</v>
      </c>
      <c r="N302" t="n">
        <v>0</v>
      </c>
      <c r="O302" t="n">
        <v>0</v>
      </c>
      <c r="P302" t="n">
        <v>0</v>
      </c>
      <c r="Q302" t="n">
        <v>0</v>
      </c>
      <c r="R302" s="2" t="inlineStr"/>
    </row>
    <row r="303" ht="15" customHeight="1">
      <c r="A303" t="inlineStr">
        <is>
          <t>A 9456-2025</t>
        </is>
      </c>
      <c r="B303" s="1" t="n">
        <v>45715.44159722222</v>
      </c>
      <c r="C303" s="1" t="n">
        <v>46188</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11111-2023</t>
        </is>
      </c>
      <c r="B304" s="1" t="n">
        <v>44992.4255787037</v>
      </c>
      <c r="C304" s="1" t="n">
        <v>46188</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41158-2023</t>
        </is>
      </c>
      <c r="B305" s="1" t="n">
        <v>45174.31395833333</v>
      </c>
      <c r="C305" s="1" t="n">
        <v>46188</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1748-2026</t>
        </is>
      </c>
      <c r="B306" s="1" t="n">
        <v>46034.65589120371</v>
      </c>
      <c r="C306" s="1" t="n">
        <v>46188</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3269-2024</t>
        </is>
      </c>
      <c r="B307" s="1" t="n">
        <v>45317.40372685185</v>
      </c>
      <c r="C307" s="1" t="n">
        <v>46188</v>
      </c>
      <c r="D307" t="inlineStr">
        <is>
          <t>KALMAR LÄN</t>
        </is>
      </c>
      <c r="E307" t="inlineStr">
        <is>
          <t>VIMMERBY</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48120-2022</t>
        </is>
      </c>
      <c r="B308" s="1" t="n">
        <v>44857.65989583333</v>
      </c>
      <c r="C308" s="1" t="n">
        <v>46188</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6368-2023</t>
        </is>
      </c>
      <c r="B309" s="1" t="n">
        <v>44965</v>
      </c>
      <c r="C309" s="1" t="n">
        <v>46188</v>
      </c>
      <c r="D309" t="inlineStr">
        <is>
          <t>KALMAR LÄN</t>
        </is>
      </c>
      <c r="E309" t="inlineStr">
        <is>
          <t>VIMMERBY</t>
        </is>
      </c>
      <c r="G309" t="n">
        <v>1.3</v>
      </c>
      <c r="H309" t="n">
        <v>0</v>
      </c>
      <c r="I309" t="n">
        <v>0</v>
      </c>
      <c r="J309" t="n">
        <v>0</v>
      </c>
      <c r="K309" t="n">
        <v>0</v>
      </c>
      <c r="L309" t="n">
        <v>0</v>
      </c>
      <c r="M309" t="n">
        <v>0</v>
      </c>
      <c r="N309" t="n">
        <v>0</v>
      </c>
      <c r="O309" t="n">
        <v>0</v>
      </c>
      <c r="P309" t="n">
        <v>0</v>
      </c>
      <c r="Q309" t="n">
        <v>0</v>
      </c>
      <c r="R309" s="2" t="inlineStr"/>
    </row>
    <row r="310" ht="15" customHeight="1">
      <c r="A310" t="inlineStr">
        <is>
          <t>A 1862-2026</t>
        </is>
      </c>
      <c r="B310" s="1" t="n">
        <v>46035.44689814815</v>
      </c>
      <c r="C310" s="1" t="n">
        <v>46188</v>
      </c>
      <c r="D310" t="inlineStr">
        <is>
          <t>KALMAR LÄN</t>
        </is>
      </c>
      <c r="E310" t="inlineStr">
        <is>
          <t>VIMMERBY</t>
        </is>
      </c>
      <c r="G310" t="n">
        <v>3.1</v>
      </c>
      <c r="H310" t="n">
        <v>0</v>
      </c>
      <c r="I310" t="n">
        <v>0</v>
      </c>
      <c r="J310" t="n">
        <v>0</v>
      </c>
      <c r="K310" t="n">
        <v>0</v>
      </c>
      <c r="L310" t="n">
        <v>0</v>
      </c>
      <c r="M310" t="n">
        <v>0</v>
      </c>
      <c r="N310" t="n">
        <v>0</v>
      </c>
      <c r="O310" t="n">
        <v>0</v>
      </c>
      <c r="P310" t="n">
        <v>0</v>
      </c>
      <c r="Q310" t="n">
        <v>0</v>
      </c>
      <c r="R310" s="2" t="inlineStr"/>
    </row>
    <row r="311" ht="15" customHeight="1">
      <c r="A311" t="inlineStr">
        <is>
          <t>A 9416-2024</t>
        </is>
      </c>
      <c r="B311" s="1" t="n">
        <v>45359.44837962963</v>
      </c>
      <c r="C311" s="1" t="n">
        <v>46188</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44582-2024</t>
        </is>
      </c>
      <c r="B312" s="1" t="n">
        <v>45574.49298611111</v>
      </c>
      <c r="C312" s="1" t="n">
        <v>46188</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15494-2024</t>
        </is>
      </c>
      <c r="B313" s="1" t="n">
        <v>45401.53033564815</v>
      </c>
      <c r="C313" s="1" t="n">
        <v>46188</v>
      </c>
      <c r="D313" t="inlineStr">
        <is>
          <t>KALMAR LÄN</t>
        </is>
      </c>
      <c r="E313" t="inlineStr">
        <is>
          <t>VIMMERBY</t>
        </is>
      </c>
      <c r="G313" t="n">
        <v>3.2</v>
      </c>
      <c r="H313" t="n">
        <v>0</v>
      </c>
      <c r="I313" t="n">
        <v>0</v>
      </c>
      <c r="J313" t="n">
        <v>0</v>
      </c>
      <c r="K313" t="n">
        <v>0</v>
      </c>
      <c r="L313" t="n">
        <v>0</v>
      </c>
      <c r="M313" t="n">
        <v>0</v>
      </c>
      <c r="N313" t="n">
        <v>0</v>
      </c>
      <c r="O313" t="n">
        <v>0</v>
      </c>
      <c r="P313" t="n">
        <v>0</v>
      </c>
      <c r="Q313" t="n">
        <v>0</v>
      </c>
      <c r="R313" s="2" t="inlineStr"/>
    </row>
    <row r="314" ht="15" customHeight="1">
      <c r="A314" t="inlineStr">
        <is>
          <t>A 2518-2026</t>
        </is>
      </c>
      <c r="B314" s="1" t="n">
        <v>46037.42511574074</v>
      </c>
      <c r="C314" s="1" t="n">
        <v>46188</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2797-2023</t>
        </is>
      </c>
      <c r="B315" s="1" t="n">
        <v>44944.71386574074</v>
      </c>
      <c r="C315" s="1" t="n">
        <v>46188</v>
      </c>
      <c r="D315" t="inlineStr">
        <is>
          <t>KALMAR LÄN</t>
        </is>
      </c>
      <c r="E315" t="inlineStr">
        <is>
          <t>VIMMERBY</t>
        </is>
      </c>
      <c r="G315" t="n">
        <v>3.4</v>
      </c>
      <c r="H315" t="n">
        <v>0</v>
      </c>
      <c r="I315" t="n">
        <v>0</v>
      </c>
      <c r="J315" t="n">
        <v>0</v>
      </c>
      <c r="K315" t="n">
        <v>0</v>
      </c>
      <c r="L315" t="n">
        <v>0</v>
      </c>
      <c r="M315" t="n">
        <v>0</v>
      </c>
      <c r="N315" t="n">
        <v>0</v>
      </c>
      <c r="O315" t="n">
        <v>0</v>
      </c>
      <c r="P315" t="n">
        <v>0</v>
      </c>
      <c r="Q315" t="n">
        <v>0</v>
      </c>
      <c r="R315" s="2" t="inlineStr"/>
    </row>
    <row r="316" ht="15" customHeight="1">
      <c r="A316" t="inlineStr">
        <is>
          <t>A 2799-2023</t>
        </is>
      </c>
      <c r="B316" s="1" t="n">
        <v>44944.72100694444</v>
      </c>
      <c r="C316" s="1" t="n">
        <v>46188</v>
      </c>
      <c r="D316" t="inlineStr">
        <is>
          <t>KALMAR LÄN</t>
        </is>
      </c>
      <c r="E316" t="inlineStr">
        <is>
          <t>VIMMERBY</t>
        </is>
      </c>
      <c r="G316" t="n">
        <v>1.3</v>
      </c>
      <c r="H316" t="n">
        <v>0</v>
      </c>
      <c r="I316" t="n">
        <v>0</v>
      </c>
      <c r="J316" t="n">
        <v>0</v>
      </c>
      <c r="K316" t="n">
        <v>0</v>
      </c>
      <c r="L316" t="n">
        <v>0</v>
      </c>
      <c r="M316" t="n">
        <v>0</v>
      </c>
      <c r="N316" t="n">
        <v>0</v>
      </c>
      <c r="O316" t="n">
        <v>0</v>
      </c>
      <c r="P316" t="n">
        <v>0</v>
      </c>
      <c r="Q316" t="n">
        <v>0</v>
      </c>
      <c r="R316" s="2" t="inlineStr"/>
    </row>
    <row r="317" ht="15" customHeight="1">
      <c r="A317" t="inlineStr">
        <is>
          <t>A 25987-2024</t>
        </is>
      </c>
      <c r="B317" s="1" t="n">
        <v>45467.74417824074</v>
      </c>
      <c r="C317" s="1" t="n">
        <v>46188</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2514-2026</t>
        </is>
      </c>
      <c r="B318" s="1" t="n">
        <v>46037.42219907408</v>
      </c>
      <c r="C318" s="1" t="n">
        <v>46188</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12630-2023</t>
        </is>
      </c>
      <c r="B319" s="1" t="n">
        <v>45000.47998842593</v>
      </c>
      <c r="C319" s="1" t="n">
        <v>46188</v>
      </c>
      <c r="D319" t="inlineStr">
        <is>
          <t>KALMAR LÄN</t>
        </is>
      </c>
      <c r="E319" t="inlineStr">
        <is>
          <t>VIMMERBY</t>
        </is>
      </c>
      <c r="G319" t="n">
        <v>2.1</v>
      </c>
      <c r="H319" t="n">
        <v>0</v>
      </c>
      <c r="I319" t="n">
        <v>0</v>
      </c>
      <c r="J319" t="n">
        <v>0</v>
      </c>
      <c r="K319" t="n">
        <v>0</v>
      </c>
      <c r="L319" t="n">
        <v>0</v>
      </c>
      <c r="M319" t="n">
        <v>0</v>
      </c>
      <c r="N319" t="n">
        <v>0</v>
      </c>
      <c r="O319" t="n">
        <v>0</v>
      </c>
      <c r="P319" t="n">
        <v>0</v>
      </c>
      <c r="Q319" t="n">
        <v>0</v>
      </c>
      <c r="R319" s="2" t="inlineStr"/>
    </row>
    <row r="320" ht="15" customHeight="1">
      <c r="A320" t="inlineStr">
        <is>
          <t>A 21109-2024</t>
        </is>
      </c>
      <c r="B320" s="1" t="n">
        <v>45440.28329861111</v>
      </c>
      <c r="C320" s="1" t="n">
        <v>46188</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58724-2024</t>
        </is>
      </c>
      <c r="B321" s="1" t="n">
        <v>45635.66409722222</v>
      </c>
      <c r="C321" s="1" t="n">
        <v>46188</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2523-2026</t>
        </is>
      </c>
      <c r="B322" s="1" t="n">
        <v>46037.42825231481</v>
      </c>
      <c r="C322" s="1" t="n">
        <v>46188</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30634-2024</t>
        </is>
      </c>
      <c r="B323" s="1" t="n">
        <v>45495</v>
      </c>
      <c r="C323" s="1" t="n">
        <v>46188</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3266-2026</t>
        </is>
      </c>
      <c r="B324" s="1" t="n">
        <v>46041</v>
      </c>
      <c r="C324" s="1" t="n">
        <v>46188</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25792-2025</t>
        </is>
      </c>
      <c r="B325" s="1" t="n">
        <v>45804.39141203704</v>
      </c>
      <c r="C325" s="1" t="n">
        <v>46188</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40260-2024</t>
        </is>
      </c>
      <c r="B326" s="1" t="n">
        <v>45554.63225694445</v>
      </c>
      <c r="C326" s="1" t="n">
        <v>46188</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26046-2025</t>
        </is>
      </c>
      <c r="B327" s="1" t="n">
        <v>45804.708125</v>
      </c>
      <c r="C327" s="1" t="n">
        <v>46188</v>
      </c>
      <c r="D327" t="inlineStr">
        <is>
          <t>KALMAR LÄN</t>
        </is>
      </c>
      <c r="E327" t="inlineStr">
        <is>
          <t>VIMMERBY</t>
        </is>
      </c>
      <c r="F327" t="inlineStr">
        <is>
          <t>Sveaskog</t>
        </is>
      </c>
      <c r="G327" t="n">
        <v>5.1</v>
      </c>
      <c r="H327" t="n">
        <v>0</v>
      </c>
      <c r="I327" t="n">
        <v>0</v>
      </c>
      <c r="J327" t="n">
        <v>0</v>
      </c>
      <c r="K327" t="n">
        <v>0</v>
      </c>
      <c r="L327" t="n">
        <v>0</v>
      </c>
      <c r="M327" t="n">
        <v>0</v>
      </c>
      <c r="N327" t="n">
        <v>0</v>
      </c>
      <c r="O327" t="n">
        <v>0</v>
      </c>
      <c r="P327" t="n">
        <v>0</v>
      </c>
      <c r="Q327" t="n">
        <v>0</v>
      </c>
      <c r="R327" s="2" t="inlineStr"/>
    </row>
    <row r="328" ht="15" customHeight="1">
      <c r="A328" t="inlineStr">
        <is>
          <t>A 59943-2023</t>
        </is>
      </c>
      <c r="B328" s="1" t="n">
        <v>45257.67958333333</v>
      </c>
      <c r="C328" s="1" t="n">
        <v>46188</v>
      </c>
      <c r="D328" t="inlineStr">
        <is>
          <t>KALMAR LÄN</t>
        </is>
      </c>
      <c r="E328" t="inlineStr">
        <is>
          <t>VIMMERBY</t>
        </is>
      </c>
      <c r="G328" t="n">
        <v>6.4</v>
      </c>
      <c r="H328" t="n">
        <v>0</v>
      </c>
      <c r="I328" t="n">
        <v>0</v>
      </c>
      <c r="J328" t="n">
        <v>0</v>
      </c>
      <c r="K328" t="n">
        <v>0</v>
      </c>
      <c r="L328" t="n">
        <v>0</v>
      </c>
      <c r="M328" t="n">
        <v>0</v>
      </c>
      <c r="N328" t="n">
        <v>0</v>
      </c>
      <c r="O328" t="n">
        <v>0</v>
      </c>
      <c r="P328" t="n">
        <v>0</v>
      </c>
      <c r="Q328" t="n">
        <v>0</v>
      </c>
      <c r="R328" s="2" t="inlineStr"/>
    </row>
    <row r="329" ht="15" customHeight="1">
      <c r="A329" t="inlineStr">
        <is>
          <t>A 26207-2025</t>
        </is>
      </c>
      <c r="B329" s="1" t="n">
        <v>45805.52983796296</v>
      </c>
      <c r="C329" s="1" t="n">
        <v>46188</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5527-2022</t>
        </is>
      </c>
      <c r="B330" s="1" t="n">
        <v>44595.583125</v>
      </c>
      <c r="C330" s="1" t="n">
        <v>46188</v>
      </c>
      <c r="D330" t="inlineStr">
        <is>
          <t>KALMAR LÄN</t>
        </is>
      </c>
      <c r="E330" t="inlineStr">
        <is>
          <t>VIMMERBY</t>
        </is>
      </c>
      <c r="G330" t="n">
        <v>3.6</v>
      </c>
      <c r="H330" t="n">
        <v>0</v>
      </c>
      <c r="I330" t="n">
        <v>0</v>
      </c>
      <c r="J330" t="n">
        <v>0</v>
      </c>
      <c r="K330" t="n">
        <v>0</v>
      </c>
      <c r="L330" t="n">
        <v>0</v>
      </c>
      <c r="M330" t="n">
        <v>0</v>
      </c>
      <c r="N330" t="n">
        <v>0</v>
      </c>
      <c r="O330" t="n">
        <v>0</v>
      </c>
      <c r="P330" t="n">
        <v>0</v>
      </c>
      <c r="Q330" t="n">
        <v>0</v>
      </c>
      <c r="R330" s="2" t="inlineStr"/>
    </row>
    <row r="331" ht="15" customHeight="1">
      <c r="A331" t="inlineStr">
        <is>
          <t>A 12325-2023</t>
        </is>
      </c>
      <c r="B331" s="1" t="n">
        <v>44999.35858796296</v>
      </c>
      <c r="C331" s="1" t="n">
        <v>46188</v>
      </c>
      <c r="D331" t="inlineStr">
        <is>
          <t>KALMAR LÄN</t>
        </is>
      </c>
      <c r="E331" t="inlineStr">
        <is>
          <t>VIMMERBY</t>
        </is>
      </c>
      <c r="G331" t="n">
        <v>3.4</v>
      </c>
      <c r="H331" t="n">
        <v>0</v>
      </c>
      <c r="I331" t="n">
        <v>0</v>
      </c>
      <c r="J331" t="n">
        <v>0</v>
      </c>
      <c r="K331" t="n">
        <v>0</v>
      </c>
      <c r="L331" t="n">
        <v>0</v>
      </c>
      <c r="M331" t="n">
        <v>0</v>
      </c>
      <c r="N331" t="n">
        <v>0</v>
      </c>
      <c r="O331" t="n">
        <v>0</v>
      </c>
      <c r="P331" t="n">
        <v>0</v>
      </c>
      <c r="Q331" t="n">
        <v>0</v>
      </c>
      <c r="R331" s="2" t="inlineStr"/>
    </row>
    <row r="332" ht="15" customHeight="1">
      <c r="A332" t="inlineStr">
        <is>
          <t>A 1016-2024</t>
        </is>
      </c>
      <c r="B332" s="1" t="n">
        <v>45301</v>
      </c>
      <c r="C332" s="1" t="n">
        <v>46188</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3868-2026</t>
        </is>
      </c>
      <c r="B333" s="1" t="n">
        <v>46043.6360300926</v>
      </c>
      <c r="C333" s="1" t="n">
        <v>46188</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3869-2026</t>
        </is>
      </c>
      <c r="B334" s="1" t="n">
        <v>46043.63940972222</v>
      </c>
      <c r="C334" s="1" t="n">
        <v>46188</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33681-2022</t>
        </is>
      </c>
      <c r="B335" s="1" t="n">
        <v>44789</v>
      </c>
      <c r="C335" s="1" t="n">
        <v>46188</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3965-2026</t>
        </is>
      </c>
      <c r="B336" s="1" t="n">
        <v>46044.34563657407</v>
      </c>
      <c r="C336" s="1" t="n">
        <v>46188</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5074-2023</t>
        </is>
      </c>
      <c r="B337" s="1" t="n">
        <v>44958.61047453704</v>
      </c>
      <c r="C337" s="1" t="n">
        <v>46188</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51187-2023</t>
        </is>
      </c>
      <c r="B338" s="1" t="n">
        <v>45219.40528935185</v>
      </c>
      <c r="C338" s="1" t="n">
        <v>46188</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15715-2022</t>
        </is>
      </c>
      <c r="B339" s="1" t="n">
        <v>44663</v>
      </c>
      <c r="C339" s="1" t="n">
        <v>46188</v>
      </c>
      <c r="D339" t="inlineStr">
        <is>
          <t>KALMAR LÄN</t>
        </is>
      </c>
      <c r="E339" t="inlineStr">
        <is>
          <t>VIMMERBY</t>
        </is>
      </c>
      <c r="G339" t="n">
        <v>2.3</v>
      </c>
      <c r="H339" t="n">
        <v>0</v>
      </c>
      <c r="I339" t="n">
        <v>0</v>
      </c>
      <c r="J339" t="n">
        <v>0</v>
      </c>
      <c r="K339" t="n">
        <v>0</v>
      </c>
      <c r="L339" t="n">
        <v>0</v>
      </c>
      <c r="M339" t="n">
        <v>0</v>
      </c>
      <c r="N339" t="n">
        <v>0</v>
      </c>
      <c r="O339" t="n">
        <v>0</v>
      </c>
      <c r="P339" t="n">
        <v>0</v>
      </c>
      <c r="Q339" t="n">
        <v>0</v>
      </c>
      <c r="R339" s="2" t="inlineStr"/>
    </row>
    <row r="340" ht="15" customHeight="1">
      <c r="A340" t="inlineStr">
        <is>
          <t>A 43093-2024</t>
        </is>
      </c>
      <c r="B340" s="1" t="n">
        <v>45567</v>
      </c>
      <c r="C340" s="1" t="n">
        <v>46188</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56022-2024</t>
        </is>
      </c>
      <c r="B341" s="1" t="n">
        <v>45623.95947916667</v>
      </c>
      <c r="C341" s="1" t="n">
        <v>46188</v>
      </c>
      <c r="D341" t="inlineStr">
        <is>
          <t>KALMAR LÄN</t>
        </is>
      </c>
      <c r="E341" t="inlineStr">
        <is>
          <t>VIMMERBY</t>
        </is>
      </c>
      <c r="G341" t="n">
        <v>0.3</v>
      </c>
      <c r="H341" t="n">
        <v>0</v>
      </c>
      <c r="I341" t="n">
        <v>0</v>
      </c>
      <c r="J341" t="n">
        <v>0</v>
      </c>
      <c r="K341" t="n">
        <v>0</v>
      </c>
      <c r="L341" t="n">
        <v>0</v>
      </c>
      <c r="M341" t="n">
        <v>0</v>
      </c>
      <c r="N341" t="n">
        <v>0</v>
      </c>
      <c r="O341" t="n">
        <v>0</v>
      </c>
      <c r="P341" t="n">
        <v>0</v>
      </c>
      <c r="Q341" t="n">
        <v>0</v>
      </c>
      <c r="R341" s="2" t="inlineStr"/>
    </row>
    <row r="342" ht="15" customHeight="1">
      <c r="A342" t="inlineStr">
        <is>
          <t>A 18330-2023</t>
        </is>
      </c>
      <c r="B342" s="1" t="n">
        <v>45041</v>
      </c>
      <c r="C342" s="1" t="n">
        <v>46188</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46921-2023</t>
        </is>
      </c>
      <c r="B343" s="1" t="n">
        <v>45201.39996527778</v>
      </c>
      <c r="C343" s="1" t="n">
        <v>46188</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25236-2023</t>
        </is>
      </c>
      <c r="B344" s="1" t="n">
        <v>45086.63334490741</v>
      </c>
      <c r="C344" s="1" t="n">
        <v>46188</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6082-2022</t>
        </is>
      </c>
      <c r="B345" s="1" t="n">
        <v>44599</v>
      </c>
      <c r="C345" s="1" t="n">
        <v>46188</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2801-2023</t>
        </is>
      </c>
      <c r="B346" s="1" t="n">
        <v>44944.73487268519</v>
      </c>
      <c r="C346" s="1" t="n">
        <v>46188</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5146-2024</t>
        </is>
      </c>
      <c r="B347" s="1" t="n">
        <v>45330</v>
      </c>
      <c r="C347" s="1" t="n">
        <v>46188</v>
      </c>
      <c r="D347" t="inlineStr">
        <is>
          <t>KALMAR LÄN</t>
        </is>
      </c>
      <c r="E347" t="inlineStr">
        <is>
          <t>VIMMERBY</t>
        </is>
      </c>
      <c r="G347" t="n">
        <v>5.3</v>
      </c>
      <c r="H347" t="n">
        <v>0</v>
      </c>
      <c r="I347" t="n">
        <v>0</v>
      </c>
      <c r="J347" t="n">
        <v>0</v>
      </c>
      <c r="K347" t="n">
        <v>0</v>
      </c>
      <c r="L347" t="n">
        <v>0</v>
      </c>
      <c r="M347" t="n">
        <v>0</v>
      </c>
      <c r="N347" t="n">
        <v>0</v>
      </c>
      <c r="O347" t="n">
        <v>0</v>
      </c>
      <c r="P347" t="n">
        <v>0</v>
      </c>
      <c r="Q347" t="n">
        <v>0</v>
      </c>
      <c r="R347" s="2" t="inlineStr"/>
    </row>
    <row r="348" ht="15" customHeight="1">
      <c r="A348" t="inlineStr">
        <is>
          <t>A 5148-2024</t>
        </is>
      </c>
      <c r="B348" s="1" t="n">
        <v>45330</v>
      </c>
      <c r="C348" s="1" t="n">
        <v>46188</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58278-2023</t>
        </is>
      </c>
      <c r="B349" s="1" t="n">
        <v>45250.5278587963</v>
      </c>
      <c r="C349" s="1" t="n">
        <v>46188</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22266-2023</t>
        </is>
      </c>
      <c r="B350" s="1" t="n">
        <v>45070</v>
      </c>
      <c r="C350" s="1" t="n">
        <v>46188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52588-2023</t>
        </is>
      </c>
      <c r="B351" s="1" t="n">
        <v>45225.60192129629</v>
      </c>
      <c r="C351" s="1" t="n">
        <v>46188</v>
      </c>
      <c r="D351" t="inlineStr">
        <is>
          <t>KALMAR LÄN</t>
        </is>
      </c>
      <c r="E351" t="inlineStr">
        <is>
          <t>VIMMERBY</t>
        </is>
      </c>
      <c r="G351" t="n">
        <v>2.9</v>
      </c>
      <c r="H351" t="n">
        <v>0</v>
      </c>
      <c r="I351" t="n">
        <v>0</v>
      </c>
      <c r="J351" t="n">
        <v>0</v>
      </c>
      <c r="K351" t="n">
        <v>0</v>
      </c>
      <c r="L351" t="n">
        <v>0</v>
      </c>
      <c r="M351" t="n">
        <v>0</v>
      </c>
      <c r="N351" t="n">
        <v>0</v>
      </c>
      <c r="O351" t="n">
        <v>0</v>
      </c>
      <c r="P351" t="n">
        <v>0</v>
      </c>
      <c r="Q351" t="n">
        <v>0</v>
      </c>
      <c r="R351" s="2" t="inlineStr"/>
    </row>
    <row r="352" ht="15" customHeight="1">
      <c r="A352" t="inlineStr">
        <is>
          <t>A 6817-2026</t>
        </is>
      </c>
      <c r="B352" s="1" t="n">
        <v>46057.38412037037</v>
      </c>
      <c r="C352" s="1" t="n">
        <v>46188</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6802-2025</t>
        </is>
      </c>
      <c r="B353" s="1" t="n">
        <v>45700.68289351852</v>
      </c>
      <c r="C353" s="1" t="n">
        <v>46188</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71793-2021</t>
        </is>
      </c>
      <c r="B354" s="1" t="n">
        <v>44539</v>
      </c>
      <c r="C354" s="1" t="n">
        <v>46188</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527-2024</t>
        </is>
      </c>
      <c r="B355" s="1" t="n">
        <v>45299.47513888889</v>
      </c>
      <c r="C355" s="1" t="n">
        <v>46188</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28294-2025</t>
        </is>
      </c>
      <c r="B356" s="1" t="n">
        <v>45818.595625</v>
      </c>
      <c r="C356" s="1" t="n">
        <v>46188</v>
      </c>
      <c r="D356" t="inlineStr">
        <is>
          <t>KALMAR LÄN</t>
        </is>
      </c>
      <c r="E356" t="inlineStr">
        <is>
          <t>VIMMERBY</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28290-2025</t>
        </is>
      </c>
      <c r="B357" s="1" t="n">
        <v>45818.59261574074</v>
      </c>
      <c r="C357" s="1" t="n">
        <v>46188</v>
      </c>
      <c r="D357" t="inlineStr">
        <is>
          <t>KALMAR LÄN</t>
        </is>
      </c>
      <c r="E357" t="inlineStr">
        <is>
          <t>VIMMERBY</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60230-2022</t>
        </is>
      </c>
      <c r="B358" s="1" t="n">
        <v>44910</v>
      </c>
      <c r="C358" s="1" t="n">
        <v>46188</v>
      </c>
      <c r="D358" t="inlineStr">
        <is>
          <t>KALMAR LÄN</t>
        </is>
      </c>
      <c r="E358" t="inlineStr">
        <is>
          <t>VIMMERBY</t>
        </is>
      </c>
      <c r="G358" t="n">
        <v>11.3</v>
      </c>
      <c r="H358" t="n">
        <v>0</v>
      </c>
      <c r="I358" t="n">
        <v>0</v>
      </c>
      <c r="J358" t="n">
        <v>0</v>
      </c>
      <c r="K358" t="n">
        <v>0</v>
      </c>
      <c r="L358" t="n">
        <v>0</v>
      </c>
      <c r="M358" t="n">
        <v>0</v>
      </c>
      <c r="N358" t="n">
        <v>0</v>
      </c>
      <c r="O358" t="n">
        <v>0</v>
      </c>
      <c r="P358" t="n">
        <v>0</v>
      </c>
      <c r="Q358" t="n">
        <v>0</v>
      </c>
      <c r="R358" s="2" t="inlineStr"/>
    </row>
    <row r="359" ht="15" customHeight="1">
      <c r="A359" t="inlineStr">
        <is>
          <t>A 5925-2022</t>
        </is>
      </c>
      <c r="B359" s="1" t="n">
        <v>44598.7384837963</v>
      </c>
      <c r="C359" s="1" t="n">
        <v>46188</v>
      </c>
      <c r="D359" t="inlineStr">
        <is>
          <t>KALMAR LÄN</t>
        </is>
      </c>
      <c r="E359" t="inlineStr">
        <is>
          <t>VIMMERBY</t>
        </is>
      </c>
      <c r="G359" t="n">
        <v>2.1</v>
      </c>
      <c r="H359" t="n">
        <v>0</v>
      </c>
      <c r="I359" t="n">
        <v>0</v>
      </c>
      <c r="J359" t="n">
        <v>0</v>
      </c>
      <c r="K359" t="n">
        <v>0</v>
      </c>
      <c r="L359" t="n">
        <v>0</v>
      </c>
      <c r="M359" t="n">
        <v>0</v>
      </c>
      <c r="N359" t="n">
        <v>0</v>
      </c>
      <c r="O359" t="n">
        <v>0</v>
      </c>
      <c r="P359" t="n">
        <v>0</v>
      </c>
      <c r="Q359" t="n">
        <v>0</v>
      </c>
      <c r="R359" s="2" t="inlineStr"/>
    </row>
    <row r="360" ht="15" customHeight="1">
      <c r="A360" t="inlineStr">
        <is>
          <t>A 46522-2022</t>
        </is>
      </c>
      <c r="B360" s="1" t="n">
        <v>44848.59133101852</v>
      </c>
      <c r="C360" s="1" t="n">
        <v>46188</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41066-2024</t>
        </is>
      </c>
      <c r="B361" s="1" t="n">
        <v>45559.38876157408</v>
      </c>
      <c r="C361" s="1" t="n">
        <v>46188</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52279-2023</t>
        </is>
      </c>
      <c r="B362" s="1" t="n">
        <v>45224</v>
      </c>
      <c r="C362" s="1" t="n">
        <v>46188</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17486-2024</t>
        </is>
      </c>
      <c r="B363" s="1" t="n">
        <v>45415.48979166667</v>
      </c>
      <c r="C363" s="1" t="n">
        <v>46188</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28713-2025</t>
        </is>
      </c>
      <c r="B364" s="1" t="n">
        <v>45820.33930555556</v>
      </c>
      <c r="C364" s="1" t="n">
        <v>46188</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71631-2021</t>
        </is>
      </c>
      <c r="B365" s="1" t="n">
        <v>44542.90072916666</v>
      </c>
      <c r="C365" s="1" t="n">
        <v>46188</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29737-2025</t>
        </is>
      </c>
      <c r="B366" s="1" t="n">
        <v>45825.58672453704</v>
      </c>
      <c r="C366" s="1" t="n">
        <v>46188</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8595-2026</t>
        </is>
      </c>
      <c r="B367" s="1" t="n">
        <v>46065.7372337963</v>
      </c>
      <c r="C367" s="1" t="n">
        <v>46188</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9694-2023</t>
        </is>
      </c>
      <c r="B368" s="1" t="n">
        <v>44984.45895833334</v>
      </c>
      <c r="C368" s="1" t="n">
        <v>46188</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30293-2025</t>
        </is>
      </c>
      <c r="B369" s="1" t="n">
        <v>45827</v>
      </c>
      <c r="C369" s="1" t="n">
        <v>46188</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57311-2023</t>
        </is>
      </c>
      <c r="B370" s="1" t="n">
        <v>45245.63574074074</v>
      </c>
      <c r="C370" s="1" t="n">
        <v>46188</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12588-2025</t>
        </is>
      </c>
      <c r="B371" s="1" t="n">
        <v>45732.76936342593</v>
      </c>
      <c r="C371" s="1" t="n">
        <v>46188</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7932-2025</t>
        </is>
      </c>
      <c r="B372" s="1" t="n">
        <v>45707.3793287037</v>
      </c>
      <c r="C372" s="1" t="n">
        <v>46188</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30971-2025</t>
        </is>
      </c>
      <c r="B373" s="1" t="n">
        <v>45832.46146990741</v>
      </c>
      <c r="C373" s="1" t="n">
        <v>46188</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31551-2025</t>
        </is>
      </c>
      <c r="B374" s="1" t="n">
        <v>45833.64237268519</v>
      </c>
      <c r="C374" s="1" t="n">
        <v>46188</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30882-2025</t>
        </is>
      </c>
      <c r="B375" s="1" t="n">
        <v>45832.34540509259</v>
      </c>
      <c r="C375" s="1" t="n">
        <v>46188</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2121-2022</t>
        </is>
      </c>
      <c r="B376" s="1" t="n">
        <v>44578.32717592592</v>
      </c>
      <c r="C376" s="1" t="n">
        <v>46188</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34386-2024</t>
        </is>
      </c>
      <c r="B377" s="1" t="n">
        <v>45525.41762731481</v>
      </c>
      <c r="C377" s="1" t="n">
        <v>46188</v>
      </c>
      <c r="D377" t="inlineStr">
        <is>
          <t>KALMAR LÄN</t>
        </is>
      </c>
      <c r="E377" t="inlineStr">
        <is>
          <t>VIMMERBY</t>
        </is>
      </c>
      <c r="G377" t="n">
        <v>0.3</v>
      </c>
      <c r="H377" t="n">
        <v>0</v>
      </c>
      <c r="I377" t="n">
        <v>0</v>
      </c>
      <c r="J377" t="n">
        <v>0</v>
      </c>
      <c r="K377" t="n">
        <v>0</v>
      </c>
      <c r="L377" t="n">
        <v>0</v>
      </c>
      <c r="M377" t="n">
        <v>0</v>
      </c>
      <c r="N377" t="n">
        <v>0</v>
      </c>
      <c r="O377" t="n">
        <v>0</v>
      </c>
      <c r="P377" t="n">
        <v>0</v>
      </c>
      <c r="Q377" t="n">
        <v>0</v>
      </c>
      <c r="R377" s="2" t="inlineStr"/>
    </row>
    <row r="378" ht="15" customHeight="1">
      <c r="A378" t="inlineStr">
        <is>
          <t>A 6069-2023</t>
        </is>
      </c>
      <c r="B378" s="1" t="n">
        <v>44964.5115162037</v>
      </c>
      <c r="C378" s="1" t="n">
        <v>46188</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32633-2023</t>
        </is>
      </c>
      <c r="B379" s="1" t="n">
        <v>45121.58699074074</v>
      </c>
      <c r="C379" s="1" t="n">
        <v>46188</v>
      </c>
      <c r="D379" t="inlineStr">
        <is>
          <t>KALMAR LÄN</t>
        </is>
      </c>
      <c r="E379" t="inlineStr">
        <is>
          <t>VIMMERBY</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49461-2023</t>
        </is>
      </c>
      <c r="B380" s="1" t="n">
        <v>45211.52642361111</v>
      </c>
      <c r="C380" s="1" t="n">
        <v>46188</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23095-2023</t>
        </is>
      </c>
      <c r="B381" s="1" t="n">
        <v>45075.43059027778</v>
      </c>
      <c r="C381" s="1" t="n">
        <v>46188</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11429-2022</t>
        </is>
      </c>
      <c r="B382" s="1" t="n">
        <v>44630</v>
      </c>
      <c r="C382" s="1" t="n">
        <v>46188</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11141-2024</t>
        </is>
      </c>
      <c r="B383" s="1" t="n">
        <v>45371.45865740741</v>
      </c>
      <c r="C383" s="1" t="n">
        <v>46188</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28395-2023</t>
        </is>
      </c>
      <c r="B384" s="1" t="n">
        <v>45100.4062962963</v>
      </c>
      <c r="C384" s="1" t="n">
        <v>46188</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34597-2022</t>
        </is>
      </c>
      <c r="B385" s="1" t="n">
        <v>44795</v>
      </c>
      <c r="C385" s="1" t="n">
        <v>46188</v>
      </c>
      <c r="D385" t="inlineStr">
        <is>
          <t>KALMAR LÄN</t>
        </is>
      </c>
      <c r="E385" t="inlineStr">
        <is>
          <t>VIMMERBY</t>
        </is>
      </c>
      <c r="G385" t="n">
        <v>2.2</v>
      </c>
      <c r="H385" t="n">
        <v>0</v>
      </c>
      <c r="I385" t="n">
        <v>0</v>
      </c>
      <c r="J385" t="n">
        <v>0</v>
      </c>
      <c r="K385" t="n">
        <v>0</v>
      </c>
      <c r="L385" t="n">
        <v>0</v>
      </c>
      <c r="M385" t="n">
        <v>0</v>
      </c>
      <c r="N385" t="n">
        <v>0</v>
      </c>
      <c r="O385" t="n">
        <v>0</v>
      </c>
      <c r="P385" t="n">
        <v>0</v>
      </c>
      <c r="Q385" t="n">
        <v>0</v>
      </c>
      <c r="R385" s="2" t="inlineStr"/>
    </row>
    <row r="386" ht="15" customHeight="1">
      <c r="A386" t="inlineStr">
        <is>
          <t>A 64428-2023</t>
        </is>
      </c>
      <c r="B386" s="1" t="n">
        <v>45280.66769675926</v>
      </c>
      <c r="C386" s="1" t="n">
        <v>46188</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30588-2023</t>
        </is>
      </c>
      <c r="B387" s="1" t="n">
        <v>45112.33599537037</v>
      </c>
      <c r="C387" s="1" t="n">
        <v>46188</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30503-2023</t>
        </is>
      </c>
      <c r="B388" s="1" t="n">
        <v>45111</v>
      </c>
      <c r="C388" s="1" t="n">
        <v>46188</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46188</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46188</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32077-2025</t>
        </is>
      </c>
      <c r="B391" s="1" t="n">
        <v>45835.45099537037</v>
      </c>
      <c r="C391" s="1" t="n">
        <v>46188</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47263-2023</t>
        </is>
      </c>
      <c r="B392" s="1" t="n">
        <v>45202.4209837963</v>
      </c>
      <c r="C392" s="1" t="n">
        <v>46188</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58100-2024</t>
        </is>
      </c>
      <c r="B393" s="1" t="n">
        <v>45632.36706018518</v>
      </c>
      <c r="C393" s="1" t="n">
        <v>46188</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11415-2026</t>
        </is>
      </c>
      <c r="B394" s="1" t="n">
        <v>46083</v>
      </c>
      <c r="C394" s="1" t="n">
        <v>46188</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57114-2023</t>
        </is>
      </c>
      <c r="B395" s="1" t="n">
        <v>45245.36174768519</v>
      </c>
      <c r="C395" s="1" t="n">
        <v>46188</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3423-2022</t>
        </is>
      </c>
      <c r="B396" s="1" t="n">
        <v>44585.50431712963</v>
      </c>
      <c r="C396" s="1" t="n">
        <v>46188</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11407-2026</t>
        </is>
      </c>
      <c r="B397" s="1" t="n">
        <v>46083</v>
      </c>
      <c r="C397" s="1" t="n">
        <v>46188</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32380-2025</t>
        </is>
      </c>
      <c r="B398" s="1" t="n">
        <v>45837.77701388889</v>
      </c>
      <c r="C398" s="1" t="n">
        <v>46188</v>
      </c>
      <c r="D398" t="inlineStr">
        <is>
          <t>KALMAR LÄN</t>
        </is>
      </c>
      <c r="E398" t="inlineStr">
        <is>
          <t>VIMMERBY</t>
        </is>
      </c>
      <c r="G398" t="n">
        <v>3.1</v>
      </c>
      <c r="H398" t="n">
        <v>0</v>
      </c>
      <c r="I398" t="n">
        <v>0</v>
      </c>
      <c r="J398" t="n">
        <v>0</v>
      </c>
      <c r="K398" t="n">
        <v>0</v>
      </c>
      <c r="L398" t="n">
        <v>0</v>
      </c>
      <c r="M398" t="n">
        <v>0</v>
      </c>
      <c r="N398" t="n">
        <v>0</v>
      </c>
      <c r="O398" t="n">
        <v>0</v>
      </c>
      <c r="P398" t="n">
        <v>0</v>
      </c>
      <c r="Q398" t="n">
        <v>0</v>
      </c>
      <c r="R398" s="2" t="inlineStr"/>
    </row>
    <row r="399" ht="15" customHeight="1">
      <c r="A399" t="inlineStr">
        <is>
          <t>A 33186-2025</t>
        </is>
      </c>
      <c r="B399" s="1" t="n">
        <v>45840.59474537037</v>
      </c>
      <c r="C399" s="1" t="n">
        <v>46188</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30977-2025</t>
        </is>
      </c>
      <c r="B400" s="1" t="n">
        <v>45832.46649305556</v>
      </c>
      <c r="C400" s="1" t="n">
        <v>46188</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40665-2023</t>
        </is>
      </c>
      <c r="B401" s="1" t="n">
        <v>45170</v>
      </c>
      <c r="C401" s="1" t="n">
        <v>46188</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26956-2025</t>
        </is>
      </c>
      <c r="B402" s="1" t="n">
        <v>45811.45460648148</v>
      </c>
      <c r="C402" s="1" t="n">
        <v>46188</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28702-2025</t>
        </is>
      </c>
      <c r="B403" s="1" t="n">
        <v>45820.03976851852</v>
      </c>
      <c r="C403" s="1" t="n">
        <v>46188</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50860-2022</t>
        </is>
      </c>
      <c r="B404" s="1" t="n">
        <v>44867</v>
      </c>
      <c r="C404" s="1" t="n">
        <v>46188</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34628-2025</t>
        </is>
      </c>
      <c r="B405" s="1" t="n">
        <v>45847.91280092593</v>
      </c>
      <c r="C405" s="1" t="n">
        <v>46188</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25370-2022</t>
        </is>
      </c>
      <c r="B406" s="1" t="n">
        <v>44732.3659837963</v>
      </c>
      <c r="C406" s="1" t="n">
        <v>46188</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58577-2024</t>
        </is>
      </c>
      <c r="B407" s="1" t="n">
        <v>45635.4874537037</v>
      </c>
      <c r="C407" s="1" t="n">
        <v>46188</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12730-2026</t>
        </is>
      </c>
      <c r="B408" s="1" t="n">
        <v>46091</v>
      </c>
      <c r="C408" s="1" t="n">
        <v>46188</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12820-2026</t>
        </is>
      </c>
      <c r="B409" s="1" t="n">
        <v>46092.40909722223</v>
      </c>
      <c r="C409" s="1" t="n">
        <v>46188</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12821-2026</t>
        </is>
      </c>
      <c r="B410" s="1" t="n">
        <v>46092.41256944444</v>
      </c>
      <c r="C410" s="1" t="n">
        <v>46188</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12825-2026</t>
        </is>
      </c>
      <c r="B411" s="1" t="n">
        <v>46092.41561342592</v>
      </c>
      <c r="C411" s="1" t="n">
        <v>46188</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29440-2024</t>
        </is>
      </c>
      <c r="B412" s="1" t="n">
        <v>45483.82479166667</v>
      </c>
      <c r="C412" s="1" t="n">
        <v>46188</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9129-2025</t>
        </is>
      </c>
      <c r="B413" s="1" t="n">
        <v>45713.92412037037</v>
      </c>
      <c r="C413" s="1" t="n">
        <v>46188</v>
      </c>
      <c r="D413" t="inlineStr">
        <is>
          <t>KALMAR LÄN</t>
        </is>
      </c>
      <c r="E413" t="inlineStr">
        <is>
          <t>VIMMERBY</t>
        </is>
      </c>
      <c r="G413" t="n">
        <v>2.8</v>
      </c>
      <c r="H413" t="n">
        <v>0</v>
      </c>
      <c r="I413" t="n">
        <v>0</v>
      </c>
      <c r="J413" t="n">
        <v>0</v>
      </c>
      <c r="K413" t="n">
        <v>0</v>
      </c>
      <c r="L413" t="n">
        <v>0</v>
      </c>
      <c r="M413" t="n">
        <v>0</v>
      </c>
      <c r="N413" t="n">
        <v>0</v>
      </c>
      <c r="O413" t="n">
        <v>0</v>
      </c>
      <c r="P413" t="n">
        <v>0</v>
      </c>
      <c r="Q413" t="n">
        <v>0</v>
      </c>
      <c r="R413" s="2" t="inlineStr"/>
    </row>
    <row r="414" ht="15" customHeight="1">
      <c r="A414" t="inlineStr">
        <is>
          <t>A 53752-2024</t>
        </is>
      </c>
      <c r="B414" s="1" t="n">
        <v>45615.48927083334</v>
      </c>
      <c r="C414" s="1" t="n">
        <v>46188</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13667-2026</t>
        </is>
      </c>
      <c r="B415" s="1" t="n">
        <v>46097</v>
      </c>
      <c r="C415" s="1" t="n">
        <v>46188</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13793-2026</t>
        </is>
      </c>
      <c r="B416" s="1" t="n">
        <v>46097.79199074074</v>
      </c>
      <c r="C416" s="1" t="n">
        <v>46188</v>
      </c>
      <c r="D416" t="inlineStr">
        <is>
          <t>KALMAR LÄN</t>
        </is>
      </c>
      <c r="E416" t="inlineStr">
        <is>
          <t>VIMMERBY</t>
        </is>
      </c>
      <c r="G416" t="n">
        <v>2.9</v>
      </c>
      <c r="H416" t="n">
        <v>0</v>
      </c>
      <c r="I416" t="n">
        <v>0</v>
      </c>
      <c r="J416" t="n">
        <v>0</v>
      </c>
      <c r="K416" t="n">
        <v>0</v>
      </c>
      <c r="L416" t="n">
        <v>0</v>
      </c>
      <c r="M416" t="n">
        <v>0</v>
      </c>
      <c r="N416" t="n">
        <v>0</v>
      </c>
      <c r="O416" t="n">
        <v>0</v>
      </c>
      <c r="P416" t="n">
        <v>0</v>
      </c>
      <c r="Q416" t="n">
        <v>0</v>
      </c>
      <c r="R416" s="2" t="inlineStr"/>
    </row>
    <row r="417" ht="15" customHeight="1">
      <c r="A417" t="inlineStr">
        <is>
          <t>A 9710-2023</t>
        </is>
      </c>
      <c r="B417" s="1" t="n">
        <v>44984</v>
      </c>
      <c r="C417" s="1" t="n">
        <v>46188</v>
      </c>
      <c r="D417" t="inlineStr">
        <is>
          <t>KALMAR LÄN</t>
        </is>
      </c>
      <c r="E417" t="inlineStr">
        <is>
          <t>VIMMERBY</t>
        </is>
      </c>
      <c r="G417" t="n">
        <v>3.7</v>
      </c>
      <c r="H417" t="n">
        <v>0</v>
      </c>
      <c r="I417" t="n">
        <v>0</v>
      </c>
      <c r="J417" t="n">
        <v>0</v>
      </c>
      <c r="K417" t="n">
        <v>0</v>
      </c>
      <c r="L417" t="n">
        <v>0</v>
      </c>
      <c r="M417" t="n">
        <v>0</v>
      </c>
      <c r="N417" t="n">
        <v>0</v>
      </c>
      <c r="O417" t="n">
        <v>0</v>
      </c>
      <c r="P417" t="n">
        <v>0</v>
      </c>
      <c r="Q417" t="n">
        <v>0</v>
      </c>
      <c r="R417" s="2" t="inlineStr"/>
    </row>
    <row r="418" ht="15" customHeight="1">
      <c r="A418" t="inlineStr">
        <is>
          <t>A 9720-2023</t>
        </is>
      </c>
      <c r="B418" s="1" t="n">
        <v>44984</v>
      </c>
      <c r="C418" s="1" t="n">
        <v>46188</v>
      </c>
      <c r="D418" t="inlineStr">
        <is>
          <t>KALMAR LÄN</t>
        </is>
      </c>
      <c r="E418" t="inlineStr">
        <is>
          <t>VIMMERBY</t>
        </is>
      </c>
      <c r="G418" t="n">
        <v>4.4</v>
      </c>
      <c r="H418" t="n">
        <v>0</v>
      </c>
      <c r="I418" t="n">
        <v>0</v>
      </c>
      <c r="J418" t="n">
        <v>0</v>
      </c>
      <c r="K418" t="n">
        <v>0</v>
      </c>
      <c r="L418" t="n">
        <v>0</v>
      </c>
      <c r="M418" t="n">
        <v>0</v>
      </c>
      <c r="N418" t="n">
        <v>0</v>
      </c>
      <c r="O418" t="n">
        <v>0</v>
      </c>
      <c r="P418" t="n">
        <v>0</v>
      </c>
      <c r="Q418" t="n">
        <v>0</v>
      </c>
      <c r="R418" s="2" t="inlineStr"/>
    </row>
    <row r="419" ht="15" customHeight="1">
      <c r="A419" t="inlineStr">
        <is>
          <t>A 15493-2023</t>
        </is>
      </c>
      <c r="B419" s="1" t="n">
        <v>45018</v>
      </c>
      <c r="C419" s="1" t="n">
        <v>46188</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14318-2026</t>
        </is>
      </c>
      <c r="B420" s="1" t="n">
        <v>46099.87961805556</v>
      </c>
      <c r="C420" s="1" t="n">
        <v>46188</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14279-2026</t>
        </is>
      </c>
      <c r="B421" s="1" t="n">
        <v>46099.66826388889</v>
      </c>
      <c r="C421" s="1" t="n">
        <v>46188</v>
      </c>
      <c r="D421" t="inlineStr">
        <is>
          <t>KALMAR LÄN</t>
        </is>
      </c>
      <c r="E421" t="inlineStr">
        <is>
          <t>VIMMERBY</t>
        </is>
      </c>
      <c r="G421" t="n">
        <v>2.8</v>
      </c>
      <c r="H421" t="n">
        <v>0</v>
      </c>
      <c r="I421" t="n">
        <v>0</v>
      </c>
      <c r="J421" t="n">
        <v>0</v>
      </c>
      <c r="K421" t="n">
        <v>0</v>
      </c>
      <c r="L421" t="n">
        <v>0</v>
      </c>
      <c r="M421" t="n">
        <v>0</v>
      </c>
      <c r="N421" t="n">
        <v>0</v>
      </c>
      <c r="O421" t="n">
        <v>0</v>
      </c>
      <c r="P421" t="n">
        <v>0</v>
      </c>
      <c r="Q421" t="n">
        <v>0</v>
      </c>
      <c r="R421" s="2" t="inlineStr"/>
    </row>
    <row r="422" ht="15" customHeight="1">
      <c r="A422" t="inlineStr">
        <is>
          <t>A 14320-2026</t>
        </is>
      </c>
      <c r="B422" s="1" t="n">
        <v>46099.88449074074</v>
      </c>
      <c r="C422" s="1" t="n">
        <v>46188</v>
      </c>
      <c r="D422" t="inlineStr">
        <is>
          <t>KALMAR LÄN</t>
        </is>
      </c>
      <c r="E422" t="inlineStr">
        <is>
          <t>VIMMERBY</t>
        </is>
      </c>
      <c r="G422" t="n">
        <v>2.3</v>
      </c>
      <c r="H422" t="n">
        <v>0</v>
      </c>
      <c r="I422" t="n">
        <v>0</v>
      </c>
      <c r="J422" t="n">
        <v>0</v>
      </c>
      <c r="K422" t="n">
        <v>0</v>
      </c>
      <c r="L422" t="n">
        <v>0</v>
      </c>
      <c r="M422" t="n">
        <v>0</v>
      </c>
      <c r="N422" t="n">
        <v>0</v>
      </c>
      <c r="O422" t="n">
        <v>0</v>
      </c>
      <c r="P422" t="n">
        <v>0</v>
      </c>
      <c r="Q422" t="n">
        <v>0</v>
      </c>
      <c r="R422" s="2" t="inlineStr"/>
    </row>
    <row r="423" ht="15" customHeight="1">
      <c r="A423" t="inlineStr">
        <is>
          <t>A 29093-2023</t>
        </is>
      </c>
      <c r="B423" s="1" t="n">
        <v>45105</v>
      </c>
      <c r="C423" s="1" t="n">
        <v>46188</v>
      </c>
      <c r="D423" t="inlineStr">
        <is>
          <t>KALMAR LÄN</t>
        </is>
      </c>
      <c r="E423" t="inlineStr">
        <is>
          <t>VIMMERBY</t>
        </is>
      </c>
      <c r="G423" t="n">
        <v>2.9</v>
      </c>
      <c r="H423" t="n">
        <v>0</v>
      </c>
      <c r="I423" t="n">
        <v>0</v>
      </c>
      <c r="J423" t="n">
        <v>0</v>
      </c>
      <c r="K423" t="n">
        <v>0</v>
      </c>
      <c r="L423" t="n">
        <v>0</v>
      </c>
      <c r="M423" t="n">
        <v>0</v>
      </c>
      <c r="N423" t="n">
        <v>0</v>
      </c>
      <c r="O423" t="n">
        <v>0</v>
      </c>
      <c r="P423" t="n">
        <v>0</v>
      </c>
      <c r="Q423" t="n">
        <v>0</v>
      </c>
      <c r="R423" s="2" t="inlineStr"/>
    </row>
    <row r="424" ht="15" customHeight="1">
      <c r="A424" t="inlineStr">
        <is>
          <t>A 33352-2022</t>
        </is>
      </c>
      <c r="B424" s="1" t="n">
        <v>44788</v>
      </c>
      <c r="C424" s="1" t="n">
        <v>46188</v>
      </c>
      <c r="D424" t="inlineStr">
        <is>
          <t>KALMAR LÄN</t>
        </is>
      </c>
      <c r="E424" t="inlineStr">
        <is>
          <t>VIMMERBY</t>
        </is>
      </c>
      <c r="G424" t="n">
        <v>0.8</v>
      </c>
      <c r="H424" t="n">
        <v>0</v>
      </c>
      <c r="I424" t="n">
        <v>0</v>
      </c>
      <c r="J424" t="n">
        <v>0</v>
      </c>
      <c r="K424" t="n">
        <v>0</v>
      </c>
      <c r="L424" t="n">
        <v>0</v>
      </c>
      <c r="M424" t="n">
        <v>0</v>
      </c>
      <c r="N424" t="n">
        <v>0</v>
      </c>
      <c r="O424" t="n">
        <v>0</v>
      </c>
      <c r="P424" t="n">
        <v>0</v>
      </c>
      <c r="Q424" t="n">
        <v>0</v>
      </c>
      <c r="R424" s="2" t="inlineStr"/>
    </row>
    <row r="425" ht="15" customHeight="1">
      <c r="A425" t="inlineStr">
        <is>
          <t>A 22264-2023</t>
        </is>
      </c>
      <c r="B425" s="1" t="n">
        <v>45070.3665625</v>
      </c>
      <c r="C425" s="1" t="n">
        <v>46188</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16676-2023</t>
        </is>
      </c>
      <c r="B426" s="1" t="n">
        <v>45028</v>
      </c>
      <c r="C426" s="1" t="n">
        <v>46188</v>
      </c>
      <c r="D426" t="inlineStr">
        <is>
          <t>KALMAR LÄN</t>
        </is>
      </c>
      <c r="E426" t="inlineStr">
        <is>
          <t>VIMMERBY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14793-2026</t>
        </is>
      </c>
      <c r="B427" s="1" t="n">
        <v>46101.92108796296</v>
      </c>
      <c r="C427" s="1" t="n">
        <v>46188</v>
      </c>
      <c r="D427" t="inlineStr">
        <is>
          <t>KALMAR LÄN</t>
        </is>
      </c>
      <c r="E427" t="inlineStr">
        <is>
          <t>VIMMERBY</t>
        </is>
      </c>
      <c r="G427" t="n">
        <v>5.7</v>
      </c>
      <c r="H427" t="n">
        <v>0</v>
      </c>
      <c r="I427" t="n">
        <v>0</v>
      </c>
      <c r="J427" t="n">
        <v>0</v>
      </c>
      <c r="K427" t="n">
        <v>0</v>
      </c>
      <c r="L427" t="n">
        <v>0</v>
      </c>
      <c r="M427" t="n">
        <v>0</v>
      </c>
      <c r="N427" t="n">
        <v>0</v>
      </c>
      <c r="O427" t="n">
        <v>0</v>
      </c>
      <c r="P427" t="n">
        <v>0</v>
      </c>
      <c r="Q427" t="n">
        <v>0</v>
      </c>
      <c r="R427" s="2" t="inlineStr"/>
    </row>
    <row r="428" ht="15" customHeight="1">
      <c r="A428" t="inlineStr">
        <is>
          <t>A 24096-2024</t>
        </is>
      </c>
      <c r="B428" s="1" t="n">
        <v>45456.59289351852</v>
      </c>
      <c r="C428" s="1" t="n">
        <v>46188</v>
      </c>
      <c r="D428" t="inlineStr">
        <is>
          <t>KALMAR LÄN</t>
        </is>
      </c>
      <c r="E428" t="inlineStr">
        <is>
          <t>VIMMERBY</t>
        </is>
      </c>
      <c r="G428" t="n">
        <v>2.3</v>
      </c>
      <c r="H428" t="n">
        <v>0</v>
      </c>
      <c r="I428" t="n">
        <v>0</v>
      </c>
      <c r="J428" t="n">
        <v>0</v>
      </c>
      <c r="K428" t="n">
        <v>0</v>
      </c>
      <c r="L428" t="n">
        <v>0</v>
      </c>
      <c r="M428" t="n">
        <v>0</v>
      </c>
      <c r="N428" t="n">
        <v>0</v>
      </c>
      <c r="O428" t="n">
        <v>0</v>
      </c>
      <c r="P428" t="n">
        <v>0</v>
      </c>
      <c r="Q428" t="n">
        <v>0</v>
      </c>
      <c r="R428" s="2" t="inlineStr"/>
    </row>
    <row r="429" ht="15" customHeight="1">
      <c r="A429" t="inlineStr">
        <is>
          <t>A 29013-2024</t>
        </is>
      </c>
      <c r="B429" s="1" t="n">
        <v>45481.55984953704</v>
      </c>
      <c r="C429" s="1" t="n">
        <v>46188</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6066-2023</t>
        </is>
      </c>
      <c r="B430" s="1" t="n">
        <v>44964.50894675926</v>
      </c>
      <c r="C430" s="1" t="n">
        <v>46188</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59955-2023</t>
        </is>
      </c>
      <c r="B431" s="1" t="n">
        <v>45257.70313657408</v>
      </c>
      <c r="C431" s="1" t="n">
        <v>46188</v>
      </c>
      <c r="D431" t="inlineStr">
        <is>
          <t>KALMAR LÄN</t>
        </is>
      </c>
      <c r="E431" t="inlineStr">
        <is>
          <t>VIMMERBY</t>
        </is>
      </c>
      <c r="G431" t="n">
        <v>13.8</v>
      </c>
      <c r="H431" t="n">
        <v>0</v>
      </c>
      <c r="I431" t="n">
        <v>0</v>
      </c>
      <c r="J431" t="n">
        <v>0</v>
      </c>
      <c r="K431" t="n">
        <v>0</v>
      </c>
      <c r="L431" t="n">
        <v>0</v>
      </c>
      <c r="M431" t="n">
        <v>0</v>
      </c>
      <c r="N431" t="n">
        <v>0</v>
      </c>
      <c r="O431" t="n">
        <v>0</v>
      </c>
      <c r="P431" t="n">
        <v>0</v>
      </c>
      <c r="Q431" t="n">
        <v>0</v>
      </c>
      <c r="R431" s="2" t="inlineStr"/>
    </row>
    <row r="432" ht="15" customHeight="1">
      <c r="A432" t="inlineStr">
        <is>
          <t>A 36040-2024</t>
        </is>
      </c>
      <c r="B432" s="1" t="n">
        <v>45533.60232638889</v>
      </c>
      <c r="C432" s="1" t="n">
        <v>46188</v>
      </c>
      <c r="D432" t="inlineStr">
        <is>
          <t>KALMAR LÄN</t>
        </is>
      </c>
      <c r="E432" t="inlineStr">
        <is>
          <t>VIMMERBY</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36043-2024</t>
        </is>
      </c>
      <c r="B433" s="1" t="n">
        <v>45533.60770833334</v>
      </c>
      <c r="C433" s="1" t="n">
        <v>46188</v>
      </c>
      <c r="D433" t="inlineStr">
        <is>
          <t>KALMAR LÄN</t>
        </is>
      </c>
      <c r="E433" t="inlineStr">
        <is>
          <t>VIMMERBY</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12890-2023</t>
        </is>
      </c>
      <c r="B434" s="1" t="n">
        <v>45001.59209490741</v>
      </c>
      <c r="C434" s="1" t="n">
        <v>46188</v>
      </c>
      <c r="D434" t="inlineStr">
        <is>
          <t>KALMAR LÄN</t>
        </is>
      </c>
      <c r="E434" t="inlineStr">
        <is>
          <t>VIMMERBY</t>
        </is>
      </c>
      <c r="G434" t="n">
        <v>2.8</v>
      </c>
      <c r="H434" t="n">
        <v>0</v>
      </c>
      <c r="I434" t="n">
        <v>0</v>
      </c>
      <c r="J434" t="n">
        <v>0</v>
      </c>
      <c r="K434" t="n">
        <v>0</v>
      </c>
      <c r="L434" t="n">
        <v>0</v>
      </c>
      <c r="M434" t="n">
        <v>0</v>
      </c>
      <c r="N434" t="n">
        <v>0</v>
      </c>
      <c r="O434" t="n">
        <v>0</v>
      </c>
      <c r="P434" t="n">
        <v>0</v>
      </c>
      <c r="Q434" t="n">
        <v>0</v>
      </c>
      <c r="R434" s="2" t="inlineStr"/>
    </row>
    <row r="435" ht="15" customHeight="1">
      <c r="A435" t="inlineStr">
        <is>
          <t>A 14792-2026</t>
        </is>
      </c>
      <c r="B435" s="1" t="n">
        <v>46101.91993055555</v>
      </c>
      <c r="C435" s="1" t="n">
        <v>46188</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43594-2024</t>
        </is>
      </c>
      <c r="B436" s="1" t="n">
        <v>45569.44295138889</v>
      </c>
      <c r="C436" s="1" t="n">
        <v>46188</v>
      </c>
      <c r="D436" t="inlineStr">
        <is>
          <t>KALMAR LÄN</t>
        </is>
      </c>
      <c r="E436" t="inlineStr">
        <is>
          <t>VIMMERBY</t>
        </is>
      </c>
      <c r="G436" t="n">
        <v>3.9</v>
      </c>
      <c r="H436" t="n">
        <v>0</v>
      </c>
      <c r="I436" t="n">
        <v>0</v>
      </c>
      <c r="J436" t="n">
        <v>0</v>
      </c>
      <c r="K436" t="n">
        <v>0</v>
      </c>
      <c r="L436" t="n">
        <v>0</v>
      </c>
      <c r="M436" t="n">
        <v>0</v>
      </c>
      <c r="N436" t="n">
        <v>0</v>
      </c>
      <c r="O436" t="n">
        <v>0</v>
      </c>
      <c r="P436" t="n">
        <v>0</v>
      </c>
      <c r="Q436" t="n">
        <v>0</v>
      </c>
      <c r="R436" s="2" t="inlineStr"/>
    </row>
    <row r="437" ht="15" customHeight="1">
      <c r="A437" t="inlineStr">
        <is>
          <t>A 53482-2022</t>
        </is>
      </c>
      <c r="B437" s="1" t="n">
        <v>44879</v>
      </c>
      <c r="C437" s="1" t="n">
        <v>46188</v>
      </c>
      <c r="D437" t="inlineStr">
        <is>
          <t>KALMAR LÄN</t>
        </is>
      </c>
      <c r="E437" t="inlineStr">
        <is>
          <t>VIMMERBY</t>
        </is>
      </c>
      <c r="G437" t="n">
        <v>10.1</v>
      </c>
      <c r="H437" t="n">
        <v>0</v>
      </c>
      <c r="I437" t="n">
        <v>0</v>
      </c>
      <c r="J437" t="n">
        <v>0</v>
      </c>
      <c r="K437" t="n">
        <v>0</v>
      </c>
      <c r="L437" t="n">
        <v>0</v>
      </c>
      <c r="M437" t="n">
        <v>0</v>
      </c>
      <c r="N437" t="n">
        <v>0</v>
      </c>
      <c r="O437" t="n">
        <v>0</v>
      </c>
      <c r="P437" t="n">
        <v>0</v>
      </c>
      <c r="Q437" t="n">
        <v>0</v>
      </c>
      <c r="R437" s="2" t="inlineStr"/>
    </row>
    <row r="438" ht="15" customHeight="1">
      <c r="A438" t="inlineStr">
        <is>
          <t>A 15054-2026</t>
        </is>
      </c>
      <c r="B438" s="1" t="n">
        <v>46104.6815162037</v>
      </c>
      <c r="C438" s="1" t="n">
        <v>46188</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27761-2024</t>
        </is>
      </c>
      <c r="B439" s="1" t="n">
        <v>45475.49018518518</v>
      </c>
      <c r="C439" s="1" t="n">
        <v>46188</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64203-2021</t>
        </is>
      </c>
      <c r="B440" s="1" t="n">
        <v>44510.60921296296</v>
      </c>
      <c r="C440" s="1" t="n">
        <v>46188</v>
      </c>
      <c r="D440" t="inlineStr">
        <is>
          <t>KALMAR LÄN</t>
        </is>
      </c>
      <c r="E440" t="inlineStr">
        <is>
          <t>VIMMERBY</t>
        </is>
      </c>
      <c r="F440" t="inlineStr">
        <is>
          <t>Övriga Aktiebolag</t>
        </is>
      </c>
      <c r="G440" t="n">
        <v>5.4</v>
      </c>
      <c r="H440" t="n">
        <v>0</v>
      </c>
      <c r="I440" t="n">
        <v>0</v>
      </c>
      <c r="J440" t="n">
        <v>0</v>
      </c>
      <c r="K440" t="n">
        <v>0</v>
      </c>
      <c r="L440" t="n">
        <v>0</v>
      </c>
      <c r="M440" t="n">
        <v>0</v>
      </c>
      <c r="N440" t="n">
        <v>0</v>
      </c>
      <c r="O440" t="n">
        <v>0</v>
      </c>
      <c r="P440" t="n">
        <v>0</v>
      </c>
      <c r="Q440" t="n">
        <v>0</v>
      </c>
      <c r="R440" s="2" t="inlineStr"/>
    </row>
    <row r="441" ht="15" customHeight="1">
      <c r="A441" t="inlineStr">
        <is>
          <t>A 5720-2023</t>
        </is>
      </c>
      <c r="B441" s="1" t="n">
        <v>44961</v>
      </c>
      <c r="C441" s="1" t="n">
        <v>46188</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9643-2023</t>
        </is>
      </c>
      <c r="B442" s="1" t="n">
        <v>44984</v>
      </c>
      <c r="C442" s="1" t="n">
        <v>46188</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25728-2023</t>
        </is>
      </c>
      <c r="B443" s="1" t="n">
        <v>45090.38012731481</v>
      </c>
      <c r="C443" s="1" t="n">
        <v>46188</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15205-2026</t>
        </is>
      </c>
      <c r="B444" s="1" t="n">
        <v>46105.48628472222</v>
      </c>
      <c r="C444" s="1" t="n">
        <v>46188</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41311-2023</t>
        </is>
      </c>
      <c r="B445" s="1" t="n">
        <v>45174</v>
      </c>
      <c r="C445" s="1" t="n">
        <v>46188</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26318-2023</t>
        </is>
      </c>
      <c r="B446" s="1" t="n">
        <v>45091.67936342592</v>
      </c>
      <c r="C446" s="1" t="n">
        <v>46188</v>
      </c>
      <c r="D446" t="inlineStr">
        <is>
          <t>KALMAR LÄN</t>
        </is>
      </c>
      <c r="E446" t="inlineStr">
        <is>
          <t>VIMMERBY</t>
        </is>
      </c>
      <c r="G446" t="n">
        <v>3.8</v>
      </c>
      <c r="H446" t="n">
        <v>0</v>
      </c>
      <c r="I446" t="n">
        <v>0</v>
      </c>
      <c r="J446" t="n">
        <v>0</v>
      </c>
      <c r="K446" t="n">
        <v>0</v>
      </c>
      <c r="L446" t="n">
        <v>0</v>
      </c>
      <c r="M446" t="n">
        <v>0</v>
      </c>
      <c r="N446" t="n">
        <v>0</v>
      </c>
      <c r="O446" t="n">
        <v>0</v>
      </c>
      <c r="P446" t="n">
        <v>0</v>
      </c>
      <c r="Q446" t="n">
        <v>0</v>
      </c>
      <c r="R446" s="2" t="inlineStr"/>
    </row>
    <row r="447" ht="15" customHeight="1">
      <c r="A447" t="inlineStr">
        <is>
          <t>A 35271-2025</t>
        </is>
      </c>
      <c r="B447" s="1" t="n">
        <v>45853.87599537037</v>
      </c>
      <c r="C447" s="1" t="n">
        <v>46188</v>
      </c>
      <c r="D447" t="inlineStr">
        <is>
          <t>KALMAR LÄN</t>
        </is>
      </c>
      <c r="E447" t="inlineStr">
        <is>
          <t>VIMMERBY</t>
        </is>
      </c>
      <c r="G447" t="n">
        <v>0.4</v>
      </c>
      <c r="H447" t="n">
        <v>0</v>
      </c>
      <c r="I447" t="n">
        <v>0</v>
      </c>
      <c r="J447" t="n">
        <v>0</v>
      </c>
      <c r="K447" t="n">
        <v>0</v>
      </c>
      <c r="L447" t="n">
        <v>0</v>
      </c>
      <c r="M447" t="n">
        <v>0</v>
      </c>
      <c r="N447" t="n">
        <v>0</v>
      </c>
      <c r="O447" t="n">
        <v>0</v>
      </c>
      <c r="P447" t="n">
        <v>0</v>
      </c>
      <c r="Q447" t="n">
        <v>0</v>
      </c>
      <c r="R447" s="2" t="inlineStr"/>
    </row>
    <row r="448" ht="15" customHeight="1">
      <c r="A448" t="inlineStr">
        <is>
          <t>A 61355-2024</t>
        </is>
      </c>
      <c r="B448" s="1" t="n">
        <v>45646.38200231481</v>
      </c>
      <c r="C448" s="1" t="n">
        <v>46188</v>
      </c>
      <c r="D448" t="inlineStr">
        <is>
          <t>KALMAR LÄN</t>
        </is>
      </c>
      <c r="E448" t="inlineStr">
        <is>
          <t>VIMMERBY</t>
        </is>
      </c>
      <c r="G448" t="n">
        <v>2.7</v>
      </c>
      <c r="H448" t="n">
        <v>0</v>
      </c>
      <c r="I448" t="n">
        <v>0</v>
      </c>
      <c r="J448" t="n">
        <v>0</v>
      </c>
      <c r="K448" t="n">
        <v>0</v>
      </c>
      <c r="L448" t="n">
        <v>0</v>
      </c>
      <c r="M448" t="n">
        <v>0</v>
      </c>
      <c r="N448" t="n">
        <v>0</v>
      </c>
      <c r="O448" t="n">
        <v>0</v>
      </c>
      <c r="P448" t="n">
        <v>0</v>
      </c>
      <c r="Q448" t="n">
        <v>0</v>
      </c>
      <c r="R448" s="2" t="inlineStr"/>
    </row>
    <row r="449" ht="15" customHeight="1">
      <c r="A449" t="inlineStr">
        <is>
          <t>A 16953-2025</t>
        </is>
      </c>
      <c r="B449" s="1" t="n">
        <v>45755.44333333334</v>
      </c>
      <c r="C449" s="1" t="n">
        <v>46188</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21882-2026</t>
        </is>
      </c>
      <c r="B450" s="1" t="n">
        <v>46150.59287037037</v>
      </c>
      <c r="C450" s="1" t="n">
        <v>46188</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36802-2021</t>
        </is>
      </c>
      <c r="B451" s="1" t="n">
        <v>44392</v>
      </c>
      <c r="C451" s="1" t="n">
        <v>46188</v>
      </c>
      <c r="D451" t="inlineStr">
        <is>
          <t>KALMAR LÄN</t>
        </is>
      </c>
      <c r="E451" t="inlineStr">
        <is>
          <t>VIMMERBY</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38198-2024</t>
        </is>
      </c>
      <c r="B452" s="1" t="n">
        <v>45545.49508101852</v>
      </c>
      <c r="C452" s="1" t="n">
        <v>46188</v>
      </c>
      <c r="D452" t="inlineStr">
        <is>
          <t>KALMAR LÄN</t>
        </is>
      </c>
      <c r="E452" t="inlineStr">
        <is>
          <t>VIMMERBY</t>
        </is>
      </c>
      <c r="G452" t="n">
        <v>7.9</v>
      </c>
      <c r="H452" t="n">
        <v>0</v>
      </c>
      <c r="I452" t="n">
        <v>0</v>
      </c>
      <c r="J452" t="n">
        <v>0</v>
      </c>
      <c r="K452" t="n">
        <v>0</v>
      </c>
      <c r="L452" t="n">
        <v>0</v>
      </c>
      <c r="M452" t="n">
        <v>0</v>
      </c>
      <c r="N452" t="n">
        <v>0</v>
      </c>
      <c r="O452" t="n">
        <v>0</v>
      </c>
      <c r="P452" t="n">
        <v>0</v>
      </c>
      <c r="Q452" t="n">
        <v>0</v>
      </c>
      <c r="R452" s="2" t="inlineStr"/>
    </row>
    <row r="453" ht="15" customHeight="1">
      <c r="A453" t="inlineStr">
        <is>
          <t>A 9623-2024</t>
        </is>
      </c>
      <c r="B453" s="1" t="n">
        <v>45361.87975694444</v>
      </c>
      <c r="C453" s="1" t="n">
        <v>46188</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58967-2022</t>
        </is>
      </c>
      <c r="B454" s="1" t="n">
        <v>44896</v>
      </c>
      <c r="C454" s="1" t="n">
        <v>46188</v>
      </c>
      <c r="D454" t="inlineStr">
        <is>
          <t>KALMAR LÄN</t>
        </is>
      </c>
      <c r="E454" t="inlineStr">
        <is>
          <t>VIMMERBY</t>
        </is>
      </c>
      <c r="G454" t="n">
        <v>5</v>
      </c>
      <c r="H454" t="n">
        <v>0</v>
      </c>
      <c r="I454" t="n">
        <v>0</v>
      </c>
      <c r="J454" t="n">
        <v>0</v>
      </c>
      <c r="K454" t="n">
        <v>0</v>
      </c>
      <c r="L454" t="n">
        <v>0</v>
      </c>
      <c r="M454" t="n">
        <v>0</v>
      </c>
      <c r="N454" t="n">
        <v>0</v>
      </c>
      <c r="O454" t="n">
        <v>0</v>
      </c>
      <c r="P454" t="n">
        <v>0</v>
      </c>
      <c r="Q454" t="n">
        <v>0</v>
      </c>
      <c r="R454" s="2" t="inlineStr"/>
    </row>
    <row r="455" ht="15" customHeight="1">
      <c r="A455" t="inlineStr">
        <is>
          <t>A 6399-2025</t>
        </is>
      </c>
      <c r="B455" s="1" t="n">
        <v>45699.44291666667</v>
      </c>
      <c r="C455" s="1" t="n">
        <v>46188</v>
      </c>
      <c r="D455" t="inlineStr">
        <is>
          <t>KALMAR LÄN</t>
        </is>
      </c>
      <c r="E455" t="inlineStr">
        <is>
          <t>VIMMERBY</t>
        </is>
      </c>
      <c r="G455" t="n">
        <v>3.1</v>
      </c>
      <c r="H455" t="n">
        <v>0</v>
      </c>
      <c r="I455" t="n">
        <v>0</v>
      </c>
      <c r="J455" t="n">
        <v>0</v>
      </c>
      <c r="K455" t="n">
        <v>0</v>
      </c>
      <c r="L455" t="n">
        <v>0</v>
      </c>
      <c r="M455" t="n">
        <v>0</v>
      </c>
      <c r="N455" t="n">
        <v>0</v>
      </c>
      <c r="O455" t="n">
        <v>0</v>
      </c>
      <c r="P455" t="n">
        <v>0</v>
      </c>
      <c r="Q455" t="n">
        <v>0</v>
      </c>
      <c r="R455" s="2" t="inlineStr"/>
    </row>
    <row r="456" ht="15" customHeight="1">
      <c r="A456" t="inlineStr">
        <is>
          <t>A 31355-2023</t>
        </is>
      </c>
      <c r="B456" s="1" t="n">
        <v>45114.49505787037</v>
      </c>
      <c r="C456" s="1" t="n">
        <v>46188</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30400-2023</t>
        </is>
      </c>
      <c r="B457" s="1" t="n">
        <v>45111.48225694444</v>
      </c>
      <c r="C457" s="1" t="n">
        <v>46188</v>
      </c>
      <c r="D457" t="inlineStr">
        <is>
          <t>KALMAR LÄN</t>
        </is>
      </c>
      <c r="E457" t="inlineStr">
        <is>
          <t>VIMMERBY</t>
        </is>
      </c>
      <c r="G457" t="n">
        <v>2.7</v>
      </c>
      <c r="H457" t="n">
        <v>0</v>
      </c>
      <c r="I457" t="n">
        <v>0</v>
      </c>
      <c r="J457" t="n">
        <v>0</v>
      </c>
      <c r="K457" t="n">
        <v>0</v>
      </c>
      <c r="L457" t="n">
        <v>0</v>
      </c>
      <c r="M457" t="n">
        <v>0</v>
      </c>
      <c r="N457" t="n">
        <v>0</v>
      </c>
      <c r="O457" t="n">
        <v>0</v>
      </c>
      <c r="P457" t="n">
        <v>0</v>
      </c>
      <c r="Q457" t="n">
        <v>0</v>
      </c>
      <c r="R457" s="2" t="inlineStr"/>
    </row>
    <row r="458" ht="15" customHeight="1">
      <c r="A458" t="inlineStr">
        <is>
          <t>A 30404-2023</t>
        </is>
      </c>
      <c r="B458" s="1" t="n">
        <v>45111.48636574074</v>
      </c>
      <c r="C458" s="1" t="n">
        <v>46188</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27705-2023</t>
        </is>
      </c>
      <c r="B459" s="1" t="n">
        <v>45098.30535879629</v>
      </c>
      <c r="C459" s="1" t="n">
        <v>46188</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16183-2026</t>
        </is>
      </c>
      <c r="B460" s="1" t="n">
        <v>46111</v>
      </c>
      <c r="C460" s="1" t="n">
        <v>46188</v>
      </c>
      <c r="D460" t="inlineStr">
        <is>
          <t>KALMAR LÄN</t>
        </is>
      </c>
      <c r="E460" t="inlineStr">
        <is>
          <t>VIMMERBY</t>
        </is>
      </c>
      <c r="G460" t="n">
        <v>1.7</v>
      </c>
      <c r="H460" t="n">
        <v>0</v>
      </c>
      <c r="I460" t="n">
        <v>0</v>
      </c>
      <c r="J460" t="n">
        <v>0</v>
      </c>
      <c r="K460" t="n">
        <v>0</v>
      </c>
      <c r="L460" t="n">
        <v>0</v>
      </c>
      <c r="M460" t="n">
        <v>0</v>
      </c>
      <c r="N460" t="n">
        <v>0</v>
      </c>
      <c r="O460" t="n">
        <v>0</v>
      </c>
      <c r="P460" t="n">
        <v>0</v>
      </c>
      <c r="Q460" t="n">
        <v>0</v>
      </c>
      <c r="R460" s="2" t="inlineStr"/>
    </row>
    <row r="461" ht="15" customHeight="1">
      <c r="A461" t="inlineStr">
        <is>
          <t>A 16648-2026</t>
        </is>
      </c>
      <c r="B461" s="1" t="n">
        <v>46112.64032407408</v>
      </c>
      <c r="C461" s="1" t="n">
        <v>46188</v>
      </c>
      <c r="D461" t="inlineStr">
        <is>
          <t>KALMAR LÄN</t>
        </is>
      </c>
      <c r="E461" t="inlineStr">
        <is>
          <t>VIMMERBY</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16656-2026</t>
        </is>
      </c>
      <c r="B462" s="1" t="n">
        <v>46112.65111111111</v>
      </c>
      <c r="C462" s="1" t="n">
        <v>46188</v>
      </c>
      <c r="D462" t="inlineStr">
        <is>
          <t>KALMAR LÄN</t>
        </is>
      </c>
      <c r="E462" t="inlineStr">
        <is>
          <t>VIMMERBY</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16617-2026</t>
        </is>
      </c>
      <c r="B463" s="1" t="n">
        <v>46112.60607638889</v>
      </c>
      <c r="C463" s="1" t="n">
        <v>46188</v>
      </c>
      <c r="D463" t="inlineStr">
        <is>
          <t>KALMAR LÄN</t>
        </is>
      </c>
      <c r="E463" t="inlineStr">
        <is>
          <t>VIMMERBY</t>
        </is>
      </c>
      <c r="F463" t="inlineStr">
        <is>
          <t>Kommuner</t>
        </is>
      </c>
      <c r="G463" t="n">
        <v>0.6</v>
      </c>
      <c r="H463" t="n">
        <v>0</v>
      </c>
      <c r="I463" t="n">
        <v>0</v>
      </c>
      <c r="J463" t="n">
        <v>0</v>
      </c>
      <c r="K463" t="n">
        <v>0</v>
      </c>
      <c r="L463" t="n">
        <v>0</v>
      </c>
      <c r="M463" t="n">
        <v>0</v>
      </c>
      <c r="N463" t="n">
        <v>0</v>
      </c>
      <c r="O463" t="n">
        <v>0</v>
      </c>
      <c r="P463" t="n">
        <v>0</v>
      </c>
      <c r="Q463" t="n">
        <v>0</v>
      </c>
      <c r="R463" s="2" t="inlineStr"/>
    </row>
    <row r="464" ht="15" customHeight="1">
      <c r="A464" t="inlineStr">
        <is>
          <t>A 16672-2026</t>
        </is>
      </c>
      <c r="B464" s="1" t="n">
        <v>46112.67336805556</v>
      </c>
      <c r="C464" s="1" t="n">
        <v>46188</v>
      </c>
      <c r="D464" t="inlineStr">
        <is>
          <t>KALMAR LÄN</t>
        </is>
      </c>
      <c r="E464" t="inlineStr">
        <is>
          <t>VIMMERBY</t>
        </is>
      </c>
      <c r="F464" t="inlineStr">
        <is>
          <t>Kommuner</t>
        </is>
      </c>
      <c r="G464" t="n">
        <v>1.4</v>
      </c>
      <c r="H464" t="n">
        <v>0</v>
      </c>
      <c r="I464" t="n">
        <v>0</v>
      </c>
      <c r="J464" t="n">
        <v>0</v>
      </c>
      <c r="K464" t="n">
        <v>0</v>
      </c>
      <c r="L464" t="n">
        <v>0</v>
      </c>
      <c r="M464" t="n">
        <v>0</v>
      </c>
      <c r="N464" t="n">
        <v>0</v>
      </c>
      <c r="O464" t="n">
        <v>0</v>
      </c>
      <c r="P464" t="n">
        <v>0</v>
      </c>
      <c r="Q464" t="n">
        <v>0</v>
      </c>
      <c r="R464" s="2" t="inlineStr"/>
    </row>
    <row r="465" ht="15" customHeight="1">
      <c r="A465" t="inlineStr">
        <is>
          <t>A 36843-2023</t>
        </is>
      </c>
      <c r="B465" s="1" t="n">
        <v>45154.49831018518</v>
      </c>
      <c r="C465" s="1" t="n">
        <v>46188</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16653-2026</t>
        </is>
      </c>
      <c r="B466" s="1" t="n">
        <v>46112.64597222222</v>
      </c>
      <c r="C466" s="1" t="n">
        <v>46188</v>
      </c>
      <c r="D466" t="inlineStr">
        <is>
          <t>KALMAR LÄN</t>
        </is>
      </c>
      <c r="E466" t="inlineStr">
        <is>
          <t>VIMMERBY</t>
        </is>
      </c>
      <c r="F466" t="inlineStr">
        <is>
          <t>Kommuner</t>
        </is>
      </c>
      <c r="G466" t="n">
        <v>4.4</v>
      </c>
      <c r="H466" t="n">
        <v>0</v>
      </c>
      <c r="I466" t="n">
        <v>0</v>
      </c>
      <c r="J466" t="n">
        <v>0</v>
      </c>
      <c r="K466" t="n">
        <v>0</v>
      </c>
      <c r="L466" t="n">
        <v>0</v>
      </c>
      <c r="M466" t="n">
        <v>0</v>
      </c>
      <c r="N466" t="n">
        <v>0</v>
      </c>
      <c r="O466" t="n">
        <v>0</v>
      </c>
      <c r="P466" t="n">
        <v>0</v>
      </c>
      <c r="Q466" t="n">
        <v>0</v>
      </c>
      <c r="R466" s="2" t="inlineStr"/>
    </row>
    <row r="467" ht="15" customHeight="1">
      <c r="A467" t="inlineStr">
        <is>
          <t>A 10785-2025</t>
        </is>
      </c>
      <c r="B467" s="1" t="n">
        <v>45722.48634259259</v>
      </c>
      <c r="C467" s="1" t="n">
        <v>46188</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29017-2024</t>
        </is>
      </c>
      <c r="B468" s="1" t="n">
        <v>45481.56722222222</v>
      </c>
      <c r="C468" s="1" t="n">
        <v>46188</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23263-2024</t>
        </is>
      </c>
      <c r="B469" s="1" t="n">
        <v>45453.36854166666</v>
      </c>
      <c r="C469" s="1" t="n">
        <v>46188</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11074-2023</t>
        </is>
      </c>
      <c r="B470" s="1" t="n">
        <v>44992.34151620371</v>
      </c>
      <c r="C470" s="1" t="n">
        <v>46188</v>
      </c>
      <c r="D470" t="inlineStr">
        <is>
          <t>KALMAR LÄN</t>
        </is>
      </c>
      <c r="E470" t="inlineStr">
        <is>
          <t>VIMMERBY</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61939-2021</t>
        </is>
      </c>
      <c r="B471" s="1" t="n">
        <v>44502</v>
      </c>
      <c r="C471" s="1" t="n">
        <v>46188</v>
      </c>
      <c r="D471" t="inlineStr">
        <is>
          <t>KALMAR LÄN</t>
        </is>
      </c>
      <c r="E471" t="inlineStr">
        <is>
          <t>VIMMERBY</t>
        </is>
      </c>
      <c r="G471" t="n">
        <v>2.7</v>
      </c>
      <c r="H471" t="n">
        <v>0</v>
      </c>
      <c r="I471" t="n">
        <v>0</v>
      </c>
      <c r="J471" t="n">
        <v>0</v>
      </c>
      <c r="K471" t="n">
        <v>0</v>
      </c>
      <c r="L471" t="n">
        <v>0</v>
      </c>
      <c r="M471" t="n">
        <v>0</v>
      </c>
      <c r="N471" t="n">
        <v>0</v>
      </c>
      <c r="O471" t="n">
        <v>0</v>
      </c>
      <c r="P471" t="n">
        <v>0</v>
      </c>
      <c r="Q471" t="n">
        <v>0</v>
      </c>
      <c r="R471" s="2" t="inlineStr"/>
    </row>
    <row r="472" ht="15" customHeight="1">
      <c r="A472" t="inlineStr">
        <is>
          <t>A 12215-2024</t>
        </is>
      </c>
      <c r="B472" s="1" t="n">
        <v>45378.32185185186</v>
      </c>
      <c r="C472" s="1" t="n">
        <v>46188</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16675-2026</t>
        </is>
      </c>
      <c r="B473" s="1" t="n">
        <v>46112.68202546296</v>
      </c>
      <c r="C473" s="1" t="n">
        <v>46188</v>
      </c>
      <c r="D473" t="inlineStr">
        <is>
          <t>KALMAR LÄN</t>
        </is>
      </c>
      <c r="E473" t="inlineStr">
        <is>
          <t>VIMMERBY</t>
        </is>
      </c>
      <c r="F473" t="inlineStr">
        <is>
          <t>Kommuner</t>
        </is>
      </c>
      <c r="G473" t="n">
        <v>0.8</v>
      </c>
      <c r="H473" t="n">
        <v>0</v>
      </c>
      <c r="I473" t="n">
        <v>0</v>
      </c>
      <c r="J473" t="n">
        <v>0</v>
      </c>
      <c r="K473" t="n">
        <v>0</v>
      </c>
      <c r="L473" t="n">
        <v>0</v>
      </c>
      <c r="M473" t="n">
        <v>0</v>
      </c>
      <c r="N473" t="n">
        <v>0</v>
      </c>
      <c r="O473" t="n">
        <v>0</v>
      </c>
      <c r="P473" t="n">
        <v>0</v>
      </c>
      <c r="Q473" t="n">
        <v>0</v>
      </c>
      <c r="R473" s="2" t="inlineStr"/>
    </row>
    <row r="474" ht="15" customHeight="1">
      <c r="A474" t="inlineStr">
        <is>
          <t>A 16632-2026</t>
        </is>
      </c>
      <c r="B474" s="1" t="n">
        <v>46112.62212962963</v>
      </c>
      <c r="C474" s="1" t="n">
        <v>46188</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16678-2026</t>
        </is>
      </c>
      <c r="B475" s="1" t="n">
        <v>46112.69435185185</v>
      </c>
      <c r="C475" s="1" t="n">
        <v>46188</v>
      </c>
      <c r="D475" t="inlineStr">
        <is>
          <t>KALMAR LÄN</t>
        </is>
      </c>
      <c r="E475" t="inlineStr">
        <is>
          <t>VIMMERBY</t>
        </is>
      </c>
      <c r="F475" t="inlineStr">
        <is>
          <t>Kommuner</t>
        </is>
      </c>
      <c r="G475" t="n">
        <v>1.6</v>
      </c>
      <c r="H475" t="n">
        <v>0</v>
      </c>
      <c r="I475" t="n">
        <v>0</v>
      </c>
      <c r="J475" t="n">
        <v>0</v>
      </c>
      <c r="K475" t="n">
        <v>0</v>
      </c>
      <c r="L475" t="n">
        <v>0</v>
      </c>
      <c r="M475" t="n">
        <v>0</v>
      </c>
      <c r="N475" t="n">
        <v>0</v>
      </c>
      <c r="O475" t="n">
        <v>0</v>
      </c>
      <c r="P475" t="n">
        <v>0</v>
      </c>
      <c r="Q475" t="n">
        <v>0</v>
      </c>
      <c r="R475" s="2" t="inlineStr"/>
    </row>
    <row r="476" ht="15" customHeight="1">
      <c r="A476" t="inlineStr">
        <is>
          <t>A 12033-2024</t>
        </is>
      </c>
      <c r="B476" s="1" t="n">
        <v>45377.40043981482</v>
      </c>
      <c r="C476" s="1" t="n">
        <v>46188</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51408-2023</t>
        </is>
      </c>
      <c r="B477" s="1" t="n">
        <v>45219.69356481481</v>
      </c>
      <c r="C477" s="1" t="n">
        <v>46188</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36246-2025</t>
        </is>
      </c>
      <c r="B478" s="1" t="n">
        <v>45867.56320601852</v>
      </c>
      <c r="C478" s="1" t="n">
        <v>46188</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36297-2025</t>
        </is>
      </c>
      <c r="B479" s="1" t="n">
        <v>45867.68625</v>
      </c>
      <c r="C479" s="1" t="n">
        <v>46188</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49488-2023</t>
        </is>
      </c>
      <c r="B480" s="1" t="n">
        <v>45211.55472222222</v>
      </c>
      <c r="C480" s="1" t="n">
        <v>46188</v>
      </c>
      <c r="D480" t="inlineStr">
        <is>
          <t>KALMAR LÄN</t>
        </is>
      </c>
      <c r="E480" t="inlineStr">
        <is>
          <t>VIMMERBY</t>
        </is>
      </c>
      <c r="F480" t="inlineStr">
        <is>
          <t>Sveaskog</t>
        </is>
      </c>
      <c r="G480" t="n">
        <v>6.2</v>
      </c>
      <c r="H480" t="n">
        <v>0</v>
      </c>
      <c r="I480" t="n">
        <v>0</v>
      </c>
      <c r="J480" t="n">
        <v>0</v>
      </c>
      <c r="K480" t="n">
        <v>0</v>
      </c>
      <c r="L480" t="n">
        <v>0</v>
      </c>
      <c r="M480" t="n">
        <v>0</v>
      </c>
      <c r="N480" t="n">
        <v>0</v>
      </c>
      <c r="O480" t="n">
        <v>0</v>
      </c>
      <c r="P480" t="n">
        <v>0</v>
      </c>
      <c r="Q480" t="n">
        <v>0</v>
      </c>
      <c r="R480" s="2" t="inlineStr"/>
    </row>
    <row r="481" ht="15" customHeight="1">
      <c r="A481" t="inlineStr">
        <is>
          <t>A 16799-2026</t>
        </is>
      </c>
      <c r="B481" s="1" t="n">
        <v>46113.47913194444</v>
      </c>
      <c r="C481" s="1" t="n">
        <v>46188</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19502-2025</t>
        </is>
      </c>
      <c r="B482" s="1" t="n">
        <v>45769</v>
      </c>
      <c r="C482" s="1" t="n">
        <v>46188</v>
      </c>
      <c r="D482" t="inlineStr">
        <is>
          <t>KALMAR LÄN</t>
        </is>
      </c>
      <c r="E482" t="inlineStr">
        <is>
          <t>VIMMERBY</t>
        </is>
      </c>
      <c r="G482" t="n">
        <v>1.9</v>
      </c>
      <c r="H482" t="n">
        <v>0</v>
      </c>
      <c r="I482" t="n">
        <v>0</v>
      </c>
      <c r="J482" t="n">
        <v>0</v>
      </c>
      <c r="K482" t="n">
        <v>0</v>
      </c>
      <c r="L482" t="n">
        <v>0</v>
      </c>
      <c r="M482" t="n">
        <v>0</v>
      </c>
      <c r="N482" t="n">
        <v>0</v>
      </c>
      <c r="O482" t="n">
        <v>0</v>
      </c>
      <c r="P482" t="n">
        <v>0</v>
      </c>
      <c r="Q482" t="n">
        <v>0</v>
      </c>
      <c r="R482" s="2" t="inlineStr"/>
    </row>
    <row r="483" ht="15" customHeight="1">
      <c r="A483" t="inlineStr">
        <is>
          <t>A 16823-2026</t>
        </is>
      </c>
      <c r="B483" s="1" t="n">
        <v>46113.51649305555</v>
      </c>
      <c r="C483" s="1" t="n">
        <v>46188</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16870-2026</t>
        </is>
      </c>
      <c r="B484" s="1" t="n">
        <v>46113.5822800926</v>
      </c>
      <c r="C484" s="1" t="n">
        <v>46188</v>
      </c>
      <c r="D484" t="inlineStr">
        <is>
          <t>KALMAR LÄN</t>
        </is>
      </c>
      <c r="E484" t="inlineStr">
        <is>
          <t>VIMMERBY</t>
        </is>
      </c>
      <c r="G484" t="n">
        <v>2</v>
      </c>
      <c r="H484" t="n">
        <v>0</v>
      </c>
      <c r="I484" t="n">
        <v>0</v>
      </c>
      <c r="J484" t="n">
        <v>0</v>
      </c>
      <c r="K484" t="n">
        <v>0</v>
      </c>
      <c r="L484" t="n">
        <v>0</v>
      </c>
      <c r="M484" t="n">
        <v>0</v>
      </c>
      <c r="N484" t="n">
        <v>0</v>
      </c>
      <c r="O484" t="n">
        <v>0</v>
      </c>
      <c r="P484" t="n">
        <v>0</v>
      </c>
      <c r="Q484" t="n">
        <v>0</v>
      </c>
      <c r="R484" s="2" t="inlineStr"/>
    </row>
    <row r="485" ht="15" customHeight="1">
      <c r="A485" t="inlineStr">
        <is>
          <t>A 16801-2026</t>
        </is>
      </c>
      <c r="B485" s="1" t="n">
        <v>46113.48400462963</v>
      </c>
      <c r="C485" s="1" t="n">
        <v>46188</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16795-2026</t>
        </is>
      </c>
      <c r="B486" s="1" t="n">
        <v>46113.47216435185</v>
      </c>
      <c r="C486" s="1" t="n">
        <v>46188</v>
      </c>
      <c r="D486" t="inlineStr">
        <is>
          <t>KALMAR LÄN</t>
        </is>
      </c>
      <c r="E486" t="inlineStr">
        <is>
          <t>VIMMERBY</t>
        </is>
      </c>
      <c r="G486" t="n">
        <v>2.1</v>
      </c>
      <c r="H486" t="n">
        <v>0</v>
      </c>
      <c r="I486" t="n">
        <v>0</v>
      </c>
      <c r="J486" t="n">
        <v>0</v>
      </c>
      <c r="K486" t="n">
        <v>0</v>
      </c>
      <c r="L486" t="n">
        <v>0</v>
      </c>
      <c r="M486" t="n">
        <v>0</v>
      </c>
      <c r="N486" t="n">
        <v>0</v>
      </c>
      <c r="O486" t="n">
        <v>0</v>
      </c>
      <c r="P486" t="n">
        <v>0</v>
      </c>
      <c r="Q486" t="n">
        <v>0</v>
      </c>
      <c r="R486" s="2" t="inlineStr"/>
    </row>
    <row r="487" ht="15" customHeight="1">
      <c r="A487" t="inlineStr">
        <is>
          <t>A 36299-2025</t>
        </is>
      </c>
      <c r="B487" s="1" t="n">
        <v>45867.69346064814</v>
      </c>
      <c r="C487" s="1" t="n">
        <v>46188</v>
      </c>
      <c r="D487" t="inlineStr">
        <is>
          <t>KALMAR LÄN</t>
        </is>
      </c>
      <c r="E487" t="inlineStr">
        <is>
          <t>VIMMERBY</t>
        </is>
      </c>
      <c r="G487" t="n">
        <v>7.6</v>
      </c>
      <c r="H487" t="n">
        <v>0</v>
      </c>
      <c r="I487" t="n">
        <v>0</v>
      </c>
      <c r="J487" t="n">
        <v>0</v>
      </c>
      <c r="K487" t="n">
        <v>0</v>
      </c>
      <c r="L487" t="n">
        <v>0</v>
      </c>
      <c r="M487" t="n">
        <v>0</v>
      </c>
      <c r="N487" t="n">
        <v>0</v>
      </c>
      <c r="O487" t="n">
        <v>0</v>
      </c>
      <c r="P487" t="n">
        <v>0</v>
      </c>
      <c r="Q487" t="n">
        <v>0</v>
      </c>
      <c r="R487" s="2" t="inlineStr"/>
    </row>
    <row r="488" ht="15" customHeight="1">
      <c r="A488" t="inlineStr">
        <is>
          <t>A 8410-2023</t>
        </is>
      </c>
      <c r="B488" s="1" t="n">
        <v>44977</v>
      </c>
      <c r="C488" s="1" t="n">
        <v>46188</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30920-2024</t>
        </is>
      </c>
      <c r="B489" s="1" t="n">
        <v>45498.673125</v>
      </c>
      <c r="C489" s="1" t="n">
        <v>46188</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36538-2025</t>
        </is>
      </c>
      <c r="B490" s="1" t="n">
        <v>45869.62276620371</v>
      </c>
      <c r="C490" s="1" t="n">
        <v>46188</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40929-2022</t>
        </is>
      </c>
      <c r="B491" s="1" t="n">
        <v>44825.4336574074</v>
      </c>
      <c r="C491" s="1" t="n">
        <v>46188</v>
      </c>
      <c r="D491" t="inlineStr">
        <is>
          <t>KALMAR LÄN</t>
        </is>
      </c>
      <c r="E491" t="inlineStr">
        <is>
          <t>VIMMERBY</t>
        </is>
      </c>
      <c r="G491" t="n">
        <v>2.5</v>
      </c>
      <c r="H491" t="n">
        <v>0</v>
      </c>
      <c r="I491" t="n">
        <v>0</v>
      </c>
      <c r="J491" t="n">
        <v>0</v>
      </c>
      <c r="K491" t="n">
        <v>0</v>
      </c>
      <c r="L491" t="n">
        <v>0</v>
      </c>
      <c r="M491" t="n">
        <v>0</v>
      </c>
      <c r="N491" t="n">
        <v>0</v>
      </c>
      <c r="O491" t="n">
        <v>0</v>
      </c>
      <c r="P491" t="n">
        <v>0</v>
      </c>
      <c r="Q491" t="n">
        <v>0</v>
      </c>
      <c r="R491" s="2" t="inlineStr"/>
    </row>
    <row r="492" ht="15" customHeight="1">
      <c r="A492" t="inlineStr">
        <is>
          <t>A 50091-2023</t>
        </is>
      </c>
      <c r="B492" s="1" t="n">
        <v>45215.60199074074</v>
      </c>
      <c r="C492" s="1" t="n">
        <v>46188</v>
      </c>
      <c r="D492" t="inlineStr">
        <is>
          <t>KALMAR LÄN</t>
        </is>
      </c>
      <c r="E492" t="inlineStr">
        <is>
          <t>VIMMERBY</t>
        </is>
      </c>
      <c r="G492" t="n">
        <v>1.7</v>
      </c>
      <c r="H492" t="n">
        <v>0</v>
      </c>
      <c r="I492" t="n">
        <v>0</v>
      </c>
      <c r="J492" t="n">
        <v>0</v>
      </c>
      <c r="K492" t="n">
        <v>0</v>
      </c>
      <c r="L492" t="n">
        <v>0</v>
      </c>
      <c r="M492" t="n">
        <v>0</v>
      </c>
      <c r="N492" t="n">
        <v>0</v>
      </c>
      <c r="O492" t="n">
        <v>0</v>
      </c>
      <c r="P492" t="n">
        <v>0</v>
      </c>
      <c r="Q492" t="n">
        <v>0</v>
      </c>
      <c r="R492" s="2" t="inlineStr"/>
    </row>
    <row r="493" ht="15" customHeight="1">
      <c r="A493" t="inlineStr">
        <is>
          <t>A 36008-2024</t>
        </is>
      </c>
      <c r="B493" s="1" t="n">
        <v>45533.55362268518</v>
      </c>
      <c r="C493" s="1" t="n">
        <v>46188</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16622-2025</t>
        </is>
      </c>
      <c r="B494" s="1" t="n">
        <v>45754.33641203704</v>
      </c>
      <c r="C494" s="1" t="n">
        <v>46188</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17511-2024</t>
        </is>
      </c>
      <c r="B495" s="1" t="n">
        <v>45415.57682870371</v>
      </c>
      <c r="C495" s="1" t="n">
        <v>46188</v>
      </c>
      <c r="D495" t="inlineStr">
        <is>
          <t>KALMAR LÄN</t>
        </is>
      </c>
      <c r="E495" t="inlineStr">
        <is>
          <t>VIMMERBY</t>
        </is>
      </c>
      <c r="G495" t="n">
        <v>5.3</v>
      </c>
      <c r="H495" t="n">
        <v>0</v>
      </c>
      <c r="I495" t="n">
        <v>0</v>
      </c>
      <c r="J495" t="n">
        <v>0</v>
      </c>
      <c r="K495" t="n">
        <v>0</v>
      </c>
      <c r="L495" t="n">
        <v>0</v>
      </c>
      <c r="M495" t="n">
        <v>0</v>
      </c>
      <c r="N495" t="n">
        <v>0</v>
      </c>
      <c r="O495" t="n">
        <v>0</v>
      </c>
      <c r="P495" t="n">
        <v>0</v>
      </c>
      <c r="Q495" t="n">
        <v>0</v>
      </c>
      <c r="R495" s="2" t="inlineStr"/>
    </row>
    <row r="496" ht="15" customHeight="1">
      <c r="A496" t="inlineStr">
        <is>
          <t>A 43705-2023</t>
        </is>
      </c>
      <c r="B496" s="1" t="n">
        <v>45187.42854166667</v>
      </c>
      <c r="C496" s="1" t="n">
        <v>46188</v>
      </c>
      <c r="D496" t="inlineStr">
        <is>
          <t>KALMAR LÄN</t>
        </is>
      </c>
      <c r="E496" t="inlineStr">
        <is>
          <t>VIMMERBY</t>
        </is>
      </c>
      <c r="G496" t="n">
        <v>1.2</v>
      </c>
      <c r="H496" t="n">
        <v>0</v>
      </c>
      <c r="I496" t="n">
        <v>0</v>
      </c>
      <c r="J496" t="n">
        <v>0</v>
      </c>
      <c r="K496" t="n">
        <v>0</v>
      </c>
      <c r="L496" t="n">
        <v>0</v>
      </c>
      <c r="M496" t="n">
        <v>0</v>
      </c>
      <c r="N496" t="n">
        <v>0</v>
      </c>
      <c r="O496" t="n">
        <v>0</v>
      </c>
      <c r="P496" t="n">
        <v>0</v>
      </c>
      <c r="Q496" t="n">
        <v>0</v>
      </c>
      <c r="R496" s="2" t="inlineStr"/>
    </row>
    <row r="497" ht="15" customHeight="1">
      <c r="A497" t="inlineStr">
        <is>
          <t>A 55300-2021</t>
        </is>
      </c>
      <c r="B497" s="1" t="n">
        <v>44475</v>
      </c>
      <c r="C497" s="1" t="n">
        <v>46188</v>
      </c>
      <c r="D497" t="inlineStr">
        <is>
          <t>KALMAR LÄN</t>
        </is>
      </c>
      <c r="E497" t="inlineStr">
        <is>
          <t>VIMMERBY</t>
        </is>
      </c>
      <c r="G497" t="n">
        <v>3.4</v>
      </c>
      <c r="H497" t="n">
        <v>0</v>
      </c>
      <c r="I497" t="n">
        <v>0</v>
      </c>
      <c r="J497" t="n">
        <v>0</v>
      </c>
      <c r="K497" t="n">
        <v>0</v>
      </c>
      <c r="L497" t="n">
        <v>0</v>
      </c>
      <c r="M497" t="n">
        <v>0</v>
      </c>
      <c r="N497" t="n">
        <v>0</v>
      </c>
      <c r="O497" t="n">
        <v>0</v>
      </c>
      <c r="P497" t="n">
        <v>0</v>
      </c>
      <c r="Q497" t="n">
        <v>0</v>
      </c>
      <c r="R497" s="2" t="inlineStr"/>
    </row>
    <row r="498" ht="15" customHeight="1">
      <c r="A498" t="inlineStr">
        <is>
          <t>A 44179-2022</t>
        </is>
      </c>
      <c r="B498" s="1" t="n">
        <v>44839.4528125</v>
      </c>
      <c r="C498" s="1" t="n">
        <v>46188</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52755-2022</t>
        </is>
      </c>
      <c r="B499" s="1" t="n">
        <v>44875.27736111111</v>
      </c>
      <c r="C499" s="1" t="n">
        <v>46188</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35998-2024</t>
        </is>
      </c>
      <c r="B500" s="1" t="n">
        <v>45533.54429398148</v>
      </c>
      <c r="C500" s="1" t="n">
        <v>46188</v>
      </c>
      <c r="D500" t="inlineStr">
        <is>
          <t>KALMAR LÄN</t>
        </is>
      </c>
      <c r="E500" t="inlineStr">
        <is>
          <t>VIMMERBY</t>
        </is>
      </c>
      <c r="G500" t="n">
        <v>8.6</v>
      </c>
      <c r="H500" t="n">
        <v>0</v>
      </c>
      <c r="I500" t="n">
        <v>0</v>
      </c>
      <c r="J500" t="n">
        <v>0</v>
      </c>
      <c r="K500" t="n">
        <v>0</v>
      </c>
      <c r="L500" t="n">
        <v>0</v>
      </c>
      <c r="M500" t="n">
        <v>0</v>
      </c>
      <c r="N500" t="n">
        <v>0</v>
      </c>
      <c r="O500" t="n">
        <v>0</v>
      </c>
      <c r="P500" t="n">
        <v>0</v>
      </c>
      <c r="Q500" t="n">
        <v>0</v>
      </c>
      <c r="R500" s="2" t="inlineStr"/>
    </row>
    <row r="501" ht="15" customHeight="1">
      <c r="A501" t="inlineStr">
        <is>
          <t>A 7797-2023</t>
        </is>
      </c>
      <c r="B501" s="1" t="n">
        <v>44973.43075231482</v>
      </c>
      <c r="C501" s="1" t="n">
        <v>46188</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29351-2023</t>
        </is>
      </c>
      <c r="B502" s="1" t="n">
        <v>45106.2610300926</v>
      </c>
      <c r="C502" s="1" t="n">
        <v>46188</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1024-2024</t>
        </is>
      </c>
      <c r="B503" s="1" t="n">
        <v>45301.68237268519</v>
      </c>
      <c r="C503" s="1" t="n">
        <v>46188</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36603-2025</t>
        </is>
      </c>
      <c r="B504" s="1" t="n">
        <v>45870.52142361111</v>
      </c>
      <c r="C504" s="1" t="n">
        <v>46188</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36601-2025</t>
        </is>
      </c>
      <c r="B505" s="1" t="n">
        <v>45870.52005787037</v>
      </c>
      <c r="C505" s="1" t="n">
        <v>46188</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10787-2025</t>
        </is>
      </c>
      <c r="B506" s="1" t="n">
        <v>45722.48915509259</v>
      </c>
      <c r="C506" s="1" t="n">
        <v>46188</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29350-2023</t>
        </is>
      </c>
      <c r="B507" s="1" t="n">
        <v>45106</v>
      </c>
      <c r="C507" s="1" t="n">
        <v>46188</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14855-2025</t>
        </is>
      </c>
      <c r="B508" s="1" t="n">
        <v>45743.41148148148</v>
      </c>
      <c r="C508" s="1" t="n">
        <v>46188</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43601-2024</t>
        </is>
      </c>
      <c r="B509" s="1" t="n">
        <v>45569.44684027778</v>
      </c>
      <c r="C509" s="1" t="n">
        <v>46188</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35913-2023</t>
        </is>
      </c>
      <c r="B510" s="1" t="n">
        <v>45148</v>
      </c>
      <c r="C510" s="1" t="n">
        <v>46188</v>
      </c>
      <c r="D510" t="inlineStr">
        <is>
          <t>KALMAR LÄN</t>
        </is>
      </c>
      <c r="E510" t="inlineStr">
        <is>
          <t>VIMMERBY</t>
        </is>
      </c>
      <c r="G510" t="n">
        <v>6.9</v>
      </c>
      <c r="H510" t="n">
        <v>0</v>
      </c>
      <c r="I510" t="n">
        <v>0</v>
      </c>
      <c r="J510" t="n">
        <v>0</v>
      </c>
      <c r="K510" t="n">
        <v>0</v>
      </c>
      <c r="L510" t="n">
        <v>0</v>
      </c>
      <c r="M510" t="n">
        <v>0</v>
      </c>
      <c r="N510" t="n">
        <v>0</v>
      </c>
      <c r="O510" t="n">
        <v>0</v>
      </c>
      <c r="P510" t="n">
        <v>0</v>
      </c>
      <c r="Q510" t="n">
        <v>0</v>
      </c>
      <c r="R510" s="2" t="inlineStr"/>
    </row>
    <row r="511" ht="15" customHeight="1">
      <c r="A511" t="inlineStr">
        <is>
          <t>A 9624-2024</t>
        </is>
      </c>
      <c r="B511" s="1" t="n">
        <v>45361.90282407407</v>
      </c>
      <c r="C511" s="1" t="n">
        <v>46188</v>
      </c>
      <c r="D511" t="inlineStr">
        <is>
          <t>KALMAR LÄN</t>
        </is>
      </c>
      <c r="E511" t="inlineStr">
        <is>
          <t>VIMMERBY</t>
        </is>
      </c>
      <c r="G511" t="n">
        <v>3.8</v>
      </c>
      <c r="H511" t="n">
        <v>0</v>
      </c>
      <c r="I511" t="n">
        <v>0</v>
      </c>
      <c r="J511" t="n">
        <v>0</v>
      </c>
      <c r="K511" t="n">
        <v>0</v>
      </c>
      <c r="L511" t="n">
        <v>0</v>
      </c>
      <c r="M511" t="n">
        <v>0</v>
      </c>
      <c r="N511" t="n">
        <v>0</v>
      </c>
      <c r="O511" t="n">
        <v>0</v>
      </c>
      <c r="P511" t="n">
        <v>0</v>
      </c>
      <c r="Q511" t="n">
        <v>0</v>
      </c>
      <c r="R511" s="2" t="inlineStr"/>
    </row>
    <row r="512" ht="15" customHeight="1">
      <c r="A512" t="inlineStr">
        <is>
          <t>A 3938-2023</t>
        </is>
      </c>
      <c r="B512" s="1" t="n">
        <v>44952.35775462963</v>
      </c>
      <c r="C512" s="1" t="n">
        <v>46188</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39053-2024</t>
        </is>
      </c>
      <c r="B513" s="1" t="n">
        <v>45548</v>
      </c>
      <c r="C513" s="1" t="n">
        <v>46188</v>
      </c>
      <c r="D513" t="inlineStr">
        <is>
          <t>KALMAR LÄN</t>
        </is>
      </c>
      <c r="E513" t="inlineStr">
        <is>
          <t>VIMMERBY</t>
        </is>
      </c>
      <c r="G513" t="n">
        <v>5</v>
      </c>
      <c r="H513" t="n">
        <v>0</v>
      </c>
      <c r="I513" t="n">
        <v>0</v>
      </c>
      <c r="J513" t="n">
        <v>0</v>
      </c>
      <c r="K513" t="n">
        <v>0</v>
      </c>
      <c r="L513" t="n">
        <v>0</v>
      </c>
      <c r="M513" t="n">
        <v>0</v>
      </c>
      <c r="N513" t="n">
        <v>0</v>
      </c>
      <c r="O513" t="n">
        <v>0</v>
      </c>
      <c r="P513" t="n">
        <v>0</v>
      </c>
      <c r="Q513" t="n">
        <v>0</v>
      </c>
      <c r="R513" s="2" t="inlineStr"/>
    </row>
    <row r="514" ht="15" customHeight="1">
      <c r="A514" t="inlineStr">
        <is>
          <t>A 14451-2024</t>
        </is>
      </c>
      <c r="B514" s="1" t="n">
        <v>45394.50028935185</v>
      </c>
      <c r="C514" s="1" t="n">
        <v>46188</v>
      </c>
      <c r="D514" t="inlineStr">
        <is>
          <t>KALMAR LÄN</t>
        </is>
      </c>
      <c r="E514" t="inlineStr">
        <is>
          <t>VIMMERBY</t>
        </is>
      </c>
      <c r="G514" t="n">
        <v>1.9</v>
      </c>
      <c r="H514" t="n">
        <v>0</v>
      </c>
      <c r="I514" t="n">
        <v>0</v>
      </c>
      <c r="J514" t="n">
        <v>0</v>
      </c>
      <c r="K514" t="n">
        <v>0</v>
      </c>
      <c r="L514" t="n">
        <v>0</v>
      </c>
      <c r="M514" t="n">
        <v>0</v>
      </c>
      <c r="N514" t="n">
        <v>0</v>
      </c>
      <c r="O514" t="n">
        <v>0</v>
      </c>
      <c r="P514" t="n">
        <v>0</v>
      </c>
      <c r="Q514" t="n">
        <v>0</v>
      </c>
      <c r="R514" s="2" t="inlineStr"/>
    </row>
    <row r="515" ht="15" customHeight="1">
      <c r="A515" t="inlineStr">
        <is>
          <t>A 17713-2026</t>
        </is>
      </c>
      <c r="B515" s="1" t="n">
        <v>46121.72810185186</v>
      </c>
      <c r="C515" s="1" t="n">
        <v>46188</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34205-2023</t>
        </is>
      </c>
      <c r="B516" s="1" t="n">
        <v>45138</v>
      </c>
      <c r="C516" s="1" t="n">
        <v>46188</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37578-2025</t>
        </is>
      </c>
      <c r="B517" s="1" t="n">
        <v>45880.38380787037</v>
      </c>
      <c r="C517" s="1" t="n">
        <v>46188</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3268-2024</t>
        </is>
      </c>
      <c r="B518" s="1" t="n">
        <v>45317</v>
      </c>
      <c r="C518" s="1" t="n">
        <v>46188</v>
      </c>
      <c r="D518" t="inlineStr">
        <is>
          <t>KALMAR LÄN</t>
        </is>
      </c>
      <c r="E518" t="inlineStr">
        <is>
          <t>VIMMERBY</t>
        </is>
      </c>
      <c r="F518" t="inlineStr">
        <is>
          <t>Övriga Aktiebolag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12819-2024</t>
        </is>
      </c>
      <c r="B519" s="1" t="n">
        <v>45384.66917824074</v>
      </c>
      <c r="C519" s="1" t="n">
        <v>46188</v>
      </c>
      <c r="D519" t="inlineStr">
        <is>
          <t>KALMAR LÄN</t>
        </is>
      </c>
      <c r="E519" t="inlineStr">
        <is>
          <t>VIMMERBY</t>
        </is>
      </c>
      <c r="G519" t="n">
        <v>5.1</v>
      </c>
      <c r="H519" t="n">
        <v>0</v>
      </c>
      <c r="I519" t="n">
        <v>0</v>
      </c>
      <c r="J519" t="n">
        <v>0</v>
      </c>
      <c r="K519" t="n">
        <v>0</v>
      </c>
      <c r="L519" t="n">
        <v>0</v>
      </c>
      <c r="M519" t="n">
        <v>0</v>
      </c>
      <c r="N519" t="n">
        <v>0</v>
      </c>
      <c r="O519" t="n">
        <v>0</v>
      </c>
      <c r="P519" t="n">
        <v>0</v>
      </c>
      <c r="Q519" t="n">
        <v>0</v>
      </c>
      <c r="R519" s="2" t="inlineStr"/>
    </row>
    <row r="520" ht="15" customHeight="1">
      <c r="A520" t="inlineStr">
        <is>
          <t>A 37668-2025</t>
        </is>
      </c>
      <c r="B520" s="1" t="n">
        <v>45880.51550925926</v>
      </c>
      <c r="C520" s="1" t="n">
        <v>46188</v>
      </c>
      <c r="D520" t="inlineStr">
        <is>
          <t>KALMAR LÄN</t>
        </is>
      </c>
      <c r="E520" t="inlineStr">
        <is>
          <t>VIMMERBY</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32569-2024</t>
        </is>
      </c>
      <c r="B521" s="1" t="n">
        <v>45513.55840277778</v>
      </c>
      <c r="C521" s="1" t="n">
        <v>46188</v>
      </c>
      <c r="D521" t="inlineStr">
        <is>
          <t>KALMAR LÄN</t>
        </is>
      </c>
      <c r="E521" t="inlineStr">
        <is>
          <t>VIMMERBY</t>
        </is>
      </c>
      <c r="G521" t="n">
        <v>3.7</v>
      </c>
      <c r="H521" t="n">
        <v>0</v>
      </c>
      <c r="I521" t="n">
        <v>0</v>
      </c>
      <c r="J521" t="n">
        <v>0</v>
      </c>
      <c r="K521" t="n">
        <v>0</v>
      </c>
      <c r="L521" t="n">
        <v>0</v>
      </c>
      <c r="M521" t="n">
        <v>0</v>
      </c>
      <c r="N521" t="n">
        <v>0</v>
      </c>
      <c r="O521" t="n">
        <v>0</v>
      </c>
      <c r="P521" t="n">
        <v>0</v>
      </c>
      <c r="Q521" t="n">
        <v>0</v>
      </c>
      <c r="R521" s="2" t="inlineStr"/>
    </row>
    <row r="522" ht="15" customHeight="1">
      <c r="A522" t="inlineStr">
        <is>
          <t>A 32575-2024</t>
        </is>
      </c>
      <c r="B522" s="1" t="n">
        <v>45513.56527777778</v>
      </c>
      <c r="C522" s="1" t="n">
        <v>46188</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59300-2024</t>
        </is>
      </c>
      <c r="B523" s="1" t="n">
        <v>45637.66542824074</v>
      </c>
      <c r="C523" s="1" t="n">
        <v>46188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36526-2023</t>
        </is>
      </c>
      <c r="B524" s="1" t="n">
        <v>45153.32778935185</v>
      </c>
      <c r="C524" s="1" t="n">
        <v>46188</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18122-2026</t>
        </is>
      </c>
      <c r="B525" s="1" t="n">
        <v>46125.58524305555</v>
      </c>
      <c r="C525" s="1" t="n">
        <v>46188</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58728-2024</t>
        </is>
      </c>
      <c r="B526" s="1" t="n">
        <v>45635.66695601852</v>
      </c>
      <c r="C526" s="1" t="n">
        <v>46188</v>
      </c>
      <c r="D526" t="inlineStr">
        <is>
          <t>KALMAR LÄN</t>
        </is>
      </c>
      <c r="E526" t="inlineStr">
        <is>
          <t>VIMMERBY</t>
        </is>
      </c>
      <c r="G526" t="n">
        <v>0.4</v>
      </c>
      <c r="H526" t="n">
        <v>0</v>
      </c>
      <c r="I526" t="n">
        <v>0</v>
      </c>
      <c r="J526" t="n">
        <v>0</v>
      </c>
      <c r="K526" t="n">
        <v>0</v>
      </c>
      <c r="L526" t="n">
        <v>0</v>
      </c>
      <c r="M526" t="n">
        <v>0</v>
      </c>
      <c r="N526" t="n">
        <v>0</v>
      </c>
      <c r="O526" t="n">
        <v>0</v>
      </c>
      <c r="P526" t="n">
        <v>0</v>
      </c>
      <c r="Q526" t="n">
        <v>0</v>
      </c>
      <c r="R526" s="2" t="inlineStr"/>
    </row>
    <row r="527" ht="15" customHeight="1">
      <c r="A527" t="inlineStr">
        <is>
          <t>A 49474-2023</t>
        </is>
      </c>
      <c r="B527" s="1" t="n">
        <v>45211.541875</v>
      </c>
      <c r="C527" s="1" t="n">
        <v>46188</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57682-2022</t>
        </is>
      </c>
      <c r="B528" s="1" t="n">
        <v>44890</v>
      </c>
      <c r="C528" s="1" t="n">
        <v>46188</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18633-2026</t>
        </is>
      </c>
      <c r="B529" s="1" t="n">
        <v>46128.26289351852</v>
      </c>
      <c r="C529" s="1" t="n">
        <v>46188</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63950-2023</t>
        </is>
      </c>
      <c r="B530" s="1" t="n">
        <v>45278</v>
      </c>
      <c r="C530" s="1" t="n">
        <v>46188</v>
      </c>
      <c r="D530" t="inlineStr">
        <is>
          <t>KALMAR LÄN</t>
        </is>
      </c>
      <c r="E530" t="inlineStr">
        <is>
          <t>VIMMERBY</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16516-2023</t>
        </is>
      </c>
      <c r="B531" s="1" t="n">
        <v>45029</v>
      </c>
      <c r="C531" s="1" t="n">
        <v>46188</v>
      </c>
      <c r="D531" t="inlineStr">
        <is>
          <t>KALMAR LÄN</t>
        </is>
      </c>
      <c r="E531" t="inlineStr">
        <is>
          <t>VIMMERBY</t>
        </is>
      </c>
      <c r="G531" t="n">
        <v>4.3</v>
      </c>
      <c r="H531" t="n">
        <v>0</v>
      </c>
      <c r="I531" t="n">
        <v>0</v>
      </c>
      <c r="J531" t="n">
        <v>0</v>
      </c>
      <c r="K531" t="n">
        <v>0</v>
      </c>
      <c r="L531" t="n">
        <v>0</v>
      </c>
      <c r="M531" t="n">
        <v>0</v>
      </c>
      <c r="N531" t="n">
        <v>0</v>
      </c>
      <c r="O531" t="n">
        <v>0</v>
      </c>
      <c r="P531" t="n">
        <v>0</v>
      </c>
      <c r="Q531" t="n">
        <v>0</v>
      </c>
      <c r="R531" s="2" t="inlineStr"/>
    </row>
    <row r="532" ht="15" customHeight="1">
      <c r="A532" t="inlineStr">
        <is>
          <t>A 47842-2024</t>
        </is>
      </c>
      <c r="B532" s="1" t="n">
        <v>45588.65545138889</v>
      </c>
      <c r="C532" s="1" t="n">
        <v>46188</v>
      </c>
      <c r="D532" t="inlineStr">
        <is>
          <t>KALMAR LÄN</t>
        </is>
      </c>
      <c r="E532" t="inlineStr">
        <is>
          <t>VIMMERBY</t>
        </is>
      </c>
      <c r="G532" t="n">
        <v>2.4</v>
      </c>
      <c r="H532" t="n">
        <v>0</v>
      </c>
      <c r="I532" t="n">
        <v>0</v>
      </c>
      <c r="J532" t="n">
        <v>0</v>
      </c>
      <c r="K532" t="n">
        <v>0</v>
      </c>
      <c r="L532" t="n">
        <v>0</v>
      </c>
      <c r="M532" t="n">
        <v>0</v>
      </c>
      <c r="N532" t="n">
        <v>0</v>
      </c>
      <c r="O532" t="n">
        <v>0</v>
      </c>
      <c r="P532" t="n">
        <v>0</v>
      </c>
      <c r="Q532" t="n">
        <v>0</v>
      </c>
      <c r="R532" s="2" t="inlineStr"/>
    </row>
    <row r="533" ht="15" customHeight="1">
      <c r="A533" t="inlineStr">
        <is>
          <t>A 6408-2025</t>
        </is>
      </c>
      <c r="B533" s="1" t="n">
        <v>45699.45671296296</v>
      </c>
      <c r="C533" s="1" t="n">
        <v>46188</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25109-2023</t>
        </is>
      </c>
      <c r="B534" s="1" t="n">
        <v>45086</v>
      </c>
      <c r="C534" s="1" t="n">
        <v>46188</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33380-2023</t>
        </is>
      </c>
      <c r="B535" s="1" t="n">
        <v>45128</v>
      </c>
      <c r="C535" s="1" t="n">
        <v>46188</v>
      </c>
      <c r="D535" t="inlineStr">
        <is>
          <t>KALMAR LÄN</t>
        </is>
      </c>
      <c r="E535" t="inlineStr">
        <is>
          <t>VIMMERBY</t>
        </is>
      </c>
      <c r="G535" t="n">
        <v>5.2</v>
      </c>
      <c r="H535" t="n">
        <v>0</v>
      </c>
      <c r="I535" t="n">
        <v>0</v>
      </c>
      <c r="J535" t="n">
        <v>0</v>
      </c>
      <c r="K535" t="n">
        <v>0</v>
      </c>
      <c r="L535" t="n">
        <v>0</v>
      </c>
      <c r="M535" t="n">
        <v>0</v>
      </c>
      <c r="N535" t="n">
        <v>0</v>
      </c>
      <c r="O535" t="n">
        <v>0</v>
      </c>
      <c r="P535" t="n">
        <v>0</v>
      </c>
      <c r="Q535" t="n">
        <v>0</v>
      </c>
      <c r="R535" s="2" t="inlineStr"/>
    </row>
    <row r="536" ht="15" customHeight="1">
      <c r="A536" t="inlineStr">
        <is>
          <t>A 11928-2022</t>
        </is>
      </c>
      <c r="B536" s="1" t="n">
        <v>44635</v>
      </c>
      <c r="C536" s="1" t="n">
        <v>46188</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7068-2024</t>
        </is>
      </c>
      <c r="B537" s="1" t="n">
        <v>45343.68038194445</v>
      </c>
      <c r="C537" s="1" t="n">
        <v>46188</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46234-2024</t>
        </is>
      </c>
      <c r="B538" s="1" t="n">
        <v>45581.57958333333</v>
      </c>
      <c r="C538" s="1" t="n">
        <v>46188</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37187-2024</t>
        </is>
      </c>
      <c r="B539" s="1" t="n">
        <v>45539.65212962963</v>
      </c>
      <c r="C539" s="1" t="n">
        <v>46188</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1021-2024</t>
        </is>
      </c>
      <c r="B540" s="1" t="n">
        <v>45301.67736111111</v>
      </c>
      <c r="C540" s="1" t="n">
        <v>46188</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72701-2021</t>
        </is>
      </c>
      <c r="B541" s="1" t="n">
        <v>44546</v>
      </c>
      <c r="C541" s="1" t="n">
        <v>46188</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33374-2021</t>
        </is>
      </c>
      <c r="B542" s="1" t="n">
        <v>44377</v>
      </c>
      <c r="C542" s="1" t="n">
        <v>46188</v>
      </c>
      <c r="D542" t="inlineStr">
        <is>
          <t>KALMAR LÄN</t>
        </is>
      </c>
      <c r="E542" t="inlineStr">
        <is>
          <t>VIMMERBY</t>
        </is>
      </c>
      <c r="G542" t="n">
        <v>3.3</v>
      </c>
      <c r="H542" t="n">
        <v>0</v>
      </c>
      <c r="I542" t="n">
        <v>0</v>
      </c>
      <c r="J542" t="n">
        <v>0</v>
      </c>
      <c r="K542" t="n">
        <v>0</v>
      </c>
      <c r="L542" t="n">
        <v>0</v>
      </c>
      <c r="M542" t="n">
        <v>0</v>
      </c>
      <c r="N542" t="n">
        <v>0</v>
      </c>
      <c r="O542" t="n">
        <v>0</v>
      </c>
      <c r="P542" t="n">
        <v>0</v>
      </c>
      <c r="Q542" t="n">
        <v>0</v>
      </c>
      <c r="R542" s="2" t="inlineStr"/>
    </row>
    <row r="543" ht="15" customHeight="1">
      <c r="A543" t="inlineStr">
        <is>
          <t>A 24932-2026</t>
        </is>
      </c>
      <c r="B543" s="1" t="n">
        <v>46174.5197800926</v>
      </c>
      <c r="C543" s="1" t="n">
        <v>46188</v>
      </c>
      <c r="D543" t="inlineStr">
        <is>
          <t>KALMAR LÄN</t>
        </is>
      </c>
      <c r="E543" t="inlineStr">
        <is>
          <t>VIMMERBY</t>
        </is>
      </c>
      <c r="G543" t="n">
        <v>2.3</v>
      </c>
      <c r="H543" t="n">
        <v>0</v>
      </c>
      <c r="I543" t="n">
        <v>0</v>
      </c>
      <c r="J543" t="n">
        <v>0</v>
      </c>
      <c r="K543" t="n">
        <v>0</v>
      </c>
      <c r="L543" t="n">
        <v>0</v>
      </c>
      <c r="M543" t="n">
        <v>0</v>
      </c>
      <c r="N543" t="n">
        <v>0</v>
      </c>
      <c r="O543" t="n">
        <v>0</v>
      </c>
      <c r="P543" t="n">
        <v>0</v>
      </c>
      <c r="Q543" t="n">
        <v>0</v>
      </c>
      <c r="R543" s="2" t="inlineStr"/>
    </row>
    <row r="544" ht="15" customHeight="1">
      <c r="A544" t="inlineStr">
        <is>
          <t>A 10807-2024</t>
        </is>
      </c>
      <c r="B544" s="1" t="n">
        <v>45369.62780092593</v>
      </c>
      <c r="C544" s="1" t="n">
        <v>46188</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33359-2021</t>
        </is>
      </c>
      <c r="B545" s="1" t="n">
        <v>44377.49684027778</v>
      </c>
      <c r="C545" s="1" t="n">
        <v>46188</v>
      </c>
      <c r="D545" t="inlineStr">
        <is>
          <t>KALMAR LÄN</t>
        </is>
      </c>
      <c r="E545" t="inlineStr">
        <is>
          <t>VIMMERBY</t>
        </is>
      </c>
      <c r="F545" t="inlineStr">
        <is>
          <t>Kommuner</t>
        </is>
      </c>
      <c r="G545" t="n">
        <v>8</v>
      </c>
      <c r="H545" t="n">
        <v>0</v>
      </c>
      <c r="I545" t="n">
        <v>0</v>
      </c>
      <c r="J545" t="n">
        <v>0</v>
      </c>
      <c r="K545" t="n">
        <v>0</v>
      </c>
      <c r="L545" t="n">
        <v>0</v>
      </c>
      <c r="M545" t="n">
        <v>0</v>
      </c>
      <c r="N545" t="n">
        <v>0</v>
      </c>
      <c r="O545" t="n">
        <v>0</v>
      </c>
      <c r="P545" t="n">
        <v>0</v>
      </c>
      <c r="Q545" t="n">
        <v>0</v>
      </c>
      <c r="R545" s="2" t="inlineStr"/>
    </row>
    <row r="546" ht="15" customHeight="1">
      <c r="A546" t="inlineStr">
        <is>
          <t>A 25106-2026</t>
        </is>
      </c>
      <c r="B546" s="1" t="n">
        <v>46175.35026620371</v>
      </c>
      <c r="C546" s="1" t="n">
        <v>46188</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25105-2026</t>
        </is>
      </c>
      <c r="B547" s="1" t="n">
        <v>46175.34893518518</v>
      </c>
      <c r="C547" s="1" t="n">
        <v>46188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25158-2026</t>
        </is>
      </c>
      <c r="B548" s="1" t="n">
        <v>46175.45645833333</v>
      </c>
      <c r="C548" s="1" t="n">
        <v>46188</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34588-2024</t>
        </is>
      </c>
      <c r="B549" s="1" t="n">
        <v>45526.3865625</v>
      </c>
      <c r="C549" s="1" t="n">
        <v>46188</v>
      </c>
      <c r="D549" t="inlineStr">
        <is>
          <t>KALMAR LÄN</t>
        </is>
      </c>
      <c r="E549" t="inlineStr">
        <is>
          <t>VIMMERBY</t>
        </is>
      </c>
      <c r="F549" t="inlineStr">
        <is>
          <t>Övriga Aktiebolag</t>
        </is>
      </c>
      <c r="G549" t="n">
        <v>3.3</v>
      </c>
      <c r="H549" t="n">
        <v>0</v>
      </c>
      <c r="I549" t="n">
        <v>0</v>
      </c>
      <c r="J549" t="n">
        <v>0</v>
      </c>
      <c r="K549" t="n">
        <v>0</v>
      </c>
      <c r="L549" t="n">
        <v>0</v>
      </c>
      <c r="M549" t="n">
        <v>0</v>
      </c>
      <c r="N549" t="n">
        <v>0</v>
      </c>
      <c r="O549" t="n">
        <v>0</v>
      </c>
      <c r="P549" t="n">
        <v>0</v>
      </c>
      <c r="Q549" t="n">
        <v>0</v>
      </c>
      <c r="R549" s="2" t="inlineStr"/>
    </row>
    <row r="550" ht="15" customHeight="1">
      <c r="A550" t="inlineStr">
        <is>
          <t>A 17084-2025</t>
        </is>
      </c>
      <c r="B550" s="1" t="n">
        <v>45755.64450231481</v>
      </c>
      <c r="C550" s="1" t="n">
        <v>46188</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25194-2026</t>
        </is>
      </c>
      <c r="B551" s="1" t="n">
        <v>46175.58986111111</v>
      </c>
      <c r="C551" s="1" t="n">
        <v>46188</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24930-2026</t>
        </is>
      </c>
      <c r="B552" s="1" t="n">
        <v>46174.51430555555</v>
      </c>
      <c r="C552" s="1" t="n">
        <v>46188</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14359-2025</t>
        </is>
      </c>
      <c r="B553" s="1" t="n">
        <v>45741.37270833334</v>
      </c>
      <c r="C553" s="1" t="n">
        <v>46188</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55605-2024</t>
        </is>
      </c>
      <c r="B554" s="1" t="n">
        <v>45622</v>
      </c>
      <c r="C554" s="1" t="n">
        <v>46188</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44464-2024</t>
        </is>
      </c>
      <c r="B555" s="1" t="n">
        <v>45574.35809027778</v>
      </c>
      <c r="C555" s="1" t="n">
        <v>46188</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36049-2024</t>
        </is>
      </c>
      <c r="B556" s="1" t="n">
        <v>45533.61996527778</v>
      </c>
      <c r="C556" s="1" t="n">
        <v>46188</v>
      </c>
      <c r="D556" t="inlineStr">
        <is>
          <t>KALMAR LÄN</t>
        </is>
      </c>
      <c r="E556" t="inlineStr">
        <is>
          <t>VIMMERBY</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25192-2026</t>
        </is>
      </c>
      <c r="B557" s="1" t="n">
        <v>46175.5820949074</v>
      </c>
      <c r="C557" s="1" t="n">
        <v>46188</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43038-2022</t>
        </is>
      </c>
      <c r="B558" s="1" t="n">
        <v>44833.60123842592</v>
      </c>
      <c r="C558" s="1" t="n">
        <v>46188</v>
      </c>
      <c r="D558" t="inlineStr">
        <is>
          <t>KALMAR LÄN</t>
        </is>
      </c>
      <c r="E558" t="inlineStr">
        <is>
          <t>VIMMERBY</t>
        </is>
      </c>
      <c r="G558" t="n">
        <v>4.2</v>
      </c>
      <c r="H558" t="n">
        <v>0</v>
      </c>
      <c r="I558" t="n">
        <v>0</v>
      </c>
      <c r="J558" t="n">
        <v>0</v>
      </c>
      <c r="K558" t="n">
        <v>0</v>
      </c>
      <c r="L558" t="n">
        <v>0</v>
      </c>
      <c r="M558" t="n">
        <v>0</v>
      </c>
      <c r="N558" t="n">
        <v>0</v>
      </c>
      <c r="O558" t="n">
        <v>0</v>
      </c>
      <c r="P558" t="n">
        <v>0</v>
      </c>
      <c r="Q558" t="n">
        <v>0</v>
      </c>
      <c r="R558" s="2" t="inlineStr"/>
    </row>
    <row r="559" ht="15" customHeight="1">
      <c r="A559" t="inlineStr">
        <is>
          <t>A 60215-2022</t>
        </is>
      </c>
      <c r="B559" s="1" t="n">
        <v>44910.41346064815</v>
      </c>
      <c r="C559" s="1" t="n">
        <v>46188</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25395-2026</t>
        </is>
      </c>
      <c r="B560" s="1" t="n">
        <v>46176.73450231482</v>
      </c>
      <c r="C560" s="1" t="n">
        <v>46188</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25830-2025</t>
        </is>
      </c>
      <c r="B561" s="1" t="n">
        <v>45804.44519675926</v>
      </c>
      <c r="C561" s="1" t="n">
        <v>46188</v>
      </c>
      <c r="D561" t="inlineStr">
        <is>
          <t>KALMAR LÄN</t>
        </is>
      </c>
      <c r="E561" t="inlineStr">
        <is>
          <t>VIMMERBY</t>
        </is>
      </c>
      <c r="G561" t="n">
        <v>4.9</v>
      </c>
      <c r="H561" t="n">
        <v>0</v>
      </c>
      <c r="I561" t="n">
        <v>0</v>
      </c>
      <c r="J561" t="n">
        <v>0</v>
      </c>
      <c r="K561" t="n">
        <v>0</v>
      </c>
      <c r="L561" t="n">
        <v>0</v>
      </c>
      <c r="M561" t="n">
        <v>0</v>
      </c>
      <c r="N561" t="n">
        <v>0</v>
      </c>
      <c r="O561" t="n">
        <v>0</v>
      </c>
      <c r="P561" t="n">
        <v>0</v>
      </c>
      <c r="Q561" t="n">
        <v>0</v>
      </c>
      <c r="R561" s="2" t="inlineStr"/>
    </row>
    <row r="562" ht="15" customHeight="1">
      <c r="A562" t="inlineStr">
        <is>
          <t>A 57799-2022</t>
        </is>
      </c>
      <c r="B562" s="1" t="n">
        <v>44897</v>
      </c>
      <c r="C562" s="1" t="n">
        <v>46188</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30921-2024</t>
        </is>
      </c>
      <c r="B563" s="1" t="n">
        <v>45498</v>
      </c>
      <c r="C563" s="1" t="n">
        <v>46188</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25345-2026</t>
        </is>
      </c>
      <c r="B564" s="1" t="n">
        <v>46176.58015046296</v>
      </c>
      <c r="C564" s="1" t="n">
        <v>46188</v>
      </c>
      <c r="D564" t="inlineStr">
        <is>
          <t>KALMAR LÄN</t>
        </is>
      </c>
      <c r="E564" t="inlineStr">
        <is>
          <t>VIMMERBY</t>
        </is>
      </c>
      <c r="G564" t="n">
        <v>1.9</v>
      </c>
      <c r="H564" t="n">
        <v>0</v>
      </c>
      <c r="I564" t="n">
        <v>0</v>
      </c>
      <c r="J564" t="n">
        <v>0</v>
      </c>
      <c r="K564" t="n">
        <v>0</v>
      </c>
      <c r="L564" t="n">
        <v>0</v>
      </c>
      <c r="M564" t="n">
        <v>0</v>
      </c>
      <c r="N564" t="n">
        <v>0</v>
      </c>
      <c r="O564" t="n">
        <v>0</v>
      </c>
      <c r="P564" t="n">
        <v>0</v>
      </c>
      <c r="Q564" t="n">
        <v>0</v>
      </c>
      <c r="R564" s="2" t="inlineStr"/>
    </row>
    <row r="565" ht="15" customHeight="1">
      <c r="A565" t="inlineStr">
        <is>
          <t>A 25284-2026</t>
        </is>
      </c>
      <c r="B565" s="1" t="n">
        <v>46176.40210648148</v>
      </c>
      <c r="C565" s="1" t="n">
        <v>46188</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14137-2023</t>
        </is>
      </c>
      <c r="B566" s="1" t="n">
        <v>45009.4671875</v>
      </c>
      <c r="C566" s="1" t="n">
        <v>46188</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11152-2023</t>
        </is>
      </c>
      <c r="B567" s="1" t="n">
        <v>44992</v>
      </c>
      <c r="C567" s="1" t="n">
        <v>46188</v>
      </c>
      <c r="D567" t="inlineStr">
        <is>
          <t>KALMAR LÄN</t>
        </is>
      </c>
      <c r="E567" t="inlineStr">
        <is>
          <t>VIMMERBY</t>
        </is>
      </c>
      <c r="G567" t="n">
        <v>10.6</v>
      </c>
      <c r="H567" t="n">
        <v>0</v>
      </c>
      <c r="I567" t="n">
        <v>0</v>
      </c>
      <c r="J567" t="n">
        <v>0</v>
      </c>
      <c r="K567" t="n">
        <v>0</v>
      </c>
      <c r="L567" t="n">
        <v>0</v>
      </c>
      <c r="M567" t="n">
        <v>0</v>
      </c>
      <c r="N567" t="n">
        <v>0</v>
      </c>
      <c r="O567" t="n">
        <v>0</v>
      </c>
      <c r="P567" t="n">
        <v>0</v>
      </c>
      <c r="Q567" t="n">
        <v>0</v>
      </c>
      <c r="R567" s="2" t="inlineStr"/>
    </row>
    <row r="568" ht="15" customHeight="1">
      <c r="A568" t="inlineStr">
        <is>
          <t>A 59579-2025</t>
        </is>
      </c>
      <c r="B568" s="1" t="n">
        <v>45992.30569444445</v>
      </c>
      <c r="C568" s="1" t="n">
        <v>46188</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12499-2023</t>
        </is>
      </c>
      <c r="B569" s="1" t="n">
        <v>44999.86172453704</v>
      </c>
      <c r="C569" s="1" t="n">
        <v>46188</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12500-2023</t>
        </is>
      </c>
      <c r="B570" s="1" t="n">
        <v>44999.8625</v>
      </c>
      <c r="C570" s="1" t="n">
        <v>46188</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35846-2023</t>
        </is>
      </c>
      <c r="B571" s="1" t="n">
        <v>45148</v>
      </c>
      <c r="C571" s="1" t="n">
        <v>46188</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49039-2021</t>
        </is>
      </c>
      <c r="B572" s="1" t="n">
        <v>44453.56578703703</v>
      </c>
      <c r="C572" s="1" t="n">
        <v>46188</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52294-2023</t>
        </is>
      </c>
      <c r="B573" s="1" t="n">
        <v>45224.60075231481</v>
      </c>
      <c r="C573" s="1" t="n">
        <v>46188</v>
      </c>
      <c r="D573" t="inlineStr">
        <is>
          <t>KALMAR LÄN</t>
        </is>
      </c>
      <c r="E573" t="inlineStr">
        <is>
          <t>VIMMERBY</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46224-2024</t>
        </is>
      </c>
      <c r="B574" s="1" t="n">
        <v>45581.57016203704</v>
      </c>
      <c r="C574" s="1" t="n">
        <v>46188</v>
      </c>
      <c r="D574" t="inlineStr">
        <is>
          <t>KALMAR LÄN</t>
        </is>
      </c>
      <c r="E574" t="inlineStr">
        <is>
          <t>VIMMERBY</t>
        </is>
      </c>
      <c r="G574" t="n">
        <v>3.1</v>
      </c>
      <c r="H574" t="n">
        <v>0</v>
      </c>
      <c r="I574" t="n">
        <v>0</v>
      </c>
      <c r="J574" t="n">
        <v>0</v>
      </c>
      <c r="K574" t="n">
        <v>0</v>
      </c>
      <c r="L574" t="n">
        <v>0</v>
      </c>
      <c r="M574" t="n">
        <v>0</v>
      </c>
      <c r="N574" t="n">
        <v>0</v>
      </c>
      <c r="O574" t="n">
        <v>0</v>
      </c>
      <c r="P574" t="n">
        <v>0</v>
      </c>
      <c r="Q574" t="n">
        <v>0</v>
      </c>
      <c r="R574" s="2" t="inlineStr"/>
    </row>
    <row r="575" ht="15" customHeight="1">
      <c r="A575" t="inlineStr">
        <is>
          <t>A 36273-2025</t>
        </is>
      </c>
      <c r="B575" s="1" t="n">
        <v>45867.63094907408</v>
      </c>
      <c r="C575" s="1" t="n">
        <v>46188</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36282-2025</t>
        </is>
      </c>
      <c r="B576" s="1" t="n">
        <v>45867.64663194444</v>
      </c>
      <c r="C576" s="1" t="n">
        <v>46188</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30633-2024</t>
        </is>
      </c>
      <c r="B577" s="1" t="n">
        <v>45495</v>
      </c>
      <c r="C577" s="1" t="n">
        <v>46188</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54838-2024</t>
        </is>
      </c>
      <c r="B578" s="1" t="n">
        <v>45618.56787037037</v>
      </c>
      <c r="C578" s="1" t="n">
        <v>46188</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6405-2025</t>
        </is>
      </c>
      <c r="B579" s="1" t="n">
        <v>45699.45392361111</v>
      </c>
      <c r="C579" s="1" t="n">
        <v>46188</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29783-2024</t>
        </is>
      </c>
      <c r="B580" s="1" t="n">
        <v>45485.45778935185</v>
      </c>
      <c r="C580" s="1" t="n">
        <v>46188</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60437-2023</t>
        </is>
      </c>
      <c r="B581" s="1" t="n">
        <v>45259.51916666667</v>
      </c>
      <c r="C581" s="1" t="n">
        <v>46188</v>
      </c>
      <c r="D581" t="inlineStr">
        <is>
          <t>KALMAR LÄN</t>
        </is>
      </c>
      <c r="E581" t="inlineStr">
        <is>
          <t>VIMMERBY</t>
        </is>
      </c>
      <c r="F581" t="inlineStr">
        <is>
          <t>Sveaskog</t>
        </is>
      </c>
      <c r="G581" t="n">
        <v>0.8</v>
      </c>
      <c r="H581" t="n">
        <v>0</v>
      </c>
      <c r="I581" t="n">
        <v>0</v>
      </c>
      <c r="J581" t="n">
        <v>0</v>
      </c>
      <c r="K581" t="n">
        <v>0</v>
      </c>
      <c r="L581" t="n">
        <v>0</v>
      </c>
      <c r="M581" t="n">
        <v>0</v>
      </c>
      <c r="N581" t="n">
        <v>0</v>
      </c>
      <c r="O581" t="n">
        <v>0</v>
      </c>
      <c r="P581" t="n">
        <v>0</v>
      </c>
      <c r="Q581" t="n">
        <v>0</v>
      </c>
      <c r="R581" s="2" t="inlineStr"/>
    </row>
    <row r="582" ht="15" customHeight="1">
      <c r="A582" t="inlineStr">
        <is>
          <t>A 60438-2023</t>
        </is>
      </c>
      <c r="B582" s="1" t="n">
        <v>45259.52020833334</v>
      </c>
      <c r="C582" s="1" t="n">
        <v>46188</v>
      </c>
      <c r="D582" t="inlineStr">
        <is>
          <t>KALMAR LÄN</t>
        </is>
      </c>
      <c r="E582" t="inlineStr">
        <is>
          <t>VIMMERBY</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42165-2024</t>
        </is>
      </c>
      <c r="B583" s="1" t="n">
        <v>45562.46342592593</v>
      </c>
      <c r="C583" s="1" t="n">
        <v>46188</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25244-2023</t>
        </is>
      </c>
      <c r="B584" s="1" t="n">
        <v>45086</v>
      </c>
      <c r="C584" s="1" t="n">
        <v>46188</v>
      </c>
      <c r="D584" t="inlineStr">
        <is>
          <t>KALMAR LÄN</t>
        </is>
      </c>
      <c r="E584" t="inlineStr">
        <is>
          <t>VIMMERBY</t>
        </is>
      </c>
      <c r="G584" t="n">
        <v>4.7</v>
      </c>
      <c r="H584" t="n">
        <v>0</v>
      </c>
      <c r="I584" t="n">
        <v>0</v>
      </c>
      <c r="J584" t="n">
        <v>0</v>
      </c>
      <c r="K584" t="n">
        <v>0</v>
      </c>
      <c r="L584" t="n">
        <v>0</v>
      </c>
      <c r="M584" t="n">
        <v>0</v>
      </c>
      <c r="N584" t="n">
        <v>0</v>
      </c>
      <c r="O584" t="n">
        <v>0</v>
      </c>
      <c r="P584" t="n">
        <v>0</v>
      </c>
      <c r="Q584" t="n">
        <v>0</v>
      </c>
      <c r="R584" s="2" t="inlineStr"/>
    </row>
    <row r="585" ht="15" customHeight="1">
      <c r="A585" t="inlineStr">
        <is>
          <t>A 66022-2021</t>
        </is>
      </c>
      <c r="B585" s="1" t="n">
        <v>44517</v>
      </c>
      <c r="C585" s="1" t="n">
        <v>46188</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35895-2024</t>
        </is>
      </c>
      <c r="B586" s="1" t="n">
        <v>45533.38870370371</v>
      </c>
      <c r="C586" s="1" t="n">
        <v>46188</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11073-2023</t>
        </is>
      </c>
      <c r="B587" s="1" t="n">
        <v>44992</v>
      </c>
      <c r="C587" s="1" t="n">
        <v>46188</v>
      </c>
      <c r="D587" t="inlineStr">
        <is>
          <t>KALMAR LÄN</t>
        </is>
      </c>
      <c r="E587" t="inlineStr">
        <is>
          <t>VIMMERBY</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32655-2023</t>
        </is>
      </c>
      <c r="B588" s="1" t="n">
        <v>45121.61318287037</v>
      </c>
      <c r="C588" s="1" t="n">
        <v>46188</v>
      </c>
      <c r="D588" t="inlineStr">
        <is>
          <t>KALMAR LÄN</t>
        </is>
      </c>
      <c r="E588" t="inlineStr">
        <is>
          <t>VIMMERBY</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63541-2023</t>
        </is>
      </c>
      <c r="B589" s="1" t="n">
        <v>45275.32266203704</v>
      </c>
      <c r="C589" s="1" t="n">
        <v>46188</v>
      </c>
      <c r="D589" t="inlineStr">
        <is>
          <t>KALMAR LÄN</t>
        </is>
      </c>
      <c r="E589" t="inlineStr">
        <is>
          <t>VIMMERBY</t>
        </is>
      </c>
      <c r="G589" t="n">
        <v>1.1</v>
      </c>
      <c r="H589" t="n">
        <v>0</v>
      </c>
      <c r="I589" t="n">
        <v>0</v>
      </c>
      <c r="J589" t="n">
        <v>0</v>
      </c>
      <c r="K589" t="n">
        <v>0</v>
      </c>
      <c r="L589" t="n">
        <v>0</v>
      </c>
      <c r="M589" t="n">
        <v>0</v>
      </c>
      <c r="N589" t="n">
        <v>0</v>
      </c>
      <c r="O589" t="n">
        <v>0</v>
      </c>
      <c r="P589" t="n">
        <v>0</v>
      </c>
      <c r="Q589" t="n">
        <v>0</v>
      </c>
      <c r="R589" s="2" t="inlineStr"/>
    </row>
    <row r="590" ht="15" customHeight="1">
      <c r="A590" t="inlineStr">
        <is>
          <t>A 52465-2025</t>
        </is>
      </c>
      <c r="B590" s="1" t="n">
        <v>45954.44543981482</v>
      </c>
      <c r="C590" s="1" t="n">
        <v>46188</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28034-2022</t>
        </is>
      </c>
      <c r="B591" s="1" t="n">
        <v>44746.38834490741</v>
      </c>
      <c r="C591" s="1" t="n">
        <v>46188</v>
      </c>
      <c r="D591" t="inlineStr">
        <is>
          <t>KALMAR LÄN</t>
        </is>
      </c>
      <c r="E591" t="inlineStr">
        <is>
          <t>VIMMERBY</t>
        </is>
      </c>
      <c r="G591" t="n">
        <v>2</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46188</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37866-2025</t>
        </is>
      </c>
      <c r="B593" s="1" t="n">
        <v>45881</v>
      </c>
      <c r="C593" s="1" t="n">
        <v>46188</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20-2025</t>
        </is>
      </c>
      <c r="B594" s="1" t="n">
        <v>45658.80232638889</v>
      </c>
      <c r="C594" s="1" t="n">
        <v>46188</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24283-2023</t>
        </is>
      </c>
      <c r="B595" s="1" t="n">
        <v>45079.87827546296</v>
      </c>
      <c r="C595" s="1" t="n">
        <v>46188</v>
      </c>
      <c r="D595" t="inlineStr">
        <is>
          <t>KALMAR LÄN</t>
        </is>
      </c>
      <c r="E595" t="inlineStr">
        <is>
          <t>VIMMERBY</t>
        </is>
      </c>
      <c r="G595" t="n">
        <v>2</v>
      </c>
      <c r="H595" t="n">
        <v>0</v>
      </c>
      <c r="I595" t="n">
        <v>0</v>
      </c>
      <c r="J595" t="n">
        <v>0</v>
      </c>
      <c r="K595" t="n">
        <v>0</v>
      </c>
      <c r="L595" t="n">
        <v>0</v>
      </c>
      <c r="M595" t="n">
        <v>0</v>
      </c>
      <c r="N595" t="n">
        <v>0</v>
      </c>
      <c r="O595" t="n">
        <v>0</v>
      </c>
      <c r="P595" t="n">
        <v>0</v>
      </c>
      <c r="Q595" t="n">
        <v>0</v>
      </c>
      <c r="R595" s="2" t="inlineStr"/>
    </row>
    <row r="596" ht="15" customHeight="1">
      <c r="A596" t="inlineStr">
        <is>
          <t>A 2462-2022</t>
        </is>
      </c>
      <c r="B596" s="1" t="n">
        <v>44579.62225694444</v>
      </c>
      <c r="C596" s="1" t="n">
        <v>46188</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60228-2021</t>
        </is>
      </c>
      <c r="B597" s="1" t="n">
        <v>44495</v>
      </c>
      <c r="C597" s="1" t="n">
        <v>46188</v>
      </c>
      <c r="D597" t="inlineStr">
        <is>
          <t>KALMAR LÄN</t>
        </is>
      </c>
      <c r="E597" t="inlineStr">
        <is>
          <t>VIMMERBY</t>
        </is>
      </c>
      <c r="G597" t="n">
        <v>4.1</v>
      </c>
      <c r="H597" t="n">
        <v>0</v>
      </c>
      <c r="I597" t="n">
        <v>0</v>
      </c>
      <c r="J597" t="n">
        <v>0</v>
      </c>
      <c r="K597" t="n">
        <v>0</v>
      </c>
      <c r="L597" t="n">
        <v>0</v>
      </c>
      <c r="M597" t="n">
        <v>0</v>
      </c>
      <c r="N597" t="n">
        <v>0</v>
      </c>
      <c r="O597" t="n">
        <v>0</v>
      </c>
      <c r="P597" t="n">
        <v>0</v>
      </c>
      <c r="Q597" t="n">
        <v>0</v>
      </c>
      <c r="R597" s="2" t="inlineStr"/>
    </row>
    <row r="598" ht="15" customHeight="1">
      <c r="A598" t="inlineStr">
        <is>
          <t>A 25979-2023</t>
        </is>
      </c>
      <c r="B598" s="1" t="n">
        <v>45090.89653935185</v>
      </c>
      <c r="C598" s="1" t="n">
        <v>46188</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25980-2023</t>
        </is>
      </c>
      <c r="B599" s="1" t="n">
        <v>45090.89880787037</v>
      </c>
      <c r="C599" s="1" t="n">
        <v>46188</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12510-2022</t>
        </is>
      </c>
      <c r="B600" s="1" t="n">
        <v>44638.55256944444</v>
      </c>
      <c r="C600" s="1" t="n">
        <v>46188</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6358-2022</t>
        </is>
      </c>
      <c r="B601" s="1" t="n">
        <v>44600</v>
      </c>
      <c r="C601" s="1" t="n">
        <v>46188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20018-2026</t>
        </is>
      </c>
      <c r="B602" s="1" t="n">
        <v>46136.50282407407</v>
      </c>
      <c r="C602" s="1" t="n">
        <v>46188</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48373-2021</t>
        </is>
      </c>
      <c r="B603" s="1" t="n">
        <v>44451</v>
      </c>
      <c r="C603" s="1" t="n">
        <v>46188</v>
      </c>
      <c r="D603" t="inlineStr">
        <is>
          <t>KALMAR LÄN</t>
        </is>
      </c>
      <c r="E603" t="inlineStr">
        <is>
          <t>VIMMERBY</t>
        </is>
      </c>
      <c r="G603" t="n">
        <v>2.2</v>
      </c>
      <c r="H603" t="n">
        <v>0</v>
      </c>
      <c r="I603" t="n">
        <v>0</v>
      </c>
      <c r="J603" t="n">
        <v>0</v>
      </c>
      <c r="K603" t="n">
        <v>0</v>
      </c>
      <c r="L603" t="n">
        <v>0</v>
      </c>
      <c r="M603" t="n">
        <v>0</v>
      </c>
      <c r="N603" t="n">
        <v>0</v>
      </c>
      <c r="O603" t="n">
        <v>0</v>
      </c>
      <c r="P603" t="n">
        <v>0</v>
      </c>
      <c r="Q603" t="n">
        <v>0</v>
      </c>
      <c r="R603" s="2" t="inlineStr"/>
    </row>
    <row r="604" ht="15" customHeight="1">
      <c r="A604" t="inlineStr">
        <is>
          <t>A 57256-2023</t>
        </is>
      </c>
      <c r="B604" s="1" t="n">
        <v>45245.5735300926</v>
      </c>
      <c r="C604" s="1" t="n">
        <v>46188</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29727-2025</t>
        </is>
      </c>
      <c r="B605" s="1" t="n">
        <v>45825.5796875</v>
      </c>
      <c r="C605" s="1" t="n">
        <v>46188</v>
      </c>
      <c r="D605" t="inlineStr">
        <is>
          <t>KALMAR LÄN</t>
        </is>
      </c>
      <c r="E605" t="inlineStr">
        <is>
          <t>VIMMERBY</t>
        </is>
      </c>
      <c r="G605" t="n">
        <v>1.3</v>
      </c>
      <c r="H605" t="n">
        <v>0</v>
      </c>
      <c r="I605" t="n">
        <v>0</v>
      </c>
      <c r="J605" t="n">
        <v>0</v>
      </c>
      <c r="K605" t="n">
        <v>0</v>
      </c>
      <c r="L605" t="n">
        <v>0</v>
      </c>
      <c r="M605" t="n">
        <v>0</v>
      </c>
      <c r="N605" t="n">
        <v>0</v>
      </c>
      <c r="O605" t="n">
        <v>0</v>
      </c>
      <c r="P605" t="n">
        <v>0</v>
      </c>
      <c r="Q605" t="n">
        <v>0</v>
      </c>
      <c r="R605" s="2" t="inlineStr"/>
    </row>
    <row r="606" ht="15" customHeight="1">
      <c r="A606" t="inlineStr">
        <is>
          <t>A 17482-2024</t>
        </is>
      </c>
      <c r="B606" s="1" t="n">
        <v>45415.47848379629</v>
      </c>
      <c r="C606" s="1" t="n">
        <v>46188</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26029-2026</t>
        </is>
      </c>
      <c r="B607" s="1" t="n">
        <v>46181.50233796296</v>
      </c>
      <c r="C607" s="1" t="n">
        <v>46188</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55123-2024</t>
        </is>
      </c>
      <c r="B608" s="1" t="n">
        <v>45621.46103009259</v>
      </c>
      <c r="C608" s="1" t="n">
        <v>46188</v>
      </c>
      <c r="D608" t="inlineStr">
        <is>
          <t>KALMAR LÄN</t>
        </is>
      </c>
      <c r="E608" t="inlineStr">
        <is>
          <t>VIMMERBY</t>
        </is>
      </c>
      <c r="G608" t="n">
        <v>3.1</v>
      </c>
      <c r="H608" t="n">
        <v>0</v>
      </c>
      <c r="I608" t="n">
        <v>0</v>
      </c>
      <c r="J608" t="n">
        <v>0</v>
      </c>
      <c r="K608" t="n">
        <v>0</v>
      </c>
      <c r="L608" t="n">
        <v>0</v>
      </c>
      <c r="M608" t="n">
        <v>0</v>
      </c>
      <c r="N608" t="n">
        <v>0</v>
      </c>
      <c r="O608" t="n">
        <v>0</v>
      </c>
      <c r="P608" t="n">
        <v>0</v>
      </c>
      <c r="Q608" t="n">
        <v>0</v>
      </c>
      <c r="R608" s="2" t="inlineStr"/>
    </row>
    <row r="609" ht="15" customHeight="1">
      <c r="A609" t="inlineStr">
        <is>
          <t>A 49313-2022</t>
        </is>
      </c>
      <c r="B609" s="1" t="n">
        <v>44861.52505787037</v>
      </c>
      <c r="C609" s="1" t="n">
        <v>46188</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1987-2024</t>
        </is>
      </c>
      <c r="B610" s="1" t="n">
        <v>45308.61152777778</v>
      </c>
      <c r="C610" s="1" t="n">
        <v>46188</v>
      </c>
      <c r="D610" t="inlineStr">
        <is>
          <t>KALMAR LÄN</t>
        </is>
      </c>
      <c r="E610" t="inlineStr">
        <is>
          <t>VIMMERBY</t>
        </is>
      </c>
      <c r="G610" t="n">
        <v>3</v>
      </c>
      <c r="H610" t="n">
        <v>0</v>
      </c>
      <c r="I610" t="n">
        <v>0</v>
      </c>
      <c r="J610" t="n">
        <v>0</v>
      </c>
      <c r="K610" t="n">
        <v>0</v>
      </c>
      <c r="L610" t="n">
        <v>0</v>
      </c>
      <c r="M610" t="n">
        <v>0</v>
      </c>
      <c r="N610" t="n">
        <v>0</v>
      </c>
      <c r="O610" t="n">
        <v>0</v>
      </c>
      <c r="P610" t="n">
        <v>0</v>
      </c>
      <c r="Q610" t="n">
        <v>0</v>
      </c>
      <c r="R610" s="2" t="inlineStr"/>
    </row>
    <row r="611" ht="15" customHeight="1">
      <c r="A611" t="inlineStr">
        <is>
          <t>A 21507-2023</t>
        </is>
      </c>
      <c r="B611" s="1" t="n">
        <v>45063.508125</v>
      </c>
      <c r="C611" s="1" t="n">
        <v>46188</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57189-2022</t>
        </is>
      </c>
      <c r="B612" s="1" t="n">
        <v>44895.62296296296</v>
      </c>
      <c r="C612" s="1" t="n">
        <v>46188</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48673-2021</t>
        </is>
      </c>
      <c r="B613" s="1" t="n">
        <v>44452</v>
      </c>
      <c r="C613" s="1" t="n">
        <v>46188</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14248-2023</t>
        </is>
      </c>
      <c r="B614" s="1" t="n">
        <v>45009</v>
      </c>
      <c r="C614" s="1" t="n">
        <v>46188</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16015-2025</t>
        </is>
      </c>
      <c r="B615" s="1" t="n">
        <v>45749.60487268519</v>
      </c>
      <c r="C615" s="1" t="n">
        <v>46188</v>
      </c>
      <c r="D615" t="inlineStr">
        <is>
          <t>KALMAR LÄN</t>
        </is>
      </c>
      <c r="E615" t="inlineStr">
        <is>
          <t>VIMMERBY</t>
        </is>
      </c>
      <c r="F615" t="inlineStr">
        <is>
          <t>Kyrkan</t>
        </is>
      </c>
      <c r="G615" t="n">
        <v>2.7</v>
      </c>
      <c r="H615" t="n">
        <v>0</v>
      </c>
      <c r="I615" t="n">
        <v>0</v>
      </c>
      <c r="J615" t="n">
        <v>0</v>
      </c>
      <c r="K615" t="n">
        <v>0</v>
      </c>
      <c r="L615" t="n">
        <v>0</v>
      </c>
      <c r="M615" t="n">
        <v>0</v>
      </c>
      <c r="N615" t="n">
        <v>0</v>
      </c>
      <c r="O615" t="n">
        <v>0</v>
      </c>
      <c r="P615" t="n">
        <v>0</v>
      </c>
      <c r="Q615" t="n">
        <v>0</v>
      </c>
      <c r="R615" s="2" t="inlineStr"/>
    </row>
    <row r="616" ht="15" customHeight="1">
      <c r="A616" t="inlineStr">
        <is>
          <t>A 37088-2025</t>
        </is>
      </c>
      <c r="B616" s="1" t="n">
        <v>45875.45716435185</v>
      </c>
      <c r="C616" s="1" t="n">
        <v>46188</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37102-2025</t>
        </is>
      </c>
      <c r="B617" s="1" t="n">
        <v>45875.47454861111</v>
      </c>
      <c r="C617" s="1" t="n">
        <v>46188</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40095-2022</t>
        </is>
      </c>
      <c r="B618" s="1" t="n">
        <v>44820</v>
      </c>
      <c r="C618" s="1" t="n">
        <v>46188</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50085-2023</t>
        </is>
      </c>
      <c r="B619" s="1" t="n">
        <v>45215.5959375</v>
      </c>
      <c r="C619" s="1" t="n">
        <v>46188</v>
      </c>
      <c r="D619" t="inlineStr">
        <is>
          <t>KALMAR LÄN</t>
        </is>
      </c>
      <c r="E619" t="inlineStr">
        <is>
          <t>VIMMERBY</t>
        </is>
      </c>
      <c r="G619" t="n">
        <v>1.1</v>
      </c>
      <c r="H619" t="n">
        <v>0</v>
      </c>
      <c r="I619" t="n">
        <v>0</v>
      </c>
      <c r="J619" t="n">
        <v>0</v>
      </c>
      <c r="K619" t="n">
        <v>0</v>
      </c>
      <c r="L619" t="n">
        <v>0</v>
      </c>
      <c r="M619" t="n">
        <v>0</v>
      </c>
      <c r="N619" t="n">
        <v>0</v>
      </c>
      <c r="O619" t="n">
        <v>0</v>
      </c>
      <c r="P619" t="n">
        <v>0</v>
      </c>
      <c r="Q619" t="n">
        <v>0</v>
      </c>
      <c r="R619" s="2" t="inlineStr"/>
    </row>
    <row r="620" ht="15" customHeight="1">
      <c r="A620" t="inlineStr">
        <is>
          <t>A 50087-2023</t>
        </is>
      </c>
      <c r="B620" s="1" t="n">
        <v>45215.59743055556</v>
      </c>
      <c r="C620" s="1" t="n">
        <v>46188</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8167-2024</t>
        </is>
      </c>
      <c r="B621" s="1" t="n">
        <v>45351.6062962963</v>
      </c>
      <c r="C621" s="1" t="n">
        <v>46188</v>
      </c>
      <c r="D621" t="inlineStr">
        <is>
          <t>KALMAR LÄN</t>
        </is>
      </c>
      <c r="E621" t="inlineStr">
        <is>
          <t>VIMMERBY</t>
        </is>
      </c>
      <c r="G621" t="n">
        <v>3.8</v>
      </c>
      <c r="H621" t="n">
        <v>0</v>
      </c>
      <c r="I621" t="n">
        <v>0</v>
      </c>
      <c r="J621" t="n">
        <v>0</v>
      </c>
      <c r="K621" t="n">
        <v>0</v>
      </c>
      <c r="L621" t="n">
        <v>0</v>
      </c>
      <c r="M621" t="n">
        <v>0</v>
      </c>
      <c r="N621" t="n">
        <v>0</v>
      </c>
      <c r="O621" t="n">
        <v>0</v>
      </c>
      <c r="P621" t="n">
        <v>0</v>
      </c>
      <c r="Q621" t="n">
        <v>0</v>
      </c>
      <c r="R621" s="2" t="inlineStr"/>
    </row>
    <row r="622" ht="15" customHeight="1">
      <c r="A622" t="inlineStr">
        <is>
          <t>A 20017-2026</t>
        </is>
      </c>
      <c r="B622" s="1" t="n">
        <v>46136.49986111111</v>
      </c>
      <c r="C622" s="1" t="n">
        <v>46188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28282-2025</t>
        </is>
      </c>
      <c r="B623" s="1" t="n">
        <v>45818.58769675926</v>
      </c>
      <c r="C623" s="1" t="n">
        <v>46188</v>
      </c>
      <c r="D623" t="inlineStr">
        <is>
          <t>KALMAR LÄN</t>
        </is>
      </c>
      <c r="E623" t="inlineStr">
        <is>
          <t>VIMMERBY</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45854-2025</t>
        </is>
      </c>
      <c r="B624" s="1" t="n">
        <v>45923</v>
      </c>
      <c r="C624" s="1" t="n">
        <v>46188</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46118-2025</t>
        </is>
      </c>
      <c r="B625" s="1" t="n">
        <v>45924.57697916667</v>
      </c>
      <c r="C625" s="1" t="n">
        <v>46188</v>
      </c>
      <c r="D625" t="inlineStr">
        <is>
          <t>KALMAR LÄN</t>
        </is>
      </c>
      <c r="E625" t="inlineStr">
        <is>
          <t>VIMMERBY</t>
        </is>
      </c>
      <c r="G625" t="n">
        <v>2.9</v>
      </c>
      <c r="H625" t="n">
        <v>0</v>
      </c>
      <c r="I625" t="n">
        <v>0</v>
      </c>
      <c r="J625" t="n">
        <v>0</v>
      </c>
      <c r="K625" t="n">
        <v>0</v>
      </c>
      <c r="L625" t="n">
        <v>0</v>
      </c>
      <c r="M625" t="n">
        <v>0</v>
      </c>
      <c r="N625" t="n">
        <v>0</v>
      </c>
      <c r="O625" t="n">
        <v>0</v>
      </c>
      <c r="P625" t="n">
        <v>0</v>
      </c>
      <c r="Q625" t="n">
        <v>0</v>
      </c>
      <c r="R625" s="2" t="inlineStr"/>
    </row>
    <row r="626" ht="15" customHeight="1">
      <c r="A626" t="inlineStr">
        <is>
          <t>A 38969-2023</t>
        </is>
      </c>
      <c r="B626" s="1" t="n">
        <v>45163.63621527778</v>
      </c>
      <c r="C626" s="1" t="n">
        <v>46188</v>
      </c>
      <c r="D626" t="inlineStr">
        <is>
          <t>KALMAR LÄN</t>
        </is>
      </c>
      <c r="E626" t="inlineStr">
        <is>
          <t>VIMMERBY</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2604-2025</t>
        </is>
      </c>
      <c r="B627" s="1" t="n">
        <v>45674.74094907408</v>
      </c>
      <c r="C627" s="1" t="n">
        <v>46188</v>
      </c>
      <c r="D627" t="inlineStr">
        <is>
          <t>KALMAR LÄN</t>
        </is>
      </c>
      <c r="E627" t="inlineStr">
        <is>
          <t>VIMMERBY</t>
        </is>
      </c>
      <c r="G627" t="n">
        <v>7.6</v>
      </c>
      <c r="H627" t="n">
        <v>0</v>
      </c>
      <c r="I627" t="n">
        <v>0</v>
      </c>
      <c r="J627" t="n">
        <v>0</v>
      </c>
      <c r="K627" t="n">
        <v>0</v>
      </c>
      <c r="L627" t="n">
        <v>0</v>
      </c>
      <c r="M627" t="n">
        <v>0</v>
      </c>
      <c r="N627" t="n">
        <v>0</v>
      </c>
      <c r="O627" t="n">
        <v>0</v>
      </c>
      <c r="P627" t="n">
        <v>0</v>
      </c>
      <c r="Q627" t="n">
        <v>0</v>
      </c>
      <c r="R627" s="2" t="inlineStr"/>
    </row>
    <row r="628" ht="15" customHeight="1">
      <c r="A628" t="inlineStr">
        <is>
          <t>A 45114-2025</t>
        </is>
      </c>
      <c r="B628" s="1" t="n">
        <v>45919.42387731482</v>
      </c>
      <c r="C628" s="1" t="n">
        <v>46188</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26254-2025</t>
        </is>
      </c>
      <c r="B629" s="1" t="n">
        <v>45805</v>
      </c>
      <c r="C629" s="1" t="n">
        <v>46188</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31876-2025</t>
        </is>
      </c>
      <c r="B630" s="1" t="n">
        <v>45834.65197916667</v>
      </c>
      <c r="C630" s="1" t="n">
        <v>46188</v>
      </c>
      <c r="D630" t="inlineStr">
        <is>
          <t>KALMAR LÄN</t>
        </is>
      </c>
      <c r="E630" t="inlineStr">
        <is>
          <t>VIMMERBY</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37192-2024</t>
        </is>
      </c>
      <c r="B631" s="1" t="n">
        <v>45539.66027777778</v>
      </c>
      <c r="C631" s="1" t="n">
        <v>46188</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58159-2024</t>
        </is>
      </c>
      <c r="B632" s="1" t="n">
        <v>45632.44886574074</v>
      </c>
      <c r="C632" s="1" t="n">
        <v>46188</v>
      </c>
      <c r="D632" t="inlineStr">
        <is>
          <t>KALMAR LÄN</t>
        </is>
      </c>
      <c r="E632" t="inlineStr">
        <is>
          <t>VIMMERBY</t>
        </is>
      </c>
      <c r="G632" t="n">
        <v>7.5</v>
      </c>
      <c r="H632" t="n">
        <v>0</v>
      </c>
      <c r="I632" t="n">
        <v>0</v>
      </c>
      <c r="J632" t="n">
        <v>0</v>
      </c>
      <c r="K632" t="n">
        <v>0</v>
      </c>
      <c r="L632" t="n">
        <v>0</v>
      </c>
      <c r="M632" t="n">
        <v>0</v>
      </c>
      <c r="N632" t="n">
        <v>0</v>
      </c>
      <c r="O632" t="n">
        <v>0</v>
      </c>
      <c r="P632" t="n">
        <v>0</v>
      </c>
      <c r="Q632" t="n">
        <v>0</v>
      </c>
      <c r="R632" s="2" t="inlineStr"/>
    </row>
    <row r="633" ht="15" customHeight="1">
      <c r="A633" t="inlineStr">
        <is>
          <t>A 42429-2024</t>
        </is>
      </c>
      <c r="B633" s="1" t="n">
        <v>45565.40657407408</v>
      </c>
      <c r="C633" s="1" t="n">
        <v>46188</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29180-2024</t>
        </is>
      </c>
      <c r="B634" s="1" t="n">
        <v>45482.54108796296</v>
      </c>
      <c r="C634" s="1" t="n">
        <v>46188</v>
      </c>
      <c r="D634" t="inlineStr">
        <is>
          <t>KALMAR LÄN</t>
        </is>
      </c>
      <c r="E634" t="inlineStr">
        <is>
          <t>VIMMERBY</t>
        </is>
      </c>
      <c r="G634" t="n">
        <v>3.8</v>
      </c>
      <c r="H634" t="n">
        <v>0</v>
      </c>
      <c r="I634" t="n">
        <v>0</v>
      </c>
      <c r="J634" t="n">
        <v>0</v>
      </c>
      <c r="K634" t="n">
        <v>0</v>
      </c>
      <c r="L634" t="n">
        <v>0</v>
      </c>
      <c r="M634" t="n">
        <v>0</v>
      </c>
      <c r="N634" t="n">
        <v>0</v>
      </c>
      <c r="O634" t="n">
        <v>0</v>
      </c>
      <c r="P634" t="n">
        <v>0</v>
      </c>
      <c r="Q634" t="n">
        <v>0</v>
      </c>
      <c r="R634" s="2" t="inlineStr"/>
    </row>
    <row r="635" ht="15" customHeight="1">
      <c r="A635" t="inlineStr">
        <is>
          <t>A 6028-2023</t>
        </is>
      </c>
      <c r="B635" s="1" t="n">
        <v>44964.44356481481</v>
      </c>
      <c r="C635" s="1" t="n">
        <v>46188</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45846-2023</t>
        </is>
      </c>
      <c r="B636" s="1" t="n">
        <v>45195.58452546296</v>
      </c>
      <c r="C636" s="1" t="n">
        <v>46188</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16020-2023</t>
        </is>
      </c>
      <c r="B637" s="1" t="n">
        <v>45026.82216435186</v>
      </c>
      <c r="C637" s="1" t="n">
        <v>46188</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61820-2023</t>
        </is>
      </c>
      <c r="B638" s="1" t="n">
        <v>45266.32614583334</v>
      </c>
      <c r="C638" s="1" t="n">
        <v>46188</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42850-2022</t>
        </is>
      </c>
      <c r="B639" s="1" t="n">
        <v>44832.67608796297</v>
      </c>
      <c r="C639" s="1" t="n">
        <v>46188</v>
      </c>
      <c r="D639" t="inlineStr">
        <is>
          <t>KALMAR LÄN</t>
        </is>
      </c>
      <c r="E639" t="inlineStr">
        <is>
          <t>VIMMERBY</t>
        </is>
      </c>
      <c r="G639" t="n">
        <v>5.9</v>
      </c>
      <c r="H639" t="n">
        <v>0</v>
      </c>
      <c r="I639" t="n">
        <v>0</v>
      </c>
      <c r="J639" t="n">
        <v>0</v>
      </c>
      <c r="K639" t="n">
        <v>0</v>
      </c>
      <c r="L639" t="n">
        <v>0</v>
      </c>
      <c r="M639" t="n">
        <v>0</v>
      </c>
      <c r="N639" t="n">
        <v>0</v>
      </c>
      <c r="O639" t="n">
        <v>0</v>
      </c>
      <c r="P639" t="n">
        <v>0</v>
      </c>
      <c r="Q639" t="n">
        <v>0</v>
      </c>
      <c r="R639" s="2" t="inlineStr"/>
    </row>
    <row r="640" ht="15" customHeight="1">
      <c r="A640" t="inlineStr">
        <is>
          <t>A 45560-2021</t>
        </is>
      </c>
      <c r="B640" s="1" t="n">
        <v>44440</v>
      </c>
      <c r="C640" s="1" t="n">
        <v>46188</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40256-2024</t>
        </is>
      </c>
      <c r="B641" s="1" t="n">
        <v>45554.62944444444</v>
      </c>
      <c r="C641" s="1" t="n">
        <v>46188</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58104-2024</t>
        </is>
      </c>
      <c r="B642" s="1" t="n">
        <v>45632.37459490741</v>
      </c>
      <c r="C642" s="1" t="n">
        <v>46188</v>
      </c>
      <c r="D642" t="inlineStr">
        <is>
          <t>KALMAR LÄN</t>
        </is>
      </c>
      <c r="E642" t="inlineStr">
        <is>
          <t>VIMMERBY</t>
        </is>
      </c>
      <c r="G642" t="n">
        <v>5</v>
      </c>
      <c r="H642" t="n">
        <v>0</v>
      </c>
      <c r="I642" t="n">
        <v>0</v>
      </c>
      <c r="J642" t="n">
        <v>0</v>
      </c>
      <c r="K642" t="n">
        <v>0</v>
      </c>
      <c r="L642" t="n">
        <v>0</v>
      </c>
      <c r="M642" t="n">
        <v>0</v>
      </c>
      <c r="N642" t="n">
        <v>0</v>
      </c>
      <c r="O642" t="n">
        <v>0</v>
      </c>
      <c r="P642" t="n">
        <v>0</v>
      </c>
      <c r="Q642" t="n">
        <v>0</v>
      </c>
      <c r="R642" s="2" t="inlineStr"/>
    </row>
    <row r="643" ht="15" customHeight="1">
      <c r="A643" t="inlineStr">
        <is>
          <t>A 36259-2022</t>
        </is>
      </c>
      <c r="B643" s="1" t="n">
        <v>44803.59118055556</v>
      </c>
      <c r="C643" s="1" t="n">
        <v>46188</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43034-2024</t>
        </is>
      </c>
      <c r="B644" s="1" t="n">
        <v>45567.42011574074</v>
      </c>
      <c r="C644" s="1" t="n">
        <v>46188</v>
      </c>
      <c r="D644" t="inlineStr">
        <is>
          <t>KALMAR LÄN</t>
        </is>
      </c>
      <c r="E644" t="inlineStr">
        <is>
          <t>VIMMERBY</t>
        </is>
      </c>
      <c r="G644" t="n">
        <v>1.8</v>
      </c>
      <c r="H644" t="n">
        <v>0</v>
      </c>
      <c r="I644" t="n">
        <v>0</v>
      </c>
      <c r="J644" t="n">
        <v>0</v>
      </c>
      <c r="K644" t="n">
        <v>0</v>
      </c>
      <c r="L644" t="n">
        <v>0</v>
      </c>
      <c r="M644" t="n">
        <v>0</v>
      </c>
      <c r="N644" t="n">
        <v>0</v>
      </c>
      <c r="O644" t="n">
        <v>0</v>
      </c>
      <c r="P644" t="n">
        <v>0</v>
      </c>
      <c r="Q644" t="n">
        <v>0</v>
      </c>
      <c r="R644" s="2" t="inlineStr"/>
    </row>
    <row r="645" ht="15" customHeight="1">
      <c r="A645" t="inlineStr">
        <is>
          <t>A 23394-2025</t>
        </is>
      </c>
      <c r="B645" s="1" t="n">
        <v>45791.89865740741</v>
      </c>
      <c r="C645" s="1" t="n">
        <v>46188</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3902-2022</t>
        </is>
      </c>
      <c r="B646" s="1" t="n">
        <v>44587.48847222222</v>
      </c>
      <c r="C646" s="1" t="n">
        <v>46188</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30070-2023</t>
        </is>
      </c>
      <c r="B647" s="1" t="n">
        <v>45110.4275</v>
      </c>
      <c r="C647" s="1" t="n">
        <v>46188</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31209-2024</t>
        </is>
      </c>
      <c r="B648" s="1" t="n">
        <v>45503.5658912037</v>
      </c>
      <c r="C648" s="1" t="n">
        <v>46188</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4527-2023</t>
        </is>
      </c>
      <c r="B649" s="1" t="n">
        <v>44956</v>
      </c>
      <c r="C649" s="1" t="n">
        <v>46188</v>
      </c>
      <c r="D649" t="inlineStr">
        <is>
          <t>KALMAR LÄN</t>
        </is>
      </c>
      <c r="E649" t="inlineStr">
        <is>
          <t>VIMMERBY</t>
        </is>
      </c>
      <c r="F649" t="inlineStr">
        <is>
          <t>Kommuner</t>
        </is>
      </c>
      <c r="G649" t="n">
        <v>8.5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46188</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26462-2026</t>
        </is>
      </c>
      <c r="B651" s="1" t="n">
        <v>46183.49494212963</v>
      </c>
      <c r="C651" s="1" t="n">
        <v>46188</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30912-2023</t>
        </is>
      </c>
      <c r="B652" s="1" t="n">
        <v>45113.41633101852</v>
      </c>
      <c r="C652" s="1" t="n">
        <v>46188</v>
      </c>
      <c r="D652" t="inlineStr">
        <is>
          <t>KALMAR LÄN</t>
        </is>
      </c>
      <c r="E652" t="inlineStr">
        <is>
          <t>VIMMERBY</t>
        </is>
      </c>
      <c r="G652" t="n">
        <v>5</v>
      </c>
      <c r="H652" t="n">
        <v>0</v>
      </c>
      <c r="I652" t="n">
        <v>0</v>
      </c>
      <c r="J652" t="n">
        <v>0</v>
      </c>
      <c r="K652" t="n">
        <v>0</v>
      </c>
      <c r="L652" t="n">
        <v>0</v>
      </c>
      <c r="M652" t="n">
        <v>0</v>
      </c>
      <c r="N652" t="n">
        <v>0</v>
      </c>
      <c r="O652" t="n">
        <v>0</v>
      </c>
      <c r="P652" t="n">
        <v>0</v>
      </c>
      <c r="Q652" t="n">
        <v>0</v>
      </c>
      <c r="R652" s="2" t="inlineStr"/>
    </row>
    <row r="653" ht="15" customHeight="1">
      <c r="A653" t="inlineStr">
        <is>
          <t>A 19111-2025</t>
        </is>
      </c>
      <c r="B653" s="1" t="n">
        <v>45768.65611111111</v>
      </c>
      <c r="C653" s="1" t="n">
        <v>46188</v>
      </c>
      <c r="D653" t="inlineStr">
        <is>
          <t>KALMAR LÄN</t>
        </is>
      </c>
      <c r="E653" t="inlineStr">
        <is>
          <t>VIMMERBY</t>
        </is>
      </c>
      <c r="G653" t="n">
        <v>6.2</v>
      </c>
      <c r="H653" t="n">
        <v>0</v>
      </c>
      <c r="I653" t="n">
        <v>0</v>
      </c>
      <c r="J653" t="n">
        <v>0</v>
      </c>
      <c r="K653" t="n">
        <v>0</v>
      </c>
      <c r="L653" t="n">
        <v>0</v>
      </c>
      <c r="M653" t="n">
        <v>0</v>
      </c>
      <c r="N653" t="n">
        <v>0</v>
      </c>
      <c r="O653" t="n">
        <v>0</v>
      </c>
      <c r="P653" t="n">
        <v>0</v>
      </c>
      <c r="Q653" t="n">
        <v>0</v>
      </c>
      <c r="R653" s="2" t="inlineStr"/>
    </row>
    <row r="654" ht="15" customHeight="1">
      <c r="A654" t="inlineStr">
        <is>
          <t>A 1146-2025</t>
        </is>
      </c>
      <c r="B654" s="1" t="n">
        <v>45666</v>
      </c>
      <c r="C654" s="1" t="n">
        <v>46188</v>
      </c>
      <c r="D654" t="inlineStr">
        <is>
          <t>KALMAR LÄN</t>
        </is>
      </c>
      <c r="E654" t="inlineStr">
        <is>
          <t>VIMMERBY</t>
        </is>
      </c>
      <c r="G654" t="n">
        <v>4</v>
      </c>
      <c r="H654" t="n">
        <v>0</v>
      </c>
      <c r="I654" t="n">
        <v>0</v>
      </c>
      <c r="J654" t="n">
        <v>0</v>
      </c>
      <c r="K654" t="n">
        <v>0</v>
      </c>
      <c r="L654" t="n">
        <v>0</v>
      </c>
      <c r="M654" t="n">
        <v>0</v>
      </c>
      <c r="N654" t="n">
        <v>0</v>
      </c>
      <c r="O654" t="n">
        <v>0</v>
      </c>
      <c r="P654" t="n">
        <v>0</v>
      </c>
      <c r="Q654" t="n">
        <v>0</v>
      </c>
      <c r="R654" s="2" t="inlineStr"/>
    </row>
    <row r="655" ht="15" customHeight="1">
      <c r="A655" t="inlineStr">
        <is>
          <t>A 62023-2022</t>
        </is>
      </c>
      <c r="B655" s="1" t="n">
        <v>44918.50106481482</v>
      </c>
      <c r="C655" s="1" t="n">
        <v>46188</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16119-2023</t>
        </is>
      </c>
      <c r="B656" s="1" t="n">
        <v>45027.59450231482</v>
      </c>
      <c r="C656" s="1" t="n">
        <v>46188</v>
      </c>
      <c r="D656" t="inlineStr">
        <is>
          <t>KALMAR LÄN</t>
        </is>
      </c>
      <c r="E656" t="inlineStr">
        <is>
          <t>VIMMERBY</t>
        </is>
      </c>
      <c r="F656" t="inlineStr">
        <is>
          <t>Kommuner</t>
        </is>
      </c>
      <c r="G656" t="n">
        <v>4.4</v>
      </c>
      <c r="H656" t="n">
        <v>0</v>
      </c>
      <c r="I656" t="n">
        <v>0</v>
      </c>
      <c r="J656" t="n">
        <v>0</v>
      </c>
      <c r="K656" t="n">
        <v>0</v>
      </c>
      <c r="L656" t="n">
        <v>0</v>
      </c>
      <c r="M656" t="n">
        <v>0</v>
      </c>
      <c r="N656" t="n">
        <v>0</v>
      </c>
      <c r="O656" t="n">
        <v>0</v>
      </c>
      <c r="P656" t="n">
        <v>0</v>
      </c>
      <c r="Q656" t="n">
        <v>0</v>
      </c>
      <c r="R656" s="2" t="inlineStr"/>
    </row>
    <row r="657" ht="15" customHeight="1">
      <c r="A657" t="inlineStr">
        <is>
          <t>A 52327-2023</t>
        </is>
      </c>
      <c r="B657" s="1" t="n">
        <v>45224.6515162037</v>
      </c>
      <c r="C657" s="1" t="n">
        <v>46188</v>
      </c>
      <c r="D657" t="inlineStr">
        <is>
          <t>KALMAR LÄN</t>
        </is>
      </c>
      <c r="E657" t="inlineStr">
        <is>
          <t>VIMMERBY</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12075-2024</t>
        </is>
      </c>
      <c r="B658" s="1" t="n">
        <v>45377</v>
      </c>
      <c r="C658" s="1" t="n">
        <v>46188</v>
      </c>
      <c r="D658" t="inlineStr">
        <is>
          <t>KALMAR LÄN</t>
        </is>
      </c>
      <c r="E658" t="inlineStr">
        <is>
          <t>VIMMERBY</t>
        </is>
      </c>
      <c r="G658" t="n">
        <v>3.7</v>
      </c>
      <c r="H658" t="n">
        <v>0</v>
      </c>
      <c r="I658" t="n">
        <v>0</v>
      </c>
      <c r="J658" t="n">
        <v>0</v>
      </c>
      <c r="K658" t="n">
        <v>0</v>
      </c>
      <c r="L658" t="n">
        <v>0</v>
      </c>
      <c r="M658" t="n">
        <v>0</v>
      </c>
      <c r="N658" t="n">
        <v>0</v>
      </c>
      <c r="O658" t="n">
        <v>0</v>
      </c>
      <c r="P658" t="n">
        <v>0</v>
      </c>
      <c r="Q658" t="n">
        <v>0</v>
      </c>
      <c r="R658" s="2" t="inlineStr"/>
    </row>
    <row r="659" ht="15" customHeight="1">
      <c r="A659" t="inlineStr">
        <is>
          <t>A 31340-2023</t>
        </is>
      </c>
      <c r="B659" s="1" t="n">
        <v>45114.47895833333</v>
      </c>
      <c r="C659" s="1" t="n">
        <v>46188</v>
      </c>
      <c r="D659" t="inlineStr">
        <is>
          <t>KALMAR LÄN</t>
        </is>
      </c>
      <c r="E659" t="inlineStr">
        <is>
          <t>VIMMERBY</t>
        </is>
      </c>
      <c r="G659" t="n">
        <v>1.8</v>
      </c>
      <c r="H659" t="n">
        <v>0</v>
      </c>
      <c r="I659" t="n">
        <v>0</v>
      </c>
      <c r="J659" t="n">
        <v>0</v>
      </c>
      <c r="K659" t="n">
        <v>0</v>
      </c>
      <c r="L659" t="n">
        <v>0</v>
      </c>
      <c r="M659" t="n">
        <v>0</v>
      </c>
      <c r="N659" t="n">
        <v>0</v>
      </c>
      <c r="O659" t="n">
        <v>0</v>
      </c>
      <c r="P659" t="n">
        <v>0</v>
      </c>
      <c r="Q659" t="n">
        <v>0</v>
      </c>
      <c r="R659" s="2" t="inlineStr"/>
    </row>
    <row r="660" ht="15" customHeight="1">
      <c r="A660" t="inlineStr">
        <is>
          <t>A 26768-2026</t>
        </is>
      </c>
      <c r="B660" s="1" t="n">
        <v>46184.6465625</v>
      </c>
      <c r="C660" s="1" t="n">
        <v>46188</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26722-2026</t>
        </is>
      </c>
      <c r="B661" s="1" t="n">
        <v>46184.53325231482</v>
      </c>
      <c r="C661" s="1" t="n">
        <v>46188</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26704-2026</t>
        </is>
      </c>
      <c r="B662" s="1" t="n">
        <v>46184.4731712963</v>
      </c>
      <c r="C662" s="1" t="n">
        <v>46188</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26762-2026</t>
        </is>
      </c>
      <c r="B663" s="1" t="n">
        <v>46184.63865740741</v>
      </c>
      <c r="C663" s="1" t="n">
        <v>46188</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7758-2024</t>
        </is>
      </c>
      <c r="B664" s="1" t="n">
        <v>45349.54434027777</v>
      </c>
      <c r="C664" s="1" t="n">
        <v>46188</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5701-2024</t>
        </is>
      </c>
      <c r="B665" s="1" t="n">
        <v>45334.78826388889</v>
      </c>
      <c r="C665" s="1" t="n">
        <v>46188</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31405-2023</t>
        </is>
      </c>
      <c r="B666" s="1" t="n">
        <v>45114.58148148148</v>
      </c>
      <c r="C666" s="1" t="n">
        <v>46188</v>
      </c>
      <c r="D666" t="inlineStr">
        <is>
          <t>KALMAR LÄN</t>
        </is>
      </c>
      <c r="E666" t="inlineStr">
        <is>
          <t>VIMMERBY</t>
        </is>
      </c>
      <c r="G666" t="n">
        <v>2.6</v>
      </c>
      <c r="H666" t="n">
        <v>0</v>
      </c>
      <c r="I666" t="n">
        <v>0</v>
      </c>
      <c r="J666" t="n">
        <v>0</v>
      </c>
      <c r="K666" t="n">
        <v>0</v>
      </c>
      <c r="L666" t="n">
        <v>0</v>
      </c>
      <c r="M666" t="n">
        <v>0</v>
      </c>
      <c r="N666" t="n">
        <v>0</v>
      </c>
      <c r="O666" t="n">
        <v>0</v>
      </c>
      <c r="P666" t="n">
        <v>0</v>
      </c>
      <c r="Q666" t="n">
        <v>0</v>
      </c>
      <c r="R666" s="2" t="inlineStr"/>
    </row>
    <row r="667" ht="15" customHeight="1">
      <c r="A667" t="inlineStr">
        <is>
          <t>A 6355-2022</t>
        </is>
      </c>
      <c r="B667" s="1" t="n">
        <v>44600</v>
      </c>
      <c r="C667" s="1" t="n">
        <v>46188</v>
      </c>
      <c r="D667" t="inlineStr">
        <is>
          <t>KALMAR LÄN</t>
        </is>
      </c>
      <c r="E667" t="inlineStr">
        <is>
          <t>VIMMERBY</t>
        </is>
      </c>
      <c r="G667" t="n">
        <v>4.9</v>
      </c>
      <c r="H667" t="n">
        <v>0</v>
      </c>
      <c r="I667" t="n">
        <v>0</v>
      </c>
      <c r="J667" t="n">
        <v>0</v>
      </c>
      <c r="K667" t="n">
        <v>0</v>
      </c>
      <c r="L667" t="n">
        <v>0</v>
      </c>
      <c r="M667" t="n">
        <v>0</v>
      </c>
      <c r="N667" t="n">
        <v>0</v>
      </c>
      <c r="O667" t="n">
        <v>0</v>
      </c>
      <c r="P667" t="n">
        <v>0</v>
      </c>
      <c r="Q667" t="n">
        <v>0</v>
      </c>
      <c r="R667" s="2" t="inlineStr"/>
    </row>
    <row r="668" ht="15" customHeight="1">
      <c r="A668" t="inlineStr">
        <is>
          <t>A 46225-2024</t>
        </is>
      </c>
      <c r="B668" s="1" t="n">
        <v>45581.57333333333</v>
      </c>
      <c r="C668" s="1" t="n">
        <v>46188</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9418-2024</t>
        </is>
      </c>
      <c r="B669" s="1" t="n">
        <v>45359.45038194444</v>
      </c>
      <c r="C669" s="1" t="n">
        <v>46188</v>
      </c>
      <c r="D669" t="inlineStr">
        <is>
          <t>KALMAR LÄN</t>
        </is>
      </c>
      <c r="E669" t="inlineStr">
        <is>
          <t>VIMMERBY</t>
        </is>
      </c>
      <c r="G669" t="n">
        <v>1.9</v>
      </c>
      <c r="H669" t="n">
        <v>0</v>
      </c>
      <c r="I669" t="n">
        <v>0</v>
      </c>
      <c r="J669" t="n">
        <v>0</v>
      </c>
      <c r="K669" t="n">
        <v>0</v>
      </c>
      <c r="L669" t="n">
        <v>0</v>
      </c>
      <c r="M669" t="n">
        <v>0</v>
      </c>
      <c r="N669" t="n">
        <v>0</v>
      </c>
      <c r="O669" t="n">
        <v>0</v>
      </c>
      <c r="P669" t="n">
        <v>0</v>
      </c>
      <c r="Q669" t="n">
        <v>0</v>
      </c>
      <c r="R669" s="2" t="inlineStr"/>
    </row>
    <row r="670" ht="15" customHeight="1">
      <c r="A670" t="inlineStr">
        <is>
          <t>A 57091-2022</t>
        </is>
      </c>
      <c r="B670" s="1" t="n">
        <v>44895.46524305556</v>
      </c>
      <c r="C670" s="1" t="n">
        <v>46188</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3816-2022</t>
        </is>
      </c>
      <c r="B671" s="1" t="n">
        <v>44587</v>
      </c>
      <c r="C671" s="1" t="n">
        <v>46188</v>
      </c>
      <c r="D671" t="inlineStr">
        <is>
          <t>KALMAR LÄN</t>
        </is>
      </c>
      <c r="E671" t="inlineStr">
        <is>
          <t>VIMMERBY</t>
        </is>
      </c>
      <c r="G671" t="n">
        <v>1.2</v>
      </c>
      <c r="H671" t="n">
        <v>0</v>
      </c>
      <c r="I671" t="n">
        <v>0</v>
      </c>
      <c r="J671" t="n">
        <v>0</v>
      </c>
      <c r="K671" t="n">
        <v>0</v>
      </c>
      <c r="L671" t="n">
        <v>0</v>
      </c>
      <c r="M671" t="n">
        <v>0</v>
      </c>
      <c r="N671" t="n">
        <v>0</v>
      </c>
      <c r="O671" t="n">
        <v>0</v>
      </c>
      <c r="P671" t="n">
        <v>0</v>
      </c>
      <c r="Q671" t="n">
        <v>0</v>
      </c>
      <c r="R671" s="2" t="inlineStr"/>
    </row>
    <row r="672" ht="15" customHeight="1">
      <c r="A672" t="inlineStr">
        <is>
          <t>A 43606-2024</t>
        </is>
      </c>
      <c r="B672" s="1" t="n">
        <v>45569.45017361111</v>
      </c>
      <c r="C672" s="1" t="n">
        <v>46188</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47859-2024</t>
        </is>
      </c>
      <c r="B673" s="1" t="n">
        <v>45588.67070601852</v>
      </c>
      <c r="C673" s="1" t="n">
        <v>46188</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8540-2024</t>
        </is>
      </c>
      <c r="B674" s="1" t="n">
        <v>45355.54138888889</v>
      </c>
      <c r="C674" s="1" t="n">
        <v>46188</v>
      </c>
      <c r="D674" t="inlineStr">
        <is>
          <t>KALMAR LÄN</t>
        </is>
      </c>
      <c r="E674" t="inlineStr">
        <is>
          <t>VIMMERBY</t>
        </is>
      </c>
      <c r="G674" t="n">
        <v>1.9</v>
      </c>
      <c r="H674" t="n">
        <v>0</v>
      </c>
      <c r="I674" t="n">
        <v>0</v>
      </c>
      <c r="J674" t="n">
        <v>0</v>
      </c>
      <c r="K674" t="n">
        <v>0</v>
      </c>
      <c r="L674" t="n">
        <v>0</v>
      </c>
      <c r="M674" t="n">
        <v>0</v>
      </c>
      <c r="N674" t="n">
        <v>0</v>
      </c>
      <c r="O674" t="n">
        <v>0</v>
      </c>
      <c r="P674" t="n">
        <v>0</v>
      </c>
      <c r="Q674" t="n">
        <v>0</v>
      </c>
      <c r="R674" s="2" t="inlineStr"/>
    </row>
    <row r="675" ht="15" customHeight="1">
      <c r="A675" t="inlineStr">
        <is>
          <t>A 3331-2023</t>
        </is>
      </c>
      <c r="B675" s="1" t="n">
        <v>44949</v>
      </c>
      <c r="C675" s="1" t="n">
        <v>46188</v>
      </c>
      <c r="D675" t="inlineStr">
        <is>
          <t>KALMAR LÄN</t>
        </is>
      </c>
      <c r="E675" t="inlineStr">
        <is>
          <t>VIMMERBY</t>
        </is>
      </c>
      <c r="G675" t="n">
        <v>6.2</v>
      </c>
      <c r="H675" t="n">
        <v>0</v>
      </c>
      <c r="I675" t="n">
        <v>0</v>
      </c>
      <c r="J675" t="n">
        <v>0</v>
      </c>
      <c r="K675" t="n">
        <v>0</v>
      </c>
      <c r="L675" t="n">
        <v>0</v>
      </c>
      <c r="M675" t="n">
        <v>0</v>
      </c>
      <c r="N675" t="n">
        <v>0</v>
      </c>
      <c r="O675" t="n">
        <v>0</v>
      </c>
      <c r="P675" t="n">
        <v>0</v>
      </c>
      <c r="Q675" t="n">
        <v>0</v>
      </c>
      <c r="R675" s="2" t="inlineStr"/>
    </row>
    <row r="676" ht="15" customHeight="1">
      <c r="A676" t="inlineStr">
        <is>
          <t>A 25799-2023</t>
        </is>
      </c>
      <c r="B676" s="1" t="n">
        <v>45090</v>
      </c>
      <c r="C676" s="1" t="n">
        <v>46188</v>
      </c>
      <c r="D676" t="inlineStr">
        <is>
          <t>KALMAR LÄN</t>
        </is>
      </c>
      <c r="E676" t="inlineStr">
        <is>
          <t>VIMMERBY</t>
        </is>
      </c>
      <c r="G676" t="n">
        <v>7.7</v>
      </c>
      <c r="H676" t="n">
        <v>0</v>
      </c>
      <c r="I676" t="n">
        <v>0</v>
      </c>
      <c r="J676" t="n">
        <v>0</v>
      </c>
      <c r="K676" t="n">
        <v>0</v>
      </c>
      <c r="L676" t="n">
        <v>0</v>
      </c>
      <c r="M676" t="n">
        <v>0</v>
      </c>
      <c r="N676" t="n">
        <v>0</v>
      </c>
      <c r="O676" t="n">
        <v>0</v>
      </c>
      <c r="P676" t="n">
        <v>0</v>
      </c>
      <c r="Q676" t="n">
        <v>0</v>
      </c>
      <c r="R676" s="2" t="inlineStr"/>
    </row>
    <row r="677" ht="15" customHeight="1">
      <c r="A677" t="inlineStr">
        <is>
          <t>A 53083-2021</t>
        </is>
      </c>
      <c r="B677" s="1" t="n">
        <v>44467.83386574074</v>
      </c>
      <c r="C677" s="1" t="n">
        <v>46188</v>
      </c>
      <c r="D677" t="inlineStr">
        <is>
          <t>KALMAR LÄN</t>
        </is>
      </c>
      <c r="E677" t="inlineStr">
        <is>
          <t>VIMMERBY</t>
        </is>
      </c>
      <c r="G677" t="n">
        <v>6.8</v>
      </c>
      <c r="H677" t="n">
        <v>0</v>
      </c>
      <c r="I677" t="n">
        <v>0</v>
      </c>
      <c r="J677" t="n">
        <v>0</v>
      </c>
      <c r="K677" t="n">
        <v>0</v>
      </c>
      <c r="L677" t="n">
        <v>0</v>
      </c>
      <c r="M677" t="n">
        <v>0</v>
      </c>
      <c r="N677" t="n">
        <v>0</v>
      </c>
      <c r="O677" t="n">
        <v>0</v>
      </c>
      <c r="P677" t="n">
        <v>0</v>
      </c>
      <c r="Q677" t="n">
        <v>0</v>
      </c>
      <c r="R677" s="2" t="inlineStr"/>
    </row>
    <row r="678" ht="15" customHeight="1">
      <c r="A678" t="inlineStr">
        <is>
          <t>A 26734-2026</t>
        </is>
      </c>
      <c r="B678" s="1" t="n">
        <v>46184.58476851852</v>
      </c>
      <c r="C678" s="1" t="n">
        <v>46188</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33838-2022</t>
        </is>
      </c>
      <c r="B679" s="1" t="n">
        <v>44790.49040509259</v>
      </c>
      <c r="C679" s="1" t="n">
        <v>46188</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32835-2022</t>
        </is>
      </c>
      <c r="B680" s="1" t="n">
        <v>44784.42528935185</v>
      </c>
      <c r="C680" s="1" t="n">
        <v>46188</v>
      </c>
      <c r="D680" t="inlineStr">
        <is>
          <t>KALMAR LÄN</t>
        </is>
      </c>
      <c r="E680" t="inlineStr">
        <is>
          <t>VIMMERBY</t>
        </is>
      </c>
      <c r="G680" t="n">
        <v>1.6</v>
      </c>
      <c r="H680" t="n">
        <v>0</v>
      </c>
      <c r="I680" t="n">
        <v>0</v>
      </c>
      <c r="J680" t="n">
        <v>0</v>
      </c>
      <c r="K680" t="n">
        <v>0</v>
      </c>
      <c r="L680" t="n">
        <v>0</v>
      </c>
      <c r="M680" t="n">
        <v>0</v>
      </c>
      <c r="N680" t="n">
        <v>0</v>
      </c>
      <c r="O680" t="n">
        <v>0</v>
      </c>
      <c r="P680" t="n">
        <v>0</v>
      </c>
      <c r="Q680" t="n">
        <v>0</v>
      </c>
      <c r="R680" s="2" t="inlineStr"/>
    </row>
    <row r="681" ht="15" customHeight="1">
      <c r="A681" t="inlineStr">
        <is>
          <t>A 1081-2023</t>
        </is>
      </c>
      <c r="B681" s="1" t="n">
        <v>44935</v>
      </c>
      <c r="C681" s="1" t="n">
        <v>46188</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47063-2022</t>
        </is>
      </c>
      <c r="B682" s="1" t="n">
        <v>44852</v>
      </c>
      <c r="C682" s="1" t="n">
        <v>46188</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28403-2023</t>
        </is>
      </c>
      <c r="B683" s="1" t="n">
        <v>45100.85270833333</v>
      </c>
      <c r="C683" s="1" t="n">
        <v>46188</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33103-2024</t>
        </is>
      </c>
      <c r="B684" s="1" t="n">
        <v>45517.8162037037</v>
      </c>
      <c r="C684" s="1" t="n">
        <v>46188</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2260-2022</t>
        </is>
      </c>
      <c r="B685" s="1" t="n">
        <v>44578.62943287037</v>
      </c>
      <c r="C685" s="1" t="n">
        <v>46188</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11661-2023</t>
        </is>
      </c>
      <c r="B686" s="1" t="n">
        <v>44994.46908564815</v>
      </c>
      <c r="C686" s="1" t="n">
        <v>46188</v>
      </c>
      <c r="D686" t="inlineStr">
        <is>
          <t>KALMAR LÄN</t>
        </is>
      </c>
      <c r="E686" t="inlineStr">
        <is>
          <t>VIMMERBY</t>
        </is>
      </c>
      <c r="G686" t="n">
        <v>2.7</v>
      </c>
      <c r="H686" t="n">
        <v>0</v>
      </c>
      <c r="I686" t="n">
        <v>0</v>
      </c>
      <c r="J686" t="n">
        <v>0</v>
      </c>
      <c r="K686" t="n">
        <v>0</v>
      </c>
      <c r="L686" t="n">
        <v>0</v>
      </c>
      <c r="M686" t="n">
        <v>0</v>
      </c>
      <c r="N686" t="n">
        <v>0</v>
      </c>
      <c r="O686" t="n">
        <v>0</v>
      </c>
      <c r="P686" t="n">
        <v>0</v>
      </c>
      <c r="Q686" t="n">
        <v>0</v>
      </c>
      <c r="R686" s="2" t="inlineStr"/>
    </row>
    <row r="687" ht="15" customHeight="1">
      <c r="A687" t="inlineStr">
        <is>
          <t>A 58046-2022</t>
        </is>
      </c>
      <c r="B687" s="1" t="n">
        <v>44900.57393518519</v>
      </c>
      <c r="C687" s="1" t="n">
        <v>46188</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45528-2021</t>
        </is>
      </c>
      <c r="B688" s="1" t="n">
        <v>44440.60415509259</v>
      </c>
      <c r="C688" s="1" t="n">
        <v>46188</v>
      </c>
      <c r="D688" t="inlineStr">
        <is>
          <t>KALMAR LÄN</t>
        </is>
      </c>
      <c r="E688" t="inlineStr">
        <is>
          <t>VIMMERBY</t>
        </is>
      </c>
      <c r="G688" t="n">
        <v>2.2</v>
      </c>
      <c r="H688" t="n">
        <v>0</v>
      </c>
      <c r="I688" t="n">
        <v>0</v>
      </c>
      <c r="J688" t="n">
        <v>0</v>
      </c>
      <c r="K688" t="n">
        <v>0</v>
      </c>
      <c r="L688" t="n">
        <v>0</v>
      </c>
      <c r="M688" t="n">
        <v>0</v>
      </c>
      <c r="N688" t="n">
        <v>0</v>
      </c>
      <c r="O688" t="n">
        <v>0</v>
      </c>
      <c r="P688" t="n">
        <v>0</v>
      </c>
      <c r="Q688" t="n">
        <v>0</v>
      </c>
      <c r="R688" s="2" t="inlineStr"/>
    </row>
    <row r="689" ht="15" customHeight="1">
      <c r="A689" t="inlineStr">
        <is>
          <t>A 46979-2023</t>
        </is>
      </c>
      <c r="B689" s="1" t="n">
        <v>45201</v>
      </c>
      <c r="C689" s="1" t="n">
        <v>46188</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6574-2023</t>
        </is>
      </c>
      <c r="B690" s="1" t="n">
        <v>44966</v>
      </c>
      <c r="C690" s="1" t="n">
        <v>46188</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4058-2024</t>
        </is>
      </c>
      <c r="B691" s="1" t="n">
        <v>45323.53744212963</v>
      </c>
      <c r="C691" s="1" t="n">
        <v>46188</v>
      </c>
      <c r="D691" t="inlineStr">
        <is>
          <t>KALMAR LÄN</t>
        </is>
      </c>
      <c r="E691" t="inlineStr">
        <is>
          <t>VIMMERBY</t>
        </is>
      </c>
      <c r="G691" t="n">
        <v>6.5</v>
      </c>
      <c r="H691" t="n">
        <v>0</v>
      </c>
      <c r="I691" t="n">
        <v>0</v>
      </c>
      <c r="J691" t="n">
        <v>0</v>
      </c>
      <c r="K691" t="n">
        <v>0</v>
      </c>
      <c r="L691" t="n">
        <v>0</v>
      </c>
      <c r="M691" t="n">
        <v>0</v>
      </c>
      <c r="N691" t="n">
        <v>0</v>
      </c>
      <c r="O691" t="n">
        <v>0</v>
      </c>
      <c r="P691" t="n">
        <v>0</v>
      </c>
      <c r="Q691" t="n">
        <v>0</v>
      </c>
      <c r="R691" s="2" t="inlineStr"/>
    </row>
    <row r="692" ht="15" customHeight="1">
      <c r="A692" t="inlineStr">
        <is>
          <t>A 1978-2024</t>
        </is>
      </c>
      <c r="B692" s="1" t="n">
        <v>45308.59001157407</v>
      </c>
      <c r="C692" s="1" t="n">
        <v>46188</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30318-2023</t>
        </is>
      </c>
      <c r="B693" s="1" t="n">
        <v>45111.30824074074</v>
      </c>
      <c r="C693" s="1" t="n">
        <v>46188</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25234-2023</t>
        </is>
      </c>
      <c r="B694" s="1" t="n">
        <v>45086.63194444445</v>
      </c>
      <c r="C694" s="1" t="n">
        <v>46188</v>
      </c>
      <c r="D694" t="inlineStr">
        <is>
          <t>KALMAR LÄN</t>
        </is>
      </c>
      <c r="E694" t="inlineStr">
        <is>
          <t>VIMMERBY</t>
        </is>
      </c>
      <c r="G694" t="n">
        <v>2.1</v>
      </c>
      <c r="H694" t="n">
        <v>0</v>
      </c>
      <c r="I694" t="n">
        <v>0</v>
      </c>
      <c r="J694" t="n">
        <v>0</v>
      </c>
      <c r="K694" t="n">
        <v>0</v>
      </c>
      <c r="L694" t="n">
        <v>0</v>
      </c>
      <c r="M694" t="n">
        <v>0</v>
      </c>
      <c r="N694" t="n">
        <v>0</v>
      </c>
      <c r="O694" t="n">
        <v>0</v>
      </c>
      <c r="P694" t="n">
        <v>0</v>
      </c>
      <c r="Q694" t="n">
        <v>0</v>
      </c>
      <c r="R694" s="2" t="inlineStr"/>
    </row>
    <row r="695" ht="15" customHeight="1">
      <c r="A695" t="inlineStr">
        <is>
          <t>A 46078-2023</t>
        </is>
      </c>
      <c r="B695" s="1" t="n">
        <v>45196</v>
      </c>
      <c r="C695" s="1" t="n">
        <v>46188</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3609-2024</t>
        </is>
      </c>
      <c r="B696" s="1" t="n">
        <v>45320.89128472222</v>
      </c>
      <c r="C696" s="1" t="n">
        <v>46188</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10424-2023</t>
        </is>
      </c>
      <c r="B697" s="1" t="n">
        <v>44987.54104166666</v>
      </c>
      <c r="C697" s="1" t="n">
        <v>46188</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49382-2023</t>
        </is>
      </c>
      <c r="B698" s="1" t="n">
        <v>45208</v>
      </c>
      <c r="C698" s="1" t="n">
        <v>46188</v>
      </c>
      <c r="D698" t="inlineStr">
        <is>
          <t>KALMAR LÄN</t>
        </is>
      </c>
      <c r="E698" t="inlineStr">
        <is>
          <t>VIMMERBY</t>
        </is>
      </c>
      <c r="G698" t="n">
        <v>2.2</v>
      </c>
      <c r="H698" t="n">
        <v>0</v>
      </c>
      <c r="I698" t="n">
        <v>0</v>
      </c>
      <c r="J698" t="n">
        <v>0</v>
      </c>
      <c r="K698" t="n">
        <v>0</v>
      </c>
      <c r="L698" t="n">
        <v>0</v>
      </c>
      <c r="M698" t="n">
        <v>0</v>
      </c>
      <c r="N698" t="n">
        <v>0</v>
      </c>
      <c r="O698" t="n">
        <v>0</v>
      </c>
      <c r="P698" t="n">
        <v>0</v>
      </c>
      <c r="Q698" t="n">
        <v>0</v>
      </c>
      <c r="R698" s="2" t="inlineStr"/>
    </row>
    <row r="699" ht="15" customHeight="1">
      <c r="A699" t="inlineStr">
        <is>
          <t>A 12810-2023</t>
        </is>
      </c>
      <c r="B699" s="1" t="n">
        <v>45001.43854166667</v>
      </c>
      <c r="C699" s="1" t="n">
        <v>46188</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3425-2022</t>
        </is>
      </c>
      <c r="B700" s="1" t="n">
        <v>44585.51060185185</v>
      </c>
      <c r="C700" s="1" t="n">
        <v>46188</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60675-2023</t>
        </is>
      </c>
      <c r="B701" s="1" t="n">
        <v>45260.4716550926</v>
      </c>
      <c r="C701" s="1" t="n">
        <v>46188</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2536-2023</t>
        </is>
      </c>
      <c r="B702" s="1" t="n">
        <v>44943.62954861111</v>
      </c>
      <c r="C702" s="1" t="n">
        <v>46188</v>
      </c>
      <c r="D702" t="inlineStr">
        <is>
          <t>KALMAR LÄN</t>
        </is>
      </c>
      <c r="E702" t="inlineStr">
        <is>
          <t>VIMMERBY</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11111-2024</t>
        </is>
      </c>
      <c r="B703" s="1" t="n">
        <v>45371.36359953704</v>
      </c>
      <c r="C703" s="1" t="n">
        <v>46188</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1687-2023</t>
        </is>
      </c>
      <c r="B704" s="1" t="n">
        <v>44938</v>
      </c>
      <c r="C704" s="1" t="n">
        <v>46188</v>
      </c>
      <c r="D704" t="inlineStr">
        <is>
          <t>KALMAR LÄN</t>
        </is>
      </c>
      <c r="E704" t="inlineStr">
        <is>
          <t>VIMMERBY</t>
        </is>
      </c>
      <c r="F704" t="inlineStr">
        <is>
          <t>Kommuner</t>
        </is>
      </c>
      <c r="G704" t="n">
        <v>2.5</v>
      </c>
      <c r="H704" t="n">
        <v>0</v>
      </c>
      <c r="I704" t="n">
        <v>0</v>
      </c>
      <c r="J704" t="n">
        <v>0</v>
      </c>
      <c r="K704" t="n">
        <v>0</v>
      </c>
      <c r="L704" t="n">
        <v>0</v>
      </c>
      <c r="M704" t="n">
        <v>0</v>
      </c>
      <c r="N704" t="n">
        <v>0</v>
      </c>
      <c r="O704" t="n">
        <v>0</v>
      </c>
      <c r="P704" t="n">
        <v>0</v>
      </c>
      <c r="Q704" t="n">
        <v>0</v>
      </c>
      <c r="R704" s="2" t="inlineStr"/>
    </row>
    <row r="705" ht="15" customHeight="1">
      <c r="A705" t="inlineStr">
        <is>
          <t>A 3494-2023</t>
        </is>
      </c>
      <c r="B705" s="1" t="n">
        <v>44949</v>
      </c>
      <c r="C705" s="1" t="n">
        <v>46188</v>
      </c>
      <c r="D705" t="inlineStr">
        <is>
          <t>KALMAR LÄN</t>
        </is>
      </c>
      <c r="E705" t="inlineStr">
        <is>
          <t>VIMMERBY</t>
        </is>
      </c>
      <c r="F705" t="inlineStr">
        <is>
          <t>Kyrkan</t>
        </is>
      </c>
      <c r="G705" t="n">
        <v>0.8</v>
      </c>
      <c r="H705" t="n">
        <v>0</v>
      </c>
      <c r="I705" t="n">
        <v>0</v>
      </c>
      <c r="J705" t="n">
        <v>0</v>
      </c>
      <c r="K705" t="n">
        <v>0</v>
      </c>
      <c r="L705" t="n">
        <v>0</v>
      </c>
      <c r="M705" t="n">
        <v>0</v>
      </c>
      <c r="N705" t="n">
        <v>0</v>
      </c>
      <c r="O705" t="n">
        <v>0</v>
      </c>
      <c r="P705" t="n">
        <v>0</v>
      </c>
      <c r="Q705" t="n">
        <v>0</v>
      </c>
      <c r="R705" s="2" t="inlineStr"/>
    </row>
    <row r="706" ht="15" customHeight="1">
      <c r="A706" t="inlineStr">
        <is>
          <t>A 15449-2023</t>
        </is>
      </c>
      <c r="B706" s="1" t="n">
        <v>45020</v>
      </c>
      <c r="C706" s="1" t="n">
        <v>46188</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43242-2024</t>
        </is>
      </c>
      <c r="B707" s="1" t="n">
        <v>45568.30189814815</v>
      </c>
      <c r="C707" s="1" t="n">
        <v>46188</v>
      </c>
      <c r="D707" t="inlineStr">
        <is>
          <t>KALMAR LÄN</t>
        </is>
      </c>
      <c r="E707" t="inlineStr">
        <is>
          <t>VIMMERBY</t>
        </is>
      </c>
      <c r="G707" t="n">
        <v>2.6</v>
      </c>
      <c r="H707" t="n">
        <v>0</v>
      </c>
      <c r="I707" t="n">
        <v>0</v>
      </c>
      <c r="J707" t="n">
        <v>0</v>
      </c>
      <c r="K707" t="n">
        <v>0</v>
      </c>
      <c r="L707" t="n">
        <v>0</v>
      </c>
      <c r="M707" t="n">
        <v>0</v>
      </c>
      <c r="N707" t="n">
        <v>0</v>
      </c>
      <c r="O707" t="n">
        <v>0</v>
      </c>
      <c r="P707" t="n">
        <v>0</v>
      </c>
      <c r="Q707" t="n">
        <v>0</v>
      </c>
      <c r="R707" s="2" t="inlineStr"/>
    </row>
    <row r="708" ht="15" customHeight="1">
      <c r="A708" t="inlineStr">
        <is>
          <t>A 56853-2022</t>
        </is>
      </c>
      <c r="B708" s="1" t="n">
        <v>44894.49538194444</v>
      </c>
      <c r="C708" s="1" t="n">
        <v>46188</v>
      </c>
      <c r="D708" t="inlineStr">
        <is>
          <t>KALMAR LÄN</t>
        </is>
      </c>
      <c r="E708" t="inlineStr">
        <is>
          <t>VIMMERBY</t>
        </is>
      </c>
      <c r="G708" t="n">
        <v>4.3</v>
      </c>
      <c r="H708" t="n">
        <v>0</v>
      </c>
      <c r="I708" t="n">
        <v>0</v>
      </c>
      <c r="J708" t="n">
        <v>0</v>
      </c>
      <c r="K708" t="n">
        <v>0</v>
      </c>
      <c r="L708" t="n">
        <v>0</v>
      </c>
      <c r="M708" t="n">
        <v>0</v>
      </c>
      <c r="N708" t="n">
        <v>0</v>
      </c>
      <c r="O708" t="n">
        <v>0</v>
      </c>
      <c r="P708" t="n">
        <v>0</v>
      </c>
      <c r="Q708" t="n">
        <v>0</v>
      </c>
      <c r="R708" s="2" t="inlineStr"/>
    </row>
    <row r="709" ht="15" customHeight="1">
      <c r="A709" t="inlineStr">
        <is>
          <t>A 33815-2022</t>
        </is>
      </c>
      <c r="B709" s="1" t="n">
        <v>44790.45876157407</v>
      </c>
      <c r="C709" s="1" t="n">
        <v>46188</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46188</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49408-2023</t>
        </is>
      </c>
      <c r="B711" s="1" t="n">
        <v>45211.43555555555</v>
      </c>
      <c r="C711" s="1" t="n">
        <v>46188</v>
      </c>
      <c r="D711" t="inlineStr">
        <is>
          <t>KALMAR LÄN</t>
        </is>
      </c>
      <c r="E711" t="inlineStr">
        <is>
          <t>VIMMERBY</t>
        </is>
      </c>
      <c r="G711" t="n">
        <v>13.1</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46188</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41199-2023</t>
        </is>
      </c>
      <c r="B713" s="1" t="n">
        <v>45174.40454861111</v>
      </c>
      <c r="C713" s="1" t="n">
        <v>46188</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11619-2023</t>
        </is>
      </c>
      <c r="B714" s="1" t="n">
        <v>44994.42113425926</v>
      </c>
      <c r="C714" s="1" t="n">
        <v>46188</v>
      </c>
      <c r="D714" t="inlineStr">
        <is>
          <t>KALMAR LÄN</t>
        </is>
      </c>
      <c r="E714" t="inlineStr">
        <is>
          <t>VIMMERBY</t>
        </is>
      </c>
      <c r="G714" t="n">
        <v>2.5</v>
      </c>
      <c r="H714" t="n">
        <v>0</v>
      </c>
      <c r="I714" t="n">
        <v>0</v>
      </c>
      <c r="J714" t="n">
        <v>0</v>
      </c>
      <c r="K714" t="n">
        <v>0</v>
      </c>
      <c r="L714" t="n">
        <v>0</v>
      </c>
      <c r="M714" t="n">
        <v>0</v>
      </c>
      <c r="N714" t="n">
        <v>0</v>
      </c>
      <c r="O714" t="n">
        <v>0</v>
      </c>
      <c r="P714" t="n">
        <v>0</v>
      </c>
      <c r="Q714" t="n">
        <v>0</v>
      </c>
      <c r="R714" s="2" t="inlineStr"/>
    </row>
    <row r="715" ht="15" customHeight="1">
      <c r="A715" t="inlineStr">
        <is>
          <t>A 41896-2023</t>
        </is>
      </c>
      <c r="B715" s="1" t="n">
        <v>45176.72427083334</v>
      </c>
      <c r="C715" s="1" t="n">
        <v>46188</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17926-2025</t>
        </is>
      </c>
      <c r="B716" s="1" t="n">
        <v>45759.38987268518</v>
      </c>
      <c r="C716" s="1" t="n">
        <v>46188</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21028-2023</t>
        </is>
      </c>
      <c r="B717" s="1" t="n">
        <v>45061</v>
      </c>
      <c r="C717" s="1" t="n">
        <v>46188</v>
      </c>
      <c r="D717" t="inlineStr">
        <is>
          <t>KALMAR LÄN</t>
        </is>
      </c>
      <c r="E717" t="inlineStr">
        <is>
          <t>VIMMERBY</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27122-2023</t>
        </is>
      </c>
      <c r="B718" s="1" t="n">
        <v>45096.45247685185</v>
      </c>
      <c r="C718" s="1" t="n">
        <v>46188</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13813-2024</t>
        </is>
      </c>
      <c r="B719" s="1" t="n">
        <v>45391.41310185185</v>
      </c>
      <c r="C719" s="1" t="n">
        <v>46188</v>
      </c>
      <c r="D719" t="inlineStr">
        <is>
          <t>KALMAR LÄN</t>
        </is>
      </c>
      <c r="E719" t="inlineStr">
        <is>
          <t>VIMMERBY</t>
        </is>
      </c>
      <c r="G719" t="n">
        <v>0.4</v>
      </c>
      <c r="H719" t="n">
        <v>0</v>
      </c>
      <c r="I719" t="n">
        <v>0</v>
      </c>
      <c r="J719" t="n">
        <v>0</v>
      </c>
      <c r="K719" t="n">
        <v>0</v>
      </c>
      <c r="L719" t="n">
        <v>0</v>
      </c>
      <c r="M719" t="n">
        <v>0</v>
      </c>
      <c r="N719" t="n">
        <v>0</v>
      </c>
      <c r="O719" t="n">
        <v>0</v>
      </c>
      <c r="P719" t="n">
        <v>0</v>
      </c>
      <c r="Q719" t="n">
        <v>0</v>
      </c>
      <c r="R719" s="2" t="inlineStr"/>
    </row>
    <row r="720" ht="15" customHeight="1">
      <c r="A720" t="inlineStr">
        <is>
          <t>A 57486-2024</t>
        </is>
      </c>
      <c r="B720" s="1" t="n">
        <v>45630.35827546296</v>
      </c>
      <c r="C720" s="1" t="n">
        <v>46188</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43186-2021</t>
        </is>
      </c>
      <c r="B721" s="1" t="n">
        <v>44431.84840277778</v>
      </c>
      <c r="C721" s="1" t="n">
        <v>46188</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30063-2023</t>
        </is>
      </c>
      <c r="B722" s="1" t="n">
        <v>45110.4184375</v>
      </c>
      <c r="C722" s="1" t="n">
        <v>46188</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43068-2023</t>
        </is>
      </c>
      <c r="B723" s="1" t="n">
        <v>45182.78834490741</v>
      </c>
      <c r="C723" s="1" t="n">
        <v>46188</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18020-2025</t>
        </is>
      </c>
      <c r="B724" s="1" t="n">
        <v>45761.4437962963</v>
      </c>
      <c r="C724" s="1" t="n">
        <v>46188</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33424-2023</t>
        </is>
      </c>
      <c r="B725" s="1" t="n">
        <v>45128.9325</v>
      </c>
      <c r="C725" s="1" t="n">
        <v>46188</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33425-2023</t>
        </is>
      </c>
      <c r="B726" s="1" t="n">
        <v>45128.93540509259</v>
      </c>
      <c r="C726" s="1" t="n">
        <v>46188</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12327-2023</t>
        </is>
      </c>
      <c r="B727" s="1" t="n">
        <v>44999.36081018519</v>
      </c>
      <c r="C727" s="1" t="n">
        <v>46188</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52435-2021</t>
        </is>
      </c>
      <c r="B728" s="1" t="n">
        <v>44466.34962962963</v>
      </c>
      <c r="C728" s="1" t="n">
        <v>46188</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35127-2024</t>
        </is>
      </c>
      <c r="B729" s="1" t="n">
        <v>45530.33202546297</v>
      </c>
      <c r="C729" s="1" t="n">
        <v>46188</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29441-2024</t>
        </is>
      </c>
      <c r="B730" s="1" t="n">
        <v>45483.82834490741</v>
      </c>
      <c r="C730" s="1" t="n">
        <v>46188</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62779-2023</t>
        </is>
      </c>
      <c r="B731" s="1" t="n">
        <v>45271.66576388889</v>
      </c>
      <c r="C731" s="1" t="n">
        <v>46188</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31013-2023</t>
        </is>
      </c>
      <c r="B732" s="1" t="n">
        <v>45113.56574074074</v>
      </c>
      <c r="C732" s="1" t="n">
        <v>46188</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72067-2021</t>
        </is>
      </c>
      <c r="B733" s="1" t="n">
        <v>44540</v>
      </c>
      <c r="C733" s="1" t="n">
        <v>46188</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44916.55414351852</v>
      </c>
      <c r="C734" s="1" t="n">
        <v>46188</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36155-2023</t>
        </is>
      </c>
      <c r="B735" s="1" t="n">
        <v>45149.60917824074</v>
      </c>
      <c r="C735" s="1" t="n">
        <v>46188</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29173-2024</t>
        </is>
      </c>
      <c r="B736" s="1" t="n">
        <v>45482.52887731481</v>
      </c>
      <c r="C736" s="1" t="n">
        <v>46188</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53542-2022</t>
        </is>
      </c>
      <c r="B737" s="1" t="n">
        <v>44879.62173611111</v>
      </c>
      <c r="C737" s="1" t="n">
        <v>46188</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6807-2025</t>
        </is>
      </c>
      <c r="B738" s="1" t="n">
        <v>45700.68672453704</v>
      </c>
      <c r="C738" s="1" t="n">
        <v>46188</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7047-2022</t>
        </is>
      </c>
      <c r="B739" s="1" t="n">
        <v>44603</v>
      </c>
      <c r="C739" s="1" t="n">
        <v>46188</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35711-2023</t>
        </is>
      </c>
      <c r="B740" s="1" t="n">
        <v>45147.67172453704</v>
      </c>
      <c r="C740" s="1" t="n">
        <v>46188</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5382-2023</t>
        </is>
      </c>
      <c r="B741" s="1" t="n">
        <v>44959.66407407408</v>
      </c>
      <c r="C741" s="1" t="n">
        <v>46188</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40823-2023</t>
        </is>
      </c>
      <c r="B742" s="1" t="n">
        <v>45171.77335648148</v>
      </c>
      <c r="C742" s="1" t="n">
        <v>46188</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30920-2023</t>
        </is>
      </c>
      <c r="B743" s="1" t="n">
        <v>45113.43921296296</v>
      </c>
      <c r="C743" s="1" t="n">
        <v>46188</v>
      </c>
      <c r="D743" t="inlineStr">
        <is>
          <t>KALMAR LÄN</t>
        </is>
      </c>
      <c r="E743" t="inlineStr">
        <is>
          <t>VIMMERBY</t>
        </is>
      </c>
      <c r="G743" t="n">
        <v>3.1</v>
      </c>
      <c r="H743" t="n">
        <v>0</v>
      </c>
      <c r="I743" t="n">
        <v>0</v>
      </c>
      <c r="J743" t="n">
        <v>0</v>
      </c>
      <c r="K743" t="n">
        <v>0</v>
      </c>
      <c r="L743" t="n">
        <v>0</v>
      </c>
      <c r="M743" t="n">
        <v>0</v>
      </c>
      <c r="N743" t="n">
        <v>0</v>
      </c>
      <c r="O743" t="n">
        <v>0</v>
      </c>
      <c r="P743" t="n">
        <v>0</v>
      </c>
      <c r="Q743" t="n">
        <v>0</v>
      </c>
      <c r="R743" s="2" t="inlineStr"/>
    </row>
    <row r="744" ht="15" customHeight="1">
      <c r="A744" t="inlineStr">
        <is>
          <t>A 6857-2023</t>
        </is>
      </c>
      <c r="B744" s="1" t="n">
        <v>44967.45122685185</v>
      </c>
      <c r="C744" s="1" t="n">
        <v>46188</v>
      </c>
      <c r="D744" t="inlineStr">
        <is>
          <t>KALMAR LÄN</t>
        </is>
      </c>
      <c r="E744" t="inlineStr">
        <is>
          <t>VIMMERBY</t>
        </is>
      </c>
      <c r="G744" t="n">
        <v>2.1</v>
      </c>
      <c r="H744" t="n">
        <v>0</v>
      </c>
      <c r="I744" t="n">
        <v>0</v>
      </c>
      <c r="J744" t="n">
        <v>0</v>
      </c>
      <c r="K744" t="n">
        <v>0</v>
      </c>
      <c r="L744" t="n">
        <v>0</v>
      </c>
      <c r="M744" t="n">
        <v>0</v>
      </c>
      <c r="N744" t="n">
        <v>0</v>
      </c>
      <c r="O744" t="n">
        <v>0</v>
      </c>
      <c r="P744" t="n">
        <v>0</v>
      </c>
      <c r="Q744" t="n">
        <v>0</v>
      </c>
      <c r="R744" s="2" t="inlineStr"/>
    </row>
    <row r="745" ht="15" customHeight="1">
      <c r="A745" t="inlineStr">
        <is>
          <t>A 5792-2023</t>
        </is>
      </c>
      <c r="B745" s="1" t="n">
        <v>44963.44769675926</v>
      </c>
      <c r="C745" s="1" t="n">
        <v>46188</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10303-2025</t>
        </is>
      </c>
      <c r="B746" s="1" t="n">
        <v>45720.44217592593</v>
      </c>
      <c r="C746" s="1" t="n">
        <v>46188</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46188</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6474-2025</t>
        </is>
      </c>
      <c r="B748" s="1" t="n">
        <v>45699.60055555555</v>
      </c>
      <c r="C748" s="1" t="n">
        <v>46188</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32919-2022</t>
        </is>
      </c>
      <c r="B749" s="1" t="n">
        <v>44784.62724537037</v>
      </c>
      <c r="C749" s="1" t="n">
        <v>46188</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56659-2023</t>
        </is>
      </c>
      <c r="B750" s="1" t="n">
        <v>45243.84869212963</v>
      </c>
      <c r="C750" s="1" t="n">
        <v>46188</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13015-2022</t>
        </is>
      </c>
      <c r="B751" s="1" t="n">
        <v>44643</v>
      </c>
      <c r="C751" s="1" t="n">
        <v>46188</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55436-2023</t>
        </is>
      </c>
      <c r="B752" s="1" t="n">
        <v>45238.4328587963</v>
      </c>
      <c r="C752" s="1" t="n">
        <v>46188</v>
      </c>
      <c r="D752" t="inlineStr">
        <is>
          <t>KALMAR LÄN</t>
        </is>
      </c>
      <c r="E752" t="inlineStr">
        <is>
          <t>VIMMERBY</t>
        </is>
      </c>
      <c r="G752" t="n">
        <v>5.6</v>
      </c>
      <c r="H752" t="n">
        <v>0</v>
      </c>
      <c r="I752" t="n">
        <v>0</v>
      </c>
      <c r="J752" t="n">
        <v>0</v>
      </c>
      <c r="K752" t="n">
        <v>0</v>
      </c>
      <c r="L752" t="n">
        <v>0</v>
      </c>
      <c r="M752" t="n">
        <v>0</v>
      </c>
      <c r="N752" t="n">
        <v>0</v>
      </c>
      <c r="O752" t="n">
        <v>0</v>
      </c>
      <c r="P752" t="n">
        <v>0</v>
      </c>
      <c r="Q752" t="n">
        <v>0</v>
      </c>
      <c r="R752" s="2" t="inlineStr"/>
    </row>
    <row r="753" ht="15" customHeight="1">
      <c r="A753" t="inlineStr">
        <is>
          <t>A 56582-2022</t>
        </is>
      </c>
      <c r="B753" s="1" t="n">
        <v>44893</v>
      </c>
      <c r="C753" s="1" t="n">
        <v>46188</v>
      </c>
      <c r="D753" t="inlineStr">
        <is>
          <t>KALMAR LÄN</t>
        </is>
      </c>
      <c r="E753" t="inlineStr">
        <is>
          <t>VIMMERBY</t>
        </is>
      </c>
      <c r="G753" t="n">
        <v>2.2</v>
      </c>
      <c r="H753" t="n">
        <v>0</v>
      </c>
      <c r="I753" t="n">
        <v>0</v>
      </c>
      <c r="J753" t="n">
        <v>0</v>
      </c>
      <c r="K753" t="n">
        <v>0</v>
      </c>
      <c r="L753" t="n">
        <v>0</v>
      </c>
      <c r="M753" t="n">
        <v>0</v>
      </c>
      <c r="N753" t="n">
        <v>0</v>
      </c>
      <c r="O753" t="n">
        <v>0</v>
      </c>
      <c r="P753" t="n">
        <v>0</v>
      </c>
      <c r="Q753" t="n">
        <v>0</v>
      </c>
      <c r="R753" s="2" t="inlineStr"/>
    </row>
    <row r="754" ht="15" customHeight="1">
      <c r="A754" t="inlineStr">
        <is>
          <t>A 43962-2024</t>
        </is>
      </c>
      <c r="B754" s="1" t="n">
        <v>45572.48293981481</v>
      </c>
      <c r="C754" s="1" t="n">
        <v>46188</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35713-2023</t>
        </is>
      </c>
      <c r="B755" s="1" t="n">
        <v>45147</v>
      </c>
      <c r="C755" s="1" t="n">
        <v>46188</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40147-2023</t>
        </is>
      </c>
      <c r="B756" s="1" t="n">
        <v>45169</v>
      </c>
      <c r="C756" s="1" t="n">
        <v>46188</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50995-2022</t>
        </is>
      </c>
      <c r="B757" s="1" t="n">
        <v>44867</v>
      </c>
      <c r="C757" s="1" t="n">
        <v>46188</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44745.84396990741</v>
      </c>
      <c r="C758" s="1" t="n">
        <v>46188</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57555-2024</t>
        </is>
      </c>
      <c r="B759" s="1" t="n">
        <v>45630.45069444444</v>
      </c>
      <c r="C759" s="1" t="n">
        <v>46188</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36014-2024</t>
        </is>
      </c>
      <c r="B760" s="1" t="n">
        <v>45533.56108796296</v>
      </c>
      <c r="C760" s="1" t="n">
        <v>46188</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36030-2024</t>
        </is>
      </c>
      <c r="B761" s="1" t="n">
        <v>45533.58302083334</v>
      </c>
      <c r="C761" s="1" t="n">
        <v>46188</v>
      </c>
      <c r="D761" t="inlineStr">
        <is>
          <t>KALMAR LÄN</t>
        </is>
      </c>
      <c r="E761" t="inlineStr">
        <is>
          <t>VIMMERBY</t>
        </is>
      </c>
      <c r="F761" t="inlineStr">
        <is>
          <t>Kommuner</t>
        </is>
      </c>
      <c r="G761" t="n">
        <v>4</v>
      </c>
      <c r="H761" t="n">
        <v>0</v>
      </c>
      <c r="I761" t="n">
        <v>0</v>
      </c>
      <c r="J761" t="n">
        <v>0</v>
      </c>
      <c r="K761" t="n">
        <v>0</v>
      </c>
      <c r="L761" t="n">
        <v>0</v>
      </c>
      <c r="M761" t="n">
        <v>0</v>
      </c>
      <c r="N761" t="n">
        <v>0</v>
      </c>
      <c r="O761" t="n">
        <v>0</v>
      </c>
      <c r="P761" t="n">
        <v>0</v>
      </c>
      <c r="Q761" t="n">
        <v>0</v>
      </c>
      <c r="R761" s="2" t="inlineStr"/>
    </row>
    <row r="762">
      <c r="A762" t="inlineStr">
        <is>
          <t>A 32865-2023</t>
        </is>
      </c>
      <c r="B762" s="1" t="n">
        <v>45124</v>
      </c>
      <c r="C762" s="1" t="n">
        <v>46188</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2026-06-15T09:29:27Z</dcterms:created>
  <dcterms:modified xmlns:dcterms="http://purl.org/dc/terms/" xmlns:xsi="http://www.w3.org/2001/XMLSchema-instance" xsi:type="dcterms:W3CDTF">2026-06-15T09:29:28Z</dcterms:modified>
</cp:coreProperties>
</file>