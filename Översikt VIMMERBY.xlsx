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46101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46101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46101</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46101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46101</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46101</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32645-2023</t>
        </is>
      </c>
      <c r="B13" s="1" t="n">
        <v>45121.60543981481</v>
      </c>
      <c r="C13" s="1" t="n">
        <v>46101</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3075-2025</t>
        </is>
      </c>
      <c r="B14" s="1" t="n">
        <v>45678</v>
      </c>
      <c r="C14" s="1" t="n">
        <v>46101</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46101</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55604-2025</t>
        </is>
      </c>
      <c r="B16" s="1" t="n">
        <v>45971</v>
      </c>
      <c r="C16" s="1" t="n">
        <v>46101</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58997-2025</t>
        </is>
      </c>
      <c r="B17" s="1" t="n">
        <v>45987</v>
      </c>
      <c r="C17" s="1" t="n">
        <v>46101</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7040-2026</t>
        </is>
      </c>
      <c r="B18" s="1" t="n">
        <v>46057.69520833333</v>
      </c>
      <c r="C18" s="1" t="n">
        <v>46101</v>
      </c>
      <c r="D18" t="inlineStr">
        <is>
          <t>KALMAR LÄN</t>
        </is>
      </c>
      <c r="E18" t="inlineStr">
        <is>
          <t>VIMMERBY</t>
        </is>
      </c>
      <c r="G18" t="n">
        <v>2.7</v>
      </c>
      <c r="H18" t="n">
        <v>4</v>
      </c>
      <c r="I18" t="n">
        <v>0</v>
      </c>
      <c r="J18" t="n">
        <v>2</v>
      </c>
      <c r="K18" t="n">
        <v>1</v>
      </c>
      <c r="L18" t="n">
        <v>0</v>
      </c>
      <c r="M18" t="n">
        <v>0</v>
      </c>
      <c r="N18" t="n">
        <v>0</v>
      </c>
      <c r="O18" t="n">
        <v>3</v>
      </c>
      <c r="P18" t="n">
        <v>1</v>
      </c>
      <c r="Q18" t="n">
        <v>4</v>
      </c>
      <c r="R18" s="2" t="inlineStr">
        <is>
          <t>Knärot
Spillkråka
Talltita
Tjäder</t>
        </is>
      </c>
      <c r="S18">
        <f>HYPERLINK("https://klasma.github.io/Logging_0884/artfynd/A 7040-2026 artfynd.xlsx", "A 7040-2026")</f>
        <v/>
      </c>
      <c r="T18">
        <f>HYPERLINK("https://klasma.github.io/Logging_0884/kartor/A 7040-2026 karta.png", "A 7040-2026")</f>
        <v/>
      </c>
      <c r="U18">
        <f>HYPERLINK("https://klasma.github.io/Logging_0884/knärot/A 7040-2026 karta knärot.png", "A 7040-2026")</f>
        <v/>
      </c>
      <c r="V18">
        <f>HYPERLINK("https://klasma.github.io/Logging_0884/klagomål/A 7040-2026 FSC-klagomål.docx", "A 7040-2026")</f>
        <v/>
      </c>
      <c r="W18">
        <f>HYPERLINK("https://klasma.github.io/Logging_0884/klagomålsmail/A 7040-2026 FSC-klagomål mail.docx", "A 7040-2026")</f>
        <v/>
      </c>
      <c r="X18">
        <f>HYPERLINK("https://klasma.github.io/Logging_0884/tillsyn/A 7040-2026 tillsynsbegäran.docx", "A 7040-2026")</f>
        <v/>
      </c>
      <c r="Y18">
        <f>HYPERLINK("https://klasma.github.io/Logging_0884/tillsynsmail/A 7040-2026 tillsynsbegäran mail.docx", "A 7040-2026")</f>
        <v/>
      </c>
      <c r="Z18">
        <f>HYPERLINK("https://klasma.github.io/Logging_0884/fåglar/A 7040-2026 prioriterade fågelarter.docx", "A 7040-2026")</f>
        <v/>
      </c>
    </row>
    <row r="19" ht="15" customHeight="1">
      <c r="A19" t="inlineStr">
        <is>
          <t>A 37901-2022</t>
        </is>
      </c>
      <c r="B19" s="1" t="n">
        <v>44811</v>
      </c>
      <c r="C19" s="1" t="n">
        <v>46101</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46101</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46101</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46101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46101</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46101</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46101</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46101</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46101</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40684-2025</t>
        </is>
      </c>
      <c r="B28" s="1" t="n">
        <v>45896.86820601852</v>
      </c>
      <c r="C28" s="1" t="n">
        <v>46101</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46101</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19158-2023</t>
        </is>
      </c>
      <c r="B30" s="1" t="n">
        <v>45048</v>
      </c>
      <c r="C30" s="1" t="n">
        <v>46101</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53787-2025</t>
        </is>
      </c>
      <c r="B31" s="1" t="n">
        <v>45960</v>
      </c>
      <c r="C31" s="1" t="n">
        <v>46101</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14024-2023</t>
        </is>
      </c>
      <c r="B32" s="1" t="n">
        <v>45008.60878472222</v>
      </c>
      <c r="C32" s="1" t="n">
        <v>46101</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22825-2023</t>
        </is>
      </c>
      <c r="B33" s="1" t="n">
        <v>45072</v>
      </c>
      <c r="C33" s="1" t="n">
        <v>46101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22825-2023 artfynd.xlsx", "A 22825-2023")</f>
        <v/>
      </c>
      <c r="T33">
        <f>HYPERLINK("https://klasma.github.io/Logging_0884/kartor/A 22825-2023 karta.png", "A 22825-2023")</f>
        <v/>
      </c>
      <c r="V33">
        <f>HYPERLINK("https://klasma.github.io/Logging_0884/klagomål/A 22825-2023 FSC-klagomål.docx", "A 22825-2023")</f>
        <v/>
      </c>
      <c r="W33">
        <f>HYPERLINK("https://klasma.github.io/Logging_0884/klagomålsmail/A 22825-2023 FSC-klagomål mail.docx", "A 22825-2023")</f>
        <v/>
      </c>
      <c r="X33">
        <f>HYPERLINK("https://klasma.github.io/Logging_0884/tillsyn/A 22825-2023 tillsynsbegäran.docx", "A 22825-2023")</f>
        <v/>
      </c>
      <c r="Y33">
        <f>HYPERLINK("https://klasma.github.io/Logging_0884/tillsynsmail/A 22825-2023 tillsynsbegäran mail.docx", "A 22825-2023")</f>
        <v/>
      </c>
    </row>
    <row r="34" ht="15" customHeight="1">
      <c r="A34" t="inlineStr">
        <is>
          <t>A 14426-2026</t>
        </is>
      </c>
      <c r="B34" s="1" t="n">
        <v>46100.46956018519</v>
      </c>
      <c r="C34" s="1" t="n">
        <v>46101</v>
      </c>
      <c r="D34" t="inlineStr">
        <is>
          <t>KALMAR LÄN</t>
        </is>
      </c>
      <c r="E34" t="inlineStr">
        <is>
          <t>VIMMERBY</t>
        </is>
      </c>
      <c r="F34" t="inlineStr">
        <is>
          <t>Kyrkan</t>
        </is>
      </c>
      <c r="G34" t="n">
        <v>8.6</v>
      </c>
      <c r="H34" t="n">
        <v>1</v>
      </c>
      <c r="I34" t="n">
        <v>0</v>
      </c>
      <c r="J34" t="n">
        <v>1</v>
      </c>
      <c r="K34" t="n">
        <v>1</v>
      </c>
      <c r="L34" t="n">
        <v>0</v>
      </c>
      <c r="M34" t="n">
        <v>0</v>
      </c>
      <c r="N34" t="n">
        <v>0</v>
      </c>
      <c r="O34" t="n">
        <v>2</v>
      </c>
      <c r="P34" t="n">
        <v>1</v>
      </c>
      <c r="Q34" t="n">
        <v>2</v>
      </c>
      <c r="R34" s="2" t="inlineStr">
        <is>
          <t>Knärot
Tallticka</t>
        </is>
      </c>
      <c r="S34">
        <f>HYPERLINK("https://klasma.github.io/Logging_0884/artfynd/A 14426-2026 artfynd.xlsx", "A 14426-2026")</f>
        <v/>
      </c>
      <c r="T34">
        <f>HYPERLINK("https://klasma.github.io/Logging_0884/kartor/A 14426-2026 karta.png", "A 14426-2026")</f>
        <v/>
      </c>
      <c r="U34">
        <f>HYPERLINK("https://klasma.github.io/Logging_0884/knärot/A 14426-2026 karta knärot.png", "A 14426-2026")</f>
        <v/>
      </c>
      <c r="V34">
        <f>HYPERLINK("https://klasma.github.io/Logging_0884/klagomål/A 14426-2026 FSC-klagomål.docx", "A 14426-2026")</f>
        <v/>
      </c>
      <c r="W34">
        <f>HYPERLINK("https://klasma.github.io/Logging_0884/klagomålsmail/A 14426-2026 FSC-klagomål mail.docx", "A 14426-2026")</f>
        <v/>
      </c>
      <c r="X34">
        <f>HYPERLINK("https://klasma.github.io/Logging_0884/tillsyn/A 14426-2026 tillsynsbegäran.docx", "A 14426-2026")</f>
        <v/>
      </c>
      <c r="Y34">
        <f>HYPERLINK("https://klasma.github.io/Logging_0884/tillsynsmail/A 14426-2026 tillsynsbegäran mail.docx", "A 14426-2026")</f>
        <v/>
      </c>
    </row>
    <row r="35" ht="15" customHeight="1">
      <c r="A35" t="inlineStr">
        <is>
          <t>A 22396-2025</t>
        </is>
      </c>
      <c r="B35" s="1" t="n">
        <v>45786.52827546297</v>
      </c>
      <c r="C35" s="1" t="n">
        <v>46101</v>
      </c>
      <c r="D35" t="inlineStr">
        <is>
          <t>KALMAR LÄN</t>
        </is>
      </c>
      <c r="E35" t="inlineStr">
        <is>
          <t>VIMMERBY</t>
        </is>
      </c>
      <c r="G35" t="n">
        <v>2.5</v>
      </c>
      <c r="H35" t="n">
        <v>2</v>
      </c>
      <c r="I35" t="n">
        <v>0</v>
      </c>
      <c r="J35" t="n">
        <v>0</v>
      </c>
      <c r="K35" t="n">
        <v>1</v>
      </c>
      <c r="L35" t="n">
        <v>0</v>
      </c>
      <c r="M35" t="n">
        <v>0</v>
      </c>
      <c r="N35" t="n">
        <v>0</v>
      </c>
      <c r="O35" t="n">
        <v>1</v>
      </c>
      <c r="P35" t="n">
        <v>1</v>
      </c>
      <c r="Q35" t="n">
        <v>2</v>
      </c>
      <c r="R35" s="2" t="inlineStr">
        <is>
          <t>Knärot
Kungsfågel</t>
        </is>
      </c>
      <c r="S35">
        <f>HYPERLINK("https://klasma.github.io/Logging_0884/artfynd/A 22396-2025 artfynd.xlsx", "A 22396-2025")</f>
        <v/>
      </c>
      <c r="T35">
        <f>HYPERLINK("https://klasma.github.io/Logging_0884/kartor/A 22396-2025 karta.png", "A 22396-2025")</f>
        <v/>
      </c>
      <c r="U35">
        <f>HYPERLINK("https://klasma.github.io/Logging_0884/knärot/A 22396-2025 karta knärot.png", "A 22396-2025")</f>
        <v/>
      </c>
      <c r="V35">
        <f>HYPERLINK("https://klasma.github.io/Logging_0884/klagomål/A 22396-2025 FSC-klagomål.docx", "A 22396-2025")</f>
        <v/>
      </c>
      <c r="W35">
        <f>HYPERLINK("https://klasma.github.io/Logging_0884/klagomålsmail/A 22396-2025 FSC-klagomål mail.docx", "A 22396-2025")</f>
        <v/>
      </c>
      <c r="X35">
        <f>HYPERLINK("https://klasma.github.io/Logging_0884/tillsyn/A 22396-2025 tillsynsbegäran.docx", "A 22396-2025")</f>
        <v/>
      </c>
      <c r="Y35">
        <f>HYPERLINK("https://klasma.github.io/Logging_0884/tillsynsmail/A 22396-2025 tillsynsbegäran mail.docx", "A 22396-2025")</f>
        <v/>
      </c>
      <c r="Z35">
        <f>HYPERLINK("https://klasma.github.io/Logging_0884/fåglar/A 22396-2025 prioriterade fågelarter.docx", "A 22396-2025")</f>
        <v/>
      </c>
    </row>
    <row r="36" ht="15" customHeight="1">
      <c r="A36" t="inlineStr">
        <is>
          <t>A 32396-2021</t>
        </is>
      </c>
      <c r="B36" s="1" t="n">
        <v>44371</v>
      </c>
      <c r="C36" s="1" t="n">
        <v>46101</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37930-2021</t>
        </is>
      </c>
      <c r="B37" s="1" t="n">
        <v>44403</v>
      </c>
      <c r="C37" s="1" t="n">
        <v>46101</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61860-2024</t>
        </is>
      </c>
      <c r="B38" s="1" t="n">
        <v>45649</v>
      </c>
      <c r="C38" s="1" t="n">
        <v>46101</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40083-2023</t>
        </is>
      </c>
      <c r="B39" s="1" t="n">
        <v>45168</v>
      </c>
      <c r="C39" s="1" t="n">
        <v>46101</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46101</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23602-2023</t>
        </is>
      </c>
      <c r="B41" s="1" t="n">
        <v>45077</v>
      </c>
      <c r="C41" s="1" t="n">
        <v>46101</v>
      </c>
      <c r="D41" t="inlineStr">
        <is>
          <t>KALMAR LÄN</t>
        </is>
      </c>
      <c r="E41" t="inlineStr">
        <is>
          <t>VIMMERBY</t>
        </is>
      </c>
      <c r="G41" t="n">
        <v>1.6</v>
      </c>
      <c r="H41" t="n">
        <v>0</v>
      </c>
      <c r="I41" t="n">
        <v>0</v>
      </c>
      <c r="J41" t="n">
        <v>1</v>
      </c>
      <c r="K41" t="n">
        <v>0</v>
      </c>
      <c r="L41" t="n">
        <v>0</v>
      </c>
      <c r="M41" t="n">
        <v>0</v>
      </c>
      <c r="N41" t="n">
        <v>0</v>
      </c>
      <c r="O41" t="n">
        <v>1</v>
      </c>
      <c r="P41" t="n">
        <v>0</v>
      </c>
      <c r="Q41" t="n">
        <v>1</v>
      </c>
      <c r="R41" s="2" t="inlineStr">
        <is>
          <t>Vedtrappmossa</t>
        </is>
      </c>
      <c r="S41">
        <f>HYPERLINK("https://klasma.github.io/Logging_0884/artfynd/A 23602-2023 artfynd.xlsx", "A 23602-2023")</f>
        <v/>
      </c>
      <c r="T41">
        <f>HYPERLINK("https://klasma.github.io/Logging_0884/kartor/A 23602-2023 karta.png", "A 23602-2023")</f>
        <v/>
      </c>
      <c r="V41">
        <f>HYPERLINK("https://klasma.github.io/Logging_0884/klagomål/A 23602-2023 FSC-klagomål.docx", "A 23602-2023")</f>
        <v/>
      </c>
      <c r="W41">
        <f>HYPERLINK("https://klasma.github.io/Logging_0884/klagomålsmail/A 23602-2023 FSC-klagomål mail.docx", "A 23602-2023")</f>
        <v/>
      </c>
      <c r="X41">
        <f>HYPERLINK("https://klasma.github.io/Logging_0884/tillsyn/A 23602-2023 tillsynsbegäran.docx", "A 23602-2023")</f>
        <v/>
      </c>
      <c r="Y41">
        <f>HYPERLINK("https://klasma.github.io/Logging_0884/tillsynsmail/A 23602-2023 tillsynsbegäran mail.docx", "A 23602-2023")</f>
        <v/>
      </c>
    </row>
    <row r="42" ht="15" customHeight="1">
      <c r="A42" t="inlineStr">
        <is>
          <t>A 53400-2025</t>
        </is>
      </c>
      <c r="B42" s="1" t="n">
        <v>45959.56684027778</v>
      </c>
      <c r="C42" s="1" t="n">
        <v>46101</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46101</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55384-2025</t>
        </is>
      </c>
      <c r="B44" s="1" t="n">
        <v>45971.43178240741</v>
      </c>
      <c r="C44" s="1" t="n">
        <v>46101</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57062-2025</t>
        </is>
      </c>
      <c r="B45" s="1" t="n">
        <v>45979.37598379629</v>
      </c>
      <c r="C45" s="1" t="n">
        <v>46101</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15122-2024</t>
        </is>
      </c>
      <c r="B46" s="1" t="n">
        <v>45399.71412037037</v>
      </c>
      <c r="C46" s="1" t="n">
        <v>46101</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32985-2023</t>
        </is>
      </c>
      <c r="B47" s="1" t="n">
        <v>45125</v>
      </c>
      <c r="C47" s="1" t="n">
        <v>46101</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46101</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45574.42767361111</v>
      </c>
      <c r="C49" s="1" t="n">
        <v>46101</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46101</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46101</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46101</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1201-2025</t>
        </is>
      </c>
      <c r="B53" s="1" t="n">
        <v>45667</v>
      </c>
      <c r="C53" s="1" t="n">
        <v>46101</v>
      </c>
      <c r="D53" t="inlineStr">
        <is>
          <t>KALMAR LÄN</t>
        </is>
      </c>
      <c r="E53" t="inlineStr">
        <is>
          <t>VIMMERBY</t>
        </is>
      </c>
      <c r="G53" t="n">
        <v>6.4</v>
      </c>
      <c r="H53" t="n">
        <v>1</v>
      </c>
      <c r="I53" t="n">
        <v>0</v>
      </c>
      <c r="J53" t="n">
        <v>0</v>
      </c>
      <c r="K53" t="n">
        <v>1</v>
      </c>
      <c r="L53" t="n">
        <v>0</v>
      </c>
      <c r="M53" t="n">
        <v>0</v>
      </c>
      <c r="N53" t="n">
        <v>0</v>
      </c>
      <c r="O53" t="n">
        <v>1</v>
      </c>
      <c r="P53" t="n">
        <v>1</v>
      </c>
      <c r="Q53" t="n">
        <v>1</v>
      </c>
      <c r="R53" s="2" t="inlineStr">
        <is>
          <t>Knärot</t>
        </is>
      </c>
      <c r="S53">
        <f>HYPERLINK("https://klasma.github.io/Logging_0884/artfynd/A 1201-2025 artfynd.xlsx", "A 1201-2025")</f>
        <v/>
      </c>
      <c r="T53">
        <f>HYPERLINK("https://klasma.github.io/Logging_0884/kartor/A 1201-2025 karta.png", "A 1201-2025")</f>
        <v/>
      </c>
      <c r="U53">
        <f>HYPERLINK("https://klasma.github.io/Logging_0884/knärot/A 1201-2025 karta knärot.png", "A 1201-2025")</f>
        <v/>
      </c>
      <c r="V53">
        <f>HYPERLINK("https://klasma.github.io/Logging_0884/klagomål/A 1201-2025 FSC-klagomål.docx", "A 1201-2025")</f>
        <v/>
      </c>
      <c r="W53">
        <f>HYPERLINK("https://klasma.github.io/Logging_0884/klagomålsmail/A 1201-2025 FSC-klagomål mail.docx", "A 1201-2025")</f>
        <v/>
      </c>
      <c r="X53">
        <f>HYPERLINK("https://klasma.github.io/Logging_0884/tillsyn/A 1201-2025 tillsynsbegäran.docx", "A 1201-2025")</f>
        <v/>
      </c>
      <c r="Y53">
        <f>HYPERLINK("https://klasma.github.io/Logging_0884/tillsynsmail/A 1201-2025 tillsynsbegäran mail.docx", "A 1201-2025")</f>
        <v/>
      </c>
    </row>
    <row r="54" ht="15" customHeight="1">
      <c r="A54" t="inlineStr">
        <is>
          <t>A 29183-2025</t>
        </is>
      </c>
      <c r="B54" s="1" t="n">
        <v>45821</v>
      </c>
      <c r="C54" s="1" t="n">
        <v>46101</v>
      </c>
      <c r="D54" t="inlineStr">
        <is>
          <t>KALMAR LÄN</t>
        </is>
      </c>
      <c r="E54" t="inlineStr">
        <is>
          <t>VIMMERBY</t>
        </is>
      </c>
      <c r="G54" t="n">
        <v>2.7</v>
      </c>
      <c r="H54" t="n">
        <v>0</v>
      </c>
      <c r="I54" t="n">
        <v>1</v>
      </c>
      <c r="J54" t="n">
        <v>0</v>
      </c>
      <c r="K54" t="n">
        <v>0</v>
      </c>
      <c r="L54" t="n">
        <v>0</v>
      </c>
      <c r="M54" t="n">
        <v>0</v>
      </c>
      <c r="N54" t="n">
        <v>0</v>
      </c>
      <c r="O54" t="n">
        <v>0</v>
      </c>
      <c r="P54" t="n">
        <v>0</v>
      </c>
      <c r="Q54" t="n">
        <v>1</v>
      </c>
      <c r="R54" s="2" t="inlineStr">
        <is>
          <t>Sårläka</t>
        </is>
      </c>
      <c r="S54">
        <f>HYPERLINK("https://klasma.github.io/Logging_0884/artfynd/A 29183-2025 artfynd.xlsx", "A 29183-2025")</f>
        <v/>
      </c>
      <c r="T54">
        <f>HYPERLINK("https://klasma.github.io/Logging_0884/kartor/A 29183-2025 karta.png", "A 29183-2025")</f>
        <v/>
      </c>
      <c r="V54">
        <f>HYPERLINK("https://klasma.github.io/Logging_0884/klagomål/A 29183-2025 FSC-klagomål.docx", "A 29183-2025")</f>
        <v/>
      </c>
      <c r="W54">
        <f>HYPERLINK("https://klasma.github.io/Logging_0884/klagomålsmail/A 29183-2025 FSC-klagomål mail.docx", "A 29183-2025")</f>
        <v/>
      </c>
      <c r="X54">
        <f>HYPERLINK("https://klasma.github.io/Logging_0884/tillsyn/A 29183-2025 tillsynsbegäran.docx", "A 29183-2025")</f>
        <v/>
      </c>
      <c r="Y54">
        <f>HYPERLINK("https://klasma.github.io/Logging_0884/tillsynsmail/A 29183-2025 tillsynsbegäran mail.docx", "A 29183-2025")</f>
        <v/>
      </c>
    </row>
    <row r="55" ht="15" customHeight="1">
      <c r="A55" t="inlineStr">
        <is>
          <t>A 15092-2021</t>
        </is>
      </c>
      <c r="B55" s="1" t="n">
        <v>44281.79269675926</v>
      </c>
      <c r="C55" s="1" t="n">
        <v>46101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46101</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46101</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46101</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46101</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46101</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56754-2021</t>
        </is>
      </c>
      <c r="B61" s="1" t="n">
        <v>44481.47483796296</v>
      </c>
      <c r="C61" s="1" t="n">
        <v>46101</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46101</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46101</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46101</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46101</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46101</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46101</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46101</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46101</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46101</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46101</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46101</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46101</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46101</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46101</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46101</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46101</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46101</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46101</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46101</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46101</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46101</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46101</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46101</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46101</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46101</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46101</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46101</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46101</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46101</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46101</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46101</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19863-2021</t>
        </is>
      </c>
      <c r="B93" s="1" t="n">
        <v>44312</v>
      </c>
      <c r="C93" s="1" t="n">
        <v>46101</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46101</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46101</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46101</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46101</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46101</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46101</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17869-2021</t>
        </is>
      </c>
      <c r="B100" s="1" t="n">
        <v>44301.36048611111</v>
      </c>
      <c r="C100" s="1" t="n">
        <v>46101</v>
      </c>
      <c r="D100" t="inlineStr">
        <is>
          <t>KALMAR LÄN</t>
        </is>
      </c>
      <c r="E100" t="inlineStr">
        <is>
          <t>VIMMERBY</t>
        </is>
      </c>
      <c r="G100" t="n">
        <v>0.7</v>
      </c>
      <c r="H100" t="n">
        <v>0</v>
      </c>
      <c r="I100" t="n">
        <v>0</v>
      </c>
      <c r="J100" t="n">
        <v>0</v>
      </c>
      <c r="K100" t="n">
        <v>0</v>
      </c>
      <c r="L100" t="n">
        <v>0</v>
      </c>
      <c r="M100" t="n">
        <v>0</v>
      </c>
      <c r="N100" t="n">
        <v>0</v>
      </c>
      <c r="O100" t="n">
        <v>0</v>
      </c>
      <c r="P100" t="n">
        <v>0</v>
      </c>
      <c r="Q100" t="n">
        <v>0</v>
      </c>
      <c r="R100" s="2" t="inlineStr"/>
    </row>
    <row r="101" ht="15" customHeight="1">
      <c r="A101" t="inlineStr">
        <is>
          <t>A 25049-2022</t>
        </is>
      </c>
      <c r="B101" s="1" t="n">
        <v>44729.28226851852</v>
      </c>
      <c r="C101" s="1" t="n">
        <v>46101</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24723-2021</t>
        </is>
      </c>
      <c r="B102" s="1" t="n">
        <v>44340.54472222222</v>
      </c>
      <c r="C102" s="1" t="n">
        <v>46101</v>
      </c>
      <c r="D102" t="inlineStr">
        <is>
          <t>KALMAR LÄN</t>
        </is>
      </c>
      <c r="E102" t="inlineStr">
        <is>
          <t>VIMMERBY</t>
        </is>
      </c>
      <c r="G102" t="n">
        <v>3.3</v>
      </c>
      <c r="H102" t="n">
        <v>0</v>
      </c>
      <c r="I102" t="n">
        <v>0</v>
      </c>
      <c r="J102" t="n">
        <v>0</v>
      </c>
      <c r="K102" t="n">
        <v>0</v>
      </c>
      <c r="L102" t="n">
        <v>0</v>
      </c>
      <c r="M102" t="n">
        <v>0</v>
      </c>
      <c r="N102" t="n">
        <v>0</v>
      </c>
      <c r="O102" t="n">
        <v>0</v>
      </c>
      <c r="P102" t="n">
        <v>0</v>
      </c>
      <c r="Q102" t="n">
        <v>0</v>
      </c>
      <c r="R102" s="2" t="inlineStr"/>
    </row>
    <row r="103" ht="15" customHeight="1">
      <c r="A103" t="inlineStr">
        <is>
          <t>A 24752-2021</t>
        </is>
      </c>
      <c r="B103" s="1" t="n">
        <v>44340</v>
      </c>
      <c r="C103" s="1" t="n">
        <v>46101</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31533-2022</t>
        </is>
      </c>
      <c r="B104" s="1" t="n">
        <v>44774</v>
      </c>
      <c r="C104" s="1" t="n">
        <v>46101</v>
      </c>
      <c r="D104" t="inlineStr">
        <is>
          <t>KALMAR LÄN</t>
        </is>
      </c>
      <c r="E104" t="inlineStr">
        <is>
          <t>VIMMERBY</t>
        </is>
      </c>
      <c r="G104" t="n">
        <v>2.5</v>
      </c>
      <c r="H104" t="n">
        <v>0</v>
      </c>
      <c r="I104" t="n">
        <v>0</v>
      </c>
      <c r="J104" t="n">
        <v>0</v>
      </c>
      <c r="K104" t="n">
        <v>0</v>
      </c>
      <c r="L104" t="n">
        <v>0</v>
      </c>
      <c r="M104" t="n">
        <v>0</v>
      </c>
      <c r="N104" t="n">
        <v>0</v>
      </c>
      <c r="O104" t="n">
        <v>0</v>
      </c>
      <c r="P104" t="n">
        <v>0</v>
      </c>
      <c r="Q104" t="n">
        <v>0</v>
      </c>
      <c r="R104" s="2" t="inlineStr"/>
    </row>
    <row r="105" ht="15" customHeight="1">
      <c r="A105" t="inlineStr">
        <is>
          <t>A 25859-2022</t>
        </is>
      </c>
      <c r="B105" s="1" t="n">
        <v>44733</v>
      </c>
      <c r="C105" s="1" t="n">
        <v>46101</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25868-2022</t>
        </is>
      </c>
      <c r="B106" s="1" t="n">
        <v>44733</v>
      </c>
      <c r="C106" s="1" t="n">
        <v>46101</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32386-2021</t>
        </is>
      </c>
      <c r="B107" s="1" t="n">
        <v>44371.62743055556</v>
      </c>
      <c r="C107" s="1" t="n">
        <v>46101</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35633-2021</t>
        </is>
      </c>
      <c r="B108" s="1" t="n">
        <v>44386.40783564815</v>
      </c>
      <c r="C108" s="1" t="n">
        <v>46101</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56343-2021</t>
        </is>
      </c>
      <c r="B109" s="1" t="n">
        <v>44480</v>
      </c>
      <c r="C109" s="1" t="n">
        <v>46101</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24369-2021</t>
        </is>
      </c>
      <c r="B110" s="1" t="n">
        <v>44337</v>
      </c>
      <c r="C110" s="1" t="n">
        <v>46101</v>
      </c>
      <c r="D110" t="inlineStr">
        <is>
          <t>KALMAR LÄN</t>
        </is>
      </c>
      <c r="E110" t="inlineStr">
        <is>
          <t>VIMMERBY</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51972-2021</t>
        </is>
      </c>
      <c r="B111" s="1" t="n">
        <v>44463.29439814815</v>
      </c>
      <c r="C111" s="1" t="n">
        <v>46101</v>
      </c>
      <c r="D111" t="inlineStr">
        <is>
          <t>KALMAR LÄN</t>
        </is>
      </c>
      <c r="E111" t="inlineStr">
        <is>
          <t>VIMMERBY</t>
        </is>
      </c>
      <c r="G111" t="n">
        <v>4.5</v>
      </c>
      <c r="H111" t="n">
        <v>0</v>
      </c>
      <c r="I111" t="n">
        <v>0</v>
      </c>
      <c r="J111" t="n">
        <v>0</v>
      </c>
      <c r="K111" t="n">
        <v>0</v>
      </c>
      <c r="L111" t="n">
        <v>0</v>
      </c>
      <c r="M111" t="n">
        <v>0</v>
      </c>
      <c r="N111" t="n">
        <v>0</v>
      </c>
      <c r="O111" t="n">
        <v>0</v>
      </c>
      <c r="P111" t="n">
        <v>0</v>
      </c>
      <c r="Q111" t="n">
        <v>0</v>
      </c>
      <c r="R111" s="2" t="inlineStr"/>
    </row>
    <row r="112" ht="15" customHeight="1">
      <c r="A112" t="inlineStr">
        <is>
          <t>A 4042-2022</t>
        </is>
      </c>
      <c r="B112" s="1" t="n">
        <v>44588</v>
      </c>
      <c r="C112" s="1" t="n">
        <v>46101</v>
      </c>
      <c r="D112" t="inlineStr">
        <is>
          <t>KALMAR LÄN</t>
        </is>
      </c>
      <c r="E112" t="inlineStr">
        <is>
          <t>VIMMERBY</t>
        </is>
      </c>
      <c r="G112" t="n">
        <v>4.7</v>
      </c>
      <c r="H112" t="n">
        <v>0</v>
      </c>
      <c r="I112" t="n">
        <v>0</v>
      </c>
      <c r="J112" t="n">
        <v>0</v>
      </c>
      <c r="K112" t="n">
        <v>0</v>
      </c>
      <c r="L112" t="n">
        <v>0</v>
      </c>
      <c r="M112" t="n">
        <v>0</v>
      </c>
      <c r="N112" t="n">
        <v>0</v>
      </c>
      <c r="O112" t="n">
        <v>0</v>
      </c>
      <c r="P112" t="n">
        <v>0</v>
      </c>
      <c r="Q112" t="n">
        <v>0</v>
      </c>
      <c r="R112" s="2" t="inlineStr"/>
    </row>
    <row r="113" ht="15" customHeight="1">
      <c r="A113" t="inlineStr">
        <is>
          <t>A 33690-2022</t>
        </is>
      </c>
      <c r="B113" s="1" t="n">
        <v>44789</v>
      </c>
      <c r="C113" s="1" t="n">
        <v>46101</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35198-2021</t>
        </is>
      </c>
      <c r="B114" s="1" t="n">
        <v>44377</v>
      </c>
      <c r="C114" s="1" t="n">
        <v>46101</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34036-2021</t>
        </is>
      </c>
      <c r="B115" s="1" t="n">
        <v>44379</v>
      </c>
      <c r="C115" s="1" t="n">
        <v>46101</v>
      </c>
      <c r="D115" t="inlineStr">
        <is>
          <t>KALMAR LÄN</t>
        </is>
      </c>
      <c r="E115" t="inlineStr">
        <is>
          <t>VIMMERBY</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63244-2021</t>
        </is>
      </c>
      <c r="B116" s="1" t="n">
        <v>44508</v>
      </c>
      <c r="C116" s="1" t="n">
        <v>46101</v>
      </c>
      <c r="D116" t="inlineStr">
        <is>
          <t>KALMAR LÄN</t>
        </is>
      </c>
      <c r="E116" t="inlineStr">
        <is>
          <t>VIMMERBY</t>
        </is>
      </c>
      <c r="F116" t="inlineStr">
        <is>
          <t>Övriga statliga verk och myndigheter</t>
        </is>
      </c>
      <c r="G116" t="n">
        <v>0.6</v>
      </c>
      <c r="H116" t="n">
        <v>0</v>
      </c>
      <c r="I116" t="n">
        <v>0</v>
      </c>
      <c r="J116" t="n">
        <v>0</v>
      </c>
      <c r="K116" t="n">
        <v>0</v>
      </c>
      <c r="L116" t="n">
        <v>0</v>
      </c>
      <c r="M116" t="n">
        <v>0</v>
      </c>
      <c r="N116" t="n">
        <v>0</v>
      </c>
      <c r="O116" t="n">
        <v>0</v>
      </c>
      <c r="P116" t="n">
        <v>0</v>
      </c>
      <c r="Q116" t="n">
        <v>0</v>
      </c>
      <c r="R116" s="2" t="inlineStr"/>
    </row>
    <row r="117" ht="15" customHeight="1">
      <c r="A117" t="inlineStr">
        <is>
          <t>A 11814-2022</t>
        </is>
      </c>
      <c r="B117" s="1" t="n">
        <v>44634.69703703704</v>
      </c>
      <c r="C117" s="1" t="n">
        <v>46101</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56385-2021</t>
        </is>
      </c>
      <c r="B118" s="1" t="n">
        <v>44480</v>
      </c>
      <c r="C118" s="1" t="n">
        <v>46101</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31053-2022</t>
        </is>
      </c>
      <c r="B119" s="1" t="n">
        <v>44769.45422453704</v>
      </c>
      <c r="C119" s="1" t="n">
        <v>46101</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24738-2021</t>
        </is>
      </c>
      <c r="B120" s="1" t="n">
        <v>44340.58002314815</v>
      </c>
      <c r="C120" s="1" t="n">
        <v>46101</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8454-2022</t>
        </is>
      </c>
      <c r="B121" s="1" t="n">
        <v>44612.86762731482</v>
      </c>
      <c r="C121" s="1" t="n">
        <v>46101</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65887-2021</t>
        </is>
      </c>
      <c r="B122" s="1" t="n">
        <v>44517</v>
      </c>
      <c r="C122" s="1" t="n">
        <v>46101</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39959-2022</t>
        </is>
      </c>
      <c r="B123" s="1" t="n">
        <v>44819</v>
      </c>
      <c r="C123" s="1" t="n">
        <v>46101</v>
      </c>
      <c r="D123" t="inlineStr">
        <is>
          <t>KALMAR LÄN</t>
        </is>
      </c>
      <c r="E123" t="inlineStr">
        <is>
          <t>VIMMERBY</t>
        </is>
      </c>
      <c r="G123" t="n">
        <v>0.9</v>
      </c>
      <c r="H123" t="n">
        <v>0</v>
      </c>
      <c r="I123" t="n">
        <v>0</v>
      </c>
      <c r="J123" t="n">
        <v>0</v>
      </c>
      <c r="K123" t="n">
        <v>0</v>
      </c>
      <c r="L123" t="n">
        <v>0</v>
      </c>
      <c r="M123" t="n">
        <v>0</v>
      </c>
      <c r="N123" t="n">
        <v>0</v>
      </c>
      <c r="O123" t="n">
        <v>0</v>
      </c>
      <c r="P123" t="n">
        <v>0</v>
      </c>
      <c r="Q123" t="n">
        <v>0</v>
      </c>
      <c r="R123" s="2" t="inlineStr"/>
    </row>
    <row r="124" ht="15" customHeight="1">
      <c r="A124" t="inlineStr">
        <is>
          <t>A 24999-2021</t>
        </is>
      </c>
      <c r="B124" s="1" t="n">
        <v>44341</v>
      </c>
      <c r="C124" s="1" t="n">
        <v>46101</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7917-2022</t>
        </is>
      </c>
      <c r="B125" s="1" t="n">
        <v>44608</v>
      </c>
      <c r="C125" s="1" t="n">
        <v>46101</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47208-2021</t>
        </is>
      </c>
      <c r="B126" s="1" t="n">
        <v>44447.34237268518</v>
      </c>
      <c r="C126" s="1" t="n">
        <v>46101</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56389-2021</t>
        </is>
      </c>
      <c r="B127" s="1" t="n">
        <v>44480</v>
      </c>
      <c r="C127" s="1" t="n">
        <v>46101</v>
      </c>
      <c r="D127" t="inlineStr">
        <is>
          <t>KALMAR LÄN</t>
        </is>
      </c>
      <c r="E127" t="inlineStr">
        <is>
          <t>VIMMERBY</t>
        </is>
      </c>
      <c r="G127" t="n">
        <v>0.9</v>
      </c>
      <c r="H127" t="n">
        <v>0</v>
      </c>
      <c r="I127" t="n">
        <v>0</v>
      </c>
      <c r="J127" t="n">
        <v>0</v>
      </c>
      <c r="K127" t="n">
        <v>0</v>
      </c>
      <c r="L127" t="n">
        <v>0</v>
      </c>
      <c r="M127" t="n">
        <v>0</v>
      </c>
      <c r="N127" t="n">
        <v>0</v>
      </c>
      <c r="O127" t="n">
        <v>0</v>
      </c>
      <c r="P127" t="n">
        <v>0</v>
      </c>
      <c r="Q127" t="n">
        <v>0</v>
      </c>
      <c r="R127" s="2" t="inlineStr"/>
    </row>
    <row r="128" ht="15" customHeight="1">
      <c r="A128" t="inlineStr">
        <is>
          <t>A 16705-2021</t>
        </is>
      </c>
      <c r="B128" s="1" t="n">
        <v>44294</v>
      </c>
      <c r="C128" s="1" t="n">
        <v>46101</v>
      </c>
      <c r="D128" t="inlineStr">
        <is>
          <t>KALMAR LÄN</t>
        </is>
      </c>
      <c r="E128" t="inlineStr">
        <is>
          <t>VIMMERBY</t>
        </is>
      </c>
      <c r="G128" t="n">
        <v>2.6</v>
      </c>
      <c r="H128" t="n">
        <v>0</v>
      </c>
      <c r="I128" t="n">
        <v>0</v>
      </c>
      <c r="J128" t="n">
        <v>0</v>
      </c>
      <c r="K128" t="n">
        <v>0</v>
      </c>
      <c r="L128" t="n">
        <v>0</v>
      </c>
      <c r="M128" t="n">
        <v>0</v>
      </c>
      <c r="N128" t="n">
        <v>0</v>
      </c>
      <c r="O128" t="n">
        <v>0</v>
      </c>
      <c r="P128" t="n">
        <v>0</v>
      </c>
      <c r="Q128" t="n">
        <v>0</v>
      </c>
      <c r="R128" s="2" t="inlineStr"/>
    </row>
    <row r="129" ht="15" customHeight="1">
      <c r="A129" t="inlineStr">
        <is>
          <t>A 67952-2021</t>
        </is>
      </c>
      <c r="B129" s="1" t="n">
        <v>44525.63913194444</v>
      </c>
      <c r="C129" s="1" t="n">
        <v>46101</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14521-2021</t>
        </is>
      </c>
      <c r="B130" s="1" t="n">
        <v>44279.64934027778</v>
      </c>
      <c r="C130" s="1" t="n">
        <v>46101</v>
      </c>
      <c r="D130" t="inlineStr">
        <is>
          <t>KALMAR LÄN</t>
        </is>
      </c>
      <c r="E130" t="inlineStr">
        <is>
          <t>VIMMERBY</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15533-2022</t>
        </is>
      </c>
      <c r="B131" s="1" t="n">
        <v>44662</v>
      </c>
      <c r="C131" s="1" t="n">
        <v>46101</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165-2022</t>
        </is>
      </c>
      <c r="B132" s="1" t="n">
        <v>44564</v>
      </c>
      <c r="C132" s="1" t="n">
        <v>46101</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34040-2021</t>
        </is>
      </c>
      <c r="B133" s="1" t="n">
        <v>44379</v>
      </c>
      <c r="C133" s="1" t="n">
        <v>46101</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15200-2021</t>
        </is>
      </c>
      <c r="B134" s="1" t="n">
        <v>44284.44574074074</v>
      </c>
      <c r="C134" s="1" t="n">
        <v>46101</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12107-2022</t>
        </is>
      </c>
      <c r="B135" s="1" t="n">
        <v>44636</v>
      </c>
      <c r="C135" s="1" t="n">
        <v>46101</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39225-2022</t>
        </is>
      </c>
      <c r="B136" s="1" t="n">
        <v>44817.57988425926</v>
      </c>
      <c r="C136" s="1" t="n">
        <v>46101</v>
      </c>
      <c r="D136" t="inlineStr">
        <is>
          <t>KALMAR LÄN</t>
        </is>
      </c>
      <c r="E136" t="inlineStr">
        <is>
          <t>VIMMERBY</t>
        </is>
      </c>
      <c r="G136" t="n">
        <v>2.2</v>
      </c>
      <c r="H136" t="n">
        <v>0</v>
      </c>
      <c r="I136" t="n">
        <v>0</v>
      </c>
      <c r="J136" t="n">
        <v>0</v>
      </c>
      <c r="K136" t="n">
        <v>0</v>
      </c>
      <c r="L136" t="n">
        <v>0</v>
      </c>
      <c r="M136" t="n">
        <v>0</v>
      </c>
      <c r="N136" t="n">
        <v>0</v>
      </c>
      <c r="O136" t="n">
        <v>0</v>
      </c>
      <c r="P136" t="n">
        <v>0</v>
      </c>
      <c r="Q136" t="n">
        <v>0</v>
      </c>
      <c r="R136" s="2" t="inlineStr"/>
    </row>
    <row r="137" ht="15" customHeight="1">
      <c r="A137" t="inlineStr">
        <is>
          <t>A 16602-2021</t>
        </is>
      </c>
      <c r="B137" s="1" t="n">
        <v>44294</v>
      </c>
      <c r="C137" s="1" t="n">
        <v>46101</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16607-2021</t>
        </is>
      </c>
      <c r="B138" s="1" t="n">
        <v>44294</v>
      </c>
      <c r="C138" s="1" t="n">
        <v>46101</v>
      </c>
      <c r="D138" t="inlineStr">
        <is>
          <t>KALMAR LÄN</t>
        </is>
      </c>
      <c r="E138" t="inlineStr">
        <is>
          <t>VIMMERBY</t>
        </is>
      </c>
      <c r="G138" t="n">
        <v>1</v>
      </c>
      <c r="H138" t="n">
        <v>0</v>
      </c>
      <c r="I138" t="n">
        <v>0</v>
      </c>
      <c r="J138" t="n">
        <v>0</v>
      </c>
      <c r="K138" t="n">
        <v>0</v>
      </c>
      <c r="L138" t="n">
        <v>0</v>
      </c>
      <c r="M138" t="n">
        <v>0</v>
      </c>
      <c r="N138" t="n">
        <v>0</v>
      </c>
      <c r="O138" t="n">
        <v>0</v>
      </c>
      <c r="P138" t="n">
        <v>0</v>
      </c>
      <c r="Q138" t="n">
        <v>0</v>
      </c>
      <c r="R138" s="2" t="inlineStr"/>
    </row>
    <row r="139" ht="15" customHeight="1">
      <c r="A139" t="inlineStr">
        <is>
          <t>A 17029-2022</t>
        </is>
      </c>
      <c r="B139" s="1" t="n">
        <v>44676.85248842592</v>
      </c>
      <c r="C139" s="1" t="n">
        <v>46101</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18356-2021</t>
        </is>
      </c>
      <c r="B140" s="1" t="n">
        <v>44305</v>
      </c>
      <c r="C140" s="1" t="n">
        <v>46101</v>
      </c>
      <c r="D140" t="inlineStr">
        <is>
          <t>KALMAR LÄN</t>
        </is>
      </c>
      <c r="E140" t="inlineStr">
        <is>
          <t>VIMMERBY</t>
        </is>
      </c>
      <c r="G140" t="n">
        <v>3.4</v>
      </c>
      <c r="H140" t="n">
        <v>0</v>
      </c>
      <c r="I140" t="n">
        <v>0</v>
      </c>
      <c r="J140" t="n">
        <v>0</v>
      </c>
      <c r="K140" t="n">
        <v>0</v>
      </c>
      <c r="L140" t="n">
        <v>0</v>
      </c>
      <c r="M140" t="n">
        <v>0</v>
      </c>
      <c r="N140" t="n">
        <v>0</v>
      </c>
      <c r="O140" t="n">
        <v>0</v>
      </c>
      <c r="P140" t="n">
        <v>0</v>
      </c>
      <c r="Q140" t="n">
        <v>0</v>
      </c>
      <c r="R140" s="2" t="inlineStr"/>
    </row>
    <row r="141" ht="15" customHeight="1">
      <c r="A141" t="inlineStr">
        <is>
          <t>A 7167-2022</t>
        </is>
      </c>
      <c r="B141" s="1" t="n">
        <v>44604</v>
      </c>
      <c r="C141" s="1" t="n">
        <v>46101</v>
      </c>
      <c r="D141" t="inlineStr">
        <is>
          <t>KALMAR LÄN</t>
        </is>
      </c>
      <c r="E141" t="inlineStr">
        <is>
          <t>VIMMERBY</t>
        </is>
      </c>
      <c r="G141" t="n">
        <v>1.7</v>
      </c>
      <c r="H141" t="n">
        <v>0</v>
      </c>
      <c r="I141" t="n">
        <v>0</v>
      </c>
      <c r="J141" t="n">
        <v>0</v>
      </c>
      <c r="K141" t="n">
        <v>0</v>
      </c>
      <c r="L141" t="n">
        <v>0</v>
      </c>
      <c r="M141" t="n">
        <v>0</v>
      </c>
      <c r="N141" t="n">
        <v>0</v>
      </c>
      <c r="O141" t="n">
        <v>0</v>
      </c>
      <c r="P141" t="n">
        <v>0</v>
      </c>
      <c r="Q141" t="n">
        <v>0</v>
      </c>
      <c r="R141" s="2" t="inlineStr"/>
    </row>
    <row r="142" ht="15" customHeight="1">
      <c r="A142" t="inlineStr">
        <is>
          <t>A 35001-2021</t>
        </is>
      </c>
      <c r="B142" s="1" t="n">
        <v>44383</v>
      </c>
      <c r="C142" s="1" t="n">
        <v>46101</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46101</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40077-2021</t>
        </is>
      </c>
      <c r="B144" s="1" t="n">
        <v>44418</v>
      </c>
      <c r="C144" s="1" t="n">
        <v>46101</v>
      </c>
      <c r="D144" t="inlineStr">
        <is>
          <t>KALMAR LÄN</t>
        </is>
      </c>
      <c r="E144" t="inlineStr">
        <is>
          <t>VIMMERBY</t>
        </is>
      </c>
      <c r="G144" t="n">
        <v>2.9</v>
      </c>
      <c r="H144" t="n">
        <v>0</v>
      </c>
      <c r="I144" t="n">
        <v>0</v>
      </c>
      <c r="J144" t="n">
        <v>0</v>
      </c>
      <c r="K144" t="n">
        <v>0</v>
      </c>
      <c r="L144" t="n">
        <v>0</v>
      </c>
      <c r="M144" t="n">
        <v>0</v>
      </c>
      <c r="N144" t="n">
        <v>0</v>
      </c>
      <c r="O144" t="n">
        <v>0</v>
      </c>
      <c r="P144" t="n">
        <v>0</v>
      </c>
      <c r="Q144" t="n">
        <v>0</v>
      </c>
      <c r="R144" s="2" t="inlineStr"/>
    </row>
    <row r="145" ht="15" customHeight="1">
      <c r="A145" t="inlineStr">
        <is>
          <t>A 47769-2022</t>
        </is>
      </c>
      <c r="B145" s="1" t="n">
        <v>44854</v>
      </c>
      <c r="C145" s="1" t="n">
        <v>46101</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48377-2021</t>
        </is>
      </c>
      <c r="B146" s="1" t="n">
        <v>44451.8375</v>
      </c>
      <c r="C146" s="1" t="n">
        <v>46101</v>
      </c>
      <c r="D146" t="inlineStr">
        <is>
          <t>KALMAR LÄN</t>
        </is>
      </c>
      <c r="E146" t="inlineStr">
        <is>
          <t>VIMMERBY</t>
        </is>
      </c>
      <c r="G146" t="n">
        <v>0.4</v>
      </c>
      <c r="H146" t="n">
        <v>0</v>
      </c>
      <c r="I146" t="n">
        <v>0</v>
      </c>
      <c r="J146" t="n">
        <v>0</v>
      </c>
      <c r="K146" t="n">
        <v>0</v>
      </c>
      <c r="L146" t="n">
        <v>0</v>
      </c>
      <c r="M146" t="n">
        <v>0</v>
      </c>
      <c r="N146" t="n">
        <v>0</v>
      </c>
      <c r="O146" t="n">
        <v>0</v>
      </c>
      <c r="P146" t="n">
        <v>0</v>
      </c>
      <c r="Q146" t="n">
        <v>0</v>
      </c>
      <c r="R146" s="2" t="inlineStr"/>
    </row>
    <row r="147" ht="15" customHeight="1">
      <c r="A147" t="inlineStr">
        <is>
          <t>A 40472-2022</t>
        </is>
      </c>
      <c r="B147" s="1" t="n">
        <v>44823</v>
      </c>
      <c r="C147" s="1" t="n">
        <v>46101</v>
      </c>
      <c r="D147" t="inlineStr">
        <is>
          <t>KALMAR LÄN</t>
        </is>
      </c>
      <c r="E147" t="inlineStr">
        <is>
          <t>VIMMERBY</t>
        </is>
      </c>
      <c r="G147" t="n">
        <v>2</v>
      </c>
      <c r="H147" t="n">
        <v>0</v>
      </c>
      <c r="I147" t="n">
        <v>0</v>
      </c>
      <c r="J147" t="n">
        <v>0</v>
      </c>
      <c r="K147" t="n">
        <v>0</v>
      </c>
      <c r="L147" t="n">
        <v>0</v>
      </c>
      <c r="M147" t="n">
        <v>0</v>
      </c>
      <c r="N147" t="n">
        <v>0</v>
      </c>
      <c r="O147" t="n">
        <v>0</v>
      </c>
      <c r="P147" t="n">
        <v>0</v>
      </c>
      <c r="Q147" t="n">
        <v>0</v>
      </c>
      <c r="R147" s="2" t="inlineStr"/>
    </row>
    <row r="148" ht="15" customHeight="1">
      <c r="A148" t="inlineStr">
        <is>
          <t>A 35316-2021</t>
        </is>
      </c>
      <c r="B148" s="1" t="n">
        <v>44384</v>
      </c>
      <c r="C148" s="1" t="n">
        <v>46101</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33831-2022</t>
        </is>
      </c>
      <c r="B149" s="1" t="n">
        <v>44790.48503472222</v>
      </c>
      <c r="C149" s="1" t="n">
        <v>46101</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9918-2022</t>
        </is>
      </c>
      <c r="B150" s="1" t="n">
        <v>44620</v>
      </c>
      <c r="C150" s="1" t="n">
        <v>46101</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47708-2022</t>
        </is>
      </c>
      <c r="B151" s="1" t="n">
        <v>44854.59157407407</v>
      </c>
      <c r="C151" s="1" t="n">
        <v>46101</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23825-2022</t>
        </is>
      </c>
      <c r="B152" s="1" t="n">
        <v>44722.48768518519</v>
      </c>
      <c r="C152" s="1" t="n">
        <v>46101</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18276-2021</t>
        </is>
      </c>
      <c r="B153" s="1" t="n">
        <v>44305.40046296296</v>
      </c>
      <c r="C153" s="1" t="n">
        <v>46101</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47473-2021</t>
        </is>
      </c>
      <c r="B154" s="1" t="n">
        <v>44447</v>
      </c>
      <c r="C154" s="1" t="n">
        <v>46101</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41056-2022</t>
        </is>
      </c>
      <c r="B155" s="1" t="n">
        <v>44824</v>
      </c>
      <c r="C155" s="1" t="n">
        <v>46101</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31660-2021</t>
        </is>
      </c>
      <c r="B156" s="1" t="n">
        <v>44369</v>
      </c>
      <c r="C156" s="1" t="n">
        <v>46101</v>
      </c>
      <c r="D156" t="inlineStr">
        <is>
          <t>KALMAR LÄN</t>
        </is>
      </c>
      <c r="E156" t="inlineStr">
        <is>
          <t>VIMMERBY</t>
        </is>
      </c>
      <c r="G156" t="n">
        <v>4.2</v>
      </c>
      <c r="H156" t="n">
        <v>0</v>
      </c>
      <c r="I156" t="n">
        <v>0</v>
      </c>
      <c r="J156" t="n">
        <v>0</v>
      </c>
      <c r="K156" t="n">
        <v>0</v>
      </c>
      <c r="L156" t="n">
        <v>0</v>
      </c>
      <c r="M156" t="n">
        <v>0</v>
      </c>
      <c r="N156" t="n">
        <v>0</v>
      </c>
      <c r="O156" t="n">
        <v>0</v>
      </c>
      <c r="P156" t="n">
        <v>0</v>
      </c>
      <c r="Q156" t="n">
        <v>0</v>
      </c>
      <c r="R156" s="2" t="inlineStr"/>
    </row>
    <row r="157" ht="15" customHeight="1">
      <c r="A157" t="inlineStr">
        <is>
          <t>A 27455-2022</t>
        </is>
      </c>
      <c r="B157" s="1" t="n">
        <v>44742</v>
      </c>
      <c r="C157" s="1" t="n">
        <v>46101</v>
      </c>
      <c r="D157" t="inlineStr">
        <is>
          <t>KALMAR LÄN</t>
        </is>
      </c>
      <c r="E157" t="inlineStr">
        <is>
          <t>VIMMERBY</t>
        </is>
      </c>
      <c r="G157" t="n">
        <v>1.6</v>
      </c>
      <c r="H157" t="n">
        <v>0</v>
      </c>
      <c r="I157" t="n">
        <v>0</v>
      </c>
      <c r="J157" t="n">
        <v>0</v>
      </c>
      <c r="K157" t="n">
        <v>0</v>
      </c>
      <c r="L157" t="n">
        <v>0</v>
      </c>
      <c r="M157" t="n">
        <v>0</v>
      </c>
      <c r="N157" t="n">
        <v>0</v>
      </c>
      <c r="O157" t="n">
        <v>0</v>
      </c>
      <c r="P157" t="n">
        <v>0</v>
      </c>
      <c r="Q157" t="n">
        <v>0</v>
      </c>
      <c r="R157" s="2" t="inlineStr"/>
    </row>
    <row r="158" ht="15" customHeight="1">
      <c r="A158" t="inlineStr">
        <is>
          <t>A 32603-2021</t>
        </is>
      </c>
      <c r="B158" s="1" t="n">
        <v>44375.38789351852</v>
      </c>
      <c r="C158" s="1" t="n">
        <v>46101</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46101</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42521-2021</t>
        </is>
      </c>
      <c r="B160" s="1" t="n">
        <v>44427</v>
      </c>
      <c r="C160" s="1" t="n">
        <v>46101</v>
      </c>
      <c r="D160" t="inlineStr">
        <is>
          <t>KALMAR LÄN</t>
        </is>
      </c>
      <c r="E160" t="inlineStr">
        <is>
          <t>VIMMERBY</t>
        </is>
      </c>
      <c r="G160" t="n">
        <v>5.4</v>
      </c>
      <c r="H160" t="n">
        <v>0</v>
      </c>
      <c r="I160" t="n">
        <v>0</v>
      </c>
      <c r="J160" t="n">
        <v>0</v>
      </c>
      <c r="K160" t="n">
        <v>0</v>
      </c>
      <c r="L160" t="n">
        <v>0</v>
      </c>
      <c r="M160" t="n">
        <v>0</v>
      </c>
      <c r="N160" t="n">
        <v>0</v>
      </c>
      <c r="O160" t="n">
        <v>0</v>
      </c>
      <c r="P160" t="n">
        <v>0</v>
      </c>
      <c r="Q160" t="n">
        <v>0</v>
      </c>
      <c r="R160" s="2" t="inlineStr"/>
    </row>
    <row r="161" ht="15" customHeight="1">
      <c r="A161" t="inlineStr">
        <is>
          <t>A 46964-2022</t>
        </is>
      </c>
      <c r="B161" s="1" t="n">
        <v>44851.95016203704</v>
      </c>
      <c r="C161" s="1" t="n">
        <v>46101</v>
      </c>
      <c r="D161" t="inlineStr">
        <is>
          <t>KALMAR LÄN</t>
        </is>
      </c>
      <c r="E161" t="inlineStr">
        <is>
          <t>VIMMERBY</t>
        </is>
      </c>
      <c r="G161" t="n">
        <v>0.2</v>
      </c>
      <c r="H161" t="n">
        <v>0</v>
      </c>
      <c r="I161" t="n">
        <v>0</v>
      </c>
      <c r="J161" t="n">
        <v>0</v>
      </c>
      <c r="K161" t="n">
        <v>0</v>
      </c>
      <c r="L161" t="n">
        <v>0</v>
      </c>
      <c r="M161" t="n">
        <v>0</v>
      </c>
      <c r="N161" t="n">
        <v>0</v>
      </c>
      <c r="O161" t="n">
        <v>0</v>
      </c>
      <c r="P161" t="n">
        <v>0</v>
      </c>
      <c r="Q161" t="n">
        <v>0</v>
      </c>
      <c r="R161" s="2" t="inlineStr"/>
    </row>
    <row r="162" ht="15" customHeight="1">
      <c r="A162" t="inlineStr">
        <is>
          <t>A 13180-2022</t>
        </is>
      </c>
      <c r="B162" s="1" t="n">
        <v>44644</v>
      </c>
      <c r="C162" s="1" t="n">
        <v>46101</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42850-2022</t>
        </is>
      </c>
      <c r="B163" s="1" t="n">
        <v>44832.67608796297</v>
      </c>
      <c r="C163" s="1" t="n">
        <v>46101</v>
      </c>
      <c r="D163" t="inlineStr">
        <is>
          <t>KALMAR LÄN</t>
        </is>
      </c>
      <c r="E163" t="inlineStr">
        <is>
          <t>VIMMERBY</t>
        </is>
      </c>
      <c r="G163" t="n">
        <v>5.9</v>
      </c>
      <c r="H163" t="n">
        <v>0</v>
      </c>
      <c r="I163" t="n">
        <v>0</v>
      </c>
      <c r="J163" t="n">
        <v>0</v>
      </c>
      <c r="K163" t="n">
        <v>0</v>
      </c>
      <c r="L163" t="n">
        <v>0</v>
      </c>
      <c r="M163" t="n">
        <v>0</v>
      </c>
      <c r="N163" t="n">
        <v>0</v>
      </c>
      <c r="O163" t="n">
        <v>0</v>
      </c>
      <c r="P163" t="n">
        <v>0</v>
      </c>
      <c r="Q163" t="n">
        <v>0</v>
      </c>
      <c r="R163" s="2" t="inlineStr"/>
    </row>
    <row r="164" ht="15" customHeight="1">
      <c r="A164" t="inlineStr">
        <is>
          <t>A 10086-2022</t>
        </is>
      </c>
      <c r="B164" s="1" t="n">
        <v>44621</v>
      </c>
      <c r="C164" s="1" t="n">
        <v>46101</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53145-2022</t>
        </is>
      </c>
      <c r="B165" s="1" t="n">
        <v>44876.48346064815</v>
      </c>
      <c r="C165" s="1" t="n">
        <v>46101</v>
      </c>
      <c r="D165" t="inlineStr">
        <is>
          <t>KALMAR LÄN</t>
        </is>
      </c>
      <c r="E165" t="inlineStr">
        <is>
          <t>VIMMERBY</t>
        </is>
      </c>
      <c r="G165" t="n">
        <v>0.4</v>
      </c>
      <c r="H165" t="n">
        <v>0</v>
      </c>
      <c r="I165" t="n">
        <v>0</v>
      </c>
      <c r="J165" t="n">
        <v>0</v>
      </c>
      <c r="K165" t="n">
        <v>0</v>
      </c>
      <c r="L165" t="n">
        <v>0</v>
      </c>
      <c r="M165" t="n">
        <v>0</v>
      </c>
      <c r="N165" t="n">
        <v>0</v>
      </c>
      <c r="O165" t="n">
        <v>0</v>
      </c>
      <c r="P165" t="n">
        <v>0</v>
      </c>
      <c r="Q165" t="n">
        <v>0</v>
      </c>
      <c r="R165" s="2" t="inlineStr"/>
    </row>
    <row r="166" ht="15" customHeight="1">
      <c r="A166" t="inlineStr">
        <is>
          <t>A 25738-2022</t>
        </is>
      </c>
      <c r="B166" s="1" t="n">
        <v>44733.43092592592</v>
      </c>
      <c r="C166" s="1" t="n">
        <v>46101</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8194-2022</t>
        </is>
      </c>
      <c r="B167" s="1" t="n">
        <v>44609</v>
      </c>
      <c r="C167" s="1" t="n">
        <v>46101</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15191-2021</t>
        </is>
      </c>
      <c r="B168" s="1" t="n">
        <v>44284.42348379629</v>
      </c>
      <c r="C168" s="1" t="n">
        <v>46101</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40971-2021</t>
        </is>
      </c>
      <c r="B169" s="1" t="n">
        <v>44421</v>
      </c>
      <c r="C169" s="1" t="n">
        <v>46101</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14278-2021</t>
        </is>
      </c>
      <c r="B170" s="1" t="n">
        <v>44278.63479166666</v>
      </c>
      <c r="C170" s="1" t="n">
        <v>46101</v>
      </c>
      <c r="D170" t="inlineStr">
        <is>
          <t>KALMAR LÄN</t>
        </is>
      </c>
      <c r="E170" t="inlineStr">
        <is>
          <t>VIMMERBY</t>
        </is>
      </c>
      <c r="F170" t="inlineStr">
        <is>
          <t>Övriga statliga verk och myndigheter</t>
        </is>
      </c>
      <c r="G170" t="n">
        <v>0.8</v>
      </c>
      <c r="H170" t="n">
        <v>0</v>
      </c>
      <c r="I170" t="n">
        <v>0</v>
      </c>
      <c r="J170" t="n">
        <v>0</v>
      </c>
      <c r="K170" t="n">
        <v>0</v>
      </c>
      <c r="L170" t="n">
        <v>0</v>
      </c>
      <c r="M170" t="n">
        <v>0</v>
      </c>
      <c r="N170" t="n">
        <v>0</v>
      </c>
      <c r="O170" t="n">
        <v>0</v>
      </c>
      <c r="P170" t="n">
        <v>0</v>
      </c>
      <c r="Q170" t="n">
        <v>0</v>
      </c>
      <c r="R170" s="2" t="inlineStr"/>
    </row>
    <row r="171" ht="15" customHeight="1">
      <c r="A171" t="inlineStr">
        <is>
          <t>A 8453-2022</t>
        </is>
      </c>
      <c r="B171" s="1" t="n">
        <v>44612.86554398148</v>
      </c>
      <c r="C171" s="1" t="n">
        <v>46101</v>
      </c>
      <c r="D171" t="inlineStr">
        <is>
          <t>KALMAR LÄN</t>
        </is>
      </c>
      <c r="E171" t="inlineStr">
        <is>
          <t>VIMMERBY</t>
        </is>
      </c>
      <c r="G171" t="n">
        <v>1.7</v>
      </c>
      <c r="H171" t="n">
        <v>0</v>
      </c>
      <c r="I171" t="n">
        <v>0</v>
      </c>
      <c r="J171" t="n">
        <v>0</v>
      </c>
      <c r="K171" t="n">
        <v>0</v>
      </c>
      <c r="L171" t="n">
        <v>0</v>
      </c>
      <c r="M171" t="n">
        <v>0</v>
      </c>
      <c r="N171" t="n">
        <v>0</v>
      </c>
      <c r="O171" t="n">
        <v>0</v>
      </c>
      <c r="P171" t="n">
        <v>0</v>
      </c>
      <c r="Q171" t="n">
        <v>0</v>
      </c>
      <c r="R171" s="2" t="inlineStr"/>
    </row>
    <row r="172" ht="15" customHeight="1">
      <c r="A172" t="inlineStr">
        <is>
          <t>A 52433-2021</t>
        </is>
      </c>
      <c r="B172" s="1" t="n">
        <v>44466.34726851852</v>
      </c>
      <c r="C172" s="1" t="n">
        <v>46101</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50621-2022</t>
        </is>
      </c>
      <c r="B173" s="1" t="n">
        <v>44866.81100694444</v>
      </c>
      <c r="C173" s="1" t="n">
        <v>46101</v>
      </c>
      <c r="D173" t="inlineStr">
        <is>
          <t>KALMAR LÄN</t>
        </is>
      </c>
      <c r="E173" t="inlineStr">
        <is>
          <t>VIMMERBY</t>
        </is>
      </c>
      <c r="F173" t="inlineStr">
        <is>
          <t>Övriga Aktiebolag</t>
        </is>
      </c>
      <c r="G173" t="n">
        <v>5.1</v>
      </c>
      <c r="H173" t="n">
        <v>0</v>
      </c>
      <c r="I173" t="n">
        <v>0</v>
      </c>
      <c r="J173" t="n">
        <v>0</v>
      </c>
      <c r="K173" t="n">
        <v>0</v>
      </c>
      <c r="L173" t="n">
        <v>0</v>
      </c>
      <c r="M173" t="n">
        <v>0</v>
      </c>
      <c r="N173" t="n">
        <v>0</v>
      </c>
      <c r="O173" t="n">
        <v>0</v>
      </c>
      <c r="P173" t="n">
        <v>0</v>
      </c>
      <c r="Q173" t="n">
        <v>0</v>
      </c>
      <c r="R173" s="2" t="inlineStr"/>
    </row>
    <row r="174" ht="15" customHeight="1">
      <c r="A174" t="inlineStr">
        <is>
          <t>A 11733-2022</t>
        </is>
      </c>
      <c r="B174" s="1" t="n">
        <v>44634</v>
      </c>
      <c r="C174" s="1" t="n">
        <v>46101</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7804-2022</t>
        </is>
      </c>
      <c r="B175" s="1" t="n">
        <v>44608.50458333334</v>
      </c>
      <c r="C175" s="1" t="n">
        <v>46101</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39042-2022</t>
        </is>
      </c>
      <c r="B176" s="1" t="n">
        <v>44817</v>
      </c>
      <c r="C176" s="1" t="n">
        <v>46101</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54065-2021</t>
        </is>
      </c>
      <c r="B177" s="1" t="n">
        <v>44470.44232638889</v>
      </c>
      <c r="C177" s="1" t="n">
        <v>46101</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16288-2021</t>
        </is>
      </c>
      <c r="B178" s="1" t="n">
        <v>44292</v>
      </c>
      <c r="C178" s="1" t="n">
        <v>46101</v>
      </c>
      <c r="D178" t="inlineStr">
        <is>
          <t>KALMAR LÄN</t>
        </is>
      </c>
      <c r="E178" t="inlineStr">
        <is>
          <t>VIMMERBY</t>
        </is>
      </c>
      <c r="F178" t="inlineStr">
        <is>
          <t>Övriga Aktiebolag</t>
        </is>
      </c>
      <c r="G178" t="n">
        <v>27.6</v>
      </c>
      <c r="H178" t="n">
        <v>0</v>
      </c>
      <c r="I178" t="n">
        <v>0</v>
      </c>
      <c r="J178" t="n">
        <v>0</v>
      </c>
      <c r="K178" t="n">
        <v>0</v>
      </c>
      <c r="L178" t="n">
        <v>0</v>
      </c>
      <c r="M178" t="n">
        <v>0</v>
      </c>
      <c r="N178" t="n">
        <v>0</v>
      </c>
      <c r="O178" t="n">
        <v>0</v>
      </c>
      <c r="P178" t="n">
        <v>0</v>
      </c>
      <c r="Q178" t="n">
        <v>0</v>
      </c>
      <c r="R178" s="2" t="inlineStr"/>
    </row>
    <row r="179" ht="15" customHeight="1">
      <c r="A179" t="inlineStr">
        <is>
          <t>A 29441-2024</t>
        </is>
      </c>
      <c r="B179" s="1" t="n">
        <v>45483.82834490741</v>
      </c>
      <c r="C179" s="1" t="n">
        <v>46101</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31824-2022</t>
        </is>
      </c>
      <c r="B180" s="1" t="n">
        <v>44776</v>
      </c>
      <c r="C180" s="1" t="n">
        <v>46101</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25728-2023</t>
        </is>
      </c>
      <c r="B181" s="1" t="n">
        <v>45090.38012731481</v>
      </c>
      <c r="C181" s="1" t="n">
        <v>46101</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33359-2021</t>
        </is>
      </c>
      <c r="B182" s="1" t="n">
        <v>44377.49684027778</v>
      </c>
      <c r="C182" s="1" t="n">
        <v>46101</v>
      </c>
      <c r="D182" t="inlineStr">
        <is>
          <t>KALMAR LÄN</t>
        </is>
      </c>
      <c r="E182" t="inlineStr">
        <is>
          <t>VIMMERBY</t>
        </is>
      </c>
      <c r="F182" t="inlineStr">
        <is>
          <t>Kommuner</t>
        </is>
      </c>
      <c r="G182" t="n">
        <v>8</v>
      </c>
      <c r="H182" t="n">
        <v>0</v>
      </c>
      <c r="I182" t="n">
        <v>0</v>
      </c>
      <c r="J182" t="n">
        <v>0</v>
      </c>
      <c r="K182" t="n">
        <v>0</v>
      </c>
      <c r="L182" t="n">
        <v>0</v>
      </c>
      <c r="M182" t="n">
        <v>0</v>
      </c>
      <c r="N182" t="n">
        <v>0</v>
      </c>
      <c r="O182" t="n">
        <v>0</v>
      </c>
      <c r="P182" t="n">
        <v>0</v>
      </c>
      <c r="Q182" t="n">
        <v>0</v>
      </c>
      <c r="R182" s="2" t="inlineStr"/>
    </row>
    <row r="183" ht="15" customHeight="1">
      <c r="A183" t="inlineStr">
        <is>
          <t>A 43038-2022</t>
        </is>
      </c>
      <c r="B183" s="1" t="n">
        <v>44833.60123842592</v>
      </c>
      <c r="C183" s="1" t="n">
        <v>46101</v>
      </c>
      <c r="D183" t="inlineStr">
        <is>
          <t>KALMAR LÄN</t>
        </is>
      </c>
      <c r="E183" t="inlineStr">
        <is>
          <t>VIMMERBY</t>
        </is>
      </c>
      <c r="G183" t="n">
        <v>4.2</v>
      </c>
      <c r="H183" t="n">
        <v>0</v>
      </c>
      <c r="I183" t="n">
        <v>0</v>
      </c>
      <c r="J183" t="n">
        <v>0</v>
      </c>
      <c r="K183" t="n">
        <v>0</v>
      </c>
      <c r="L183" t="n">
        <v>0</v>
      </c>
      <c r="M183" t="n">
        <v>0</v>
      </c>
      <c r="N183" t="n">
        <v>0</v>
      </c>
      <c r="O183" t="n">
        <v>0</v>
      </c>
      <c r="P183" t="n">
        <v>0</v>
      </c>
      <c r="Q183" t="n">
        <v>0</v>
      </c>
      <c r="R183" s="2" t="inlineStr"/>
    </row>
    <row r="184" ht="15" customHeight="1">
      <c r="A184" t="inlineStr">
        <is>
          <t>A 50087-2023</t>
        </is>
      </c>
      <c r="B184" s="1" t="n">
        <v>45215.59743055556</v>
      </c>
      <c r="C184" s="1" t="n">
        <v>46101</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33681-2022</t>
        </is>
      </c>
      <c r="B185" s="1" t="n">
        <v>44789</v>
      </c>
      <c r="C185" s="1" t="n">
        <v>46101</v>
      </c>
      <c r="D185" t="inlineStr">
        <is>
          <t>KALMAR LÄN</t>
        </is>
      </c>
      <c r="E185" t="inlineStr">
        <is>
          <t>VIMMERBY</t>
        </is>
      </c>
      <c r="G185" t="n">
        <v>3.2</v>
      </c>
      <c r="H185" t="n">
        <v>0</v>
      </c>
      <c r="I185" t="n">
        <v>0</v>
      </c>
      <c r="J185" t="n">
        <v>0</v>
      </c>
      <c r="K185" t="n">
        <v>0</v>
      </c>
      <c r="L185" t="n">
        <v>0</v>
      </c>
      <c r="M185" t="n">
        <v>0</v>
      </c>
      <c r="N185" t="n">
        <v>0</v>
      </c>
      <c r="O185" t="n">
        <v>0</v>
      </c>
      <c r="P185" t="n">
        <v>0</v>
      </c>
      <c r="Q185" t="n">
        <v>0</v>
      </c>
      <c r="R185" s="2" t="inlineStr"/>
    </row>
    <row r="186" ht="15" customHeight="1">
      <c r="A186" t="inlineStr">
        <is>
          <t>A 52435-2021</t>
        </is>
      </c>
      <c r="B186" s="1" t="n">
        <v>44466.34962962963</v>
      </c>
      <c r="C186" s="1" t="n">
        <v>46101</v>
      </c>
      <c r="D186" t="inlineStr">
        <is>
          <t>KALMAR LÄN</t>
        </is>
      </c>
      <c r="E186" t="inlineStr">
        <is>
          <t>VIMMERBY</t>
        </is>
      </c>
      <c r="G186" t="n">
        <v>2.8</v>
      </c>
      <c r="H186" t="n">
        <v>0</v>
      </c>
      <c r="I186" t="n">
        <v>0</v>
      </c>
      <c r="J186" t="n">
        <v>0</v>
      </c>
      <c r="K186" t="n">
        <v>0</v>
      </c>
      <c r="L186" t="n">
        <v>0</v>
      </c>
      <c r="M186" t="n">
        <v>0</v>
      </c>
      <c r="N186" t="n">
        <v>0</v>
      </c>
      <c r="O186" t="n">
        <v>0</v>
      </c>
      <c r="P186" t="n">
        <v>0</v>
      </c>
      <c r="Q186" t="n">
        <v>0</v>
      </c>
      <c r="R186" s="2" t="inlineStr"/>
    </row>
    <row r="187" ht="15" customHeight="1">
      <c r="A187" t="inlineStr">
        <is>
          <t>A 29093-2023</t>
        </is>
      </c>
      <c r="B187" s="1" t="n">
        <v>45105</v>
      </c>
      <c r="C187" s="1" t="n">
        <v>46101</v>
      </c>
      <c r="D187" t="inlineStr">
        <is>
          <t>KALMAR LÄN</t>
        </is>
      </c>
      <c r="E187" t="inlineStr">
        <is>
          <t>VIMMERBY</t>
        </is>
      </c>
      <c r="G187" t="n">
        <v>2.9</v>
      </c>
      <c r="H187" t="n">
        <v>0</v>
      </c>
      <c r="I187" t="n">
        <v>0</v>
      </c>
      <c r="J187" t="n">
        <v>0</v>
      </c>
      <c r="K187" t="n">
        <v>0</v>
      </c>
      <c r="L187" t="n">
        <v>0</v>
      </c>
      <c r="M187" t="n">
        <v>0</v>
      </c>
      <c r="N187" t="n">
        <v>0</v>
      </c>
      <c r="O187" t="n">
        <v>0</v>
      </c>
      <c r="P187" t="n">
        <v>0</v>
      </c>
      <c r="Q187" t="n">
        <v>0</v>
      </c>
      <c r="R187" s="2" t="inlineStr"/>
    </row>
    <row r="188" ht="15" customHeight="1">
      <c r="A188" t="inlineStr">
        <is>
          <t>A 14220-2021</t>
        </is>
      </c>
      <c r="B188" s="1" t="n">
        <v>44278.54855324074</v>
      </c>
      <c r="C188" s="1" t="n">
        <v>46101</v>
      </c>
      <c r="D188" t="inlineStr">
        <is>
          <t>KALMAR LÄN</t>
        </is>
      </c>
      <c r="E188" t="inlineStr">
        <is>
          <t>VIMMERBY</t>
        </is>
      </c>
      <c r="G188" t="n">
        <v>0.3</v>
      </c>
      <c r="H188" t="n">
        <v>0</v>
      </c>
      <c r="I188" t="n">
        <v>0</v>
      </c>
      <c r="J188" t="n">
        <v>0</v>
      </c>
      <c r="K188" t="n">
        <v>0</v>
      </c>
      <c r="L188" t="n">
        <v>0</v>
      </c>
      <c r="M188" t="n">
        <v>0</v>
      </c>
      <c r="N188" t="n">
        <v>0</v>
      </c>
      <c r="O188" t="n">
        <v>0</v>
      </c>
      <c r="P188" t="n">
        <v>0</v>
      </c>
      <c r="Q188" t="n">
        <v>0</v>
      </c>
      <c r="R188" s="2" t="inlineStr"/>
    </row>
    <row r="189" ht="15" customHeight="1">
      <c r="A189" t="inlineStr">
        <is>
          <t>A 16825-2024</t>
        </is>
      </c>
      <c r="B189" s="1" t="n">
        <v>45411.47335648148</v>
      </c>
      <c r="C189" s="1" t="n">
        <v>46101</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12033-2024</t>
        </is>
      </c>
      <c r="B190" s="1" t="n">
        <v>45377.40043981482</v>
      </c>
      <c r="C190" s="1" t="n">
        <v>46101</v>
      </c>
      <c r="D190" t="inlineStr">
        <is>
          <t>KALMAR LÄN</t>
        </is>
      </c>
      <c r="E190" t="inlineStr">
        <is>
          <t>VIMMERBY</t>
        </is>
      </c>
      <c r="G190" t="n">
        <v>1.6</v>
      </c>
      <c r="H190" t="n">
        <v>0</v>
      </c>
      <c r="I190" t="n">
        <v>0</v>
      </c>
      <c r="J190" t="n">
        <v>0</v>
      </c>
      <c r="K190" t="n">
        <v>0</v>
      </c>
      <c r="L190" t="n">
        <v>0</v>
      </c>
      <c r="M190" t="n">
        <v>0</v>
      </c>
      <c r="N190" t="n">
        <v>0</v>
      </c>
      <c r="O190" t="n">
        <v>0</v>
      </c>
      <c r="P190" t="n">
        <v>0</v>
      </c>
      <c r="Q190" t="n">
        <v>0</v>
      </c>
      <c r="R190" s="2" t="inlineStr"/>
    </row>
    <row r="191" ht="15" customHeight="1">
      <c r="A191" t="inlineStr">
        <is>
          <t>A 28395-2023</t>
        </is>
      </c>
      <c r="B191" s="1" t="n">
        <v>45100.4062962963</v>
      </c>
      <c r="C191" s="1" t="n">
        <v>46101</v>
      </c>
      <c r="D191" t="inlineStr">
        <is>
          <t>KALMAR LÄN</t>
        </is>
      </c>
      <c r="E191" t="inlineStr">
        <is>
          <t>VIMMERBY</t>
        </is>
      </c>
      <c r="G191" t="n">
        <v>1.4</v>
      </c>
      <c r="H191" t="n">
        <v>0</v>
      </c>
      <c r="I191" t="n">
        <v>0</v>
      </c>
      <c r="J191" t="n">
        <v>0</v>
      </c>
      <c r="K191" t="n">
        <v>0</v>
      </c>
      <c r="L191" t="n">
        <v>0</v>
      </c>
      <c r="M191" t="n">
        <v>0</v>
      </c>
      <c r="N191" t="n">
        <v>0</v>
      </c>
      <c r="O191" t="n">
        <v>0</v>
      </c>
      <c r="P191" t="n">
        <v>0</v>
      </c>
      <c r="Q191" t="n">
        <v>0</v>
      </c>
      <c r="R191" s="2" t="inlineStr"/>
    </row>
    <row r="192" ht="15" customHeight="1">
      <c r="A192" t="inlineStr">
        <is>
          <t>A 6214-2025</t>
        </is>
      </c>
      <c r="B192" s="1" t="n">
        <v>45698.51711805556</v>
      </c>
      <c r="C192" s="1" t="n">
        <v>46101</v>
      </c>
      <c r="D192" t="inlineStr">
        <is>
          <t>KALMAR LÄN</t>
        </is>
      </c>
      <c r="E192" t="inlineStr">
        <is>
          <t>VIMMERBY</t>
        </is>
      </c>
      <c r="G192" t="n">
        <v>1.2</v>
      </c>
      <c r="H192" t="n">
        <v>0</v>
      </c>
      <c r="I192" t="n">
        <v>0</v>
      </c>
      <c r="J192" t="n">
        <v>0</v>
      </c>
      <c r="K192" t="n">
        <v>0</v>
      </c>
      <c r="L192" t="n">
        <v>0</v>
      </c>
      <c r="M192" t="n">
        <v>0</v>
      </c>
      <c r="N192" t="n">
        <v>0</v>
      </c>
      <c r="O192" t="n">
        <v>0</v>
      </c>
      <c r="P192" t="n">
        <v>0</v>
      </c>
      <c r="Q192" t="n">
        <v>0</v>
      </c>
      <c r="R192" s="2" t="inlineStr"/>
    </row>
    <row r="193" ht="15" customHeight="1">
      <c r="A193" t="inlineStr">
        <is>
          <t>A 18501-2024</t>
        </is>
      </c>
      <c r="B193" s="1" t="n">
        <v>45425.57538194444</v>
      </c>
      <c r="C193" s="1" t="n">
        <v>46101</v>
      </c>
      <c r="D193" t="inlineStr">
        <is>
          <t>KALMAR LÄN</t>
        </is>
      </c>
      <c r="E193" t="inlineStr">
        <is>
          <t>VIMMERBY</t>
        </is>
      </c>
      <c r="G193" t="n">
        <v>2</v>
      </c>
      <c r="H193" t="n">
        <v>0</v>
      </c>
      <c r="I193" t="n">
        <v>0</v>
      </c>
      <c r="J193" t="n">
        <v>0</v>
      </c>
      <c r="K193" t="n">
        <v>0</v>
      </c>
      <c r="L193" t="n">
        <v>0</v>
      </c>
      <c r="M193" t="n">
        <v>0</v>
      </c>
      <c r="N193" t="n">
        <v>0</v>
      </c>
      <c r="O193" t="n">
        <v>0</v>
      </c>
      <c r="P193" t="n">
        <v>0</v>
      </c>
      <c r="Q193" t="n">
        <v>0</v>
      </c>
      <c r="R193" s="2" t="inlineStr"/>
    </row>
    <row r="194" ht="15" customHeight="1">
      <c r="A194" t="inlineStr">
        <is>
          <t>A 49408-2023</t>
        </is>
      </c>
      <c r="B194" s="1" t="n">
        <v>45211.43555555555</v>
      </c>
      <c r="C194" s="1" t="n">
        <v>46101</v>
      </c>
      <c r="D194" t="inlineStr">
        <is>
          <t>KALMAR LÄN</t>
        </is>
      </c>
      <c r="E194" t="inlineStr">
        <is>
          <t>VIMMERBY</t>
        </is>
      </c>
      <c r="G194" t="n">
        <v>13.1</v>
      </c>
      <c r="H194" t="n">
        <v>0</v>
      </c>
      <c r="I194" t="n">
        <v>0</v>
      </c>
      <c r="J194" t="n">
        <v>0</v>
      </c>
      <c r="K194" t="n">
        <v>0</v>
      </c>
      <c r="L194" t="n">
        <v>0</v>
      </c>
      <c r="M194" t="n">
        <v>0</v>
      </c>
      <c r="N194" t="n">
        <v>0</v>
      </c>
      <c r="O194" t="n">
        <v>0</v>
      </c>
      <c r="P194" t="n">
        <v>0</v>
      </c>
      <c r="Q194" t="n">
        <v>0</v>
      </c>
      <c r="R194" s="2" t="inlineStr"/>
    </row>
    <row r="195" ht="15" customHeight="1">
      <c r="A195" t="inlineStr">
        <is>
          <t>A 57256-2023</t>
        </is>
      </c>
      <c r="B195" s="1" t="n">
        <v>45245.5735300926</v>
      </c>
      <c r="C195" s="1" t="n">
        <v>46101</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27443-2023</t>
        </is>
      </c>
      <c r="B196" s="1" t="n">
        <v>45097.40524305555</v>
      </c>
      <c r="C196" s="1" t="n">
        <v>46101</v>
      </c>
      <c r="D196" t="inlineStr">
        <is>
          <t>KALMAR LÄN</t>
        </is>
      </c>
      <c r="E196" t="inlineStr">
        <is>
          <t>VIMMERBY</t>
        </is>
      </c>
      <c r="F196" t="inlineStr">
        <is>
          <t>Övriga Aktiebolag</t>
        </is>
      </c>
      <c r="G196" t="n">
        <v>2.3</v>
      </c>
      <c r="H196" t="n">
        <v>0</v>
      </c>
      <c r="I196" t="n">
        <v>0</v>
      </c>
      <c r="J196" t="n">
        <v>0</v>
      </c>
      <c r="K196" t="n">
        <v>0</v>
      </c>
      <c r="L196" t="n">
        <v>0</v>
      </c>
      <c r="M196" t="n">
        <v>0</v>
      </c>
      <c r="N196" t="n">
        <v>0</v>
      </c>
      <c r="O196" t="n">
        <v>0</v>
      </c>
      <c r="P196" t="n">
        <v>0</v>
      </c>
      <c r="Q196" t="n">
        <v>0</v>
      </c>
      <c r="R196" s="2" t="inlineStr"/>
    </row>
    <row r="197" ht="15" customHeight="1">
      <c r="A197" t="inlineStr">
        <is>
          <t>A 25799-2023</t>
        </is>
      </c>
      <c r="B197" s="1" t="n">
        <v>45090</v>
      </c>
      <c r="C197" s="1" t="n">
        <v>46101</v>
      </c>
      <c r="D197" t="inlineStr">
        <is>
          <t>KALMAR LÄN</t>
        </is>
      </c>
      <c r="E197" t="inlineStr">
        <is>
          <t>VIMMERBY</t>
        </is>
      </c>
      <c r="G197" t="n">
        <v>7.7</v>
      </c>
      <c r="H197" t="n">
        <v>0</v>
      </c>
      <c r="I197" t="n">
        <v>0</v>
      </c>
      <c r="J197" t="n">
        <v>0</v>
      </c>
      <c r="K197" t="n">
        <v>0</v>
      </c>
      <c r="L197" t="n">
        <v>0</v>
      </c>
      <c r="M197" t="n">
        <v>0</v>
      </c>
      <c r="N197" t="n">
        <v>0</v>
      </c>
      <c r="O197" t="n">
        <v>0</v>
      </c>
      <c r="P197" t="n">
        <v>0</v>
      </c>
      <c r="Q197" t="n">
        <v>0</v>
      </c>
      <c r="R197" s="2" t="inlineStr"/>
    </row>
    <row r="198" ht="15" customHeight="1">
      <c r="A198" t="inlineStr">
        <is>
          <t>A 23088-2024</t>
        </is>
      </c>
      <c r="B198" s="1" t="n">
        <v>45450.51092592593</v>
      </c>
      <c r="C198" s="1" t="n">
        <v>46101</v>
      </c>
      <c r="D198" t="inlineStr">
        <is>
          <t>KALMAR LÄN</t>
        </is>
      </c>
      <c r="E198" t="inlineStr">
        <is>
          <t>VIMMERBY</t>
        </is>
      </c>
      <c r="G198" t="n">
        <v>1.9</v>
      </c>
      <c r="H198" t="n">
        <v>0</v>
      </c>
      <c r="I198" t="n">
        <v>0</v>
      </c>
      <c r="J198" t="n">
        <v>0</v>
      </c>
      <c r="K198" t="n">
        <v>0</v>
      </c>
      <c r="L198" t="n">
        <v>0</v>
      </c>
      <c r="M198" t="n">
        <v>0</v>
      </c>
      <c r="N198" t="n">
        <v>0</v>
      </c>
      <c r="O198" t="n">
        <v>0</v>
      </c>
      <c r="P198" t="n">
        <v>0</v>
      </c>
      <c r="Q198" t="n">
        <v>0</v>
      </c>
      <c r="R198" s="2" t="inlineStr"/>
    </row>
    <row r="199" ht="15" customHeight="1">
      <c r="A199" t="inlineStr">
        <is>
          <t>A 57189-2022</t>
        </is>
      </c>
      <c r="B199" s="1" t="n">
        <v>44895.62296296296</v>
      </c>
      <c r="C199" s="1" t="n">
        <v>46101</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16015-2025</t>
        </is>
      </c>
      <c r="B200" s="1" t="n">
        <v>45749.60487268519</v>
      </c>
      <c r="C200" s="1" t="n">
        <v>46101</v>
      </c>
      <c r="D200" t="inlineStr">
        <is>
          <t>KALMAR LÄN</t>
        </is>
      </c>
      <c r="E200" t="inlineStr">
        <is>
          <t>VIMMERBY</t>
        </is>
      </c>
      <c r="F200" t="inlineStr">
        <is>
          <t>Kyrkan</t>
        </is>
      </c>
      <c r="G200" t="n">
        <v>2.7</v>
      </c>
      <c r="H200" t="n">
        <v>0</v>
      </c>
      <c r="I200" t="n">
        <v>0</v>
      </c>
      <c r="J200" t="n">
        <v>0</v>
      </c>
      <c r="K200" t="n">
        <v>0</v>
      </c>
      <c r="L200" t="n">
        <v>0</v>
      </c>
      <c r="M200" t="n">
        <v>0</v>
      </c>
      <c r="N200" t="n">
        <v>0</v>
      </c>
      <c r="O200" t="n">
        <v>0</v>
      </c>
      <c r="P200" t="n">
        <v>0</v>
      </c>
      <c r="Q200" t="n">
        <v>0</v>
      </c>
      <c r="R200" s="2" t="inlineStr"/>
    </row>
    <row r="201" ht="15" customHeight="1">
      <c r="A201" t="inlineStr">
        <is>
          <t>A 1987-2024</t>
        </is>
      </c>
      <c r="B201" s="1" t="n">
        <v>45308.61152777778</v>
      </c>
      <c r="C201" s="1" t="n">
        <v>46101</v>
      </c>
      <c r="D201" t="inlineStr">
        <is>
          <t>KALMAR LÄN</t>
        </is>
      </c>
      <c r="E201" t="inlineStr">
        <is>
          <t>VIMMERBY</t>
        </is>
      </c>
      <c r="G201" t="n">
        <v>3</v>
      </c>
      <c r="H201" t="n">
        <v>0</v>
      </c>
      <c r="I201" t="n">
        <v>0</v>
      </c>
      <c r="J201" t="n">
        <v>0</v>
      </c>
      <c r="K201" t="n">
        <v>0</v>
      </c>
      <c r="L201" t="n">
        <v>0</v>
      </c>
      <c r="M201" t="n">
        <v>0</v>
      </c>
      <c r="N201" t="n">
        <v>0</v>
      </c>
      <c r="O201" t="n">
        <v>0</v>
      </c>
      <c r="P201" t="n">
        <v>0</v>
      </c>
      <c r="Q201" t="n">
        <v>0</v>
      </c>
      <c r="R201" s="2" t="inlineStr"/>
    </row>
    <row r="202" ht="15" customHeight="1">
      <c r="A202" t="inlineStr">
        <is>
          <t>A 527-2024</t>
        </is>
      </c>
      <c r="B202" s="1" t="n">
        <v>45299.47513888889</v>
      </c>
      <c r="C202" s="1" t="n">
        <v>46101</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37192-2024</t>
        </is>
      </c>
      <c r="B203" s="1" t="n">
        <v>45539.66027777778</v>
      </c>
      <c r="C203" s="1" t="n">
        <v>46101</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47063-2022</t>
        </is>
      </c>
      <c r="B204" s="1" t="n">
        <v>44852</v>
      </c>
      <c r="C204" s="1" t="n">
        <v>46101</v>
      </c>
      <c r="D204" t="inlineStr">
        <is>
          <t>KALMAR LÄN</t>
        </is>
      </c>
      <c r="E204" t="inlineStr">
        <is>
          <t>VIMMERBY</t>
        </is>
      </c>
      <c r="G204" t="n">
        <v>2.5</v>
      </c>
      <c r="H204" t="n">
        <v>0</v>
      </c>
      <c r="I204" t="n">
        <v>0</v>
      </c>
      <c r="J204" t="n">
        <v>0</v>
      </c>
      <c r="K204" t="n">
        <v>0</v>
      </c>
      <c r="L204" t="n">
        <v>0</v>
      </c>
      <c r="M204" t="n">
        <v>0</v>
      </c>
      <c r="N204" t="n">
        <v>0</v>
      </c>
      <c r="O204" t="n">
        <v>0</v>
      </c>
      <c r="P204" t="n">
        <v>0</v>
      </c>
      <c r="Q204" t="n">
        <v>0</v>
      </c>
      <c r="R204" s="2" t="inlineStr"/>
    </row>
    <row r="205" ht="15" customHeight="1">
      <c r="A205" t="inlineStr">
        <is>
          <t>A 12819-2024</t>
        </is>
      </c>
      <c r="B205" s="1" t="n">
        <v>45384.66917824074</v>
      </c>
      <c r="C205" s="1" t="n">
        <v>46101</v>
      </c>
      <c r="D205" t="inlineStr">
        <is>
          <t>KALMAR LÄN</t>
        </is>
      </c>
      <c r="E205" t="inlineStr">
        <is>
          <t>VIMMERBY</t>
        </is>
      </c>
      <c r="G205" t="n">
        <v>5.1</v>
      </c>
      <c r="H205" t="n">
        <v>0</v>
      </c>
      <c r="I205" t="n">
        <v>0</v>
      </c>
      <c r="J205" t="n">
        <v>0</v>
      </c>
      <c r="K205" t="n">
        <v>0</v>
      </c>
      <c r="L205" t="n">
        <v>0</v>
      </c>
      <c r="M205" t="n">
        <v>0</v>
      </c>
      <c r="N205" t="n">
        <v>0</v>
      </c>
      <c r="O205" t="n">
        <v>0</v>
      </c>
      <c r="P205" t="n">
        <v>0</v>
      </c>
      <c r="Q205" t="n">
        <v>0</v>
      </c>
      <c r="R205" s="2" t="inlineStr"/>
    </row>
    <row r="206" ht="15" customHeight="1">
      <c r="A206" t="inlineStr">
        <is>
          <t>A 31382-2023</t>
        </is>
      </c>
      <c r="B206" s="1" t="n">
        <v>45114.55136574074</v>
      </c>
      <c r="C206" s="1" t="n">
        <v>46101</v>
      </c>
      <c r="D206" t="inlineStr">
        <is>
          <t>KALMAR LÄN</t>
        </is>
      </c>
      <c r="E206" t="inlineStr">
        <is>
          <t>VIMMERBY</t>
        </is>
      </c>
      <c r="G206" t="n">
        <v>3.7</v>
      </c>
      <c r="H206" t="n">
        <v>0</v>
      </c>
      <c r="I206" t="n">
        <v>0</v>
      </c>
      <c r="J206" t="n">
        <v>0</v>
      </c>
      <c r="K206" t="n">
        <v>0</v>
      </c>
      <c r="L206" t="n">
        <v>0</v>
      </c>
      <c r="M206" t="n">
        <v>0</v>
      </c>
      <c r="N206" t="n">
        <v>0</v>
      </c>
      <c r="O206" t="n">
        <v>0</v>
      </c>
      <c r="P206" t="n">
        <v>0</v>
      </c>
      <c r="Q206" t="n">
        <v>0</v>
      </c>
      <c r="R206" s="2" t="inlineStr"/>
    </row>
    <row r="207" ht="15" customHeight="1">
      <c r="A207" t="inlineStr">
        <is>
          <t>A 11073-2023</t>
        </is>
      </c>
      <c r="B207" s="1" t="n">
        <v>44992</v>
      </c>
      <c r="C207" s="1" t="n">
        <v>46101</v>
      </c>
      <c r="D207" t="inlineStr">
        <is>
          <t>KALMAR LÄN</t>
        </is>
      </c>
      <c r="E207" t="inlineStr">
        <is>
          <t>VIMMERBY</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36802-2021</t>
        </is>
      </c>
      <c r="B208" s="1" t="n">
        <v>44392</v>
      </c>
      <c r="C208" s="1" t="n">
        <v>46101</v>
      </c>
      <c r="D208" t="inlineStr">
        <is>
          <t>KALMAR LÄN</t>
        </is>
      </c>
      <c r="E208" t="inlineStr">
        <is>
          <t>VIMMERBY</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59955-2023</t>
        </is>
      </c>
      <c r="B209" s="1" t="n">
        <v>45257.70313657408</v>
      </c>
      <c r="C209" s="1" t="n">
        <v>46101</v>
      </c>
      <c r="D209" t="inlineStr">
        <is>
          <t>KALMAR LÄN</t>
        </is>
      </c>
      <c r="E209" t="inlineStr">
        <is>
          <t>VIMMERBY</t>
        </is>
      </c>
      <c r="G209" t="n">
        <v>13.8</v>
      </c>
      <c r="H209" t="n">
        <v>0</v>
      </c>
      <c r="I209" t="n">
        <v>0</v>
      </c>
      <c r="J209" t="n">
        <v>0</v>
      </c>
      <c r="K209" t="n">
        <v>0</v>
      </c>
      <c r="L209" t="n">
        <v>0</v>
      </c>
      <c r="M209" t="n">
        <v>0</v>
      </c>
      <c r="N209" t="n">
        <v>0</v>
      </c>
      <c r="O209" t="n">
        <v>0</v>
      </c>
      <c r="P209" t="n">
        <v>0</v>
      </c>
      <c r="Q209" t="n">
        <v>0</v>
      </c>
      <c r="R209" s="2" t="inlineStr"/>
    </row>
    <row r="210" ht="15" customHeight="1">
      <c r="A210" t="inlineStr">
        <is>
          <t>A 61820-2023</t>
        </is>
      </c>
      <c r="B210" s="1" t="n">
        <v>45266.32614583334</v>
      </c>
      <c r="C210" s="1" t="n">
        <v>46101</v>
      </c>
      <c r="D210" t="inlineStr">
        <is>
          <t>KALMAR LÄN</t>
        </is>
      </c>
      <c r="E210" t="inlineStr">
        <is>
          <t>VIMMERBY</t>
        </is>
      </c>
      <c r="G210" t="n">
        <v>0.8</v>
      </c>
      <c r="H210" t="n">
        <v>0</v>
      </c>
      <c r="I210" t="n">
        <v>0</v>
      </c>
      <c r="J210" t="n">
        <v>0</v>
      </c>
      <c r="K210" t="n">
        <v>0</v>
      </c>
      <c r="L210" t="n">
        <v>0</v>
      </c>
      <c r="M210" t="n">
        <v>0</v>
      </c>
      <c r="N210" t="n">
        <v>0</v>
      </c>
      <c r="O210" t="n">
        <v>0</v>
      </c>
      <c r="P210" t="n">
        <v>0</v>
      </c>
      <c r="Q210" t="n">
        <v>0</v>
      </c>
      <c r="R210" s="2" t="inlineStr"/>
    </row>
    <row r="211" ht="15" customHeight="1">
      <c r="A211" t="inlineStr">
        <is>
          <t>A 9418-2024</t>
        </is>
      </c>
      <c r="B211" s="1" t="n">
        <v>45359.45038194444</v>
      </c>
      <c r="C211" s="1" t="n">
        <v>46101</v>
      </c>
      <c r="D211" t="inlineStr">
        <is>
          <t>KALMAR LÄN</t>
        </is>
      </c>
      <c r="E211" t="inlineStr">
        <is>
          <t>VIMMERBY</t>
        </is>
      </c>
      <c r="G211" t="n">
        <v>1.9</v>
      </c>
      <c r="H211" t="n">
        <v>0</v>
      </c>
      <c r="I211" t="n">
        <v>0</v>
      </c>
      <c r="J211" t="n">
        <v>0</v>
      </c>
      <c r="K211" t="n">
        <v>0</v>
      </c>
      <c r="L211" t="n">
        <v>0</v>
      </c>
      <c r="M211" t="n">
        <v>0</v>
      </c>
      <c r="N211" t="n">
        <v>0</v>
      </c>
      <c r="O211" t="n">
        <v>0</v>
      </c>
      <c r="P211" t="n">
        <v>0</v>
      </c>
      <c r="Q211" t="n">
        <v>0</v>
      </c>
      <c r="R211" s="2" t="inlineStr"/>
    </row>
    <row r="212" ht="15" customHeight="1">
      <c r="A212" t="inlineStr">
        <is>
          <t>A 3269-2024</t>
        </is>
      </c>
      <c r="B212" s="1" t="n">
        <v>45317.40372685185</v>
      </c>
      <c r="C212" s="1" t="n">
        <v>46101</v>
      </c>
      <c r="D212" t="inlineStr">
        <is>
          <t>KALMAR LÄN</t>
        </is>
      </c>
      <c r="E212" t="inlineStr">
        <is>
          <t>VIMMERBY</t>
        </is>
      </c>
      <c r="F212" t="inlineStr">
        <is>
          <t>Övriga Aktiebolag</t>
        </is>
      </c>
      <c r="G212" t="n">
        <v>1.7</v>
      </c>
      <c r="H212" t="n">
        <v>0</v>
      </c>
      <c r="I212" t="n">
        <v>0</v>
      </c>
      <c r="J212" t="n">
        <v>0</v>
      </c>
      <c r="K212" t="n">
        <v>0</v>
      </c>
      <c r="L212" t="n">
        <v>0</v>
      </c>
      <c r="M212" t="n">
        <v>0</v>
      </c>
      <c r="N212" t="n">
        <v>0</v>
      </c>
      <c r="O212" t="n">
        <v>0</v>
      </c>
      <c r="P212" t="n">
        <v>0</v>
      </c>
      <c r="Q212" t="n">
        <v>0</v>
      </c>
      <c r="R212" s="2" t="inlineStr"/>
    </row>
    <row r="213" ht="15" customHeight="1">
      <c r="A213" t="inlineStr">
        <is>
          <t>A 22197-2024</t>
        </is>
      </c>
      <c r="B213" s="1" t="n">
        <v>45446.36774305555</v>
      </c>
      <c r="C213" s="1" t="n">
        <v>46101</v>
      </c>
      <c r="D213" t="inlineStr">
        <is>
          <t>KALMAR LÄN</t>
        </is>
      </c>
      <c r="E213" t="inlineStr">
        <is>
          <t>VIMMERBY</t>
        </is>
      </c>
      <c r="F213" t="inlineStr">
        <is>
          <t>Sveaskog</t>
        </is>
      </c>
      <c r="G213" t="n">
        <v>3.2</v>
      </c>
      <c r="H213" t="n">
        <v>0</v>
      </c>
      <c r="I213" t="n">
        <v>0</v>
      </c>
      <c r="J213" t="n">
        <v>0</v>
      </c>
      <c r="K213" t="n">
        <v>0</v>
      </c>
      <c r="L213" t="n">
        <v>0</v>
      </c>
      <c r="M213" t="n">
        <v>0</v>
      </c>
      <c r="N213" t="n">
        <v>0</v>
      </c>
      <c r="O213" t="n">
        <v>0</v>
      </c>
      <c r="P213" t="n">
        <v>0</v>
      </c>
      <c r="Q213" t="n">
        <v>0</v>
      </c>
      <c r="R213" s="2" t="inlineStr"/>
    </row>
    <row r="214" ht="15" customHeight="1">
      <c r="A214" t="inlineStr">
        <is>
          <t>A 2157-2024</t>
        </is>
      </c>
      <c r="B214" s="1" t="n">
        <v>45309.59487268519</v>
      </c>
      <c r="C214" s="1" t="n">
        <v>46101</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9416-2024</t>
        </is>
      </c>
      <c r="B215" s="1" t="n">
        <v>45359.44837962963</v>
      </c>
      <c r="C215" s="1" t="n">
        <v>46101</v>
      </c>
      <c r="D215" t="inlineStr">
        <is>
          <t>KALMAR LÄN</t>
        </is>
      </c>
      <c r="E215" t="inlineStr">
        <is>
          <t>VIMMERBY</t>
        </is>
      </c>
      <c r="G215" t="n">
        <v>3.2</v>
      </c>
      <c r="H215" t="n">
        <v>0</v>
      </c>
      <c r="I215" t="n">
        <v>0</v>
      </c>
      <c r="J215" t="n">
        <v>0</v>
      </c>
      <c r="K215" t="n">
        <v>0</v>
      </c>
      <c r="L215" t="n">
        <v>0</v>
      </c>
      <c r="M215" t="n">
        <v>0</v>
      </c>
      <c r="N215" t="n">
        <v>0</v>
      </c>
      <c r="O215" t="n">
        <v>0</v>
      </c>
      <c r="P215" t="n">
        <v>0</v>
      </c>
      <c r="Q215" t="n">
        <v>0</v>
      </c>
      <c r="R215" s="2" t="inlineStr"/>
    </row>
    <row r="216" ht="15" customHeight="1">
      <c r="A216" t="inlineStr">
        <is>
          <t>A 58318-2021</t>
        </is>
      </c>
      <c r="B216" s="1" t="n">
        <v>44488.35878472222</v>
      </c>
      <c r="C216" s="1" t="n">
        <v>46101</v>
      </c>
      <c r="D216" t="inlineStr">
        <is>
          <t>KALMAR LÄN</t>
        </is>
      </c>
      <c r="E216" t="inlineStr">
        <is>
          <t>VIMMERBY</t>
        </is>
      </c>
      <c r="G216" t="n">
        <v>4</v>
      </c>
      <c r="H216" t="n">
        <v>0</v>
      </c>
      <c r="I216" t="n">
        <v>0</v>
      </c>
      <c r="J216" t="n">
        <v>0</v>
      </c>
      <c r="K216" t="n">
        <v>0</v>
      </c>
      <c r="L216" t="n">
        <v>0</v>
      </c>
      <c r="M216" t="n">
        <v>0</v>
      </c>
      <c r="N216" t="n">
        <v>0</v>
      </c>
      <c r="O216" t="n">
        <v>0</v>
      </c>
      <c r="P216" t="n">
        <v>0</v>
      </c>
      <c r="Q216" t="n">
        <v>0</v>
      </c>
      <c r="R216" s="2" t="inlineStr"/>
    </row>
    <row r="217" ht="15" customHeight="1">
      <c r="A217" t="inlineStr">
        <is>
          <t>A 49313-2022</t>
        </is>
      </c>
      <c r="B217" s="1" t="n">
        <v>44861.52505787037</v>
      </c>
      <c r="C217" s="1" t="n">
        <v>46101</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35998-2024</t>
        </is>
      </c>
      <c r="B218" s="1" t="n">
        <v>45533.54429398148</v>
      </c>
      <c r="C218" s="1" t="n">
        <v>46101</v>
      </c>
      <c r="D218" t="inlineStr">
        <is>
          <t>KALMAR LÄN</t>
        </is>
      </c>
      <c r="E218" t="inlineStr">
        <is>
          <t>VIMMERBY</t>
        </is>
      </c>
      <c r="G218" t="n">
        <v>8.6</v>
      </c>
      <c r="H218" t="n">
        <v>0</v>
      </c>
      <c r="I218" t="n">
        <v>0</v>
      </c>
      <c r="J218" t="n">
        <v>0</v>
      </c>
      <c r="K218" t="n">
        <v>0</v>
      </c>
      <c r="L218" t="n">
        <v>0</v>
      </c>
      <c r="M218" t="n">
        <v>0</v>
      </c>
      <c r="N218" t="n">
        <v>0</v>
      </c>
      <c r="O218" t="n">
        <v>0</v>
      </c>
      <c r="P218" t="n">
        <v>0</v>
      </c>
      <c r="Q218" t="n">
        <v>0</v>
      </c>
      <c r="R218" s="2" t="inlineStr"/>
    </row>
    <row r="219" ht="15" customHeight="1">
      <c r="A219" t="inlineStr">
        <is>
          <t>A 53083-2021</t>
        </is>
      </c>
      <c r="B219" s="1" t="n">
        <v>44467.83386574074</v>
      </c>
      <c r="C219" s="1" t="n">
        <v>46101</v>
      </c>
      <c r="D219" t="inlineStr">
        <is>
          <t>KALMAR LÄN</t>
        </is>
      </c>
      <c r="E219" t="inlineStr">
        <is>
          <t>VIMMERBY</t>
        </is>
      </c>
      <c r="G219" t="n">
        <v>6.8</v>
      </c>
      <c r="H219" t="n">
        <v>0</v>
      </c>
      <c r="I219" t="n">
        <v>0</v>
      </c>
      <c r="J219" t="n">
        <v>0</v>
      </c>
      <c r="K219" t="n">
        <v>0</v>
      </c>
      <c r="L219" t="n">
        <v>0</v>
      </c>
      <c r="M219" t="n">
        <v>0</v>
      </c>
      <c r="N219" t="n">
        <v>0</v>
      </c>
      <c r="O219" t="n">
        <v>0</v>
      </c>
      <c r="P219" t="n">
        <v>0</v>
      </c>
      <c r="Q219" t="n">
        <v>0</v>
      </c>
      <c r="R219" s="2" t="inlineStr"/>
    </row>
    <row r="220" ht="15" customHeight="1">
      <c r="A220" t="inlineStr">
        <is>
          <t>A 36040-2024</t>
        </is>
      </c>
      <c r="B220" s="1" t="n">
        <v>45533.60232638889</v>
      </c>
      <c r="C220" s="1" t="n">
        <v>46101</v>
      </c>
      <c r="D220" t="inlineStr">
        <is>
          <t>KALMAR LÄN</t>
        </is>
      </c>
      <c r="E220" t="inlineStr">
        <is>
          <t>VIMMERBY</t>
        </is>
      </c>
      <c r="F220" t="inlineStr">
        <is>
          <t>Kommuner</t>
        </is>
      </c>
      <c r="G220" t="n">
        <v>3.6</v>
      </c>
      <c r="H220" t="n">
        <v>0</v>
      </c>
      <c r="I220" t="n">
        <v>0</v>
      </c>
      <c r="J220" t="n">
        <v>0</v>
      </c>
      <c r="K220" t="n">
        <v>0</v>
      </c>
      <c r="L220" t="n">
        <v>0</v>
      </c>
      <c r="M220" t="n">
        <v>0</v>
      </c>
      <c r="N220" t="n">
        <v>0</v>
      </c>
      <c r="O220" t="n">
        <v>0</v>
      </c>
      <c r="P220" t="n">
        <v>0</v>
      </c>
      <c r="Q220" t="n">
        <v>0</v>
      </c>
      <c r="R220" s="2" t="inlineStr"/>
    </row>
    <row r="221" ht="15" customHeight="1">
      <c r="A221" t="inlineStr">
        <is>
          <t>A 29173-2024</t>
        </is>
      </c>
      <c r="B221" s="1" t="n">
        <v>45482.52887731481</v>
      </c>
      <c r="C221" s="1" t="n">
        <v>46101</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36043-2024</t>
        </is>
      </c>
      <c r="B222" s="1" t="n">
        <v>45533.60770833334</v>
      </c>
      <c r="C222" s="1" t="n">
        <v>46101</v>
      </c>
      <c r="D222" t="inlineStr">
        <is>
          <t>KALMAR LÄN</t>
        </is>
      </c>
      <c r="E222" t="inlineStr">
        <is>
          <t>VIMMERBY</t>
        </is>
      </c>
      <c r="F222" t="inlineStr">
        <is>
          <t>Kommuner</t>
        </is>
      </c>
      <c r="G222" t="n">
        <v>1.5</v>
      </c>
      <c r="H222" t="n">
        <v>0</v>
      </c>
      <c r="I222" t="n">
        <v>0</v>
      </c>
      <c r="J222" t="n">
        <v>0</v>
      </c>
      <c r="K222" t="n">
        <v>0</v>
      </c>
      <c r="L222" t="n">
        <v>0</v>
      </c>
      <c r="M222" t="n">
        <v>0</v>
      </c>
      <c r="N222" t="n">
        <v>0</v>
      </c>
      <c r="O222" t="n">
        <v>0</v>
      </c>
      <c r="P222" t="n">
        <v>0</v>
      </c>
      <c r="Q222" t="n">
        <v>0</v>
      </c>
      <c r="R222" s="2" t="inlineStr"/>
    </row>
    <row r="223" ht="15" customHeight="1">
      <c r="A223" t="inlineStr">
        <is>
          <t>A 11111-2024</t>
        </is>
      </c>
      <c r="B223" s="1" t="n">
        <v>45371.36359953704</v>
      </c>
      <c r="C223" s="1" t="n">
        <v>46101</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11141-2024</t>
        </is>
      </c>
      <c r="B224" s="1" t="n">
        <v>45371.45865740741</v>
      </c>
      <c r="C224" s="1" t="n">
        <v>46101</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35710-2023</t>
        </is>
      </c>
      <c r="B225" s="1" t="n">
        <v>45147.67096064815</v>
      </c>
      <c r="C225" s="1" t="n">
        <v>46101</v>
      </c>
      <c r="D225" t="inlineStr">
        <is>
          <t>KALMAR LÄN</t>
        </is>
      </c>
      <c r="E225" t="inlineStr">
        <is>
          <t>VIMMERBY</t>
        </is>
      </c>
      <c r="G225" t="n">
        <v>3.1</v>
      </c>
      <c r="H225" t="n">
        <v>0</v>
      </c>
      <c r="I225" t="n">
        <v>0</v>
      </c>
      <c r="J225" t="n">
        <v>0</v>
      </c>
      <c r="K225" t="n">
        <v>0</v>
      </c>
      <c r="L225" t="n">
        <v>0</v>
      </c>
      <c r="M225" t="n">
        <v>0</v>
      </c>
      <c r="N225" t="n">
        <v>0</v>
      </c>
      <c r="O225" t="n">
        <v>0</v>
      </c>
      <c r="P225" t="n">
        <v>0</v>
      </c>
      <c r="Q225" t="n">
        <v>0</v>
      </c>
      <c r="R225" s="2" t="inlineStr"/>
    </row>
    <row r="226" ht="15" customHeight="1">
      <c r="A226" t="inlineStr">
        <is>
          <t>A 35711-2023</t>
        </is>
      </c>
      <c r="B226" s="1" t="n">
        <v>45147.67172453704</v>
      </c>
      <c r="C226" s="1" t="n">
        <v>46101</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34588-2024</t>
        </is>
      </c>
      <c r="B227" s="1" t="n">
        <v>45526.3865625</v>
      </c>
      <c r="C227" s="1" t="n">
        <v>46101</v>
      </c>
      <c r="D227" t="inlineStr">
        <is>
          <t>KALMAR LÄN</t>
        </is>
      </c>
      <c r="E227" t="inlineStr">
        <is>
          <t>VIMMERBY</t>
        </is>
      </c>
      <c r="F227" t="inlineStr">
        <is>
          <t>Övriga Aktiebolag</t>
        </is>
      </c>
      <c r="G227" t="n">
        <v>3.3</v>
      </c>
      <c r="H227" t="n">
        <v>0</v>
      </c>
      <c r="I227" t="n">
        <v>0</v>
      </c>
      <c r="J227" t="n">
        <v>0</v>
      </c>
      <c r="K227" t="n">
        <v>0</v>
      </c>
      <c r="L227" t="n">
        <v>0</v>
      </c>
      <c r="M227" t="n">
        <v>0</v>
      </c>
      <c r="N227" t="n">
        <v>0</v>
      </c>
      <c r="O227" t="n">
        <v>0</v>
      </c>
      <c r="P227" t="n">
        <v>0</v>
      </c>
      <c r="Q227" t="n">
        <v>0</v>
      </c>
      <c r="R227" s="2" t="inlineStr"/>
    </row>
    <row r="228" ht="15" customHeight="1">
      <c r="A228" t="inlineStr">
        <is>
          <t>A 3331-2023</t>
        </is>
      </c>
      <c r="B228" s="1" t="n">
        <v>44949</v>
      </c>
      <c r="C228" s="1" t="n">
        <v>46101</v>
      </c>
      <c r="D228" t="inlineStr">
        <is>
          <t>KALMAR LÄN</t>
        </is>
      </c>
      <c r="E228" t="inlineStr">
        <is>
          <t>VIMMERBY</t>
        </is>
      </c>
      <c r="G228" t="n">
        <v>6.2</v>
      </c>
      <c r="H228" t="n">
        <v>0</v>
      </c>
      <c r="I228" t="n">
        <v>0</v>
      </c>
      <c r="J228" t="n">
        <v>0</v>
      </c>
      <c r="K228" t="n">
        <v>0</v>
      </c>
      <c r="L228" t="n">
        <v>0</v>
      </c>
      <c r="M228" t="n">
        <v>0</v>
      </c>
      <c r="N228" t="n">
        <v>0</v>
      </c>
      <c r="O228" t="n">
        <v>0</v>
      </c>
      <c r="P228" t="n">
        <v>0</v>
      </c>
      <c r="Q228" t="n">
        <v>0</v>
      </c>
      <c r="R228" s="2" t="inlineStr"/>
    </row>
    <row r="229" ht="15" customHeight="1">
      <c r="A229" t="inlineStr">
        <is>
          <t>A 1687-2023</t>
        </is>
      </c>
      <c r="B229" s="1" t="n">
        <v>44938</v>
      </c>
      <c r="C229" s="1" t="n">
        <v>46101</v>
      </c>
      <c r="D229" t="inlineStr">
        <is>
          <t>KALMAR LÄN</t>
        </is>
      </c>
      <c r="E229" t="inlineStr">
        <is>
          <t>VIMMERBY</t>
        </is>
      </c>
      <c r="F229" t="inlineStr">
        <is>
          <t>Kommuner</t>
        </is>
      </c>
      <c r="G229" t="n">
        <v>2.5</v>
      </c>
      <c r="H229" t="n">
        <v>0</v>
      </c>
      <c r="I229" t="n">
        <v>0</v>
      </c>
      <c r="J229" t="n">
        <v>0</v>
      </c>
      <c r="K229" t="n">
        <v>0</v>
      </c>
      <c r="L229" t="n">
        <v>0</v>
      </c>
      <c r="M229" t="n">
        <v>0</v>
      </c>
      <c r="N229" t="n">
        <v>0</v>
      </c>
      <c r="O229" t="n">
        <v>0</v>
      </c>
      <c r="P229" t="n">
        <v>0</v>
      </c>
      <c r="Q229" t="n">
        <v>0</v>
      </c>
      <c r="R229" s="2" t="inlineStr"/>
    </row>
    <row r="230" ht="15" customHeight="1">
      <c r="A230" t="inlineStr">
        <is>
          <t>A 16734-2023</t>
        </is>
      </c>
      <c r="B230" s="1" t="n">
        <v>45030.71012731481</v>
      </c>
      <c r="C230" s="1" t="n">
        <v>46101</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29440-2024</t>
        </is>
      </c>
      <c r="B231" s="1" t="n">
        <v>45483.82479166667</v>
      </c>
      <c r="C231" s="1" t="n">
        <v>46101</v>
      </c>
      <c r="D231" t="inlineStr">
        <is>
          <t>KALMAR LÄN</t>
        </is>
      </c>
      <c r="E231" t="inlineStr">
        <is>
          <t>VIMMERBY</t>
        </is>
      </c>
      <c r="G231" t="n">
        <v>4.5</v>
      </c>
      <c r="H231" t="n">
        <v>0</v>
      </c>
      <c r="I231" t="n">
        <v>0</v>
      </c>
      <c r="J231" t="n">
        <v>0</v>
      </c>
      <c r="K231" t="n">
        <v>0</v>
      </c>
      <c r="L231" t="n">
        <v>0</v>
      </c>
      <c r="M231" t="n">
        <v>0</v>
      </c>
      <c r="N231" t="n">
        <v>0</v>
      </c>
      <c r="O231" t="n">
        <v>0</v>
      </c>
      <c r="P231" t="n">
        <v>0</v>
      </c>
      <c r="Q231" t="n">
        <v>0</v>
      </c>
      <c r="R231" s="2" t="inlineStr"/>
    </row>
    <row r="232" ht="15" customHeight="1">
      <c r="A232" t="inlineStr">
        <is>
          <t>A 30921-2024</t>
        </is>
      </c>
      <c r="B232" s="1" t="n">
        <v>45498</v>
      </c>
      <c r="C232" s="1" t="n">
        <v>46101</v>
      </c>
      <c r="D232" t="inlineStr">
        <is>
          <t>KALMAR LÄN</t>
        </is>
      </c>
      <c r="E232" t="inlineStr">
        <is>
          <t>VIMMERBY</t>
        </is>
      </c>
      <c r="G232" t="n">
        <v>1.6</v>
      </c>
      <c r="H232" t="n">
        <v>0</v>
      </c>
      <c r="I232" t="n">
        <v>0</v>
      </c>
      <c r="J232" t="n">
        <v>0</v>
      </c>
      <c r="K232" t="n">
        <v>0</v>
      </c>
      <c r="L232" t="n">
        <v>0</v>
      </c>
      <c r="M232" t="n">
        <v>0</v>
      </c>
      <c r="N232" t="n">
        <v>0</v>
      </c>
      <c r="O232" t="n">
        <v>0</v>
      </c>
      <c r="P232" t="n">
        <v>0</v>
      </c>
      <c r="Q232" t="n">
        <v>0</v>
      </c>
      <c r="R232" s="2" t="inlineStr"/>
    </row>
    <row r="233" ht="15" customHeight="1">
      <c r="A233" t="inlineStr">
        <is>
          <t>A 53482-2022</t>
        </is>
      </c>
      <c r="B233" s="1" t="n">
        <v>44879</v>
      </c>
      <c r="C233" s="1" t="n">
        <v>46101</v>
      </c>
      <c r="D233" t="inlineStr">
        <is>
          <t>KALMAR LÄN</t>
        </is>
      </c>
      <c r="E233" t="inlineStr">
        <is>
          <t>VIMMERBY</t>
        </is>
      </c>
      <c r="G233" t="n">
        <v>10.1</v>
      </c>
      <c r="H233" t="n">
        <v>0</v>
      </c>
      <c r="I233" t="n">
        <v>0</v>
      </c>
      <c r="J233" t="n">
        <v>0</v>
      </c>
      <c r="K233" t="n">
        <v>0</v>
      </c>
      <c r="L233" t="n">
        <v>0</v>
      </c>
      <c r="M233" t="n">
        <v>0</v>
      </c>
      <c r="N233" t="n">
        <v>0</v>
      </c>
      <c r="O233" t="n">
        <v>0</v>
      </c>
      <c r="P233" t="n">
        <v>0</v>
      </c>
      <c r="Q233" t="n">
        <v>0</v>
      </c>
      <c r="R233" s="2" t="inlineStr"/>
    </row>
    <row r="234" ht="15" customHeight="1">
      <c r="A234" t="inlineStr">
        <is>
          <t>A 40828-2023</t>
        </is>
      </c>
      <c r="B234" s="1" t="n">
        <v>45171.96248842592</v>
      </c>
      <c r="C234" s="1" t="n">
        <v>46101</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64143-2021</t>
        </is>
      </c>
      <c r="B235" s="1" t="n">
        <v>44510.52157407408</v>
      </c>
      <c r="C235" s="1" t="n">
        <v>46101</v>
      </c>
      <c r="D235" t="inlineStr">
        <is>
          <t>KALMAR LÄN</t>
        </is>
      </c>
      <c r="E235" t="inlineStr">
        <is>
          <t>VIMMERBY</t>
        </is>
      </c>
      <c r="G235" t="n">
        <v>1.6</v>
      </c>
      <c r="H235" t="n">
        <v>0</v>
      </c>
      <c r="I235" t="n">
        <v>0</v>
      </c>
      <c r="J235" t="n">
        <v>0</v>
      </c>
      <c r="K235" t="n">
        <v>0</v>
      </c>
      <c r="L235" t="n">
        <v>0</v>
      </c>
      <c r="M235" t="n">
        <v>0</v>
      </c>
      <c r="N235" t="n">
        <v>0</v>
      </c>
      <c r="O235" t="n">
        <v>0</v>
      </c>
      <c r="P235" t="n">
        <v>0</v>
      </c>
      <c r="Q235" t="n">
        <v>0</v>
      </c>
      <c r="R235" s="2" t="inlineStr"/>
    </row>
    <row r="236" ht="15" customHeight="1">
      <c r="A236" t="inlineStr">
        <is>
          <t>A 9720-2023</t>
        </is>
      </c>
      <c r="B236" s="1" t="n">
        <v>44984</v>
      </c>
      <c r="C236" s="1" t="n">
        <v>46101</v>
      </c>
      <c r="D236" t="inlineStr">
        <is>
          <t>KALMAR LÄN</t>
        </is>
      </c>
      <c r="E236" t="inlineStr">
        <is>
          <t>VIMMERBY</t>
        </is>
      </c>
      <c r="G236" t="n">
        <v>4.4</v>
      </c>
      <c r="H236" t="n">
        <v>0</v>
      </c>
      <c r="I236" t="n">
        <v>0</v>
      </c>
      <c r="J236" t="n">
        <v>0</v>
      </c>
      <c r="K236" t="n">
        <v>0</v>
      </c>
      <c r="L236" t="n">
        <v>0</v>
      </c>
      <c r="M236" t="n">
        <v>0</v>
      </c>
      <c r="N236" t="n">
        <v>0</v>
      </c>
      <c r="O236" t="n">
        <v>0</v>
      </c>
      <c r="P236" t="n">
        <v>0</v>
      </c>
      <c r="Q236" t="n">
        <v>0</v>
      </c>
      <c r="R236" s="2" t="inlineStr"/>
    </row>
    <row r="237" ht="15" customHeight="1">
      <c r="A237" t="inlineStr">
        <is>
          <t>A 56659-2023</t>
        </is>
      </c>
      <c r="B237" s="1" t="n">
        <v>45243.84869212963</v>
      </c>
      <c r="C237" s="1" t="n">
        <v>46101</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5938-2022</t>
        </is>
      </c>
      <c r="B238" s="1" t="n">
        <v>44598</v>
      </c>
      <c r="C238" s="1" t="n">
        <v>46101</v>
      </c>
      <c r="D238" t="inlineStr">
        <is>
          <t>KALMAR LÄN</t>
        </is>
      </c>
      <c r="E238" t="inlineStr">
        <is>
          <t>VIMMERBY</t>
        </is>
      </c>
      <c r="G238" t="n">
        <v>2.4</v>
      </c>
      <c r="H238" t="n">
        <v>0</v>
      </c>
      <c r="I238" t="n">
        <v>0</v>
      </c>
      <c r="J238" t="n">
        <v>0</v>
      </c>
      <c r="K238" t="n">
        <v>0</v>
      </c>
      <c r="L238" t="n">
        <v>0</v>
      </c>
      <c r="M238" t="n">
        <v>0</v>
      </c>
      <c r="N238" t="n">
        <v>0</v>
      </c>
      <c r="O238" t="n">
        <v>0</v>
      </c>
      <c r="P238" t="n">
        <v>0</v>
      </c>
      <c r="Q238" t="n">
        <v>0</v>
      </c>
      <c r="R238" s="2" t="inlineStr"/>
    </row>
    <row r="239" ht="15" customHeight="1">
      <c r="A239" t="inlineStr">
        <is>
          <t>A 54838-2024</t>
        </is>
      </c>
      <c r="B239" s="1" t="n">
        <v>45618.56787037037</v>
      </c>
      <c r="C239" s="1" t="n">
        <v>46101</v>
      </c>
      <c r="D239" t="inlineStr">
        <is>
          <t>KALMAR LÄN</t>
        </is>
      </c>
      <c r="E239" t="inlineStr">
        <is>
          <t>VIMMERBY</t>
        </is>
      </c>
      <c r="G239" t="n">
        <v>3.3</v>
      </c>
      <c r="H239" t="n">
        <v>0</v>
      </c>
      <c r="I239" t="n">
        <v>0</v>
      </c>
      <c r="J239" t="n">
        <v>0</v>
      </c>
      <c r="K239" t="n">
        <v>0</v>
      </c>
      <c r="L239" t="n">
        <v>0</v>
      </c>
      <c r="M239" t="n">
        <v>0</v>
      </c>
      <c r="N239" t="n">
        <v>0</v>
      </c>
      <c r="O239" t="n">
        <v>0</v>
      </c>
      <c r="P239" t="n">
        <v>0</v>
      </c>
      <c r="Q239" t="n">
        <v>0</v>
      </c>
      <c r="R239" s="2" t="inlineStr"/>
    </row>
    <row r="240" ht="15" customHeight="1">
      <c r="A240" t="inlineStr">
        <is>
          <t>A 25987-2024</t>
        </is>
      </c>
      <c r="B240" s="1" t="n">
        <v>45467.74417824074</v>
      </c>
      <c r="C240" s="1" t="n">
        <v>46101</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29180-2024</t>
        </is>
      </c>
      <c r="B241" s="1" t="n">
        <v>45482.54108796296</v>
      </c>
      <c r="C241" s="1" t="n">
        <v>46101</v>
      </c>
      <c r="D241" t="inlineStr">
        <is>
          <t>KALMAR LÄN</t>
        </is>
      </c>
      <c r="E241" t="inlineStr">
        <is>
          <t>VIMMERBY</t>
        </is>
      </c>
      <c r="G241" t="n">
        <v>3.8</v>
      </c>
      <c r="H241" t="n">
        <v>0</v>
      </c>
      <c r="I241" t="n">
        <v>0</v>
      </c>
      <c r="J241" t="n">
        <v>0</v>
      </c>
      <c r="K241" t="n">
        <v>0</v>
      </c>
      <c r="L241" t="n">
        <v>0</v>
      </c>
      <c r="M241" t="n">
        <v>0</v>
      </c>
      <c r="N241" t="n">
        <v>0</v>
      </c>
      <c r="O241" t="n">
        <v>0</v>
      </c>
      <c r="P241" t="n">
        <v>0</v>
      </c>
      <c r="Q241" t="n">
        <v>0</v>
      </c>
      <c r="R241" s="2" t="inlineStr"/>
    </row>
    <row r="242" ht="15" customHeight="1">
      <c r="A242" t="inlineStr">
        <is>
          <t>A 25109-2023</t>
        </is>
      </c>
      <c r="B242" s="1" t="n">
        <v>45086</v>
      </c>
      <c r="C242" s="1" t="n">
        <v>46101</v>
      </c>
      <c r="D242" t="inlineStr">
        <is>
          <t>KALMAR LÄN</t>
        </is>
      </c>
      <c r="E242" t="inlineStr">
        <is>
          <t>VIMMERBY</t>
        </is>
      </c>
      <c r="G242" t="n">
        <v>1.5</v>
      </c>
      <c r="H242" t="n">
        <v>0</v>
      </c>
      <c r="I242" t="n">
        <v>0</v>
      </c>
      <c r="J242" t="n">
        <v>0</v>
      </c>
      <c r="K242" t="n">
        <v>0</v>
      </c>
      <c r="L242" t="n">
        <v>0</v>
      </c>
      <c r="M242" t="n">
        <v>0</v>
      </c>
      <c r="N242" t="n">
        <v>0</v>
      </c>
      <c r="O242" t="n">
        <v>0</v>
      </c>
      <c r="P242" t="n">
        <v>0</v>
      </c>
      <c r="Q242" t="n">
        <v>0</v>
      </c>
      <c r="R242" s="2" t="inlineStr"/>
    </row>
    <row r="243" ht="15" customHeight="1">
      <c r="A243" t="inlineStr">
        <is>
          <t>A 29783-2024</t>
        </is>
      </c>
      <c r="B243" s="1" t="n">
        <v>45485.45778935185</v>
      </c>
      <c r="C243" s="1" t="n">
        <v>46101</v>
      </c>
      <c r="D243" t="inlineStr">
        <is>
          <t>KALMAR LÄN</t>
        </is>
      </c>
      <c r="E243" t="inlineStr">
        <is>
          <t>VIMMERBY</t>
        </is>
      </c>
      <c r="G243" t="n">
        <v>3.1</v>
      </c>
      <c r="H243" t="n">
        <v>0</v>
      </c>
      <c r="I243" t="n">
        <v>0</v>
      </c>
      <c r="J243" t="n">
        <v>0</v>
      </c>
      <c r="K243" t="n">
        <v>0</v>
      </c>
      <c r="L243" t="n">
        <v>0</v>
      </c>
      <c r="M243" t="n">
        <v>0</v>
      </c>
      <c r="N243" t="n">
        <v>0</v>
      </c>
      <c r="O243" t="n">
        <v>0</v>
      </c>
      <c r="P243" t="n">
        <v>0</v>
      </c>
      <c r="Q243" t="n">
        <v>0</v>
      </c>
      <c r="R243" s="2" t="inlineStr"/>
    </row>
    <row r="244" ht="15" customHeight="1">
      <c r="A244" t="inlineStr">
        <is>
          <t>A 58104-2024</t>
        </is>
      </c>
      <c r="B244" s="1" t="n">
        <v>45632.37459490741</v>
      </c>
      <c r="C244" s="1" t="n">
        <v>46101</v>
      </c>
      <c r="D244" t="inlineStr">
        <is>
          <t>KALMAR LÄN</t>
        </is>
      </c>
      <c r="E244" t="inlineStr">
        <is>
          <t>VIMMERBY</t>
        </is>
      </c>
      <c r="G244" t="n">
        <v>5</v>
      </c>
      <c r="H244" t="n">
        <v>0</v>
      </c>
      <c r="I244" t="n">
        <v>0</v>
      </c>
      <c r="J244" t="n">
        <v>0</v>
      </c>
      <c r="K244" t="n">
        <v>0</v>
      </c>
      <c r="L244" t="n">
        <v>0</v>
      </c>
      <c r="M244" t="n">
        <v>0</v>
      </c>
      <c r="N244" t="n">
        <v>0</v>
      </c>
      <c r="O244" t="n">
        <v>0</v>
      </c>
      <c r="P244" t="n">
        <v>0</v>
      </c>
      <c r="Q244" t="n">
        <v>0</v>
      </c>
      <c r="R244" s="2" t="inlineStr"/>
    </row>
    <row r="245" ht="15" customHeight="1">
      <c r="A245" t="inlineStr">
        <is>
          <t>A 12215-2024</t>
        </is>
      </c>
      <c r="B245" s="1" t="n">
        <v>45378.32185185186</v>
      </c>
      <c r="C245" s="1" t="n">
        <v>46101</v>
      </c>
      <c r="D245" t="inlineStr">
        <is>
          <t>KALMAR LÄN</t>
        </is>
      </c>
      <c r="E245" t="inlineStr">
        <is>
          <t>VIMMERBY</t>
        </is>
      </c>
      <c r="G245" t="n">
        <v>1.6</v>
      </c>
      <c r="H245" t="n">
        <v>0</v>
      </c>
      <c r="I245" t="n">
        <v>0</v>
      </c>
      <c r="J245" t="n">
        <v>0</v>
      </c>
      <c r="K245" t="n">
        <v>0</v>
      </c>
      <c r="L245" t="n">
        <v>0</v>
      </c>
      <c r="M245" t="n">
        <v>0</v>
      </c>
      <c r="N245" t="n">
        <v>0</v>
      </c>
      <c r="O245" t="n">
        <v>0</v>
      </c>
      <c r="P245" t="n">
        <v>0</v>
      </c>
      <c r="Q245" t="n">
        <v>0</v>
      </c>
      <c r="R245" s="2" t="inlineStr"/>
    </row>
    <row r="246" ht="15" customHeight="1">
      <c r="A246" t="inlineStr">
        <is>
          <t>A 30920-2024</t>
        </is>
      </c>
      <c r="B246" s="1" t="n">
        <v>45498.673125</v>
      </c>
      <c r="C246" s="1" t="n">
        <v>46101</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62023-2022</t>
        </is>
      </c>
      <c r="B247" s="1" t="n">
        <v>44918.50106481482</v>
      </c>
      <c r="C247" s="1" t="n">
        <v>46101</v>
      </c>
      <c r="D247" t="inlineStr">
        <is>
          <t>KALMAR LÄN</t>
        </is>
      </c>
      <c r="E247" t="inlineStr">
        <is>
          <t>VIMMERBY</t>
        </is>
      </c>
      <c r="G247" t="n">
        <v>0.3</v>
      </c>
      <c r="H247" t="n">
        <v>0</v>
      </c>
      <c r="I247" t="n">
        <v>0</v>
      </c>
      <c r="J247" t="n">
        <v>0</v>
      </c>
      <c r="K247" t="n">
        <v>0</v>
      </c>
      <c r="L247" t="n">
        <v>0</v>
      </c>
      <c r="M247" t="n">
        <v>0</v>
      </c>
      <c r="N247" t="n">
        <v>0</v>
      </c>
      <c r="O247" t="n">
        <v>0</v>
      </c>
      <c r="P247" t="n">
        <v>0</v>
      </c>
      <c r="Q247" t="n">
        <v>0</v>
      </c>
      <c r="R247" s="2" t="inlineStr"/>
    </row>
    <row r="248" ht="15" customHeight="1">
      <c r="A248" t="inlineStr">
        <is>
          <t>A 56536-2022</t>
        </is>
      </c>
      <c r="B248" s="1" t="n">
        <v>44893</v>
      </c>
      <c r="C248" s="1" t="n">
        <v>46101</v>
      </c>
      <c r="D248" t="inlineStr">
        <is>
          <t>KALMAR LÄN</t>
        </is>
      </c>
      <c r="E248" t="inlineStr">
        <is>
          <t>VIMMERBY</t>
        </is>
      </c>
      <c r="G248" t="n">
        <v>3.2</v>
      </c>
      <c r="H248" t="n">
        <v>0</v>
      </c>
      <c r="I248" t="n">
        <v>0</v>
      </c>
      <c r="J248" t="n">
        <v>0</v>
      </c>
      <c r="K248" t="n">
        <v>0</v>
      </c>
      <c r="L248" t="n">
        <v>0</v>
      </c>
      <c r="M248" t="n">
        <v>0</v>
      </c>
      <c r="N248" t="n">
        <v>0</v>
      </c>
      <c r="O248" t="n">
        <v>0</v>
      </c>
      <c r="P248" t="n">
        <v>0</v>
      </c>
      <c r="Q248" t="n">
        <v>0</v>
      </c>
      <c r="R248" s="2" t="inlineStr"/>
    </row>
    <row r="249" ht="15" customHeight="1">
      <c r="A249" t="inlineStr">
        <is>
          <t>A 63541-2023</t>
        </is>
      </c>
      <c r="B249" s="1" t="n">
        <v>45275.32266203704</v>
      </c>
      <c r="C249" s="1" t="n">
        <v>46101</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37323-2024</t>
        </is>
      </c>
      <c r="B250" s="1" t="n">
        <v>45540.50098379629</v>
      </c>
      <c r="C250" s="1" t="n">
        <v>46101</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11429-2022</t>
        </is>
      </c>
      <c r="B251" s="1" t="n">
        <v>44630</v>
      </c>
      <c r="C251" s="1" t="n">
        <v>46101</v>
      </c>
      <c r="D251" t="inlineStr">
        <is>
          <t>KALMAR LÄN</t>
        </is>
      </c>
      <c r="E251" t="inlineStr">
        <is>
          <t>VIMMERBY</t>
        </is>
      </c>
      <c r="G251" t="n">
        <v>2.6</v>
      </c>
      <c r="H251" t="n">
        <v>0</v>
      </c>
      <c r="I251" t="n">
        <v>0</v>
      </c>
      <c r="J251" t="n">
        <v>0</v>
      </c>
      <c r="K251" t="n">
        <v>0</v>
      </c>
      <c r="L251" t="n">
        <v>0</v>
      </c>
      <c r="M251" t="n">
        <v>0</v>
      </c>
      <c r="N251" t="n">
        <v>0</v>
      </c>
      <c r="O251" t="n">
        <v>0</v>
      </c>
      <c r="P251" t="n">
        <v>0</v>
      </c>
      <c r="Q251" t="n">
        <v>0</v>
      </c>
      <c r="R251" s="2" t="inlineStr"/>
    </row>
    <row r="252" ht="15" customHeight="1">
      <c r="A252" t="inlineStr">
        <is>
          <t>A 56582-2022</t>
        </is>
      </c>
      <c r="B252" s="1" t="n">
        <v>44893</v>
      </c>
      <c r="C252" s="1" t="n">
        <v>46101</v>
      </c>
      <c r="D252" t="inlineStr">
        <is>
          <t>KALMAR LÄN</t>
        </is>
      </c>
      <c r="E252" t="inlineStr">
        <is>
          <t>VIMMERBY</t>
        </is>
      </c>
      <c r="G252" t="n">
        <v>2.2</v>
      </c>
      <c r="H252" t="n">
        <v>0</v>
      </c>
      <c r="I252" t="n">
        <v>0</v>
      </c>
      <c r="J252" t="n">
        <v>0</v>
      </c>
      <c r="K252" t="n">
        <v>0</v>
      </c>
      <c r="L252" t="n">
        <v>0</v>
      </c>
      <c r="M252" t="n">
        <v>0</v>
      </c>
      <c r="N252" t="n">
        <v>0</v>
      </c>
      <c r="O252" t="n">
        <v>0</v>
      </c>
      <c r="P252" t="n">
        <v>0</v>
      </c>
      <c r="Q252" t="n">
        <v>0</v>
      </c>
      <c r="R252" s="2" t="inlineStr"/>
    </row>
    <row r="253" ht="15" customHeight="1">
      <c r="A253" t="inlineStr">
        <is>
          <t>A 11609-2023</t>
        </is>
      </c>
      <c r="B253" s="1" t="n">
        <v>44994.40635416667</v>
      </c>
      <c r="C253" s="1" t="n">
        <v>46101</v>
      </c>
      <c r="D253" t="inlineStr">
        <is>
          <t>KALMAR LÄN</t>
        </is>
      </c>
      <c r="E253" t="inlineStr">
        <is>
          <t>VIMMERBY</t>
        </is>
      </c>
      <c r="G253" t="n">
        <v>4.9</v>
      </c>
      <c r="H253" t="n">
        <v>0</v>
      </c>
      <c r="I253" t="n">
        <v>0</v>
      </c>
      <c r="J253" t="n">
        <v>0</v>
      </c>
      <c r="K253" t="n">
        <v>0</v>
      </c>
      <c r="L253" t="n">
        <v>0</v>
      </c>
      <c r="M253" t="n">
        <v>0</v>
      </c>
      <c r="N253" t="n">
        <v>0</v>
      </c>
      <c r="O253" t="n">
        <v>0</v>
      </c>
      <c r="P253" t="n">
        <v>0</v>
      </c>
      <c r="Q253" t="n">
        <v>0</v>
      </c>
      <c r="R253" s="2" t="inlineStr"/>
    </row>
    <row r="254" ht="15" customHeight="1">
      <c r="A254" t="inlineStr">
        <is>
          <t>A 44464-2024</t>
        </is>
      </c>
      <c r="B254" s="1" t="n">
        <v>45574.35809027778</v>
      </c>
      <c r="C254" s="1" t="n">
        <v>46101</v>
      </c>
      <c r="D254" t="inlineStr">
        <is>
          <t>KALMAR LÄN</t>
        </is>
      </c>
      <c r="E254" t="inlineStr">
        <is>
          <t>VIMMERBY</t>
        </is>
      </c>
      <c r="G254" t="n">
        <v>0.7</v>
      </c>
      <c r="H254" t="n">
        <v>0</v>
      </c>
      <c r="I254" t="n">
        <v>0</v>
      </c>
      <c r="J254" t="n">
        <v>0</v>
      </c>
      <c r="K254" t="n">
        <v>0</v>
      </c>
      <c r="L254" t="n">
        <v>0</v>
      </c>
      <c r="M254" t="n">
        <v>0</v>
      </c>
      <c r="N254" t="n">
        <v>0</v>
      </c>
      <c r="O254" t="n">
        <v>0</v>
      </c>
      <c r="P254" t="n">
        <v>0</v>
      </c>
      <c r="Q254" t="n">
        <v>0</v>
      </c>
      <c r="R254" s="2" t="inlineStr"/>
    </row>
    <row r="255" ht="15" customHeight="1">
      <c r="A255" t="inlineStr">
        <is>
          <t>A 6408-2025</t>
        </is>
      </c>
      <c r="B255" s="1" t="n">
        <v>45699.45671296296</v>
      </c>
      <c r="C255" s="1" t="n">
        <v>46101</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41066-2024</t>
        </is>
      </c>
      <c r="B256" s="1" t="n">
        <v>45559.38876157408</v>
      </c>
      <c r="C256" s="1" t="n">
        <v>46101</v>
      </c>
      <c r="D256" t="inlineStr">
        <is>
          <t>KALMAR LÄN</t>
        </is>
      </c>
      <c r="E256" t="inlineStr">
        <is>
          <t>VIMMERBY</t>
        </is>
      </c>
      <c r="G256" t="n">
        <v>2.4</v>
      </c>
      <c r="H256" t="n">
        <v>0</v>
      </c>
      <c r="I256" t="n">
        <v>0</v>
      </c>
      <c r="J256" t="n">
        <v>0</v>
      </c>
      <c r="K256" t="n">
        <v>0</v>
      </c>
      <c r="L256" t="n">
        <v>0</v>
      </c>
      <c r="M256" t="n">
        <v>0</v>
      </c>
      <c r="N256" t="n">
        <v>0</v>
      </c>
      <c r="O256" t="n">
        <v>0</v>
      </c>
      <c r="P256" t="n">
        <v>0</v>
      </c>
      <c r="Q256" t="n">
        <v>0</v>
      </c>
      <c r="R256" s="2" t="inlineStr"/>
    </row>
    <row r="257" ht="15" customHeight="1">
      <c r="A257" t="inlineStr">
        <is>
          <t>A 3816-2022</t>
        </is>
      </c>
      <c r="B257" s="1" t="n">
        <v>44587</v>
      </c>
      <c r="C257" s="1" t="n">
        <v>46101</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33103-2024</t>
        </is>
      </c>
      <c r="B258" s="1" t="n">
        <v>45517.8162037037</v>
      </c>
      <c r="C258" s="1" t="n">
        <v>46101</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33161-2024</t>
        </is>
      </c>
      <c r="B259" s="1" t="n">
        <v>45518.40657407408</v>
      </c>
      <c r="C259" s="1" t="n">
        <v>46101</v>
      </c>
      <c r="D259" t="inlineStr">
        <is>
          <t>KALMAR LÄN</t>
        </is>
      </c>
      <c r="E259" t="inlineStr">
        <is>
          <t>VIMMERBY</t>
        </is>
      </c>
      <c r="G259" t="n">
        <v>4.7</v>
      </c>
      <c r="H259" t="n">
        <v>0</v>
      </c>
      <c r="I259" t="n">
        <v>0</v>
      </c>
      <c r="J259" t="n">
        <v>0</v>
      </c>
      <c r="K259" t="n">
        <v>0</v>
      </c>
      <c r="L259" t="n">
        <v>0</v>
      </c>
      <c r="M259" t="n">
        <v>0</v>
      </c>
      <c r="N259" t="n">
        <v>0</v>
      </c>
      <c r="O259" t="n">
        <v>0</v>
      </c>
      <c r="P259" t="n">
        <v>0</v>
      </c>
      <c r="Q259" t="n">
        <v>0</v>
      </c>
      <c r="R259" s="2" t="inlineStr"/>
    </row>
    <row r="260" ht="15" customHeight="1">
      <c r="A260" t="inlineStr">
        <is>
          <t>A 12510-2022</t>
        </is>
      </c>
      <c r="B260" s="1" t="n">
        <v>44638.55256944444</v>
      </c>
      <c r="C260" s="1" t="n">
        <v>46101</v>
      </c>
      <c r="D260" t="inlineStr">
        <is>
          <t>KALMAR LÄN</t>
        </is>
      </c>
      <c r="E260" t="inlineStr">
        <is>
          <t>VIMMERBY</t>
        </is>
      </c>
      <c r="G260" t="n">
        <v>2.4</v>
      </c>
      <c r="H260" t="n">
        <v>0</v>
      </c>
      <c r="I260" t="n">
        <v>0</v>
      </c>
      <c r="J260" t="n">
        <v>0</v>
      </c>
      <c r="K260" t="n">
        <v>0</v>
      </c>
      <c r="L260" t="n">
        <v>0</v>
      </c>
      <c r="M260" t="n">
        <v>0</v>
      </c>
      <c r="N260" t="n">
        <v>0</v>
      </c>
      <c r="O260" t="n">
        <v>0</v>
      </c>
      <c r="P260" t="n">
        <v>0</v>
      </c>
      <c r="Q260" t="n">
        <v>0</v>
      </c>
      <c r="R260" s="2" t="inlineStr"/>
    </row>
    <row r="261" ht="15" customHeight="1">
      <c r="A261" t="inlineStr">
        <is>
          <t>A 1081-2023</t>
        </is>
      </c>
      <c r="B261" s="1" t="n">
        <v>44935</v>
      </c>
      <c r="C261" s="1" t="n">
        <v>46101</v>
      </c>
      <c r="D261" t="inlineStr">
        <is>
          <t>KALMAR LÄN</t>
        </is>
      </c>
      <c r="E261" t="inlineStr">
        <is>
          <t>VIMMERBY</t>
        </is>
      </c>
      <c r="G261" t="n">
        <v>1.3</v>
      </c>
      <c r="H261" t="n">
        <v>0</v>
      </c>
      <c r="I261" t="n">
        <v>0</v>
      </c>
      <c r="J261" t="n">
        <v>0</v>
      </c>
      <c r="K261" t="n">
        <v>0</v>
      </c>
      <c r="L261" t="n">
        <v>0</v>
      </c>
      <c r="M261" t="n">
        <v>0</v>
      </c>
      <c r="N261" t="n">
        <v>0</v>
      </c>
      <c r="O261" t="n">
        <v>0</v>
      </c>
      <c r="P261" t="n">
        <v>0</v>
      </c>
      <c r="Q261" t="n">
        <v>0</v>
      </c>
      <c r="R261" s="2" t="inlineStr"/>
    </row>
    <row r="262" ht="15" customHeight="1">
      <c r="A262" t="inlineStr">
        <is>
          <t>A 7047-2022</t>
        </is>
      </c>
      <c r="B262" s="1" t="n">
        <v>44603</v>
      </c>
      <c r="C262" s="1" t="n">
        <v>46101</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12499-2023</t>
        </is>
      </c>
      <c r="B263" s="1" t="n">
        <v>44999.86172453704</v>
      </c>
      <c r="C263" s="1" t="n">
        <v>46101</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12500-2023</t>
        </is>
      </c>
      <c r="B264" s="1" t="n">
        <v>44999.8625</v>
      </c>
      <c r="C264" s="1" t="n">
        <v>46101</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6066-2023</t>
        </is>
      </c>
      <c r="B265" s="1" t="n">
        <v>44964.50894675926</v>
      </c>
      <c r="C265" s="1" t="n">
        <v>46101</v>
      </c>
      <c r="D265" t="inlineStr">
        <is>
          <t>KALMAR LÄN</t>
        </is>
      </c>
      <c r="E265" t="inlineStr">
        <is>
          <t>VIMMERBY</t>
        </is>
      </c>
      <c r="G265" t="n">
        <v>2.8</v>
      </c>
      <c r="H265" t="n">
        <v>0</v>
      </c>
      <c r="I265" t="n">
        <v>0</v>
      </c>
      <c r="J265" t="n">
        <v>0</v>
      </c>
      <c r="K265" t="n">
        <v>0</v>
      </c>
      <c r="L265" t="n">
        <v>0</v>
      </c>
      <c r="M265" t="n">
        <v>0</v>
      </c>
      <c r="N265" t="n">
        <v>0</v>
      </c>
      <c r="O265" t="n">
        <v>0</v>
      </c>
      <c r="P265" t="n">
        <v>0</v>
      </c>
      <c r="Q265" t="n">
        <v>0</v>
      </c>
      <c r="R265" s="2" t="inlineStr"/>
    </row>
    <row r="266" ht="15" customHeight="1">
      <c r="A266" t="inlineStr">
        <is>
          <t>A 12890-2023</t>
        </is>
      </c>
      <c r="B266" s="1" t="n">
        <v>45001.59209490741</v>
      </c>
      <c r="C266" s="1" t="n">
        <v>46101</v>
      </c>
      <c r="D266" t="inlineStr">
        <is>
          <t>KALMAR LÄN</t>
        </is>
      </c>
      <c r="E266" t="inlineStr">
        <is>
          <t>VIMMERBY</t>
        </is>
      </c>
      <c r="G266" t="n">
        <v>2.8</v>
      </c>
      <c r="H266" t="n">
        <v>0</v>
      </c>
      <c r="I266" t="n">
        <v>0</v>
      </c>
      <c r="J266" t="n">
        <v>0</v>
      </c>
      <c r="K266" t="n">
        <v>0</v>
      </c>
      <c r="L266" t="n">
        <v>0</v>
      </c>
      <c r="M266" t="n">
        <v>0</v>
      </c>
      <c r="N266" t="n">
        <v>0</v>
      </c>
      <c r="O266" t="n">
        <v>0</v>
      </c>
      <c r="P266" t="n">
        <v>0</v>
      </c>
      <c r="Q266" t="n">
        <v>0</v>
      </c>
      <c r="R266" s="2" t="inlineStr"/>
    </row>
    <row r="267" ht="15" customHeight="1">
      <c r="A267" t="inlineStr">
        <is>
          <t>A 3902-2022</t>
        </is>
      </c>
      <c r="B267" s="1" t="n">
        <v>44587.48847222222</v>
      </c>
      <c r="C267" s="1" t="n">
        <v>46101</v>
      </c>
      <c r="D267" t="inlineStr">
        <is>
          <t>KALMAR LÄN</t>
        </is>
      </c>
      <c r="E267" t="inlineStr">
        <is>
          <t>VIMMERBY</t>
        </is>
      </c>
      <c r="G267" t="n">
        <v>2.6</v>
      </c>
      <c r="H267" t="n">
        <v>0</v>
      </c>
      <c r="I267" t="n">
        <v>0</v>
      </c>
      <c r="J267" t="n">
        <v>0</v>
      </c>
      <c r="K267" t="n">
        <v>0</v>
      </c>
      <c r="L267" t="n">
        <v>0</v>
      </c>
      <c r="M267" t="n">
        <v>0</v>
      </c>
      <c r="N267" t="n">
        <v>0</v>
      </c>
      <c r="O267" t="n">
        <v>0</v>
      </c>
      <c r="P267" t="n">
        <v>0</v>
      </c>
      <c r="Q267" t="n">
        <v>0</v>
      </c>
      <c r="R267" s="2" t="inlineStr"/>
    </row>
    <row r="268" ht="15" customHeight="1">
      <c r="A268" t="inlineStr">
        <is>
          <t>A 89-2023</t>
        </is>
      </c>
      <c r="B268" s="1" t="n">
        <v>44918</v>
      </c>
      <c r="C268" s="1" t="n">
        <v>46101</v>
      </c>
      <c r="D268" t="inlineStr">
        <is>
          <t>KALMAR LÄN</t>
        </is>
      </c>
      <c r="E268" t="inlineStr">
        <is>
          <t>VIMMERBY</t>
        </is>
      </c>
      <c r="G268" t="n">
        <v>16.1</v>
      </c>
      <c r="H268" t="n">
        <v>0</v>
      </c>
      <c r="I268" t="n">
        <v>0</v>
      </c>
      <c r="J268" t="n">
        <v>0</v>
      </c>
      <c r="K268" t="n">
        <v>0</v>
      </c>
      <c r="L268" t="n">
        <v>0</v>
      </c>
      <c r="M268" t="n">
        <v>0</v>
      </c>
      <c r="N268" t="n">
        <v>0</v>
      </c>
      <c r="O268" t="n">
        <v>0</v>
      </c>
      <c r="P268" t="n">
        <v>0</v>
      </c>
      <c r="Q268" t="n">
        <v>0</v>
      </c>
      <c r="R268" s="2" t="inlineStr"/>
    </row>
    <row r="269" ht="15" customHeight="1">
      <c r="A269" t="inlineStr">
        <is>
          <t>A 5382-2023</t>
        </is>
      </c>
      <c r="B269" s="1" t="n">
        <v>44959.66407407408</v>
      </c>
      <c r="C269" s="1" t="n">
        <v>46101</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6668-2023</t>
        </is>
      </c>
      <c r="B270" s="1" t="n">
        <v>44966</v>
      </c>
      <c r="C270" s="1" t="n">
        <v>46101</v>
      </c>
      <c r="D270" t="inlineStr">
        <is>
          <t>KALMAR LÄN</t>
        </is>
      </c>
      <c r="E270" t="inlineStr">
        <is>
          <t>VIMMERBY</t>
        </is>
      </c>
      <c r="G270" t="n">
        <v>0.9</v>
      </c>
      <c r="H270" t="n">
        <v>0</v>
      </c>
      <c r="I270" t="n">
        <v>0</v>
      </c>
      <c r="J270" t="n">
        <v>0</v>
      </c>
      <c r="K270" t="n">
        <v>0</v>
      </c>
      <c r="L270" t="n">
        <v>0</v>
      </c>
      <c r="M270" t="n">
        <v>0</v>
      </c>
      <c r="N270" t="n">
        <v>0</v>
      </c>
      <c r="O270" t="n">
        <v>0</v>
      </c>
      <c r="P270" t="n">
        <v>0</v>
      </c>
      <c r="Q270" t="n">
        <v>0</v>
      </c>
      <c r="R270" s="2" t="inlineStr"/>
    </row>
    <row r="271" ht="15" customHeight="1">
      <c r="A271" t="inlineStr">
        <is>
          <t>A 172-2022</t>
        </is>
      </c>
      <c r="B271" s="1" t="n">
        <v>44564.62598379629</v>
      </c>
      <c r="C271" s="1" t="n">
        <v>46101</v>
      </c>
      <c r="D271" t="inlineStr">
        <is>
          <t>KALMAR LÄN</t>
        </is>
      </c>
      <c r="E271" t="inlineStr">
        <is>
          <t>VIMMERBY</t>
        </is>
      </c>
      <c r="G271" t="n">
        <v>2.1</v>
      </c>
      <c r="H271" t="n">
        <v>0</v>
      </c>
      <c r="I271" t="n">
        <v>0</v>
      </c>
      <c r="J271" t="n">
        <v>0</v>
      </c>
      <c r="K271" t="n">
        <v>0</v>
      </c>
      <c r="L271" t="n">
        <v>0</v>
      </c>
      <c r="M271" t="n">
        <v>0</v>
      </c>
      <c r="N271" t="n">
        <v>0</v>
      </c>
      <c r="O271" t="n">
        <v>0</v>
      </c>
      <c r="P271" t="n">
        <v>0</v>
      </c>
      <c r="Q271" t="n">
        <v>0</v>
      </c>
      <c r="R271" s="2" t="inlineStr"/>
    </row>
    <row r="272" ht="15" customHeight="1">
      <c r="A272" t="inlineStr">
        <is>
          <t>A 1146-2025</t>
        </is>
      </c>
      <c r="B272" s="1" t="n">
        <v>45666</v>
      </c>
      <c r="C272" s="1" t="n">
        <v>46101</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30634-2024</t>
        </is>
      </c>
      <c r="B273" s="1" t="n">
        <v>45495</v>
      </c>
      <c r="C273" s="1" t="n">
        <v>46101</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16020-2023</t>
        </is>
      </c>
      <c r="B274" s="1" t="n">
        <v>45026.82216435186</v>
      </c>
      <c r="C274" s="1" t="n">
        <v>46101</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6355-2022</t>
        </is>
      </c>
      <c r="B275" s="1" t="n">
        <v>44600</v>
      </c>
      <c r="C275" s="1" t="n">
        <v>46101</v>
      </c>
      <c r="D275" t="inlineStr">
        <is>
          <t>KALMAR LÄN</t>
        </is>
      </c>
      <c r="E275" t="inlineStr">
        <is>
          <t>VIMMERBY</t>
        </is>
      </c>
      <c r="G275" t="n">
        <v>4.9</v>
      </c>
      <c r="H275" t="n">
        <v>0</v>
      </c>
      <c r="I275" t="n">
        <v>0</v>
      </c>
      <c r="J275" t="n">
        <v>0</v>
      </c>
      <c r="K275" t="n">
        <v>0</v>
      </c>
      <c r="L275" t="n">
        <v>0</v>
      </c>
      <c r="M275" t="n">
        <v>0</v>
      </c>
      <c r="N275" t="n">
        <v>0</v>
      </c>
      <c r="O275" t="n">
        <v>0</v>
      </c>
      <c r="P275" t="n">
        <v>0</v>
      </c>
      <c r="Q275" t="n">
        <v>0</v>
      </c>
      <c r="R275" s="2" t="inlineStr"/>
    </row>
    <row r="276" ht="15" customHeight="1">
      <c r="A276" t="inlineStr">
        <is>
          <t>A 43034-2024</t>
        </is>
      </c>
      <c r="B276" s="1" t="n">
        <v>45567.42011574074</v>
      </c>
      <c r="C276" s="1" t="n">
        <v>46101</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40256-2024</t>
        </is>
      </c>
      <c r="B277" s="1" t="n">
        <v>45554.62944444444</v>
      </c>
      <c r="C277" s="1" t="n">
        <v>46101</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60292-2022</t>
        </is>
      </c>
      <c r="B278" s="1" t="n">
        <v>44910.54231481482</v>
      </c>
      <c r="C278" s="1" t="n">
        <v>46101</v>
      </c>
      <c r="D278" t="inlineStr">
        <is>
          <t>KALMAR LÄN</t>
        </is>
      </c>
      <c r="E278" t="inlineStr">
        <is>
          <t>VIMMERBY</t>
        </is>
      </c>
      <c r="G278" t="n">
        <v>4.4</v>
      </c>
      <c r="H278" t="n">
        <v>0</v>
      </c>
      <c r="I278" t="n">
        <v>0</v>
      </c>
      <c r="J278" t="n">
        <v>0</v>
      </c>
      <c r="K278" t="n">
        <v>0</v>
      </c>
      <c r="L278" t="n">
        <v>0</v>
      </c>
      <c r="M278" t="n">
        <v>0</v>
      </c>
      <c r="N278" t="n">
        <v>0</v>
      </c>
      <c r="O278" t="n">
        <v>0</v>
      </c>
      <c r="P278" t="n">
        <v>0</v>
      </c>
      <c r="Q278" t="n">
        <v>0</v>
      </c>
      <c r="R278" s="2" t="inlineStr"/>
    </row>
    <row r="279" ht="15" customHeight="1">
      <c r="A279" t="inlineStr">
        <is>
          <t>A 35198-2023</t>
        </is>
      </c>
      <c r="B279" s="1" t="n">
        <v>45145</v>
      </c>
      <c r="C279" s="1" t="n">
        <v>46101</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43093-2024</t>
        </is>
      </c>
      <c r="B280" s="1" t="n">
        <v>45567</v>
      </c>
      <c r="C280" s="1" t="n">
        <v>46101</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58374-2024</t>
        </is>
      </c>
      <c r="B281" s="1" t="n">
        <v>45632.72635416667</v>
      </c>
      <c r="C281" s="1" t="n">
        <v>46101</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55300-2021</t>
        </is>
      </c>
      <c r="B282" s="1" t="n">
        <v>44475</v>
      </c>
      <c r="C282" s="1" t="n">
        <v>46101</v>
      </c>
      <c r="D282" t="inlineStr">
        <is>
          <t>KALMAR LÄN</t>
        </is>
      </c>
      <c r="E282" t="inlineStr">
        <is>
          <t>VIMMERBY</t>
        </is>
      </c>
      <c r="G282" t="n">
        <v>3.4</v>
      </c>
      <c r="H282" t="n">
        <v>0</v>
      </c>
      <c r="I282" t="n">
        <v>0</v>
      </c>
      <c r="J282" t="n">
        <v>0</v>
      </c>
      <c r="K282" t="n">
        <v>0</v>
      </c>
      <c r="L282" t="n">
        <v>0</v>
      </c>
      <c r="M282" t="n">
        <v>0</v>
      </c>
      <c r="N282" t="n">
        <v>0</v>
      </c>
      <c r="O282" t="n">
        <v>0</v>
      </c>
      <c r="P282" t="n">
        <v>0</v>
      </c>
      <c r="Q282" t="n">
        <v>0</v>
      </c>
      <c r="R282" s="2" t="inlineStr"/>
    </row>
    <row r="283" ht="15" customHeight="1">
      <c r="A283" t="inlineStr">
        <is>
          <t>A 47263-2023</t>
        </is>
      </c>
      <c r="B283" s="1" t="n">
        <v>45202.4209837963</v>
      </c>
      <c r="C283" s="1" t="n">
        <v>46101</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2536-2023</t>
        </is>
      </c>
      <c r="B284" s="1" t="n">
        <v>44943.62954861111</v>
      </c>
      <c r="C284" s="1" t="n">
        <v>46101</v>
      </c>
      <c r="D284" t="inlineStr">
        <is>
          <t>KALMAR LÄN</t>
        </is>
      </c>
      <c r="E284" t="inlineStr">
        <is>
          <t>VIMMERBY</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2801-2023</t>
        </is>
      </c>
      <c r="B285" s="1" t="n">
        <v>44944.73487268519</v>
      </c>
      <c r="C285" s="1" t="n">
        <v>46101</v>
      </c>
      <c r="D285" t="inlineStr">
        <is>
          <t>KALMAR LÄN</t>
        </is>
      </c>
      <c r="E285" t="inlineStr">
        <is>
          <t>VIMMERBY</t>
        </is>
      </c>
      <c r="G285" t="n">
        <v>0.6</v>
      </c>
      <c r="H285" t="n">
        <v>0</v>
      </c>
      <c r="I285" t="n">
        <v>0</v>
      </c>
      <c r="J285" t="n">
        <v>0</v>
      </c>
      <c r="K285" t="n">
        <v>0</v>
      </c>
      <c r="L285" t="n">
        <v>0</v>
      </c>
      <c r="M285" t="n">
        <v>0</v>
      </c>
      <c r="N285" t="n">
        <v>0</v>
      </c>
      <c r="O285" t="n">
        <v>0</v>
      </c>
      <c r="P285" t="n">
        <v>0</v>
      </c>
      <c r="Q285" t="n">
        <v>0</v>
      </c>
      <c r="R285" s="2" t="inlineStr"/>
    </row>
    <row r="286" ht="15" customHeight="1">
      <c r="A286" t="inlineStr">
        <is>
          <t>A 17968-2025</t>
        </is>
      </c>
      <c r="B286" s="1" t="n">
        <v>45761.35990740741</v>
      </c>
      <c r="C286" s="1" t="n">
        <v>46101</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38604-2025</t>
        </is>
      </c>
      <c r="B287" s="1" t="n">
        <v>45884.50613425926</v>
      </c>
      <c r="C287" s="1" t="n">
        <v>46101</v>
      </c>
      <c r="D287" t="inlineStr">
        <is>
          <t>KALMAR LÄN</t>
        </is>
      </c>
      <c r="E287" t="inlineStr">
        <is>
          <t>VIMMERBY</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35597-2025</t>
        </is>
      </c>
      <c r="B288" s="1" t="n">
        <v>45858.66019675926</v>
      </c>
      <c r="C288" s="1" t="n">
        <v>46101</v>
      </c>
      <c r="D288" t="inlineStr">
        <is>
          <t>KALMAR LÄN</t>
        </is>
      </c>
      <c r="E288" t="inlineStr">
        <is>
          <t>VIMMERBY</t>
        </is>
      </c>
      <c r="G288" t="n">
        <v>6.4</v>
      </c>
      <c r="H288" t="n">
        <v>0</v>
      </c>
      <c r="I288" t="n">
        <v>0</v>
      </c>
      <c r="J288" t="n">
        <v>0</v>
      </c>
      <c r="K288" t="n">
        <v>0</v>
      </c>
      <c r="L288" t="n">
        <v>0</v>
      </c>
      <c r="M288" t="n">
        <v>0</v>
      </c>
      <c r="N288" t="n">
        <v>0</v>
      </c>
      <c r="O288" t="n">
        <v>0</v>
      </c>
      <c r="P288" t="n">
        <v>0</v>
      </c>
      <c r="Q288" t="n">
        <v>0</v>
      </c>
      <c r="R288" s="2" t="inlineStr"/>
    </row>
    <row r="289" ht="15" customHeight="1">
      <c r="A289" t="inlineStr">
        <is>
          <t>A 35596-2025</t>
        </is>
      </c>
      <c r="B289" s="1" t="n">
        <v>45858.60641203704</v>
      </c>
      <c r="C289" s="1" t="n">
        <v>46101</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14451-2024</t>
        </is>
      </c>
      <c r="B290" s="1" t="n">
        <v>45394.50028935185</v>
      </c>
      <c r="C290" s="1" t="n">
        <v>46101</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46238-2024</t>
        </is>
      </c>
      <c r="B291" s="1" t="n">
        <v>45581.58418981481</v>
      </c>
      <c r="C291" s="1" t="n">
        <v>46101</v>
      </c>
      <c r="D291" t="inlineStr">
        <is>
          <t>KALMAR LÄN</t>
        </is>
      </c>
      <c r="E291" t="inlineStr">
        <is>
          <t>VIMMERBY</t>
        </is>
      </c>
      <c r="G291" t="n">
        <v>2.1</v>
      </c>
      <c r="H291" t="n">
        <v>0</v>
      </c>
      <c r="I291" t="n">
        <v>0</v>
      </c>
      <c r="J291" t="n">
        <v>0</v>
      </c>
      <c r="K291" t="n">
        <v>0</v>
      </c>
      <c r="L291" t="n">
        <v>0</v>
      </c>
      <c r="M291" t="n">
        <v>0</v>
      </c>
      <c r="N291" t="n">
        <v>0</v>
      </c>
      <c r="O291" t="n">
        <v>0</v>
      </c>
      <c r="P291" t="n">
        <v>0</v>
      </c>
      <c r="Q291" t="n">
        <v>0</v>
      </c>
      <c r="R291" s="2" t="inlineStr"/>
    </row>
    <row r="292" ht="15" customHeight="1">
      <c r="A292" t="inlineStr">
        <is>
          <t>A 50993-2022</t>
        </is>
      </c>
      <c r="B292" s="1" t="n">
        <v>44867</v>
      </c>
      <c r="C292" s="1" t="n">
        <v>46101</v>
      </c>
      <c r="D292" t="inlineStr">
        <is>
          <t>KALMAR LÄN</t>
        </is>
      </c>
      <c r="E292" t="inlineStr">
        <is>
          <t>VIMMERBY</t>
        </is>
      </c>
      <c r="G292" t="n">
        <v>1.7</v>
      </c>
      <c r="H292" t="n">
        <v>0</v>
      </c>
      <c r="I292" t="n">
        <v>0</v>
      </c>
      <c r="J292" t="n">
        <v>0</v>
      </c>
      <c r="K292" t="n">
        <v>0</v>
      </c>
      <c r="L292" t="n">
        <v>0</v>
      </c>
      <c r="M292" t="n">
        <v>0</v>
      </c>
      <c r="N292" t="n">
        <v>0</v>
      </c>
      <c r="O292" t="n">
        <v>0</v>
      </c>
      <c r="P292" t="n">
        <v>0</v>
      </c>
      <c r="Q292" t="n">
        <v>0</v>
      </c>
      <c r="R292" s="2" t="inlineStr"/>
    </row>
    <row r="293" ht="15" customHeight="1">
      <c r="A293" t="inlineStr">
        <is>
          <t>A 46225-2024</t>
        </is>
      </c>
      <c r="B293" s="1" t="n">
        <v>45581.57333333333</v>
      </c>
      <c r="C293" s="1" t="n">
        <v>46101</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36055-2024</t>
        </is>
      </c>
      <c r="B294" s="1" t="n">
        <v>45533.63056712963</v>
      </c>
      <c r="C294" s="1" t="n">
        <v>46101</v>
      </c>
      <c r="D294" t="inlineStr">
        <is>
          <t>KALMAR LÄN</t>
        </is>
      </c>
      <c r="E294" t="inlineStr">
        <is>
          <t>VIMMERBY</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19502-2025</t>
        </is>
      </c>
      <c r="B295" s="1" t="n">
        <v>45769</v>
      </c>
      <c r="C295" s="1" t="n">
        <v>46101</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47859-2024</t>
        </is>
      </c>
      <c r="B296" s="1" t="n">
        <v>45588.67070601852</v>
      </c>
      <c r="C296" s="1" t="n">
        <v>46101</v>
      </c>
      <c r="D296" t="inlineStr">
        <is>
          <t>KALMAR LÄN</t>
        </is>
      </c>
      <c r="E296" t="inlineStr">
        <is>
          <t>VIMMERBY</t>
        </is>
      </c>
      <c r="G296" t="n">
        <v>1.7</v>
      </c>
      <c r="H296" t="n">
        <v>0</v>
      </c>
      <c r="I296" t="n">
        <v>0</v>
      </c>
      <c r="J296" t="n">
        <v>0</v>
      </c>
      <c r="K296" t="n">
        <v>0</v>
      </c>
      <c r="L296" t="n">
        <v>0</v>
      </c>
      <c r="M296" t="n">
        <v>0</v>
      </c>
      <c r="N296" t="n">
        <v>0</v>
      </c>
      <c r="O296" t="n">
        <v>0</v>
      </c>
      <c r="P296" t="n">
        <v>0</v>
      </c>
      <c r="Q296" t="n">
        <v>0</v>
      </c>
      <c r="R296" s="2" t="inlineStr"/>
    </row>
    <row r="297" ht="15" customHeight="1">
      <c r="A297" t="inlineStr">
        <is>
          <t>A 36273-2025</t>
        </is>
      </c>
      <c r="B297" s="1" t="n">
        <v>45867.63094907408</v>
      </c>
      <c r="C297" s="1" t="n">
        <v>46101</v>
      </c>
      <c r="D297" t="inlineStr">
        <is>
          <t>KALMAR LÄN</t>
        </is>
      </c>
      <c r="E297" t="inlineStr">
        <is>
          <t>VIMMERBY</t>
        </is>
      </c>
      <c r="G297" t="n">
        <v>1.7</v>
      </c>
      <c r="H297" t="n">
        <v>0</v>
      </c>
      <c r="I297" t="n">
        <v>0</v>
      </c>
      <c r="J297" t="n">
        <v>0</v>
      </c>
      <c r="K297" t="n">
        <v>0</v>
      </c>
      <c r="L297" t="n">
        <v>0</v>
      </c>
      <c r="M297" t="n">
        <v>0</v>
      </c>
      <c r="N297" t="n">
        <v>0</v>
      </c>
      <c r="O297" t="n">
        <v>0</v>
      </c>
      <c r="P297" t="n">
        <v>0</v>
      </c>
      <c r="Q297" t="n">
        <v>0</v>
      </c>
      <c r="R297" s="2" t="inlineStr"/>
    </row>
    <row r="298" ht="15" customHeight="1">
      <c r="A298" t="inlineStr">
        <is>
          <t>A 36299-2025</t>
        </is>
      </c>
      <c r="B298" s="1" t="n">
        <v>45867.69346064814</v>
      </c>
      <c r="C298" s="1" t="n">
        <v>46101</v>
      </c>
      <c r="D298" t="inlineStr">
        <is>
          <t>KALMAR LÄN</t>
        </is>
      </c>
      <c r="E298" t="inlineStr">
        <is>
          <t>VIMMERBY</t>
        </is>
      </c>
      <c r="G298" t="n">
        <v>7.6</v>
      </c>
      <c r="H298" t="n">
        <v>0</v>
      </c>
      <c r="I298" t="n">
        <v>0</v>
      </c>
      <c r="J298" t="n">
        <v>0</v>
      </c>
      <c r="K298" t="n">
        <v>0</v>
      </c>
      <c r="L298" t="n">
        <v>0</v>
      </c>
      <c r="M298" t="n">
        <v>0</v>
      </c>
      <c r="N298" t="n">
        <v>0</v>
      </c>
      <c r="O298" t="n">
        <v>0</v>
      </c>
      <c r="P298" t="n">
        <v>0</v>
      </c>
      <c r="Q298" t="n">
        <v>0</v>
      </c>
      <c r="R298" s="2" t="inlineStr"/>
    </row>
    <row r="299" ht="15" customHeight="1">
      <c r="A299" t="inlineStr">
        <is>
          <t>A 32835-2022</t>
        </is>
      </c>
      <c r="B299" s="1" t="n">
        <v>44784.42528935185</v>
      </c>
      <c r="C299" s="1" t="n">
        <v>46101</v>
      </c>
      <c r="D299" t="inlineStr">
        <is>
          <t>KALMAR LÄN</t>
        </is>
      </c>
      <c r="E299" t="inlineStr">
        <is>
          <t>VIMMERBY</t>
        </is>
      </c>
      <c r="G299" t="n">
        <v>1.6</v>
      </c>
      <c r="H299" t="n">
        <v>0</v>
      </c>
      <c r="I299" t="n">
        <v>0</v>
      </c>
      <c r="J299" t="n">
        <v>0</v>
      </c>
      <c r="K299" t="n">
        <v>0</v>
      </c>
      <c r="L299" t="n">
        <v>0</v>
      </c>
      <c r="M299" t="n">
        <v>0</v>
      </c>
      <c r="N299" t="n">
        <v>0</v>
      </c>
      <c r="O299" t="n">
        <v>0</v>
      </c>
      <c r="P299" t="n">
        <v>0</v>
      </c>
      <c r="Q299" t="n">
        <v>0</v>
      </c>
      <c r="R299" s="2" t="inlineStr"/>
    </row>
    <row r="300" ht="15" customHeight="1">
      <c r="A300" t="inlineStr">
        <is>
          <t>A 36221-2025</t>
        </is>
      </c>
      <c r="B300" s="1" t="n">
        <v>45867.50792824074</v>
      </c>
      <c r="C300" s="1" t="n">
        <v>46101</v>
      </c>
      <c r="D300" t="inlineStr">
        <is>
          <t>KALMAR LÄN</t>
        </is>
      </c>
      <c r="E300" t="inlineStr">
        <is>
          <t>VIMMERBY</t>
        </is>
      </c>
      <c r="G300" t="n">
        <v>2.5</v>
      </c>
      <c r="H300" t="n">
        <v>0</v>
      </c>
      <c r="I300" t="n">
        <v>0</v>
      </c>
      <c r="J300" t="n">
        <v>0</v>
      </c>
      <c r="K300" t="n">
        <v>0</v>
      </c>
      <c r="L300" t="n">
        <v>0</v>
      </c>
      <c r="M300" t="n">
        <v>0</v>
      </c>
      <c r="N300" t="n">
        <v>0</v>
      </c>
      <c r="O300" t="n">
        <v>0</v>
      </c>
      <c r="P300" t="n">
        <v>0</v>
      </c>
      <c r="Q300" t="n">
        <v>0</v>
      </c>
      <c r="R300" s="2" t="inlineStr"/>
    </row>
    <row r="301" ht="15" customHeight="1">
      <c r="A301" t="inlineStr">
        <is>
          <t>A 36226-2025</t>
        </is>
      </c>
      <c r="B301" s="1" t="n">
        <v>45867.51630787037</v>
      </c>
      <c r="C301" s="1" t="n">
        <v>46101</v>
      </c>
      <c r="D301" t="inlineStr">
        <is>
          <t>KALMAR LÄN</t>
        </is>
      </c>
      <c r="E301" t="inlineStr">
        <is>
          <t>VIMMERBY</t>
        </is>
      </c>
      <c r="G301" t="n">
        <v>3.1</v>
      </c>
      <c r="H301" t="n">
        <v>0</v>
      </c>
      <c r="I301" t="n">
        <v>0</v>
      </c>
      <c r="J301" t="n">
        <v>0</v>
      </c>
      <c r="K301" t="n">
        <v>0</v>
      </c>
      <c r="L301" t="n">
        <v>0</v>
      </c>
      <c r="M301" t="n">
        <v>0</v>
      </c>
      <c r="N301" t="n">
        <v>0</v>
      </c>
      <c r="O301" t="n">
        <v>0</v>
      </c>
      <c r="P301" t="n">
        <v>0</v>
      </c>
      <c r="Q301" t="n">
        <v>0</v>
      </c>
      <c r="R301" s="2" t="inlineStr"/>
    </row>
    <row r="302" ht="15" customHeight="1">
      <c r="A302" t="inlineStr">
        <is>
          <t>A 36297-2025</t>
        </is>
      </c>
      <c r="B302" s="1" t="n">
        <v>45867.68625</v>
      </c>
      <c r="C302" s="1" t="n">
        <v>46101</v>
      </c>
      <c r="D302" t="inlineStr">
        <is>
          <t>KALMAR LÄN</t>
        </is>
      </c>
      <c r="E302" t="inlineStr">
        <is>
          <t>VIMMERBY</t>
        </is>
      </c>
      <c r="G302" t="n">
        <v>4.9</v>
      </c>
      <c r="H302" t="n">
        <v>0</v>
      </c>
      <c r="I302" t="n">
        <v>0</v>
      </c>
      <c r="J302" t="n">
        <v>0</v>
      </c>
      <c r="K302" t="n">
        <v>0</v>
      </c>
      <c r="L302" t="n">
        <v>0</v>
      </c>
      <c r="M302" t="n">
        <v>0</v>
      </c>
      <c r="N302" t="n">
        <v>0</v>
      </c>
      <c r="O302" t="n">
        <v>0</v>
      </c>
      <c r="P302" t="n">
        <v>0</v>
      </c>
      <c r="Q302" t="n">
        <v>0</v>
      </c>
      <c r="R302" s="2" t="inlineStr"/>
    </row>
    <row r="303" ht="15" customHeight="1">
      <c r="A303" t="inlineStr">
        <is>
          <t>A 36246-2025</t>
        </is>
      </c>
      <c r="B303" s="1" t="n">
        <v>45867.56320601852</v>
      </c>
      <c r="C303" s="1" t="n">
        <v>46101</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36282-2025</t>
        </is>
      </c>
      <c r="B304" s="1" t="n">
        <v>45867.64663194444</v>
      </c>
      <c r="C304" s="1" t="n">
        <v>46101</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36538-2025</t>
        </is>
      </c>
      <c r="B305" s="1" t="n">
        <v>45869.62276620371</v>
      </c>
      <c r="C305" s="1" t="n">
        <v>46101</v>
      </c>
      <c r="D305" t="inlineStr">
        <is>
          <t>KALMAR LÄN</t>
        </is>
      </c>
      <c r="E305" t="inlineStr">
        <is>
          <t>VIMMERBY</t>
        </is>
      </c>
      <c r="G305" t="n">
        <v>2.6</v>
      </c>
      <c r="H305" t="n">
        <v>0</v>
      </c>
      <c r="I305" t="n">
        <v>0</v>
      </c>
      <c r="J305" t="n">
        <v>0</v>
      </c>
      <c r="K305" t="n">
        <v>0</v>
      </c>
      <c r="L305" t="n">
        <v>0</v>
      </c>
      <c r="M305" t="n">
        <v>0</v>
      </c>
      <c r="N305" t="n">
        <v>0</v>
      </c>
      <c r="O305" t="n">
        <v>0</v>
      </c>
      <c r="P305" t="n">
        <v>0</v>
      </c>
      <c r="Q305" t="n">
        <v>0</v>
      </c>
      <c r="R305" s="2" t="inlineStr"/>
    </row>
    <row r="306" ht="15" customHeight="1">
      <c r="A306" t="inlineStr">
        <is>
          <t>A 36598-2025</t>
        </is>
      </c>
      <c r="B306" s="1" t="n">
        <v>45870.51708333333</v>
      </c>
      <c r="C306" s="1" t="n">
        <v>46101</v>
      </c>
      <c r="D306" t="inlineStr">
        <is>
          <t>KALMAR LÄN</t>
        </is>
      </c>
      <c r="E306" t="inlineStr">
        <is>
          <t>VIMMERBY</t>
        </is>
      </c>
      <c r="G306" t="n">
        <v>3.7</v>
      </c>
      <c r="H306" t="n">
        <v>0</v>
      </c>
      <c r="I306" t="n">
        <v>0</v>
      </c>
      <c r="J306" t="n">
        <v>0</v>
      </c>
      <c r="K306" t="n">
        <v>0</v>
      </c>
      <c r="L306" t="n">
        <v>0</v>
      </c>
      <c r="M306" t="n">
        <v>0</v>
      </c>
      <c r="N306" t="n">
        <v>0</v>
      </c>
      <c r="O306" t="n">
        <v>0</v>
      </c>
      <c r="P306" t="n">
        <v>0</v>
      </c>
      <c r="Q306" t="n">
        <v>0</v>
      </c>
      <c r="R306" s="2" t="inlineStr"/>
    </row>
    <row r="307" ht="15" customHeight="1">
      <c r="A307" t="inlineStr">
        <is>
          <t>A 36602-2025</t>
        </is>
      </c>
      <c r="B307" s="1" t="n">
        <v>45870.52111111111</v>
      </c>
      <c r="C307" s="1" t="n">
        <v>46101</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36600-2025</t>
        </is>
      </c>
      <c r="B308" s="1" t="n">
        <v>45870.51958333333</v>
      </c>
      <c r="C308" s="1" t="n">
        <v>46101</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36601-2025</t>
        </is>
      </c>
      <c r="B309" s="1" t="n">
        <v>45870.52005787037</v>
      </c>
      <c r="C309" s="1" t="n">
        <v>46101</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36603-2025</t>
        </is>
      </c>
      <c r="B310" s="1" t="n">
        <v>45870.52142361111</v>
      </c>
      <c r="C310" s="1" t="n">
        <v>46101</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41896-2023</t>
        </is>
      </c>
      <c r="B311" s="1" t="n">
        <v>45176.72427083334</v>
      </c>
      <c r="C311" s="1" t="n">
        <v>46101</v>
      </c>
      <c r="D311" t="inlineStr">
        <is>
          <t>KALMAR LÄN</t>
        </is>
      </c>
      <c r="E311" t="inlineStr">
        <is>
          <t>VIMMERBY</t>
        </is>
      </c>
      <c r="G311" t="n">
        <v>1.3</v>
      </c>
      <c r="H311" t="n">
        <v>0</v>
      </c>
      <c r="I311" t="n">
        <v>0</v>
      </c>
      <c r="J311" t="n">
        <v>0</v>
      </c>
      <c r="K311" t="n">
        <v>0</v>
      </c>
      <c r="L311" t="n">
        <v>0</v>
      </c>
      <c r="M311" t="n">
        <v>0</v>
      </c>
      <c r="N311" t="n">
        <v>0</v>
      </c>
      <c r="O311" t="n">
        <v>0</v>
      </c>
      <c r="P311" t="n">
        <v>0</v>
      </c>
      <c r="Q311" t="n">
        <v>0</v>
      </c>
      <c r="R311" s="2" t="inlineStr"/>
    </row>
    <row r="312" ht="15" customHeight="1">
      <c r="A312" t="inlineStr">
        <is>
          <t>A 43606-2024</t>
        </is>
      </c>
      <c r="B312" s="1" t="n">
        <v>45569.45017361111</v>
      </c>
      <c r="C312" s="1" t="n">
        <v>46101</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12325-2023</t>
        </is>
      </c>
      <c r="B313" s="1" t="n">
        <v>44999.35858796296</v>
      </c>
      <c r="C313" s="1" t="n">
        <v>46101</v>
      </c>
      <c r="D313" t="inlineStr">
        <is>
          <t>KALMAR LÄN</t>
        </is>
      </c>
      <c r="E313" t="inlineStr">
        <is>
          <t>VIMMERBY</t>
        </is>
      </c>
      <c r="G313" t="n">
        <v>3.4</v>
      </c>
      <c r="H313" t="n">
        <v>0</v>
      </c>
      <c r="I313" t="n">
        <v>0</v>
      </c>
      <c r="J313" t="n">
        <v>0</v>
      </c>
      <c r="K313" t="n">
        <v>0</v>
      </c>
      <c r="L313" t="n">
        <v>0</v>
      </c>
      <c r="M313" t="n">
        <v>0</v>
      </c>
      <c r="N313" t="n">
        <v>0</v>
      </c>
      <c r="O313" t="n">
        <v>0</v>
      </c>
      <c r="P313" t="n">
        <v>0</v>
      </c>
      <c r="Q313" t="n">
        <v>0</v>
      </c>
      <c r="R313" s="2" t="inlineStr"/>
    </row>
    <row r="314" ht="15" customHeight="1">
      <c r="A314" t="inlineStr">
        <is>
          <t>A 8945-2025</t>
        </is>
      </c>
      <c r="B314" s="1" t="n">
        <v>45713.45311342592</v>
      </c>
      <c r="C314" s="1" t="n">
        <v>46101</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29726-2025</t>
        </is>
      </c>
      <c r="B315" s="1" t="n">
        <v>45825.57805555555</v>
      </c>
      <c r="C315" s="1" t="n">
        <v>46101</v>
      </c>
      <c r="D315" t="inlineStr">
        <is>
          <t>KALMAR LÄN</t>
        </is>
      </c>
      <c r="E315" t="inlineStr">
        <is>
          <t>VIMMERBY</t>
        </is>
      </c>
      <c r="G315" t="n">
        <v>2</v>
      </c>
      <c r="H315" t="n">
        <v>0</v>
      </c>
      <c r="I315" t="n">
        <v>0</v>
      </c>
      <c r="J315" t="n">
        <v>0</v>
      </c>
      <c r="K315" t="n">
        <v>0</v>
      </c>
      <c r="L315" t="n">
        <v>0</v>
      </c>
      <c r="M315" t="n">
        <v>0</v>
      </c>
      <c r="N315" t="n">
        <v>0</v>
      </c>
      <c r="O315" t="n">
        <v>0</v>
      </c>
      <c r="P315" t="n">
        <v>0</v>
      </c>
      <c r="Q315" t="n">
        <v>0</v>
      </c>
      <c r="R315" s="2" t="inlineStr"/>
    </row>
    <row r="316" ht="15" customHeight="1">
      <c r="A316" t="inlineStr">
        <is>
          <t>A 40665-2023</t>
        </is>
      </c>
      <c r="B316" s="1" t="n">
        <v>45170</v>
      </c>
      <c r="C316" s="1" t="n">
        <v>46101</v>
      </c>
      <c r="D316" t="inlineStr">
        <is>
          <t>KALMAR LÄN</t>
        </is>
      </c>
      <c r="E316" t="inlineStr">
        <is>
          <t>VIMMERBY</t>
        </is>
      </c>
      <c r="G316" t="n">
        <v>2.6</v>
      </c>
      <c r="H316" t="n">
        <v>0</v>
      </c>
      <c r="I316" t="n">
        <v>0</v>
      </c>
      <c r="J316" t="n">
        <v>0</v>
      </c>
      <c r="K316" t="n">
        <v>0</v>
      </c>
      <c r="L316" t="n">
        <v>0</v>
      </c>
      <c r="M316" t="n">
        <v>0</v>
      </c>
      <c r="N316" t="n">
        <v>0</v>
      </c>
      <c r="O316" t="n">
        <v>0</v>
      </c>
      <c r="P316" t="n">
        <v>0</v>
      </c>
      <c r="Q316" t="n">
        <v>0</v>
      </c>
      <c r="R316" s="2" t="inlineStr"/>
    </row>
    <row r="317" ht="15" customHeight="1">
      <c r="A317" t="inlineStr">
        <is>
          <t>A 13307-2025</t>
        </is>
      </c>
      <c r="B317" s="1" t="n">
        <v>45735.58024305556</v>
      </c>
      <c r="C317" s="1" t="n">
        <v>46101</v>
      </c>
      <c r="D317" t="inlineStr">
        <is>
          <t>KALMAR LÄN</t>
        </is>
      </c>
      <c r="E317" t="inlineStr">
        <is>
          <t>VIMMERBY</t>
        </is>
      </c>
      <c r="G317" t="n">
        <v>0.8</v>
      </c>
      <c r="H317" t="n">
        <v>0</v>
      </c>
      <c r="I317" t="n">
        <v>0</v>
      </c>
      <c r="J317" t="n">
        <v>0</v>
      </c>
      <c r="K317" t="n">
        <v>0</v>
      </c>
      <c r="L317" t="n">
        <v>0</v>
      </c>
      <c r="M317" t="n">
        <v>0</v>
      </c>
      <c r="N317" t="n">
        <v>0</v>
      </c>
      <c r="O317" t="n">
        <v>0</v>
      </c>
      <c r="P317" t="n">
        <v>0</v>
      </c>
      <c r="Q317" t="n">
        <v>0</v>
      </c>
      <c r="R317" s="2" t="inlineStr"/>
    </row>
    <row r="318" ht="15" customHeight="1">
      <c r="A318" t="inlineStr">
        <is>
          <t>A 28034-2022</t>
        </is>
      </c>
      <c r="B318" s="1" t="n">
        <v>44746.38834490741</v>
      </c>
      <c r="C318" s="1" t="n">
        <v>46101</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36934-2025</t>
        </is>
      </c>
      <c r="B319" s="1" t="n">
        <v>45874.57109953704</v>
      </c>
      <c r="C319" s="1" t="n">
        <v>46101</v>
      </c>
      <c r="D319" t="inlineStr">
        <is>
          <t>KALMAR LÄN</t>
        </is>
      </c>
      <c r="E319" t="inlineStr">
        <is>
          <t>VIMMERBY</t>
        </is>
      </c>
      <c r="G319" t="n">
        <v>4.2</v>
      </c>
      <c r="H319" t="n">
        <v>0</v>
      </c>
      <c r="I319" t="n">
        <v>0</v>
      </c>
      <c r="J319" t="n">
        <v>0</v>
      </c>
      <c r="K319" t="n">
        <v>0</v>
      </c>
      <c r="L319" t="n">
        <v>0</v>
      </c>
      <c r="M319" t="n">
        <v>0</v>
      </c>
      <c r="N319" t="n">
        <v>0</v>
      </c>
      <c r="O319" t="n">
        <v>0</v>
      </c>
      <c r="P319" t="n">
        <v>0</v>
      </c>
      <c r="Q319" t="n">
        <v>0</v>
      </c>
      <c r="R319" s="2" t="inlineStr"/>
    </row>
    <row r="320" ht="15" customHeight="1">
      <c r="A320" t="inlineStr">
        <is>
          <t>A 38964-2025</t>
        </is>
      </c>
      <c r="B320" s="1" t="n">
        <v>45887.68759259259</v>
      </c>
      <c r="C320" s="1" t="n">
        <v>46101</v>
      </c>
      <c r="D320" t="inlineStr">
        <is>
          <t>KALMAR LÄN</t>
        </is>
      </c>
      <c r="E320" t="inlineStr">
        <is>
          <t>VIMMERBY</t>
        </is>
      </c>
      <c r="G320" t="n">
        <v>7.5</v>
      </c>
      <c r="H320" t="n">
        <v>0</v>
      </c>
      <c r="I320" t="n">
        <v>0</v>
      </c>
      <c r="J320" t="n">
        <v>0</v>
      </c>
      <c r="K320" t="n">
        <v>0</v>
      </c>
      <c r="L320" t="n">
        <v>0</v>
      </c>
      <c r="M320" t="n">
        <v>0</v>
      </c>
      <c r="N320" t="n">
        <v>0</v>
      </c>
      <c r="O320" t="n">
        <v>0</v>
      </c>
      <c r="P320" t="n">
        <v>0</v>
      </c>
      <c r="Q320" t="n">
        <v>0</v>
      </c>
      <c r="R320" s="2" t="inlineStr"/>
    </row>
    <row r="321" ht="15" customHeight="1">
      <c r="A321" t="inlineStr">
        <is>
          <t>A 37088-2025</t>
        </is>
      </c>
      <c r="B321" s="1" t="n">
        <v>45875.45716435185</v>
      </c>
      <c r="C321" s="1" t="n">
        <v>46101</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37102-2025</t>
        </is>
      </c>
      <c r="B322" s="1" t="n">
        <v>45875.47454861111</v>
      </c>
      <c r="C322" s="1" t="n">
        <v>46101</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55605-2024</t>
        </is>
      </c>
      <c r="B323" s="1" t="n">
        <v>45622</v>
      </c>
      <c r="C323" s="1" t="n">
        <v>46101</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42165-2024</t>
        </is>
      </c>
      <c r="B324" s="1" t="n">
        <v>45562.46342592593</v>
      </c>
      <c r="C324" s="1" t="n">
        <v>46101</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37079-2025</t>
        </is>
      </c>
      <c r="B325" s="1" t="n">
        <v>45875.42716435185</v>
      </c>
      <c r="C325" s="1" t="n">
        <v>46101</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20129-2024</t>
        </is>
      </c>
      <c r="B326" s="1" t="n">
        <v>45434.55831018519</v>
      </c>
      <c r="C326" s="1" t="n">
        <v>46101</v>
      </c>
      <c r="D326" t="inlineStr">
        <is>
          <t>KALMAR LÄN</t>
        </is>
      </c>
      <c r="E326" t="inlineStr">
        <is>
          <t>VIMMERBY</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20137-2024</t>
        </is>
      </c>
      <c r="B327" s="1" t="n">
        <v>45434.56398148148</v>
      </c>
      <c r="C327" s="1" t="n">
        <v>46101</v>
      </c>
      <c r="D327" t="inlineStr">
        <is>
          <t>KALMAR LÄN</t>
        </is>
      </c>
      <c r="E327" t="inlineStr">
        <is>
          <t>VIMMERBY</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37668-2025</t>
        </is>
      </c>
      <c r="B328" s="1" t="n">
        <v>45880.51550925926</v>
      </c>
      <c r="C328" s="1" t="n">
        <v>46101</v>
      </c>
      <c r="D328" t="inlineStr">
        <is>
          <t>KALMAR LÄN</t>
        </is>
      </c>
      <c r="E328" t="inlineStr">
        <is>
          <t>VIMMERBY</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23095-2023</t>
        </is>
      </c>
      <c r="B329" s="1" t="n">
        <v>45075.43059027778</v>
      </c>
      <c r="C329" s="1" t="n">
        <v>46101</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37578-2025</t>
        </is>
      </c>
      <c r="B330" s="1" t="n">
        <v>45880.38380787037</v>
      </c>
      <c r="C330" s="1" t="n">
        <v>46101</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32919-2022</t>
        </is>
      </c>
      <c r="B331" s="1" t="n">
        <v>44784.62724537037</v>
      </c>
      <c r="C331" s="1" t="n">
        <v>46101</v>
      </c>
      <c r="D331" t="inlineStr">
        <is>
          <t>KALMAR LÄN</t>
        </is>
      </c>
      <c r="E331" t="inlineStr">
        <is>
          <t>VIMMERBY</t>
        </is>
      </c>
      <c r="G331" t="n">
        <v>1.7</v>
      </c>
      <c r="H331" t="n">
        <v>0</v>
      </c>
      <c r="I331" t="n">
        <v>0</v>
      </c>
      <c r="J331" t="n">
        <v>0</v>
      </c>
      <c r="K331" t="n">
        <v>0</v>
      </c>
      <c r="L331" t="n">
        <v>0</v>
      </c>
      <c r="M331" t="n">
        <v>0</v>
      </c>
      <c r="N331" t="n">
        <v>0</v>
      </c>
      <c r="O331" t="n">
        <v>0</v>
      </c>
      <c r="P331" t="n">
        <v>0</v>
      </c>
      <c r="Q331" t="n">
        <v>0</v>
      </c>
      <c r="R331" s="2" t="inlineStr"/>
    </row>
    <row r="332" ht="15" customHeight="1">
      <c r="A332" t="inlineStr">
        <is>
          <t>A 39801-2025</t>
        </is>
      </c>
      <c r="B332" s="1" t="n">
        <v>45891.50216435185</v>
      </c>
      <c r="C332" s="1" t="n">
        <v>46101</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39807-2025</t>
        </is>
      </c>
      <c r="B333" s="1" t="n">
        <v>45891.50986111111</v>
      </c>
      <c r="C333" s="1" t="n">
        <v>46101</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7068-2024</t>
        </is>
      </c>
      <c r="B334" s="1" t="n">
        <v>45343.68038194445</v>
      </c>
      <c r="C334" s="1" t="n">
        <v>46101</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39736-2025</t>
        </is>
      </c>
      <c r="B335" s="1" t="n">
        <v>45891</v>
      </c>
      <c r="C335" s="1" t="n">
        <v>46101</v>
      </c>
      <c r="D335" t="inlineStr">
        <is>
          <t>KALMAR LÄN</t>
        </is>
      </c>
      <c r="E335" t="inlineStr">
        <is>
          <t>VIMMERBY</t>
        </is>
      </c>
      <c r="G335" t="n">
        <v>12.8</v>
      </c>
      <c r="H335" t="n">
        <v>0</v>
      </c>
      <c r="I335" t="n">
        <v>0</v>
      </c>
      <c r="J335" t="n">
        <v>0</v>
      </c>
      <c r="K335" t="n">
        <v>0</v>
      </c>
      <c r="L335" t="n">
        <v>0</v>
      </c>
      <c r="M335" t="n">
        <v>0</v>
      </c>
      <c r="N335" t="n">
        <v>0</v>
      </c>
      <c r="O335" t="n">
        <v>0</v>
      </c>
      <c r="P335" t="n">
        <v>0</v>
      </c>
      <c r="Q335" t="n">
        <v>0</v>
      </c>
      <c r="R335" s="2" t="inlineStr"/>
    </row>
    <row r="336" ht="15" customHeight="1">
      <c r="A336" t="inlineStr">
        <is>
          <t>A 39803-2025</t>
        </is>
      </c>
      <c r="B336" s="1" t="n">
        <v>45891.50525462963</v>
      </c>
      <c r="C336" s="1" t="n">
        <v>46101</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39889-2025</t>
        </is>
      </c>
      <c r="B337" s="1" t="n">
        <v>45891</v>
      </c>
      <c r="C337" s="1" t="n">
        <v>46101</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37866-2025</t>
        </is>
      </c>
      <c r="B338" s="1" t="n">
        <v>45881</v>
      </c>
      <c r="C338" s="1" t="n">
        <v>46101</v>
      </c>
      <c r="D338" t="inlineStr">
        <is>
          <t>KALMAR LÄN</t>
        </is>
      </c>
      <c r="E338" t="inlineStr">
        <is>
          <t>VIMMERBY</t>
        </is>
      </c>
      <c r="G338" t="n">
        <v>3.4</v>
      </c>
      <c r="H338" t="n">
        <v>0</v>
      </c>
      <c r="I338" t="n">
        <v>0</v>
      </c>
      <c r="J338" t="n">
        <v>0</v>
      </c>
      <c r="K338" t="n">
        <v>0</v>
      </c>
      <c r="L338" t="n">
        <v>0</v>
      </c>
      <c r="M338" t="n">
        <v>0</v>
      </c>
      <c r="N338" t="n">
        <v>0</v>
      </c>
      <c r="O338" t="n">
        <v>0</v>
      </c>
      <c r="P338" t="n">
        <v>0</v>
      </c>
      <c r="Q338" t="n">
        <v>0</v>
      </c>
      <c r="R338" s="2" t="inlineStr"/>
    </row>
    <row r="339" ht="15" customHeight="1">
      <c r="A339" t="inlineStr">
        <is>
          <t>A 32655-2023</t>
        </is>
      </c>
      <c r="B339" s="1" t="n">
        <v>45121.61318287037</v>
      </c>
      <c r="C339" s="1" t="n">
        <v>46101</v>
      </c>
      <c r="D339" t="inlineStr">
        <is>
          <t>KALMAR LÄN</t>
        </is>
      </c>
      <c r="E339" t="inlineStr">
        <is>
          <t>VIMMERBY</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37939-2025</t>
        </is>
      </c>
      <c r="B340" s="1" t="n">
        <v>45881.59877314815</v>
      </c>
      <c r="C340" s="1" t="n">
        <v>46101</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54409-2024</t>
        </is>
      </c>
      <c r="B341" s="1" t="n">
        <v>45617.47570601852</v>
      </c>
      <c r="C341" s="1" t="n">
        <v>46101</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40970-2025</t>
        </is>
      </c>
      <c r="B342" s="1" t="n">
        <v>45897.88706018519</v>
      </c>
      <c r="C342" s="1" t="n">
        <v>46101</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40973-2025</t>
        </is>
      </c>
      <c r="B343" s="1" t="n">
        <v>45897.89737268518</v>
      </c>
      <c r="C343" s="1" t="n">
        <v>46101</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41224-2025</t>
        </is>
      </c>
      <c r="B344" s="1" t="n">
        <v>45898.58861111111</v>
      </c>
      <c r="C344" s="1" t="n">
        <v>46101</v>
      </c>
      <c r="D344" t="inlineStr">
        <is>
          <t>KALMAR LÄN</t>
        </is>
      </c>
      <c r="E344" t="inlineStr">
        <is>
          <t>VIMMERBY</t>
        </is>
      </c>
      <c r="G344" t="n">
        <v>4.4</v>
      </c>
      <c r="H344" t="n">
        <v>0</v>
      </c>
      <c r="I344" t="n">
        <v>0</v>
      </c>
      <c r="J344" t="n">
        <v>0</v>
      </c>
      <c r="K344" t="n">
        <v>0</v>
      </c>
      <c r="L344" t="n">
        <v>0</v>
      </c>
      <c r="M344" t="n">
        <v>0</v>
      </c>
      <c r="N344" t="n">
        <v>0</v>
      </c>
      <c r="O344" t="n">
        <v>0</v>
      </c>
      <c r="P344" t="n">
        <v>0</v>
      </c>
      <c r="Q344" t="n">
        <v>0</v>
      </c>
      <c r="R344" s="2" t="inlineStr"/>
    </row>
    <row r="345" ht="15" customHeight="1">
      <c r="A345" t="inlineStr">
        <is>
          <t>A 9475-2023</t>
        </is>
      </c>
      <c r="B345" s="1" t="n">
        <v>44981.58834490741</v>
      </c>
      <c r="C345" s="1" t="n">
        <v>46101</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43092-2024</t>
        </is>
      </c>
      <c r="B346" s="1" t="n">
        <v>45567</v>
      </c>
      <c r="C346" s="1" t="n">
        <v>46101</v>
      </c>
      <c r="D346" t="inlineStr">
        <is>
          <t>KALMAR LÄN</t>
        </is>
      </c>
      <c r="E346" t="inlineStr">
        <is>
          <t>VIMMERBY</t>
        </is>
      </c>
      <c r="G346" t="n">
        <v>2.7</v>
      </c>
      <c r="H346" t="n">
        <v>0</v>
      </c>
      <c r="I346" t="n">
        <v>0</v>
      </c>
      <c r="J346" t="n">
        <v>0</v>
      </c>
      <c r="K346" t="n">
        <v>0</v>
      </c>
      <c r="L346" t="n">
        <v>0</v>
      </c>
      <c r="M346" t="n">
        <v>0</v>
      </c>
      <c r="N346" t="n">
        <v>0</v>
      </c>
      <c r="O346" t="n">
        <v>0</v>
      </c>
      <c r="P346" t="n">
        <v>0</v>
      </c>
      <c r="Q346" t="n">
        <v>0</v>
      </c>
      <c r="R346" s="2" t="inlineStr"/>
    </row>
    <row r="347" ht="15" customHeight="1">
      <c r="A347" t="inlineStr">
        <is>
          <t>A 40925-2025</t>
        </is>
      </c>
      <c r="B347" s="1" t="n">
        <v>45897.64208333333</v>
      </c>
      <c r="C347" s="1" t="n">
        <v>46101</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40921-2025</t>
        </is>
      </c>
      <c r="B348" s="1" t="n">
        <v>45897.63520833333</v>
      </c>
      <c r="C348" s="1" t="n">
        <v>46101</v>
      </c>
      <c r="D348" t="inlineStr">
        <is>
          <t>KALMAR LÄN</t>
        </is>
      </c>
      <c r="E348" t="inlineStr">
        <is>
          <t>VIMMERBY</t>
        </is>
      </c>
      <c r="G348" t="n">
        <v>4.2</v>
      </c>
      <c r="H348" t="n">
        <v>0</v>
      </c>
      <c r="I348" t="n">
        <v>0</v>
      </c>
      <c r="J348" t="n">
        <v>0</v>
      </c>
      <c r="K348" t="n">
        <v>0</v>
      </c>
      <c r="L348" t="n">
        <v>0</v>
      </c>
      <c r="M348" t="n">
        <v>0</v>
      </c>
      <c r="N348" t="n">
        <v>0</v>
      </c>
      <c r="O348" t="n">
        <v>0</v>
      </c>
      <c r="P348" t="n">
        <v>0</v>
      </c>
      <c r="Q348" t="n">
        <v>0</v>
      </c>
      <c r="R348" s="2" t="inlineStr"/>
    </row>
    <row r="349" ht="15" customHeight="1">
      <c r="A349" t="inlineStr">
        <is>
          <t>A 40971-2025</t>
        </is>
      </c>
      <c r="B349" s="1" t="n">
        <v>45897.88836805556</v>
      </c>
      <c r="C349" s="1" t="n">
        <v>46101</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11619-2023</t>
        </is>
      </c>
      <c r="B350" s="1" t="n">
        <v>44994.42113425926</v>
      </c>
      <c r="C350" s="1" t="n">
        <v>46101</v>
      </c>
      <c r="D350" t="inlineStr">
        <is>
          <t>KALMAR LÄN</t>
        </is>
      </c>
      <c r="E350" t="inlineStr">
        <is>
          <t>VIMMERBY</t>
        </is>
      </c>
      <c r="G350" t="n">
        <v>2.5</v>
      </c>
      <c r="H350" t="n">
        <v>0</v>
      </c>
      <c r="I350" t="n">
        <v>0</v>
      </c>
      <c r="J350" t="n">
        <v>0</v>
      </c>
      <c r="K350" t="n">
        <v>0</v>
      </c>
      <c r="L350" t="n">
        <v>0</v>
      </c>
      <c r="M350" t="n">
        <v>0</v>
      </c>
      <c r="N350" t="n">
        <v>0</v>
      </c>
      <c r="O350" t="n">
        <v>0</v>
      </c>
      <c r="P350" t="n">
        <v>0</v>
      </c>
      <c r="Q350" t="n">
        <v>0</v>
      </c>
      <c r="R350" s="2" t="inlineStr"/>
    </row>
    <row r="351" ht="15" customHeight="1">
      <c r="A351" t="inlineStr">
        <is>
          <t>A 5074-2023</t>
        </is>
      </c>
      <c r="B351" s="1" t="n">
        <v>44958.61047453704</v>
      </c>
      <c r="C351" s="1" t="n">
        <v>46101</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6368-2023</t>
        </is>
      </c>
      <c r="B352" s="1" t="n">
        <v>44965</v>
      </c>
      <c r="C352" s="1" t="n">
        <v>46101</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41591-2025</t>
        </is>
      </c>
      <c r="B353" s="1" t="n">
        <v>45901.6327662037</v>
      </c>
      <c r="C353" s="1" t="n">
        <v>46101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5701-2024</t>
        </is>
      </c>
      <c r="B354" s="1" t="n">
        <v>45334.78826388889</v>
      </c>
      <c r="C354" s="1" t="n">
        <v>46101</v>
      </c>
      <c r="D354" t="inlineStr">
        <is>
          <t>KALMAR LÄN</t>
        </is>
      </c>
      <c r="E354" t="inlineStr">
        <is>
          <t>VIMMERBY</t>
        </is>
      </c>
      <c r="G354" t="n">
        <v>2.3</v>
      </c>
      <c r="H354" t="n">
        <v>0</v>
      </c>
      <c r="I354" t="n">
        <v>0</v>
      </c>
      <c r="J354" t="n">
        <v>0</v>
      </c>
      <c r="K354" t="n">
        <v>0</v>
      </c>
      <c r="L354" t="n">
        <v>0</v>
      </c>
      <c r="M354" t="n">
        <v>0</v>
      </c>
      <c r="N354" t="n">
        <v>0</v>
      </c>
      <c r="O354" t="n">
        <v>0</v>
      </c>
      <c r="P354" t="n">
        <v>0</v>
      </c>
      <c r="Q354" t="n">
        <v>0</v>
      </c>
      <c r="R354" s="2" t="inlineStr"/>
    </row>
    <row r="355" ht="15" customHeight="1">
      <c r="A355" t="inlineStr">
        <is>
          <t>A 41589-2025</t>
        </is>
      </c>
      <c r="B355" s="1" t="n">
        <v>45901.63219907408</v>
      </c>
      <c r="C355" s="1" t="n">
        <v>46101</v>
      </c>
      <c r="D355" t="inlineStr">
        <is>
          <t>KALMAR LÄN</t>
        </is>
      </c>
      <c r="E355" t="inlineStr">
        <is>
          <t>VIMMERBY</t>
        </is>
      </c>
      <c r="G355" t="n">
        <v>1.7</v>
      </c>
      <c r="H355" t="n">
        <v>0</v>
      </c>
      <c r="I355" t="n">
        <v>0</v>
      </c>
      <c r="J355" t="n">
        <v>0</v>
      </c>
      <c r="K355" t="n">
        <v>0</v>
      </c>
      <c r="L355" t="n">
        <v>0</v>
      </c>
      <c r="M355" t="n">
        <v>0</v>
      </c>
      <c r="N355" t="n">
        <v>0</v>
      </c>
      <c r="O355" t="n">
        <v>0</v>
      </c>
      <c r="P355" t="n">
        <v>0</v>
      </c>
      <c r="Q355" t="n">
        <v>0</v>
      </c>
      <c r="R355" s="2" t="inlineStr"/>
    </row>
    <row r="356" ht="15" customHeight="1">
      <c r="A356" t="inlineStr">
        <is>
          <t>A 7797-2023</t>
        </is>
      </c>
      <c r="B356" s="1" t="n">
        <v>44973.43075231482</v>
      </c>
      <c r="C356" s="1" t="n">
        <v>46101</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34090-2025</t>
        </is>
      </c>
      <c r="B357" s="1" t="n">
        <v>45845</v>
      </c>
      <c r="C357" s="1" t="n">
        <v>46101</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24655-2021</t>
        </is>
      </c>
      <c r="B358" s="1" t="n">
        <v>44340</v>
      </c>
      <c r="C358" s="1" t="n">
        <v>46101</v>
      </c>
      <c r="D358" t="inlineStr">
        <is>
          <t>KALMAR LÄN</t>
        </is>
      </c>
      <c r="E358" t="inlineStr">
        <is>
          <t>VIMMERBY</t>
        </is>
      </c>
      <c r="G358" t="n">
        <v>14.9</v>
      </c>
      <c r="H358" t="n">
        <v>0</v>
      </c>
      <c r="I358" t="n">
        <v>0</v>
      </c>
      <c r="J358" t="n">
        <v>0</v>
      </c>
      <c r="K358" t="n">
        <v>0</v>
      </c>
      <c r="L358" t="n">
        <v>0</v>
      </c>
      <c r="M358" t="n">
        <v>0</v>
      </c>
      <c r="N358" t="n">
        <v>0</v>
      </c>
      <c r="O358" t="n">
        <v>0</v>
      </c>
      <c r="P358" t="n">
        <v>0</v>
      </c>
      <c r="Q358" t="n">
        <v>0</v>
      </c>
      <c r="R358" s="2" t="inlineStr"/>
    </row>
    <row r="359" ht="15" customHeight="1">
      <c r="A359" t="inlineStr">
        <is>
          <t>A 41735-2025</t>
        </is>
      </c>
      <c r="B359" s="1" t="n">
        <v>45902.47164351852</v>
      </c>
      <c r="C359" s="1" t="n">
        <v>46101</v>
      </c>
      <c r="D359" t="inlineStr">
        <is>
          <t>KALMAR LÄN</t>
        </is>
      </c>
      <c r="E359" t="inlineStr">
        <is>
          <t>VIMMERBY</t>
        </is>
      </c>
      <c r="G359" t="n">
        <v>3</v>
      </c>
      <c r="H359" t="n">
        <v>0</v>
      </c>
      <c r="I359" t="n">
        <v>0</v>
      </c>
      <c r="J359" t="n">
        <v>0</v>
      </c>
      <c r="K359" t="n">
        <v>0</v>
      </c>
      <c r="L359" t="n">
        <v>0</v>
      </c>
      <c r="M359" t="n">
        <v>0</v>
      </c>
      <c r="N359" t="n">
        <v>0</v>
      </c>
      <c r="O359" t="n">
        <v>0</v>
      </c>
      <c r="P359" t="n">
        <v>0</v>
      </c>
      <c r="Q359" t="n">
        <v>0</v>
      </c>
      <c r="R359" s="2" t="inlineStr"/>
    </row>
    <row r="360" ht="15" customHeight="1">
      <c r="A360" t="inlineStr">
        <is>
          <t>A 8410-2023</t>
        </is>
      </c>
      <c r="B360" s="1" t="n">
        <v>44977</v>
      </c>
      <c r="C360" s="1" t="n">
        <v>46101</v>
      </c>
      <c r="D360" t="inlineStr">
        <is>
          <t>KALMAR LÄN</t>
        </is>
      </c>
      <c r="E360" t="inlineStr">
        <is>
          <t>VIMMERBY</t>
        </is>
      </c>
      <c r="G360" t="n">
        <v>0.9</v>
      </c>
      <c r="H360" t="n">
        <v>0</v>
      </c>
      <c r="I360" t="n">
        <v>0</v>
      </c>
      <c r="J360" t="n">
        <v>0</v>
      </c>
      <c r="K360" t="n">
        <v>0</v>
      </c>
      <c r="L360" t="n">
        <v>0</v>
      </c>
      <c r="M360" t="n">
        <v>0</v>
      </c>
      <c r="N360" t="n">
        <v>0</v>
      </c>
      <c r="O360" t="n">
        <v>0</v>
      </c>
      <c r="P360" t="n">
        <v>0</v>
      </c>
      <c r="Q360" t="n">
        <v>0</v>
      </c>
      <c r="R360" s="2" t="inlineStr"/>
    </row>
    <row r="361" ht="15" customHeight="1">
      <c r="A361" t="inlineStr">
        <is>
          <t>A 6028-2023</t>
        </is>
      </c>
      <c r="B361" s="1" t="n">
        <v>44964.44356481481</v>
      </c>
      <c r="C361" s="1" t="n">
        <v>46101</v>
      </c>
      <c r="D361" t="inlineStr">
        <is>
          <t>KALMAR LÄN</t>
        </is>
      </c>
      <c r="E361" t="inlineStr">
        <is>
          <t>VIMMERBY</t>
        </is>
      </c>
      <c r="G361" t="n">
        <v>2.5</v>
      </c>
      <c r="H361" t="n">
        <v>0</v>
      </c>
      <c r="I361" t="n">
        <v>0</v>
      </c>
      <c r="J361" t="n">
        <v>0</v>
      </c>
      <c r="K361" t="n">
        <v>0</v>
      </c>
      <c r="L361" t="n">
        <v>0</v>
      </c>
      <c r="M361" t="n">
        <v>0</v>
      </c>
      <c r="N361" t="n">
        <v>0</v>
      </c>
      <c r="O361" t="n">
        <v>0</v>
      </c>
      <c r="P361" t="n">
        <v>0</v>
      </c>
      <c r="Q361" t="n">
        <v>0</v>
      </c>
      <c r="R361" s="2" t="inlineStr"/>
    </row>
    <row r="362" ht="15" customHeight="1">
      <c r="A362" t="inlineStr">
        <is>
          <t>A 52823-2024</t>
        </is>
      </c>
      <c r="B362" s="1" t="n">
        <v>45610.59094907407</v>
      </c>
      <c r="C362" s="1" t="n">
        <v>46101</v>
      </c>
      <c r="D362" t="inlineStr">
        <is>
          <t>KALMAR LÄN</t>
        </is>
      </c>
      <c r="E362" t="inlineStr">
        <is>
          <t>VIMMERBY</t>
        </is>
      </c>
      <c r="G362" t="n">
        <v>0.6</v>
      </c>
      <c r="H362" t="n">
        <v>0</v>
      </c>
      <c r="I362" t="n">
        <v>0</v>
      </c>
      <c r="J362" t="n">
        <v>0</v>
      </c>
      <c r="K362" t="n">
        <v>0</v>
      </c>
      <c r="L362" t="n">
        <v>0</v>
      </c>
      <c r="M362" t="n">
        <v>0</v>
      </c>
      <c r="N362" t="n">
        <v>0</v>
      </c>
      <c r="O362" t="n">
        <v>0</v>
      </c>
      <c r="P362" t="n">
        <v>0</v>
      </c>
      <c r="Q362" t="n">
        <v>0</v>
      </c>
      <c r="R362" s="2" t="inlineStr"/>
    </row>
    <row r="363" ht="15" customHeight="1">
      <c r="A363" t="inlineStr">
        <is>
          <t>A 42828-2025</t>
        </is>
      </c>
      <c r="B363" s="1" t="n">
        <v>45908.57716435185</v>
      </c>
      <c r="C363" s="1" t="n">
        <v>46101</v>
      </c>
      <c r="D363" t="inlineStr">
        <is>
          <t>KALMAR LÄN</t>
        </is>
      </c>
      <c r="E363" t="inlineStr">
        <is>
          <t>VIMMERBY</t>
        </is>
      </c>
      <c r="G363" t="n">
        <v>5.2</v>
      </c>
      <c r="H363" t="n">
        <v>0</v>
      </c>
      <c r="I363" t="n">
        <v>0</v>
      </c>
      <c r="J363" t="n">
        <v>0</v>
      </c>
      <c r="K363" t="n">
        <v>0</v>
      </c>
      <c r="L363" t="n">
        <v>0</v>
      </c>
      <c r="M363" t="n">
        <v>0</v>
      </c>
      <c r="N363" t="n">
        <v>0</v>
      </c>
      <c r="O363" t="n">
        <v>0</v>
      </c>
      <c r="P363" t="n">
        <v>0</v>
      </c>
      <c r="Q363" t="n">
        <v>0</v>
      </c>
      <c r="R363" s="2" t="inlineStr"/>
    </row>
    <row r="364" ht="15" customHeight="1">
      <c r="A364" t="inlineStr">
        <is>
          <t>A 56853-2022</t>
        </is>
      </c>
      <c r="B364" s="1" t="n">
        <v>44894.49538194444</v>
      </c>
      <c r="C364" s="1" t="n">
        <v>46101</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11152-2023</t>
        </is>
      </c>
      <c r="B365" s="1" t="n">
        <v>44992</v>
      </c>
      <c r="C365" s="1" t="n">
        <v>46101</v>
      </c>
      <c r="D365" t="inlineStr">
        <is>
          <t>KALMAR LÄN</t>
        </is>
      </c>
      <c r="E365" t="inlineStr">
        <is>
          <t>VIMMERBY</t>
        </is>
      </c>
      <c r="G365" t="n">
        <v>10.6</v>
      </c>
      <c r="H365" t="n">
        <v>0</v>
      </c>
      <c r="I365" t="n">
        <v>0</v>
      </c>
      <c r="J365" t="n">
        <v>0</v>
      </c>
      <c r="K365" t="n">
        <v>0</v>
      </c>
      <c r="L365" t="n">
        <v>0</v>
      </c>
      <c r="M365" t="n">
        <v>0</v>
      </c>
      <c r="N365" t="n">
        <v>0</v>
      </c>
      <c r="O365" t="n">
        <v>0</v>
      </c>
      <c r="P365" t="n">
        <v>0</v>
      </c>
      <c r="Q365" t="n">
        <v>0</v>
      </c>
      <c r="R365" s="2" t="inlineStr"/>
    </row>
    <row r="366" ht="15" customHeight="1">
      <c r="A366" t="inlineStr">
        <is>
          <t>A 15550-2023</t>
        </is>
      </c>
      <c r="B366" s="1" t="n">
        <v>45020</v>
      </c>
      <c r="C366" s="1" t="n">
        <v>46101</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42794-2025</t>
        </is>
      </c>
      <c r="B367" s="1" t="n">
        <v>45908</v>
      </c>
      <c r="C367" s="1" t="n">
        <v>46101</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31355-2023</t>
        </is>
      </c>
      <c r="B368" s="1" t="n">
        <v>45114.49505787037</v>
      </c>
      <c r="C368" s="1" t="n">
        <v>46101</v>
      </c>
      <c r="D368" t="inlineStr">
        <is>
          <t>KALMAR LÄN</t>
        </is>
      </c>
      <c r="E368" t="inlineStr">
        <is>
          <t>VIMMERBY</t>
        </is>
      </c>
      <c r="G368" t="n">
        <v>1.3</v>
      </c>
      <c r="H368" t="n">
        <v>0</v>
      </c>
      <c r="I368" t="n">
        <v>0</v>
      </c>
      <c r="J368" t="n">
        <v>0</v>
      </c>
      <c r="K368" t="n">
        <v>0</v>
      </c>
      <c r="L368" t="n">
        <v>0</v>
      </c>
      <c r="M368" t="n">
        <v>0</v>
      </c>
      <c r="N368" t="n">
        <v>0</v>
      </c>
      <c r="O368" t="n">
        <v>0</v>
      </c>
      <c r="P368" t="n">
        <v>0</v>
      </c>
      <c r="Q368" t="n">
        <v>0</v>
      </c>
      <c r="R368" s="2" t="inlineStr"/>
    </row>
    <row r="369" ht="15" customHeight="1">
      <c r="A369" t="inlineStr">
        <is>
          <t>A 42820-2025</t>
        </is>
      </c>
      <c r="B369" s="1" t="n">
        <v>45908</v>
      </c>
      <c r="C369" s="1" t="n">
        <v>46101</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18330-2023</t>
        </is>
      </c>
      <c r="B370" s="1" t="n">
        <v>45041</v>
      </c>
      <c r="C370" s="1" t="n">
        <v>46101</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58100-2024</t>
        </is>
      </c>
      <c r="B371" s="1" t="n">
        <v>45632.36706018518</v>
      </c>
      <c r="C371" s="1" t="n">
        <v>46101</v>
      </c>
      <c r="D371" t="inlineStr">
        <is>
          <t>KALMAR LÄN</t>
        </is>
      </c>
      <c r="E371" t="inlineStr">
        <is>
          <t>VIMMERBY</t>
        </is>
      </c>
      <c r="G371" t="n">
        <v>0.9</v>
      </c>
      <c r="H371" t="n">
        <v>0</v>
      </c>
      <c r="I371" t="n">
        <v>0</v>
      </c>
      <c r="J371" t="n">
        <v>0</v>
      </c>
      <c r="K371" t="n">
        <v>0</v>
      </c>
      <c r="L371" t="n">
        <v>0</v>
      </c>
      <c r="M371" t="n">
        <v>0</v>
      </c>
      <c r="N371" t="n">
        <v>0</v>
      </c>
      <c r="O371" t="n">
        <v>0</v>
      </c>
      <c r="P371" t="n">
        <v>0</v>
      </c>
      <c r="Q371" t="n">
        <v>0</v>
      </c>
      <c r="R371" s="2" t="inlineStr"/>
    </row>
    <row r="372" ht="15" customHeight="1">
      <c r="A372" t="inlineStr">
        <is>
          <t>A 27993-2022</t>
        </is>
      </c>
      <c r="B372" s="1" t="n">
        <v>44745.84396990741</v>
      </c>
      <c r="C372" s="1" t="n">
        <v>46101</v>
      </c>
      <c r="D372" t="inlineStr">
        <is>
          <t>KALMAR LÄN</t>
        </is>
      </c>
      <c r="E372" t="inlineStr">
        <is>
          <t>VIMMERBY</t>
        </is>
      </c>
      <c r="G372" t="n">
        <v>2.8</v>
      </c>
      <c r="H372" t="n">
        <v>0</v>
      </c>
      <c r="I372" t="n">
        <v>0</v>
      </c>
      <c r="J372" t="n">
        <v>0</v>
      </c>
      <c r="K372" t="n">
        <v>0</v>
      </c>
      <c r="L372" t="n">
        <v>0</v>
      </c>
      <c r="M372" t="n">
        <v>0</v>
      </c>
      <c r="N372" t="n">
        <v>0</v>
      </c>
      <c r="O372" t="n">
        <v>0</v>
      </c>
      <c r="P372" t="n">
        <v>0</v>
      </c>
      <c r="Q372" t="n">
        <v>0</v>
      </c>
      <c r="R372" s="2" t="inlineStr"/>
    </row>
    <row r="373" ht="15" customHeight="1">
      <c r="A373" t="inlineStr">
        <is>
          <t>A 34060-2025</t>
        </is>
      </c>
      <c r="B373" s="1" t="n">
        <v>45845.42015046296</v>
      </c>
      <c r="C373" s="1" t="n">
        <v>46101</v>
      </c>
      <c r="D373" t="inlineStr">
        <is>
          <t>KALMAR LÄN</t>
        </is>
      </c>
      <c r="E373" t="inlineStr">
        <is>
          <t>VIMMERBY</t>
        </is>
      </c>
      <c r="G373" t="n">
        <v>5.7</v>
      </c>
      <c r="H373" t="n">
        <v>0</v>
      </c>
      <c r="I373" t="n">
        <v>0</v>
      </c>
      <c r="J373" t="n">
        <v>0</v>
      </c>
      <c r="K373" t="n">
        <v>0</v>
      </c>
      <c r="L373" t="n">
        <v>0</v>
      </c>
      <c r="M373" t="n">
        <v>0</v>
      </c>
      <c r="N373" t="n">
        <v>0</v>
      </c>
      <c r="O373" t="n">
        <v>0</v>
      </c>
      <c r="P373" t="n">
        <v>0</v>
      </c>
      <c r="Q373" t="n">
        <v>0</v>
      </c>
      <c r="R373" s="2" t="inlineStr"/>
    </row>
    <row r="374" ht="15" customHeight="1">
      <c r="A374" t="inlineStr">
        <is>
          <t>A 38969-2023</t>
        </is>
      </c>
      <c r="B374" s="1" t="n">
        <v>45163.63621527778</v>
      </c>
      <c r="C374" s="1" t="n">
        <v>46101</v>
      </c>
      <c r="D374" t="inlineStr">
        <is>
          <t>KALMAR LÄN</t>
        </is>
      </c>
      <c r="E374" t="inlineStr">
        <is>
          <t>VIMMERBY</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53752-2024</t>
        </is>
      </c>
      <c r="B375" s="1" t="n">
        <v>45615.48927083334</v>
      </c>
      <c r="C375" s="1" t="n">
        <v>46101</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43617-2025</t>
        </is>
      </c>
      <c r="B376" s="1" t="n">
        <v>45911.67798611111</v>
      </c>
      <c r="C376" s="1" t="n">
        <v>46101</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43465-2025</t>
        </is>
      </c>
      <c r="B377" s="1" t="n">
        <v>45911.47138888889</v>
      </c>
      <c r="C377" s="1" t="n">
        <v>46101</v>
      </c>
      <c r="D377" t="inlineStr">
        <is>
          <t>KALMAR LÄN</t>
        </is>
      </c>
      <c r="E377" t="inlineStr">
        <is>
          <t>VIMMERBY</t>
        </is>
      </c>
      <c r="G377" t="n">
        <v>0.7</v>
      </c>
      <c r="H377" t="n">
        <v>0</v>
      </c>
      <c r="I377" t="n">
        <v>0</v>
      </c>
      <c r="J377" t="n">
        <v>0</v>
      </c>
      <c r="K377" t="n">
        <v>0</v>
      </c>
      <c r="L377" t="n">
        <v>0</v>
      </c>
      <c r="M377" t="n">
        <v>0</v>
      </c>
      <c r="N377" t="n">
        <v>0</v>
      </c>
      <c r="O377" t="n">
        <v>0</v>
      </c>
      <c r="P377" t="n">
        <v>0</v>
      </c>
      <c r="Q377" t="n">
        <v>0</v>
      </c>
      <c r="R377" s="2" t="inlineStr"/>
    </row>
    <row r="378" ht="15" customHeight="1">
      <c r="A378" t="inlineStr">
        <is>
          <t>A 58728-2024</t>
        </is>
      </c>
      <c r="B378" s="1" t="n">
        <v>45635.66695601852</v>
      </c>
      <c r="C378" s="1" t="n">
        <v>46101</v>
      </c>
      <c r="D378" t="inlineStr">
        <is>
          <t>KALMAR LÄN</t>
        </is>
      </c>
      <c r="E378" t="inlineStr">
        <is>
          <t>VIMMERBY</t>
        </is>
      </c>
      <c r="G378" t="n">
        <v>0.4</v>
      </c>
      <c r="H378" t="n">
        <v>0</v>
      </c>
      <c r="I378" t="n">
        <v>0</v>
      </c>
      <c r="J378" t="n">
        <v>0</v>
      </c>
      <c r="K378" t="n">
        <v>0</v>
      </c>
      <c r="L378" t="n">
        <v>0</v>
      </c>
      <c r="M378" t="n">
        <v>0</v>
      </c>
      <c r="N378" t="n">
        <v>0</v>
      </c>
      <c r="O378" t="n">
        <v>0</v>
      </c>
      <c r="P378" t="n">
        <v>0</v>
      </c>
      <c r="Q378" t="n">
        <v>0</v>
      </c>
      <c r="R378" s="2" t="inlineStr"/>
    </row>
    <row r="379" ht="15" customHeight="1">
      <c r="A379" t="inlineStr">
        <is>
          <t>A 44329-2025</t>
        </is>
      </c>
      <c r="B379" s="1" t="n">
        <v>45916.41019675926</v>
      </c>
      <c r="C379" s="1" t="n">
        <v>46101</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43242-2024</t>
        </is>
      </c>
      <c r="B380" s="1" t="n">
        <v>45568.30189814815</v>
      </c>
      <c r="C380" s="1" t="n">
        <v>46101</v>
      </c>
      <c r="D380" t="inlineStr">
        <is>
          <t>KALMAR LÄN</t>
        </is>
      </c>
      <c r="E380" t="inlineStr">
        <is>
          <t>VIMMERBY</t>
        </is>
      </c>
      <c r="G380" t="n">
        <v>2.6</v>
      </c>
      <c r="H380" t="n">
        <v>0</v>
      </c>
      <c r="I380" t="n">
        <v>0</v>
      </c>
      <c r="J380" t="n">
        <v>0</v>
      </c>
      <c r="K380" t="n">
        <v>0</v>
      </c>
      <c r="L380" t="n">
        <v>0</v>
      </c>
      <c r="M380" t="n">
        <v>0</v>
      </c>
      <c r="N380" t="n">
        <v>0</v>
      </c>
      <c r="O380" t="n">
        <v>0</v>
      </c>
      <c r="P380" t="n">
        <v>0</v>
      </c>
      <c r="Q380" t="n">
        <v>0</v>
      </c>
      <c r="R380" s="2" t="inlineStr"/>
    </row>
    <row r="381" ht="15" customHeight="1">
      <c r="A381" t="inlineStr">
        <is>
          <t>A 16983-2023</t>
        </is>
      </c>
      <c r="B381" s="1" t="n">
        <v>45033.76043981482</v>
      </c>
      <c r="C381" s="1" t="n">
        <v>46101</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6405-2025</t>
        </is>
      </c>
      <c r="B382" s="1" t="n">
        <v>45699.45392361111</v>
      </c>
      <c r="C382" s="1" t="n">
        <v>46101</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36843-2023</t>
        </is>
      </c>
      <c r="B383" s="1" t="n">
        <v>45154.49831018518</v>
      </c>
      <c r="C383" s="1" t="n">
        <v>46101</v>
      </c>
      <c r="D383" t="inlineStr">
        <is>
          <t>KALMAR LÄN</t>
        </is>
      </c>
      <c r="E383" t="inlineStr">
        <is>
          <t>VIMMERBY</t>
        </is>
      </c>
      <c r="G383" t="n">
        <v>2</v>
      </c>
      <c r="H383" t="n">
        <v>0</v>
      </c>
      <c r="I383" t="n">
        <v>0</v>
      </c>
      <c r="J383" t="n">
        <v>0</v>
      </c>
      <c r="K383" t="n">
        <v>0</v>
      </c>
      <c r="L383" t="n">
        <v>0</v>
      </c>
      <c r="M383" t="n">
        <v>0</v>
      </c>
      <c r="N383" t="n">
        <v>0</v>
      </c>
      <c r="O383" t="n">
        <v>0</v>
      </c>
      <c r="P383" t="n">
        <v>0</v>
      </c>
      <c r="Q383" t="n">
        <v>0</v>
      </c>
      <c r="R383" s="2" t="inlineStr"/>
    </row>
    <row r="384" ht="15" customHeight="1">
      <c r="A384" t="inlineStr">
        <is>
          <t>A 44517-2025</t>
        </is>
      </c>
      <c r="B384" s="1" t="n">
        <v>45916.7103587963</v>
      </c>
      <c r="C384" s="1" t="n">
        <v>46101</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57486-2024</t>
        </is>
      </c>
      <c r="B385" s="1" t="n">
        <v>45630.35827546296</v>
      </c>
      <c r="C385" s="1" t="n">
        <v>46101</v>
      </c>
      <c r="D385" t="inlineStr">
        <is>
          <t>KALMAR LÄN</t>
        </is>
      </c>
      <c r="E385" t="inlineStr">
        <is>
          <t>VIMMERBY</t>
        </is>
      </c>
      <c r="G385" t="n">
        <v>0.4</v>
      </c>
      <c r="H385" t="n">
        <v>0</v>
      </c>
      <c r="I385" t="n">
        <v>0</v>
      </c>
      <c r="J385" t="n">
        <v>0</v>
      </c>
      <c r="K385" t="n">
        <v>0</v>
      </c>
      <c r="L385" t="n">
        <v>0</v>
      </c>
      <c r="M385" t="n">
        <v>0</v>
      </c>
      <c r="N385" t="n">
        <v>0</v>
      </c>
      <c r="O385" t="n">
        <v>0</v>
      </c>
      <c r="P385" t="n">
        <v>0</v>
      </c>
      <c r="Q385" t="n">
        <v>0</v>
      </c>
      <c r="R385" s="2" t="inlineStr"/>
    </row>
    <row r="386" ht="15" customHeight="1">
      <c r="A386" t="inlineStr">
        <is>
          <t>A 44091-2025</t>
        </is>
      </c>
      <c r="B386" s="1" t="n">
        <v>45915.55950231481</v>
      </c>
      <c r="C386" s="1" t="n">
        <v>46101</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44095-2025</t>
        </is>
      </c>
      <c r="B387" s="1" t="n">
        <v>45915.56430555556</v>
      </c>
      <c r="C387" s="1" t="n">
        <v>46101</v>
      </c>
      <c r="D387" t="inlineStr">
        <is>
          <t>KALMAR LÄN</t>
        </is>
      </c>
      <c r="E387" t="inlineStr">
        <is>
          <t>VIMMERBY</t>
        </is>
      </c>
      <c r="G387" t="n">
        <v>2.4</v>
      </c>
      <c r="H387" t="n">
        <v>0</v>
      </c>
      <c r="I387" t="n">
        <v>0</v>
      </c>
      <c r="J387" t="n">
        <v>0</v>
      </c>
      <c r="K387" t="n">
        <v>0</v>
      </c>
      <c r="L387" t="n">
        <v>0</v>
      </c>
      <c r="M387" t="n">
        <v>0</v>
      </c>
      <c r="N387" t="n">
        <v>0</v>
      </c>
      <c r="O387" t="n">
        <v>0</v>
      </c>
      <c r="P387" t="n">
        <v>0</v>
      </c>
      <c r="Q387" t="n">
        <v>0</v>
      </c>
      <c r="R387" s="2" t="inlineStr"/>
    </row>
    <row r="388" ht="15" customHeight="1">
      <c r="A388" t="inlineStr">
        <is>
          <t>A 44423-2023</t>
        </is>
      </c>
      <c r="B388" s="1" t="n">
        <v>45189</v>
      </c>
      <c r="C388" s="1" t="n">
        <v>46101</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20-2025</t>
        </is>
      </c>
      <c r="B389" s="1" t="n">
        <v>45658.80232638889</v>
      </c>
      <c r="C389" s="1" t="n">
        <v>46101</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23-2025</t>
        </is>
      </c>
      <c r="B390" s="1" t="n">
        <v>45658.80827546296</v>
      </c>
      <c r="C390" s="1" t="n">
        <v>46101</v>
      </c>
      <c r="D390" t="inlineStr">
        <is>
          <t>KALMAR LÄN</t>
        </is>
      </c>
      <c r="E390" t="inlineStr">
        <is>
          <t>VIMMERBY</t>
        </is>
      </c>
      <c r="G390" t="n">
        <v>1.8</v>
      </c>
      <c r="H390" t="n">
        <v>0</v>
      </c>
      <c r="I390" t="n">
        <v>0</v>
      </c>
      <c r="J390" t="n">
        <v>0</v>
      </c>
      <c r="K390" t="n">
        <v>0</v>
      </c>
      <c r="L390" t="n">
        <v>0</v>
      </c>
      <c r="M390" t="n">
        <v>0</v>
      </c>
      <c r="N390" t="n">
        <v>0</v>
      </c>
      <c r="O390" t="n">
        <v>0</v>
      </c>
      <c r="P390" t="n">
        <v>0</v>
      </c>
      <c r="Q390" t="n">
        <v>0</v>
      </c>
      <c r="R390" s="2" t="inlineStr"/>
    </row>
    <row r="391" ht="15" customHeight="1">
      <c r="A391" t="inlineStr">
        <is>
          <t>A 21496-2023</t>
        </is>
      </c>
      <c r="B391" s="1" t="n">
        <v>45063.49936342592</v>
      </c>
      <c r="C391" s="1" t="n">
        <v>46101</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31056-2022</t>
        </is>
      </c>
      <c r="B392" s="1" t="n">
        <v>44769.45805555556</v>
      </c>
      <c r="C392" s="1" t="n">
        <v>46101</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44742-2025</t>
        </is>
      </c>
      <c r="B393" s="1" t="n">
        <v>45917.67054398148</v>
      </c>
      <c r="C393" s="1" t="n">
        <v>46101</v>
      </c>
      <c r="D393" t="inlineStr">
        <is>
          <t>KALMAR LÄN</t>
        </is>
      </c>
      <c r="E393" t="inlineStr">
        <is>
          <t>VIMMERBY</t>
        </is>
      </c>
      <c r="G393" t="n">
        <v>4.7</v>
      </c>
      <c r="H393" t="n">
        <v>0</v>
      </c>
      <c r="I393" t="n">
        <v>0</v>
      </c>
      <c r="J393" t="n">
        <v>0</v>
      </c>
      <c r="K393" t="n">
        <v>0</v>
      </c>
      <c r="L393" t="n">
        <v>0</v>
      </c>
      <c r="M393" t="n">
        <v>0</v>
      </c>
      <c r="N393" t="n">
        <v>0</v>
      </c>
      <c r="O393" t="n">
        <v>0</v>
      </c>
      <c r="P393" t="n">
        <v>0</v>
      </c>
      <c r="Q393" t="n">
        <v>0</v>
      </c>
      <c r="R393" s="2" t="inlineStr"/>
    </row>
    <row r="394" ht="15" customHeight="1">
      <c r="A394" t="inlineStr">
        <is>
          <t>A 41896-2025</t>
        </is>
      </c>
      <c r="B394" s="1" t="n">
        <v>45903.38800925926</v>
      </c>
      <c r="C394" s="1" t="n">
        <v>46101</v>
      </c>
      <c r="D394" t="inlineStr">
        <is>
          <t>KALMAR LÄN</t>
        </is>
      </c>
      <c r="E394" t="inlineStr">
        <is>
          <t>VIMMERBY</t>
        </is>
      </c>
      <c r="G394" t="n">
        <v>2.9</v>
      </c>
      <c r="H394" t="n">
        <v>0</v>
      </c>
      <c r="I394" t="n">
        <v>0</v>
      </c>
      <c r="J394" t="n">
        <v>0</v>
      </c>
      <c r="K394" t="n">
        <v>0</v>
      </c>
      <c r="L394" t="n">
        <v>0</v>
      </c>
      <c r="M394" t="n">
        <v>0</v>
      </c>
      <c r="N394" t="n">
        <v>0</v>
      </c>
      <c r="O394" t="n">
        <v>0</v>
      </c>
      <c r="P394" t="n">
        <v>0</v>
      </c>
      <c r="Q394" t="n">
        <v>0</v>
      </c>
      <c r="R394" s="2" t="inlineStr"/>
    </row>
    <row r="395" ht="15" customHeight="1">
      <c r="A395" t="inlineStr">
        <is>
          <t>A 72701-2021</t>
        </is>
      </c>
      <c r="B395" s="1" t="n">
        <v>44546</v>
      </c>
      <c r="C395" s="1" t="n">
        <v>46101</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52294-2023</t>
        </is>
      </c>
      <c r="B396" s="1" t="n">
        <v>45224.60075231481</v>
      </c>
      <c r="C396" s="1" t="n">
        <v>46101</v>
      </c>
      <c r="D396" t="inlineStr">
        <is>
          <t>KALMAR LÄN</t>
        </is>
      </c>
      <c r="E396" t="inlineStr">
        <is>
          <t>VIMMERBY</t>
        </is>
      </c>
      <c r="F396" t="inlineStr">
        <is>
          <t>Sveaskog</t>
        </is>
      </c>
      <c r="G396" t="n">
        <v>2.5</v>
      </c>
      <c r="H396" t="n">
        <v>0</v>
      </c>
      <c r="I396" t="n">
        <v>0</v>
      </c>
      <c r="J396" t="n">
        <v>0</v>
      </c>
      <c r="K396" t="n">
        <v>0</v>
      </c>
      <c r="L396" t="n">
        <v>0</v>
      </c>
      <c r="M396" t="n">
        <v>0</v>
      </c>
      <c r="N396" t="n">
        <v>0</v>
      </c>
      <c r="O396" t="n">
        <v>0</v>
      </c>
      <c r="P396" t="n">
        <v>0</v>
      </c>
      <c r="Q396" t="n">
        <v>0</v>
      </c>
      <c r="R396" s="2" t="inlineStr"/>
    </row>
    <row r="397" ht="15" customHeight="1">
      <c r="A397" t="inlineStr">
        <is>
          <t>A 61355-2024</t>
        </is>
      </c>
      <c r="B397" s="1" t="n">
        <v>45646.38200231481</v>
      </c>
      <c r="C397" s="1" t="n">
        <v>46101</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45319-2025</t>
        </is>
      </c>
      <c r="B398" s="1" t="n">
        <v>45921.95611111111</v>
      </c>
      <c r="C398" s="1" t="n">
        <v>46101</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45320-2025</t>
        </is>
      </c>
      <c r="B399" s="1" t="n">
        <v>45921.96395833333</v>
      </c>
      <c r="C399" s="1" t="n">
        <v>46101</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33374-2021</t>
        </is>
      </c>
      <c r="B400" s="1" t="n">
        <v>44377</v>
      </c>
      <c r="C400" s="1" t="n">
        <v>46101</v>
      </c>
      <c r="D400" t="inlineStr">
        <is>
          <t>KALMAR LÄN</t>
        </is>
      </c>
      <c r="E400" t="inlineStr">
        <is>
          <t>VIMMERBY</t>
        </is>
      </c>
      <c r="G400" t="n">
        <v>3.3</v>
      </c>
      <c r="H400" t="n">
        <v>0</v>
      </c>
      <c r="I400" t="n">
        <v>0</v>
      </c>
      <c r="J400" t="n">
        <v>0</v>
      </c>
      <c r="K400" t="n">
        <v>0</v>
      </c>
      <c r="L400" t="n">
        <v>0</v>
      </c>
      <c r="M400" t="n">
        <v>0</v>
      </c>
      <c r="N400" t="n">
        <v>0</v>
      </c>
      <c r="O400" t="n">
        <v>0</v>
      </c>
      <c r="P400" t="n">
        <v>0</v>
      </c>
      <c r="Q400" t="n">
        <v>0</v>
      </c>
      <c r="R400" s="2" t="inlineStr"/>
    </row>
    <row r="401" ht="15" customHeight="1">
      <c r="A401" t="inlineStr">
        <is>
          <t>A 45114-2025</t>
        </is>
      </c>
      <c r="B401" s="1" t="n">
        <v>45919.42387731482</v>
      </c>
      <c r="C401" s="1" t="n">
        <v>46101</v>
      </c>
      <c r="D401" t="inlineStr">
        <is>
          <t>KALMAR LÄN</t>
        </is>
      </c>
      <c r="E401" t="inlineStr">
        <is>
          <t>VIMMERBY</t>
        </is>
      </c>
      <c r="G401" t="n">
        <v>2.7</v>
      </c>
      <c r="H401" t="n">
        <v>0</v>
      </c>
      <c r="I401" t="n">
        <v>0</v>
      </c>
      <c r="J401" t="n">
        <v>0</v>
      </c>
      <c r="K401" t="n">
        <v>0</v>
      </c>
      <c r="L401" t="n">
        <v>0</v>
      </c>
      <c r="M401" t="n">
        <v>0</v>
      </c>
      <c r="N401" t="n">
        <v>0</v>
      </c>
      <c r="O401" t="n">
        <v>0</v>
      </c>
      <c r="P401" t="n">
        <v>0</v>
      </c>
      <c r="Q401" t="n">
        <v>0</v>
      </c>
      <c r="R401" s="2" t="inlineStr"/>
    </row>
    <row r="402" ht="15" customHeight="1">
      <c r="A402" t="inlineStr">
        <is>
          <t>A 10759-2023</t>
        </is>
      </c>
      <c r="B402" s="1" t="n">
        <v>44988</v>
      </c>
      <c r="C402" s="1" t="n">
        <v>46101</v>
      </c>
      <c r="D402" t="inlineStr">
        <is>
          <t>KALMAR LÄN</t>
        </is>
      </c>
      <c r="E402" t="inlineStr">
        <is>
          <t>VIMMERBY</t>
        </is>
      </c>
      <c r="G402" t="n">
        <v>0.4</v>
      </c>
      <c r="H402" t="n">
        <v>0</v>
      </c>
      <c r="I402" t="n">
        <v>0</v>
      </c>
      <c r="J402" t="n">
        <v>0</v>
      </c>
      <c r="K402" t="n">
        <v>0</v>
      </c>
      <c r="L402" t="n">
        <v>0</v>
      </c>
      <c r="M402" t="n">
        <v>0</v>
      </c>
      <c r="N402" t="n">
        <v>0</v>
      </c>
      <c r="O402" t="n">
        <v>0</v>
      </c>
      <c r="P402" t="n">
        <v>0</v>
      </c>
      <c r="Q402" t="n">
        <v>0</v>
      </c>
      <c r="R402" s="2" t="inlineStr"/>
    </row>
    <row r="403" ht="15" customHeight="1">
      <c r="A403" t="inlineStr">
        <is>
          <t>A 18899-2025</t>
        </is>
      </c>
      <c r="B403" s="1" t="n">
        <v>45764.44931712963</v>
      </c>
      <c r="C403" s="1" t="n">
        <v>46101</v>
      </c>
      <c r="D403" t="inlineStr">
        <is>
          <t>KALMAR LÄN</t>
        </is>
      </c>
      <c r="E403" t="inlineStr">
        <is>
          <t>VIMMERBY</t>
        </is>
      </c>
      <c r="F403" t="inlineStr">
        <is>
          <t>Kommuner</t>
        </is>
      </c>
      <c r="G403" t="n">
        <v>4</v>
      </c>
      <c r="H403" t="n">
        <v>0</v>
      </c>
      <c r="I403" t="n">
        <v>0</v>
      </c>
      <c r="J403" t="n">
        <v>0</v>
      </c>
      <c r="K403" t="n">
        <v>0</v>
      </c>
      <c r="L403" t="n">
        <v>0</v>
      </c>
      <c r="M403" t="n">
        <v>0</v>
      </c>
      <c r="N403" t="n">
        <v>0</v>
      </c>
      <c r="O403" t="n">
        <v>0</v>
      </c>
      <c r="P403" t="n">
        <v>0</v>
      </c>
      <c r="Q403" t="n">
        <v>0</v>
      </c>
      <c r="R403" s="2" t="inlineStr"/>
    </row>
    <row r="404" ht="15" customHeight="1">
      <c r="A404" t="inlineStr">
        <is>
          <t>A 46118-2025</t>
        </is>
      </c>
      <c r="B404" s="1" t="n">
        <v>45924.57697916667</v>
      </c>
      <c r="C404" s="1" t="n">
        <v>46101</v>
      </c>
      <c r="D404" t="inlineStr">
        <is>
          <t>KALMAR LÄN</t>
        </is>
      </c>
      <c r="E404" t="inlineStr">
        <is>
          <t>VIMMERBY</t>
        </is>
      </c>
      <c r="G404" t="n">
        <v>2.9</v>
      </c>
      <c r="H404" t="n">
        <v>0</v>
      </c>
      <c r="I404" t="n">
        <v>0</v>
      </c>
      <c r="J404" t="n">
        <v>0</v>
      </c>
      <c r="K404" t="n">
        <v>0</v>
      </c>
      <c r="L404" t="n">
        <v>0</v>
      </c>
      <c r="M404" t="n">
        <v>0</v>
      </c>
      <c r="N404" t="n">
        <v>0</v>
      </c>
      <c r="O404" t="n">
        <v>0</v>
      </c>
      <c r="P404" t="n">
        <v>0</v>
      </c>
      <c r="Q404" t="n">
        <v>0</v>
      </c>
      <c r="R404" s="2" t="inlineStr"/>
    </row>
    <row r="405" ht="15" customHeight="1">
      <c r="A405" t="inlineStr">
        <is>
          <t>A 32614-2023</t>
        </is>
      </c>
      <c r="B405" s="1" t="n">
        <v>45121</v>
      </c>
      <c r="C405" s="1" t="n">
        <v>46101</v>
      </c>
      <c r="D405" t="inlineStr">
        <is>
          <t>KALMAR LÄN</t>
        </is>
      </c>
      <c r="E405" t="inlineStr">
        <is>
          <t>VIMMERBY</t>
        </is>
      </c>
      <c r="G405" t="n">
        <v>0.6</v>
      </c>
      <c r="H405" t="n">
        <v>0</v>
      </c>
      <c r="I405" t="n">
        <v>0</v>
      </c>
      <c r="J405" t="n">
        <v>0</v>
      </c>
      <c r="K405" t="n">
        <v>0</v>
      </c>
      <c r="L405" t="n">
        <v>0</v>
      </c>
      <c r="M405" t="n">
        <v>0</v>
      </c>
      <c r="N405" t="n">
        <v>0</v>
      </c>
      <c r="O405" t="n">
        <v>0</v>
      </c>
      <c r="P405" t="n">
        <v>0</v>
      </c>
      <c r="Q405" t="n">
        <v>0</v>
      </c>
      <c r="R405" s="2" t="inlineStr"/>
    </row>
    <row r="406" ht="15" customHeight="1">
      <c r="A406" t="inlineStr">
        <is>
          <t>A 61939-2021</t>
        </is>
      </c>
      <c r="B406" s="1" t="n">
        <v>44502</v>
      </c>
      <c r="C406" s="1" t="n">
        <v>46101</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45854-2025</t>
        </is>
      </c>
      <c r="B407" s="1" t="n">
        <v>45923</v>
      </c>
      <c r="C407" s="1" t="n">
        <v>46101</v>
      </c>
      <c r="D407" t="inlineStr">
        <is>
          <t>KALMAR LÄN</t>
        </is>
      </c>
      <c r="E407" t="inlineStr">
        <is>
          <t>VIMMERBY</t>
        </is>
      </c>
      <c r="G407" t="n">
        <v>2.2</v>
      </c>
      <c r="H407" t="n">
        <v>0</v>
      </c>
      <c r="I407" t="n">
        <v>0</v>
      </c>
      <c r="J407" t="n">
        <v>0</v>
      </c>
      <c r="K407" t="n">
        <v>0</v>
      </c>
      <c r="L407" t="n">
        <v>0</v>
      </c>
      <c r="M407" t="n">
        <v>0</v>
      </c>
      <c r="N407" t="n">
        <v>0</v>
      </c>
      <c r="O407" t="n">
        <v>0</v>
      </c>
      <c r="P407" t="n">
        <v>0</v>
      </c>
      <c r="Q407" t="n">
        <v>0</v>
      </c>
      <c r="R407" s="2" t="inlineStr"/>
    </row>
    <row r="408" ht="15" customHeight="1">
      <c r="A408" t="inlineStr">
        <is>
          <t>A 45855-2025</t>
        </is>
      </c>
      <c r="B408" s="1" t="n">
        <v>45923</v>
      </c>
      <c r="C408" s="1" t="n">
        <v>46101</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46361-2025</t>
        </is>
      </c>
      <c r="B409" s="1" t="n">
        <v>45925.49670138889</v>
      </c>
      <c r="C409" s="1" t="n">
        <v>46101</v>
      </c>
      <c r="D409" t="inlineStr">
        <is>
          <t>KALMAR LÄN</t>
        </is>
      </c>
      <c r="E409" t="inlineStr">
        <is>
          <t>VIMMERBY</t>
        </is>
      </c>
      <c r="G409" t="n">
        <v>4.2</v>
      </c>
      <c r="H409" t="n">
        <v>0</v>
      </c>
      <c r="I409" t="n">
        <v>0</v>
      </c>
      <c r="J409" t="n">
        <v>0</v>
      </c>
      <c r="K409" t="n">
        <v>0</v>
      </c>
      <c r="L409" t="n">
        <v>0</v>
      </c>
      <c r="M409" t="n">
        <v>0</v>
      </c>
      <c r="N409" t="n">
        <v>0</v>
      </c>
      <c r="O409" t="n">
        <v>0</v>
      </c>
      <c r="P409" t="n">
        <v>0</v>
      </c>
      <c r="Q409" t="n">
        <v>0</v>
      </c>
      <c r="R409" s="2" t="inlineStr"/>
    </row>
    <row r="410" ht="15" customHeight="1">
      <c r="A410" t="inlineStr">
        <is>
          <t>A 46365-2025</t>
        </is>
      </c>
      <c r="B410" s="1" t="n">
        <v>45925.50075231482</v>
      </c>
      <c r="C410" s="1" t="n">
        <v>46101</v>
      </c>
      <c r="D410" t="inlineStr">
        <is>
          <t>KALMAR LÄN</t>
        </is>
      </c>
      <c r="E410" t="inlineStr">
        <is>
          <t>VIMMERBY</t>
        </is>
      </c>
      <c r="G410" t="n">
        <v>5.6</v>
      </c>
      <c r="H410" t="n">
        <v>0</v>
      </c>
      <c r="I410" t="n">
        <v>0</v>
      </c>
      <c r="J410" t="n">
        <v>0</v>
      </c>
      <c r="K410" t="n">
        <v>0</v>
      </c>
      <c r="L410" t="n">
        <v>0</v>
      </c>
      <c r="M410" t="n">
        <v>0</v>
      </c>
      <c r="N410" t="n">
        <v>0</v>
      </c>
      <c r="O410" t="n">
        <v>0</v>
      </c>
      <c r="P410" t="n">
        <v>0</v>
      </c>
      <c r="Q410" t="n">
        <v>0</v>
      </c>
      <c r="R410" s="2" t="inlineStr"/>
    </row>
    <row r="411" ht="15" customHeight="1">
      <c r="A411" t="inlineStr">
        <is>
          <t>A 45856-2025</t>
        </is>
      </c>
      <c r="B411" s="1" t="n">
        <v>45923</v>
      </c>
      <c r="C411" s="1" t="n">
        <v>46101</v>
      </c>
      <c r="D411" t="inlineStr">
        <is>
          <t>KALMAR LÄN</t>
        </is>
      </c>
      <c r="E411" t="inlineStr">
        <is>
          <t>VIMMERBY</t>
        </is>
      </c>
      <c r="G411" t="n">
        <v>2.1</v>
      </c>
      <c r="H411" t="n">
        <v>0</v>
      </c>
      <c r="I411" t="n">
        <v>0</v>
      </c>
      <c r="J411" t="n">
        <v>0</v>
      </c>
      <c r="K411" t="n">
        <v>0</v>
      </c>
      <c r="L411" t="n">
        <v>0</v>
      </c>
      <c r="M411" t="n">
        <v>0</v>
      </c>
      <c r="N411" t="n">
        <v>0</v>
      </c>
      <c r="O411" t="n">
        <v>0</v>
      </c>
      <c r="P411" t="n">
        <v>0</v>
      </c>
      <c r="Q411" t="n">
        <v>0</v>
      </c>
      <c r="R411" s="2" t="inlineStr"/>
    </row>
    <row r="412" ht="15" customHeight="1">
      <c r="A412" t="inlineStr">
        <is>
          <t>A 6218-2025</t>
        </is>
      </c>
      <c r="B412" s="1" t="n">
        <v>45698.53336805556</v>
      </c>
      <c r="C412" s="1" t="n">
        <v>46101</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40076-2021</t>
        </is>
      </c>
      <c r="B413" s="1" t="n">
        <v>44418</v>
      </c>
      <c r="C413" s="1" t="n">
        <v>46101</v>
      </c>
      <c r="D413" t="inlineStr">
        <is>
          <t>KALMAR LÄN</t>
        </is>
      </c>
      <c r="E413" t="inlineStr">
        <is>
          <t>VIMMERBY</t>
        </is>
      </c>
      <c r="G413" t="n">
        <v>2</v>
      </c>
      <c r="H413" t="n">
        <v>0</v>
      </c>
      <c r="I413" t="n">
        <v>0</v>
      </c>
      <c r="J413" t="n">
        <v>0</v>
      </c>
      <c r="K413" t="n">
        <v>0</v>
      </c>
      <c r="L413" t="n">
        <v>0</v>
      </c>
      <c r="M413" t="n">
        <v>0</v>
      </c>
      <c r="N413" t="n">
        <v>0</v>
      </c>
      <c r="O413" t="n">
        <v>0</v>
      </c>
      <c r="P413" t="n">
        <v>0</v>
      </c>
      <c r="Q413" t="n">
        <v>0</v>
      </c>
      <c r="R413" s="2" t="inlineStr"/>
    </row>
    <row r="414" ht="15" customHeight="1">
      <c r="A414" t="inlineStr">
        <is>
          <t>A 46887-2025</t>
        </is>
      </c>
      <c r="B414" s="1" t="n">
        <v>45929.3672337963</v>
      </c>
      <c r="C414" s="1" t="n">
        <v>46101</v>
      </c>
      <c r="D414" t="inlineStr">
        <is>
          <t>KALMAR LÄN</t>
        </is>
      </c>
      <c r="E414" t="inlineStr">
        <is>
          <t>VIMMERBY</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47227-2025</t>
        </is>
      </c>
      <c r="B415" s="1" t="n">
        <v>45930.39769675926</v>
      </c>
      <c r="C415" s="1" t="n">
        <v>46101</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12588-2025</t>
        </is>
      </c>
      <c r="B416" s="1" t="n">
        <v>45732.76936342593</v>
      </c>
      <c r="C416" s="1" t="n">
        <v>46101</v>
      </c>
      <c r="D416" t="inlineStr">
        <is>
          <t>KALMAR LÄN</t>
        </is>
      </c>
      <c r="E416" t="inlineStr">
        <is>
          <t>VIMMERBY</t>
        </is>
      </c>
      <c r="G416" t="n">
        <v>1.6</v>
      </c>
      <c r="H416" t="n">
        <v>0</v>
      </c>
      <c r="I416" t="n">
        <v>0</v>
      </c>
      <c r="J416" t="n">
        <v>0</v>
      </c>
      <c r="K416" t="n">
        <v>0</v>
      </c>
      <c r="L416" t="n">
        <v>0</v>
      </c>
      <c r="M416" t="n">
        <v>0</v>
      </c>
      <c r="N416" t="n">
        <v>0</v>
      </c>
      <c r="O416" t="n">
        <v>0</v>
      </c>
      <c r="P416" t="n">
        <v>0</v>
      </c>
      <c r="Q416" t="n">
        <v>0</v>
      </c>
      <c r="R416" s="2" t="inlineStr"/>
    </row>
    <row r="417" ht="15" customHeight="1">
      <c r="A417" t="inlineStr">
        <is>
          <t>A 25979-2023</t>
        </is>
      </c>
      <c r="B417" s="1" t="n">
        <v>45090.89653935185</v>
      </c>
      <c r="C417" s="1" t="n">
        <v>46101</v>
      </c>
      <c r="D417" t="inlineStr">
        <is>
          <t>KALMAR LÄN</t>
        </is>
      </c>
      <c r="E417" t="inlineStr">
        <is>
          <t>VIMMERBY</t>
        </is>
      </c>
      <c r="G417" t="n">
        <v>2</v>
      </c>
      <c r="H417" t="n">
        <v>0</v>
      </c>
      <c r="I417" t="n">
        <v>0</v>
      </c>
      <c r="J417" t="n">
        <v>0</v>
      </c>
      <c r="K417" t="n">
        <v>0</v>
      </c>
      <c r="L417" t="n">
        <v>0</v>
      </c>
      <c r="M417" t="n">
        <v>0</v>
      </c>
      <c r="N417" t="n">
        <v>0</v>
      </c>
      <c r="O417" t="n">
        <v>0</v>
      </c>
      <c r="P417" t="n">
        <v>0</v>
      </c>
      <c r="Q417" t="n">
        <v>0</v>
      </c>
      <c r="R417" s="2" t="inlineStr"/>
    </row>
    <row r="418" ht="15" customHeight="1">
      <c r="A418" t="inlineStr">
        <is>
          <t>A 25980-2023</t>
        </is>
      </c>
      <c r="B418" s="1" t="n">
        <v>45090.89880787037</v>
      </c>
      <c r="C418" s="1" t="n">
        <v>46101</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47965-2025</t>
        </is>
      </c>
      <c r="B419" s="1" t="n">
        <v>45932.59597222223</v>
      </c>
      <c r="C419" s="1" t="n">
        <v>46101</v>
      </c>
      <c r="D419" t="inlineStr">
        <is>
          <t>KALMAR LÄN</t>
        </is>
      </c>
      <c r="E419" t="inlineStr">
        <is>
          <t>VIMMERBY</t>
        </is>
      </c>
      <c r="G419" t="n">
        <v>2.2</v>
      </c>
      <c r="H419" t="n">
        <v>0</v>
      </c>
      <c r="I419" t="n">
        <v>0</v>
      </c>
      <c r="J419" t="n">
        <v>0</v>
      </c>
      <c r="K419" t="n">
        <v>0</v>
      </c>
      <c r="L419" t="n">
        <v>0</v>
      </c>
      <c r="M419" t="n">
        <v>0</v>
      </c>
      <c r="N419" t="n">
        <v>0</v>
      </c>
      <c r="O419" t="n">
        <v>0</v>
      </c>
      <c r="P419" t="n">
        <v>0</v>
      </c>
      <c r="Q419" t="n">
        <v>0</v>
      </c>
      <c r="R419" s="2" t="inlineStr"/>
    </row>
    <row r="420" ht="15" customHeight="1">
      <c r="A420" t="inlineStr">
        <is>
          <t>A 46921-2023</t>
        </is>
      </c>
      <c r="B420" s="1" t="n">
        <v>45201.39996527778</v>
      </c>
      <c r="C420" s="1" t="n">
        <v>46101</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10837-2023</t>
        </is>
      </c>
      <c r="B421" s="1" t="n">
        <v>44991.30547453704</v>
      </c>
      <c r="C421" s="1" t="n">
        <v>46101</v>
      </c>
      <c r="D421" t="inlineStr">
        <is>
          <t>KALMAR LÄN</t>
        </is>
      </c>
      <c r="E421" t="inlineStr">
        <is>
          <t>VIMMERBY</t>
        </is>
      </c>
      <c r="G421" t="n">
        <v>7.3</v>
      </c>
      <c r="H421" t="n">
        <v>0</v>
      </c>
      <c r="I421" t="n">
        <v>0</v>
      </c>
      <c r="J421" t="n">
        <v>0</v>
      </c>
      <c r="K421" t="n">
        <v>0</v>
      </c>
      <c r="L421" t="n">
        <v>0</v>
      </c>
      <c r="M421" t="n">
        <v>0</v>
      </c>
      <c r="N421" t="n">
        <v>0</v>
      </c>
      <c r="O421" t="n">
        <v>0</v>
      </c>
      <c r="P421" t="n">
        <v>0</v>
      </c>
      <c r="Q421" t="n">
        <v>0</v>
      </c>
      <c r="R421" s="2" t="inlineStr"/>
    </row>
    <row r="422" ht="15" customHeight="1">
      <c r="A422" t="inlineStr">
        <is>
          <t>A 10838-2023</t>
        </is>
      </c>
      <c r="B422" s="1" t="n">
        <v>44991</v>
      </c>
      <c r="C422" s="1" t="n">
        <v>46101</v>
      </c>
      <c r="D422" t="inlineStr">
        <is>
          <t>KALMAR LÄN</t>
        </is>
      </c>
      <c r="E422" t="inlineStr">
        <is>
          <t>VIMMERBY</t>
        </is>
      </c>
      <c r="G422" t="n">
        <v>5.1</v>
      </c>
      <c r="H422" t="n">
        <v>0</v>
      </c>
      <c r="I422" t="n">
        <v>0</v>
      </c>
      <c r="J422" t="n">
        <v>0</v>
      </c>
      <c r="K422" t="n">
        <v>0</v>
      </c>
      <c r="L422" t="n">
        <v>0</v>
      </c>
      <c r="M422" t="n">
        <v>0</v>
      </c>
      <c r="N422" t="n">
        <v>0</v>
      </c>
      <c r="O422" t="n">
        <v>0</v>
      </c>
      <c r="P422" t="n">
        <v>0</v>
      </c>
      <c r="Q422" t="n">
        <v>0</v>
      </c>
      <c r="R422" s="2" t="inlineStr"/>
    </row>
    <row r="423" ht="15" customHeight="1">
      <c r="A423" t="inlineStr">
        <is>
          <t>A 30912-2023</t>
        </is>
      </c>
      <c r="B423" s="1" t="n">
        <v>45113.41633101852</v>
      </c>
      <c r="C423" s="1" t="n">
        <v>46101</v>
      </c>
      <c r="D423" t="inlineStr">
        <is>
          <t>KALMAR LÄN</t>
        </is>
      </c>
      <c r="E423" t="inlineStr">
        <is>
          <t>VIMMERBY</t>
        </is>
      </c>
      <c r="G423" t="n">
        <v>5</v>
      </c>
      <c r="H423" t="n">
        <v>0</v>
      </c>
      <c r="I423" t="n">
        <v>0</v>
      </c>
      <c r="J423" t="n">
        <v>0</v>
      </c>
      <c r="K423" t="n">
        <v>0</v>
      </c>
      <c r="L423" t="n">
        <v>0</v>
      </c>
      <c r="M423" t="n">
        <v>0</v>
      </c>
      <c r="N423" t="n">
        <v>0</v>
      </c>
      <c r="O423" t="n">
        <v>0</v>
      </c>
      <c r="P423" t="n">
        <v>0</v>
      </c>
      <c r="Q423" t="n">
        <v>0</v>
      </c>
      <c r="R423" s="2" t="inlineStr"/>
    </row>
    <row r="424" ht="15" customHeight="1">
      <c r="A424" t="inlineStr">
        <is>
          <t>A 55436-2023</t>
        </is>
      </c>
      <c r="B424" s="1" t="n">
        <v>45238.4328587963</v>
      </c>
      <c r="C424" s="1" t="n">
        <v>46101</v>
      </c>
      <c r="D424" t="inlineStr">
        <is>
          <t>KALMAR LÄN</t>
        </is>
      </c>
      <c r="E424" t="inlineStr">
        <is>
          <t>VIMMERBY</t>
        </is>
      </c>
      <c r="G424" t="n">
        <v>5.6</v>
      </c>
      <c r="H424" t="n">
        <v>0</v>
      </c>
      <c r="I424" t="n">
        <v>0</v>
      </c>
      <c r="J424" t="n">
        <v>0</v>
      </c>
      <c r="K424" t="n">
        <v>0</v>
      </c>
      <c r="L424" t="n">
        <v>0</v>
      </c>
      <c r="M424" t="n">
        <v>0</v>
      </c>
      <c r="N424" t="n">
        <v>0</v>
      </c>
      <c r="O424" t="n">
        <v>0</v>
      </c>
      <c r="P424" t="n">
        <v>0</v>
      </c>
      <c r="Q424" t="n">
        <v>0</v>
      </c>
      <c r="R424" s="2" t="inlineStr"/>
    </row>
    <row r="425" ht="15" customHeight="1">
      <c r="A425" t="inlineStr">
        <is>
          <t>A 47955-2025</t>
        </is>
      </c>
      <c r="B425" s="1" t="n">
        <v>45932.58896990741</v>
      </c>
      <c r="C425" s="1" t="n">
        <v>46101</v>
      </c>
      <c r="D425" t="inlineStr">
        <is>
          <t>KALMAR LÄN</t>
        </is>
      </c>
      <c r="E425" t="inlineStr">
        <is>
          <t>VIMMERBY</t>
        </is>
      </c>
      <c r="G425" t="n">
        <v>3.4</v>
      </c>
      <c r="H425" t="n">
        <v>0</v>
      </c>
      <c r="I425" t="n">
        <v>0</v>
      </c>
      <c r="J425" t="n">
        <v>0</v>
      </c>
      <c r="K425" t="n">
        <v>0</v>
      </c>
      <c r="L425" t="n">
        <v>0</v>
      </c>
      <c r="M425" t="n">
        <v>0</v>
      </c>
      <c r="N425" t="n">
        <v>0</v>
      </c>
      <c r="O425" t="n">
        <v>0</v>
      </c>
      <c r="P425" t="n">
        <v>0</v>
      </c>
      <c r="Q425" t="n">
        <v>0</v>
      </c>
      <c r="R425" s="2" t="inlineStr"/>
    </row>
    <row r="426" ht="15" customHeight="1">
      <c r="A426" t="inlineStr">
        <is>
          <t>A 21507-2023</t>
        </is>
      </c>
      <c r="B426" s="1" t="n">
        <v>45063.508125</v>
      </c>
      <c r="C426" s="1" t="n">
        <v>46101</v>
      </c>
      <c r="D426" t="inlineStr">
        <is>
          <t>KALMAR LÄN</t>
        </is>
      </c>
      <c r="E426" t="inlineStr">
        <is>
          <t>VIMMERBY</t>
        </is>
      </c>
      <c r="G426" t="n">
        <v>2.8</v>
      </c>
      <c r="H426" t="n">
        <v>0</v>
      </c>
      <c r="I426" t="n">
        <v>0</v>
      </c>
      <c r="J426" t="n">
        <v>0</v>
      </c>
      <c r="K426" t="n">
        <v>0</v>
      </c>
      <c r="L426" t="n">
        <v>0</v>
      </c>
      <c r="M426" t="n">
        <v>0</v>
      </c>
      <c r="N426" t="n">
        <v>0</v>
      </c>
      <c r="O426" t="n">
        <v>0</v>
      </c>
      <c r="P426" t="n">
        <v>0</v>
      </c>
      <c r="Q426" t="n">
        <v>0</v>
      </c>
      <c r="R426" s="2" t="inlineStr"/>
    </row>
    <row r="427" ht="15" customHeight="1">
      <c r="A427" t="inlineStr">
        <is>
          <t>A 51187-2023</t>
        </is>
      </c>
      <c r="B427" s="1" t="n">
        <v>45219.40528935185</v>
      </c>
      <c r="C427" s="1" t="n">
        <v>46101</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48299-2025</t>
        </is>
      </c>
      <c r="B428" s="1" t="n">
        <v>45933.60982638889</v>
      </c>
      <c r="C428" s="1" t="n">
        <v>46101</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13290-2025</t>
        </is>
      </c>
      <c r="B429" s="1" t="n">
        <v>45735.56751157407</v>
      </c>
      <c r="C429" s="1" t="n">
        <v>46101</v>
      </c>
      <c r="D429" t="inlineStr">
        <is>
          <t>KALMAR LÄN</t>
        </is>
      </c>
      <c r="E429" t="inlineStr">
        <is>
          <t>VIMMERBY</t>
        </is>
      </c>
      <c r="G429" t="n">
        <v>0.8</v>
      </c>
      <c r="H429" t="n">
        <v>0</v>
      </c>
      <c r="I429" t="n">
        <v>0</v>
      </c>
      <c r="J429" t="n">
        <v>0</v>
      </c>
      <c r="K429" t="n">
        <v>0</v>
      </c>
      <c r="L429" t="n">
        <v>0</v>
      </c>
      <c r="M429" t="n">
        <v>0</v>
      </c>
      <c r="N429" t="n">
        <v>0</v>
      </c>
      <c r="O429" t="n">
        <v>0</v>
      </c>
      <c r="P429" t="n">
        <v>0</v>
      </c>
      <c r="Q429" t="n">
        <v>0</v>
      </c>
      <c r="R429" s="2" t="inlineStr"/>
    </row>
    <row r="430" ht="15" customHeight="1">
      <c r="A430" t="inlineStr">
        <is>
          <t>A 45560-2021</t>
        </is>
      </c>
      <c r="B430" s="1" t="n">
        <v>44440</v>
      </c>
      <c r="C430" s="1" t="n">
        <v>46101</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48723-2025</t>
        </is>
      </c>
      <c r="B431" s="1" t="n">
        <v>45936.65121527778</v>
      </c>
      <c r="C431" s="1" t="n">
        <v>46101</v>
      </c>
      <c r="D431" t="inlineStr">
        <is>
          <t>KALMAR LÄN</t>
        </is>
      </c>
      <c r="E431" t="inlineStr">
        <is>
          <t>VIMMERBY</t>
        </is>
      </c>
      <c r="G431" t="n">
        <v>3</v>
      </c>
      <c r="H431" t="n">
        <v>0</v>
      </c>
      <c r="I431" t="n">
        <v>0</v>
      </c>
      <c r="J431" t="n">
        <v>0</v>
      </c>
      <c r="K431" t="n">
        <v>0</v>
      </c>
      <c r="L431" t="n">
        <v>0</v>
      </c>
      <c r="M431" t="n">
        <v>0</v>
      </c>
      <c r="N431" t="n">
        <v>0</v>
      </c>
      <c r="O431" t="n">
        <v>0</v>
      </c>
      <c r="P431" t="n">
        <v>0</v>
      </c>
      <c r="Q431" t="n">
        <v>0</v>
      </c>
      <c r="R431" s="2" t="inlineStr"/>
    </row>
    <row r="432" ht="15" customHeight="1">
      <c r="A432" t="inlineStr">
        <is>
          <t>A 48600-2025</t>
        </is>
      </c>
      <c r="B432" s="1" t="n">
        <v>45935</v>
      </c>
      <c r="C432" s="1" t="n">
        <v>46101</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16622-2025</t>
        </is>
      </c>
      <c r="B433" s="1" t="n">
        <v>45754.33641203704</v>
      </c>
      <c r="C433" s="1" t="n">
        <v>46101</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48408-2025</t>
        </is>
      </c>
      <c r="B434" s="1" t="n">
        <v>45934.40527777778</v>
      </c>
      <c r="C434" s="1" t="n">
        <v>46101</v>
      </c>
      <c r="D434" t="inlineStr">
        <is>
          <t>KALMAR LÄN</t>
        </is>
      </c>
      <c r="E434" t="inlineStr">
        <is>
          <t>VIMMERBY</t>
        </is>
      </c>
      <c r="G434" t="n">
        <v>2.4</v>
      </c>
      <c r="H434" t="n">
        <v>0</v>
      </c>
      <c r="I434" t="n">
        <v>0</v>
      </c>
      <c r="J434" t="n">
        <v>0</v>
      </c>
      <c r="K434" t="n">
        <v>0</v>
      </c>
      <c r="L434" t="n">
        <v>0</v>
      </c>
      <c r="M434" t="n">
        <v>0</v>
      </c>
      <c r="N434" t="n">
        <v>0</v>
      </c>
      <c r="O434" t="n">
        <v>0</v>
      </c>
      <c r="P434" t="n">
        <v>0</v>
      </c>
      <c r="Q434" t="n">
        <v>0</v>
      </c>
      <c r="R434" s="2" t="inlineStr"/>
    </row>
    <row r="435" ht="15" customHeight="1">
      <c r="A435" t="inlineStr">
        <is>
          <t>A 48409-2025</t>
        </is>
      </c>
      <c r="B435" s="1" t="n">
        <v>45934.41387731482</v>
      </c>
      <c r="C435" s="1" t="n">
        <v>46101</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48712-2025</t>
        </is>
      </c>
      <c r="B436" s="1" t="n">
        <v>45936.63373842592</v>
      </c>
      <c r="C436" s="1" t="n">
        <v>46101</v>
      </c>
      <c r="D436" t="inlineStr">
        <is>
          <t>KALMAR LÄN</t>
        </is>
      </c>
      <c r="E436" t="inlineStr">
        <is>
          <t>VIMMERBY</t>
        </is>
      </c>
      <c r="G436" t="n">
        <v>3</v>
      </c>
      <c r="H436" t="n">
        <v>0</v>
      </c>
      <c r="I436" t="n">
        <v>0</v>
      </c>
      <c r="J436" t="n">
        <v>0</v>
      </c>
      <c r="K436" t="n">
        <v>0</v>
      </c>
      <c r="L436" t="n">
        <v>0</v>
      </c>
      <c r="M436" t="n">
        <v>0</v>
      </c>
      <c r="N436" t="n">
        <v>0</v>
      </c>
      <c r="O436" t="n">
        <v>0</v>
      </c>
      <c r="P436" t="n">
        <v>0</v>
      </c>
      <c r="Q436" t="n">
        <v>0</v>
      </c>
      <c r="R436" s="2" t="inlineStr"/>
    </row>
    <row r="437" ht="15" customHeight="1">
      <c r="A437" t="inlineStr">
        <is>
          <t>A 31340-2023</t>
        </is>
      </c>
      <c r="B437" s="1" t="n">
        <v>45114.47895833333</v>
      </c>
      <c r="C437" s="1" t="n">
        <v>46101</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29168-2024</t>
        </is>
      </c>
      <c r="B438" s="1" t="n">
        <v>45482.49870370371</v>
      </c>
      <c r="C438" s="1" t="n">
        <v>46101</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29186-2024</t>
        </is>
      </c>
      <c r="B439" s="1" t="n">
        <v>45482.54844907407</v>
      </c>
      <c r="C439" s="1" t="n">
        <v>46101</v>
      </c>
      <c r="D439" t="inlineStr">
        <is>
          <t>KALMAR LÄN</t>
        </is>
      </c>
      <c r="E439" t="inlineStr">
        <is>
          <t>VIMMERBY</t>
        </is>
      </c>
      <c r="G439" t="n">
        <v>2.6</v>
      </c>
      <c r="H439" t="n">
        <v>0</v>
      </c>
      <c r="I439" t="n">
        <v>0</v>
      </c>
      <c r="J439" t="n">
        <v>0</v>
      </c>
      <c r="K439" t="n">
        <v>0</v>
      </c>
      <c r="L439" t="n">
        <v>0</v>
      </c>
      <c r="M439" t="n">
        <v>0</v>
      </c>
      <c r="N439" t="n">
        <v>0</v>
      </c>
      <c r="O439" t="n">
        <v>0</v>
      </c>
      <c r="P439" t="n">
        <v>0</v>
      </c>
      <c r="Q439" t="n">
        <v>0</v>
      </c>
      <c r="R439" s="2" t="inlineStr"/>
    </row>
    <row r="440" ht="15" customHeight="1">
      <c r="A440" t="inlineStr">
        <is>
          <t>A 35895-2024</t>
        </is>
      </c>
      <c r="B440" s="1" t="n">
        <v>45533.38870370371</v>
      </c>
      <c r="C440" s="1" t="n">
        <v>46101</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12590-2025</t>
        </is>
      </c>
      <c r="B441" s="1" t="n">
        <v>45732.79925925926</v>
      </c>
      <c r="C441" s="1" t="n">
        <v>46101</v>
      </c>
      <c r="D441" t="inlineStr">
        <is>
          <t>KALMAR LÄN</t>
        </is>
      </c>
      <c r="E441" t="inlineStr">
        <is>
          <t>VIMMERBY</t>
        </is>
      </c>
      <c r="G441" t="n">
        <v>0.8</v>
      </c>
      <c r="H441" t="n">
        <v>0</v>
      </c>
      <c r="I441" t="n">
        <v>0</v>
      </c>
      <c r="J441" t="n">
        <v>0</v>
      </c>
      <c r="K441" t="n">
        <v>0</v>
      </c>
      <c r="L441" t="n">
        <v>0</v>
      </c>
      <c r="M441" t="n">
        <v>0</v>
      </c>
      <c r="N441" t="n">
        <v>0</v>
      </c>
      <c r="O441" t="n">
        <v>0</v>
      </c>
      <c r="P441" t="n">
        <v>0</v>
      </c>
      <c r="Q441" t="n">
        <v>0</v>
      </c>
      <c r="R441" s="2" t="inlineStr"/>
    </row>
    <row r="442" ht="15" customHeight="1">
      <c r="A442" t="inlineStr">
        <is>
          <t>A 30318-2023</t>
        </is>
      </c>
      <c r="B442" s="1" t="n">
        <v>45111.30824074074</v>
      </c>
      <c r="C442" s="1" t="n">
        <v>46101</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43186-2021</t>
        </is>
      </c>
      <c r="B443" s="1" t="n">
        <v>44431.84840277778</v>
      </c>
      <c r="C443" s="1" t="n">
        <v>46101</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60215-2022</t>
        </is>
      </c>
      <c r="B444" s="1" t="n">
        <v>44910.41346064815</v>
      </c>
      <c r="C444" s="1" t="n">
        <v>46101</v>
      </c>
      <c r="D444" t="inlineStr">
        <is>
          <t>KALMAR LÄN</t>
        </is>
      </c>
      <c r="E444" t="inlineStr">
        <is>
          <t>VIMMERBY</t>
        </is>
      </c>
      <c r="G444" t="n">
        <v>1.1</v>
      </c>
      <c r="H444" t="n">
        <v>0</v>
      </c>
      <c r="I444" t="n">
        <v>0</v>
      </c>
      <c r="J444" t="n">
        <v>0</v>
      </c>
      <c r="K444" t="n">
        <v>0</v>
      </c>
      <c r="L444" t="n">
        <v>0</v>
      </c>
      <c r="M444" t="n">
        <v>0</v>
      </c>
      <c r="N444" t="n">
        <v>0</v>
      </c>
      <c r="O444" t="n">
        <v>0</v>
      </c>
      <c r="P444" t="n">
        <v>0</v>
      </c>
      <c r="Q444" t="n">
        <v>0</v>
      </c>
      <c r="R444" s="2" t="inlineStr"/>
    </row>
    <row r="445" ht="15" customHeight="1">
      <c r="A445" t="inlineStr">
        <is>
          <t>A 60230-2022</t>
        </is>
      </c>
      <c r="B445" s="1" t="n">
        <v>44910</v>
      </c>
      <c r="C445" s="1" t="n">
        <v>46101</v>
      </c>
      <c r="D445" t="inlineStr">
        <is>
          <t>KALMAR LÄN</t>
        </is>
      </c>
      <c r="E445" t="inlineStr">
        <is>
          <t>VIMMERBY</t>
        </is>
      </c>
      <c r="G445" t="n">
        <v>11.3</v>
      </c>
      <c r="H445" t="n">
        <v>0</v>
      </c>
      <c r="I445" t="n">
        <v>0</v>
      </c>
      <c r="J445" t="n">
        <v>0</v>
      </c>
      <c r="K445" t="n">
        <v>0</v>
      </c>
      <c r="L445" t="n">
        <v>0</v>
      </c>
      <c r="M445" t="n">
        <v>0</v>
      </c>
      <c r="N445" t="n">
        <v>0</v>
      </c>
      <c r="O445" t="n">
        <v>0</v>
      </c>
      <c r="P445" t="n">
        <v>0</v>
      </c>
      <c r="Q445" t="n">
        <v>0</v>
      </c>
      <c r="R445" s="2" t="inlineStr"/>
    </row>
    <row r="446" ht="15" customHeight="1">
      <c r="A446" t="inlineStr">
        <is>
          <t>A 5925-2022</t>
        </is>
      </c>
      <c r="B446" s="1" t="n">
        <v>44598.7384837963</v>
      </c>
      <c r="C446" s="1" t="n">
        <v>46101</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845-2023</t>
        </is>
      </c>
      <c r="B447" s="1" t="n">
        <v>44931</v>
      </c>
      <c r="C447" s="1" t="n">
        <v>46101</v>
      </c>
      <c r="D447" t="inlineStr">
        <is>
          <t>KALMAR LÄN</t>
        </is>
      </c>
      <c r="E447" t="inlineStr">
        <is>
          <t>VIMMERBY</t>
        </is>
      </c>
      <c r="F447" t="inlineStr">
        <is>
          <t>Övriga Aktiebolag</t>
        </is>
      </c>
      <c r="G447" t="n">
        <v>19</v>
      </c>
      <c r="H447" t="n">
        <v>0</v>
      </c>
      <c r="I447" t="n">
        <v>0</v>
      </c>
      <c r="J447" t="n">
        <v>0</v>
      </c>
      <c r="K447" t="n">
        <v>0</v>
      </c>
      <c r="L447" t="n">
        <v>0</v>
      </c>
      <c r="M447" t="n">
        <v>0</v>
      </c>
      <c r="N447" t="n">
        <v>0</v>
      </c>
      <c r="O447" t="n">
        <v>0</v>
      </c>
      <c r="P447" t="n">
        <v>0</v>
      </c>
      <c r="Q447" t="n">
        <v>0</v>
      </c>
      <c r="R447" s="2" t="inlineStr"/>
    </row>
    <row r="448" ht="15" customHeight="1">
      <c r="A448" t="inlineStr">
        <is>
          <t>A 16119-2023</t>
        </is>
      </c>
      <c r="B448" s="1" t="n">
        <v>45027.59450231482</v>
      </c>
      <c r="C448" s="1" t="n">
        <v>46101</v>
      </c>
      <c r="D448" t="inlineStr">
        <is>
          <t>KALMAR LÄN</t>
        </is>
      </c>
      <c r="E448" t="inlineStr">
        <is>
          <t>VIMMERBY</t>
        </is>
      </c>
      <c r="F448" t="inlineStr">
        <is>
          <t>Kommuner</t>
        </is>
      </c>
      <c r="G448" t="n">
        <v>4.4</v>
      </c>
      <c r="H448" t="n">
        <v>0</v>
      </c>
      <c r="I448" t="n">
        <v>0</v>
      </c>
      <c r="J448" t="n">
        <v>0</v>
      </c>
      <c r="K448" t="n">
        <v>0</v>
      </c>
      <c r="L448" t="n">
        <v>0</v>
      </c>
      <c r="M448" t="n">
        <v>0</v>
      </c>
      <c r="N448" t="n">
        <v>0</v>
      </c>
      <c r="O448" t="n">
        <v>0</v>
      </c>
      <c r="P448" t="n">
        <v>0</v>
      </c>
      <c r="Q448" t="n">
        <v>0</v>
      </c>
      <c r="R448" s="2" t="inlineStr"/>
    </row>
    <row r="449" ht="15" customHeight="1">
      <c r="A449" t="inlineStr">
        <is>
          <t>A 30588-2023</t>
        </is>
      </c>
      <c r="B449" s="1" t="n">
        <v>45112.33599537037</v>
      </c>
      <c r="C449" s="1" t="n">
        <v>46101</v>
      </c>
      <c r="D449" t="inlineStr">
        <is>
          <t>KALMAR LÄN</t>
        </is>
      </c>
      <c r="E449" t="inlineStr">
        <is>
          <t>VIMMERBY</t>
        </is>
      </c>
      <c r="G449" t="n">
        <v>2.7</v>
      </c>
      <c r="H449" t="n">
        <v>0</v>
      </c>
      <c r="I449" t="n">
        <v>0</v>
      </c>
      <c r="J449" t="n">
        <v>0</v>
      </c>
      <c r="K449" t="n">
        <v>0</v>
      </c>
      <c r="L449" t="n">
        <v>0</v>
      </c>
      <c r="M449" t="n">
        <v>0</v>
      </c>
      <c r="N449" t="n">
        <v>0</v>
      </c>
      <c r="O449" t="n">
        <v>0</v>
      </c>
      <c r="P449" t="n">
        <v>0</v>
      </c>
      <c r="Q449" t="n">
        <v>0</v>
      </c>
      <c r="R449" s="2" t="inlineStr"/>
    </row>
    <row r="450" ht="15" customHeight="1">
      <c r="A450" t="inlineStr">
        <is>
          <t>A 45528-2021</t>
        </is>
      </c>
      <c r="B450" s="1" t="n">
        <v>44440.60415509259</v>
      </c>
      <c r="C450" s="1" t="n">
        <v>46101</v>
      </c>
      <c r="D450" t="inlineStr">
        <is>
          <t>KALMAR LÄN</t>
        </is>
      </c>
      <c r="E450" t="inlineStr">
        <is>
          <t>VIMMERBY</t>
        </is>
      </c>
      <c r="G450" t="n">
        <v>2.2</v>
      </c>
      <c r="H450" t="n">
        <v>0</v>
      </c>
      <c r="I450" t="n">
        <v>0</v>
      </c>
      <c r="J450" t="n">
        <v>0</v>
      </c>
      <c r="K450" t="n">
        <v>0</v>
      </c>
      <c r="L450" t="n">
        <v>0</v>
      </c>
      <c r="M450" t="n">
        <v>0</v>
      </c>
      <c r="N450" t="n">
        <v>0</v>
      </c>
      <c r="O450" t="n">
        <v>0</v>
      </c>
      <c r="P450" t="n">
        <v>0</v>
      </c>
      <c r="Q450" t="n">
        <v>0</v>
      </c>
      <c r="R450" s="2" t="inlineStr"/>
    </row>
    <row r="451" ht="15" customHeight="1">
      <c r="A451" t="inlineStr">
        <is>
          <t>A 49871-2025</t>
        </is>
      </c>
      <c r="B451" s="1" t="n">
        <v>45940.54104166666</v>
      </c>
      <c r="C451" s="1" t="n">
        <v>46101</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16516-2023</t>
        </is>
      </c>
      <c r="B452" s="1" t="n">
        <v>45029</v>
      </c>
      <c r="C452" s="1" t="n">
        <v>46101</v>
      </c>
      <c r="D452" t="inlineStr">
        <is>
          <t>KALMAR LÄN</t>
        </is>
      </c>
      <c r="E452" t="inlineStr">
        <is>
          <t>VIMMERBY</t>
        </is>
      </c>
      <c r="G452" t="n">
        <v>4.3</v>
      </c>
      <c r="H452" t="n">
        <v>0</v>
      </c>
      <c r="I452" t="n">
        <v>0</v>
      </c>
      <c r="J452" t="n">
        <v>0</v>
      </c>
      <c r="K452" t="n">
        <v>0</v>
      </c>
      <c r="L452" t="n">
        <v>0</v>
      </c>
      <c r="M452" t="n">
        <v>0</v>
      </c>
      <c r="N452" t="n">
        <v>0</v>
      </c>
      <c r="O452" t="n">
        <v>0</v>
      </c>
      <c r="P452" t="n">
        <v>0</v>
      </c>
      <c r="Q452" t="n">
        <v>0</v>
      </c>
      <c r="R452" s="2" t="inlineStr"/>
    </row>
    <row r="453" ht="15" customHeight="1">
      <c r="A453" t="inlineStr">
        <is>
          <t>A 2510-2023</t>
        </is>
      </c>
      <c r="B453" s="1" t="n">
        <v>44943.57309027778</v>
      </c>
      <c r="C453" s="1" t="n">
        <v>46101</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50324-2025</t>
        </is>
      </c>
      <c r="B454" s="1" t="n">
        <v>45944.45962962963</v>
      </c>
      <c r="C454" s="1" t="n">
        <v>46101</v>
      </c>
      <c r="D454" t="inlineStr">
        <is>
          <t>KALMAR LÄN</t>
        </is>
      </c>
      <c r="E454" t="inlineStr">
        <is>
          <t>VIMMERBY</t>
        </is>
      </c>
      <c r="G454" t="n">
        <v>2.1</v>
      </c>
      <c r="H454" t="n">
        <v>0</v>
      </c>
      <c r="I454" t="n">
        <v>0</v>
      </c>
      <c r="J454" t="n">
        <v>0</v>
      </c>
      <c r="K454" t="n">
        <v>0</v>
      </c>
      <c r="L454" t="n">
        <v>0</v>
      </c>
      <c r="M454" t="n">
        <v>0</v>
      </c>
      <c r="N454" t="n">
        <v>0</v>
      </c>
      <c r="O454" t="n">
        <v>0</v>
      </c>
      <c r="P454" t="n">
        <v>0</v>
      </c>
      <c r="Q454" t="n">
        <v>0</v>
      </c>
      <c r="R454" s="2" t="inlineStr"/>
    </row>
    <row r="455" ht="15" customHeight="1">
      <c r="A455" t="inlineStr">
        <is>
          <t>A 48373-2021</t>
        </is>
      </c>
      <c r="B455" s="1" t="n">
        <v>44451</v>
      </c>
      <c r="C455" s="1" t="n">
        <v>46101</v>
      </c>
      <c r="D455" t="inlineStr">
        <is>
          <t>KALMAR LÄN</t>
        </is>
      </c>
      <c r="E455" t="inlineStr">
        <is>
          <t>VIMMERBY</t>
        </is>
      </c>
      <c r="G455" t="n">
        <v>2.2</v>
      </c>
      <c r="H455" t="n">
        <v>0</v>
      </c>
      <c r="I455" t="n">
        <v>0</v>
      </c>
      <c r="J455" t="n">
        <v>0</v>
      </c>
      <c r="K455" t="n">
        <v>0</v>
      </c>
      <c r="L455" t="n">
        <v>0</v>
      </c>
      <c r="M455" t="n">
        <v>0</v>
      </c>
      <c r="N455" t="n">
        <v>0</v>
      </c>
      <c r="O455" t="n">
        <v>0</v>
      </c>
      <c r="P455" t="n">
        <v>0</v>
      </c>
      <c r="Q455" t="n">
        <v>0</v>
      </c>
      <c r="R455" s="2" t="inlineStr"/>
    </row>
    <row r="456" ht="15" customHeight="1">
      <c r="A456" t="inlineStr">
        <is>
          <t>A 7485-2024</t>
        </is>
      </c>
      <c r="B456" s="1" t="n">
        <v>45346.67184027778</v>
      </c>
      <c r="C456" s="1" t="n">
        <v>46101</v>
      </c>
      <c r="D456" t="inlineStr">
        <is>
          <t>KALMAR LÄN</t>
        </is>
      </c>
      <c r="E456" t="inlineStr">
        <is>
          <t>VIMMERBY</t>
        </is>
      </c>
      <c r="G456" t="n">
        <v>1.9</v>
      </c>
      <c r="H456" t="n">
        <v>0</v>
      </c>
      <c r="I456" t="n">
        <v>0</v>
      </c>
      <c r="J456" t="n">
        <v>0</v>
      </c>
      <c r="K456" t="n">
        <v>0</v>
      </c>
      <c r="L456" t="n">
        <v>0</v>
      </c>
      <c r="M456" t="n">
        <v>0</v>
      </c>
      <c r="N456" t="n">
        <v>0</v>
      </c>
      <c r="O456" t="n">
        <v>0</v>
      </c>
      <c r="P456" t="n">
        <v>0</v>
      </c>
      <c r="Q456" t="n">
        <v>0</v>
      </c>
      <c r="R456" s="2" t="inlineStr"/>
    </row>
    <row r="457" ht="15" customHeight="1">
      <c r="A457" t="inlineStr">
        <is>
          <t>A 6574-2023</t>
        </is>
      </c>
      <c r="B457" s="1" t="n">
        <v>44966</v>
      </c>
      <c r="C457" s="1" t="n">
        <v>46101</v>
      </c>
      <c r="D457" t="inlineStr">
        <is>
          <t>KALMAR LÄN</t>
        </is>
      </c>
      <c r="E457" t="inlineStr">
        <is>
          <t>VIMMERBY</t>
        </is>
      </c>
      <c r="G457" t="n">
        <v>2.5</v>
      </c>
      <c r="H457" t="n">
        <v>0</v>
      </c>
      <c r="I457" t="n">
        <v>0</v>
      </c>
      <c r="J457" t="n">
        <v>0</v>
      </c>
      <c r="K457" t="n">
        <v>0</v>
      </c>
      <c r="L457" t="n">
        <v>0</v>
      </c>
      <c r="M457" t="n">
        <v>0</v>
      </c>
      <c r="N457" t="n">
        <v>0</v>
      </c>
      <c r="O457" t="n">
        <v>0</v>
      </c>
      <c r="P457" t="n">
        <v>0</v>
      </c>
      <c r="Q457" t="n">
        <v>0</v>
      </c>
      <c r="R457" s="2" t="inlineStr"/>
    </row>
    <row r="458" ht="15" customHeight="1">
      <c r="A458" t="inlineStr">
        <is>
          <t>A 20054-2023</t>
        </is>
      </c>
      <c r="B458" s="1" t="n">
        <v>45054.6750462963</v>
      </c>
      <c r="C458" s="1" t="n">
        <v>46101</v>
      </c>
      <c r="D458" t="inlineStr">
        <is>
          <t>KALMAR LÄN</t>
        </is>
      </c>
      <c r="E458" t="inlineStr">
        <is>
          <t>VIMMERBY</t>
        </is>
      </c>
      <c r="G458" t="n">
        <v>2.4</v>
      </c>
      <c r="H458" t="n">
        <v>0</v>
      </c>
      <c r="I458" t="n">
        <v>0</v>
      </c>
      <c r="J458" t="n">
        <v>0</v>
      </c>
      <c r="K458" t="n">
        <v>0</v>
      </c>
      <c r="L458" t="n">
        <v>0</v>
      </c>
      <c r="M458" t="n">
        <v>0</v>
      </c>
      <c r="N458" t="n">
        <v>0</v>
      </c>
      <c r="O458" t="n">
        <v>0</v>
      </c>
      <c r="P458" t="n">
        <v>0</v>
      </c>
      <c r="Q458" t="n">
        <v>0</v>
      </c>
      <c r="R458" s="2" t="inlineStr"/>
    </row>
    <row r="459" ht="15" customHeight="1">
      <c r="A459" t="inlineStr">
        <is>
          <t>A 58750-2022</t>
        </is>
      </c>
      <c r="B459" s="1" t="n">
        <v>44903.33363425926</v>
      </c>
      <c r="C459" s="1" t="n">
        <v>46101</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2260-2022</t>
        </is>
      </c>
      <c r="B460" s="1" t="n">
        <v>44578.62943287037</v>
      </c>
      <c r="C460" s="1" t="n">
        <v>46101</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50544-2025</t>
        </is>
      </c>
      <c r="B461" s="1" t="n">
        <v>45945.50736111111</v>
      </c>
      <c r="C461" s="1" t="n">
        <v>46101</v>
      </c>
      <c r="D461" t="inlineStr">
        <is>
          <t>KALMAR LÄN</t>
        </is>
      </c>
      <c r="E461" t="inlineStr">
        <is>
          <t>VIMMERBY</t>
        </is>
      </c>
      <c r="G461" t="n">
        <v>0.8</v>
      </c>
      <c r="H461" t="n">
        <v>0</v>
      </c>
      <c r="I461" t="n">
        <v>0</v>
      </c>
      <c r="J461" t="n">
        <v>0</v>
      </c>
      <c r="K461" t="n">
        <v>0</v>
      </c>
      <c r="L461" t="n">
        <v>0</v>
      </c>
      <c r="M461" t="n">
        <v>0</v>
      </c>
      <c r="N461" t="n">
        <v>0</v>
      </c>
      <c r="O461" t="n">
        <v>0</v>
      </c>
      <c r="P461" t="n">
        <v>0</v>
      </c>
      <c r="Q461" t="n">
        <v>0</v>
      </c>
      <c r="R461" s="2" t="inlineStr"/>
    </row>
    <row r="462" ht="15" customHeight="1">
      <c r="A462" t="inlineStr">
        <is>
          <t>A 50860-2022</t>
        </is>
      </c>
      <c r="B462" s="1" t="n">
        <v>44867</v>
      </c>
      <c r="C462" s="1" t="n">
        <v>46101</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53483-2022</t>
        </is>
      </c>
      <c r="B463" s="1" t="n">
        <v>44879.55940972222</v>
      </c>
      <c r="C463" s="1" t="n">
        <v>46101</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58962-2022</t>
        </is>
      </c>
      <c r="B464" s="1" t="n">
        <v>44903</v>
      </c>
      <c r="C464" s="1" t="n">
        <v>46101</v>
      </c>
      <c r="D464" t="inlineStr">
        <is>
          <t>KALMAR LÄN</t>
        </is>
      </c>
      <c r="E464" t="inlineStr">
        <is>
          <t>VIMMERBY</t>
        </is>
      </c>
      <c r="G464" t="n">
        <v>1.1</v>
      </c>
      <c r="H464" t="n">
        <v>0</v>
      </c>
      <c r="I464" t="n">
        <v>0</v>
      </c>
      <c r="J464" t="n">
        <v>0</v>
      </c>
      <c r="K464" t="n">
        <v>0</v>
      </c>
      <c r="L464" t="n">
        <v>0</v>
      </c>
      <c r="M464" t="n">
        <v>0</v>
      </c>
      <c r="N464" t="n">
        <v>0</v>
      </c>
      <c r="O464" t="n">
        <v>0</v>
      </c>
      <c r="P464" t="n">
        <v>0</v>
      </c>
      <c r="Q464" t="n">
        <v>0</v>
      </c>
      <c r="R464" s="2" t="inlineStr"/>
    </row>
    <row r="465" ht="15" customHeight="1">
      <c r="A465" t="inlineStr">
        <is>
          <t>A 51062-2025</t>
        </is>
      </c>
      <c r="B465" s="1" t="n">
        <v>45947.44685185186</v>
      </c>
      <c r="C465" s="1" t="n">
        <v>46101</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58967-2022</t>
        </is>
      </c>
      <c r="B466" s="1" t="n">
        <v>44896</v>
      </c>
      <c r="C466" s="1" t="n">
        <v>46101</v>
      </c>
      <c r="D466" t="inlineStr">
        <is>
          <t>KALMAR LÄN</t>
        </is>
      </c>
      <c r="E466" t="inlineStr">
        <is>
          <t>VIMMERBY</t>
        </is>
      </c>
      <c r="G466" t="n">
        <v>5</v>
      </c>
      <c r="H466" t="n">
        <v>0</v>
      </c>
      <c r="I466" t="n">
        <v>0</v>
      </c>
      <c r="J466" t="n">
        <v>0</v>
      </c>
      <c r="K466" t="n">
        <v>0</v>
      </c>
      <c r="L466" t="n">
        <v>0</v>
      </c>
      <c r="M466" t="n">
        <v>0</v>
      </c>
      <c r="N466" t="n">
        <v>0</v>
      </c>
      <c r="O466" t="n">
        <v>0</v>
      </c>
      <c r="P466" t="n">
        <v>0</v>
      </c>
      <c r="Q466" t="n">
        <v>0</v>
      </c>
      <c r="R466" s="2" t="inlineStr"/>
    </row>
    <row r="467" ht="15" customHeight="1">
      <c r="A467" t="inlineStr">
        <is>
          <t>A 57682-2022</t>
        </is>
      </c>
      <c r="B467" s="1" t="n">
        <v>44890</v>
      </c>
      <c r="C467" s="1" t="n">
        <v>46101</v>
      </c>
      <c r="D467" t="inlineStr">
        <is>
          <t>KALMAR LÄN</t>
        </is>
      </c>
      <c r="E467" t="inlineStr">
        <is>
          <t>VIMMERBY</t>
        </is>
      </c>
      <c r="G467" t="n">
        <v>1.5</v>
      </c>
      <c r="H467" t="n">
        <v>0</v>
      </c>
      <c r="I467" t="n">
        <v>0</v>
      </c>
      <c r="J467" t="n">
        <v>0</v>
      </c>
      <c r="K467" t="n">
        <v>0</v>
      </c>
      <c r="L467" t="n">
        <v>0</v>
      </c>
      <c r="M467" t="n">
        <v>0</v>
      </c>
      <c r="N467" t="n">
        <v>0</v>
      </c>
      <c r="O467" t="n">
        <v>0</v>
      </c>
      <c r="P467" t="n">
        <v>0</v>
      </c>
      <c r="Q467" t="n">
        <v>0</v>
      </c>
      <c r="R467" s="2" t="inlineStr"/>
    </row>
    <row r="468" ht="15" customHeight="1">
      <c r="A468" t="inlineStr">
        <is>
          <t>A 4076-2022</t>
        </is>
      </c>
      <c r="B468" s="1" t="n">
        <v>44588.37998842593</v>
      </c>
      <c r="C468" s="1" t="n">
        <v>46101</v>
      </c>
      <c r="D468" t="inlineStr">
        <is>
          <t>KALMAR LÄN</t>
        </is>
      </c>
      <c r="E468" t="inlineStr">
        <is>
          <t>VIMMERBY</t>
        </is>
      </c>
      <c r="G468" t="n">
        <v>3</v>
      </c>
      <c r="H468" t="n">
        <v>0</v>
      </c>
      <c r="I468" t="n">
        <v>0</v>
      </c>
      <c r="J468" t="n">
        <v>0</v>
      </c>
      <c r="K468" t="n">
        <v>0</v>
      </c>
      <c r="L468" t="n">
        <v>0</v>
      </c>
      <c r="M468" t="n">
        <v>0</v>
      </c>
      <c r="N468" t="n">
        <v>0</v>
      </c>
      <c r="O468" t="n">
        <v>0</v>
      </c>
      <c r="P468" t="n">
        <v>0</v>
      </c>
      <c r="Q468" t="n">
        <v>0</v>
      </c>
      <c r="R468" s="2" t="inlineStr"/>
    </row>
    <row r="469" ht="15" customHeight="1">
      <c r="A469" t="inlineStr">
        <is>
          <t>A 4122-2022</t>
        </is>
      </c>
      <c r="B469" s="1" t="n">
        <v>44588</v>
      </c>
      <c r="C469" s="1" t="n">
        <v>46101</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51993-2025</t>
        </is>
      </c>
      <c r="B470" s="1" t="n">
        <v>45952.58194444444</v>
      </c>
      <c r="C470" s="1" t="n">
        <v>46101</v>
      </c>
      <c r="D470" t="inlineStr">
        <is>
          <t>KALMAR LÄN</t>
        </is>
      </c>
      <c r="E470" t="inlineStr">
        <is>
          <t>VIMMERBY</t>
        </is>
      </c>
      <c r="G470" t="n">
        <v>2.8</v>
      </c>
      <c r="H470" t="n">
        <v>0</v>
      </c>
      <c r="I470" t="n">
        <v>0</v>
      </c>
      <c r="J470" t="n">
        <v>0</v>
      </c>
      <c r="K470" t="n">
        <v>0</v>
      </c>
      <c r="L470" t="n">
        <v>0</v>
      </c>
      <c r="M470" t="n">
        <v>0</v>
      </c>
      <c r="N470" t="n">
        <v>0</v>
      </c>
      <c r="O470" t="n">
        <v>0</v>
      </c>
      <c r="P470" t="n">
        <v>0</v>
      </c>
      <c r="Q470" t="n">
        <v>0</v>
      </c>
      <c r="R470" s="2" t="inlineStr"/>
    </row>
    <row r="471" ht="15" customHeight="1">
      <c r="A471" t="inlineStr">
        <is>
          <t>A 9624-2024</t>
        </is>
      </c>
      <c r="B471" s="1" t="n">
        <v>45361.90282407407</v>
      </c>
      <c r="C471" s="1" t="n">
        <v>46101</v>
      </c>
      <c r="D471" t="inlineStr">
        <is>
          <t>KALMAR LÄN</t>
        </is>
      </c>
      <c r="E471" t="inlineStr">
        <is>
          <t>VIMMERBY</t>
        </is>
      </c>
      <c r="G471" t="n">
        <v>3.8</v>
      </c>
      <c r="H471" t="n">
        <v>0</v>
      </c>
      <c r="I471" t="n">
        <v>0</v>
      </c>
      <c r="J471" t="n">
        <v>0</v>
      </c>
      <c r="K471" t="n">
        <v>0</v>
      </c>
      <c r="L471" t="n">
        <v>0</v>
      </c>
      <c r="M471" t="n">
        <v>0</v>
      </c>
      <c r="N471" t="n">
        <v>0</v>
      </c>
      <c r="O471" t="n">
        <v>0</v>
      </c>
      <c r="P471" t="n">
        <v>0</v>
      </c>
      <c r="Q471" t="n">
        <v>0</v>
      </c>
      <c r="R471" s="2" t="inlineStr"/>
    </row>
    <row r="472" ht="15" customHeight="1">
      <c r="A472" t="inlineStr">
        <is>
          <t>A 52327-2023</t>
        </is>
      </c>
      <c r="B472" s="1" t="n">
        <v>45224.6515162037</v>
      </c>
      <c r="C472" s="1" t="n">
        <v>46101</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29616-2022</t>
        </is>
      </c>
      <c r="B473" s="1" t="n">
        <v>44754</v>
      </c>
      <c r="C473" s="1" t="n">
        <v>46101</v>
      </c>
      <c r="D473" t="inlineStr">
        <is>
          <t>KALMAR LÄN</t>
        </is>
      </c>
      <c r="E473" t="inlineStr">
        <is>
          <t>VIMMERBY</t>
        </is>
      </c>
      <c r="G473" t="n">
        <v>1.1</v>
      </c>
      <c r="H473" t="n">
        <v>0</v>
      </c>
      <c r="I473" t="n">
        <v>0</v>
      </c>
      <c r="J473" t="n">
        <v>0</v>
      </c>
      <c r="K473" t="n">
        <v>0</v>
      </c>
      <c r="L473" t="n">
        <v>0</v>
      </c>
      <c r="M473" t="n">
        <v>0</v>
      </c>
      <c r="N473" t="n">
        <v>0</v>
      </c>
      <c r="O473" t="n">
        <v>0</v>
      </c>
      <c r="P473" t="n">
        <v>0</v>
      </c>
      <c r="Q473" t="n">
        <v>0</v>
      </c>
      <c r="R473" s="2" t="inlineStr"/>
    </row>
    <row r="474" ht="15" customHeight="1">
      <c r="A474" t="inlineStr">
        <is>
          <t>A 29348-2023</t>
        </is>
      </c>
      <c r="B474" s="1" t="n">
        <v>45106.25025462963</v>
      </c>
      <c r="C474" s="1" t="n">
        <v>46101</v>
      </c>
      <c r="D474" t="inlineStr">
        <is>
          <t>KALMAR LÄN</t>
        </is>
      </c>
      <c r="E474" t="inlineStr">
        <is>
          <t>VIMMERBY</t>
        </is>
      </c>
      <c r="G474" t="n">
        <v>2.4</v>
      </c>
      <c r="H474" t="n">
        <v>0</v>
      </c>
      <c r="I474" t="n">
        <v>0</v>
      </c>
      <c r="J474" t="n">
        <v>0</v>
      </c>
      <c r="K474" t="n">
        <v>0</v>
      </c>
      <c r="L474" t="n">
        <v>0</v>
      </c>
      <c r="M474" t="n">
        <v>0</v>
      </c>
      <c r="N474" t="n">
        <v>0</v>
      </c>
      <c r="O474" t="n">
        <v>0</v>
      </c>
      <c r="P474" t="n">
        <v>0</v>
      </c>
      <c r="Q474" t="n">
        <v>0</v>
      </c>
      <c r="R474" s="2" t="inlineStr"/>
    </row>
    <row r="475" ht="15" customHeight="1">
      <c r="A475" t="inlineStr">
        <is>
          <t>A 28403-2023</t>
        </is>
      </c>
      <c r="B475" s="1" t="n">
        <v>45100.85270833333</v>
      </c>
      <c r="C475" s="1" t="n">
        <v>46101</v>
      </c>
      <c r="D475" t="inlineStr">
        <is>
          <t>KALMAR LÄN</t>
        </is>
      </c>
      <c r="E475" t="inlineStr">
        <is>
          <t>VIMMERBY</t>
        </is>
      </c>
      <c r="G475" t="n">
        <v>1.8</v>
      </c>
      <c r="H475" t="n">
        <v>0</v>
      </c>
      <c r="I475" t="n">
        <v>0</v>
      </c>
      <c r="J475" t="n">
        <v>0</v>
      </c>
      <c r="K475" t="n">
        <v>0</v>
      </c>
      <c r="L475" t="n">
        <v>0</v>
      </c>
      <c r="M475" t="n">
        <v>0</v>
      </c>
      <c r="N475" t="n">
        <v>0</v>
      </c>
      <c r="O475" t="n">
        <v>0</v>
      </c>
      <c r="P475" t="n">
        <v>0</v>
      </c>
      <c r="Q475" t="n">
        <v>0</v>
      </c>
      <c r="R475" s="2" t="inlineStr"/>
    </row>
    <row r="476" ht="15" customHeight="1">
      <c r="A476" t="inlineStr">
        <is>
          <t>A 51990-2025</t>
        </is>
      </c>
      <c r="B476" s="1" t="n">
        <v>45952.58061342593</v>
      </c>
      <c r="C476" s="1" t="n">
        <v>46101</v>
      </c>
      <c r="D476" t="inlineStr">
        <is>
          <t>KALMAR LÄN</t>
        </is>
      </c>
      <c r="E476" t="inlineStr">
        <is>
          <t>VIMMERBY</t>
        </is>
      </c>
      <c r="G476" t="n">
        <v>2.4</v>
      </c>
      <c r="H476" t="n">
        <v>0</v>
      </c>
      <c r="I476" t="n">
        <v>0</v>
      </c>
      <c r="J476" t="n">
        <v>0</v>
      </c>
      <c r="K476" t="n">
        <v>0</v>
      </c>
      <c r="L476" t="n">
        <v>0</v>
      </c>
      <c r="M476" t="n">
        <v>0</v>
      </c>
      <c r="N476" t="n">
        <v>0</v>
      </c>
      <c r="O476" t="n">
        <v>0</v>
      </c>
      <c r="P476" t="n">
        <v>0</v>
      </c>
      <c r="Q476" t="n">
        <v>0</v>
      </c>
      <c r="R476" s="2" t="inlineStr"/>
    </row>
    <row r="477" ht="15" customHeight="1">
      <c r="A477" t="inlineStr">
        <is>
          <t>A 17511-2024</t>
        </is>
      </c>
      <c r="B477" s="1" t="n">
        <v>45415.57682870371</v>
      </c>
      <c r="C477" s="1" t="n">
        <v>46101</v>
      </c>
      <c r="D477" t="inlineStr">
        <is>
          <t>KALMAR LÄN</t>
        </is>
      </c>
      <c r="E477" t="inlineStr">
        <is>
          <t>VIMMERBY</t>
        </is>
      </c>
      <c r="G477" t="n">
        <v>5.3</v>
      </c>
      <c r="H477" t="n">
        <v>0</v>
      </c>
      <c r="I477" t="n">
        <v>0</v>
      </c>
      <c r="J477" t="n">
        <v>0</v>
      </c>
      <c r="K477" t="n">
        <v>0</v>
      </c>
      <c r="L477" t="n">
        <v>0</v>
      </c>
      <c r="M477" t="n">
        <v>0</v>
      </c>
      <c r="N477" t="n">
        <v>0</v>
      </c>
      <c r="O477" t="n">
        <v>0</v>
      </c>
      <c r="P477" t="n">
        <v>0</v>
      </c>
      <c r="Q477" t="n">
        <v>0</v>
      </c>
      <c r="R477" s="2" t="inlineStr"/>
    </row>
    <row r="478" ht="15" customHeight="1">
      <c r="A478" t="inlineStr">
        <is>
          <t>A 52473-2025</t>
        </is>
      </c>
      <c r="B478" s="1" t="n">
        <v>45954.45947916667</v>
      </c>
      <c r="C478" s="1" t="n">
        <v>46101</v>
      </c>
      <c r="D478" t="inlineStr">
        <is>
          <t>KALMAR LÄN</t>
        </is>
      </c>
      <c r="E478" t="inlineStr">
        <is>
          <t>VIMMERBY</t>
        </is>
      </c>
      <c r="G478" t="n">
        <v>2.4</v>
      </c>
      <c r="H478" t="n">
        <v>0</v>
      </c>
      <c r="I478" t="n">
        <v>0</v>
      </c>
      <c r="J478" t="n">
        <v>0</v>
      </c>
      <c r="K478" t="n">
        <v>0</v>
      </c>
      <c r="L478" t="n">
        <v>0</v>
      </c>
      <c r="M478" t="n">
        <v>0</v>
      </c>
      <c r="N478" t="n">
        <v>0</v>
      </c>
      <c r="O478" t="n">
        <v>0</v>
      </c>
      <c r="P478" t="n">
        <v>0</v>
      </c>
      <c r="Q478" t="n">
        <v>0</v>
      </c>
      <c r="R478" s="2" t="inlineStr"/>
    </row>
    <row r="479" ht="15" customHeight="1">
      <c r="A479" t="inlineStr">
        <is>
          <t>A 52480-2025</t>
        </is>
      </c>
      <c r="B479" s="1" t="n">
        <v>45954.47172453703</v>
      </c>
      <c r="C479" s="1" t="n">
        <v>46101</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66022-2021</t>
        </is>
      </c>
      <c r="B480" s="1" t="n">
        <v>44517</v>
      </c>
      <c r="C480" s="1" t="n">
        <v>46101</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29973-2023</t>
        </is>
      </c>
      <c r="B481" s="1" t="n">
        <v>45108.703125</v>
      </c>
      <c r="C481" s="1" t="n">
        <v>46101</v>
      </c>
      <c r="D481" t="inlineStr">
        <is>
          <t>KALMAR LÄN</t>
        </is>
      </c>
      <c r="E481" t="inlineStr">
        <is>
          <t>VIMMERBY</t>
        </is>
      </c>
      <c r="G481" t="n">
        <v>4</v>
      </c>
      <c r="H481" t="n">
        <v>0</v>
      </c>
      <c r="I481" t="n">
        <v>0</v>
      </c>
      <c r="J481" t="n">
        <v>0</v>
      </c>
      <c r="K481" t="n">
        <v>0</v>
      </c>
      <c r="L481" t="n">
        <v>0</v>
      </c>
      <c r="M481" t="n">
        <v>0</v>
      </c>
      <c r="N481" t="n">
        <v>0</v>
      </c>
      <c r="O481" t="n">
        <v>0</v>
      </c>
      <c r="P481" t="n">
        <v>0</v>
      </c>
      <c r="Q481" t="n">
        <v>0</v>
      </c>
      <c r="R481" s="2" t="inlineStr"/>
    </row>
    <row r="482" ht="15" customHeight="1">
      <c r="A482" t="inlineStr">
        <is>
          <t>A 52466-2025</t>
        </is>
      </c>
      <c r="B482" s="1" t="n">
        <v>45954.44707175926</v>
      </c>
      <c r="C482" s="1" t="n">
        <v>46101</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52516-2025</t>
        </is>
      </c>
      <c r="B483" s="1" t="n">
        <v>45954.51412037037</v>
      </c>
      <c r="C483" s="1" t="n">
        <v>46101</v>
      </c>
      <c r="D483" t="inlineStr">
        <is>
          <t>KALMAR LÄN</t>
        </is>
      </c>
      <c r="E483" t="inlineStr">
        <is>
          <t>VIMMERBY</t>
        </is>
      </c>
      <c r="G483" t="n">
        <v>2.8</v>
      </c>
      <c r="H483" t="n">
        <v>0</v>
      </c>
      <c r="I483" t="n">
        <v>0</v>
      </c>
      <c r="J483" t="n">
        <v>0</v>
      </c>
      <c r="K483" t="n">
        <v>0</v>
      </c>
      <c r="L483" t="n">
        <v>0</v>
      </c>
      <c r="M483" t="n">
        <v>0</v>
      </c>
      <c r="N483" t="n">
        <v>0</v>
      </c>
      <c r="O483" t="n">
        <v>0</v>
      </c>
      <c r="P483" t="n">
        <v>0</v>
      </c>
      <c r="Q483" t="n">
        <v>0</v>
      </c>
      <c r="R483" s="2" t="inlineStr"/>
    </row>
    <row r="484" ht="15" customHeight="1">
      <c r="A484" t="inlineStr">
        <is>
          <t>A 30070-2023</t>
        </is>
      </c>
      <c r="B484" s="1" t="n">
        <v>45110.4275</v>
      </c>
      <c r="C484" s="1" t="n">
        <v>46101</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52465-2025</t>
        </is>
      </c>
      <c r="B485" s="1" t="n">
        <v>45954.44543981482</v>
      </c>
      <c r="C485" s="1" t="n">
        <v>46101</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46078-2023</t>
        </is>
      </c>
      <c r="B486" s="1" t="n">
        <v>45196</v>
      </c>
      <c r="C486" s="1" t="n">
        <v>46101</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7643-2022</t>
        </is>
      </c>
      <c r="B487" s="1" t="n">
        <v>44607</v>
      </c>
      <c r="C487" s="1" t="n">
        <v>46101</v>
      </c>
      <c r="D487" t="inlineStr">
        <is>
          <t>KALMAR LÄN</t>
        </is>
      </c>
      <c r="E487" t="inlineStr">
        <is>
          <t>VIMMERBY</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3494-2023</t>
        </is>
      </c>
      <c r="B488" s="1" t="n">
        <v>44949</v>
      </c>
      <c r="C488" s="1" t="n">
        <v>46101</v>
      </c>
      <c r="D488" t="inlineStr">
        <is>
          <t>KALMAR LÄN</t>
        </is>
      </c>
      <c r="E488" t="inlineStr">
        <is>
          <t>VIMMERBY</t>
        </is>
      </c>
      <c r="F488" t="inlineStr">
        <is>
          <t>Kyrkan</t>
        </is>
      </c>
      <c r="G488" t="n">
        <v>0.8</v>
      </c>
      <c r="H488" t="n">
        <v>0</v>
      </c>
      <c r="I488" t="n">
        <v>0</v>
      </c>
      <c r="J488" t="n">
        <v>0</v>
      </c>
      <c r="K488" t="n">
        <v>0</v>
      </c>
      <c r="L488" t="n">
        <v>0</v>
      </c>
      <c r="M488" t="n">
        <v>0</v>
      </c>
      <c r="N488" t="n">
        <v>0</v>
      </c>
      <c r="O488" t="n">
        <v>0</v>
      </c>
      <c r="P488" t="n">
        <v>0</v>
      </c>
      <c r="Q488" t="n">
        <v>0</v>
      </c>
      <c r="R488" s="2" t="inlineStr"/>
    </row>
    <row r="489" ht="15" customHeight="1">
      <c r="A489" t="inlineStr">
        <is>
          <t>A 32633-2023</t>
        </is>
      </c>
      <c r="B489" s="1" t="n">
        <v>45121.58699074074</v>
      </c>
      <c r="C489" s="1" t="n">
        <v>46101</v>
      </c>
      <c r="D489" t="inlineStr">
        <is>
          <t>KALMAR LÄN</t>
        </is>
      </c>
      <c r="E489" t="inlineStr">
        <is>
          <t>VIMMERBY</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52475-2025</t>
        </is>
      </c>
      <c r="B490" s="1" t="n">
        <v>45954.468125</v>
      </c>
      <c r="C490" s="1" t="n">
        <v>46101</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43601-2024</t>
        </is>
      </c>
      <c r="B491" s="1" t="n">
        <v>45569.44684027778</v>
      </c>
      <c r="C491" s="1" t="n">
        <v>46101</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53220-2025</t>
        </is>
      </c>
      <c r="B492" s="1" t="n">
        <v>45958.60146990741</v>
      </c>
      <c r="C492" s="1" t="n">
        <v>46101</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52451-2025</t>
        </is>
      </c>
      <c r="B493" s="1" t="n">
        <v>45954.42326388889</v>
      </c>
      <c r="C493" s="1" t="n">
        <v>46101</v>
      </c>
      <c r="D493" t="inlineStr">
        <is>
          <t>KALMAR LÄN</t>
        </is>
      </c>
      <c r="E493" t="inlineStr">
        <is>
          <t>VIMMERBY</t>
        </is>
      </c>
      <c r="G493" t="n">
        <v>2.8</v>
      </c>
      <c r="H493" t="n">
        <v>0</v>
      </c>
      <c r="I493" t="n">
        <v>0</v>
      </c>
      <c r="J493" t="n">
        <v>0</v>
      </c>
      <c r="K493" t="n">
        <v>0</v>
      </c>
      <c r="L493" t="n">
        <v>0</v>
      </c>
      <c r="M493" t="n">
        <v>0</v>
      </c>
      <c r="N493" t="n">
        <v>0</v>
      </c>
      <c r="O493" t="n">
        <v>0</v>
      </c>
      <c r="P493" t="n">
        <v>0</v>
      </c>
      <c r="Q493" t="n">
        <v>0</v>
      </c>
      <c r="R493" s="2" t="inlineStr"/>
    </row>
    <row r="494" ht="15" customHeight="1">
      <c r="A494" t="inlineStr">
        <is>
          <t>A 53393-2025</t>
        </is>
      </c>
      <c r="B494" s="1" t="n">
        <v>45959.55284722222</v>
      </c>
      <c r="C494" s="1" t="n">
        <v>46101</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53398-2025</t>
        </is>
      </c>
      <c r="B495" s="1" t="n">
        <v>45959.56247685185</v>
      </c>
      <c r="C495" s="1" t="n">
        <v>46101</v>
      </c>
      <c r="D495" t="inlineStr">
        <is>
          <t>KALMAR LÄN</t>
        </is>
      </c>
      <c r="E495" t="inlineStr">
        <is>
          <t>VIMMERBY</t>
        </is>
      </c>
      <c r="G495" t="n">
        <v>0.8</v>
      </c>
      <c r="H495" t="n">
        <v>0</v>
      </c>
      <c r="I495" t="n">
        <v>0</v>
      </c>
      <c r="J495" t="n">
        <v>0</v>
      </c>
      <c r="K495" t="n">
        <v>0</v>
      </c>
      <c r="L495" t="n">
        <v>0</v>
      </c>
      <c r="M495" t="n">
        <v>0</v>
      </c>
      <c r="N495" t="n">
        <v>0</v>
      </c>
      <c r="O495" t="n">
        <v>0</v>
      </c>
      <c r="P495" t="n">
        <v>0</v>
      </c>
      <c r="Q495" t="n">
        <v>0</v>
      </c>
      <c r="R495" s="2" t="inlineStr"/>
    </row>
    <row r="496" ht="15" customHeight="1">
      <c r="A496" t="inlineStr">
        <is>
          <t>A 53397-2025</t>
        </is>
      </c>
      <c r="B496" s="1" t="n">
        <v>45959.55918981481</v>
      </c>
      <c r="C496" s="1" t="n">
        <v>46101</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53416-2025</t>
        </is>
      </c>
      <c r="B497" s="1" t="n">
        <v>45959.58387731481</v>
      </c>
      <c r="C497" s="1" t="n">
        <v>46101</v>
      </c>
      <c r="D497" t="inlineStr">
        <is>
          <t>KALMAR LÄN</t>
        </is>
      </c>
      <c r="E497" t="inlineStr">
        <is>
          <t>VIMMERBY</t>
        </is>
      </c>
      <c r="G497" t="n">
        <v>4.4</v>
      </c>
      <c r="H497" t="n">
        <v>0</v>
      </c>
      <c r="I497" t="n">
        <v>0</v>
      </c>
      <c r="J497" t="n">
        <v>0</v>
      </c>
      <c r="K497" t="n">
        <v>0</v>
      </c>
      <c r="L497" t="n">
        <v>0</v>
      </c>
      <c r="M497" t="n">
        <v>0</v>
      </c>
      <c r="N497" t="n">
        <v>0</v>
      </c>
      <c r="O497" t="n">
        <v>0</v>
      </c>
      <c r="P497" t="n">
        <v>0</v>
      </c>
      <c r="Q497" t="n">
        <v>0</v>
      </c>
      <c r="R497" s="2" t="inlineStr"/>
    </row>
    <row r="498" ht="15" customHeight="1">
      <c r="A498" t="inlineStr">
        <is>
          <t>A 53413-2025</t>
        </is>
      </c>
      <c r="B498" s="1" t="n">
        <v>45959.5787037037</v>
      </c>
      <c r="C498" s="1" t="n">
        <v>46101</v>
      </c>
      <c r="D498" t="inlineStr">
        <is>
          <t>KALMAR LÄN</t>
        </is>
      </c>
      <c r="E498" t="inlineStr">
        <is>
          <t>VIMMERBY</t>
        </is>
      </c>
      <c r="G498" t="n">
        <v>4.3</v>
      </c>
      <c r="H498" t="n">
        <v>0</v>
      </c>
      <c r="I498" t="n">
        <v>0</v>
      </c>
      <c r="J498" t="n">
        <v>0</v>
      </c>
      <c r="K498" t="n">
        <v>0</v>
      </c>
      <c r="L498" t="n">
        <v>0</v>
      </c>
      <c r="M498" t="n">
        <v>0</v>
      </c>
      <c r="N498" t="n">
        <v>0</v>
      </c>
      <c r="O498" t="n">
        <v>0</v>
      </c>
      <c r="P498" t="n">
        <v>0</v>
      </c>
      <c r="Q498" t="n">
        <v>0</v>
      </c>
      <c r="R498" s="2" t="inlineStr"/>
    </row>
    <row r="499" ht="15" customHeight="1">
      <c r="A499" t="inlineStr">
        <is>
          <t>A 13813-2024</t>
        </is>
      </c>
      <c r="B499" s="1" t="n">
        <v>45391.41310185185</v>
      </c>
      <c r="C499" s="1" t="n">
        <v>46101</v>
      </c>
      <c r="D499" t="inlineStr">
        <is>
          <t>KALMAR LÄN</t>
        </is>
      </c>
      <c r="E499" t="inlineStr">
        <is>
          <t>VIMMERBY</t>
        </is>
      </c>
      <c r="G499" t="n">
        <v>0.4</v>
      </c>
      <c r="H499" t="n">
        <v>0</v>
      </c>
      <c r="I499" t="n">
        <v>0</v>
      </c>
      <c r="J499" t="n">
        <v>0</v>
      </c>
      <c r="K499" t="n">
        <v>0</v>
      </c>
      <c r="L499" t="n">
        <v>0</v>
      </c>
      <c r="M499" t="n">
        <v>0</v>
      </c>
      <c r="N499" t="n">
        <v>0</v>
      </c>
      <c r="O499" t="n">
        <v>0</v>
      </c>
      <c r="P499" t="n">
        <v>0</v>
      </c>
      <c r="Q499" t="n">
        <v>0</v>
      </c>
      <c r="R499" s="2" t="inlineStr"/>
    </row>
    <row r="500" ht="15" customHeight="1">
      <c r="A500" t="inlineStr">
        <is>
          <t>A 25234-2023</t>
        </is>
      </c>
      <c r="B500" s="1" t="n">
        <v>45086.63194444445</v>
      </c>
      <c r="C500" s="1" t="n">
        <v>46101</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25236-2023</t>
        </is>
      </c>
      <c r="B501" s="1" t="n">
        <v>45086.63334490741</v>
      </c>
      <c r="C501" s="1" t="n">
        <v>46101</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53396-2025</t>
        </is>
      </c>
      <c r="B502" s="1" t="n">
        <v>45959.55577546296</v>
      </c>
      <c r="C502" s="1" t="n">
        <v>46101</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53788-2025</t>
        </is>
      </c>
      <c r="B503" s="1" t="n">
        <v>45960</v>
      </c>
      <c r="C503" s="1" t="n">
        <v>46101</v>
      </c>
      <c r="D503" t="inlineStr">
        <is>
          <t>KALMAR LÄN</t>
        </is>
      </c>
      <c r="E503" t="inlineStr">
        <is>
          <t>VIMMERBY</t>
        </is>
      </c>
      <c r="F503" t="inlineStr">
        <is>
          <t>Övriga statliga verk och myndigheter</t>
        </is>
      </c>
      <c r="G503" t="n">
        <v>6.3</v>
      </c>
      <c r="H503" t="n">
        <v>0</v>
      </c>
      <c r="I503" t="n">
        <v>0</v>
      </c>
      <c r="J503" t="n">
        <v>0</v>
      </c>
      <c r="K503" t="n">
        <v>0</v>
      </c>
      <c r="L503" t="n">
        <v>0</v>
      </c>
      <c r="M503" t="n">
        <v>0</v>
      </c>
      <c r="N503" t="n">
        <v>0</v>
      </c>
      <c r="O503" t="n">
        <v>0</v>
      </c>
      <c r="P503" t="n">
        <v>0</v>
      </c>
      <c r="Q503" t="n">
        <v>0</v>
      </c>
      <c r="R503" s="2" t="inlineStr"/>
    </row>
    <row r="504" ht="15" customHeight="1">
      <c r="A504" t="inlineStr">
        <is>
          <t>A 53927-2025</t>
        </is>
      </c>
      <c r="B504" s="1" t="n">
        <v>45961.46740740741</v>
      </c>
      <c r="C504" s="1" t="n">
        <v>46101</v>
      </c>
      <c r="D504" t="inlineStr">
        <is>
          <t>KALMAR LÄN</t>
        </is>
      </c>
      <c r="E504" t="inlineStr">
        <is>
          <t>VIMMERBY</t>
        </is>
      </c>
      <c r="G504" t="n">
        <v>2.5</v>
      </c>
      <c r="H504" t="n">
        <v>0</v>
      </c>
      <c r="I504" t="n">
        <v>0</v>
      </c>
      <c r="J504" t="n">
        <v>0</v>
      </c>
      <c r="K504" t="n">
        <v>0</v>
      </c>
      <c r="L504" t="n">
        <v>0</v>
      </c>
      <c r="M504" t="n">
        <v>0</v>
      </c>
      <c r="N504" t="n">
        <v>0</v>
      </c>
      <c r="O504" t="n">
        <v>0</v>
      </c>
      <c r="P504" t="n">
        <v>0</v>
      </c>
      <c r="Q504" t="n">
        <v>0</v>
      </c>
      <c r="R504" s="2" t="inlineStr"/>
    </row>
    <row r="505" ht="15" customHeight="1">
      <c r="A505" t="inlineStr">
        <is>
          <t>A 53933-2025</t>
        </is>
      </c>
      <c r="B505" s="1" t="n">
        <v>45961.47650462963</v>
      </c>
      <c r="C505" s="1" t="n">
        <v>46101</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25244-2023</t>
        </is>
      </c>
      <c r="B506" s="1" t="n">
        <v>45086</v>
      </c>
      <c r="C506" s="1" t="n">
        <v>46101</v>
      </c>
      <c r="D506" t="inlineStr">
        <is>
          <t>KALMAR LÄN</t>
        </is>
      </c>
      <c r="E506" t="inlineStr">
        <is>
          <t>VIMMERBY</t>
        </is>
      </c>
      <c r="G506" t="n">
        <v>4.7</v>
      </c>
      <c r="H506" t="n">
        <v>0</v>
      </c>
      <c r="I506" t="n">
        <v>0</v>
      </c>
      <c r="J506" t="n">
        <v>0</v>
      </c>
      <c r="K506" t="n">
        <v>0</v>
      </c>
      <c r="L506" t="n">
        <v>0</v>
      </c>
      <c r="M506" t="n">
        <v>0</v>
      </c>
      <c r="N506" t="n">
        <v>0</v>
      </c>
      <c r="O506" t="n">
        <v>0</v>
      </c>
      <c r="P506" t="n">
        <v>0</v>
      </c>
      <c r="Q506" t="n">
        <v>0</v>
      </c>
      <c r="R506" s="2" t="inlineStr"/>
    </row>
    <row r="507" ht="15" customHeight="1">
      <c r="A507" t="inlineStr">
        <is>
          <t>A 54236-2025</t>
        </is>
      </c>
      <c r="B507" s="1" t="n">
        <v>45964.62671296296</v>
      </c>
      <c r="C507" s="1" t="n">
        <v>46101</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53923-2025</t>
        </is>
      </c>
      <c r="B508" s="1" t="n">
        <v>45961.4569212963</v>
      </c>
      <c r="C508" s="1" t="n">
        <v>46101</v>
      </c>
      <c r="D508" t="inlineStr">
        <is>
          <t>KALMAR LÄN</t>
        </is>
      </c>
      <c r="E508" t="inlineStr">
        <is>
          <t>VIMMERBY</t>
        </is>
      </c>
      <c r="G508" t="n">
        <v>2.4</v>
      </c>
      <c r="H508" t="n">
        <v>0</v>
      </c>
      <c r="I508" t="n">
        <v>0</v>
      </c>
      <c r="J508" t="n">
        <v>0</v>
      </c>
      <c r="K508" t="n">
        <v>0</v>
      </c>
      <c r="L508" t="n">
        <v>0</v>
      </c>
      <c r="M508" t="n">
        <v>0</v>
      </c>
      <c r="N508" t="n">
        <v>0</v>
      </c>
      <c r="O508" t="n">
        <v>0</v>
      </c>
      <c r="P508" t="n">
        <v>0</v>
      </c>
      <c r="Q508" t="n">
        <v>0</v>
      </c>
      <c r="R508" s="2" t="inlineStr"/>
    </row>
    <row r="509" ht="15" customHeight="1">
      <c r="A509" t="inlineStr">
        <is>
          <t>A 53920-2025</t>
        </is>
      </c>
      <c r="B509" s="1" t="n">
        <v>45961.44951388889</v>
      </c>
      <c r="C509" s="1" t="n">
        <v>46101</v>
      </c>
      <c r="D509" t="inlineStr">
        <is>
          <t>KALMAR LÄN</t>
        </is>
      </c>
      <c r="E509" t="inlineStr">
        <is>
          <t>VIMMERBY</t>
        </is>
      </c>
      <c r="G509" t="n">
        <v>1.4</v>
      </c>
      <c r="H509" t="n">
        <v>0</v>
      </c>
      <c r="I509" t="n">
        <v>0</v>
      </c>
      <c r="J509" t="n">
        <v>0</v>
      </c>
      <c r="K509" t="n">
        <v>0</v>
      </c>
      <c r="L509" t="n">
        <v>0</v>
      </c>
      <c r="M509" t="n">
        <v>0</v>
      </c>
      <c r="N509" t="n">
        <v>0</v>
      </c>
      <c r="O509" t="n">
        <v>0</v>
      </c>
      <c r="P509" t="n">
        <v>0</v>
      </c>
      <c r="Q509" t="n">
        <v>0</v>
      </c>
      <c r="R509" s="2" t="inlineStr"/>
    </row>
    <row r="510" ht="15" customHeight="1">
      <c r="A510" t="inlineStr">
        <is>
          <t>A 54234-2025</t>
        </is>
      </c>
      <c r="B510" s="1" t="n">
        <v>45964.62486111111</v>
      </c>
      <c r="C510" s="1" t="n">
        <v>46101</v>
      </c>
      <c r="D510" t="inlineStr">
        <is>
          <t>KALMAR LÄN</t>
        </is>
      </c>
      <c r="E510" t="inlineStr">
        <is>
          <t>VIMMERBY</t>
        </is>
      </c>
      <c r="G510" t="n">
        <v>4.1</v>
      </c>
      <c r="H510" t="n">
        <v>0</v>
      </c>
      <c r="I510" t="n">
        <v>0</v>
      </c>
      <c r="J510" t="n">
        <v>0</v>
      </c>
      <c r="K510" t="n">
        <v>0</v>
      </c>
      <c r="L510" t="n">
        <v>0</v>
      </c>
      <c r="M510" t="n">
        <v>0</v>
      </c>
      <c r="N510" t="n">
        <v>0</v>
      </c>
      <c r="O510" t="n">
        <v>0</v>
      </c>
      <c r="P510" t="n">
        <v>0</v>
      </c>
      <c r="Q510" t="n">
        <v>0</v>
      </c>
      <c r="R510" s="2" t="inlineStr"/>
    </row>
    <row r="511" ht="15" customHeight="1">
      <c r="A511" t="inlineStr">
        <is>
          <t>A 23341-2022</t>
        </is>
      </c>
      <c r="B511" s="1" t="n">
        <v>44720.53898148148</v>
      </c>
      <c r="C511" s="1" t="n">
        <v>46101</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53789-2025</t>
        </is>
      </c>
      <c r="B512" s="1" t="n">
        <v>45960</v>
      </c>
      <c r="C512" s="1" t="n">
        <v>46101</v>
      </c>
      <c r="D512" t="inlineStr">
        <is>
          <t>KALMAR LÄN</t>
        </is>
      </c>
      <c r="E512" t="inlineStr">
        <is>
          <t>VIMMERBY</t>
        </is>
      </c>
      <c r="F512" t="inlineStr">
        <is>
          <t>Övriga statliga verk och myndigheter</t>
        </is>
      </c>
      <c r="G512" t="n">
        <v>1.6</v>
      </c>
      <c r="H512" t="n">
        <v>0</v>
      </c>
      <c r="I512" t="n">
        <v>0</v>
      </c>
      <c r="J512" t="n">
        <v>0</v>
      </c>
      <c r="K512" t="n">
        <v>0</v>
      </c>
      <c r="L512" t="n">
        <v>0</v>
      </c>
      <c r="M512" t="n">
        <v>0</v>
      </c>
      <c r="N512" t="n">
        <v>0</v>
      </c>
      <c r="O512" t="n">
        <v>0</v>
      </c>
      <c r="P512" t="n">
        <v>0</v>
      </c>
      <c r="Q512" t="n">
        <v>0</v>
      </c>
      <c r="R512" s="2" t="inlineStr"/>
    </row>
    <row r="513" ht="15" customHeight="1">
      <c r="A513" t="inlineStr">
        <is>
          <t>A 53903-2025</t>
        </is>
      </c>
      <c r="B513" s="1" t="n">
        <v>45961.43738425926</v>
      </c>
      <c r="C513" s="1" t="n">
        <v>46101</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71793-2021</t>
        </is>
      </c>
      <c r="B514" s="1" t="n">
        <v>44539</v>
      </c>
      <c r="C514" s="1" t="n">
        <v>46101</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54737-2025</t>
        </is>
      </c>
      <c r="B515" s="1" t="n">
        <v>45966.56826388889</v>
      </c>
      <c r="C515" s="1" t="n">
        <v>46101</v>
      </c>
      <c r="D515" t="inlineStr">
        <is>
          <t>KALMAR LÄN</t>
        </is>
      </c>
      <c r="E515" t="inlineStr">
        <is>
          <t>VIMMERBY</t>
        </is>
      </c>
      <c r="G515" t="n">
        <v>2.1</v>
      </c>
      <c r="H515" t="n">
        <v>0</v>
      </c>
      <c r="I515" t="n">
        <v>0</v>
      </c>
      <c r="J515" t="n">
        <v>0</v>
      </c>
      <c r="K515" t="n">
        <v>0</v>
      </c>
      <c r="L515" t="n">
        <v>0</v>
      </c>
      <c r="M515" t="n">
        <v>0</v>
      </c>
      <c r="N515" t="n">
        <v>0</v>
      </c>
      <c r="O515" t="n">
        <v>0</v>
      </c>
      <c r="P515" t="n">
        <v>0</v>
      </c>
      <c r="Q515" t="n">
        <v>0</v>
      </c>
      <c r="R515" s="2" t="inlineStr"/>
    </row>
    <row r="516" ht="15" customHeight="1">
      <c r="A516" t="inlineStr">
        <is>
          <t>A 73938-2021</t>
        </is>
      </c>
      <c r="B516" s="1" t="n">
        <v>44553</v>
      </c>
      <c r="C516" s="1" t="n">
        <v>46101</v>
      </c>
      <c r="D516" t="inlineStr">
        <is>
          <t>KALMAR LÄN</t>
        </is>
      </c>
      <c r="E516" t="inlineStr">
        <is>
          <t>VIMMERBY</t>
        </is>
      </c>
      <c r="G516" t="n">
        <v>3.2</v>
      </c>
      <c r="H516" t="n">
        <v>0</v>
      </c>
      <c r="I516" t="n">
        <v>0</v>
      </c>
      <c r="J516" t="n">
        <v>0</v>
      </c>
      <c r="K516" t="n">
        <v>0</v>
      </c>
      <c r="L516" t="n">
        <v>0</v>
      </c>
      <c r="M516" t="n">
        <v>0</v>
      </c>
      <c r="N516" t="n">
        <v>0</v>
      </c>
      <c r="O516" t="n">
        <v>0</v>
      </c>
      <c r="P516" t="n">
        <v>0</v>
      </c>
      <c r="Q516" t="n">
        <v>0</v>
      </c>
      <c r="R516" s="2" t="inlineStr"/>
    </row>
    <row r="517" ht="15" customHeight="1">
      <c r="A517" t="inlineStr">
        <is>
          <t>A 6069-2023</t>
        </is>
      </c>
      <c r="B517" s="1" t="n">
        <v>44964.5115162037</v>
      </c>
      <c r="C517" s="1" t="n">
        <v>46101</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54813-2025</t>
        </is>
      </c>
      <c r="B518" s="1" t="n">
        <v>45966.64881944445</v>
      </c>
      <c r="C518" s="1" t="n">
        <v>46101</v>
      </c>
      <c r="D518" t="inlineStr">
        <is>
          <t>KALMAR LÄN</t>
        </is>
      </c>
      <c r="E518" t="inlineStr">
        <is>
          <t>VIMMERBY</t>
        </is>
      </c>
      <c r="G518" t="n">
        <v>1.7</v>
      </c>
      <c r="H518" t="n">
        <v>0</v>
      </c>
      <c r="I518" t="n">
        <v>0</v>
      </c>
      <c r="J518" t="n">
        <v>0</v>
      </c>
      <c r="K518" t="n">
        <v>0</v>
      </c>
      <c r="L518" t="n">
        <v>0</v>
      </c>
      <c r="M518" t="n">
        <v>0</v>
      </c>
      <c r="N518" t="n">
        <v>0</v>
      </c>
      <c r="O518" t="n">
        <v>0</v>
      </c>
      <c r="P518" t="n">
        <v>0</v>
      </c>
      <c r="Q518" t="n">
        <v>0</v>
      </c>
      <c r="R518" s="2" t="inlineStr"/>
    </row>
    <row r="519" ht="15" customHeight="1">
      <c r="A519" t="inlineStr">
        <is>
          <t>A 50995-2022</t>
        </is>
      </c>
      <c r="B519" s="1" t="n">
        <v>44867</v>
      </c>
      <c r="C519" s="1" t="n">
        <v>46101</v>
      </c>
      <c r="D519" t="inlineStr">
        <is>
          <t>KALMAR LÄN</t>
        </is>
      </c>
      <c r="E519" t="inlineStr">
        <is>
          <t>VIMMERBY</t>
        </is>
      </c>
      <c r="G519" t="n">
        <v>2.4</v>
      </c>
      <c r="H519" t="n">
        <v>0</v>
      </c>
      <c r="I519" t="n">
        <v>0</v>
      </c>
      <c r="J519" t="n">
        <v>0</v>
      </c>
      <c r="K519" t="n">
        <v>0</v>
      </c>
      <c r="L519" t="n">
        <v>0</v>
      </c>
      <c r="M519" t="n">
        <v>0</v>
      </c>
      <c r="N519" t="n">
        <v>0</v>
      </c>
      <c r="O519" t="n">
        <v>0</v>
      </c>
      <c r="P519" t="n">
        <v>0</v>
      </c>
      <c r="Q519" t="n">
        <v>0</v>
      </c>
      <c r="R519" s="2" t="inlineStr"/>
    </row>
    <row r="520" ht="15" customHeight="1">
      <c r="A520" t="inlineStr">
        <is>
          <t>A 27122-2023</t>
        </is>
      </c>
      <c r="B520" s="1" t="n">
        <v>45096.45247685185</v>
      </c>
      <c r="C520" s="1" t="n">
        <v>46101</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30402-2023</t>
        </is>
      </c>
      <c r="B521" s="1" t="n">
        <v>45111.48395833333</v>
      </c>
      <c r="C521" s="1" t="n">
        <v>46101</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47842-2024</t>
        </is>
      </c>
      <c r="B522" s="1" t="n">
        <v>45588.65545138889</v>
      </c>
      <c r="C522" s="1" t="n">
        <v>46101</v>
      </c>
      <c r="D522" t="inlineStr">
        <is>
          <t>KALMAR LÄN</t>
        </is>
      </c>
      <c r="E522" t="inlineStr">
        <is>
          <t>VIMMERBY</t>
        </is>
      </c>
      <c r="G522" t="n">
        <v>2.4</v>
      </c>
      <c r="H522" t="n">
        <v>0</v>
      </c>
      <c r="I522" t="n">
        <v>0</v>
      </c>
      <c r="J522" t="n">
        <v>0</v>
      </c>
      <c r="K522" t="n">
        <v>0</v>
      </c>
      <c r="L522" t="n">
        <v>0</v>
      </c>
      <c r="M522" t="n">
        <v>0</v>
      </c>
      <c r="N522" t="n">
        <v>0</v>
      </c>
      <c r="O522" t="n">
        <v>0</v>
      </c>
      <c r="P522" t="n">
        <v>0</v>
      </c>
      <c r="Q522" t="n">
        <v>0</v>
      </c>
      <c r="R522" s="2" t="inlineStr"/>
    </row>
    <row r="523" ht="15" customHeight="1">
      <c r="A523" t="inlineStr">
        <is>
          <t>A 55385-2025</t>
        </is>
      </c>
      <c r="B523" s="1" t="n">
        <v>45971.43350694444</v>
      </c>
      <c r="C523" s="1" t="n">
        <v>46101</v>
      </c>
      <c r="D523" t="inlineStr">
        <is>
          <t>KALMAR LÄN</t>
        </is>
      </c>
      <c r="E523" t="inlineStr">
        <is>
          <t>VIMMERBY</t>
        </is>
      </c>
      <c r="G523" t="n">
        <v>5</v>
      </c>
      <c r="H523" t="n">
        <v>0</v>
      </c>
      <c r="I523" t="n">
        <v>0</v>
      </c>
      <c r="J523" t="n">
        <v>0</v>
      </c>
      <c r="K523" t="n">
        <v>0</v>
      </c>
      <c r="L523" t="n">
        <v>0</v>
      </c>
      <c r="M523" t="n">
        <v>0</v>
      </c>
      <c r="N523" t="n">
        <v>0</v>
      </c>
      <c r="O523" t="n">
        <v>0</v>
      </c>
      <c r="P523" t="n">
        <v>0</v>
      </c>
      <c r="Q523" t="n">
        <v>0</v>
      </c>
      <c r="R523" s="2" t="inlineStr"/>
    </row>
    <row r="524" ht="15" customHeight="1">
      <c r="A524" t="inlineStr">
        <is>
          <t>A 6857-2023</t>
        </is>
      </c>
      <c r="B524" s="1" t="n">
        <v>44967.45122685185</v>
      </c>
      <c r="C524" s="1" t="n">
        <v>46101</v>
      </c>
      <c r="D524" t="inlineStr">
        <is>
          <t>KALMAR LÄN</t>
        </is>
      </c>
      <c r="E524" t="inlineStr">
        <is>
          <t>VIMMERBY</t>
        </is>
      </c>
      <c r="G524" t="n">
        <v>2.1</v>
      </c>
      <c r="H524" t="n">
        <v>0</v>
      </c>
      <c r="I524" t="n">
        <v>0</v>
      </c>
      <c r="J524" t="n">
        <v>0</v>
      </c>
      <c r="K524" t="n">
        <v>0</v>
      </c>
      <c r="L524" t="n">
        <v>0</v>
      </c>
      <c r="M524" t="n">
        <v>0</v>
      </c>
      <c r="N524" t="n">
        <v>0</v>
      </c>
      <c r="O524" t="n">
        <v>0</v>
      </c>
      <c r="P524" t="n">
        <v>0</v>
      </c>
      <c r="Q524" t="n">
        <v>0</v>
      </c>
      <c r="R524" s="2" t="inlineStr"/>
    </row>
    <row r="525" ht="15" customHeight="1">
      <c r="A525" t="inlineStr">
        <is>
          <t>A 55602-2025</t>
        </is>
      </c>
      <c r="B525" s="1" t="n">
        <v>45971</v>
      </c>
      <c r="C525" s="1" t="n">
        <v>46101</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46224-2024</t>
        </is>
      </c>
      <c r="B526" s="1" t="n">
        <v>45581.57016203704</v>
      </c>
      <c r="C526" s="1" t="n">
        <v>46101</v>
      </c>
      <c r="D526" t="inlineStr">
        <is>
          <t>KALMAR LÄN</t>
        </is>
      </c>
      <c r="E526" t="inlineStr">
        <is>
          <t>VIMMERBY</t>
        </is>
      </c>
      <c r="G526" t="n">
        <v>3.1</v>
      </c>
      <c r="H526" t="n">
        <v>0</v>
      </c>
      <c r="I526" t="n">
        <v>0</v>
      </c>
      <c r="J526" t="n">
        <v>0</v>
      </c>
      <c r="K526" t="n">
        <v>0</v>
      </c>
      <c r="L526" t="n">
        <v>0</v>
      </c>
      <c r="M526" t="n">
        <v>0</v>
      </c>
      <c r="N526" t="n">
        <v>0</v>
      </c>
      <c r="O526" t="n">
        <v>0</v>
      </c>
      <c r="P526" t="n">
        <v>0</v>
      </c>
      <c r="Q526" t="n">
        <v>0</v>
      </c>
      <c r="R526" s="2" t="inlineStr"/>
    </row>
    <row r="527" ht="15" customHeight="1">
      <c r="A527" t="inlineStr">
        <is>
          <t>A 55603-2025</t>
        </is>
      </c>
      <c r="B527" s="1" t="n">
        <v>45971</v>
      </c>
      <c r="C527" s="1" t="n">
        <v>46101</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55605-2025</t>
        </is>
      </c>
      <c r="B528" s="1" t="n">
        <v>45971</v>
      </c>
      <c r="C528" s="1" t="n">
        <v>46101</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29013-2024</t>
        </is>
      </c>
      <c r="B529" s="1" t="n">
        <v>45481.55984953704</v>
      </c>
      <c r="C529" s="1" t="n">
        <v>46101</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37028-2024</t>
        </is>
      </c>
      <c r="B530" s="1" t="n">
        <v>45539.38744212963</v>
      </c>
      <c r="C530" s="1" t="n">
        <v>46101</v>
      </c>
      <c r="D530" t="inlineStr">
        <is>
          <t>KALMAR LÄN</t>
        </is>
      </c>
      <c r="E530" t="inlineStr">
        <is>
          <t>VIMMERBY</t>
        </is>
      </c>
      <c r="G530" t="n">
        <v>5.2</v>
      </c>
      <c r="H530" t="n">
        <v>0</v>
      </c>
      <c r="I530" t="n">
        <v>0</v>
      </c>
      <c r="J530" t="n">
        <v>0</v>
      </c>
      <c r="K530" t="n">
        <v>0</v>
      </c>
      <c r="L530" t="n">
        <v>0</v>
      </c>
      <c r="M530" t="n">
        <v>0</v>
      </c>
      <c r="N530" t="n">
        <v>0</v>
      </c>
      <c r="O530" t="n">
        <v>0</v>
      </c>
      <c r="P530" t="n">
        <v>0</v>
      </c>
      <c r="Q530" t="n">
        <v>0</v>
      </c>
      <c r="R530" s="2" t="inlineStr"/>
    </row>
    <row r="531" ht="15" customHeight="1">
      <c r="A531" t="inlineStr">
        <is>
          <t>A 37187-2024</t>
        </is>
      </c>
      <c r="B531" s="1" t="n">
        <v>45539.65212962963</v>
      </c>
      <c r="C531" s="1" t="n">
        <v>46101</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12630-2023</t>
        </is>
      </c>
      <c r="B532" s="1" t="n">
        <v>45000.47998842593</v>
      </c>
      <c r="C532" s="1" t="n">
        <v>46101</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39584-2024</t>
        </is>
      </c>
      <c r="B533" s="1" t="n">
        <v>45552.36759259259</v>
      </c>
      <c r="C533" s="1" t="n">
        <v>46101</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27705-2023</t>
        </is>
      </c>
      <c r="B534" s="1" t="n">
        <v>45098.30535879629</v>
      </c>
      <c r="C534" s="1" t="n">
        <v>46101</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31013-2023</t>
        </is>
      </c>
      <c r="B535" s="1" t="n">
        <v>45113.56574074074</v>
      </c>
      <c r="C535" s="1" t="n">
        <v>46101</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15388-2025</t>
        </is>
      </c>
      <c r="B536" s="1" t="n">
        <v>45747.42633101852</v>
      </c>
      <c r="C536" s="1" t="n">
        <v>46101</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15391-2025</t>
        </is>
      </c>
      <c r="B537" s="1" t="n">
        <v>45747.42958333333</v>
      </c>
      <c r="C537" s="1" t="n">
        <v>46101</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11303-2025</t>
        </is>
      </c>
      <c r="B538" s="1" t="n">
        <v>45726.44471064815</v>
      </c>
      <c r="C538" s="1" t="n">
        <v>46101</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33352-2022</t>
        </is>
      </c>
      <c r="B539" s="1" t="n">
        <v>44788</v>
      </c>
      <c r="C539" s="1" t="n">
        <v>46101</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46234-2024</t>
        </is>
      </c>
      <c r="B540" s="1" t="n">
        <v>45581.57958333333</v>
      </c>
      <c r="C540" s="1" t="n">
        <v>46101</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39053-2024</t>
        </is>
      </c>
      <c r="B541" s="1" t="n">
        <v>45548</v>
      </c>
      <c r="C541" s="1" t="n">
        <v>46101</v>
      </c>
      <c r="D541" t="inlineStr">
        <is>
          <t>KALMAR LÄN</t>
        </is>
      </c>
      <c r="E541" t="inlineStr">
        <is>
          <t>VIMMERBY</t>
        </is>
      </c>
      <c r="G541" t="n">
        <v>5</v>
      </c>
      <c r="H541" t="n">
        <v>0</v>
      </c>
      <c r="I541" t="n">
        <v>0</v>
      </c>
      <c r="J541" t="n">
        <v>0</v>
      </c>
      <c r="K541" t="n">
        <v>0</v>
      </c>
      <c r="L541" t="n">
        <v>0</v>
      </c>
      <c r="M541" t="n">
        <v>0</v>
      </c>
      <c r="N541" t="n">
        <v>0</v>
      </c>
      <c r="O541" t="n">
        <v>0</v>
      </c>
      <c r="P541" t="n">
        <v>0</v>
      </c>
      <c r="Q541" t="n">
        <v>0</v>
      </c>
      <c r="R541" s="2" t="inlineStr"/>
    </row>
    <row r="542" ht="15" customHeight="1">
      <c r="A542" t="inlineStr">
        <is>
          <t>A 15449-2023</t>
        </is>
      </c>
      <c r="B542" s="1" t="n">
        <v>45020</v>
      </c>
      <c r="C542" s="1" t="n">
        <v>46101</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43594-2024</t>
        </is>
      </c>
      <c r="B543" s="1" t="n">
        <v>45569.44295138889</v>
      </c>
      <c r="C543" s="1" t="n">
        <v>46101</v>
      </c>
      <c r="D543" t="inlineStr">
        <is>
          <t>KALMAR LÄN</t>
        </is>
      </c>
      <c r="E543" t="inlineStr">
        <is>
          <t>VIMMERBY</t>
        </is>
      </c>
      <c r="G543" t="n">
        <v>3.9</v>
      </c>
      <c r="H543" t="n">
        <v>0</v>
      </c>
      <c r="I543" t="n">
        <v>0</v>
      </c>
      <c r="J543" t="n">
        <v>0</v>
      </c>
      <c r="K543" t="n">
        <v>0</v>
      </c>
      <c r="L543" t="n">
        <v>0</v>
      </c>
      <c r="M543" t="n">
        <v>0</v>
      </c>
      <c r="N543" t="n">
        <v>0</v>
      </c>
      <c r="O543" t="n">
        <v>0</v>
      </c>
      <c r="P543" t="n">
        <v>0</v>
      </c>
      <c r="Q543" t="n">
        <v>0</v>
      </c>
      <c r="R543" s="2" t="inlineStr"/>
    </row>
    <row r="544" ht="15" customHeight="1">
      <c r="A544" t="inlineStr">
        <is>
          <t>A 17486-2024</t>
        </is>
      </c>
      <c r="B544" s="1" t="n">
        <v>45415.48979166667</v>
      </c>
      <c r="C544" s="1" t="n">
        <v>46101</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57728-2025</t>
        </is>
      </c>
      <c r="B545" s="1" t="n">
        <v>45981</v>
      </c>
      <c r="C545" s="1" t="n">
        <v>46101</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14248-2023</t>
        </is>
      </c>
      <c r="B546" s="1" t="n">
        <v>45009</v>
      </c>
      <c r="C546" s="1" t="n">
        <v>46101</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58442-2025</t>
        </is>
      </c>
      <c r="B547" s="1" t="n">
        <v>45985.61635416667</v>
      </c>
      <c r="C547" s="1" t="n">
        <v>46101</v>
      </c>
      <c r="D547" t="inlineStr">
        <is>
          <t>KALMAR LÄN</t>
        </is>
      </c>
      <c r="E547" t="inlineStr">
        <is>
          <t>VIMMERBY</t>
        </is>
      </c>
      <c r="G547" t="n">
        <v>0.8</v>
      </c>
      <c r="H547" t="n">
        <v>0</v>
      </c>
      <c r="I547" t="n">
        <v>0</v>
      </c>
      <c r="J547" t="n">
        <v>0</v>
      </c>
      <c r="K547" t="n">
        <v>0</v>
      </c>
      <c r="L547" t="n">
        <v>0</v>
      </c>
      <c r="M547" t="n">
        <v>0</v>
      </c>
      <c r="N547" t="n">
        <v>0</v>
      </c>
      <c r="O547" t="n">
        <v>0</v>
      </c>
      <c r="P547" t="n">
        <v>0</v>
      </c>
      <c r="Q547" t="n">
        <v>0</v>
      </c>
      <c r="R547" s="2" t="inlineStr"/>
    </row>
    <row r="548" ht="15" customHeight="1">
      <c r="A548" t="inlineStr">
        <is>
          <t>A 58498-2025</t>
        </is>
      </c>
      <c r="B548" s="1" t="n">
        <v>45985.68671296296</v>
      </c>
      <c r="C548" s="1" t="n">
        <v>46101</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58501-2025</t>
        </is>
      </c>
      <c r="B549" s="1" t="n">
        <v>45985.69153935185</v>
      </c>
      <c r="C549" s="1" t="n">
        <v>46101</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58514-2025</t>
        </is>
      </c>
      <c r="B550" s="1" t="n">
        <v>45985.70513888889</v>
      </c>
      <c r="C550" s="1" t="n">
        <v>46101</v>
      </c>
      <c r="D550" t="inlineStr">
        <is>
          <t>KALMAR LÄN</t>
        </is>
      </c>
      <c r="E550" t="inlineStr">
        <is>
          <t>VIMMERBY</t>
        </is>
      </c>
      <c r="G550" t="n">
        <v>3.7</v>
      </c>
      <c r="H550" t="n">
        <v>0</v>
      </c>
      <c r="I550" t="n">
        <v>0</v>
      </c>
      <c r="J550" t="n">
        <v>0</v>
      </c>
      <c r="K550" t="n">
        <v>0</v>
      </c>
      <c r="L550" t="n">
        <v>0</v>
      </c>
      <c r="M550" t="n">
        <v>0</v>
      </c>
      <c r="N550" t="n">
        <v>0</v>
      </c>
      <c r="O550" t="n">
        <v>0</v>
      </c>
      <c r="P550" t="n">
        <v>0</v>
      </c>
      <c r="Q550" t="n">
        <v>0</v>
      </c>
      <c r="R550" s="2" t="inlineStr"/>
    </row>
    <row r="551" ht="15" customHeight="1">
      <c r="A551" t="inlineStr">
        <is>
          <t>A 30400-2023</t>
        </is>
      </c>
      <c r="B551" s="1" t="n">
        <v>45111.48225694444</v>
      </c>
      <c r="C551" s="1" t="n">
        <v>46101</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30404-2023</t>
        </is>
      </c>
      <c r="B552" s="1" t="n">
        <v>45111.48636574074</v>
      </c>
      <c r="C552" s="1" t="n">
        <v>46101</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55123-2024</t>
        </is>
      </c>
      <c r="B553" s="1" t="n">
        <v>45621.46103009259</v>
      </c>
      <c r="C553" s="1" t="n">
        <v>46101</v>
      </c>
      <c r="D553" t="inlineStr">
        <is>
          <t>KALMAR LÄN</t>
        </is>
      </c>
      <c r="E553" t="inlineStr">
        <is>
          <t>VIMMERBY</t>
        </is>
      </c>
      <c r="G553" t="n">
        <v>3.1</v>
      </c>
      <c r="H553" t="n">
        <v>0</v>
      </c>
      <c r="I553" t="n">
        <v>0</v>
      </c>
      <c r="J553" t="n">
        <v>0</v>
      </c>
      <c r="K553" t="n">
        <v>0</v>
      </c>
      <c r="L553" t="n">
        <v>0</v>
      </c>
      <c r="M553" t="n">
        <v>0</v>
      </c>
      <c r="N553" t="n">
        <v>0</v>
      </c>
      <c r="O553" t="n">
        <v>0</v>
      </c>
      <c r="P553" t="n">
        <v>0</v>
      </c>
      <c r="Q553" t="n">
        <v>0</v>
      </c>
      <c r="R553" s="2" t="inlineStr"/>
    </row>
    <row r="554" ht="15" customHeight="1">
      <c r="A554" t="inlineStr">
        <is>
          <t>A 31405-2023</t>
        </is>
      </c>
      <c r="B554" s="1" t="n">
        <v>45114.58148148148</v>
      </c>
      <c r="C554" s="1" t="n">
        <v>46101</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58503-2025</t>
        </is>
      </c>
      <c r="B555" s="1" t="n">
        <v>45985.69509259259</v>
      </c>
      <c r="C555" s="1" t="n">
        <v>46101</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58446-2025</t>
        </is>
      </c>
      <c r="B556" s="1" t="n">
        <v>45985.62168981481</v>
      </c>
      <c r="C556" s="1" t="n">
        <v>46101</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58500-2025</t>
        </is>
      </c>
      <c r="B557" s="1" t="n">
        <v>45985.69008101852</v>
      </c>
      <c r="C557" s="1" t="n">
        <v>46101</v>
      </c>
      <c r="D557" t="inlineStr">
        <is>
          <t>KALMAR LÄN</t>
        </is>
      </c>
      <c r="E557" t="inlineStr">
        <is>
          <t>VIMMERBY</t>
        </is>
      </c>
      <c r="G557" t="n">
        <v>1.8</v>
      </c>
      <c r="H557" t="n">
        <v>0</v>
      </c>
      <c r="I557" t="n">
        <v>0</v>
      </c>
      <c r="J557" t="n">
        <v>0</v>
      </c>
      <c r="K557" t="n">
        <v>0</v>
      </c>
      <c r="L557" t="n">
        <v>0</v>
      </c>
      <c r="M557" t="n">
        <v>0</v>
      </c>
      <c r="N557" t="n">
        <v>0</v>
      </c>
      <c r="O557" t="n">
        <v>0</v>
      </c>
      <c r="P557" t="n">
        <v>0</v>
      </c>
      <c r="Q557" t="n">
        <v>0</v>
      </c>
      <c r="R557" s="2" t="inlineStr"/>
    </row>
    <row r="558" ht="15" customHeight="1">
      <c r="A558" t="inlineStr">
        <is>
          <t>A 24707-2024</t>
        </is>
      </c>
      <c r="B558" s="1" t="n">
        <v>45460.62172453704</v>
      </c>
      <c r="C558" s="1" t="n">
        <v>46101</v>
      </c>
      <c r="D558" t="inlineStr">
        <is>
          <t>KALMAR LÄN</t>
        </is>
      </c>
      <c r="E558" t="inlineStr">
        <is>
          <t>VIMMERBY</t>
        </is>
      </c>
      <c r="G558" t="n">
        <v>1.7</v>
      </c>
      <c r="H558" t="n">
        <v>0</v>
      </c>
      <c r="I558" t="n">
        <v>0</v>
      </c>
      <c r="J558" t="n">
        <v>0</v>
      </c>
      <c r="K558" t="n">
        <v>0</v>
      </c>
      <c r="L558" t="n">
        <v>0</v>
      </c>
      <c r="M558" t="n">
        <v>0</v>
      </c>
      <c r="N558" t="n">
        <v>0</v>
      </c>
      <c r="O558" t="n">
        <v>0</v>
      </c>
      <c r="P558" t="n">
        <v>0</v>
      </c>
      <c r="Q558" t="n">
        <v>0</v>
      </c>
      <c r="R558" s="2" t="inlineStr"/>
    </row>
    <row r="559" ht="15" customHeight="1">
      <c r="A559" t="inlineStr">
        <is>
          <t>A 58435-2025</t>
        </is>
      </c>
      <c r="B559" s="1" t="n">
        <v>45985.61501157407</v>
      </c>
      <c r="C559" s="1" t="n">
        <v>46101</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59037-2025</t>
        </is>
      </c>
      <c r="B560" s="1" t="n">
        <v>45988.36508101852</v>
      </c>
      <c r="C560" s="1" t="n">
        <v>46101</v>
      </c>
      <c r="D560" t="inlineStr">
        <is>
          <t>KALMAR LÄN</t>
        </is>
      </c>
      <c r="E560" t="inlineStr">
        <is>
          <t>VIMMERBY</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59034-2025</t>
        </is>
      </c>
      <c r="B561" s="1" t="n">
        <v>45988.36243055556</v>
      </c>
      <c r="C561" s="1" t="n">
        <v>46101</v>
      </c>
      <c r="D561" t="inlineStr">
        <is>
          <t>KALMAR LÄN</t>
        </is>
      </c>
      <c r="E561" t="inlineStr">
        <is>
          <t>VIMMERBY</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59068-2025</t>
        </is>
      </c>
      <c r="B562" s="1" t="n">
        <v>45988.41725694444</v>
      </c>
      <c r="C562" s="1" t="n">
        <v>46101</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36049-2024</t>
        </is>
      </c>
      <c r="B563" s="1" t="n">
        <v>45533.61996527778</v>
      </c>
      <c r="C563" s="1" t="n">
        <v>46101</v>
      </c>
      <c r="D563" t="inlineStr">
        <is>
          <t>KALMAR LÄN</t>
        </is>
      </c>
      <c r="E563" t="inlineStr">
        <is>
          <t>VIMMERBY</t>
        </is>
      </c>
      <c r="F563" t="inlineStr">
        <is>
          <t>Kommuner</t>
        </is>
      </c>
      <c r="G563" t="n">
        <v>2.6</v>
      </c>
      <c r="H563" t="n">
        <v>0</v>
      </c>
      <c r="I563" t="n">
        <v>0</v>
      </c>
      <c r="J563" t="n">
        <v>0</v>
      </c>
      <c r="K563" t="n">
        <v>0</v>
      </c>
      <c r="L563" t="n">
        <v>0</v>
      </c>
      <c r="M563" t="n">
        <v>0</v>
      </c>
      <c r="N563" t="n">
        <v>0</v>
      </c>
      <c r="O563" t="n">
        <v>0</v>
      </c>
      <c r="P563" t="n">
        <v>0</v>
      </c>
      <c r="Q563" t="n">
        <v>0</v>
      </c>
      <c r="R563" s="2" t="inlineStr"/>
    </row>
    <row r="564" ht="15" customHeight="1">
      <c r="A564" t="inlineStr">
        <is>
          <t>A 58858-2025</t>
        </is>
      </c>
      <c r="B564" s="1" t="n">
        <v>45987.4243287037</v>
      </c>
      <c r="C564" s="1" t="n">
        <v>46101</v>
      </c>
      <c r="D564" t="inlineStr">
        <is>
          <t>KALMAR LÄN</t>
        </is>
      </c>
      <c r="E564" t="inlineStr">
        <is>
          <t>VIMMERBY</t>
        </is>
      </c>
      <c r="G564" t="n">
        <v>1.2</v>
      </c>
      <c r="H564" t="n">
        <v>0</v>
      </c>
      <c r="I564" t="n">
        <v>0</v>
      </c>
      <c r="J564" t="n">
        <v>0</v>
      </c>
      <c r="K564" t="n">
        <v>0</v>
      </c>
      <c r="L564" t="n">
        <v>0</v>
      </c>
      <c r="M564" t="n">
        <v>0</v>
      </c>
      <c r="N564" t="n">
        <v>0</v>
      </c>
      <c r="O564" t="n">
        <v>0</v>
      </c>
      <c r="P564" t="n">
        <v>0</v>
      </c>
      <c r="Q564" t="n">
        <v>0</v>
      </c>
      <c r="R564" s="2" t="inlineStr"/>
    </row>
    <row r="565" ht="15" customHeight="1">
      <c r="A565" t="inlineStr">
        <is>
          <t>A 59039-2025</t>
        </is>
      </c>
      <c r="B565" s="1" t="n">
        <v>45988.36790509259</v>
      </c>
      <c r="C565" s="1" t="n">
        <v>46101</v>
      </c>
      <c r="D565" t="inlineStr">
        <is>
          <t>KALMAR LÄN</t>
        </is>
      </c>
      <c r="E565" t="inlineStr">
        <is>
          <t>VIMMERBY</t>
        </is>
      </c>
      <c r="F565" t="inlineStr">
        <is>
          <t>Sveaskog</t>
        </is>
      </c>
      <c r="G565" t="n">
        <v>3.2</v>
      </c>
      <c r="H565" t="n">
        <v>0</v>
      </c>
      <c r="I565" t="n">
        <v>0</v>
      </c>
      <c r="J565" t="n">
        <v>0</v>
      </c>
      <c r="K565" t="n">
        <v>0</v>
      </c>
      <c r="L565" t="n">
        <v>0</v>
      </c>
      <c r="M565" t="n">
        <v>0</v>
      </c>
      <c r="N565" t="n">
        <v>0</v>
      </c>
      <c r="O565" t="n">
        <v>0</v>
      </c>
      <c r="P565" t="n">
        <v>0</v>
      </c>
      <c r="Q565" t="n">
        <v>0</v>
      </c>
      <c r="R565" s="2" t="inlineStr"/>
    </row>
    <row r="566" ht="15" customHeight="1">
      <c r="A566" t="inlineStr">
        <is>
          <t>A 58841-2025</t>
        </is>
      </c>
      <c r="B566" s="1" t="n">
        <v>45987.36275462963</v>
      </c>
      <c r="C566" s="1" t="n">
        <v>46101</v>
      </c>
      <c r="D566" t="inlineStr">
        <is>
          <t>KALMAR LÄN</t>
        </is>
      </c>
      <c r="E566" t="inlineStr">
        <is>
          <t>VIMMERBY</t>
        </is>
      </c>
      <c r="G566" t="n">
        <v>3.5</v>
      </c>
      <c r="H566" t="n">
        <v>0</v>
      </c>
      <c r="I566" t="n">
        <v>0</v>
      </c>
      <c r="J566" t="n">
        <v>0</v>
      </c>
      <c r="K566" t="n">
        <v>0</v>
      </c>
      <c r="L566" t="n">
        <v>0</v>
      </c>
      <c r="M566" t="n">
        <v>0</v>
      </c>
      <c r="N566" t="n">
        <v>0</v>
      </c>
      <c r="O566" t="n">
        <v>0</v>
      </c>
      <c r="P566" t="n">
        <v>0</v>
      </c>
      <c r="Q566" t="n">
        <v>0</v>
      </c>
      <c r="R566" s="2" t="inlineStr"/>
    </row>
    <row r="567" ht="15" customHeight="1">
      <c r="A567" t="inlineStr">
        <is>
          <t>A 58159-2024</t>
        </is>
      </c>
      <c r="B567" s="1" t="n">
        <v>45632.44886574074</v>
      </c>
      <c r="C567" s="1" t="n">
        <v>46101</v>
      </c>
      <c r="D567" t="inlineStr">
        <is>
          <t>KALMAR LÄN</t>
        </is>
      </c>
      <c r="E567" t="inlineStr">
        <is>
          <t>VIMMERBY</t>
        </is>
      </c>
      <c r="G567" t="n">
        <v>7.5</v>
      </c>
      <c r="H567" t="n">
        <v>0</v>
      </c>
      <c r="I567" t="n">
        <v>0</v>
      </c>
      <c r="J567" t="n">
        <v>0</v>
      </c>
      <c r="K567" t="n">
        <v>0</v>
      </c>
      <c r="L567" t="n">
        <v>0</v>
      </c>
      <c r="M567" t="n">
        <v>0</v>
      </c>
      <c r="N567" t="n">
        <v>0</v>
      </c>
      <c r="O567" t="n">
        <v>0</v>
      </c>
      <c r="P567" t="n">
        <v>0</v>
      </c>
      <c r="Q567" t="n">
        <v>0</v>
      </c>
      <c r="R567" s="2" t="inlineStr"/>
    </row>
    <row r="568" ht="15" customHeight="1">
      <c r="A568" t="inlineStr">
        <is>
          <t>A 14359-2025</t>
        </is>
      </c>
      <c r="B568" s="1" t="n">
        <v>45741.37270833334</v>
      </c>
      <c r="C568" s="1" t="n">
        <v>46101</v>
      </c>
      <c r="D568" t="inlineStr">
        <is>
          <t>KALMAR LÄN</t>
        </is>
      </c>
      <c r="E568" t="inlineStr">
        <is>
          <t>VIMMERBY</t>
        </is>
      </c>
      <c r="G568" t="n">
        <v>2</v>
      </c>
      <c r="H568" t="n">
        <v>0</v>
      </c>
      <c r="I568" t="n">
        <v>0</v>
      </c>
      <c r="J568" t="n">
        <v>0</v>
      </c>
      <c r="K568" t="n">
        <v>0</v>
      </c>
      <c r="L568" t="n">
        <v>0</v>
      </c>
      <c r="M568" t="n">
        <v>0</v>
      </c>
      <c r="N568" t="n">
        <v>0</v>
      </c>
      <c r="O568" t="n">
        <v>0</v>
      </c>
      <c r="P568" t="n">
        <v>0</v>
      </c>
      <c r="Q568" t="n">
        <v>0</v>
      </c>
      <c r="R568" s="2" t="inlineStr"/>
    </row>
    <row r="569" ht="15" customHeight="1">
      <c r="A569" t="inlineStr">
        <is>
          <t>A 39578-2024</t>
        </is>
      </c>
      <c r="B569" s="1" t="n">
        <v>45552.36484953704</v>
      </c>
      <c r="C569" s="1" t="n">
        <v>46101</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62779-2023</t>
        </is>
      </c>
      <c r="B570" s="1" t="n">
        <v>45271.66576388889</v>
      </c>
      <c r="C570" s="1" t="n">
        <v>46101</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46399-2024</t>
        </is>
      </c>
      <c r="B571" s="1" t="n">
        <v>45582.41200231481</v>
      </c>
      <c r="C571" s="1" t="n">
        <v>46101</v>
      </c>
      <c r="D571" t="inlineStr">
        <is>
          <t>KALMAR LÄN</t>
        </is>
      </c>
      <c r="E571" t="inlineStr">
        <is>
          <t>VIMMERBY</t>
        </is>
      </c>
      <c r="G571" t="n">
        <v>4.6</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44585.51060185185</v>
      </c>
      <c r="C572" s="1" t="n">
        <v>46101</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43962-2024</t>
        </is>
      </c>
      <c r="B573" s="1" t="n">
        <v>45572.48293981481</v>
      </c>
      <c r="C573" s="1" t="n">
        <v>46101</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12810-2023</t>
        </is>
      </c>
      <c r="B574" s="1" t="n">
        <v>45001.43854166667</v>
      </c>
      <c r="C574" s="1" t="n">
        <v>46101</v>
      </c>
      <c r="D574" t="inlineStr">
        <is>
          <t>KALMAR LÄN</t>
        </is>
      </c>
      <c r="E574" t="inlineStr">
        <is>
          <t>VIMMERBY</t>
        </is>
      </c>
      <c r="G574" t="n">
        <v>1.5</v>
      </c>
      <c r="H574" t="n">
        <v>0</v>
      </c>
      <c r="I574" t="n">
        <v>0</v>
      </c>
      <c r="J574" t="n">
        <v>0</v>
      </c>
      <c r="K574" t="n">
        <v>0</v>
      </c>
      <c r="L574" t="n">
        <v>0</v>
      </c>
      <c r="M574" t="n">
        <v>0</v>
      </c>
      <c r="N574" t="n">
        <v>0</v>
      </c>
      <c r="O574" t="n">
        <v>0</v>
      </c>
      <c r="P574" t="n">
        <v>0</v>
      </c>
      <c r="Q574" t="n">
        <v>0</v>
      </c>
      <c r="R574" s="2" t="inlineStr"/>
    </row>
    <row r="575" ht="15" customHeight="1">
      <c r="A575" t="inlineStr">
        <is>
          <t>A 43068-2023</t>
        </is>
      </c>
      <c r="B575" s="1" t="n">
        <v>45182.78834490741</v>
      </c>
      <c r="C575" s="1" t="n">
        <v>46101</v>
      </c>
      <c r="D575" t="inlineStr">
        <is>
          <t>KALMAR LÄN</t>
        </is>
      </c>
      <c r="E575" t="inlineStr">
        <is>
          <t>VIMMERBY</t>
        </is>
      </c>
      <c r="G575" t="n">
        <v>1.5</v>
      </c>
      <c r="H575" t="n">
        <v>0</v>
      </c>
      <c r="I575" t="n">
        <v>0</v>
      </c>
      <c r="J575" t="n">
        <v>0</v>
      </c>
      <c r="K575" t="n">
        <v>0</v>
      </c>
      <c r="L575" t="n">
        <v>0</v>
      </c>
      <c r="M575" t="n">
        <v>0</v>
      </c>
      <c r="N575" t="n">
        <v>0</v>
      </c>
      <c r="O575" t="n">
        <v>0</v>
      </c>
      <c r="P575" t="n">
        <v>0</v>
      </c>
      <c r="Q575" t="n">
        <v>0</v>
      </c>
      <c r="R575" s="2" t="inlineStr"/>
    </row>
    <row r="576" ht="15" customHeight="1">
      <c r="A576" t="inlineStr">
        <is>
          <t>A 59579-2025</t>
        </is>
      </c>
      <c r="B576" s="1" t="n">
        <v>45992.30569444445</v>
      </c>
      <c r="C576" s="1" t="n">
        <v>46101</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60180-2025</t>
        </is>
      </c>
      <c r="B577" s="1" t="n">
        <v>45994.46428240741</v>
      </c>
      <c r="C577" s="1" t="n">
        <v>46101</v>
      </c>
      <c r="D577" t="inlineStr">
        <is>
          <t>KALMAR LÄN</t>
        </is>
      </c>
      <c r="E577" t="inlineStr">
        <is>
          <t>VIMMERBY</t>
        </is>
      </c>
      <c r="G577" t="n">
        <v>6.8</v>
      </c>
      <c r="H577" t="n">
        <v>0</v>
      </c>
      <c r="I577" t="n">
        <v>0</v>
      </c>
      <c r="J577" t="n">
        <v>0</v>
      </c>
      <c r="K577" t="n">
        <v>0</v>
      </c>
      <c r="L577" t="n">
        <v>0</v>
      </c>
      <c r="M577" t="n">
        <v>0</v>
      </c>
      <c r="N577" t="n">
        <v>0</v>
      </c>
      <c r="O577" t="n">
        <v>0</v>
      </c>
      <c r="P577" t="n">
        <v>0</v>
      </c>
      <c r="Q577" t="n">
        <v>0</v>
      </c>
      <c r="R577" s="2" t="inlineStr"/>
    </row>
    <row r="578" ht="15" customHeight="1">
      <c r="A578" t="inlineStr">
        <is>
          <t>A 12075-2024</t>
        </is>
      </c>
      <c r="B578" s="1" t="n">
        <v>45377</v>
      </c>
      <c r="C578" s="1" t="n">
        <v>46101</v>
      </c>
      <c r="D578" t="inlineStr">
        <is>
          <t>KALMAR LÄN</t>
        </is>
      </c>
      <c r="E578" t="inlineStr">
        <is>
          <t>VIMMERBY</t>
        </is>
      </c>
      <c r="G578" t="n">
        <v>3.7</v>
      </c>
      <c r="H578" t="n">
        <v>0</v>
      </c>
      <c r="I578" t="n">
        <v>0</v>
      </c>
      <c r="J578" t="n">
        <v>0</v>
      </c>
      <c r="K578" t="n">
        <v>0</v>
      </c>
      <c r="L578" t="n">
        <v>0</v>
      </c>
      <c r="M578" t="n">
        <v>0</v>
      </c>
      <c r="N578" t="n">
        <v>0</v>
      </c>
      <c r="O578" t="n">
        <v>0</v>
      </c>
      <c r="P578" t="n">
        <v>0</v>
      </c>
      <c r="Q578" t="n">
        <v>0</v>
      </c>
      <c r="R578" s="2" t="inlineStr"/>
    </row>
    <row r="579" ht="15" customHeight="1">
      <c r="A579" t="inlineStr">
        <is>
          <t>A 60297-2025</t>
        </is>
      </c>
      <c r="B579" s="1" t="n">
        <v>45994</v>
      </c>
      <c r="C579" s="1" t="n">
        <v>46101</v>
      </c>
      <c r="D579" t="inlineStr">
        <is>
          <t>KALMAR LÄN</t>
        </is>
      </c>
      <c r="E579" t="inlineStr">
        <is>
          <t>VIMMERBY</t>
        </is>
      </c>
      <c r="G579" t="n">
        <v>4.2</v>
      </c>
      <c r="H579" t="n">
        <v>0</v>
      </c>
      <c r="I579" t="n">
        <v>0</v>
      </c>
      <c r="J579" t="n">
        <v>0</v>
      </c>
      <c r="K579" t="n">
        <v>0</v>
      </c>
      <c r="L579" t="n">
        <v>0</v>
      </c>
      <c r="M579" t="n">
        <v>0</v>
      </c>
      <c r="N579" t="n">
        <v>0</v>
      </c>
      <c r="O579" t="n">
        <v>0</v>
      </c>
      <c r="P579" t="n">
        <v>0</v>
      </c>
      <c r="Q579" t="n">
        <v>0</v>
      </c>
      <c r="R579" s="2" t="inlineStr"/>
    </row>
    <row r="580" ht="15" customHeight="1">
      <c r="A580" t="inlineStr">
        <is>
          <t>A 1799-2025</t>
        </is>
      </c>
      <c r="B580" s="1" t="n">
        <v>45671.46746527778</v>
      </c>
      <c r="C580" s="1" t="n">
        <v>46101</v>
      </c>
      <c r="D580" t="inlineStr">
        <is>
          <t>KALMAR LÄN</t>
        </is>
      </c>
      <c r="E580" t="inlineStr">
        <is>
          <t>VIMMERBY</t>
        </is>
      </c>
      <c r="G580" t="n">
        <v>3.3</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44579.62225694444</v>
      </c>
      <c r="C581" s="1" t="n">
        <v>46101</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13015-2022</t>
        </is>
      </c>
      <c r="B582" s="1" t="n">
        <v>44643</v>
      </c>
      <c r="C582" s="1" t="n">
        <v>46101</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4624-2024</t>
        </is>
      </c>
      <c r="B583" s="1" t="n">
        <v>45328.38755787037</v>
      </c>
      <c r="C583" s="1" t="n">
        <v>46101</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9129-2025</t>
        </is>
      </c>
      <c r="B584" s="1" t="n">
        <v>45713.92412037037</v>
      </c>
      <c r="C584" s="1" t="n">
        <v>46101</v>
      </c>
      <c r="D584" t="inlineStr">
        <is>
          <t>KALMAR LÄN</t>
        </is>
      </c>
      <c r="E584" t="inlineStr">
        <is>
          <t>VIMMERBY</t>
        </is>
      </c>
      <c r="G584" t="n">
        <v>2.8</v>
      </c>
      <c r="H584" t="n">
        <v>0</v>
      </c>
      <c r="I584" t="n">
        <v>0</v>
      </c>
      <c r="J584" t="n">
        <v>0</v>
      </c>
      <c r="K584" t="n">
        <v>0</v>
      </c>
      <c r="L584" t="n">
        <v>0</v>
      </c>
      <c r="M584" t="n">
        <v>0</v>
      </c>
      <c r="N584" t="n">
        <v>0</v>
      </c>
      <c r="O584" t="n">
        <v>0</v>
      </c>
      <c r="P584" t="n">
        <v>0</v>
      </c>
      <c r="Q584" t="n">
        <v>0</v>
      </c>
      <c r="R584" s="2" t="inlineStr"/>
    </row>
    <row r="585" ht="15" customHeight="1">
      <c r="A585" t="inlineStr">
        <is>
          <t>A 22643-2023</t>
        </is>
      </c>
      <c r="B585" s="1" t="n">
        <v>45071</v>
      </c>
      <c r="C585" s="1" t="n">
        <v>46101</v>
      </c>
      <c r="D585" t="inlineStr">
        <is>
          <t>KALMAR LÄN</t>
        </is>
      </c>
      <c r="E585" t="inlineStr">
        <is>
          <t>VIMMERBY</t>
        </is>
      </c>
      <c r="G585" t="n">
        <v>3.9</v>
      </c>
      <c r="H585" t="n">
        <v>0</v>
      </c>
      <c r="I585" t="n">
        <v>0</v>
      </c>
      <c r="J585" t="n">
        <v>0</v>
      </c>
      <c r="K585" t="n">
        <v>0</v>
      </c>
      <c r="L585" t="n">
        <v>0</v>
      </c>
      <c r="M585" t="n">
        <v>0</v>
      </c>
      <c r="N585" t="n">
        <v>0</v>
      </c>
      <c r="O585" t="n">
        <v>0</v>
      </c>
      <c r="P585" t="n">
        <v>0</v>
      </c>
      <c r="Q585" t="n">
        <v>0</v>
      </c>
      <c r="R585" s="2" t="inlineStr"/>
    </row>
    <row r="586" ht="15" customHeight="1">
      <c r="A586" t="inlineStr">
        <is>
          <t>A 61790-2025</t>
        </is>
      </c>
      <c r="B586" s="1" t="n">
        <v>46002.68768518518</v>
      </c>
      <c r="C586" s="1" t="n">
        <v>46101</v>
      </c>
      <c r="D586" t="inlineStr">
        <is>
          <t>KALMAR LÄN</t>
        </is>
      </c>
      <c r="E586" t="inlineStr">
        <is>
          <t>VIMMERBY</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61726-2025</t>
        </is>
      </c>
      <c r="B587" s="1" t="n">
        <v>46002.58822916666</v>
      </c>
      <c r="C587" s="1" t="n">
        <v>46101</v>
      </c>
      <c r="D587" t="inlineStr">
        <is>
          <t>KALMAR LÄN</t>
        </is>
      </c>
      <c r="E587" t="inlineStr">
        <is>
          <t>VIMMERBY</t>
        </is>
      </c>
      <c r="F587" t="inlineStr">
        <is>
          <t>Sveaskog</t>
        </is>
      </c>
      <c r="G587" t="n">
        <v>0.2</v>
      </c>
      <c r="H587" t="n">
        <v>0</v>
      </c>
      <c r="I587" t="n">
        <v>0</v>
      </c>
      <c r="J587" t="n">
        <v>0</v>
      </c>
      <c r="K587" t="n">
        <v>0</v>
      </c>
      <c r="L587" t="n">
        <v>0</v>
      </c>
      <c r="M587" t="n">
        <v>0</v>
      </c>
      <c r="N587" t="n">
        <v>0</v>
      </c>
      <c r="O587" t="n">
        <v>0</v>
      </c>
      <c r="P587" t="n">
        <v>0</v>
      </c>
      <c r="Q587" t="n">
        <v>0</v>
      </c>
      <c r="R587" s="2" t="inlineStr"/>
    </row>
    <row r="588" ht="15" customHeight="1">
      <c r="A588" t="inlineStr">
        <is>
          <t>A 61725-2025</t>
        </is>
      </c>
      <c r="B588" s="1" t="n">
        <v>46002.58680555555</v>
      </c>
      <c r="C588" s="1" t="n">
        <v>46101</v>
      </c>
      <c r="D588" t="inlineStr">
        <is>
          <t>KALMAR LÄN</t>
        </is>
      </c>
      <c r="E588" t="inlineStr">
        <is>
          <t>VIMMERBY</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34597-2022</t>
        </is>
      </c>
      <c r="B589" s="1" t="n">
        <v>44795</v>
      </c>
      <c r="C589" s="1" t="n">
        <v>46101</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40079-2023</t>
        </is>
      </c>
      <c r="B590" s="1" t="n">
        <v>45168.89298611111</v>
      </c>
      <c r="C590" s="1" t="n">
        <v>46101</v>
      </c>
      <c r="D590" t="inlineStr">
        <is>
          <t>KALMAR LÄN</t>
        </is>
      </c>
      <c r="E590" t="inlineStr">
        <is>
          <t>VIMMERBY</t>
        </is>
      </c>
      <c r="G590" t="n">
        <v>1.2</v>
      </c>
      <c r="H590" t="n">
        <v>0</v>
      </c>
      <c r="I590" t="n">
        <v>0</v>
      </c>
      <c r="J590" t="n">
        <v>0</v>
      </c>
      <c r="K590" t="n">
        <v>0</v>
      </c>
      <c r="L590" t="n">
        <v>0</v>
      </c>
      <c r="M590" t="n">
        <v>0</v>
      </c>
      <c r="N590" t="n">
        <v>0</v>
      </c>
      <c r="O590" t="n">
        <v>0</v>
      </c>
      <c r="P590" t="n">
        <v>0</v>
      </c>
      <c r="Q590" t="n">
        <v>0</v>
      </c>
      <c r="R590" s="2" t="inlineStr"/>
    </row>
    <row r="591" ht="15" customHeight="1">
      <c r="A591" t="inlineStr">
        <is>
          <t>A 19833-2023</t>
        </is>
      </c>
      <c r="B591" s="1" t="n">
        <v>45052</v>
      </c>
      <c r="C591" s="1" t="n">
        <v>46101</v>
      </c>
      <c r="D591" t="inlineStr">
        <is>
          <t>KALMAR LÄN</t>
        </is>
      </c>
      <c r="E591" t="inlineStr">
        <is>
          <t>VIMMERBY</t>
        </is>
      </c>
      <c r="G591" t="n">
        <v>6.7</v>
      </c>
      <c r="H591" t="n">
        <v>0</v>
      </c>
      <c r="I591" t="n">
        <v>0</v>
      </c>
      <c r="J591" t="n">
        <v>0</v>
      </c>
      <c r="K591" t="n">
        <v>0</v>
      </c>
      <c r="L591" t="n">
        <v>0</v>
      </c>
      <c r="M591" t="n">
        <v>0</v>
      </c>
      <c r="N591" t="n">
        <v>0</v>
      </c>
      <c r="O591" t="n">
        <v>0</v>
      </c>
      <c r="P591" t="n">
        <v>0</v>
      </c>
      <c r="Q591" t="n">
        <v>0</v>
      </c>
      <c r="R591" s="2" t="inlineStr"/>
    </row>
    <row r="592" ht="15" customHeight="1">
      <c r="A592" t="inlineStr">
        <is>
          <t>A 17084-2025</t>
        </is>
      </c>
      <c r="B592" s="1" t="n">
        <v>45755.64450231481</v>
      </c>
      <c r="C592" s="1" t="n">
        <v>46101</v>
      </c>
      <c r="D592" t="inlineStr">
        <is>
          <t>KALMAR LÄN</t>
        </is>
      </c>
      <c r="E592" t="inlineStr">
        <is>
          <t>VIMMERBY</t>
        </is>
      </c>
      <c r="G592" t="n">
        <v>1.4</v>
      </c>
      <c r="H592" t="n">
        <v>0</v>
      </c>
      <c r="I592" t="n">
        <v>0</v>
      </c>
      <c r="J592" t="n">
        <v>0</v>
      </c>
      <c r="K592" t="n">
        <v>0</v>
      </c>
      <c r="L592" t="n">
        <v>0</v>
      </c>
      <c r="M592" t="n">
        <v>0</v>
      </c>
      <c r="N592" t="n">
        <v>0</v>
      </c>
      <c r="O592" t="n">
        <v>0</v>
      </c>
      <c r="P592" t="n">
        <v>0</v>
      </c>
      <c r="Q592" t="n">
        <v>0</v>
      </c>
      <c r="R592" s="2" t="inlineStr"/>
    </row>
    <row r="593" ht="15" customHeight="1">
      <c r="A593" t="inlineStr">
        <is>
          <t>A 56022-2024</t>
        </is>
      </c>
      <c r="B593" s="1" t="n">
        <v>45623.95947916667</v>
      </c>
      <c r="C593" s="1" t="n">
        <v>46101</v>
      </c>
      <c r="D593" t="inlineStr">
        <is>
          <t>KALMAR LÄN</t>
        </is>
      </c>
      <c r="E593" t="inlineStr">
        <is>
          <t>VIMMERBY</t>
        </is>
      </c>
      <c r="G593" t="n">
        <v>0.3</v>
      </c>
      <c r="H593" t="n">
        <v>0</v>
      </c>
      <c r="I593" t="n">
        <v>0</v>
      </c>
      <c r="J593" t="n">
        <v>0</v>
      </c>
      <c r="K593" t="n">
        <v>0</v>
      </c>
      <c r="L593" t="n">
        <v>0</v>
      </c>
      <c r="M593" t="n">
        <v>0</v>
      </c>
      <c r="N593" t="n">
        <v>0</v>
      </c>
      <c r="O593" t="n">
        <v>0</v>
      </c>
      <c r="P593" t="n">
        <v>0</v>
      </c>
      <c r="Q593" t="n">
        <v>0</v>
      </c>
      <c r="R593" s="2" t="inlineStr"/>
    </row>
    <row r="594" ht="15" customHeight="1">
      <c r="A594" t="inlineStr">
        <is>
          <t>A 11928-2022</t>
        </is>
      </c>
      <c r="B594" s="1" t="n">
        <v>44635</v>
      </c>
      <c r="C594" s="1" t="n">
        <v>46101</v>
      </c>
      <c r="D594" t="inlineStr">
        <is>
          <t>KALMAR LÄN</t>
        </is>
      </c>
      <c r="E594" t="inlineStr">
        <is>
          <t>VIMMERBY</t>
        </is>
      </c>
      <c r="G594" t="n">
        <v>2.8</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44595.583125</v>
      </c>
      <c r="C595" s="1" t="n">
        <v>46101</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49461-2023</t>
        </is>
      </c>
      <c r="B596" s="1" t="n">
        <v>45211.52642361111</v>
      </c>
      <c r="C596" s="1" t="n">
        <v>46101</v>
      </c>
      <c r="D596" t="inlineStr">
        <is>
          <t>KALMAR LÄN</t>
        </is>
      </c>
      <c r="E596" t="inlineStr">
        <is>
          <t>VIMMERBY</t>
        </is>
      </c>
      <c r="G596" t="n">
        <v>1.5</v>
      </c>
      <c r="H596" t="n">
        <v>0</v>
      </c>
      <c r="I596" t="n">
        <v>0</v>
      </c>
      <c r="J596" t="n">
        <v>0</v>
      </c>
      <c r="K596" t="n">
        <v>0</v>
      </c>
      <c r="L596" t="n">
        <v>0</v>
      </c>
      <c r="M596" t="n">
        <v>0</v>
      </c>
      <c r="N596" t="n">
        <v>0</v>
      </c>
      <c r="O596" t="n">
        <v>0</v>
      </c>
      <c r="P596" t="n">
        <v>0</v>
      </c>
      <c r="Q596" t="n">
        <v>0</v>
      </c>
      <c r="R596" s="2" t="inlineStr"/>
    </row>
    <row r="597" ht="15" customHeight="1">
      <c r="A597" t="inlineStr">
        <is>
          <t>A 49474-2023</t>
        </is>
      </c>
      <c r="B597" s="1" t="n">
        <v>45211.541875</v>
      </c>
      <c r="C597" s="1" t="n">
        <v>46101</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61937-2025</t>
        </is>
      </c>
      <c r="B598" s="1" t="n">
        <v>46003</v>
      </c>
      <c r="C598" s="1" t="n">
        <v>46101</v>
      </c>
      <c r="D598" t="inlineStr">
        <is>
          <t>KALMAR LÄN</t>
        </is>
      </c>
      <c r="E598" t="inlineStr">
        <is>
          <t>VIMMERBY</t>
        </is>
      </c>
      <c r="G598" t="n">
        <v>3.4</v>
      </c>
      <c r="H598" t="n">
        <v>0</v>
      </c>
      <c r="I598" t="n">
        <v>0</v>
      </c>
      <c r="J598" t="n">
        <v>0</v>
      </c>
      <c r="K598" t="n">
        <v>0</v>
      </c>
      <c r="L598" t="n">
        <v>0</v>
      </c>
      <c r="M598" t="n">
        <v>0</v>
      </c>
      <c r="N598" t="n">
        <v>0</v>
      </c>
      <c r="O598" t="n">
        <v>0</v>
      </c>
      <c r="P598" t="n">
        <v>0</v>
      </c>
      <c r="Q598" t="n">
        <v>0</v>
      </c>
      <c r="R598" s="2" t="inlineStr"/>
    </row>
    <row r="599" ht="15" customHeight="1">
      <c r="A599" t="inlineStr">
        <is>
          <t>A 61861-2024</t>
        </is>
      </c>
      <c r="B599" s="1" t="n">
        <v>45650.37370370371</v>
      </c>
      <c r="C599" s="1" t="n">
        <v>46101</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63711-2025</t>
        </is>
      </c>
      <c r="B600" s="1" t="n">
        <v>46014.62724537037</v>
      </c>
      <c r="C600" s="1" t="n">
        <v>46101</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45846-2023</t>
        </is>
      </c>
      <c r="B601" s="1" t="n">
        <v>45195.58452546296</v>
      </c>
      <c r="C601" s="1" t="n">
        <v>46101</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8167-2024</t>
        </is>
      </c>
      <c r="B602" s="1" t="n">
        <v>45351.6062962963</v>
      </c>
      <c r="C602" s="1" t="n">
        <v>46101</v>
      </c>
      <c r="D602" t="inlineStr">
        <is>
          <t>KALMAR LÄN</t>
        </is>
      </c>
      <c r="E602" t="inlineStr">
        <is>
          <t>VIMMERBY</t>
        </is>
      </c>
      <c r="G602" t="n">
        <v>3.8</v>
      </c>
      <c r="H602" t="n">
        <v>0</v>
      </c>
      <c r="I602" t="n">
        <v>0</v>
      </c>
      <c r="J602" t="n">
        <v>0</v>
      </c>
      <c r="K602" t="n">
        <v>0</v>
      </c>
      <c r="L602" t="n">
        <v>0</v>
      </c>
      <c r="M602" t="n">
        <v>0</v>
      </c>
      <c r="N602" t="n">
        <v>0</v>
      </c>
      <c r="O602" t="n">
        <v>0</v>
      </c>
      <c r="P602" t="n">
        <v>0</v>
      </c>
      <c r="Q602" t="n">
        <v>0</v>
      </c>
      <c r="R602" s="2" t="inlineStr"/>
    </row>
    <row r="603" ht="15" customHeight="1">
      <c r="A603" t="inlineStr">
        <is>
          <t>A 49382-2023</t>
        </is>
      </c>
      <c r="B603" s="1" t="n">
        <v>45208</v>
      </c>
      <c r="C603" s="1" t="n">
        <v>46101</v>
      </c>
      <c r="D603" t="inlineStr">
        <is>
          <t>KALMAR LÄN</t>
        </is>
      </c>
      <c r="E603" t="inlineStr">
        <is>
          <t>VIMMERBY</t>
        </is>
      </c>
      <c r="G603" t="n">
        <v>2.2</v>
      </c>
      <c r="H603" t="n">
        <v>0</v>
      </c>
      <c r="I603" t="n">
        <v>0</v>
      </c>
      <c r="J603" t="n">
        <v>0</v>
      </c>
      <c r="K603" t="n">
        <v>0</v>
      </c>
      <c r="L603" t="n">
        <v>0</v>
      </c>
      <c r="M603" t="n">
        <v>0</v>
      </c>
      <c r="N603" t="n">
        <v>0</v>
      </c>
      <c r="O603" t="n">
        <v>0</v>
      </c>
      <c r="P603" t="n">
        <v>0</v>
      </c>
      <c r="Q603" t="n">
        <v>0</v>
      </c>
      <c r="R603" s="2" t="inlineStr"/>
    </row>
    <row r="604" ht="15" customHeight="1">
      <c r="A604" t="inlineStr">
        <is>
          <t>A 12121-2025</t>
        </is>
      </c>
      <c r="B604" s="1" t="n">
        <v>45729.36868055556</v>
      </c>
      <c r="C604" s="1" t="n">
        <v>46101</v>
      </c>
      <c r="D604" t="inlineStr">
        <is>
          <t>KALMAR LÄN</t>
        </is>
      </c>
      <c r="E604" t="inlineStr">
        <is>
          <t>VIMMERBY</t>
        </is>
      </c>
      <c r="G604" t="n">
        <v>4.3</v>
      </c>
      <c r="H604" t="n">
        <v>0</v>
      </c>
      <c r="I604" t="n">
        <v>0</v>
      </c>
      <c r="J604" t="n">
        <v>0</v>
      </c>
      <c r="K604" t="n">
        <v>0</v>
      </c>
      <c r="L604" t="n">
        <v>0</v>
      </c>
      <c r="M604" t="n">
        <v>0</v>
      </c>
      <c r="N604" t="n">
        <v>0</v>
      </c>
      <c r="O604" t="n">
        <v>0</v>
      </c>
      <c r="P604" t="n">
        <v>0</v>
      </c>
      <c r="Q604" t="n">
        <v>0</v>
      </c>
      <c r="R604" s="2" t="inlineStr"/>
    </row>
    <row r="605" ht="15" customHeight="1">
      <c r="A605" t="inlineStr">
        <is>
          <t>A 63845-2025</t>
        </is>
      </c>
      <c r="B605" s="1" t="n">
        <v>46020.43715277778</v>
      </c>
      <c r="C605" s="1" t="n">
        <v>46101</v>
      </c>
      <c r="D605" t="inlineStr">
        <is>
          <t>KALMAR LÄN</t>
        </is>
      </c>
      <c r="E605" t="inlineStr">
        <is>
          <t>VIMMERBY</t>
        </is>
      </c>
      <c r="G605" t="n">
        <v>3.8</v>
      </c>
      <c r="H605" t="n">
        <v>0</v>
      </c>
      <c r="I605" t="n">
        <v>0</v>
      </c>
      <c r="J605" t="n">
        <v>0</v>
      </c>
      <c r="K605" t="n">
        <v>0</v>
      </c>
      <c r="L605" t="n">
        <v>0</v>
      </c>
      <c r="M605" t="n">
        <v>0</v>
      </c>
      <c r="N605" t="n">
        <v>0</v>
      </c>
      <c r="O605" t="n">
        <v>0</v>
      </c>
      <c r="P605" t="n">
        <v>0</v>
      </c>
      <c r="Q605" t="n">
        <v>0</v>
      </c>
      <c r="R605" s="2" t="inlineStr"/>
    </row>
    <row r="606" ht="15" customHeight="1">
      <c r="A606" t="inlineStr">
        <is>
          <t>A 63848-2025</t>
        </is>
      </c>
      <c r="B606" s="1" t="n">
        <v>46020.44902777778</v>
      </c>
      <c r="C606" s="1" t="n">
        <v>46101</v>
      </c>
      <c r="D606" t="inlineStr">
        <is>
          <t>KALMAR LÄN</t>
        </is>
      </c>
      <c r="E606" t="inlineStr">
        <is>
          <t>VIMMERBY</t>
        </is>
      </c>
      <c r="G606" t="n">
        <v>3.4</v>
      </c>
      <c r="H606" t="n">
        <v>0</v>
      </c>
      <c r="I606" t="n">
        <v>0</v>
      </c>
      <c r="J606" t="n">
        <v>0</v>
      </c>
      <c r="K606" t="n">
        <v>0</v>
      </c>
      <c r="L606" t="n">
        <v>0</v>
      </c>
      <c r="M606" t="n">
        <v>0</v>
      </c>
      <c r="N606" t="n">
        <v>0</v>
      </c>
      <c r="O606" t="n">
        <v>0</v>
      </c>
      <c r="P606" t="n">
        <v>0</v>
      </c>
      <c r="Q606" t="n">
        <v>0</v>
      </c>
      <c r="R606" s="2" t="inlineStr"/>
    </row>
    <row r="607" ht="15" customHeight="1">
      <c r="A607" t="inlineStr">
        <is>
          <t>A 35846-2023</t>
        </is>
      </c>
      <c r="B607" s="1" t="n">
        <v>45148</v>
      </c>
      <c r="C607" s="1" t="n">
        <v>46101</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35913-2023</t>
        </is>
      </c>
      <c r="B608" s="1" t="n">
        <v>45148</v>
      </c>
      <c r="C608" s="1" t="n">
        <v>46101</v>
      </c>
      <c r="D608" t="inlineStr">
        <is>
          <t>KALMAR LÄN</t>
        </is>
      </c>
      <c r="E608" t="inlineStr">
        <is>
          <t>VIMMERBY</t>
        </is>
      </c>
      <c r="G608" t="n">
        <v>6.9</v>
      </c>
      <c r="H608" t="n">
        <v>0</v>
      </c>
      <c r="I608" t="n">
        <v>0</v>
      </c>
      <c r="J608" t="n">
        <v>0</v>
      </c>
      <c r="K608" t="n">
        <v>0</v>
      </c>
      <c r="L608" t="n">
        <v>0</v>
      </c>
      <c r="M608" t="n">
        <v>0</v>
      </c>
      <c r="N608" t="n">
        <v>0</v>
      </c>
      <c r="O608" t="n">
        <v>0</v>
      </c>
      <c r="P608" t="n">
        <v>0</v>
      </c>
      <c r="Q608" t="n">
        <v>0</v>
      </c>
      <c r="R608" s="2" t="inlineStr"/>
    </row>
    <row r="609" ht="15" customHeight="1">
      <c r="A609" t="inlineStr">
        <is>
          <t>A 63758-2025</t>
        </is>
      </c>
      <c r="B609" s="1" t="n">
        <v>46018.46483796297</v>
      </c>
      <c r="C609" s="1" t="n">
        <v>46101</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38757-2023</t>
        </is>
      </c>
      <c r="B610" s="1" t="n">
        <v>45163.41376157408</v>
      </c>
      <c r="C610" s="1" t="n">
        <v>46101</v>
      </c>
      <c r="D610" t="inlineStr">
        <is>
          <t>KALMAR LÄN</t>
        </is>
      </c>
      <c r="E610" t="inlineStr">
        <is>
          <t>VIMMERBY</t>
        </is>
      </c>
      <c r="G610" t="n">
        <v>2.5</v>
      </c>
      <c r="H610" t="n">
        <v>0</v>
      </c>
      <c r="I610" t="n">
        <v>0</v>
      </c>
      <c r="J610" t="n">
        <v>0</v>
      </c>
      <c r="K610" t="n">
        <v>0</v>
      </c>
      <c r="L610" t="n">
        <v>0</v>
      </c>
      <c r="M610" t="n">
        <v>0</v>
      </c>
      <c r="N610" t="n">
        <v>0</v>
      </c>
      <c r="O610" t="n">
        <v>0</v>
      </c>
      <c r="P610" t="n">
        <v>0</v>
      </c>
      <c r="Q610" t="n">
        <v>0</v>
      </c>
      <c r="R610" s="2" t="inlineStr"/>
    </row>
    <row r="611" ht="15" customHeight="1">
      <c r="A611" t="inlineStr">
        <is>
          <t>A 20136-2024</t>
        </is>
      </c>
      <c r="B611" s="1" t="n">
        <v>45434.56291666667</v>
      </c>
      <c r="C611" s="1" t="n">
        <v>46101</v>
      </c>
      <c r="D611" t="inlineStr">
        <is>
          <t>KALMAR LÄN</t>
        </is>
      </c>
      <c r="E611" t="inlineStr">
        <is>
          <t>VIMMERBY</t>
        </is>
      </c>
      <c r="F611" t="inlineStr">
        <is>
          <t>Sveaskog</t>
        </is>
      </c>
      <c r="G611" t="n">
        <v>8.4</v>
      </c>
      <c r="H611" t="n">
        <v>0</v>
      </c>
      <c r="I611" t="n">
        <v>0</v>
      </c>
      <c r="J611" t="n">
        <v>0</v>
      </c>
      <c r="K611" t="n">
        <v>0</v>
      </c>
      <c r="L611" t="n">
        <v>0</v>
      </c>
      <c r="M611" t="n">
        <v>0</v>
      </c>
      <c r="N611" t="n">
        <v>0</v>
      </c>
      <c r="O611" t="n">
        <v>0</v>
      </c>
      <c r="P611" t="n">
        <v>0</v>
      </c>
      <c r="Q611" t="n">
        <v>0</v>
      </c>
      <c r="R611" s="2" t="inlineStr"/>
    </row>
    <row r="612" ht="15" customHeight="1">
      <c r="A612" t="inlineStr">
        <is>
          <t>A 63839-2025</t>
        </is>
      </c>
      <c r="B612" s="1" t="n">
        <v>46020.41998842593</v>
      </c>
      <c r="C612" s="1" t="n">
        <v>46101</v>
      </c>
      <c r="D612" t="inlineStr">
        <is>
          <t>KALMAR LÄN</t>
        </is>
      </c>
      <c r="E612" t="inlineStr">
        <is>
          <t>VIMMERBY</t>
        </is>
      </c>
      <c r="G612" t="n">
        <v>2.9</v>
      </c>
      <c r="H612" t="n">
        <v>0</v>
      </c>
      <c r="I612" t="n">
        <v>0</v>
      </c>
      <c r="J612" t="n">
        <v>0</v>
      </c>
      <c r="K612" t="n">
        <v>0</v>
      </c>
      <c r="L612" t="n">
        <v>0</v>
      </c>
      <c r="M612" t="n">
        <v>0</v>
      </c>
      <c r="N612" t="n">
        <v>0</v>
      </c>
      <c r="O612" t="n">
        <v>0</v>
      </c>
      <c r="P612" t="n">
        <v>0</v>
      </c>
      <c r="Q612" t="n">
        <v>0</v>
      </c>
      <c r="R612" s="2" t="inlineStr"/>
    </row>
    <row r="613" ht="15" customHeight="1">
      <c r="A613" t="inlineStr">
        <is>
          <t>A 63762-2025</t>
        </is>
      </c>
      <c r="B613" s="1" t="n">
        <v>46018.67197916667</v>
      </c>
      <c r="C613" s="1" t="n">
        <v>46101</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24283-2023</t>
        </is>
      </c>
      <c r="B614" s="1" t="n">
        <v>45079.87827546296</v>
      </c>
      <c r="C614" s="1" t="n">
        <v>46101</v>
      </c>
      <c r="D614" t="inlineStr">
        <is>
          <t>KALMAR LÄN</t>
        </is>
      </c>
      <c r="E614" t="inlineStr">
        <is>
          <t>VIMMERBY</t>
        </is>
      </c>
      <c r="G614" t="n">
        <v>2</v>
      </c>
      <c r="H614" t="n">
        <v>0</v>
      </c>
      <c r="I614" t="n">
        <v>0</v>
      </c>
      <c r="J614" t="n">
        <v>0</v>
      </c>
      <c r="K614" t="n">
        <v>0</v>
      </c>
      <c r="L614" t="n">
        <v>0</v>
      </c>
      <c r="M614" t="n">
        <v>0</v>
      </c>
      <c r="N614" t="n">
        <v>0</v>
      </c>
      <c r="O614" t="n">
        <v>0</v>
      </c>
      <c r="P614" t="n">
        <v>0</v>
      </c>
      <c r="Q614" t="n">
        <v>0</v>
      </c>
      <c r="R614" s="2" t="inlineStr"/>
    </row>
    <row r="615" ht="15" customHeight="1">
      <c r="A615" t="inlineStr">
        <is>
          <t>A 59598-2023</t>
        </is>
      </c>
      <c r="B615" s="1" t="n">
        <v>45254.62489583333</v>
      </c>
      <c r="C615" s="1" t="n">
        <v>46101</v>
      </c>
      <c r="D615" t="inlineStr">
        <is>
          <t>KALMAR LÄN</t>
        </is>
      </c>
      <c r="E615" t="inlineStr">
        <is>
          <t>VIMMERBY</t>
        </is>
      </c>
      <c r="F615" t="inlineStr">
        <is>
          <t>Övriga Aktiebolag</t>
        </is>
      </c>
      <c r="G615" t="n">
        <v>4</v>
      </c>
      <c r="H615" t="n">
        <v>0</v>
      </c>
      <c r="I615" t="n">
        <v>0</v>
      </c>
      <c r="J615" t="n">
        <v>0</v>
      </c>
      <c r="K615" t="n">
        <v>0</v>
      </c>
      <c r="L615" t="n">
        <v>0</v>
      </c>
      <c r="M615" t="n">
        <v>0</v>
      </c>
      <c r="N615" t="n">
        <v>0</v>
      </c>
      <c r="O615" t="n">
        <v>0</v>
      </c>
      <c r="P615" t="n">
        <v>0</v>
      </c>
      <c r="Q615" t="n">
        <v>0</v>
      </c>
      <c r="R615" s="2" t="inlineStr"/>
    </row>
    <row r="616" ht="15" customHeight="1">
      <c r="A616" t="inlineStr">
        <is>
          <t>A 30920-2023</t>
        </is>
      </c>
      <c r="B616" s="1" t="n">
        <v>45113.43921296296</v>
      </c>
      <c r="C616" s="1" t="n">
        <v>46101</v>
      </c>
      <c r="D616" t="inlineStr">
        <is>
          <t>KALMAR LÄN</t>
        </is>
      </c>
      <c r="E616" t="inlineStr">
        <is>
          <t>VIMMERBY</t>
        </is>
      </c>
      <c r="G616" t="n">
        <v>3.1</v>
      </c>
      <c r="H616" t="n">
        <v>0</v>
      </c>
      <c r="I616" t="n">
        <v>0</v>
      </c>
      <c r="J616" t="n">
        <v>0</v>
      </c>
      <c r="K616" t="n">
        <v>0</v>
      </c>
      <c r="L616" t="n">
        <v>0</v>
      </c>
      <c r="M616" t="n">
        <v>0</v>
      </c>
      <c r="N616" t="n">
        <v>0</v>
      </c>
      <c r="O616" t="n">
        <v>0</v>
      </c>
      <c r="P616" t="n">
        <v>0</v>
      </c>
      <c r="Q616" t="n">
        <v>0</v>
      </c>
      <c r="R616" s="2" t="inlineStr"/>
    </row>
    <row r="617" ht="15" customHeight="1">
      <c r="A617" t="inlineStr">
        <is>
          <t>A 8696-2026</t>
        </is>
      </c>
      <c r="B617" s="1" t="n">
        <v>46066.45273148148</v>
      </c>
      <c r="C617" s="1" t="n">
        <v>46101</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8595-2026</t>
        </is>
      </c>
      <c r="B618" s="1" t="n">
        <v>46065.7372337963</v>
      </c>
      <c r="C618" s="1" t="n">
        <v>46101</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40929-2022</t>
        </is>
      </c>
      <c r="B619" s="1" t="n">
        <v>44825.4336574074</v>
      </c>
      <c r="C619" s="1" t="n">
        <v>46101</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409-2026</t>
        </is>
      </c>
      <c r="B620" s="1" t="n">
        <v>46028.69432870371</v>
      </c>
      <c r="C620" s="1" t="n">
        <v>46101</v>
      </c>
      <c r="D620" t="inlineStr">
        <is>
          <t>KALMAR LÄN</t>
        </is>
      </c>
      <c r="E620" t="inlineStr">
        <is>
          <t>VIMMERBY</t>
        </is>
      </c>
      <c r="G620" t="n">
        <v>2.2</v>
      </c>
      <c r="H620" t="n">
        <v>0</v>
      </c>
      <c r="I620" t="n">
        <v>0</v>
      </c>
      <c r="J620" t="n">
        <v>0</v>
      </c>
      <c r="K620" t="n">
        <v>0</v>
      </c>
      <c r="L620" t="n">
        <v>0</v>
      </c>
      <c r="M620" t="n">
        <v>0</v>
      </c>
      <c r="N620" t="n">
        <v>0</v>
      </c>
      <c r="O620" t="n">
        <v>0</v>
      </c>
      <c r="P620" t="n">
        <v>0</v>
      </c>
      <c r="Q620" t="n">
        <v>0</v>
      </c>
      <c r="R620" s="2" t="inlineStr"/>
    </row>
    <row r="621" ht="15" customHeight="1">
      <c r="A621" t="inlineStr">
        <is>
          <t>A 33380-2023</t>
        </is>
      </c>
      <c r="B621" s="1" t="n">
        <v>45128</v>
      </c>
      <c r="C621" s="1" t="n">
        <v>46101</v>
      </c>
      <c r="D621" t="inlineStr">
        <is>
          <t>KALMAR LÄN</t>
        </is>
      </c>
      <c r="E621" t="inlineStr">
        <is>
          <t>VIMMERBY</t>
        </is>
      </c>
      <c r="G621" t="n">
        <v>5.2</v>
      </c>
      <c r="H621" t="n">
        <v>0</v>
      </c>
      <c r="I621" t="n">
        <v>0</v>
      </c>
      <c r="J621" t="n">
        <v>0</v>
      </c>
      <c r="K621" t="n">
        <v>0</v>
      </c>
      <c r="L621" t="n">
        <v>0</v>
      </c>
      <c r="M621" t="n">
        <v>0</v>
      </c>
      <c r="N621" t="n">
        <v>0</v>
      </c>
      <c r="O621" t="n">
        <v>0</v>
      </c>
      <c r="P621" t="n">
        <v>0</v>
      </c>
      <c r="Q621" t="n">
        <v>0</v>
      </c>
      <c r="R621" s="2" t="inlineStr"/>
    </row>
    <row r="622" ht="15" customHeight="1">
      <c r="A622" t="inlineStr">
        <is>
          <t>A 46144-2023</t>
        </is>
      </c>
      <c r="B622" s="1" t="n">
        <v>45196.57247685185</v>
      </c>
      <c r="C622" s="1" t="n">
        <v>46101</v>
      </c>
      <c r="D622" t="inlineStr">
        <is>
          <t>KALMAR LÄN</t>
        </is>
      </c>
      <c r="E622" t="inlineStr">
        <is>
          <t>VIMMERBY</t>
        </is>
      </c>
      <c r="G622" t="n">
        <v>6.5</v>
      </c>
      <c r="H622" t="n">
        <v>0</v>
      </c>
      <c r="I622" t="n">
        <v>0</v>
      </c>
      <c r="J622" t="n">
        <v>0</v>
      </c>
      <c r="K622" t="n">
        <v>0</v>
      </c>
      <c r="L622" t="n">
        <v>0</v>
      </c>
      <c r="M622" t="n">
        <v>0</v>
      </c>
      <c r="N622" t="n">
        <v>0</v>
      </c>
      <c r="O622" t="n">
        <v>0</v>
      </c>
      <c r="P622" t="n">
        <v>0</v>
      </c>
      <c r="Q622" t="n">
        <v>0</v>
      </c>
      <c r="R622" s="2" t="inlineStr"/>
    </row>
    <row r="623" ht="15" customHeight="1">
      <c r="A623" t="inlineStr">
        <is>
          <t>A 54787-2023</t>
        </is>
      </c>
      <c r="B623" s="1" t="n">
        <v>45236</v>
      </c>
      <c r="C623" s="1" t="n">
        <v>46101</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15715-2022</t>
        </is>
      </c>
      <c r="B624" s="1" t="n">
        <v>44663</v>
      </c>
      <c r="C624" s="1" t="n">
        <v>46101</v>
      </c>
      <c r="D624" t="inlineStr">
        <is>
          <t>KALMAR LÄN</t>
        </is>
      </c>
      <c r="E624" t="inlineStr">
        <is>
          <t>VIMMERBY</t>
        </is>
      </c>
      <c r="G624" t="n">
        <v>2.3</v>
      </c>
      <c r="H624" t="n">
        <v>0</v>
      </c>
      <c r="I624" t="n">
        <v>0</v>
      </c>
      <c r="J624" t="n">
        <v>0</v>
      </c>
      <c r="K624" t="n">
        <v>0</v>
      </c>
      <c r="L624" t="n">
        <v>0</v>
      </c>
      <c r="M624" t="n">
        <v>0</v>
      </c>
      <c r="N624" t="n">
        <v>0</v>
      </c>
      <c r="O624" t="n">
        <v>0</v>
      </c>
      <c r="P624" t="n">
        <v>0</v>
      </c>
      <c r="Q624" t="n">
        <v>0</v>
      </c>
      <c r="R624" s="2" t="inlineStr"/>
    </row>
    <row r="625" ht="15" customHeight="1">
      <c r="A625" t="inlineStr">
        <is>
          <t>A 43774-2023</t>
        </is>
      </c>
      <c r="B625" s="1" t="n">
        <v>45187</v>
      </c>
      <c r="C625" s="1" t="n">
        <v>46101</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43705-2023</t>
        </is>
      </c>
      <c r="B626" s="1" t="n">
        <v>45187.42854166667</v>
      </c>
      <c r="C626" s="1" t="n">
        <v>46101</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7932-2025</t>
        </is>
      </c>
      <c r="B627" s="1" t="n">
        <v>45707.3793287037</v>
      </c>
      <c r="C627" s="1" t="n">
        <v>46101</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406-2026</t>
        </is>
      </c>
      <c r="B628" s="1" t="n">
        <v>46028.68663194445</v>
      </c>
      <c r="C628" s="1" t="n">
        <v>46101</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13532-2025</t>
        </is>
      </c>
      <c r="B629" s="1" t="n">
        <v>45736.50743055555</v>
      </c>
      <c r="C629" s="1" t="n">
        <v>46101</v>
      </c>
      <c r="D629" t="inlineStr">
        <is>
          <t>KALMAR LÄN</t>
        </is>
      </c>
      <c r="E629" t="inlineStr">
        <is>
          <t>VIMMERBY</t>
        </is>
      </c>
      <c r="G629" t="n">
        <v>3.6</v>
      </c>
      <c r="H629" t="n">
        <v>0</v>
      </c>
      <c r="I629" t="n">
        <v>0</v>
      </c>
      <c r="J629" t="n">
        <v>0</v>
      </c>
      <c r="K629" t="n">
        <v>0</v>
      </c>
      <c r="L629" t="n">
        <v>0</v>
      </c>
      <c r="M629" t="n">
        <v>0</v>
      </c>
      <c r="N629" t="n">
        <v>0</v>
      </c>
      <c r="O629" t="n">
        <v>0</v>
      </c>
      <c r="P629" t="n">
        <v>0</v>
      </c>
      <c r="Q629" t="n">
        <v>0</v>
      </c>
      <c r="R629" s="2" t="inlineStr"/>
    </row>
    <row r="630" ht="15" customHeight="1">
      <c r="A630" t="inlineStr">
        <is>
          <t>A 579-2026</t>
        </is>
      </c>
      <c r="B630" s="1" t="n">
        <v>46029.47912037037</v>
      </c>
      <c r="C630" s="1" t="n">
        <v>46101</v>
      </c>
      <c r="D630" t="inlineStr">
        <is>
          <t>KALMAR LÄN</t>
        </is>
      </c>
      <c r="E630" t="inlineStr">
        <is>
          <t>VIMMERBY</t>
        </is>
      </c>
      <c r="G630" t="n">
        <v>3</v>
      </c>
      <c r="H630" t="n">
        <v>0</v>
      </c>
      <c r="I630" t="n">
        <v>0</v>
      </c>
      <c r="J630" t="n">
        <v>0</v>
      </c>
      <c r="K630" t="n">
        <v>0</v>
      </c>
      <c r="L630" t="n">
        <v>0</v>
      </c>
      <c r="M630" t="n">
        <v>0</v>
      </c>
      <c r="N630" t="n">
        <v>0</v>
      </c>
      <c r="O630" t="n">
        <v>0</v>
      </c>
      <c r="P630" t="n">
        <v>0</v>
      </c>
      <c r="Q630" t="n">
        <v>0</v>
      </c>
      <c r="R630" s="2" t="inlineStr"/>
    </row>
    <row r="631" ht="15" customHeight="1">
      <c r="A631" t="inlineStr">
        <is>
          <t>A 1978-2024</t>
        </is>
      </c>
      <c r="B631" s="1" t="n">
        <v>45308.59001157407</v>
      </c>
      <c r="C631" s="1" t="n">
        <v>46101</v>
      </c>
      <c r="D631" t="inlineStr">
        <is>
          <t>KALMAR LÄN</t>
        </is>
      </c>
      <c r="E631" t="inlineStr">
        <is>
          <t>VIMMERBY</t>
        </is>
      </c>
      <c r="G631" t="n">
        <v>0.9</v>
      </c>
      <c r="H631" t="n">
        <v>0</v>
      </c>
      <c r="I631" t="n">
        <v>0</v>
      </c>
      <c r="J631" t="n">
        <v>0</v>
      </c>
      <c r="K631" t="n">
        <v>0</v>
      </c>
      <c r="L631" t="n">
        <v>0</v>
      </c>
      <c r="M631" t="n">
        <v>0</v>
      </c>
      <c r="N631" t="n">
        <v>0</v>
      </c>
      <c r="O631" t="n">
        <v>0</v>
      </c>
      <c r="P631" t="n">
        <v>0</v>
      </c>
      <c r="Q631" t="n">
        <v>0</v>
      </c>
      <c r="R631" s="2" t="inlineStr"/>
    </row>
    <row r="632" ht="15" customHeight="1">
      <c r="A632" t="inlineStr">
        <is>
          <t>A 6399-2025</t>
        </is>
      </c>
      <c r="B632" s="1" t="n">
        <v>45699.44291666667</v>
      </c>
      <c r="C632" s="1" t="n">
        <v>46101</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41311-2023</t>
        </is>
      </c>
      <c r="B633" s="1" t="n">
        <v>45174</v>
      </c>
      <c r="C633" s="1" t="n">
        <v>46101</v>
      </c>
      <c r="D633" t="inlineStr">
        <is>
          <t>KALMAR LÄN</t>
        </is>
      </c>
      <c r="E633" t="inlineStr">
        <is>
          <t>VIMMERBY</t>
        </is>
      </c>
      <c r="G633" t="n">
        <v>0.7</v>
      </c>
      <c r="H633" t="n">
        <v>0</v>
      </c>
      <c r="I633" t="n">
        <v>0</v>
      </c>
      <c r="J633" t="n">
        <v>0</v>
      </c>
      <c r="K633" t="n">
        <v>0</v>
      </c>
      <c r="L633" t="n">
        <v>0</v>
      </c>
      <c r="M633" t="n">
        <v>0</v>
      </c>
      <c r="N633" t="n">
        <v>0</v>
      </c>
      <c r="O633" t="n">
        <v>0</v>
      </c>
      <c r="P633" t="n">
        <v>0</v>
      </c>
      <c r="Q633" t="n">
        <v>0</v>
      </c>
      <c r="R633" s="2" t="inlineStr"/>
    </row>
    <row r="634" ht="15" customHeight="1">
      <c r="A634" t="inlineStr">
        <is>
          <t>A 842-2026</t>
        </is>
      </c>
      <c r="B634" s="1" t="n">
        <v>46030.380625</v>
      </c>
      <c r="C634" s="1" t="n">
        <v>46101</v>
      </c>
      <c r="D634" t="inlineStr">
        <is>
          <t>KALMAR LÄN</t>
        </is>
      </c>
      <c r="E634" t="inlineStr">
        <is>
          <t>VIMMERBY</t>
        </is>
      </c>
      <c r="G634" t="n">
        <v>0.9</v>
      </c>
      <c r="H634" t="n">
        <v>0</v>
      </c>
      <c r="I634" t="n">
        <v>0</v>
      </c>
      <c r="J634" t="n">
        <v>0</v>
      </c>
      <c r="K634" t="n">
        <v>0</v>
      </c>
      <c r="L634" t="n">
        <v>0</v>
      </c>
      <c r="M634" t="n">
        <v>0</v>
      </c>
      <c r="N634" t="n">
        <v>0</v>
      </c>
      <c r="O634" t="n">
        <v>0</v>
      </c>
      <c r="P634" t="n">
        <v>0</v>
      </c>
      <c r="Q634" t="n">
        <v>0</v>
      </c>
      <c r="R634" s="2" t="inlineStr"/>
    </row>
    <row r="635" ht="15" customHeight="1">
      <c r="A635" t="inlineStr">
        <is>
          <t>A 1069-2026</t>
        </is>
      </c>
      <c r="B635" s="1" t="n">
        <v>46030</v>
      </c>
      <c r="C635" s="1" t="n">
        <v>46101</v>
      </c>
      <c r="D635" t="inlineStr">
        <is>
          <t>KALMAR LÄN</t>
        </is>
      </c>
      <c r="E635" t="inlineStr">
        <is>
          <t>VIMMERBY</t>
        </is>
      </c>
      <c r="G635" t="n">
        <v>3.3</v>
      </c>
      <c r="H635" t="n">
        <v>0</v>
      </c>
      <c r="I635" t="n">
        <v>0</v>
      </c>
      <c r="J635" t="n">
        <v>0</v>
      </c>
      <c r="K635" t="n">
        <v>0</v>
      </c>
      <c r="L635" t="n">
        <v>0</v>
      </c>
      <c r="M635" t="n">
        <v>0</v>
      </c>
      <c r="N635" t="n">
        <v>0</v>
      </c>
      <c r="O635" t="n">
        <v>0</v>
      </c>
      <c r="P635" t="n">
        <v>0</v>
      </c>
      <c r="Q635" t="n">
        <v>0</v>
      </c>
      <c r="R635" s="2" t="inlineStr"/>
    </row>
    <row r="636" ht="15" customHeight="1">
      <c r="A636" t="inlineStr">
        <is>
          <t>A 10785-2025</t>
        </is>
      </c>
      <c r="B636" s="1" t="n">
        <v>45722.48634259259</v>
      </c>
      <c r="C636" s="1" t="n">
        <v>46101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18020-2025</t>
        </is>
      </c>
      <c r="B637" s="1" t="n">
        <v>45761.4437962963</v>
      </c>
      <c r="C637" s="1" t="n">
        <v>46101</v>
      </c>
      <c r="D637" t="inlineStr">
        <is>
          <t>KALMAR LÄN</t>
        </is>
      </c>
      <c r="E637" t="inlineStr">
        <is>
          <t>VIMMERBY</t>
        </is>
      </c>
      <c r="G637" t="n">
        <v>0.6</v>
      </c>
      <c r="H637" t="n">
        <v>0</v>
      </c>
      <c r="I637" t="n">
        <v>0</v>
      </c>
      <c r="J637" t="n">
        <v>0</v>
      </c>
      <c r="K637" t="n">
        <v>0</v>
      </c>
      <c r="L637" t="n">
        <v>0</v>
      </c>
      <c r="M637" t="n">
        <v>0</v>
      </c>
      <c r="N637" t="n">
        <v>0</v>
      </c>
      <c r="O637" t="n">
        <v>0</v>
      </c>
      <c r="P637" t="n">
        <v>0</v>
      </c>
      <c r="Q637" t="n">
        <v>0</v>
      </c>
      <c r="R637" s="2" t="inlineStr"/>
    </row>
    <row r="638" ht="15" customHeight="1">
      <c r="A638" t="inlineStr">
        <is>
          <t>A 585-2024</t>
        </is>
      </c>
      <c r="B638" s="1" t="n">
        <v>45299.62576388889</v>
      </c>
      <c r="C638" s="1" t="n">
        <v>46101</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1734-2026</t>
        </is>
      </c>
      <c r="B639" s="1" t="n">
        <v>46034</v>
      </c>
      <c r="C639" s="1" t="n">
        <v>46101</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1743-2026</t>
        </is>
      </c>
      <c r="B640" s="1" t="n">
        <v>46034</v>
      </c>
      <c r="C640" s="1" t="n">
        <v>46101</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6802-2025</t>
        </is>
      </c>
      <c r="B641" s="1" t="n">
        <v>45700.68289351852</v>
      </c>
      <c r="C641" s="1" t="n">
        <v>46101</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56020-2024</t>
        </is>
      </c>
      <c r="B642" s="1" t="n">
        <v>45623.9525462963</v>
      </c>
      <c r="C642" s="1" t="n">
        <v>46101</v>
      </c>
      <c r="D642" t="inlineStr">
        <is>
          <t>KALMAR LÄN</t>
        </is>
      </c>
      <c r="E642" t="inlineStr">
        <is>
          <t>VIMMERBY</t>
        </is>
      </c>
      <c r="G642" t="n">
        <v>1</v>
      </c>
      <c r="H642" t="n">
        <v>0</v>
      </c>
      <c r="I642" t="n">
        <v>0</v>
      </c>
      <c r="J642" t="n">
        <v>0</v>
      </c>
      <c r="K642" t="n">
        <v>0</v>
      </c>
      <c r="L642" t="n">
        <v>0</v>
      </c>
      <c r="M642" t="n">
        <v>0</v>
      </c>
      <c r="N642" t="n">
        <v>0</v>
      </c>
      <c r="O642" t="n">
        <v>0</v>
      </c>
      <c r="P642" t="n">
        <v>0</v>
      </c>
      <c r="Q642" t="n">
        <v>0</v>
      </c>
      <c r="R642" s="2" t="inlineStr"/>
    </row>
    <row r="643" ht="15" customHeight="1">
      <c r="A643" t="inlineStr">
        <is>
          <t>A 33842-2022</t>
        </is>
      </c>
      <c r="B643" s="1" t="n">
        <v>44790.49523148148</v>
      </c>
      <c r="C643" s="1" t="n">
        <v>46101</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60675-2023</t>
        </is>
      </c>
      <c r="B644" s="1" t="n">
        <v>45260.4716550926</v>
      </c>
      <c r="C644" s="1" t="n">
        <v>46101</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1748-2026</t>
        </is>
      </c>
      <c r="B645" s="1" t="n">
        <v>46034.65589120371</v>
      </c>
      <c r="C645" s="1" t="n">
        <v>46101</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40095-2022</t>
        </is>
      </c>
      <c r="B646" s="1" t="n">
        <v>44820</v>
      </c>
      <c r="C646" s="1" t="n">
        <v>46101</v>
      </c>
      <c r="D646" t="inlineStr">
        <is>
          <t>KALMAR LÄN</t>
        </is>
      </c>
      <c r="E646" t="inlineStr">
        <is>
          <t>VIMMERBY</t>
        </is>
      </c>
      <c r="G646" t="n">
        <v>2.4</v>
      </c>
      <c r="H646" t="n">
        <v>0</v>
      </c>
      <c r="I646" t="n">
        <v>0</v>
      </c>
      <c r="J646" t="n">
        <v>0</v>
      </c>
      <c r="K646" t="n">
        <v>0</v>
      </c>
      <c r="L646" t="n">
        <v>0</v>
      </c>
      <c r="M646" t="n">
        <v>0</v>
      </c>
      <c r="N646" t="n">
        <v>0</v>
      </c>
      <c r="O646" t="n">
        <v>0</v>
      </c>
      <c r="P646" t="n">
        <v>0</v>
      </c>
      <c r="Q646" t="n">
        <v>0</v>
      </c>
      <c r="R646" s="2" t="inlineStr"/>
    </row>
    <row r="647" ht="15" customHeight="1">
      <c r="A647" t="inlineStr">
        <is>
          <t>A 19537-2022</t>
        </is>
      </c>
      <c r="B647" s="1" t="n">
        <v>44693.62822916666</v>
      </c>
      <c r="C647" s="1" t="n">
        <v>46101</v>
      </c>
      <c r="D647" t="inlineStr">
        <is>
          <t>KALMAR LÄN</t>
        </is>
      </c>
      <c r="E647" t="inlineStr">
        <is>
          <t>VIMMERBY</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1862-2026</t>
        </is>
      </c>
      <c r="B648" s="1" t="n">
        <v>46035.44689814815</v>
      </c>
      <c r="C648" s="1" t="n">
        <v>46101</v>
      </c>
      <c r="D648" t="inlineStr">
        <is>
          <t>KALMAR LÄN</t>
        </is>
      </c>
      <c r="E648" t="inlineStr">
        <is>
          <t>VIMMERBY</t>
        </is>
      </c>
      <c r="G648" t="n">
        <v>3.1</v>
      </c>
      <c r="H648" t="n">
        <v>0</v>
      </c>
      <c r="I648" t="n">
        <v>0</v>
      </c>
      <c r="J648" t="n">
        <v>0</v>
      </c>
      <c r="K648" t="n">
        <v>0</v>
      </c>
      <c r="L648" t="n">
        <v>0</v>
      </c>
      <c r="M648" t="n">
        <v>0</v>
      </c>
      <c r="N648" t="n">
        <v>0</v>
      </c>
      <c r="O648" t="n">
        <v>0</v>
      </c>
      <c r="P648" t="n">
        <v>0</v>
      </c>
      <c r="Q648" t="n">
        <v>0</v>
      </c>
      <c r="R648" s="2" t="inlineStr"/>
    </row>
    <row r="649" ht="15" customHeight="1">
      <c r="A649" t="inlineStr">
        <is>
          <t>A 57311-2023</t>
        </is>
      </c>
      <c r="B649" s="1" t="n">
        <v>45245.63574074074</v>
      </c>
      <c r="C649" s="1" t="n">
        <v>46101</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64428-2023</t>
        </is>
      </c>
      <c r="B650" s="1" t="n">
        <v>45280.66769675926</v>
      </c>
      <c r="C650" s="1" t="n">
        <v>46101</v>
      </c>
      <c r="D650" t="inlineStr">
        <is>
          <t>KALMAR LÄN</t>
        </is>
      </c>
      <c r="E650" t="inlineStr">
        <is>
          <t>VIMMERBY</t>
        </is>
      </c>
      <c r="G650" t="n">
        <v>1.2</v>
      </c>
      <c r="H650" t="n">
        <v>0</v>
      </c>
      <c r="I650" t="n">
        <v>0</v>
      </c>
      <c r="J650" t="n">
        <v>0</v>
      </c>
      <c r="K650" t="n">
        <v>0</v>
      </c>
      <c r="L650" t="n">
        <v>0</v>
      </c>
      <c r="M650" t="n">
        <v>0</v>
      </c>
      <c r="N650" t="n">
        <v>0</v>
      </c>
      <c r="O650" t="n">
        <v>0</v>
      </c>
      <c r="P650" t="n">
        <v>0</v>
      </c>
      <c r="Q650" t="n">
        <v>0</v>
      </c>
      <c r="R650" s="2" t="inlineStr"/>
    </row>
    <row r="651" ht="15" customHeight="1">
      <c r="A651" t="inlineStr">
        <is>
          <t>A 4527-2023</t>
        </is>
      </c>
      <c r="B651" s="1" t="n">
        <v>44956</v>
      </c>
      <c r="C651" s="1" t="n">
        <v>46101</v>
      </c>
      <c r="D651" t="inlineStr">
        <is>
          <t>KALMAR LÄN</t>
        </is>
      </c>
      <c r="E651" t="inlineStr">
        <is>
          <t>VIMMERBY</t>
        </is>
      </c>
      <c r="F651" t="inlineStr">
        <is>
          <t>Kommuner</t>
        </is>
      </c>
      <c r="G651" t="n">
        <v>8.5</v>
      </c>
      <c r="H651" t="n">
        <v>0</v>
      </c>
      <c r="I651" t="n">
        <v>0</v>
      </c>
      <c r="J651" t="n">
        <v>0</v>
      </c>
      <c r="K651" t="n">
        <v>0</v>
      </c>
      <c r="L651" t="n">
        <v>0</v>
      </c>
      <c r="M651" t="n">
        <v>0</v>
      </c>
      <c r="N651" t="n">
        <v>0</v>
      </c>
      <c r="O651" t="n">
        <v>0</v>
      </c>
      <c r="P651" t="n">
        <v>0</v>
      </c>
      <c r="Q651" t="n">
        <v>0</v>
      </c>
      <c r="R651" s="2" t="inlineStr"/>
    </row>
    <row r="652" ht="15" customHeight="1">
      <c r="A652" t="inlineStr">
        <is>
          <t>A 3268-2024</t>
        </is>
      </c>
      <c r="B652" s="1" t="n">
        <v>45317</v>
      </c>
      <c r="C652" s="1" t="n">
        <v>46101</v>
      </c>
      <c r="D652" t="inlineStr">
        <is>
          <t>KALMAR LÄN</t>
        </is>
      </c>
      <c r="E652" t="inlineStr">
        <is>
          <t>VIMMERBY</t>
        </is>
      </c>
      <c r="F652" t="inlineStr">
        <is>
          <t>Övriga Aktiebolag</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51408-2023</t>
        </is>
      </c>
      <c r="B653" s="1" t="n">
        <v>45219.69356481481</v>
      </c>
      <c r="C653" s="1" t="n">
        <v>46101</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12480-2024</t>
        </is>
      </c>
      <c r="B654" s="1" t="n">
        <v>45379</v>
      </c>
      <c r="C654" s="1" t="n">
        <v>46101</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52588-2023</t>
        </is>
      </c>
      <c r="B655" s="1" t="n">
        <v>45225.60192129629</v>
      </c>
      <c r="C655" s="1" t="n">
        <v>46101</v>
      </c>
      <c r="D655" t="inlineStr">
        <is>
          <t>KALMAR LÄN</t>
        </is>
      </c>
      <c r="E655" t="inlineStr">
        <is>
          <t>VIMMERBY</t>
        </is>
      </c>
      <c r="G655" t="n">
        <v>2.9</v>
      </c>
      <c r="H655" t="n">
        <v>0</v>
      </c>
      <c r="I655" t="n">
        <v>0</v>
      </c>
      <c r="J655" t="n">
        <v>0</v>
      </c>
      <c r="K655" t="n">
        <v>0</v>
      </c>
      <c r="L655" t="n">
        <v>0</v>
      </c>
      <c r="M655" t="n">
        <v>0</v>
      </c>
      <c r="N655" t="n">
        <v>0</v>
      </c>
      <c r="O655" t="n">
        <v>0</v>
      </c>
      <c r="P655" t="n">
        <v>0</v>
      </c>
      <c r="Q655" t="n">
        <v>0</v>
      </c>
      <c r="R655" s="2" t="inlineStr"/>
    </row>
    <row r="656" ht="15" customHeight="1">
      <c r="A656" t="inlineStr">
        <is>
          <t>A 55236-2023</t>
        </is>
      </c>
      <c r="B656" s="1" t="n">
        <v>45237.63225694445</v>
      </c>
      <c r="C656" s="1" t="n">
        <v>46101</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55245-2023</t>
        </is>
      </c>
      <c r="B657" s="1" t="n">
        <v>45237.64408564815</v>
      </c>
      <c r="C657" s="1" t="n">
        <v>46101</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19111-2025</t>
        </is>
      </c>
      <c r="B658" s="1" t="n">
        <v>45768.65611111111</v>
      </c>
      <c r="C658" s="1" t="n">
        <v>46101</v>
      </c>
      <c r="D658" t="inlineStr">
        <is>
          <t>KALMAR LÄN</t>
        </is>
      </c>
      <c r="E658" t="inlineStr">
        <is>
          <t>VIMMERBY</t>
        </is>
      </c>
      <c r="G658" t="n">
        <v>6.2</v>
      </c>
      <c r="H658" t="n">
        <v>0</v>
      </c>
      <c r="I658" t="n">
        <v>0</v>
      </c>
      <c r="J658" t="n">
        <v>0</v>
      </c>
      <c r="K658" t="n">
        <v>0</v>
      </c>
      <c r="L658" t="n">
        <v>0</v>
      </c>
      <c r="M658" t="n">
        <v>0</v>
      </c>
      <c r="N658" t="n">
        <v>0</v>
      </c>
      <c r="O658" t="n">
        <v>0</v>
      </c>
      <c r="P658" t="n">
        <v>0</v>
      </c>
      <c r="Q658" t="n">
        <v>0</v>
      </c>
      <c r="R658" s="2" t="inlineStr"/>
    </row>
    <row r="659" ht="15" customHeight="1">
      <c r="A659" t="inlineStr">
        <is>
          <t>A 25370-2022</t>
        </is>
      </c>
      <c r="B659" s="1" t="n">
        <v>44732.3659837963</v>
      </c>
      <c r="C659" s="1" t="n">
        <v>46101</v>
      </c>
      <c r="D659" t="inlineStr">
        <is>
          <t>KALMAR LÄN</t>
        </is>
      </c>
      <c r="E659" t="inlineStr">
        <is>
          <t>VIMMERBY</t>
        </is>
      </c>
      <c r="G659" t="n">
        <v>1.2</v>
      </c>
      <c r="H659" t="n">
        <v>0</v>
      </c>
      <c r="I659" t="n">
        <v>0</v>
      </c>
      <c r="J659" t="n">
        <v>0</v>
      </c>
      <c r="K659" t="n">
        <v>0</v>
      </c>
      <c r="L659" t="n">
        <v>0</v>
      </c>
      <c r="M659" t="n">
        <v>0</v>
      </c>
      <c r="N659" t="n">
        <v>0</v>
      </c>
      <c r="O659" t="n">
        <v>0</v>
      </c>
      <c r="P659" t="n">
        <v>0</v>
      </c>
      <c r="Q659" t="n">
        <v>0</v>
      </c>
      <c r="R659" s="2" t="inlineStr"/>
    </row>
    <row r="660" ht="15" customHeight="1">
      <c r="A660" t="inlineStr">
        <is>
          <t>A 11273-2026</t>
        </is>
      </c>
      <c r="B660" s="1" t="n">
        <v>46080.57634259259</v>
      </c>
      <c r="C660" s="1" t="n">
        <v>46101</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44790.49040509259</v>
      </c>
      <c r="C661" s="1" t="n">
        <v>46101</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4058-2024</t>
        </is>
      </c>
      <c r="B662" s="1" t="n">
        <v>45323.53744212963</v>
      </c>
      <c r="C662" s="1" t="n">
        <v>46101</v>
      </c>
      <c r="D662" t="inlineStr">
        <is>
          <t>KALMAR LÄN</t>
        </is>
      </c>
      <c r="E662" t="inlineStr">
        <is>
          <t>VIMMERBY</t>
        </is>
      </c>
      <c r="G662" t="n">
        <v>6.5</v>
      </c>
      <c r="H662" t="n">
        <v>0</v>
      </c>
      <c r="I662" t="n">
        <v>0</v>
      </c>
      <c r="J662" t="n">
        <v>0</v>
      </c>
      <c r="K662" t="n">
        <v>0</v>
      </c>
      <c r="L662" t="n">
        <v>0</v>
      </c>
      <c r="M662" t="n">
        <v>0</v>
      </c>
      <c r="N662" t="n">
        <v>0</v>
      </c>
      <c r="O662" t="n">
        <v>0</v>
      </c>
      <c r="P662" t="n">
        <v>0</v>
      </c>
      <c r="Q662" t="n">
        <v>0</v>
      </c>
      <c r="R662" s="2" t="inlineStr"/>
    </row>
    <row r="663" ht="15" customHeight="1">
      <c r="A663" t="inlineStr">
        <is>
          <t>A 2523-2026</t>
        </is>
      </c>
      <c r="B663" s="1" t="n">
        <v>46037.42825231481</v>
      </c>
      <c r="C663" s="1" t="n">
        <v>46101</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36008-2024</t>
        </is>
      </c>
      <c r="B664" s="1" t="n">
        <v>45533.55362268518</v>
      </c>
      <c r="C664" s="1" t="n">
        <v>46101</v>
      </c>
      <c r="D664" t="inlineStr">
        <is>
          <t>KALMAR LÄN</t>
        </is>
      </c>
      <c r="E664" t="inlineStr">
        <is>
          <t>VIMMERBY</t>
        </is>
      </c>
      <c r="G664" t="n">
        <v>3.7</v>
      </c>
      <c r="H664" t="n">
        <v>0</v>
      </c>
      <c r="I664" t="n">
        <v>0</v>
      </c>
      <c r="J664" t="n">
        <v>0</v>
      </c>
      <c r="K664" t="n">
        <v>0</v>
      </c>
      <c r="L664" t="n">
        <v>0</v>
      </c>
      <c r="M664" t="n">
        <v>0</v>
      </c>
      <c r="N664" t="n">
        <v>0</v>
      </c>
      <c r="O664" t="n">
        <v>0</v>
      </c>
      <c r="P664" t="n">
        <v>0</v>
      </c>
      <c r="Q664" t="n">
        <v>0</v>
      </c>
      <c r="R664" s="2" t="inlineStr"/>
    </row>
    <row r="665" ht="15" customHeight="1">
      <c r="A665" t="inlineStr">
        <is>
          <t>A 18669-2025</t>
        </is>
      </c>
      <c r="B665" s="1" t="n">
        <v>45763.59436342592</v>
      </c>
      <c r="C665" s="1" t="n">
        <v>46101</v>
      </c>
      <c r="D665" t="inlineStr">
        <is>
          <t>KALMAR LÄN</t>
        </is>
      </c>
      <c r="E665" t="inlineStr">
        <is>
          <t>VIMMERBY</t>
        </is>
      </c>
      <c r="G665" t="n">
        <v>2.7</v>
      </c>
      <c r="H665" t="n">
        <v>0</v>
      </c>
      <c r="I665" t="n">
        <v>0</v>
      </c>
      <c r="J665" t="n">
        <v>0</v>
      </c>
      <c r="K665" t="n">
        <v>0</v>
      </c>
      <c r="L665" t="n">
        <v>0</v>
      </c>
      <c r="M665" t="n">
        <v>0</v>
      </c>
      <c r="N665" t="n">
        <v>0</v>
      </c>
      <c r="O665" t="n">
        <v>0</v>
      </c>
      <c r="P665" t="n">
        <v>0</v>
      </c>
      <c r="Q665" t="n">
        <v>0</v>
      </c>
      <c r="R665" s="2" t="inlineStr"/>
    </row>
    <row r="666" ht="15" customHeight="1">
      <c r="A666" t="inlineStr">
        <is>
          <t>A 8540-2024</t>
        </is>
      </c>
      <c r="B666" s="1" t="n">
        <v>45355.54138888889</v>
      </c>
      <c r="C666" s="1" t="n">
        <v>46101</v>
      </c>
      <c r="D666" t="inlineStr">
        <is>
          <t>KALMAR LÄN</t>
        </is>
      </c>
      <c r="E666" t="inlineStr">
        <is>
          <t>VIMMERBY</t>
        </is>
      </c>
      <c r="G666" t="n">
        <v>1.9</v>
      </c>
      <c r="H666" t="n">
        <v>0</v>
      </c>
      <c r="I666" t="n">
        <v>0</v>
      </c>
      <c r="J666" t="n">
        <v>0</v>
      </c>
      <c r="K666" t="n">
        <v>0</v>
      </c>
      <c r="L666" t="n">
        <v>0</v>
      </c>
      <c r="M666" t="n">
        <v>0</v>
      </c>
      <c r="N666" t="n">
        <v>0</v>
      </c>
      <c r="O666" t="n">
        <v>0</v>
      </c>
      <c r="P666" t="n">
        <v>0</v>
      </c>
      <c r="Q666" t="n">
        <v>0</v>
      </c>
      <c r="R666" s="2" t="inlineStr"/>
    </row>
    <row r="667" ht="15" customHeight="1">
      <c r="A667" t="inlineStr">
        <is>
          <t>A 2514-2026</t>
        </is>
      </c>
      <c r="B667" s="1" t="n">
        <v>46037.42219907408</v>
      </c>
      <c r="C667" s="1" t="n">
        <v>46101</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2518-2026</t>
        </is>
      </c>
      <c r="B668" s="1" t="n">
        <v>46037.42511574074</v>
      </c>
      <c r="C668" s="1" t="n">
        <v>46101</v>
      </c>
      <c r="D668" t="inlineStr">
        <is>
          <t>KALMAR LÄN</t>
        </is>
      </c>
      <c r="E668" t="inlineStr">
        <is>
          <t>VIMMERBY</t>
        </is>
      </c>
      <c r="G668" t="n">
        <v>1.2</v>
      </c>
      <c r="H668" t="n">
        <v>0</v>
      </c>
      <c r="I668" t="n">
        <v>0</v>
      </c>
      <c r="J668" t="n">
        <v>0</v>
      </c>
      <c r="K668" t="n">
        <v>0</v>
      </c>
      <c r="L668" t="n">
        <v>0</v>
      </c>
      <c r="M668" t="n">
        <v>0</v>
      </c>
      <c r="N668" t="n">
        <v>0</v>
      </c>
      <c r="O668" t="n">
        <v>0</v>
      </c>
      <c r="P668" t="n">
        <v>0</v>
      </c>
      <c r="Q668" t="n">
        <v>0</v>
      </c>
      <c r="R668" s="2" t="inlineStr"/>
    </row>
    <row r="669" ht="15" customHeight="1">
      <c r="A669" t="inlineStr">
        <is>
          <t>A 9623-2024</t>
        </is>
      </c>
      <c r="B669" s="1" t="n">
        <v>45361.87975694444</v>
      </c>
      <c r="C669" s="1" t="n">
        <v>46101</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5146-2024</t>
        </is>
      </c>
      <c r="B670" s="1" t="n">
        <v>45330</v>
      </c>
      <c r="C670" s="1" t="n">
        <v>46101</v>
      </c>
      <c r="D670" t="inlineStr">
        <is>
          <t>KALMAR LÄN</t>
        </is>
      </c>
      <c r="E670" t="inlineStr">
        <is>
          <t>VIMMERBY</t>
        </is>
      </c>
      <c r="G670" t="n">
        <v>5.3</v>
      </c>
      <c r="H670" t="n">
        <v>0</v>
      </c>
      <c r="I670" t="n">
        <v>0</v>
      </c>
      <c r="J670" t="n">
        <v>0</v>
      </c>
      <c r="K670" t="n">
        <v>0</v>
      </c>
      <c r="L670" t="n">
        <v>0</v>
      </c>
      <c r="M670" t="n">
        <v>0</v>
      </c>
      <c r="N670" t="n">
        <v>0</v>
      </c>
      <c r="O670" t="n">
        <v>0</v>
      </c>
      <c r="P670" t="n">
        <v>0</v>
      </c>
      <c r="Q670" t="n">
        <v>0</v>
      </c>
      <c r="R670" s="2" t="inlineStr"/>
    </row>
    <row r="671" ht="15" customHeight="1">
      <c r="A671" t="inlineStr">
        <is>
          <t>A 5148-2024</t>
        </is>
      </c>
      <c r="B671" s="1" t="n">
        <v>45330</v>
      </c>
      <c r="C671" s="1" t="n">
        <v>46101</v>
      </c>
      <c r="D671" t="inlineStr">
        <is>
          <t>KALMAR LÄN</t>
        </is>
      </c>
      <c r="E671" t="inlineStr">
        <is>
          <t>VIMMERBY</t>
        </is>
      </c>
      <c r="G671" t="n">
        <v>5.6</v>
      </c>
      <c r="H671" t="n">
        <v>0</v>
      </c>
      <c r="I671" t="n">
        <v>0</v>
      </c>
      <c r="J671" t="n">
        <v>0</v>
      </c>
      <c r="K671" t="n">
        <v>0</v>
      </c>
      <c r="L671" t="n">
        <v>0</v>
      </c>
      <c r="M671" t="n">
        <v>0</v>
      </c>
      <c r="N671" t="n">
        <v>0</v>
      </c>
      <c r="O671" t="n">
        <v>0</v>
      </c>
      <c r="P671" t="n">
        <v>0</v>
      </c>
      <c r="Q671" t="n">
        <v>0</v>
      </c>
      <c r="R671" s="2" t="inlineStr"/>
    </row>
    <row r="672" ht="15" customHeight="1">
      <c r="A672" t="inlineStr">
        <is>
          <t>A 44179-2022</t>
        </is>
      </c>
      <c r="B672" s="1" t="n">
        <v>44839.4528125</v>
      </c>
      <c r="C672" s="1" t="n">
        <v>46101</v>
      </c>
      <c r="D672" t="inlineStr">
        <is>
          <t>KALMAR LÄN</t>
        </is>
      </c>
      <c r="E672" t="inlineStr">
        <is>
          <t>VIMMERBY</t>
        </is>
      </c>
      <c r="G672" t="n">
        <v>2.8</v>
      </c>
      <c r="H672" t="n">
        <v>0</v>
      </c>
      <c r="I672" t="n">
        <v>0</v>
      </c>
      <c r="J672" t="n">
        <v>0</v>
      </c>
      <c r="K672" t="n">
        <v>0</v>
      </c>
      <c r="L672" t="n">
        <v>0</v>
      </c>
      <c r="M672" t="n">
        <v>0</v>
      </c>
      <c r="N672" t="n">
        <v>0</v>
      </c>
      <c r="O672" t="n">
        <v>0</v>
      </c>
      <c r="P672" t="n">
        <v>0</v>
      </c>
      <c r="Q672" t="n">
        <v>0</v>
      </c>
      <c r="R672" s="2" t="inlineStr"/>
    </row>
    <row r="673" ht="15" customHeight="1">
      <c r="A673" t="inlineStr">
        <is>
          <t>A 50648-2023</t>
        </is>
      </c>
      <c r="B673" s="1" t="n">
        <v>45217.47834490741</v>
      </c>
      <c r="C673" s="1" t="n">
        <v>46101</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10965-2026</t>
        </is>
      </c>
      <c r="B674" s="1" t="n">
        <v>46079.43295138889</v>
      </c>
      <c r="C674" s="1" t="n">
        <v>46101</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2121-2022</t>
        </is>
      </c>
      <c r="B675" s="1" t="n">
        <v>44578.32717592592</v>
      </c>
      <c r="C675" s="1" t="n">
        <v>46101</v>
      </c>
      <c r="D675" t="inlineStr">
        <is>
          <t>KALMAR LÄN</t>
        </is>
      </c>
      <c r="E675" t="inlineStr">
        <is>
          <t>VIMMERBY</t>
        </is>
      </c>
      <c r="G675" t="n">
        <v>2</v>
      </c>
      <c r="H675" t="n">
        <v>0</v>
      </c>
      <c r="I675" t="n">
        <v>0</v>
      </c>
      <c r="J675" t="n">
        <v>0</v>
      </c>
      <c r="K675" t="n">
        <v>0</v>
      </c>
      <c r="L675" t="n">
        <v>0</v>
      </c>
      <c r="M675" t="n">
        <v>0</v>
      </c>
      <c r="N675" t="n">
        <v>0</v>
      </c>
      <c r="O675" t="n">
        <v>0</v>
      </c>
      <c r="P675" t="n">
        <v>0</v>
      </c>
      <c r="Q675" t="n">
        <v>0</v>
      </c>
      <c r="R675" s="2" t="inlineStr"/>
    </row>
    <row r="676" ht="15" customHeight="1">
      <c r="A676" t="inlineStr">
        <is>
          <t>A 57799-2022</t>
        </is>
      </c>
      <c r="B676" s="1" t="n">
        <v>44897</v>
      </c>
      <c r="C676" s="1" t="n">
        <v>46101</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15394-2025</t>
        </is>
      </c>
      <c r="B677" s="1" t="n">
        <v>45747.43196759259</v>
      </c>
      <c r="C677" s="1" t="n">
        <v>46101</v>
      </c>
      <c r="D677" t="inlineStr">
        <is>
          <t>KALMAR LÄN</t>
        </is>
      </c>
      <c r="E677" t="inlineStr">
        <is>
          <t>VIMMERBY</t>
        </is>
      </c>
      <c r="G677" t="n">
        <v>0.8</v>
      </c>
      <c r="H677" t="n">
        <v>0</v>
      </c>
      <c r="I677" t="n">
        <v>0</v>
      </c>
      <c r="J677" t="n">
        <v>0</v>
      </c>
      <c r="K677" t="n">
        <v>0</v>
      </c>
      <c r="L677" t="n">
        <v>0</v>
      </c>
      <c r="M677" t="n">
        <v>0</v>
      </c>
      <c r="N677" t="n">
        <v>0</v>
      </c>
      <c r="O677" t="n">
        <v>0</v>
      </c>
      <c r="P677" t="n">
        <v>0</v>
      </c>
      <c r="Q677" t="n">
        <v>0</v>
      </c>
      <c r="R677" s="2" t="inlineStr"/>
    </row>
    <row r="678" ht="15" customHeight="1">
      <c r="A678" t="inlineStr">
        <is>
          <t>A 26318-2023</t>
        </is>
      </c>
      <c r="B678" s="1" t="n">
        <v>45091.67936342592</v>
      </c>
      <c r="C678" s="1" t="n">
        <v>46101</v>
      </c>
      <c r="D678" t="inlineStr">
        <is>
          <t>KALMAR LÄN</t>
        </is>
      </c>
      <c r="E678" t="inlineStr">
        <is>
          <t>VIMMERBY</t>
        </is>
      </c>
      <c r="G678" t="n">
        <v>3.8</v>
      </c>
      <c r="H678" t="n">
        <v>0</v>
      </c>
      <c r="I678" t="n">
        <v>0</v>
      </c>
      <c r="J678" t="n">
        <v>0</v>
      </c>
      <c r="K678" t="n">
        <v>0</v>
      </c>
      <c r="L678" t="n">
        <v>0</v>
      </c>
      <c r="M678" t="n">
        <v>0</v>
      </c>
      <c r="N678" t="n">
        <v>0</v>
      </c>
      <c r="O678" t="n">
        <v>0</v>
      </c>
      <c r="P678" t="n">
        <v>0</v>
      </c>
      <c r="Q678" t="n">
        <v>0</v>
      </c>
      <c r="R678" s="2" t="inlineStr"/>
    </row>
    <row r="679" ht="15" customHeight="1">
      <c r="A679" t="inlineStr">
        <is>
          <t>A 60437-2023</t>
        </is>
      </c>
      <c r="B679" s="1" t="n">
        <v>45259.51916666667</v>
      </c>
      <c r="C679" s="1" t="n">
        <v>46101</v>
      </c>
      <c r="D679" t="inlineStr">
        <is>
          <t>KALMAR LÄN</t>
        </is>
      </c>
      <c r="E679" t="inlineStr">
        <is>
          <t>VIMMERBY</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60438-2023</t>
        </is>
      </c>
      <c r="B680" s="1" t="n">
        <v>45259.52020833334</v>
      </c>
      <c r="C680" s="1" t="n">
        <v>46101</v>
      </c>
      <c r="D680" t="inlineStr">
        <is>
          <t>KALMAR LÄN</t>
        </is>
      </c>
      <c r="E680" t="inlineStr">
        <is>
          <t>VIMMERBY</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7758-2024</t>
        </is>
      </c>
      <c r="B681" s="1" t="n">
        <v>45349.54434027777</v>
      </c>
      <c r="C681" s="1" t="n">
        <v>46101</v>
      </c>
      <c r="D681" t="inlineStr">
        <is>
          <t>KALMAR LÄN</t>
        </is>
      </c>
      <c r="E681" t="inlineStr">
        <is>
          <t>VIMMERBY</t>
        </is>
      </c>
      <c r="G681" t="n">
        <v>3.5</v>
      </c>
      <c r="H681" t="n">
        <v>0</v>
      </c>
      <c r="I681" t="n">
        <v>0</v>
      </c>
      <c r="J681" t="n">
        <v>0</v>
      </c>
      <c r="K681" t="n">
        <v>0</v>
      </c>
      <c r="L681" t="n">
        <v>0</v>
      </c>
      <c r="M681" t="n">
        <v>0</v>
      </c>
      <c r="N681" t="n">
        <v>0</v>
      </c>
      <c r="O681" t="n">
        <v>0</v>
      </c>
      <c r="P681" t="n">
        <v>0</v>
      </c>
      <c r="Q681" t="n">
        <v>0</v>
      </c>
      <c r="R681" s="2" t="inlineStr"/>
    </row>
    <row r="682" ht="15" customHeight="1">
      <c r="A682" t="inlineStr">
        <is>
          <t>A 3266-2026</t>
        </is>
      </c>
      <c r="B682" s="1" t="n">
        <v>46041</v>
      </c>
      <c r="C682" s="1" t="n">
        <v>46101</v>
      </c>
      <c r="D682" t="inlineStr">
        <is>
          <t>KALMAR LÄN</t>
        </is>
      </c>
      <c r="E682" t="inlineStr">
        <is>
          <t>VIMMERBY</t>
        </is>
      </c>
      <c r="G682" t="n">
        <v>1.2</v>
      </c>
      <c r="H682" t="n">
        <v>0</v>
      </c>
      <c r="I682" t="n">
        <v>0</v>
      </c>
      <c r="J682" t="n">
        <v>0</v>
      </c>
      <c r="K682" t="n">
        <v>0</v>
      </c>
      <c r="L682" t="n">
        <v>0</v>
      </c>
      <c r="M682" t="n">
        <v>0</v>
      </c>
      <c r="N682" t="n">
        <v>0</v>
      </c>
      <c r="O682" t="n">
        <v>0</v>
      </c>
      <c r="P682" t="n">
        <v>0</v>
      </c>
      <c r="Q682" t="n">
        <v>0</v>
      </c>
      <c r="R682" s="2" t="inlineStr"/>
    </row>
    <row r="683" ht="15" customHeight="1">
      <c r="A683" t="inlineStr">
        <is>
          <t>A 7456-2024</t>
        </is>
      </c>
      <c r="B683" s="1" t="n">
        <v>45345.83557870371</v>
      </c>
      <c r="C683" s="1" t="n">
        <v>46101</v>
      </c>
      <c r="D683" t="inlineStr">
        <is>
          <t>KALMAR LÄN</t>
        </is>
      </c>
      <c r="E683" t="inlineStr">
        <is>
          <t>VIMMERBY</t>
        </is>
      </c>
      <c r="G683" t="n">
        <v>4.1</v>
      </c>
      <c r="H683" t="n">
        <v>0</v>
      </c>
      <c r="I683" t="n">
        <v>0</v>
      </c>
      <c r="J683" t="n">
        <v>0</v>
      </c>
      <c r="K683" t="n">
        <v>0</v>
      </c>
      <c r="L683" t="n">
        <v>0</v>
      </c>
      <c r="M683" t="n">
        <v>0</v>
      </c>
      <c r="N683" t="n">
        <v>0</v>
      </c>
      <c r="O683" t="n">
        <v>0</v>
      </c>
      <c r="P683" t="n">
        <v>0</v>
      </c>
      <c r="Q683" t="n">
        <v>0</v>
      </c>
      <c r="R683" s="2" t="inlineStr"/>
    </row>
    <row r="684" ht="15" customHeight="1">
      <c r="A684" t="inlineStr">
        <is>
          <t>A 11415-2026</t>
        </is>
      </c>
      <c r="B684" s="1" t="n">
        <v>46083</v>
      </c>
      <c r="C684" s="1" t="n">
        <v>46101</v>
      </c>
      <c r="D684" t="inlineStr">
        <is>
          <t>KALMAR LÄN</t>
        </is>
      </c>
      <c r="E684" t="inlineStr">
        <is>
          <t>VIMMERBY</t>
        </is>
      </c>
      <c r="G684" t="n">
        <v>1.1</v>
      </c>
      <c r="H684" t="n">
        <v>0</v>
      </c>
      <c r="I684" t="n">
        <v>0</v>
      </c>
      <c r="J684" t="n">
        <v>0</v>
      </c>
      <c r="K684" t="n">
        <v>0</v>
      </c>
      <c r="L684" t="n">
        <v>0</v>
      </c>
      <c r="M684" t="n">
        <v>0</v>
      </c>
      <c r="N684" t="n">
        <v>0</v>
      </c>
      <c r="O684" t="n">
        <v>0</v>
      </c>
      <c r="P684" t="n">
        <v>0</v>
      </c>
      <c r="Q684" t="n">
        <v>0</v>
      </c>
      <c r="R684" s="2" t="inlineStr"/>
    </row>
    <row r="685" ht="15" customHeight="1">
      <c r="A685" t="inlineStr">
        <is>
          <t>A 11407-2026</t>
        </is>
      </c>
      <c r="B685" s="1" t="n">
        <v>46083</v>
      </c>
      <c r="C685" s="1" t="n">
        <v>46101</v>
      </c>
      <c r="D685" t="inlineStr">
        <is>
          <t>KALMAR LÄN</t>
        </is>
      </c>
      <c r="E685" t="inlineStr">
        <is>
          <t>VIMMERBY</t>
        </is>
      </c>
      <c r="G685" t="n">
        <v>2.3</v>
      </c>
      <c r="H685" t="n">
        <v>0</v>
      </c>
      <c r="I685" t="n">
        <v>0</v>
      </c>
      <c r="J685" t="n">
        <v>0</v>
      </c>
      <c r="K685" t="n">
        <v>0</v>
      </c>
      <c r="L685" t="n">
        <v>0</v>
      </c>
      <c r="M685" t="n">
        <v>0</v>
      </c>
      <c r="N685" t="n">
        <v>0</v>
      </c>
      <c r="O685" t="n">
        <v>0</v>
      </c>
      <c r="P685" t="n">
        <v>0</v>
      </c>
      <c r="Q685" t="n">
        <v>0</v>
      </c>
      <c r="R685" s="2" t="inlineStr"/>
    </row>
    <row r="686" ht="15" customHeight="1">
      <c r="A686" t="inlineStr">
        <is>
          <t>A 6082-2022</t>
        </is>
      </c>
      <c r="B686" s="1" t="n">
        <v>44599</v>
      </c>
      <c r="C686" s="1" t="n">
        <v>46101</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3292-2026</t>
        </is>
      </c>
      <c r="B687" s="1" t="n">
        <v>46041</v>
      </c>
      <c r="C687" s="1" t="n">
        <v>46101</v>
      </c>
      <c r="D687" t="inlineStr">
        <is>
          <t>KALMAR LÄN</t>
        </is>
      </c>
      <c r="E687" t="inlineStr">
        <is>
          <t>VIMMERBY</t>
        </is>
      </c>
      <c r="G687" t="n">
        <v>3.9</v>
      </c>
      <c r="H687" t="n">
        <v>0</v>
      </c>
      <c r="I687" t="n">
        <v>0</v>
      </c>
      <c r="J687" t="n">
        <v>0</v>
      </c>
      <c r="K687" t="n">
        <v>0</v>
      </c>
      <c r="L687" t="n">
        <v>0</v>
      </c>
      <c r="M687" t="n">
        <v>0</v>
      </c>
      <c r="N687" t="n">
        <v>0</v>
      </c>
      <c r="O687" t="n">
        <v>0</v>
      </c>
      <c r="P687" t="n">
        <v>0</v>
      </c>
      <c r="Q687" t="n">
        <v>0</v>
      </c>
      <c r="R687" s="2" t="inlineStr"/>
    </row>
    <row r="688" ht="15" customHeight="1">
      <c r="A688" t="inlineStr">
        <is>
          <t>A 46979-2023</t>
        </is>
      </c>
      <c r="B688" s="1" t="n">
        <v>45201</v>
      </c>
      <c r="C688" s="1" t="n">
        <v>46101</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2596-2025</t>
        </is>
      </c>
      <c r="B689" s="1" t="n">
        <v>45674.71810185185</v>
      </c>
      <c r="C689" s="1" t="n">
        <v>46101</v>
      </c>
      <c r="D689" t="inlineStr">
        <is>
          <t>KALMAR LÄN</t>
        </is>
      </c>
      <c r="E689" t="inlineStr">
        <is>
          <t>VIMMERBY</t>
        </is>
      </c>
      <c r="G689" t="n">
        <v>9</v>
      </c>
      <c r="H689" t="n">
        <v>0</v>
      </c>
      <c r="I689" t="n">
        <v>0</v>
      </c>
      <c r="J689" t="n">
        <v>0</v>
      </c>
      <c r="K689" t="n">
        <v>0</v>
      </c>
      <c r="L689" t="n">
        <v>0</v>
      </c>
      <c r="M689" t="n">
        <v>0</v>
      </c>
      <c r="N689" t="n">
        <v>0</v>
      </c>
      <c r="O689" t="n">
        <v>0</v>
      </c>
      <c r="P689" t="n">
        <v>0</v>
      </c>
      <c r="Q689" t="n">
        <v>0</v>
      </c>
      <c r="R689" s="2" t="inlineStr"/>
    </row>
    <row r="690" ht="15" customHeight="1">
      <c r="A690" t="inlineStr">
        <is>
          <t>A 47855-2024</t>
        </is>
      </c>
      <c r="B690" s="1" t="n">
        <v>45588.66457175926</v>
      </c>
      <c r="C690" s="1" t="n">
        <v>46101</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63583-2023</t>
        </is>
      </c>
      <c r="B691" s="1" t="n">
        <v>45275.41833333333</v>
      </c>
      <c r="C691" s="1" t="n">
        <v>46101</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3965-2026</t>
        </is>
      </c>
      <c r="B692" s="1" t="n">
        <v>46044.34563657407</v>
      </c>
      <c r="C692" s="1" t="n">
        <v>46101</v>
      </c>
      <c r="D692" t="inlineStr">
        <is>
          <t>KALMAR LÄN</t>
        </is>
      </c>
      <c r="E692" t="inlineStr">
        <is>
          <t>VIMMERBY</t>
        </is>
      </c>
      <c r="G692" t="n">
        <v>2.6</v>
      </c>
      <c r="H692" t="n">
        <v>0</v>
      </c>
      <c r="I692" t="n">
        <v>0</v>
      </c>
      <c r="J692" t="n">
        <v>0</v>
      </c>
      <c r="K692" t="n">
        <v>0</v>
      </c>
      <c r="L692" t="n">
        <v>0</v>
      </c>
      <c r="M692" t="n">
        <v>0</v>
      </c>
      <c r="N692" t="n">
        <v>0</v>
      </c>
      <c r="O692" t="n">
        <v>0</v>
      </c>
      <c r="P692" t="n">
        <v>0</v>
      </c>
      <c r="Q692" t="n">
        <v>0</v>
      </c>
      <c r="R692" s="2" t="inlineStr"/>
    </row>
    <row r="693" ht="15" customHeight="1">
      <c r="A693" t="inlineStr">
        <is>
          <t>A 3868-2026</t>
        </is>
      </c>
      <c r="B693" s="1" t="n">
        <v>46043.6360300926</v>
      </c>
      <c r="C693" s="1" t="n">
        <v>46101</v>
      </c>
      <c r="D693" t="inlineStr">
        <is>
          <t>KALMAR LÄN</t>
        </is>
      </c>
      <c r="E693" t="inlineStr">
        <is>
          <t>VIMMERBY</t>
        </is>
      </c>
      <c r="G693" t="n">
        <v>0.9</v>
      </c>
      <c r="H693" t="n">
        <v>0</v>
      </c>
      <c r="I693" t="n">
        <v>0</v>
      </c>
      <c r="J693" t="n">
        <v>0</v>
      </c>
      <c r="K693" t="n">
        <v>0</v>
      </c>
      <c r="L693" t="n">
        <v>0</v>
      </c>
      <c r="M693" t="n">
        <v>0</v>
      </c>
      <c r="N693" t="n">
        <v>0</v>
      </c>
      <c r="O693" t="n">
        <v>0</v>
      </c>
      <c r="P693" t="n">
        <v>0</v>
      </c>
      <c r="Q693" t="n">
        <v>0</v>
      </c>
      <c r="R693" s="2" t="inlineStr"/>
    </row>
    <row r="694" ht="15" customHeight="1">
      <c r="A694" t="inlineStr">
        <is>
          <t>A 3869-2026</t>
        </is>
      </c>
      <c r="B694" s="1" t="n">
        <v>46043.63940972222</v>
      </c>
      <c r="C694" s="1" t="n">
        <v>46101</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60228-2021</t>
        </is>
      </c>
      <c r="B695" s="1" t="n">
        <v>44495</v>
      </c>
      <c r="C695" s="1" t="n">
        <v>46101</v>
      </c>
      <c r="D695" t="inlineStr">
        <is>
          <t>KALMAR LÄN</t>
        </is>
      </c>
      <c r="E695" t="inlineStr">
        <is>
          <t>VIMMERBY</t>
        </is>
      </c>
      <c r="G695" t="n">
        <v>4.1</v>
      </c>
      <c r="H695" t="n">
        <v>0</v>
      </c>
      <c r="I695" t="n">
        <v>0</v>
      </c>
      <c r="J695" t="n">
        <v>0</v>
      </c>
      <c r="K695" t="n">
        <v>0</v>
      </c>
      <c r="L695" t="n">
        <v>0</v>
      </c>
      <c r="M695" t="n">
        <v>0</v>
      </c>
      <c r="N695" t="n">
        <v>0</v>
      </c>
      <c r="O695" t="n">
        <v>0</v>
      </c>
      <c r="P695" t="n">
        <v>0</v>
      </c>
      <c r="Q695" t="n">
        <v>0</v>
      </c>
      <c r="R695" s="2" t="inlineStr"/>
    </row>
    <row r="696" ht="15" customHeight="1">
      <c r="A696" t="inlineStr">
        <is>
          <t>A 46522-2022</t>
        </is>
      </c>
      <c r="B696" s="1" t="n">
        <v>44848.59133101852</v>
      </c>
      <c r="C696" s="1" t="n">
        <v>46101</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21109-2024</t>
        </is>
      </c>
      <c r="B697" s="1" t="n">
        <v>45440.28329861111</v>
      </c>
      <c r="C697" s="1" t="n">
        <v>46101</v>
      </c>
      <c r="D697" t="inlineStr">
        <is>
          <t>KALMAR LÄN</t>
        </is>
      </c>
      <c r="E697" t="inlineStr">
        <is>
          <t>VIMMERBY</t>
        </is>
      </c>
      <c r="G697" t="n">
        <v>0.8</v>
      </c>
      <c r="H697" t="n">
        <v>0</v>
      </c>
      <c r="I697" t="n">
        <v>0</v>
      </c>
      <c r="J697" t="n">
        <v>0</v>
      </c>
      <c r="K697" t="n">
        <v>0</v>
      </c>
      <c r="L697" t="n">
        <v>0</v>
      </c>
      <c r="M697" t="n">
        <v>0</v>
      </c>
      <c r="N697" t="n">
        <v>0</v>
      </c>
      <c r="O697" t="n">
        <v>0</v>
      </c>
      <c r="P697" t="n">
        <v>0</v>
      </c>
      <c r="Q697" t="n">
        <v>0</v>
      </c>
      <c r="R697" s="2" t="inlineStr"/>
    </row>
    <row r="698" ht="15" customHeight="1">
      <c r="A698" t="inlineStr">
        <is>
          <t>A 33815-2022</t>
        </is>
      </c>
      <c r="B698" s="1" t="n">
        <v>44790.45876157407</v>
      </c>
      <c r="C698" s="1" t="n">
        <v>46101</v>
      </c>
      <c r="D698" t="inlineStr">
        <is>
          <t>KALMAR LÄN</t>
        </is>
      </c>
      <c r="E698" t="inlineStr">
        <is>
          <t>VIMMERBY</t>
        </is>
      </c>
      <c r="G698" t="n">
        <v>0.9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46101</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53542-2022</t>
        </is>
      </c>
      <c r="B700" s="1" t="n">
        <v>44879.62173611111</v>
      </c>
      <c r="C700" s="1" t="n">
        <v>46101</v>
      </c>
      <c r="D700" t="inlineStr">
        <is>
          <t>KALMAR LÄN</t>
        </is>
      </c>
      <c r="E700" t="inlineStr">
        <is>
          <t>VIMMERBY</t>
        </is>
      </c>
      <c r="G700" t="n">
        <v>2.6</v>
      </c>
      <c r="H700" t="n">
        <v>0</v>
      </c>
      <c r="I700" t="n">
        <v>0</v>
      </c>
      <c r="J700" t="n">
        <v>0</v>
      </c>
      <c r="K700" t="n">
        <v>0</v>
      </c>
      <c r="L700" t="n">
        <v>0</v>
      </c>
      <c r="M700" t="n">
        <v>0</v>
      </c>
      <c r="N700" t="n">
        <v>0</v>
      </c>
      <c r="O700" t="n">
        <v>0</v>
      </c>
      <c r="P700" t="n">
        <v>0</v>
      </c>
      <c r="Q700" t="n">
        <v>0</v>
      </c>
      <c r="R700" s="2" t="inlineStr"/>
    </row>
    <row r="701" ht="15" customHeight="1">
      <c r="A701" t="inlineStr">
        <is>
          <t>A 35713-2023</t>
        </is>
      </c>
      <c r="B701" s="1" t="n">
        <v>45147</v>
      </c>
      <c r="C701" s="1" t="n">
        <v>46101</v>
      </c>
      <c r="D701" t="inlineStr">
        <is>
          <t>KALMAR LÄN</t>
        </is>
      </c>
      <c r="E701" t="inlineStr">
        <is>
          <t>VIMMERBY</t>
        </is>
      </c>
      <c r="G701" t="n">
        <v>1.6</v>
      </c>
      <c r="H701" t="n">
        <v>0</v>
      </c>
      <c r="I701" t="n">
        <v>0</v>
      </c>
      <c r="J701" t="n">
        <v>0</v>
      </c>
      <c r="K701" t="n">
        <v>0</v>
      </c>
      <c r="L701" t="n">
        <v>0</v>
      </c>
      <c r="M701" t="n">
        <v>0</v>
      </c>
      <c r="N701" t="n">
        <v>0</v>
      </c>
      <c r="O701" t="n">
        <v>0</v>
      </c>
      <c r="P701" t="n">
        <v>0</v>
      </c>
      <c r="Q701" t="n">
        <v>0</v>
      </c>
      <c r="R701" s="2" t="inlineStr"/>
    </row>
    <row r="702" ht="15" customHeight="1">
      <c r="A702" t="inlineStr">
        <is>
          <t>A 10424-2023</t>
        </is>
      </c>
      <c r="B702" s="1" t="n">
        <v>44987.54104166666</v>
      </c>
      <c r="C702" s="1" t="n">
        <v>46101</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33340-2023</t>
        </is>
      </c>
      <c r="B703" s="1" t="n">
        <v>45128.37305555555</v>
      </c>
      <c r="C703" s="1" t="n">
        <v>46101</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29017-2024</t>
        </is>
      </c>
      <c r="B704" s="1" t="n">
        <v>45481.56722222222</v>
      </c>
      <c r="C704" s="1" t="n">
        <v>46101</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58046-2022</t>
        </is>
      </c>
      <c r="B705" s="1" t="n">
        <v>44900.57393518519</v>
      </c>
      <c r="C705" s="1" t="n">
        <v>46101</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14548-2024</t>
        </is>
      </c>
      <c r="B706" s="1" t="n">
        <v>45394.66887731481</v>
      </c>
      <c r="C706" s="1" t="n">
        <v>46101</v>
      </c>
      <c r="D706" t="inlineStr">
        <is>
          <t>KALMAR LÄN</t>
        </is>
      </c>
      <c r="E706" t="inlineStr">
        <is>
          <t>VIMMERBY</t>
        </is>
      </c>
      <c r="G706" t="n">
        <v>0.9</v>
      </c>
      <c r="H706" t="n">
        <v>0</v>
      </c>
      <c r="I706" t="n">
        <v>0</v>
      </c>
      <c r="J706" t="n">
        <v>0</v>
      </c>
      <c r="K706" t="n">
        <v>0</v>
      </c>
      <c r="L706" t="n">
        <v>0</v>
      </c>
      <c r="M706" t="n">
        <v>0</v>
      </c>
      <c r="N706" t="n">
        <v>0</v>
      </c>
      <c r="O706" t="n">
        <v>0</v>
      </c>
      <c r="P706" t="n">
        <v>0</v>
      </c>
      <c r="Q706" t="n">
        <v>0</v>
      </c>
      <c r="R706" s="2" t="inlineStr"/>
    </row>
    <row r="707" ht="15" customHeight="1">
      <c r="A707" t="inlineStr">
        <is>
          <t>A 48120-2022</t>
        </is>
      </c>
      <c r="B707" s="1" t="n">
        <v>44857.65989583333</v>
      </c>
      <c r="C707" s="1" t="n">
        <v>46101</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3423-2022</t>
        </is>
      </c>
      <c r="B708" s="1" t="n">
        <v>44585.50431712963</v>
      </c>
      <c r="C708" s="1" t="n">
        <v>46101</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11074-2023</t>
        </is>
      </c>
      <c r="B709" s="1" t="n">
        <v>44992.34151620371</v>
      </c>
      <c r="C709" s="1" t="n">
        <v>46101</v>
      </c>
      <c r="D709" t="inlineStr">
        <is>
          <t>KALMAR LÄN</t>
        </is>
      </c>
      <c r="E709" t="inlineStr">
        <is>
          <t>VIMMERBY</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71631-2021</t>
        </is>
      </c>
      <c r="B710" s="1" t="n">
        <v>44542.90072916666</v>
      </c>
      <c r="C710" s="1" t="n">
        <v>46101</v>
      </c>
      <c r="D710" t="inlineStr">
        <is>
          <t>KALMAR LÄN</t>
        </is>
      </c>
      <c r="E710" t="inlineStr">
        <is>
          <t>VIMMERBY</t>
        </is>
      </c>
      <c r="G710" t="n">
        <v>0.9</v>
      </c>
      <c r="H710" t="n">
        <v>0</v>
      </c>
      <c r="I710" t="n">
        <v>0</v>
      </c>
      <c r="J710" t="n">
        <v>0</v>
      </c>
      <c r="K710" t="n">
        <v>0</v>
      </c>
      <c r="L710" t="n">
        <v>0</v>
      </c>
      <c r="M710" t="n">
        <v>0</v>
      </c>
      <c r="N710" t="n">
        <v>0</v>
      </c>
      <c r="O710" t="n">
        <v>0</v>
      </c>
      <c r="P710" t="n">
        <v>0</v>
      </c>
      <c r="Q710" t="n">
        <v>0</v>
      </c>
      <c r="R710" s="2" t="inlineStr"/>
    </row>
    <row r="711" ht="15" customHeight="1">
      <c r="A711" t="inlineStr">
        <is>
          <t>A 49039-2021</t>
        </is>
      </c>
      <c r="B711" s="1" t="n">
        <v>44453.56578703703</v>
      </c>
      <c r="C711" s="1" t="n">
        <v>46101</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42918-2021</t>
        </is>
      </c>
      <c r="B712" s="1" t="n">
        <v>44431</v>
      </c>
      <c r="C712" s="1" t="n">
        <v>46101</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529-2022</t>
        </is>
      </c>
      <c r="B713" s="1" t="n">
        <v>44566</v>
      </c>
      <c r="C713" s="1" t="n">
        <v>46101</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11798-2026</t>
        </is>
      </c>
      <c r="B714" s="1" t="n">
        <v>46085.34020833333</v>
      </c>
      <c r="C714" s="1" t="n">
        <v>46101</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14855-2025</t>
        </is>
      </c>
      <c r="B715" s="1" t="n">
        <v>45743.41148148148</v>
      </c>
      <c r="C715" s="1" t="n">
        <v>46101</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60951-2023</t>
        </is>
      </c>
      <c r="B716" s="1" t="n">
        <v>45261.44914351852</v>
      </c>
      <c r="C716" s="1" t="n">
        <v>46101</v>
      </c>
      <c r="D716" t="inlineStr">
        <is>
          <t>KALMAR LÄN</t>
        </is>
      </c>
      <c r="E716" t="inlineStr">
        <is>
          <t>VIMMERBY</t>
        </is>
      </c>
      <c r="G716" t="n">
        <v>4.3</v>
      </c>
      <c r="H716" t="n">
        <v>0</v>
      </c>
      <c r="I716" t="n">
        <v>0</v>
      </c>
      <c r="J716" t="n">
        <v>0</v>
      </c>
      <c r="K716" t="n">
        <v>0</v>
      </c>
      <c r="L716" t="n">
        <v>0</v>
      </c>
      <c r="M716" t="n">
        <v>0</v>
      </c>
      <c r="N716" t="n">
        <v>0</v>
      </c>
      <c r="O716" t="n">
        <v>0</v>
      </c>
      <c r="P716" t="n">
        <v>0</v>
      </c>
      <c r="Q716" t="n">
        <v>0</v>
      </c>
      <c r="R716" s="2" t="inlineStr"/>
    </row>
    <row r="717" ht="15" customHeight="1">
      <c r="A717" t="inlineStr">
        <is>
          <t>A 19162-2023</t>
        </is>
      </c>
      <c r="B717" s="1" t="n">
        <v>45048.59699074074</v>
      </c>
      <c r="C717" s="1" t="n">
        <v>46101</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31209-2024</t>
        </is>
      </c>
      <c r="B718" s="1" t="n">
        <v>45503.5658912037</v>
      </c>
      <c r="C718" s="1" t="n">
        <v>46101</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5864-2022</t>
        </is>
      </c>
      <c r="B719" s="1" t="n">
        <v>44596</v>
      </c>
      <c r="C719" s="1" t="n">
        <v>46101</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3938-2023</t>
        </is>
      </c>
      <c r="B720" s="1" t="n">
        <v>44952.35775462963</v>
      </c>
      <c r="C720" s="1" t="n">
        <v>46101</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26937-2023</t>
        </is>
      </c>
      <c r="B721" s="1" t="n">
        <v>45093.62777777778</v>
      </c>
      <c r="C721" s="1" t="n">
        <v>46101</v>
      </c>
      <c r="D721" t="inlineStr">
        <is>
          <t>KALMAR LÄN</t>
        </is>
      </c>
      <c r="E721" t="inlineStr">
        <is>
          <t>VIMMERBY</t>
        </is>
      </c>
      <c r="F721" t="inlineStr">
        <is>
          <t>Sveaskog</t>
        </is>
      </c>
      <c r="G721" t="n">
        <v>14.5</v>
      </c>
      <c r="H721" t="n">
        <v>0</v>
      </c>
      <c r="I721" t="n">
        <v>0</v>
      </c>
      <c r="J721" t="n">
        <v>0</v>
      </c>
      <c r="K721" t="n">
        <v>0</v>
      </c>
      <c r="L721" t="n">
        <v>0</v>
      </c>
      <c r="M721" t="n">
        <v>0</v>
      </c>
      <c r="N721" t="n">
        <v>0</v>
      </c>
      <c r="O721" t="n">
        <v>0</v>
      </c>
      <c r="P721" t="n">
        <v>0</v>
      </c>
      <c r="Q721" t="n">
        <v>0</v>
      </c>
      <c r="R721" s="2" t="inlineStr"/>
    </row>
    <row r="722" ht="15" customHeight="1">
      <c r="A722" t="inlineStr">
        <is>
          <t>A 50085-2023</t>
        </is>
      </c>
      <c r="B722" s="1" t="n">
        <v>45215.5959375</v>
      </c>
      <c r="C722" s="1" t="n">
        <v>46101</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11219-2023</t>
        </is>
      </c>
      <c r="B723" s="1" t="n">
        <v>44992.62498842592</v>
      </c>
      <c r="C723" s="1" t="n">
        <v>46101</v>
      </c>
      <c r="D723" t="inlineStr">
        <is>
          <t>KALMAR LÄN</t>
        </is>
      </c>
      <c r="E723" t="inlineStr">
        <is>
          <t>VIMMERBY</t>
        </is>
      </c>
      <c r="G723" t="n">
        <v>2.5</v>
      </c>
      <c r="H723" t="n">
        <v>0</v>
      </c>
      <c r="I723" t="n">
        <v>0</v>
      </c>
      <c r="J723" t="n">
        <v>0</v>
      </c>
      <c r="K723" t="n">
        <v>0</v>
      </c>
      <c r="L723" t="n">
        <v>0</v>
      </c>
      <c r="M723" t="n">
        <v>0</v>
      </c>
      <c r="N723" t="n">
        <v>0</v>
      </c>
      <c r="O723" t="n">
        <v>0</v>
      </c>
      <c r="P723" t="n">
        <v>0</v>
      </c>
      <c r="Q723" t="n">
        <v>0</v>
      </c>
      <c r="R723" s="2" t="inlineStr"/>
    </row>
    <row r="724" ht="15" customHeight="1">
      <c r="A724" t="inlineStr">
        <is>
          <t>A 6850-2023</t>
        </is>
      </c>
      <c r="B724" s="1" t="n">
        <v>44967.44255787037</v>
      </c>
      <c r="C724" s="1" t="n">
        <v>46101</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6358-2022</t>
        </is>
      </c>
      <c r="B725" s="1" t="n">
        <v>44600</v>
      </c>
      <c r="C725" s="1" t="n">
        <v>46101</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43853-2023</t>
        </is>
      </c>
      <c r="B726" s="1" t="n">
        <v>45187.60813657408</v>
      </c>
      <c r="C726" s="1" t="n">
        <v>46101</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48673-2021</t>
        </is>
      </c>
      <c r="B727" s="1" t="n">
        <v>44452</v>
      </c>
      <c r="C727" s="1" t="n">
        <v>46101</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14137-2023</t>
        </is>
      </c>
      <c r="B728" s="1" t="n">
        <v>45009.4671875</v>
      </c>
      <c r="C728" s="1" t="n">
        <v>46101</v>
      </c>
      <c r="D728" t="inlineStr">
        <is>
          <t>KALMAR LÄN</t>
        </is>
      </c>
      <c r="E728" t="inlineStr">
        <is>
          <t>VIMMERBY</t>
        </is>
      </c>
      <c r="G728" t="n">
        <v>1.3</v>
      </c>
      <c r="H728" t="n">
        <v>0</v>
      </c>
      <c r="I728" t="n">
        <v>0</v>
      </c>
      <c r="J728" t="n">
        <v>0</v>
      </c>
      <c r="K728" t="n">
        <v>0</v>
      </c>
      <c r="L728" t="n">
        <v>0</v>
      </c>
      <c r="M728" t="n">
        <v>0</v>
      </c>
      <c r="N728" t="n">
        <v>0</v>
      </c>
      <c r="O728" t="n">
        <v>0</v>
      </c>
      <c r="P728" t="n">
        <v>0</v>
      </c>
      <c r="Q728" t="n">
        <v>0</v>
      </c>
      <c r="R728" s="2" t="inlineStr"/>
    </row>
    <row r="729" ht="15" customHeight="1">
      <c r="A729" t="inlineStr">
        <is>
          <t>A 7630-2025</t>
        </is>
      </c>
      <c r="B729" s="1" t="n">
        <v>45705.74418981482</v>
      </c>
      <c r="C729" s="1" t="n">
        <v>46101</v>
      </c>
      <c r="D729" t="inlineStr">
        <is>
          <t>KALMAR LÄN</t>
        </is>
      </c>
      <c r="E729" t="inlineStr">
        <is>
          <t>VIMMERBY</t>
        </is>
      </c>
      <c r="G729" t="n">
        <v>2.5</v>
      </c>
      <c r="H729" t="n">
        <v>0</v>
      </c>
      <c r="I729" t="n">
        <v>0</v>
      </c>
      <c r="J729" t="n">
        <v>0</v>
      </c>
      <c r="K729" t="n">
        <v>0</v>
      </c>
      <c r="L729" t="n">
        <v>0</v>
      </c>
      <c r="M729" t="n">
        <v>0</v>
      </c>
      <c r="N729" t="n">
        <v>0</v>
      </c>
      <c r="O729" t="n">
        <v>0</v>
      </c>
      <c r="P729" t="n">
        <v>0</v>
      </c>
      <c r="Q729" t="n">
        <v>0</v>
      </c>
      <c r="R729" s="2" t="inlineStr"/>
    </row>
    <row r="730" ht="15" customHeight="1">
      <c r="A730" t="inlineStr">
        <is>
          <t>A 12821-2026</t>
        </is>
      </c>
      <c r="B730" s="1" t="n">
        <v>46092.41256944444</v>
      </c>
      <c r="C730" s="1" t="n">
        <v>46101</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12820-2026</t>
        </is>
      </c>
      <c r="B731" s="1" t="n">
        <v>46092.40909722223</v>
      </c>
      <c r="C731" s="1" t="n">
        <v>46101</v>
      </c>
      <c r="D731" t="inlineStr">
        <is>
          <t>KALMAR LÄN</t>
        </is>
      </c>
      <c r="E731" t="inlineStr">
        <is>
          <t>VIMMERBY</t>
        </is>
      </c>
      <c r="G731" t="n">
        <v>4.3</v>
      </c>
      <c r="H731" t="n">
        <v>0</v>
      </c>
      <c r="I731" t="n">
        <v>0</v>
      </c>
      <c r="J731" t="n">
        <v>0</v>
      </c>
      <c r="K731" t="n">
        <v>0</v>
      </c>
      <c r="L731" t="n">
        <v>0</v>
      </c>
      <c r="M731" t="n">
        <v>0</v>
      </c>
      <c r="N731" t="n">
        <v>0</v>
      </c>
      <c r="O731" t="n">
        <v>0</v>
      </c>
      <c r="P731" t="n">
        <v>0</v>
      </c>
      <c r="Q731" t="n">
        <v>0</v>
      </c>
      <c r="R731" s="2" t="inlineStr"/>
    </row>
    <row r="732" ht="15" customHeight="1">
      <c r="A732" t="inlineStr">
        <is>
          <t>A 12825-2026</t>
        </is>
      </c>
      <c r="B732" s="1" t="n">
        <v>46092.41561342592</v>
      </c>
      <c r="C732" s="1" t="n">
        <v>46101</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38780-2021</t>
        </is>
      </c>
      <c r="B733" s="1" t="n">
        <v>44410</v>
      </c>
      <c r="C733" s="1" t="n">
        <v>46101</v>
      </c>
      <c r="D733" t="inlineStr">
        <is>
          <t>KALMAR LÄN</t>
        </is>
      </c>
      <c r="E733" t="inlineStr">
        <is>
          <t>VIMMERBY</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30503-2023</t>
        </is>
      </c>
      <c r="B734" s="1" t="n">
        <v>45111</v>
      </c>
      <c r="C734" s="1" t="n">
        <v>46101</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60110-2022</t>
        </is>
      </c>
      <c r="B735" s="1" t="n">
        <v>44909</v>
      </c>
      <c r="C735" s="1" t="n">
        <v>46101</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59300-2024</t>
        </is>
      </c>
      <c r="B736" s="1" t="n">
        <v>45637.66542824074</v>
      </c>
      <c r="C736" s="1" t="n">
        <v>46101</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12730-2026</t>
        </is>
      </c>
      <c r="B737" s="1" t="n">
        <v>46091</v>
      </c>
      <c r="C737" s="1" t="n">
        <v>46101</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19445-2021</t>
        </is>
      </c>
      <c r="B738" s="1" t="n">
        <v>44310</v>
      </c>
      <c r="C738" s="1" t="n">
        <v>46101</v>
      </c>
      <c r="D738" t="inlineStr">
        <is>
          <t>KALMAR LÄN</t>
        </is>
      </c>
      <c r="E738" t="inlineStr">
        <is>
          <t>VIMMERBY</t>
        </is>
      </c>
      <c r="G738" t="n">
        <v>6.8</v>
      </c>
      <c r="H738" t="n">
        <v>0</v>
      </c>
      <c r="I738" t="n">
        <v>0</v>
      </c>
      <c r="J738" t="n">
        <v>0</v>
      </c>
      <c r="K738" t="n">
        <v>0</v>
      </c>
      <c r="L738" t="n">
        <v>0</v>
      </c>
      <c r="M738" t="n">
        <v>0</v>
      </c>
      <c r="N738" t="n">
        <v>0</v>
      </c>
      <c r="O738" t="n">
        <v>0</v>
      </c>
      <c r="P738" t="n">
        <v>0</v>
      </c>
      <c r="Q738" t="n">
        <v>0</v>
      </c>
      <c r="R738" s="2" t="inlineStr"/>
    </row>
    <row r="739" ht="15" customHeight="1">
      <c r="A739" t="inlineStr">
        <is>
          <t>A 18329-2023</t>
        </is>
      </c>
      <c r="B739" s="1" t="n">
        <v>45041.63380787037</v>
      </c>
      <c r="C739" s="1" t="n">
        <v>46101</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5720-2023</t>
        </is>
      </c>
      <c r="B740" s="1" t="n">
        <v>44961</v>
      </c>
      <c r="C740" s="1" t="n">
        <v>46101</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44916.55414351852</v>
      </c>
      <c r="C741" s="1" t="n">
        <v>46101</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694-2024</t>
        </is>
      </c>
      <c r="B742" s="1" t="n">
        <v>45300.3794212963</v>
      </c>
      <c r="C742" s="1" t="n">
        <v>46101</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57114-2023</t>
        </is>
      </c>
      <c r="B743" s="1" t="n">
        <v>45245.36174768519</v>
      </c>
      <c r="C743" s="1" t="n">
        <v>46101</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12327-2023</t>
        </is>
      </c>
      <c r="B744" s="1" t="n">
        <v>44999.36081018519</v>
      </c>
      <c r="C744" s="1" t="n">
        <v>46101</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30633-2024</t>
        </is>
      </c>
      <c r="B745" s="1" t="n">
        <v>45495</v>
      </c>
      <c r="C745" s="1" t="n">
        <v>46101</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33424-2023</t>
        </is>
      </c>
      <c r="B746" s="1" t="n">
        <v>45128.9325</v>
      </c>
      <c r="C746" s="1" t="n">
        <v>46101</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33425-2023</t>
        </is>
      </c>
      <c r="B747" s="1" t="n">
        <v>45128.93540509259</v>
      </c>
      <c r="C747" s="1" t="n">
        <v>46101</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3609-2024</t>
        </is>
      </c>
      <c r="B748" s="1" t="n">
        <v>45320.89128472222</v>
      </c>
      <c r="C748" s="1" t="n">
        <v>46101</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13793-2026</t>
        </is>
      </c>
      <c r="B749" s="1" t="n">
        <v>46097.79199074074</v>
      </c>
      <c r="C749" s="1" t="n">
        <v>46101</v>
      </c>
      <c r="D749" t="inlineStr">
        <is>
          <t>KALMAR LÄN</t>
        </is>
      </c>
      <c r="E749" t="inlineStr">
        <is>
          <t>VIMMERBY</t>
        </is>
      </c>
      <c r="G749" t="n">
        <v>2.9</v>
      </c>
      <c r="H749" t="n">
        <v>0</v>
      </c>
      <c r="I749" t="n">
        <v>0</v>
      </c>
      <c r="J749" t="n">
        <v>0</v>
      </c>
      <c r="K749" t="n">
        <v>0</v>
      </c>
      <c r="L749" t="n">
        <v>0</v>
      </c>
      <c r="M749" t="n">
        <v>0</v>
      </c>
      <c r="N749" t="n">
        <v>0</v>
      </c>
      <c r="O749" t="n">
        <v>0</v>
      </c>
      <c r="P749" t="n">
        <v>0</v>
      </c>
      <c r="Q749" t="n">
        <v>0</v>
      </c>
      <c r="R749" s="2" t="inlineStr"/>
    </row>
    <row r="750" ht="15" customHeight="1">
      <c r="A750" t="inlineStr">
        <is>
          <t>A 8650-2022</t>
        </is>
      </c>
      <c r="B750" s="1" t="n">
        <v>44613</v>
      </c>
      <c r="C750" s="1" t="n">
        <v>46101</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13667-2026</t>
        </is>
      </c>
      <c r="B751" s="1" t="n">
        <v>46097</v>
      </c>
      <c r="C751" s="1" t="n">
        <v>46101</v>
      </c>
      <c r="D751" t="inlineStr">
        <is>
          <t>KALMAR LÄN</t>
        </is>
      </c>
      <c r="E751" t="inlineStr">
        <is>
          <t>VIMMERBY</t>
        </is>
      </c>
      <c r="G751" t="n">
        <v>6.8</v>
      </c>
      <c r="H751" t="n">
        <v>0</v>
      </c>
      <c r="I751" t="n">
        <v>0</v>
      </c>
      <c r="J751" t="n">
        <v>0</v>
      </c>
      <c r="K751" t="n">
        <v>0</v>
      </c>
      <c r="L751" t="n">
        <v>0</v>
      </c>
      <c r="M751" t="n">
        <v>0</v>
      </c>
      <c r="N751" t="n">
        <v>0</v>
      </c>
      <c r="O751" t="n">
        <v>0</v>
      </c>
      <c r="P751" t="n">
        <v>0</v>
      </c>
      <c r="Q751" t="n">
        <v>0</v>
      </c>
      <c r="R751" s="2" t="inlineStr"/>
    </row>
    <row r="752" ht="15" customHeight="1">
      <c r="A752" t="inlineStr">
        <is>
          <t>A 13714-2026</t>
        </is>
      </c>
      <c r="B752" s="1" t="n">
        <v>46097.58472222222</v>
      </c>
      <c r="C752" s="1" t="n">
        <v>46101</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11147-2023</t>
        </is>
      </c>
      <c r="B753" s="1" t="n">
        <v>44992</v>
      </c>
      <c r="C753" s="1" t="n">
        <v>46101</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16676-2023</t>
        </is>
      </c>
      <c r="B754" s="1" t="n">
        <v>45028</v>
      </c>
      <c r="C754" s="1" t="n">
        <v>46101</v>
      </c>
      <c r="D754" t="inlineStr">
        <is>
          <t>KALMAR LÄN</t>
        </is>
      </c>
      <c r="E754" t="inlineStr">
        <is>
          <t>VIMMERBY</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23263-2024</t>
        </is>
      </c>
      <c r="B755" s="1" t="n">
        <v>45453.36854166666</v>
      </c>
      <c r="C755" s="1" t="n">
        <v>46101</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49488-2023</t>
        </is>
      </c>
      <c r="B756" s="1" t="n">
        <v>45211.55472222222</v>
      </c>
      <c r="C756" s="1" t="n">
        <v>46101</v>
      </c>
      <c r="D756" t="inlineStr">
        <is>
          <t>KALMAR LÄN</t>
        </is>
      </c>
      <c r="E756" t="inlineStr">
        <is>
          <t>VIMMERBY</t>
        </is>
      </c>
      <c r="F756" t="inlineStr">
        <is>
          <t>Sveaskog</t>
        </is>
      </c>
      <c r="G756" t="n">
        <v>6.2</v>
      </c>
      <c r="H756" t="n">
        <v>0</v>
      </c>
      <c r="I756" t="n">
        <v>0</v>
      </c>
      <c r="J756" t="n">
        <v>0</v>
      </c>
      <c r="K756" t="n">
        <v>0</v>
      </c>
      <c r="L756" t="n">
        <v>0</v>
      </c>
      <c r="M756" t="n">
        <v>0</v>
      </c>
      <c r="N756" t="n">
        <v>0</v>
      </c>
      <c r="O756" t="n">
        <v>0</v>
      </c>
      <c r="P756" t="n">
        <v>0</v>
      </c>
      <c r="Q756" t="n">
        <v>0</v>
      </c>
      <c r="R756" s="2" t="inlineStr"/>
    </row>
    <row r="757" ht="15" customHeight="1">
      <c r="A757" t="inlineStr">
        <is>
          <t>A 14320-2026</t>
        </is>
      </c>
      <c r="B757" s="1" t="n">
        <v>46099.88449074074</v>
      </c>
      <c r="C757" s="1" t="n">
        <v>46101</v>
      </c>
      <c r="D757" t="inlineStr">
        <is>
          <t>KALMAR LÄN</t>
        </is>
      </c>
      <c r="E757" t="inlineStr">
        <is>
          <t>VIMMERBY</t>
        </is>
      </c>
      <c r="G757" t="n">
        <v>2.3</v>
      </c>
      <c r="H757" t="n">
        <v>0</v>
      </c>
      <c r="I757" t="n">
        <v>0</v>
      </c>
      <c r="J757" t="n">
        <v>0</v>
      </c>
      <c r="K757" t="n">
        <v>0</v>
      </c>
      <c r="L757" t="n">
        <v>0</v>
      </c>
      <c r="M757" t="n">
        <v>0</v>
      </c>
      <c r="N757" t="n">
        <v>0</v>
      </c>
      <c r="O757" t="n">
        <v>0</v>
      </c>
      <c r="P757" t="n">
        <v>0</v>
      </c>
      <c r="Q757" t="n">
        <v>0</v>
      </c>
      <c r="R757" s="2" t="inlineStr"/>
    </row>
    <row r="758" ht="15" customHeight="1">
      <c r="A758" t="inlineStr">
        <is>
          <t>A 59768-2024</t>
        </is>
      </c>
      <c r="B758" s="1" t="n">
        <v>45639.56185185185</v>
      </c>
      <c r="C758" s="1" t="n">
        <v>46101</v>
      </c>
      <c r="D758" t="inlineStr">
        <is>
          <t>KALMAR LÄN</t>
        </is>
      </c>
      <c r="E758" t="inlineStr">
        <is>
          <t>VIMMERBY</t>
        </is>
      </c>
      <c r="G758" t="n">
        <v>5.9</v>
      </c>
      <c r="H758" t="n">
        <v>0</v>
      </c>
      <c r="I758" t="n">
        <v>0</v>
      </c>
      <c r="J758" t="n">
        <v>0</v>
      </c>
      <c r="K758" t="n">
        <v>0</v>
      </c>
      <c r="L758" t="n">
        <v>0</v>
      </c>
      <c r="M758" t="n">
        <v>0</v>
      </c>
      <c r="N758" t="n">
        <v>0</v>
      </c>
      <c r="O758" t="n">
        <v>0</v>
      </c>
      <c r="P758" t="n">
        <v>0</v>
      </c>
      <c r="Q758" t="n">
        <v>0</v>
      </c>
      <c r="R758" s="2" t="inlineStr"/>
    </row>
    <row r="759" ht="15" customHeight="1">
      <c r="A759" t="inlineStr">
        <is>
          <t>A 14279-2026</t>
        </is>
      </c>
      <c r="B759" s="1" t="n">
        <v>46099.66826388889</v>
      </c>
      <c r="C759" s="1" t="n">
        <v>46101</v>
      </c>
      <c r="D759" t="inlineStr">
        <is>
          <t>KALMAR LÄN</t>
        </is>
      </c>
      <c r="E759" t="inlineStr">
        <is>
          <t>VIMMERBY</t>
        </is>
      </c>
      <c r="G759" t="n">
        <v>2.8</v>
      </c>
      <c r="H759" t="n">
        <v>0</v>
      </c>
      <c r="I759" t="n">
        <v>0</v>
      </c>
      <c r="J759" t="n">
        <v>0</v>
      </c>
      <c r="K759" t="n">
        <v>0</v>
      </c>
      <c r="L759" t="n">
        <v>0</v>
      </c>
      <c r="M759" t="n">
        <v>0</v>
      </c>
      <c r="N759" t="n">
        <v>0</v>
      </c>
      <c r="O759" t="n">
        <v>0</v>
      </c>
      <c r="P759" t="n">
        <v>0</v>
      </c>
      <c r="Q759" t="n">
        <v>0</v>
      </c>
      <c r="R759" s="2" t="inlineStr"/>
    </row>
    <row r="760" ht="15" customHeight="1">
      <c r="A760" t="inlineStr">
        <is>
          <t>A 14318-2026</t>
        </is>
      </c>
      <c r="B760" s="1" t="n">
        <v>46099.87961805556</v>
      </c>
      <c r="C760" s="1" t="n">
        <v>46101</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72067-2021</t>
        </is>
      </c>
      <c r="B761" s="1" t="n">
        <v>44540</v>
      </c>
      <c r="C761" s="1" t="n">
        <v>46101</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41158-2023</t>
        </is>
      </c>
      <c r="B762" s="1" t="n">
        <v>45174.31395833333</v>
      </c>
      <c r="C762" s="1" t="n">
        <v>46101</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6817-2026</t>
        </is>
      </c>
      <c r="B763" s="1" t="n">
        <v>46057.38412037037</v>
      </c>
      <c r="C763" s="1" t="n">
        <v>46101</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14277-2026</t>
        </is>
      </c>
      <c r="B764" s="1" t="n">
        <v>46099.66305555555</v>
      </c>
      <c r="C764" s="1" t="n">
        <v>46101</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22198-2024</t>
        </is>
      </c>
      <c r="B765" s="1" t="n">
        <v>45446.36865740741</v>
      </c>
      <c r="C765" s="1" t="n">
        <v>46101</v>
      </c>
      <c r="D765" t="inlineStr">
        <is>
          <t>KALMAR LÄN</t>
        </is>
      </c>
      <c r="E765" t="inlineStr">
        <is>
          <t>VIMMERBY</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9511-2023</t>
        </is>
      </c>
      <c r="B766" s="1" t="n">
        <v>44981.64725694444</v>
      </c>
      <c r="C766" s="1" t="n">
        <v>46101</v>
      </c>
      <c r="D766" t="inlineStr">
        <is>
          <t>KALMAR LÄN</t>
        </is>
      </c>
      <c r="E766" t="inlineStr">
        <is>
          <t>VIMMERBY</t>
        </is>
      </c>
      <c r="G766" t="n">
        <v>3.5</v>
      </c>
      <c r="H766" t="n">
        <v>0</v>
      </c>
      <c r="I766" t="n">
        <v>0</v>
      </c>
      <c r="J766" t="n">
        <v>0</v>
      </c>
      <c r="K766" t="n">
        <v>0</v>
      </c>
      <c r="L766" t="n">
        <v>0</v>
      </c>
      <c r="M766" t="n">
        <v>0</v>
      </c>
      <c r="N766" t="n">
        <v>0</v>
      </c>
      <c r="O766" t="n">
        <v>0</v>
      </c>
      <c r="P766" t="n">
        <v>0</v>
      </c>
      <c r="Q766" t="n">
        <v>0</v>
      </c>
      <c r="R766" s="2" t="inlineStr"/>
    </row>
    <row r="767" ht="15" customHeight="1">
      <c r="A767" t="inlineStr">
        <is>
          <t>A 34205-2023</t>
        </is>
      </c>
      <c r="B767" s="1" t="n">
        <v>45138</v>
      </c>
      <c r="C767" s="1" t="n">
        <v>46101</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57091-2022</t>
        </is>
      </c>
      <c r="B768" s="1" t="n">
        <v>44895.46524305556</v>
      </c>
      <c r="C768" s="1" t="n">
        <v>46101</v>
      </c>
      <c r="D768" t="inlineStr">
        <is>
          <t>KALMAR LÄN</t>
        </is>
      </c>
      <c r="E768" t="inlineStr">
        <is>
          <t>VIMMERBY</t>
        </is>
      </c>
      <c r="G768" t="n">
        <v>2.6</v>
      </c>
      <c r="H768" t="n">
        <v>0</v>
      </c>
      <c r="I768" t="n">
        <v>0</v>
      </c>
      <c r="J768" t="n">
        <v>0</v>
      </c>
      <c r="K768" t="n">
        <v>0</v>
      </c>
      <c r="L768" t="n">
        <v>0</v>
      </c>
      <c r="M768" t="n">
        <v>0</v>
      </c>
      <c r="N768" t="n">
        <v>0</v>
      </c>
      <c r="O768" t="n">
        <v>0</v>
      </c>
      <c r="P768" t="n">
        <v>0</v>
      </c>
      <c r="Q768" t="n">
        <v>0</v>
      </c>
      <c r="R768" s="2" t="inlineStr"/>
    </row>
    <row r="769" ht="15" customHeight="1">
      <c r="A769" t="inlineStr">
        <is>
          <t>A 2604-2025</t>
        </is>
      </c>
      <c r="B769" s="1" t="n">
        <v>45674.74094907408</v>
      </c>
      <c r="C769" s="1" t="n">
        <v>46101</v>
      </c>
      <c r="D769" t="inlineStr">
        <is>
          <t>KALMAR LÄN</t>
        </is>
      </c>
      <c r="E769" t="inlineStr">
        <is>
          <t>VIMMERBY</t>
        </is>
      </c>
      <c r="G769" t="n">
        <v>7.6</v>
      </c>
      <c r="H769" t="n">
        <v>0</v>
      </c>
      <c r="I769" t="n">
        <v>0</v>
      </c>
      <c r="J769" t="n">
        <v>0</v>
      </c>
      <c r="K769" t="n">
        <v>0</v>
      </c>
      <c r="L769" t="n">
        <v>0</v>
      </c>
      <c r="M769" t="n">
        <v>0</v>
      </c>
      <c r="N769" t="n">
        <v>0</v>
      </c>
      <c r="O769" t="n">
        <v>0</v>
      </c>
      <c r="P769" t="n">
        <v>0</v>
      </c>
      <c r="Q769" t="n">
        <v>0</v>
      </c>
      <c r="R769" s="2" t="inlineStr"/>
    </row>
    <row r="770" ht="15" customHeight="1">
      <c r="A770" t="inlineStr">
        <is>
          <t>A 6807-2025</t>
        </is>
      </c>
      <c r="B770" s="1" t="n">
        <v>45700.68672453704</v>
      </c>
      <c r="C770" s="1" t="n">
        <v>46101</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38851-2023</t>
        </is>
      </c>
      <c r="B771" s="1" t="n">
        <v>45163</v>
      </c>
      <c r="C771" s="1" t="n">
        <v>46101</v>
      </c>
      <c r="D771" t="inlineStr">
        <is>
          <t>KALMAR LÄN</t>
        </is>
      </c>
      <c r="E771" t="inlineStr">
        <is>
          <t>VIMMERBY</t>
        </is>
      </c>
      <c r="G771" t="n">
        <v>4.3</v>
      </c>
      <c r="H771" t="n">
        <v>0</v>
      </c>
      <c r="I771" t="n">
        <v>0</v>
      </c>
      <c r="J771" t="n">
        <v>0</v>
      </c>
      <c r="K771" t="n">
        <v>0</v>
      </c>
      <c r="L771" t="n">
        <v>0</v>
      </c>
      <c r="M771" t="n">
        <v>0</v>
      </c>
      <c r="N771" t="n">
        <v>0</v>
      </c>
      <c r="O771" t="n">
        <v>0</v>
      </c>
      <c r="P771" t="n">
        <v>0</v>
      </c>
      <c r="Q771" t="n">
        <v>0</v>
      </c>
      <c r="R771" s="2" t="inlineStr"/>
    </row>
    <row r="772" ht="15" customHeight="1">
      <c r="A772" t="inlineStr">
        <is>
          <t>A 23252-2024</t>
        </is>
      </c>
      <c r="B772" s="1" t="n">
        <v>45453.36067129629</v>
      </c>
      <c r="C772" s="1" t="n">
        <v>46101</v>
      </c>
      <c r="D772" t="inlineStr">
        <is>
          <t>KALMAR LÄN</t>
        </is>
      </c>
      <c r="E772" t="inlineStr">
        <is>
          <t>VIMMERBY</t>
        </is>
      </c>
      <c r="G772" t="n">
        <v>0.7</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44963.44769675926</v>
      </c>
      <c r="C773" s="1" t="n">
        <v>46101</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2797-2023</t>
        </is>
      </c>
      <c r="B774" s="1" t="n">
        <v>44944.71386574074</v>
      </c>
      <c r="C774" s="1" t="n">
        <v>46101</v>
      </c>
      <c r="D774" t="inlineStr">
        <is>
          <t>KALMAR LÄN</t>
        </is>
      </c>
      <c r="E774" t="inlineStr">
        <is>
          <t>VIMMERBY</t>
        </is>
      </c>
      <c r="G774" t="n">
        <v>3.4</v>
      </c>
      <c r="H774" t="n">
        <v>0</v>
      </c>
      <c r="I774" t="n">
        <v>0</v>
      </c>
      <c r="J774" t="n">
        <v>0</v>
      </c>
      <c r="K774" t="n">
        <v>0</v>
      </c>
      <c r="L774" t="n">
        <v>0</v>
      </c>
      <c r="M774" t="n">
        <v>0</v>
      </c>
      <c r="N774" t="n">
        <v>0</v>
      </c>
      <c r="O774" t="n">
        <v>0</v>
      </c>
      <c r="P774" t="n">
        <v>0</v>
      </c>
      <c r="Q774" t="n">
        <v>0</v>
      </c>
      <c r="R774" s="2" t="inlineStr"/>
    </row>
    <row r="775" ht="15" customHeight="1">
      <c r="A775" t="inlineStr">
        <is>
          <t>A 2799-2023</t>
        </is>
      </c>
      <c r="B775" s="1" t="n">
        <v>44944.72100694444</v>
      </c>
      <c r="C775" s="1" t="n">
        <v>46101</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6220-2025</t>
        </is>
      </c>
      <c r="B776" s="1" t="n">
        <v>45698.53725694444</v>
      </c>
      <c r="C776" s="1" t="n">
        <v>46101</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58278-2023</t>
        </is>
      </c>
      <c r="B777" s="1" t="n">
        <v>45250.5278587963</v>
      </c>
      <c r="C777" s="1" t="n">
        <v>46101</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36259-2022</t>
        </is>
      </c>
      <c r="B778" s="1" t="n">
        <v>44803.59118055556</v>
      </c>
      <c r="C778" s="1" t="n">
        <v>46101</v>
      </c>
      <c r="D778" t="inlineStr">
        <is>
          <t>KALMAR LÄN</t>
        </is>
      </c>
      <c r="E778" t="inlineStr">
        <is>
          <t>VIMMERBY</t>
        </is>
      </c>
      <c r="G778" t="n">
        <v>3.9</v>
      </c>
      <c r="H778" t="n">
        <v>0</v>
      </c>
      <c r="I778" t="n">
        <v>0</v>
      </c>
      <c r="J778" t="n">
        <v>0</v>
      </c>
      <c r="K778" t="n">
        <v>0</v>
      </c>
      <c r="L778" t="n">
        <v>0</v>
      </c>
      <c r="M778" t="n">
        <v>0</v>
      </c>
      <c r="N778" t="n">
        <v>0</v>
      </c>
      <c r="O778" t="n">
        <v>0</v>
      </c>
      <c r="P778" t="n">
        <v>0</v>
      </c>
      <c r="Q778" t="n">
        <v>0</v>
      </c>
      <c r="R778" s="2" t="inlineStr"/>
    </row>
    <row r="779" ht="15" customHeight="1">
      <c r="A779" t="inlineStr">
        <is>
          <t>A 36526-2023</t>
        </is>
      </c>
      <c r="B779" s="1" t="n">
        <v>45153.32778935185</v>
      </c>
      <c r="C779" s="1" t="n">
        <v>46101</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17988-2025</t>
        </is>
      </c>
      <c r="B780" s="1" t="n">
        <v>45761.39600694444</v>
      </c>
      <c r="C780" s="1" t="n">
        <v>46101</v>
      </c>
      <c r="D780" t="inlineStr">
        <is>
          <t>KALMAR LÄN</t>
        </is>
      </c>
      <c r="E780" t="inlineStr">
        <is>
          <t>VIMMERBY</t>
        </is>
      </c>
      <c r="G780" t="n">
        <v>2.8</v>
      </c>
      <c r="H780" t="n">
        <v>0</v>
      </c>
      <c r="I780" t="n">
        <v>0</v>
      </c>
      <c r="J780" t="n">
        <v>0</v>
      </c>
      <c r="K780" t="n">
        <v>0</v>
      </c>
      <c r="L780" t="n">
        <v>0</v>
      </c>
      <c r="M780" t="n">
        <v>0</v>
      </c>
      <c r="N780" t="n">
        <v>0</v>
      </c>
      <c r="O780" t="n">
        <v>0</v>
      </c>
      <c r="P780" t="n">
        <v>0</v>
      </c>
      <c r="Q780" t="n">
        <v>0</v>
      </c>
      <c r="R780" s="2" t="inlineStr"/>
    </row>
    <row r="781" ht="15" customHeight="1">
      <c r="A781" t="inlineStr">
        <is>
          <t>A 29350-2023</t>
        </is>
      </c>
      <c r="B781" s="1" t="n">
        <v>45106</v>
      </c>
      <c r="C781" s="1" t="n">
        <v>46101</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29351-2023</t>
        </is>
      </c>
      <c r="B782" s="1" t="n">
        <v>45106.2610300926</v>
      </c>
      <c r="C782" s="1" t="n">
        <v>46101</v>
      </c>
      <c r="D782" t="inlineStr">
        <is>
          <t>KALMAR LÄN</t>
        </is>
      </c>
      <c r="E782" t="inlineStr">
        <is>
          <t>VIMMERBY</t>
        </is>
      </c>
      <c r="G782" t="n">
        <v>0.4</v>
      </c>
      <c r="H782" t="n">
        <v>0</v>
      </c>
      <c r="I782" t="n">
        <v>0</v>
      </c>
      <c r="J782" t="n">
        <v>0</v>
      </c>
      <c r="K782" t="n">
        <v>0</v>
      </c>
      <c r="L782" t="n">
        <v>0</v>
      </c>
      <c r="M782" t="n">
        <v>0</v>
      </c>
      <c r="N782" t="n">
        <v>0</v>
      </c>
      <c r="O782" t="n">
        <v>0</v>
      </c>
      <c r="P782" t="n">
        <v>0</v>
      </c>
      <c r="Q782" t="n">
        <v>0</v>
      </c>
      <c r="R782" s="2" t="inlineStr"/>
    </row>
    <row r="783" ht="15" customHeight="1">
      <c r="A783" t="inlineStr">
        <is>
          <t>A 6474-2025</t>
        </is>
      </c>
      <c r="B783" s="1" t="n">
        <v>45699.60055555555</v>
      </c>
      <c r="C783" s="1" t="n">
        <v>46101</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17-2025</t>
        </is>
      </c>
      <c r="B784" s="1" t="n">
        <v>45658.78774305555</v>
      </c>
      <c r="C784" s="1" t="n">
        <v>46101</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57555-2024</t>
        </is>
      </c>
      <c r="B785" s="1" t="n">
        <v>45630.45069444444</v>
      </c>
      <c r="C785" s="1" t="n">
        <v>46101</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18411-2021</t>
        </is>
      </c>
      <c r="B786" s="1" t="n">
        <v>44302</v>
      </c>
      <c r="C786" s="1" t="n">
        <v>46101</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52279-2023</t>
        </is>
      </c>
      <c r="B787" s="1" t="n">
        <v>45224</v>
      </c>
      <c r="C787" s="1" t="n">
        <v>46101</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52324-2023</t>
        </is>
      </c>
      <c r="B788" s="1" t="n">
        <v>45224.64659722222</v>
      </c>
      <c r="C788" s="1" t="n">
        <v>46101</v>
      </c>
      <c r="D788" t="inlineStr">
        <is>
          <t>KALMAR LÄN</t>
        </is>
      </c>
      <c r="E788" t="inlineStr">
        <is>
          <t>VIMMERBY</t>
        </is>
      </c>
      <c r="F788" t="inlineStr">
        <is>
          <t>Sveaskog</t>
        </is>
      </c>
      <c r="G788" t="n">
        <v>2.9</v>
      </c>
      <c r="H788" t="n">
        <v>0</v>
      </c>
      <c r="I788" t="n">
        <v>0</v>
      </c>
      <c r="J788" t="n">
        <v>0</v>
      </c>
      <c r="K788" t="n">
        <v>0</v>
      </c>
      <c r="L788" t="n">
        <v>0</v>
      </c>
      <c r="M788" t="n">
        <v>0</v>
      </c>
      <c r="N788" t="n">
        <v>0</v>
      </c>
      <c r="O788" t="n">
        <v>0</v>
      </c>
      <c r="P788" t="n">
        <v>0</v>
      </c>
      <c r="Q788" t="n">
        <v>0</v>
      </c>
      <c r="R788" s="2" t="inlineStr"/>
    </row>
    <row r="789" ht="15" customHeight="1">
      <c r="A789" t="inlineStr">
        <is>
          <t>A 32639-2023</t>
        </is>
      </c>
      <c r="B789" s="1" t="n">
        <v>45121.5965162037</v>
      </c>
      <c r="C789" s="1" t="n">
        <v>46101</v>
      </c>
      <c r="D789" t="inlineStr">
        <is>
          <t>KALMAR LÄN</t>
        </is>
      </c>
      <c r="E789" t="inlineStr">
        <is>
          <t>VIMMERBY</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32642-2023</t>
        </is>
      </c>
      <c r="B790" s="1" t="n">
        <v>45121.59954861111</v>
      </c>
      <c r="C790" s="1" t="n">
        <v>46101</v>
      </c>
      <c r="D790" t="inlineStr">
        <is>
          <t>KALMAR LÄN</t>
        </is>
      </c>
      <c r="E790" t="inlineStr">
        <is>
          <t>VIMMERBY</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32651-2023</t>
        </is>
      </c>
      <c r="B791" s="1" t="n">
        <v>45121.6096875</v>
      </c>
      <c r="C791" s="1" t="n">
        <v>46101</v>
      </c>
      <c r="D791" t="inlineStr">
        <is>
          <t>KALMAR LÄN</t>
        </is>
      </c>
      <c r="E791" t="inlineStr">
        <is>
          <t>VIMMERBY</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40730-2024</t>
        </is>
      </c>
      <c r="B792" s="1" t="n">
        <v>45558.44914351852</v>
      </c>
      <c r="C792" s="1" t="n">
        <v>46101</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46101</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56213-2024</t>
        </is>
      </c>
      <c r="B794" s="1" t="n">
        <v>45624.60141203704</v>
      </c>
      <c r="C794" s="1" t="n">
        <v>46101</v>
      </c>
      <c r="D794" t="inlineStr">
        <is>
          <t>KALMAR LÄN</t>
        </is>
      </c>
      <c r="E794" t="inlineStr">
        <is>
          <t>VIMMERBY</t>
        </is>
      </c>
      <c r="G794" t="n">
        <v>1</v>
      </c>
      <c r="H794" t="n">
        <v>0</v>
      </c>
      <c r="I794" t="n">
        <v>0</v>
      </c>
      <c r="J794" t="n">
        <v>0</v>
      </c>
      <c r="K794" t="n">
        <v>0</v>
      </c>
      <c r="L794" t="n">
        <v>0</v>
      </c>
      <c r="M794" t="n">
        <v>0</v>
      </c>
      <c r="N794" t="n">
        <v>0</v>
      </c>
      <c r="O794" t="n">
        <v>0</v>
      </c>
      <c r="P794" t="n">
        <v>0</v>
      </c>
      <c r="Q794" t="n">
        <v>0</v>
      </c>
      <c r="R794" s="2" t="inlineStr"/>
    </row>
    <row r="795" ht="15" customHeight="1">
      <c r="A795" t="inlineStr">
        <is>
          <t>A 20126-2024</t>
        </is>
      </c>
      <c r="B795" s="1" t="n">
        <v>45434.55471064815</v>
      </c>
      <c r="C795" s="1" t="n">
        <v>46101</v>
      </c>
      <c r="D795" t="inlineStr">
        <is>
          <t>KALMAR LÄN</t>
        </is>
      </c>
      <c r="E795" t="inlineStr">
        <is>
          <t>VIMMERBY</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19865-2021</t>
        </is>
      </c>
      <c r="B796" s="1" t="n">
        <v>44312</v>
      </c>
      <c r="C796" s="1" t="n">
        <v>46101</v>
      </c>
      <c r="D796" t="inlineStr">
        <is>
          <t>KALMAR LÄN</t>
        </is>
      </c>
      <c r="E796" t="inlineStr">
        <is>
          <t>VIMMERBY</t>
        </is>
      </c>
      <c r="G796" t="n">
        <v>8.6</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44984.45895833334</v>
      </c>
      <c r="C797" s="1" t="n">
        <v>46101</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46101</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6216-2025</t>
        </is>
      </c>
      <c r="B799" s="1" t="n">
        <v>45698.52806712963</v>
      </c>
      <c r="C799" s="1" t="n">
        <v>46101</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7944-2024</t>
        </is>
      </c>
      <c r="B800" s="1" t="n">
        <v>45350.53306712963</v>
      </c>
      <c r="C800" s="1" t="n">
        <v>46101</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598-2025</t>
        </is>
      </c>
      <c r="B801" s="1" t="n">
        <v>45660</v>
      </c>
      <c r="C801" s="1" t="n">
        <v>46101</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10807-2024</t>
        </is>
      </c>
      <c r="B802" s="1" t="n">
        <v>45369.62780092593</v>
      </c>
      <c r="C802" s="1" t="n">
        <v>46101</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40260-2024</t>
        </is>
      </c>
      <c r="B803" s="1" t="n">
        <v>45554.63225694445</v>
      </c>
      <c r="C803" s="1" t="n">
        <v>46101</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10787-2025</t>
        </is>
      </c>
      <c r="B804" s="1" t="n">
        <v>45722.48915509259</v>
      </c>
      <c r="C804" s="1" t="n">
        <v>46101</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58577-2024</t>
        </is>
      </c>
      <c r="B805" s="1" t="n">
        <v>45635.4874537037</v>
      </c>
      <c r="C805" s="1" t="n">
        <v>46101</v>
      </c>
      <c r="D805" t="inlineStr">
        <is>
          <t>KALMAR LÄN</t>
        </is>
      </c>
      <c r="E805" t="inlineStr">
        <is>
          <t>VIMMERBY</t>
        </is>
      </c>
      <c r="G805" t="n">
        <v>1.1</v>
      </c>
      <c r="H805" t="n">
        <v>0</v>
      </c>
      <c r="I805" t="n">
        <v>0</v>
      </c>
      <c r="J805" t="n">
        <v>0</v>
      </c>
      <c r="K805" t="n">
        <v>0</v>
      </c>
      <c r="L805" t="n">
        <v>0</v>
      </c>
      <c r="M805" t="n">
        <v>0</v>
      </c>
      <c r="N805" t="n">
        <v>0</v>
      </c>
      <c r="O805" t="n">
        <v>0</v>
      </c>
      <c r="P805" t="n">
        <v>0</v>
      </c>
      <c r="Q805" t="n">
        <v>0</v>
      </c>
      <c r="R805" s="2" t="inlineStr"/>
    </row>
    <row r="806" ht="15" customHeight="1">
      <c r="A806" t="inlineStr">
        <is>
          <t>A 38198-2024</t>
        </is>
      </c>
      <c r="B806" s="1" t="n">
        <v>45545.49508101852</v>
      </c>
      <c r="C806" s="1" t="n">
        <v>46101</v>
      </c>
      <c r="D806" t="inlineStr">
        <is>
          <t>KALMAR LÄN</t>
        </is>
      </c>
      <c r="E806" t="inlineStr">
        <is>
          <t>VIMMERBY</t>
        </is>
      </c>
      <c r="G806" t="n">
        <v>7.9</v>
      </c>
      <c r="H806" t="n">
        <v>0</v>
      </c>
      <c r="I806" t="n">
        <v>0</v>
      </c>
      <c r="J806" t="n">
        <v>0</v>
      </c>
      <c r="K806" t="n">
        <v>0</v>
      </c>
      <c r="L806" t="n">
        <v>0</v>
      </c>
      <c r="M806" t="n">
        <v>0</v>
      </c>
      <c r="N806" t="n">
        <v>0</v>
      </c>
      <c r="O806" t="n">
        <v>0</v>
      </c>
      <c r="P806" t="n">
        <v>0</v>
      </c>
      <c r="Q806" t="n">
        <v>0</v>
      </c>
      <c r="R806" s="2" t="inlineStr"/>
    </row>
    <row r="807" ht="15" customHeight="1">
      <c r="A807" t="inlineStr">
        <is>
          <t>A 43617-2024</t>
        </is>
      </c>
      <c r="B807" s="1" t="n">
        <v>45569.47494212963</v>
      </c>
      <c r="C807" s="1" t="n">
        <v>46101</v>
      </c>
      <c r="D807" t="inlineStr">
        <is>
          <t>KALMAR LÄN</t>
        </is>
      </c>
      <c r="E807" t="inlineStr">
        <is>
          <t>VIMMERBY</t>
        </is>
      </c>
      <c r="G807" t="n">
        <v>2.7</v>
      </c>
      <c r="H807" t="n">
        <v>0</v>
      </c>
      <c r="I807" t="n">
        <v>0</v>
      </c>
      <c r="J807" t="n">
        <v>0</v>
      </c>
      <c r="K807" t="n">
        <v>0</v>
      </c>
      <c r="L807" t="n">
        <v>0</v>
      </c>
      <c r="M807" t="n">
        <v>0</v>
      </c>
      <c r="N807" t="n">
        <v>0</v>
      </c>
      <c r="O807" t="n">
        <v>0</v>
      </c>
      <c r="P807" t="n">
        <v>0</v>
      </c>
      <c r="Q807" t="n">
        <v>0</v>
      </c>
      <c r="R807" s="2" t="inlineStr"/>
    </row>
    <row r="808" ht="15" customHeight="1">
      <c r="A808" t="inlineStr">
        <is>
          <t>A 22264-2023</t>
        </is>
      </c>
      <c r="B808" s="1" t="n">
        <v>45070.3665625</v>
      </c>
      <c r="C808" s="1" t="n">
        <v>46101</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22266-2023</t>
        </is>
      </c>
      <c r="B809" s="1" t="n">
        <v>45070</v>
      </c>
      <c r="C809" s="1" t="n">
        <v>46101</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50091-2023</t>
        </is>
      </c>
      <c r="B810" s="1" t="n">
        <v>45215.60199074074</v>
      </c>
      <c r="C810" s="1" t="n">
        <v>46101</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10303-2025</t>
        </is>
      </c>
      <c r="B811" s="1" t="n">
        <v>45720.44217592593</v>
      </c>
      <c r="C811" s="1" t="n">
        <v>46101</v>
      </c>
      <c r="D811" t="inlineStr">
        <is>
          <t>KALMAR LÄN</t>
        </is>
      </c>
      <c r="E811" t="inlineStr">
        <is>
          <t>VIMMERBY</t>
        </is>
      </c>
      <c r="G811" t="n">
        <v>0.9</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44991.89657407408</v>
      </c>
      <c r="C812" s="1" t="n">
        <v>46101</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44994.46908564815</v>
      </c>
      <c r="C813" s="1" t="n">
        <v>46101</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36155-2023</t>
        </is>
      </c>
      <c r="B814" s="1" t="n">
        <v>45149.60917824074</v>
      </c>
      <c r="C814" s="1" t="n">
        <v>46101</v>
      </c>
      <c r="D814" t="inlineStr">
        <is>
          <t>KALMAR LÄN</t>
        </is>
      </c>
      <c r="E814" t="inlineStr">
        <is>
          <t>VIMMERBY</t>
        </is>
      </c>
      <c r="G814" t="n">
        <v>5</v>
      </c>
      <c r="H814" t="n">
        <v>0</v>
      </c>
      <c r="I814" t="n">
        <v>0</v>
      </c>
      <c r="J814" t="n">
        <v>0</v>
      </c>
      <c r="K814" t="n">
        <v>0</v>
      </c>
      <c r="L814" t="n">
        <v>0</v>
      </c>
      <c r="M814" t="n">
        <v>0</v>
      </c>
      <c r="N814" t="n">
        <v>0</v>
      </c>
      <c r="O814" t="n">
        <v>0</v>
      </c>
      <c r="P814" t="n">
        <v>0</v>
      </c>
      <c r="Q814" t="n">
        <v>0</v>
      </c>
      <c r="R814" s="2" t="inlineStr"/>
    </row>
    <row r="815" ht="15" customHeight="1">
      <c r="A815" t="inlineStr">
        <is>
          <t>A 40147-2023</t>
        </is>
      </c>
      <c r="B815" s="1" t="n">
        <v>45169</v>
      </c>
      <c r="C815" s="1" t="n">
        <v>46101</v>
      </c>
      <c r="D815" t="inlineStr">
        <is>
          <t>KALMAR LÄN</t>
        </is>
      </c>
      <c r="E815" t="inlineStr">
        <is>
          <t>VIMMERBY</t>
        </is>
      </c>
      <c r="G815" t="n">
        <v>1.7</v>
      </c>
      <c r="H815" t="n">
        <v>0</v>
      </c>
      <c r="I815" t="n">
        <v>0</v>
      </c>
      <c r="J815" t="n">
        <v>0</v>
      </c>
      <c r="K815" t="n">
        <v>0</v>
      </c>
      <c r="L815" t="n">
        <v>0</v>
      </c>
      <c r="M815" t="n">
        <v>0</v>
      </c>
      <c r="N815" t="n">
        <v>0</v>
      </c>
      <c r="O815" t="n">
        <v>0</v>
      </c>
      <c r="P815" t="n">
        <v>0</v>
      </c>
      <c r="Q815" t="n">
        <v>0</v>
      </c>
      <c r="R815" s="2" t="inlineStr"/>
    </row>
    <row r="816" ht="15" customHeight="1">
      <c r="A816" t="inlineStr">
        <is>
          <t>A 63950-2023</t>
        </is>
      </c>
      <c r="B816" s="1" t="n">
        <v>45278</v>
      </c>
      <c r="C816" s="1" t="n">
        <v>46101</v>
      </c>
      <c r="D816" t="inlineStr">
        <is>
          <t>KALMAR LÄN</t>
        </is>
      </c>
      <c r="E816" t="inlineStr">
        <is>
          <t>VIMMERBY</t>
        </is>
      </c>
      <c r="F816" t="inlineStr">
        <is>
          <t>Kyrkan</t>
        </is>
      </c>
      <c r="G816" t="n">
        <v>2.7</v>
      </c>
      <c r="H816" t="n">
        <v>0</v>
      </c>
      <c r="I816" t="n">
        <v>0</v>
      </c>
      <c r="J816" t="n">
        <v>0</v>
      </c>
      <c r="K816" t="n">
        <v>0</v>
      </c>
      <c r="L816" t="n">
        <v>0</v>
      </c>
      <c r="M816" t="n">
        <v>0</v>
      </c>
      <c r="N816" t="n">
        <v>0</v>
      </c>
      <c r="O816" t="n">
        <v>0</v>
      </c>
      <c r="P816" t="n">
        <v>0</v>
      </c>
      <c r="Q816" t="n">
        <v>0</v>
      </c>
      <c r="R816" s="2" t="inlineStr"/>
    </row>
    <row r="817" ht="15" customHeight="1">
      <c r="A817" t="inlineStr">
        <is>
          <t>A 24096-2024</t>
        </is>
      </c>
      <c r="B817" s="1" t="n">
        <v>45456.59289351852</v>
      </c>
      <c r="C817" s="1" t="n">
        <v>46101</v>
      </c>
      <c r="D817" t="inlineStr">
        <is>
          <t>KALMAR LÄN</t>
        </is>
      </c>
      <c r="E817" t="inlineStr">
        <is>
          <t>VIMMERBY</t>
        </is>
      </c>
      <c r="G817" t="n">
        <v>2.3</v>
      </c>
      <c r="H817" t="n">
        <v>0</v>
      </c>
      <c r="I817" t="n">
        <v>0</v>
      </c>
      <c r="J817" t="n">
        <v>0</v>
      </c>
      <c r="K817" t="n">
        <v>0</v>
      </c>
      <c r="L817" t="n">
        <v>0</v>
      </c>
      <c r="M817" t="n">
        <v>0</v>
      </c>
      <c r="N817" t="n">
        <v>0</v>
      </c>
      <c r="O817" t="n">
        <v>0</v>
      </c>
      <c r="P817" t="n">
        <v>0</v>
      </c>
      <c r="Q817" t="n">
        <v>0</v>
      </c>
      <c r="R817" s="2" t="inlineStr"/>
    </row>
    <row r="818" ht="15" customHeight="1">
      <c r="A818" t="inlineStr">
        <is>
          <t>A 13015-2023</t>
        </is>
      </c>
      <c r="B818" s="1" t="n">
        <v>45002</v>
      </c>
      <c r="C818" s="1" t="n">
        <v>46101</v>
      </c>
      <c r="D818" t="inlineStr">
        <is>
          <t>KALMAR LÄN</t>
        </is>
      </c>
      <c r="E818" t="inlineStr">
        <is>
          <t>VIMMERBY</t>
        </is>
      </c>
      <c r="G818" t="n">
        <v>3.2</v>
      </c>
      <c r="H818" t="n">
        <v>0</v>
      </c>
      <c r="I818" t="n">
        <v>0</v>
      </c>
      <c r="J818" t="n">
        <v>0</v>
      </c>
      <c r="K818" t="n">
        <v>0</v>
      </c>
      <c r="L818" t="n">
        <v>0</v>
      </c>
      <c r="M818" t="n">
        <v>0</v>
      </c>
      <c r="N818" t="n">
        <v>0</v>
      </c>
      <c r="O818" t="n">
        <v>0</v>
      </c>
      <c r="P818" t="n">
        <v>0</v>
      </c>
      <c r="Q818" t="n">
        <v>0</v>
      </c>
      <c r="R818" s="2" t="inlineStr"/>
    </row>
    <row r="819" ht="15" customHeight="1">
      <c r="A819" t="inlineStr">
        <is>
          <t>A 41199-2023</t>
        </is>
      </c>
      <c r="B819" s="1" t="n">
        <v>45174.40454861111</v>
      </c>
      <c r="C819" s="1" t="n">
        <v>46101</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36014-2024</t>
        </is>
      </c>
      <c r="B820" s="1" t="n">
        <v>45533.56108796296</v>
      </c>
      <c r="C820" s="1" t="n">
        <v>46101</v>
      </c>
      <c r="D820" t="inlineStr">
        <is>
          <t>KALMAR LÄN</t>
        </is>
      </c>
      <c r="E820" t="inlineStr">
        <is>
          <t>VIMMERBY</t>
        </is>
      </c>
      <c r="G820" t="n">
        <v>2.3</v>
      </c>
      <c r="H820" t="n">
        <v>0</v>
      </c>
      <c r="I820" t="n">
        <v>0</v>
      </c>
      <c r="J820" t="n">
        <v>0</v>
      </c>
      <c r="K820" t="n">
        <v>0</v>
      </c>
      <c r="L820" t="n">
        <v>0</v>
      </c>
      <c r="M820" t="n">
        <v>0</v>
      </c>
      <c r="N820" t="n">
        <v>0</v>
      </c>
      <c r="O820" t="n">
        <v>0</v>
      </c>
      <c r="P820" t="n">
        <v>0</v>
      </c>
      <c r="Q820" t="n">
        <v>0</v>
      </c>
      <c r="R820" s="2" t="inlineStr"/>
    </row>
    <row r="821" ht="15" customHeight="1">
      <c r="A821" t="inlineStr">
        <is>
          <t>A 36030-2024</t>
        </is>
      </c>
      <c r="B821" s="1" t="n">
        <v>45533.58302083334</v>
      </c>
      <c r="C821" s="1" t="n">
        <v>46101</v>
      </c>
      <c r="D821" t="inlineStr">
        <is>
          <t>KALMAR LÄN</t>
        </is>
      </c>
      <c r="E821" t="inlineStr">
        <is>
          <t>VIMMERBY</t>
        </is>
      </c>
      <c r="F821" t="inlineStr">
        <is>
          <t>Kommuner</t>
        </is>
      </c>
      <c r="G821" t="n">
        <v>4</v>
      </c>
      <c r="H821" t="n">
        <v>0</v>
      </c>
      <c r="I821" t="n">
        <v>0</v>
      </c>
      <c r="J821" t="n">
        <v>0</v>
      </c>
      <c r="K821" t="n">
        <v>0</v>
      </c>
      <c r="L821" t="n">
        <v>0</v>
      </c>
      <c r="M821" t="n">
        <v>0</v>
      </c>
      <c r="N821" t="n">
        <v>0</v>
      </c>
      <c r="O821" t="n">
        <v>0</v>
      </c>
      <c r="P821" t="n">
        <v>0</v>
      </c>
      <c r="Q821" t="n">
        <v>0</v>
      </c>
      <c r="R821" s="2" t="inlineStr"/>
    </row>
    <row r="822" ht="15" customHeight="1">
      <c r="A822" t="inlineStr">
        <is>
          <t>A 6321-2023</t>
        </is>
      </c>
      <c r="B822" s="1" t="n">
        <v>44965.4815162037</v>
      </c>
      <c r="C822" s="1" t="n">
        <v>46101</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52755-2022</t>
        </is>
      </c>
      <c r="B823" s="1" t="n">
        <v>44875.27736111111</v>
      </c>
      <c r="C823" s="1" t="n">
        <v>46101</v>
      </c>
      <c r="D823" t="inlineStr">
        <is>
          <t>KALMAR LÄN</t>
        </is>
      </c>
      <c r="E823" t="inlineStr">
        <is>
          <t>VIMMERBY</t>
        </is>
      </c>
      <c r="G823" t="n">
        <v>1.1</v>
      </c>
      <c r="H823" t="n">
        <v>0</v>
      </c>
      <c r="I823" t="n">
        <v>0</v>
      </c>
      <c r="J823" t="n">
        <v>0</v>
      </c>
      <c r="K823" t="n">
        <v>0</v>
      </c>
      <c r="L823" t="n">
        <v>0</v>
      </c>
      <c r="M823" t="n">
        <v>0</v>
      </c>
      <c r="N823" t="n">
        <v>0</v>
      </c>
      <c r="O823" t="n">
        <v>0</v>
      </c>
      <c r="P823" t="n">
        <v>0</v>
      </c>
      <c r="Q823" t="n">
        <v>0</v>
      </c>
      <c r="R823" s="2" t="inlineStr"/>
    </row>
    <row r="824" ht="15" customHeight="1">
      <c r="A824" t="inlineStr">
        <is>
          <t>A 40823-2023</t>
        </is>
      </c>
      <c r="B824" s="1" t="n">
        <v>45171.77335648148</v>
      </c>
      <c r="C824" s="1" t="n">
        <v>46101</v>
      </c>
      <c r="D824" t="inlineStr">
        <is>
          <t>KALMAR LÄN</t>
        </is>
      </c>
      <c r="E824" t="inlineStr">
        <is>
          <t>VIMMERBY</t>
        </is>
      </c>
      <c r="G824" t="n">
        <v>2.7</v>
      </c>
      <c r="H824" t="n">
        <v>0</v>
      </c>
      <c r="I824" t="n">
        <v>0</v>
      </c>
      <c r="J824" t="n">
        <v>0</v>
      </c>
      <c r="K824" t="n">
        <v>0</v>
      </c>
      <c r="L824" t="n">
        <v>0</v>
      </c>
      <c r="M824" t="n">
        <v>0</v>
      </c>
      <c r="N824" t="n">
        <v>0</v>
      </c>
      <c r="O824" t="n">
        <v>0</v>
      </c>
      <c r="P824" t="n">
        <v>0</v>
      </c>
      <c r="Q824" t="n">
        <v>0</v>
      </c>
      <c r="R824" s="2" t="inlineStr"/>
    </row>
    <row r="825" ht="15" customHeight="1">
      <c r="A825" t="inlineStr">
        <is>
          <t>A 27761-2024</t>
        </is>
      </c>
      <c r="B825" s="1" t="n">
        <v>45475.49018518518</v>
      </c>
      <c r="C825" s="1" t="n">
        <v>46101</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21028-2023</t>
        </is>
      </c>
      <c r="B826" s="1" t="n">
        <v>45061</v>
      </c>
      <c r="C826" s="1" t="n">
        <v>46101</v>
      </c>
      <c r="D826" t="inlineStr">
        <is>
          <t>KALMAR LÄN</t>
        </is>
      </c>
      <c r="E826" t="inlineStr">
        <is>
          <t>VIMMERBY</t>
        </is>
      </c>
      <c r="F826" t="inlineStr">
        <is>
          <t>Övriga Aktiebolag</t>
        </is>
      </c>
      <c r="G826" t="n">
        <v>0.7</v>
      </c>
      <c r="H826" t="n">
        <v>0</v>
      </c>
      <c r="I826" t="n">
        <v>0</v>
      </c>
      <c r="J826" t="n">
        <v>0</v>
      </c>
      <c r="K826" t="n">
        <v>0</v>
      </c>
      <c r="L826" t="n">
        <v>0</v>
      </c>
      <c r="M826" t="n">
        <v>0</v>
      </c>
      <c r="N826" t="n">
        <v>0</v>
      </c>
      <c r="O826" t="n">
        <v>0</v>
      </c>
      <c r="P826" t="n">
        <v>0</v>
      </c>
      <c r="Q826" t="n">
        <v>0</v>
      </c>
      <c r="R826" s="2" t="inlineStr"/>
    </row>
    <row r="827" ht="15" customHeight="1">
      <c r="A827" t="inlineStr">
        <is>
          <t>A 64203-2021</t>
        </is>
      </c>
      <c r="B827" s="1" t="n">
        <v>44510.60921296296</v>
      </c>
      <c r="C827" s="1" t="n">
        <v>46101</v>
      </c>
      <c r="D827" t="inlineStr">
        <is>
          <t>KALMAR LÄN</t>
        </is>
      </c>
      <c r="E827" t="inlineStr">
        <is>
          <t>VIMMERBY</t>
        </is>
      </c>
      <c r="F827" t="inlineStr">
        <is>
          <t>Övriga Aktiebolag</t>
        </is>
      </c>
      <c r="G827" t="n">
        <v>5.4</v>
      </c>
      <c r="H827" t="n">
        <v>0</v>
      </c>
      <c r="I827" t="n">
        <v>0</v>
      </c>
      <c r="J827" t="n">
        <v>0</v>
      </c>
      <c r="K827" t="n">
        <v>0</v>
      </c>
      <c r="L827" t="n">
        <v>0</v>
      </c>
      <c r="M827" t="n">
        <v>0</v>
      </c>
      <c r="N827" t="n">
        <v>0</v>
      </c>
      <c r="O827" t="n">
        <v>0</v>
      </c>
      <c r="P827" t="n">
        <v>0</v>
      </c>
      <c r="Q827" t="n">
        <v>0</v>
      </c>
      <c r="R827" s="2" t="inlineStr"/>
    </row>
    <row r="828" ht="15" customHeight="1">
      <c r="A828" t="inlineStr">
        <is>
          <t>A 1016-2024</t>
        </is>
      </c>
      <c r="B828" s="1" t="n">
        <v>45301</v>
      </c>
      <c r="C828" s="1" t="n">
        <v>46101</v>
      </c>
      <c r="D828" t="inlineStr">
        <is>
          <t>KALMAR LÄN</t>
        </is>
      </c>
      <c r="E828" t="inlineStr">
        <is>
          <t>VIMMERBY</t>
        </is>
      </c>
      <c r="G828" t="n">
        <v>1</v>
      </c>
      <c r="H828" t="n">
        <v>0</v>
      </c>
      <c r="I828" t="n">
        <v>0</v>
      </c>
      <c r="J828" t="n">
        <v>0</v>
      </c>
      <c r="K828" t="n">
        <v>0</v>
      </c>
      <c r="L828" t="n">
        <v>0</v>
      </c>
      <c r="M828" t="n">
        <v>0</v>
      </c>
      <c r="N828" t="n">
        <v>0</v>
      </c>
      <c r="O828" t="n">
        <v>0</v>
      </c>
      <c r="P828" t="n">
        <v>0</v>
      </c>
      <c r="Q828" t="n">
        <v>0</v>
      </c>
      <c r="R828" s="2" t="inlineStr"/>
    </row>
    <row r="829" ht="15" customHeight="1">
      <c r="A829" t="inlineStr">
        <is>
          <t>A 1024-2024</t>
        </is>
      </c>
      <c r="B829" s="1" t="n">
        <v>45301.68237268519</v>
      </c>
      <c r="C829" s="1" t="n">
        <v>46101</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27758-2024</t>
        </is>
      </c>
      <c r="B830" s="1" t="n">
        <v>45475.48303240741</v>
      </c>
      <c r="C830" s="1" t="n">
        <v>46101</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32865-2023</t>
        </is>
      </c>
      <c r="B831" s="1" t="n">
        <v>45124</v>
      </c>
      <c r="C831" s="1" t="n">
        <v>46101</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22194-2024</t>
        </is>
      </c>
      <c r="B832" s="1" t="n">
        <v>45446.36482638889</v>
      </c>
      <c r="C832" s="1" t="n">
        <v>46101</v>
      </c>
      <c r="D832" t="inlineStr">
        <is>
          <t>KALMAR LÄN</t>
        </is>
      </c>
      <c r="E832" t="inlineStr">
        <is>
          <t>VIMMERBY</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17926-2025</t>
        </is>
      </c>
      <c r="B833" s="1" t="n">
        <v>45759.38987268518</v>
      </c>
      <c r="C833" s="1" t="n">
        <v>46101</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35127-2024</t>
        </is>
      </c>
      <c r="B834" s="1" t="n">
        <v>45530.33202546297</v>
      </c>
      <c r="C834" s="1" t="n">
        <v>46101</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33383-2023</t>
        </is>
      </c>
      <c r="B835" s="1" t="n">
        <v>45128.58414351852</v>
      </c>
      <c r="C835" s="1" t="n">
        <v>46101</v>
      </c>
      <c r="D835" t="inlineStr">
        <is>
          <t>KALMAR LÄN</t>
        </is>
      </c>
      <c r="E835" t="inlineStr">
        <is>
          <t>VIMMERBY</t>
        </is>
      </c>
      <c r="G835" t="n">
        <v>2.3</v>
      </c>
      <c r="H835" t="n">
        <v>0</v>
      </c>
      <c r="I835" t="n">
        <v>0</v>
      </c>
      <c r="J835" t="n">
        <v>0</v>
      </c>
      <c r="K835" t="n">
        <v>0</v>
      </c>
      <c r="L835" t="n">
        <v>0</v>
      </c>
      <c r="M835" t="n">
        <v>0</v>
      </c>
      <c r="N835" t="n">
        <v>0</v>
      </c>
      <c r="O835" t="n">
        <v>0</v>
      </c>
      <c r="P835" t="n">
        <v>0</v>
      </c>
      <c r="Q835" t="n">
        <v>0</v>
      </c>
      <c r="R835" s="2" t="inlineStr"/>
    </row>
    <row r="836" ht="15" customHeight="1">
      <c r="A836" t="inlineStr">
        <is>
          <t>A 4297-2022</t>
        </is>
      </c>
      <c r="B836" s="1" t="n">
        <v>44588</v>
      </c>
      <c r="C836" s="1" t="n">
        <v>46101</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55716-2023</t>
        </is>
      </c>
      <c r="B837" s="1" t="n">
        <v>45232</v>
      </c>
      <c r="C837" s="1" t="n">
        <v>46101</v>
      </c>
      <c r="D837" t="inlineStr">
        <is>
          <t>KALMAR LÄN</t>
        </is>
      </c>
      <c r="E837" t="inlineStr">
        <is>
          <t>VIMMERBY</t>
        </is>
      </c>
      <c r="G837" t="n">
        <v>2.3</v>
      </c>
      <c r="H837" t="n">
        <v>0</v>
      </c>
      <c r="I837" t="n">
        <v>0</v>
      </c>
      <c r="J837" t="n">
        <v>0</v>
      </c>
      <c r="K837" t="n">
        <v>0</v>
      </c>
      <c r="L837" t="n">
        <v>0</v>
      </c>
      <c r="M837" t="n">
        <v>0</v>
      </c>
      <c r="N837" t="n">
        <v>0</v>
      </c>
      <c r="O837" t="n">
        <v>0</v>
      </c>
      <c r="P837" t="n">
        <v>0</v>
      </c>
      <c r="Q837" t="n">
        <v>0</v>
      </c>
      <c r="R837" s="2" t="inlineStr"/>
    </row>
    <row r="838" ht="15" customHeight="1">
      <c r="A838" t="inlineStr">
        <is>
          <t>A 34386-2024</t>
        </is>
      </c>
      <c r="B838" s="1" t="n">
        <v>45525.41762731481</v>
      </c>
      <c r="C838" s="1" t="n">
        <v>46101</v>
      </c>
      <c r="D838" t="inlineStr">
        <is>
          <t>KALMAR LÄN</t>
        </is>
      </c>
      <c r="E838" t="inlineStr">
        <is>
          <t>VIMMERBY</t>
        </is>
      </c>
      <c r="G838" t="n">
        <v>0.3</v>
      </c>
      <c r="H838" t="n">
        <v>0</v>
      </c>
      <c r="I838" t="n">
        <v>0</v>
      </c>
      <c r="J838" t="n">
        <v>0</v>
      </c>
      <c r="K838" t="n">
        <v>0</v>
      </c>
      <c r="L838" t="n">
        <v>0</v>
      </c>
      <c r="M838" t="n">
        <v>0</v>
      </c>
      <c r="N838" t="n">
        <v>0</v>
      </c>
      <c r="O838" t="n">
        <v>0</v>
      </c>
      <c r="P838" t="n">
        <v>0</v>
      </c>
      <c r="Q838" t="n">
        <v>0</v>
      </c>
      <c r="R838" s="2" t="inlineStr"/>
    </row>
    <row r="839" ht="15" customHeight="1">
      <c r="A839" t="inlineStr">
        <is>
          <t>A 42429-2024</t>
        </is>
      </c>
      <c r="B839" s="1" t="n">
        <v>45565.40657407408</v>
      </c>
      <c r="C839" s="1" t="n">
        <v>46101</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11946-2025</t>
        </is>
      </c>
      <c r="B840" s="1" t="n">
        <v>45728.54832175926</v>
      </c>
      <c r="C840" s="1" t="n">
        <v>46101</v>
      </c>
      <c r="D840" t="inlineStr">
        <is>
          <t>KALMAR LÄN</t>
        </is>
      </c>
      <c r="E840" t="inlineStr">
        <is>
          <t>VIMMERBY</t>
        </is>
      </c>
      <c r="G840" t="n">
        <v>0.4</v>
      </c>
      <c r="H840" t="n">
        <v>0</v>
      </c>
      <c r="I840" t="n">
        <v>0</v>
      </c>
      <c r="J840" t="n">
        <v>0</v>
      </c>
      <c r="K840" t="n">
        <v>0</v>
      </c>
      <c r="L840" t="n">
        <v>0</v>
      </c>
      <c r="M840" t="n">
        <v>0</v>
      </c>
      <c r="N840" t="n">
        <v>0</v>
      </c>
      <c r="O840" t="n">
        <v>0</v>
      </c>
      <c r="P840" t="n">
        <v>0</v>
      </c>
      <c r="Q840" t="n">
        <v>0</v>
      </c>
      <c r="R840" s="2" t="inlineStr"/>
    </row>
    <row r="841" ht="15" customHeight="1">
      <c r="A841" t="inlineStr">
        <is>
          <t>A 59943-2023</t>
        </is>
      </c>
      <c r="B841" s="1" t="n">
        <v>45257.67958333333</v>
      </c>
      <c r="C841" s="1" t="n">
        <v>46101</v>
      </c>
      <c r="D841" t="inlineStr">
        <is>
          <t>KALMAR LÄN</t>
        </is>
      </c>
      <c r="E841" t="inlineStr">
        <is>
          <t>VIMMERBY</t>
        </is>
      </c>
      <c r="G841" t="n">
        <v>6.4</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46101</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51881-2024</t>
        </is>
      </c>
      <c r="B843" s="1" t="n">
        <v>45607.56773148148</v>
      </c>
      <c r="C843" s="1" t="n">
        <v>46101</v>
      </c>
      <c r="D843" t="inlineStr">
        <is>
          <t>KALMAR LÄN</t>
        </is>
      </c>
      <c r="E843" t="inlineStr">
        <is>
          <t>VIMMERBY</t>
        </is>
      </c>
      <c r="G843" t="n">
        <v>3.4</v>
      </c>
      <c r="H843" t="n">
        <v>0</v>
      </c>
      <c r="I843" t="n">
        <v>0</v>
      </c>
      <c r="J843" t="n">
        <v>0</v>
      </c>
      <c r="K843" t="n">
        <v>0</v>
      </c>
      <c r="L843" t="n">
        <v>0</v>
      </c>
      <c r="M843" t="n">
        <v>0</v>
      </c>
      <c r="N843" t="n">
        <v>0</v>
      </c>
      <c r="O843" t="n">
        <v>0</v>
      </c>
      <c r="P843" t="n">
        <v>0</v>
      </c>
      <c r="Q843" t="n">
        <v>0</v>
      </c>
      <c r="R843" s="2" t="inlineStr"/>
    </row>
    <row r="844" ht="15" customHeight="1">
      <c r="A844" t="inlineStr">
        <is>
          <t>A 1021-2024</t>
        </is>
      </c>
      <c r="B844" s="1" t="n">
        <v>45301.67736111111</v>
      </c>
      <c r="C844" s="1" t="n">
        <v>46101</v>
      </c>
      <c r="D844" t="inlineStr">
        <is>
          <t>KALMAR LÄN</t>
        </is>
      </c>
      <c r="E844" t="inlineStr">
        <is>
          <t>VIMMERBY</t>
        </is>
      </c>
      <c r="G844" t="n">
        <v>1</v>
      </c>
      <c r="H844" t="n">
        <v>0</v>
      </c>
      <c r="I844" t="n">
        <v>0</v>
      </c>
      <c r="J844" t="n">
        <v>0</v>
      </c>
      <c r="K844" t="n">
        <v>0</v>
      </c>
      <c r="L844" t="n">
        <v>0</v>
      </c>
      <c r="M844" t="n">
        <v>0</v>
      </c>
      <c r="N844" t="n">
        <v>0</v>
      </c>
      <c r="O844" t="n">
        <v>0</v>
      </c>
      <c r="P844" t="n">
        <v>0</v>
      </c>
      <c r="Q844" t="n">
        <v>0</v>
      </c>
      <c r="R844" s="2" t="inlineStr"/>
    </row>
    <row r="845" ht="15" customHeight="1">
      <c r="A845" t="inlineStr">
        <is>
          <t>A 32569-2024</t>
        </is>
      </c>
      <c r="B845" s="1" t="n">
        <v>45513.55840277778</v>
      </c>
      <c r="C845" s="1" t="n">
        <v>46101</v>
      </c>
      <c r="D845" t="inlineStr">
        <is>
          <t>KALMAR LÄN</t>
        </is>
      </c>
      <c r="E845" t="inlineStr">
        <is>
          <t>VIMMERBY</t>
        </is>
      </c>
      <c r="G845" t="n">
        <v>3.7</v>
      </c>
      <c r="H845" t="n">
        <v>0</v>
      </c>
      <c r="I845" t="n">
        <v>0</v>
      </c>
      <c r="J845" t="n">
        <v>0</v>
      </c>
      <c r="K845" t="n">
        <v>0</v>
      </c>
      <c r="L845" t="n">
        <v>0</v>
      </c>
      <c r="M845" t="n">
        <v>0</v>
      </c>
      <c r="N845" t="n">
        <v>0</v>
      </c>
      <c r="O845" t="n">
        <v>0</v>
      </c>
      <c r="P845" t="n">
        <v>0</v>
      </c>
      <c r="Q845" t="n">
        <v>0</v>
      </c>
      <c r="R845" s="2" t="inlineStr"/>
    </row>
    <row r="846" ht="15" customHeight="1">
      <c r="A846" t="inlineStr">
        <is>
          <t>A 32575-2024</t>
        </is>
      </c>
      <c r="B846" s="1" t="n">
        <v>45513.56527777778</v>
      </c>
      <c r="C846" s="1" t="n">
        <v>46101</v>
      </c>
      <c r="D846" t="inlineStr">
        <is>
          <t>KALMAR LÄN</t>
        </is>
      </c>
      <c r="E846" t="inlineStr">
        <is>
          <t>VIMMERBY</t>
        </is>
      </c>
      <c r="G846" t="n">
        <v>1.5</v>
      </c>
      <c r="H846" t="n">
        <v>0</v>
      </c>
      <c r="I846" t="n">
        <v>0</v>
      </c>
      <c r="J846" t="n">
        <v>0</v>
      </c>
      <c r="K846" t="n">
        <v>0</v>
      </c>
      <c r="L846" t="n">
        <v>0</v>
      </c>
      <c r="M846" t="n">
        <v>0</v>
      </c>
      <c r="N846" t="n">
        <v>0</v>
      </c>
      <c r="O846" t="n">
        <v>0</v>
      </c>
      <c r="P846" t="n">
        <v>0</v>
      </c>
      <c r="Q846" t="n">
        <v>0</v>
      </c>
      <c r="R846" s="2" t="inlineStr"/>
    </row>
    <row r="847" ht="15" customHeight="1">
      <c r="A847" t="inlineStr">
        <is>
          <t>A 30063-2023</t>
        </is>
      </c>
      <c r="B847" s="1" t="n">
        <v>45110.4184375</v>
      </c>
      <c r="C847" s="1" t="n">
        <v>46101</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17482-2024</t>
        </is>
      </c>
      <c r="B848" s="1" t="n">
        <v>45415.47848379629</v>
      </c>
      <c r="C848" s="1" t="n">
        <v>46101</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13817-2024</t>
        </is>
      </c>
      <c r="B849" s="1" t="n">
        <v>45391.41976851852</v>
      </c>
      <c r="C849" s="1" t="n">
        <v>46101</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30406-2023</t>
        </is>
      </c>
      <c r="B850" s="1" t="n">
        <v>45111.48787037037</v>
      </c>
      <c r="C850" s="1" t="n">
        <v>46101</v>
      </c>
      <c r="D850" t="inlineStr">
        <is>
          <t>KALMAR LÄN</t>
        </is>
      </c>
      <c r="E850" t="inlineStr">
        <is>
          <t>VIMMERBY</t>
        </is>
      </c>
      <c r="G850" t="n">
        <v>2.4</v>
      </c>
      <c r="H850" t="n">
        <v>0</v>
      </c>
      <c r="I850" t="n">
        <v>0</v>
      </c>
      <c r="J850" t="n">
        <v>0</v>
      </c>
      <c r="K850" t="n">
        <v>0</v>
      </c>
      <c r="L850" t="n">
        <v>0</v>
      </c>
      <c r="M850" t="n">
        <v>0</v>
      </c>
      <c r="N850" t="n">
        <v>0</v>
      </c>
      <c r="O850" t="n">
        <v>0</v>
      </c>
      <c r="P850" t="n">
        <v>0</v>
      </c>
      <c r="Q850" t="n">
        <v>0</v>
      </c>
      <c r="R850" s="2" t="inlineStr"/>
    </row>
    <row r="851" ht="15" customHeight="1">
      <c r="A851" t="inlineStr">
        <is>
          <t>A 29020-2024</t>
        </is>
      </c>
      <c r="B851" s="1" t="n">
        <v>45481.58048611111</v>
      </c>
      <c r="C851" s="1" t="n">
        <v>46101</v>
      </c>
      <c r="D851" t="inlineStr">
        <is>
          <t>KALMAR LÄN</t>
        </is>
      </c>
      <c r="E851" t="inlineStr">
        <is>
          <t>VIMMERBY</t>
        </is>
      </c>
      <c r="G851" t="n">
        <v>2.3</v>
      </c>
      <c r="H851" t="n">
        <v>0</v>
      </c>
      <c r="I851" t="n">
        <v>0</v>
      </c>
      <c r="J851" t="n">
        <v>0</v>
      </c>
      <c r="K851" t="n">
        <v>0</v>
      </c>
      <c r="L851" t="n">
        <v>0</v>
      </c>
      <c r="M851" t="n">
        <v>0</v>
      </c>
      <c r="N851" t="n">
        <v>0</v>
      </c>
      <c r="O851" t="n">
        <v>0</v>
      </c>
      <c r="P851" t="n">
        <v>0</v>
      </c>
      <c r="Q851" t="n">
        <v>0</v>
      </c>
      <c r="R851" s="2" t="inlineStr"/>
    </row>
    <row r="852" ht="15" customHeight="1">
      <c r="A852" t="inlineStr">
        <is>
          <t>A 25582-2024</t>
        </is>
      </c>
      <c r="B852" s="1" t="n">
        <v>45463</v>
      </c>
      <c r="C852" s="1" t="n">
        <v>46101</v>
      </c>
      <c r="D852" t="inlineStr">
        <is>
          <t>KALMAR LÄN</t>
        </is>
      </c>
      <c r="E852" t="inlineStr">
        <is>
          <t>VIMMERBY</t>
        </is>
      </c>
      <c r="G852" t="n">
        <v>1.4</v>
      </c>
      <c r="H852" t="n">
        <v>0</v>
      </c>
      <c r="I852" t="n">
        <v>0</v>
      </c>
      <c r="J852" t="n">
        <v>0</v>
      </c>
      <c r="K852" t="n">
        <v>0</v>
      </c>
      <c r="L852" t="n">
        <v>0</v>
      </c>
      <c r="M852" t="n">
        <v>0</v>
      </c>
      <c r="N852" t="n">
        <v>0</v>
      </c>
      <c r="O852" t="n">
        <v>0</v>
      </c>
      <c r="P852" t="n">
        <v>0</v>
      </c>
      <c r="Q852" t="n">
        <v>0</v>
      </c>
      <c r="R852" s="2" t="inlineStr"/>
    </row>
    <row r="853" ht="15" customHeight="1">
      <c r="A853" t="inlineStr">
        <is>
          <t>A 57578-2024</t>
        </is>
      </c>
      <c r="B853" s="1" t="n">
        <v>45630.47564814815</v>
      </c>
      <c r="C853" s="1" t="n">
        <v>46101</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22399-2025</t>
        </is>
      </c>
      <c r="B854" s="1" t="n">
        <v>45786.52996527778</v>
      </c>
      <c r="C854" s="1" t="n">
        <v>46101</v>
      </c>
      <c r="D854" t="inlineStr">
        <is>
          <t>KALMAR LÄN</t>
        </is>
      </c>
      <c r="E854" t="inlineStr">
        <is>
          <t>VIMMERBY</t>
        </is>
      </c>
      <c r="G854" t="n">
        <v>2.1</v>
      </c>
      <c r="H854" t="n">
        <v>0</v>
      </c>
      <c r="I854" t="n">
        <v>0</v>
      </c>
      <c r="J854" t="n">
        <v>0</v>
      </c>
      <c r="K854" t="n">
        <v>0</v>
      </c>
      <c r="L854" t="n">
        <v>0</v>
      </c>
      <c r="M854" t="n">
        <v>0</v>
      </c>
      <c r="N854" t="n">
        <v>0</v>
      </c>
      <c r="O854" t="n">
        <v>0</v>
      </c>
      <c r="P854" t="n">
        <v>0</v>
      </c>
      <c r="Q854" t="n">
        <v>0</v>
      </c>
      <c r="R854" s="2" t="inlineStr"/>
    </row>
    <row r="855" ht="15" customHeight="1">
      <c r="A855" t="inlineStr">
        <is>
          <t>A 22397-2025</t>
        </is>
      </c>
      <c r="B855" s="1" t="n">
        <v>45786.52878472222</v>
      </c>
      <c r="C855" s="1" t="n">
        <v>46101</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11442-2025</t>
        </is>
      </c>
      <c r="B856" s="1" t="n">
        <v>45726.62721064815</v>
      </c>
      <c r="C856" s="1" t="n">
        <v>46101</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6307-2025</t>
        </is>
      </c>
      <c r="B857" s="1" t="n">
        <v>45698.69016203703</v>
      </c>
      <c r="C857" s="1" t="n">
        <v>46101</v>
      </c>
      <c r="D857" t="inlineStr">
        <is>
          <t>KALMAR LÄN</t>
        </is>
      </c>
      <c r="E857" t="inlineStr">
        <is>
          <t>VIMMERBY</t>
        </is>
      </c>
      <c r="G857" t="n">
        <v>3</v>
      </c>
      <c r="H857" t="n">
        <v>0</v>
      </c>
      <c r="I857" t="n">
        <v>0</v>
      </c>
      <c r="J857" t="n">
        <v>0</v>
      </c>
      <c r="K857" t="n">
        <v>0</v>
      </c>
      <c r="L857" t="n">
        <v>0</v>
      </c>
      <c r="M857" t="n">
        <v>0</v>
      </c>
      <c r="N857" t="n">
        <v>0</v>
      </c>
      <c r="O857" t="n">
        <v>0</v>
      </c>
      <c r="P857" t="n">
        <v>0</v>
      </c>
      <c r="Q857" t="n">
        <v>0</v>
      </c>
      <c r="R857" s="2" t="inlineStr"/>
    </row>
    <row r="858" ht="15" customHeight="1">
      <c r="A858" t="inlineStr">
        <is>
          <t>A 23394-2025</t>
        </is>
      </c>
      <c r="B858" s="1" t="n">
        <v>45791.89865740741</v>
      </c>
      <c r="C858" s="1" t="n">
        <v>46101</v>
      </c>
      <c r="D858" t="inlineStr">
        <is>
          <t>KALMAR LÄN</t>
        </is>
      </c>
      <c r="E858" t="inlineStr">
        <is>
          <t>VIMMERBY</t>
        </is>
      </c>
      <c r="G858" t="n">
        <v>3.1</v>
      </c>
      <c r="H858" t="n">
        <v>0</v>
      </c>
      <c r="I858" t="n">
        <v>0</v>
      </c>
      <c r="J858" t="n">
        <v>0</v>
      </c>
      <c r="K858" t="n">
        <v>0</v>
      </c>
      <c r="L858" t="n">
        <v>0</v>
      </c>
      <c r="M858" t="n">
        <v>0</v>
      </c>
      <c r="N858" t="n">
        <v>0</v>
      </c>
      <c r="O858" t="n">
        <v>0</v>
      </c>
      <c r="P858" t="n">
        <v>0</v>
      </c>
      <c r="Q858" t="n">
        <v>0</v>
      </c>
      <c r="R858" s="2" t="inlineStr"/>
    </row>
    <row r="859" ht="15" customHeight="1">
      <c r="A859" t="inlineStr">
        <is>
          <t>A 23984-2025</t>
        </is>
      </c>
      <c r="B859" s="1" t="n">
        <v>45796</v>
      </c>
      <c r="C859" s="1" t="n">
        <v>46101</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51278-2024</t>
        </is>
      </c>
      <c r="B860" s="1" t="n">
        <v>45603.74959490741</v>
      </c>
      <c r="C860" s="1" t="n">
        <v>46101</v>
      </c>
      <c r="D860" t="inlineStr">
        <is>
          <t>KALMAR LÄN</t>
        </is>
      </c>
      <c r="E860" t="inlineStr">
        <is>
          <t>VIMMERBY</t>
        </is>
      </c>
      <c r="G860" t="n">
        <v>3.4</v>
      </c>
      <c r="H860" t="n">
        <v>0</v>
      </c>
      <c r="I860" t="n">
        <v>0</v>
      </c>
      <c r="J860" t="n">
        <v>0</v>
      </c>
      <c r="K860" t="n">
        <v>0</v>
      </c>
      <c r="L860" t="n">
        <v>0</v>
      </c>
      <c r="M860" t="n">
        <v>0</v>
      </c>
      <c r="N860" t="n">
        <v>0</v>
      </c>
      <c r="O860" t="n">
        <v>0</v>
      </c>
      <c r="P860" t="n">
        <v>0</v>
      </c>
      <c r="Q860" t="n">
        <v>0</v>
      </c>
      <c r="R860" s="2" t="inlineStr"/>
    </row>
    <row r="861" ht="15" customHeight="1">
      <c r="A861" t="inlineStr">
        <is>
          <t>A 35082-2024</t>
        </is>
      </c>
      <c r="B861" s="1" t="n">
        <v>45527.68784722222</v>
      </c>
      <c r="C861" s="1" t="n">
        <v>46101</v>
      </c>
      <c r="D861" t="inlineStr">
        <is>
          <t>KALMAR LÄN</t>
        </is>
      </c>
      <c r="E861" t="inlineStr">
        <is>
          <t>VIMMERBY</t>
        </is>
      </c>
      <c r="G861" t="n">
        <v>0.8</v>
      </c>
      <c r="H861" t="n">
        <v>0</v>
      </c>
      <c r="I861" t="n">
        <v>0</v>
      </c>
      <c r="J861" t="n">
        <v>0</v>
      </c>
      <c r="K861" t="n">
        <v>0</v>
      </c>
      <c r="L861" t="n">
        <v>0</v>
      </c>
      <c r="M861" t="n">
        <v>0</v>
      </c>
      <c r="N861" t="n">
        <v>0</v>
      </c>
      <c r="O861" t="n">
        <v>0</v>
      </c>
      <c r="P861" t="n">
        <v>0</v>
      </c>
      <c r="Q861" t="n">
        <v>0</v>
      </c>
      <c r="R861" s="2" t="inlineStr"/>
    </row>
    <row r="862" ht="15" customHeight="1">
      <c r="A862" t="inlineStr">
        <is>
          <t>A 44582-2024</t>
        </is>
      </c>
      <c r="B862" s="1" t="n">
        <v>45574.49298611111</v>
      </c>
      <c r="C862" s="1" t="n">
        <v>46101</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9456-2025</t>
        </is>
      </c>
      <c r="B863" s="1" t="n">
        <v>45715.44159722222</v>
      </c>
      <c r="C863" s="1" t="n">
        <v>46101</v>
      </c>
      <c r="D863" t="inlineStr">
        <is>
          <t>KALMAR LÄN</t>
        </is>
      </c>
      <c r="E863" t="inlineStr">
        <is>
          <t>VIMMERBY</t>
        </is>
      </c>
      <c r="G863" t="n">
        <v>1.5</v>
      </c>
      <c r="H863" t="n">
        <v>0</v>
      </c>
      <c r="I863" t="n">
        <v>0</v>
      </c>
      <c r="J863" t="n">
        <v>0</v>
      </c>
      <c r="K863" t="n">
        <v>0</v>
      </c>
      <c r="L863" t="n">
        <v>0</v>
      </c>
      <c r="M863" t="n">
        <v>0</v>
      </c>
      <c r="N863" t="n">
        <v>0</v>
      </c>
      <c r="O863" t="n">
        <v>0</v>
      </c>
      <c r="P863" t="n">
        <v>0</v>
      </c>
      <c r="Q863" t="n">
        <v>0</v>
      </c>
      <c r="R863" s="2" t="inlineStr"/>
    </row>
    <row r="864" ht="15" customHeight="1">
      <c r="A864" t="inlineStr">
        <is>
          <t>A 11111-2023</t>
        </is>
      </c>
      <c r="B864" s="1" t="n">
        <v>44992.4255787037</v>
      </c>
      <c r="C864" s="1" t="n">
        <v>46101</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58724-2024</t>
        </is>
      </c>
      <c r="B865" s="1" t="n">
        <v>45635.66409722222</v>
      </c>
      <c r="C865" s="1" t="n">
        <v>46101</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15494-2024</t>
        </is>
      </c>
      <c r="B866" s="1" t="n">
        <v>45401.53033564815</v>
      </c>
      <c r="C866" s="1" t="n">
        <v>46101</v>
      </c>
      <c r="D866" t="inlineStr">
        <is>
          <t>KALMAR LÄN</t>
        </is>
      </c>
      <c r="E866" t="inlineStr">
        <is>
          <t>VIMMERBY</t>
        </is>
      </c>
      <c r="G866" t="n">
        <v>3.2</v>
      </c>
      <c r="H866" t="n">
        <v>0</v>
      </c>
      <c r="I866" t="n">
        <v>0</v>
      </c>
      <c r="J866" t="n">
        <v>0</v>
      </c>
      <c r="K866" t="n">
        <v>0</v>
      </c>
      <c r="L866" t="n">
        <v>0</v>
      </c>
      <c r="M866" t="n">
        <v>0</v>
      </c>
      <c r="N866" t="n">
        <v>0</v>
      </c>
      <c r="O866" t="n">
        <v>0</v>
      </c>
      <c r="P866" t="n">
        <v>0</v>
      </c>
      <c r="Q866" t="n">
        <v>0</v>
      </c>
      <c r="R866" s="2" t="inlineStr"/>
    </row>
    <row r="867" ht="15" customHeight="1">
      <c r="A867" t="inlineStr">
        <is>
          <t>A 26039-2025</t>
        </is>
      </c>
      <c r="B867" s="1" t="n">
        <v>45804.6953587963</v>
      </c>
      <c r="C867" s="1" t="n">
        <v>46101</v>
      </c>
      <c r="D867" t="inlineStr">
        <is>
          <t>KALMAR LÄN</t>
        </is>
      </c>
      <c r="E867" t="inlineStr">
        <is>
          <t>VIMMERBY</t>
        </is>
      </c>
      <c r="F867" t="inlineStr">
        <is>
          <t>Sveaskog</t>
        </is>
      </c>
      <c r="G867" t="n">
        <v>5.2</v>
      </c>
      <c r="H867" t="n">
        <v>0</v>
      </c>
      <c r="I867" t="n">
        <v>0</v>
      </c>
      <c r="J867" t="n">
        <v>0</v>
      </c>
      <c r="K867" t="n">
        <v>0</v>
      </c>
      <c r="L867" t="n">
        <v>0</v>
      </c>
      <c r="M867" t="n">
        <v>0</v>
      </c>
      <c r="N867" t="n">
        <v>0</v>
      </c>
      <c r="O867" t="n">
        <v>0</v>
      </c>
      <c r="P867" t="n">
        <v>0</v>
      </c>
      <c r="Q867" t="n">
        <v>0</v>
      </c>
      <c r="R867" s="2" t="inlineStr"/>
    </row>
    <row r="868" ht="15" customHeight="1">
      <c r="A868" t="inlineStr">
        <is>
          <t>A 26046-2025</t>
        </is>
      </c>
      <c r="B868" s="1" t="n">
        <v>45804.708125</v>
      </c>
      <c r="C868" s="1" t="n">
        <v>46101</v>
      </c>
      <c r="D868" t="inlineStr">
        <is>
          <t>KALMAR LÄN</t>
        </is>
      </c>
      <c r="E868" t="inlineStr">
        <is>
          <t>VIMMERBY</t>
        </is>
      </c>
      <c r="F868" t="inlineStr">
        <is>
          <t>Sveaskog</t>
        </is>
      </c>
      <c r="G868" t="n">
        <v>5.1</v>
      </c>
      <c r="H868" t="n">
        <v>0</v>
      </c>
      <c r="I868" t="n">
        <v>0</v>
      </c>
      <c r="J868" t="n">
        <v>0</v>
      </c>
      <c r="K868" t="n">
        <v>0</v>
      </c>
      <c r="L868" t="n">
        <v>0</v>
      </c>
      <c r="M868" t="n">
        <v>0</v>
      </c>
      <c r="N868" t="n">
        <v>0</v>
      </c>
      <c r="O868" t="n">
        <v>0</v>
      </c>
      <c r="P868" t="n">
        <v>0</v>
      </c>
      <c r="Q868" t="n">
        <v>0</v>
      </c>
      <c r="R868" s="2" t="inlineStr"/>
    </row>
    <row r="869" ht="15" customHeight="1">
      <c r="A869" t="inlineStr">
        <is>
          <t>A 25792-2025</t>
        </is>
      </c>
      <c r="B869" s="1" t="n">
        <v>45804.39141203704</v>
      </c>
      <c r="C869" s="1" t="n">
        <v>46101</v>
      </c>
      <c r="D869" t="inlineStr">
        <is>
          <t>KALMAR LÄN</t>
        </is>
      </c>
      <c r="E869" t="inlineStr">
        <is>
          <t>VIMMERBY</t>
        </is>
      </c>
      <c r="G869" t="n">
        <v>0.8</v>
      </c>
      <c r="H869" t="n">
        <v>0</v>
      </c>
      <c r="I869" t="n">
        <v>0</v>
      </c>
      <c r="J869" t="n">
        <v>0</v>
      </c>
      <c r="K869" t="n">
        <v>0</v>
      </c>
      <c r="L869" t="n">
        <v>0</v>
      </c>
      <c r="M869" t="n">
        <v>0</v>
      </c>
      <c r="N869" t="n">
        <v>0</v>
      </c>
      <c r="O869" t="n">
        <v>0</v>
      </c>
      <c r="P869" t="n">
        <v>0</v>
      </c>
      <c r="Q869" t="n">
        <v>0</v>
      </c>
      <c r="R869" s="2" t="inlineStr"/>
    </row>
    <row r="870" ht="15" customHeight="1">
      <c r="A870" t="inlineStr">
        <is>
          <t>A 25830-2025</t>
        </is>
      </c>
      <c r="B870" s="1" t="n">
        <v>45804.44519675926</v>
      </c>
      <c r="C870" s="1" t="n">
        <v>46101</v>
      </c>
      <c r="D870" t="inlineStr">
        <is>
          <t>KALMAR LÄN</t>
        </is>
      </c>
      <c r="E870" t="inlineStr">
        <is>
          <t>VIMMERBY</t>
        </is>
      </c>
      <c r="G870" t="n">
        <v>4.9</v>
      </c>
      <c r="H870" t="n">
        <v>0</v>
      </c>
      <c r="I870" t="n">
        <v>0</v>
      </c>
      <c r="J870" t="n">
        <v>0</v>
      </c>
      <c r="K870" t="n">
        <v>0</v>
      </c>
      <c r="L870" t="n">
        <v>0</v>
      </c>
      <c r="M870" t="n">
        <v>0</v>
      </c>
      <c r="N870" t="n">
        <v>0</v>
      </c>
      <c r="O870" t="n">
        <v>0</v>
      </c>
      <c r="P870" t="n">
        <v>0</v>
      </c>
      <c r="Q870" t="n">
        <v>0</v>
      </c>
      <c r="R870" s="2" t="inlineStr"/>
    </row>
    <row r="871" ht="15" customHeight="1">
      <c r="A871" t="inlineStr">
        <is>
          <t>A 26124-2025</t>
        </is>
      </c>
      <c r="B871" s="1" t="n">
        <v>45805.39247685186</v>
      </c>
      <c r="C871" s="1" t="n">
        <v>46101</v>
      </c>
      <c r="D871" t="inlineStr">
        <is>
          <t>KALMAR LÄN</t>
        </is>
      </c>
      <c r="E871" t="inlineStr">
        <is>
          <t>VIMMERBY</t>
        </is>
      </c>
      <c r="G871" t="n">
        <v>6.6</v>
      </c>
      <c r="H871" t="n">
        <v>0</v>
      </c>
      <c r="I871" t="n">
        <v>0</v>
      </c>
      <c r="J871" t="n">
        <v>0</v>
      </c>
      <c r="K871" t="n">
        <v>0</v>
      </c>
      <c r="L871" t="n">
        <v>0</v>
      </c>
      <c r="M871" t="n">
        <v>0</v>
      </c>
      <c r="N871" t="n">
        <v>0</v>
      </c>
      <c r="O871" t="n">
        <v>0</v>
      </c>
      <c r="P871" t="n">
        <v>0</v>
      </c>
      <c r="Q871" t="n">
        <v>0</v>
      </c>
      <c r="R871" s="2" t="inlineStr"/>
    </row>
    <row r="872" ht="15" customHeight="1">
      <c r="A872" t="inlineStr">
        <is>
          <t>A 26254-2025</t>
        </is>
      </c>
      <c r="B872" s="1" t="n">
        <v>45805</v>
      </c>
      <c r="C872" s="1" t="n">
        <v>46101</v>
      </c>
      <c r="D872" t="inlineStr">
        <is>
          <t>KALMAR LÄN</t>
        </is>
      </c>
      <c r="E872" t="inlineStr">
        <is>
          <t>VIMMERBY</t>
        </is>
      </c>
      <c r="G872" t="n">
        <v>2</v>
      </c>
      <c r="H872" t="n">
        <v>0</v>
      </c>
      <c r="I872" t="n">
        <v>0</v>
      </c>
      <c r="J872" t="n">
        <v>0</v>
      </c>
      <c r="K872" t="n">
        <v>0</v>
      </c>
      <c r="L872" t="n">
        <v>0</v>
      </c>
      <c r="M872" t="n">
        <v>0</v>
      </c>
      <c r="N872" t="n">
        <v>0</v>
      </c>
      <c r="O872" t="n">
        <v>0</v>
      </c>
      <c r="P872" t="n">
        <v>0</v>
      </c>
      <c r="Q872" t="n">
        <v>0</v>
      </c>
      <c r="R872" s="2" t="inlineStr"/>
    </row>
    <row r="873" ht="15" customHeight="1">
      <c r="A873" t="inlineStr">
        <is>
          <t>A 26207-2025</t>
        </is>
      </c>
      <c r="B873" s="1" t="n">
        <v>45805.52983796296</v>
      </c>
      <c r="C873" s="1" t="n">
        <v>46101</v>
      </c>
      <c r="D873" t="inlineStr">
        <is>
          <t>KALMAR LÄN</t>
        </is>
      </c>
      <c r="E873" t="inlineStr">
        <is>
          <t>VIMMERBY</t>
        </is>
      </c>
      <c r="G873" t="n">
        <v>0.7</v>
      </c>
      <c r="H873" t="n">
        <v>0</v>
      </c>
      <c r="I873" t="n">
        <v>0</v>
      </c>
      <c r="J873" t="n">
        <v>0</v>
      </c>
      <c r="K873" t="n">
        <v>0</v>
      </c>
      <c r="L873" t="n">
        <v>0</v>
      </c>
      <c r="M873" t="n">
        <v>0</v>
      </c>
      <c r="N873" t="n">
        <v>0</v>
      </c>
      <c r="O873" t="n">
        <v>0</v>
      </c>
      <c r="P873" t="n">
        <v>0</v>
      </c>
      <c r="Q873" t="n">
        <v>0</v>
      </c>
      <c r="R873" s="2" t="inlineStr"/>
    </row>
    <row r="874" ht="15" customHeight="1">
      <c r="A874" t="inlineStr">
        <is>
          <t>A 28290-2025</t>
        </is>
      </c>
      <c r="B874" s="1" t="n">
        <v>45818.59261574074</v>
      </c>
      <c r="C874" s="1" t="n">
        <v>46101</v>
      </c>
      <c r="D874" t="inlineStr">
        <is>
          <t>KALMAR LÄN</t>
        </is>
      </c>
      <c r="E874" t="inlineStr">
        <is>
          <t>VIMMERBY</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28280-2025</t>
        </is>
      </c>
      <c r="B875" s="1" t="n">
        <v>45818.5862037037</v>
      </c>
      <c r="C875" s="1" t="n">
        <v>46101</v>
      </c>
      <c r="D875" t="inlineStr">
        <is>
          <t>KALMAR LÄN</t>
        </is>
      </c>
      <c r="E875" t="inlineStr">
        <is>
          <t>VIMMERBY</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28286-2025</t>
        </is>
      </c>
      <c r="B876" s="1" t="n">
        <v>45818.58993055556</v>
      </c>
      <c r="C876" s="1" t="n">
        <v>46101</v>
      </c>
      <c r="D876" t="inlineStr">
        <is>
          <t>KALMAR LÄN</t>
        </is>
      </c>
      <c r="E876" t="inlineStr">
        <is>
          <t>VIMMERBY</t>
        </is>
      </c>
      <c r="F876" t="inlineStr">
        <is>
          <t>Sveaskog</t>
        </is>
      </c>
      <c r="G876" t="n">
        <v>8</v>
      </c>
      <c r="H876" t="n">
        <v>0</v>
      </c>
      <c r="I876" t="n">
        <v>0</v>
      </c>
      <c r="J876" t="n">
        <v>0</v>
      </c>
      <c r="K876" t="n">
        <v>0</v>
      </c>
      <c r="L876" t="n">
        <v>0</v>
      </c>
      <c r="M876" t="n">
        <v>0</v>
      </c>
      <c r="N876" t="n">
        <v>0</v>
      </c>
      <c r="O876" t="n">
        <v>0</v>
      </c>
      <c r="P876" t="n">
        <v>0</v>
      </c>
      <c r="Q876" t="n">
        <v>0</v>
      </c>
      <c r="R876" s="2" t="inlineStr"/>
    </row>
    <row r="877" ht="15" customHeight="1">
      <c r="A877" t="inlineStr">
        <is>
          <t>A 28282-2025</t>
        </is>
      </c>
      <c r="B877" s="1" t="n">
        <v>45818.58769675926</v>
      </c>
      <c r="C877" s="1" t="n">
        <v>46101</v>
      </c>
      <c r="D877" t="inlineStr">
        <is>
          <t>KALMAR LÄN</t>
        </is>
      </c>
      <c r="E877" t="inlineStr">
        <is>
          <t>VIMMERBY</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28294-2025</t>
        </is>
      </c>
      <c r="B878" s="1" t="n">
        <v>45818.595625</v>
      </c>
      <c r="C878" s="1" t="n">
        <v>46101</v>
      </c>
      <c r="D878" t="inlineStr">
        <is>
          <t>KALMAR LÄN</t>
        </is>
      </c>
      <c r="E878" t="inlineStr">
        <is>
          <t>VIMMERBY</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28713-2025</t>
        </is>
      </c>
      <c r="B879" s="1" t="n">
        <v>45820.33930555556</v>
      </c>
      <c r="C879" s="1" t="n">
        <v>46101</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28712-2025</t>
        </is>
      </c>
      <c r="B880" s="1" t="n">
        <v>45820.33708333333</v>
      </c>
      <c r="C880" s="1" t="n">
        <v>46101</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28714-2025</t>
        </is>
      </c>
      <c r="B881" s="1" t="n">
        <v>45820.34128472222</v>
      </c>
      <c r="C881" s="1" t="n">
        <v>46101</v>
      </c>
      <c r="D881" t="inlineStr">
        <is>
          <t>KALMAR LÄN</t>
        </is>
      </c>
      <c r="E881" t="inlineStr">
        <is>
          <t>VIMMERBY</t>
        </is>
      </c>
      <c r="G881" t="n">
        <v>1.8</v>
      </c>
      <c r="H881" t="n">
        <v>0</v>
      </c>
      <c r="I881" t="n">
        <v>0</v>
      </c>
      <c r="J881" t="n">
        <v>0</v>
      </c>
      <c r="K881" t="n">
        <v>0</v>
      </c>
      <c r="L881" t="n">
        <v>0</v>
      </c>
      <c r="M881" t="n">
        <v>0</v>
      </c>
      <c r="N881" t="n">
        <v>0</v>
      </c>
      <c r="O881" t="n">
        <v>0</v>
      </c>
      <c r="P881" t="n">
        <v>0</v>
      </c>
      <c r="Q881" t="n">
        <v>0</v>
      </c>
      <c r="R881" s="2" t="inlineStr"/>
    </row>
    <row r="882" ht="15" customHeight="1">
      <c r="A882" t="inlineStr">
        <is>
          <t>A 28620-2025</t>
        </is>
      </c>
      <c r="B882" s="1" t="n">
        <v>45819.61060185185</v>
      </c>
      <c r="C882" s="1" t="n">
        <v>46101</v>
      </c>
      <c r="D882" t="inlineStr">
        <is>
          <t>KALMAR LÄN</t>
        </is>
      </c>
      <c r="E882" t="inlineStr">
        <is>
          <t>VIMMERBY</t>
        </is>
      </c>
      <c r="G882" t="n">
        <v>5.6</v>
      </c>
      <c r="H882" t="n">
        <v>0</v>
      </c>
      <c r="I882" t="n">
        <v>0</v>
      </c>
      <c r="J882" t="n">
        <v>0</v>
      </c>
      <c r="K882" t="n">
        <v>0</v>
      </c>
      <c r="L882" t="n">
        <v>0</v>
      </c>
      <c r="M882" t="n">
        <v>0</v>
      </c>
      <c r="N882" t="n">
        <v>0</v>
      </c>
      <c r="O882" t="n">
        <v>0</v>
      </c>
      <c r="P882" t="n">
        <v>0</v>
      </c>
      <c r="Q882" t="n">
        <v>0</v>
      </c>
      <c r="R882" s="2" t="inlineStr"/>
    </row>
    <row r="883" ht="15" customHeight="1">
      <c r="A883" t="inlineStr">
        <is>
          <t>A 29727-2025</t>
        </is>
      </c>
      <c r="B883" s="1" t="n">
        <v>45825.5796875</v>
      </c>
      <c r="C883" s="1" t="n">
        <v>46101</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29737-2025</t>
        </is>
      </c>
      <c r="B884" s="1" t="n">
        <v>45825.58672453704</v>
      </c>
      <c r="C884" s="1" t="n">
        <v>46101</v>
      </c>
      <c r="D884" t="inlineStr">
        <is>
          <t>KALMAR LÄN</t>
        </is>
      </c>
      <c r="E884" t="inlineStr">
        <is>
          <t>VIMMERBY</t>
        </is>
      </c>
      <c r="G884" t="n">
        <v>1.2</v>
      </c>
      <c r="H884" t="n">
        <v>0</v>
      </c>
      <c r="I884" t="n">
        <v>0</v>
      </c>
      <c r="J884" t="n">
        <v>0</v>
      </c>
      <c r="K884" t="n">
        <v>0</v>
      </c>
      <c r="L884" t="n">
        <v>0</v>
      </c>
      <c r="M884" t="n">
        <v>0</v>
      </c>
      <c r="N884" t="n">
        <v>0</v>
      </c>
      <c r="O884" t="n">
        <v>0</v>
      </c>
      <c r="P884" t="n">
        <v>0</v>
      </c>
      <c r="Q884" t="n">
        <v>0</v>
      </c>
      <c r="R884" s="2" t="inlineStr"/>
    </row>
    <row r="885" ht="15" customHeight="1">
      <c r="A885" t="inlineStr">
        <is>
          <t>A 30293-2025</t>
        </is>
      </c>
      <c r="B885" s="1" t="n">
        <v>45827</v>
      </c>
      <c r="C885" s="1" t="n">
        <v>46101</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30290-2025</t>
        </is>
      </c>
      <c r="B886" s="1" t="n">
        <v>45827</v>
      </c>
      <c r="C886" s="1" t="n">
        <v>46101</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30850-2025</t>
        </is>
      </c>
      <c r="B887" s="1" t="n">
        <v>45831</v>
      </c>
      <c r="C887" s="1" t="n">
        <v>46101</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30882-2025</t>
        </is>
      </c>
      <c r="B888" s="1" t="n">
        <v>45832.34540509259</v>
      </c>
      <c r="C888" s="1" t="n">
        <v>46101</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30971-2025</t>
        </is>
      </c>
      <c r="B889" s="1" t="n">
        <v>45832.46146990741</v>
      </c>
      <c r="C889" s="1" t="n">
        <v>46101</v>
      </c>
      <c r="D889" t="inlineStr">
        <is>
          <t>KALMAR LÄN</t>
        </is>
      </c>
      <c r="E889" t="inlineStr">
        <is>
          <t>VIMMERBY</t>
        </is>
      </c>
      <c r="G889" t="n">
        <v>1.2</v>
      </c>
      <c r="H889" t="n">
        <v>0</v>
      </c>
      <c r="I889" t="n">
        <v>0</v>
      </c>
      <c r="J889" t="n">
        <v>0</v>
      </c>
      <c r="K889" t="n">
        <v>0</v>
      </c>
      <c r="L889" t="n">
        <v>0</v>
      </c>
      <c r="M889" t="n">
        <v>0</v>
      </c>
      <c r="N889" t="n">
        <v>0</v>
      </c>
      <c r="O889" t="n">
        <v>0</v>
      </c>
      <c r="P889" t="n">
        <v>0</v>
      </c>
      <c r="Q889" t="n">
        <v>0</v>
      </c>
      <c r="R889" s="2" t="inlineStr"/>
    </row>
    <row r="890" ht="15" customHeight="1">
      <c r="A890" t="inlineStr">
        <is>
          <t>A 31552-2025</t>
        </is>
      </c>
      <c r="B890" s="1" t="n">
        <v>45833.64563657407</v>
      </c>
      <c r="C890" s="1" t="n">
        <v>46101</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31555-2025</t>
        </is>
      </c>
      <c r="B891" s="1" t="n">
        <v>45833.64814814815</v>
      </c>
      <c r="C891" s="1" t="n">
        <v>46101</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31870-2025</t>
        </is>
      </c>
      <c r="B892" s="1" t="n">
        <v>45834.64667824074</v>
      </c>
      <c r="C892" s="1" t="n">
        <v>46101</v>
      </c>
      <c r="D892" t="inlineStr">
        <is>
          <t>KALMAR LÄN</t>
        </is>
      </c>
      <c r="E892" t="inlineStr">
        <is>
          <t>VIMMERBY</t>
        </is>
      </c>
      <c r="F892" t="inlineStr">
        <is>
          <t>Sveaskog</t>
        </is>
      </c>
      <c r="G892" t="n">
        <v>3.5</v>
      </c>
      <c r="H892" t="n">
        <v>0</v>
      </c>
      <c r="I892" t="n">
        <v>0</v>
      </c>
      <c r="J892" t="n">
        <v>0</v>
      </c>
      <c r="K892" t="n">
        <v>0</v>
      </c>
      <c r="L892" t="n">
        <v>0</v>
      </c>
      <c r="M892" t="n">
        <v>0</v>
      </c>
      <c r="N892" t="n">
        <v>0</v>
      </c>
      <c r="O892" t="n">
        <v>0</v>
      </c>
      <c r="P892" t="n">
        <v>0</v>
      </c>
      <c r="Q892" t="n">
        <v>0</v>
      </c>
      <c r="R892" s="2" t="inlineStr"/>
    </row>
    <row r="893" ht="15" customHeight="1">
      <c r="A893" t="inlineStr">
        <is>
          <t>A 8559-2025</t>
        </is>
      </c>
      <c r="B893" s="1" t="n">
        <v>45709.62280092593</v>
      </c>
      <c r="C893" s="1" t="n">
        <v>46101</v>
      </c>
      <c r="D893" t="inlineStr">
        <is>
          <t>KALMAR LÄN</t>
        </is>
      </c>
      <c r="E893" t="inlineStr">
        <is>
          <t>VIMMERBY</t>
        </is>
      </c>
      <c r="G893" t="n">
        <v>8.9</v>
      </c>
      <c r="H893" t="n">
        <v>0</v>
      </c>
      <c r="I893" t="n">
        <v>0</v>
      </c>
      <c r="J893" t="n">
        <v>0</v>
      </c>
      <c r="K893" t="n">
        <v>0</v>
      </c>
      <c r="L893" t="n">
        <v>0</v>
      </c>
      <c r="M893" t="n">
        <v>0</v>
      </c>
      <c r="N893" t="n">
        <v>0</v>
      </c>
      <c r="O893" t="n">
        <v>0</v>
      </c>
      <c r="P893" t="n">
        <v>0</v>
      </c>
      <c r="Q893" t="n">
        <v>0</v>
      </c>
      <c r="R893" s="2" t="inlineStr"/>
    </row>
    <row r="894" ht="15" customHeight="1">
      <c r="A894" t="inlineStr">
        <is>
          <t>A 31872-2025</t>
        </is>
      </c>
      <c r="B894" s="1" t="n">
        <v>45834.65040509259</v>
      </c>
      <c r="C894" s="1" t="n">
        <v>46101</v>
      </c>
      <c r="D894" t="inlineStr">
        <is>
          <t>KALMAR LÄN</t>
        </is>
      </c>
      <c r="E894" t="inlineStr">
        <is>
          <t>VIMMERBY</t>
        </is>
      </c>
      <c r="F894" t="inlineStr">
        <is>
          <t>Sveaskog</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31876-2025</t>
        </is>
      </c>
      <c r="B895" s="1" t="n">
        <v>45834.65197916667</v>
      </c>
      <c r="C895" s="1" t="n">
        <v>46101</v>
      </c>
      <c r="D895" t="inlineStr">
        <is>
          <t>KALMAR LÄN</t>
        </is>
      </c>
      <c r="E895" t="inlineStr">
        <is>
          <t>VIMMERBY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31551-2025</t>
        </is>
      </c>
      <c r="B896" s="1" t="n">
        <v>45833.64237268519</v>
      </c>
      <c r="C896" s="1" t="n">
        <v>46101</v>
      </c>
      <c r="D896" t="inlineStr">
        <is>
          <t>KALMAR LÄN</t>
        </is>
      </c>
      <c r="E896" t="inlineStr">
        <is>
          <t>VIMMERBY</t>
        </is>
      </c>
      <c r="G896" t="n">
        <v>1.9</v>
      </c>
      <c r="H896" t="n">
        <v>0</v>
      </c>
      <c r="I896" t="n">
        <v>0</v>
      </c>
      <c r="J896" t="n">
        <v>0</v>
      </c>
      <c r="K896" t="n">
        <v>0</v>
      </c>
      <c r="L896" t="n">
        <v>0</v>
      </c>
      <c r="M896" t="n">
        <v>0</v>
      </c>
      <c r="N896" t="n">
        <v>0</v>
      </c>
      <c r="O896" t="n">
        <v>0</v>
      </c>
      <c r="P896" t="n">
        <v>0</v>
      </c>
      <c r="Q896" t="n">
        <v>0</v>
      </c>
      <c r="R896" s="2" t="inlineStr"/>
    </row>
    <row r="897" ht="15" customHeight="1">
      <c r="A897" t="inlineStr">
        <is>
          <t>A 31987-2025</t>
        </is>
      </c>
      <c r="B897" s="1" t="n">
        <v>45835.36229166666</v>
      </c>
      <c r="C897" s="1" t="n">
        <v>46101</v>
      </c>
      <c r="D897" t="inlineStr">
        <is>
          <t>KALMAR LÄN</t>
        </is>
      </c>
      <c r="E897" t="inlineStr">
        <is>
          <t>VIMMERBY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32120-2025</t>
        </is>
      </c>
      <c r="B898" s="1" t="n">
        <v>45835.4924537037</v>
      </c>
      <c r="C898" s="1" t="n">
        <v>46101</v>
      </c>
      <c r="D898" t="inlineStr">
        <is>
          <t>KALMAR LÄN</t>
        </is>
      </c>
      <c r="E898" t="inlineStr">
        <is>
          <t>VIMMERBY</t>
        </is>
      </c>
      <c r="G898" t="n">
        <v>0.8</v>
      </c>
      <c r="H898" t="n">
        <v>0</v>
      </c>
      <c r="I898" t="n">
        <v>0</v>
      </c>
      <c r="J898" t="n">
        <v>0</v>
      </c>
      <c r="K898" t="n">
        <v>0</v>
      </c>
      <c r="L898" t="n">
        <v>0</v>
      </c>
      <c r="M898" t="n">
        <v>0</v>
      </c>
      <c r="N898" t="n">
        <v>0</v>
      </c>
      <c r="O898" t="n">
        <v>0</v>
      </c>
      <c r="P898" t="n">
        <v>0</v>
      </c>
      <c r="Q898" t="n">
        <v>0</v>
      </c>
      <c r="R898" s="2" t="inlineStr"/>
    </row>
    <row r="899" ht="15" customHeight="1">
      <c r="A899" t="inlineStr">
        <is>
          <t>A 32116-2025</t>
        </is>
      </c>
      <c r="B899" s="1" t="n">
        <v>45835.48862268519</v>
      </c>
      <c r="C899" s="1" t="n">
        <v>46101</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32380-2025</t>
        </is>
      </c>
      <c r="B900" s="1" t="n">
        <v>45837.77701388889</v>
      </c>
      <c r="C900" s="1" t="n">
        <v>46101</v>
      </c>
      <c r="D900" t="inlineStr">
        <is>
          <t>KALMAR LÄN</t>
        </is>
      </c>
      <c r="E900" t="inlineStr">
        <is>
          <t>VIMMERBY</t>
        </is>
      </c>
      <c r="G900" t="n">
        <v>3.1</v>
      </c>
      <c r="H900" t="n">
        <v>0</v>
      </c>
      <c r="I900" t="n">
        <v>0</v>
      </c>
      <c r="J900" t="n">
        <v>0</v>
      </c>
      <c r="K900" t="n">
        <v>0</v>
      </c>
      <c r="L900" t="n">
        <v>0</v>
      </c>
      <c r="M900" t="n">
        <v>0</v>
      </c>
      <c r="N900" t="n">
        <v>0</v>
      </c>
      <c r="O900" t="n">
        <v>0</v>
      </c>
      <c r="P900" t="n">
        <v>0</v>
      </c>
      <c r="Q900" t="n">
        <v>0</v>
      </c>
      <c r="R900" s="2" t="inlineStr"/>
    </row>
    <row r="901" ht="15" customHeight="1">
      <c r="A901" t="inlineStr">
        <is>
          <t>A 32109-2025</t>
        </is>
      </c>
      <c r="B901" s="1" t="n">
        <v>45835.48267361111</v>
      </c>
      <c r="C901" s="1" t="n">
        <v>46101</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32113-2025</t>
        </is>
      </c>
      <c r="B902" s="1" t="n">
        <v>45835.48445601852</v>
      </c>
      <c r="C902" s="1" t="n">
        <v>46101</v>
      </c>
      <c r="D902" t="inlineStr">
        <is>
          <t>KALMAR LÄN</t>
        </is>
      </c>
      <c r="E902" t="inlineStr">
        <is>
          <t>VIMMERBY</t>
        </is>
      </c>
      <c r="G902" t="n">
        <v>3.5</v>
      </c>
      <c r="H902" t="n">
        <v>0</v>
      </c>
      <c r="I902" t="n">
        <v>0</v>
      </c>
      <c r="J902" t="n">
        <v>0</v>
      </c>
      <c r="K902" t="n">
        <v>0</v>
      </c>
      <c r="L902" t="n">
        <v>0</v>
      </c>
      <c r="M902" t="n">
        <v>0</v>
      </c>
      <c r="N902" t="n">
        <v>0</v>
      </c>
      <c r="O902" t="n">
        <v>0</v>
      </c>
      <c r="P902" t="n">
        <v>0</v>
      </c>
      <c r="Q902" t="n">
        <v>0</v>
      </c>
      <c r="R902" s="2" t="inlineStr"/>
    </row>
    <row r="903" ht="15" customHeight="1">
      <c r="A903" t="inlineStr">
        <is>
          <t>A 32077-2025</t>
        </is>
      </c>
      <c r="B903" s="1" t="n">
        <v>45835.45099537037</v>
      </c>
      <c r="C903" s="1" t="n">
        <v>46101</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32064-2025</t>
        </is>
      </c>
      <c r="B904" s="1" t="n">
        <v>45835.44709490741</v>
      </c>
      <c r="C904" s="1" t="n">
        <v>46101</v>
      </c>
      <c r="D904" t="inlineStr">
        <is>
          <t>KALMAR LÄN</t>
        </is>
      </c>
      <c r="E904" t="inlineStr">
        <is>
          <t>VIMMERBY</t>
        </is>
      </c>
      <c r="G904" t="n">
        <v>2.6</v>
      </c>
      <c r="H904" t="n">
        <v>0</v>
      </c>
      <c r="I904" t="n">
        <v>0</v>
      </c>
      <c r="J904" t="n">
        <v>0</v>
      </c>
      <c r="K904" t="n">
        <v>0</v>
      </c>
      <c r="L904" t="n">
        <v>0</v>
      </c>
      <c r="M904" t="n">
        <v>0</v>
      </c>
      <c r="N904" t="n">
        <v>0</v>
      </c>
      <c r="O904" t="n">
        <v>0</v>
      </c>
      <c r="P904" t="n">
        <v>0</v>
      </c>
      <c r="Q904" t="n">
        <v>0</v>
      </c>
      <c r="R904" s="2" t="inlineStr"/>
    </row>
    <row r="905" ht="15" customHeight="1">
      <c r="A905" t="inlineStr">
        <is>
          <t>A 32065-2025</t>
        </is>
      </c>
      <c r="B905" s="1" t="n">
        <v>45835.44732638889</v>
      </c>
      <c r="C905" s="1" t="n">
        <v>46101</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33186-2025</t>
        </is>
      </c>
      <c r="B906" s="1" t="n">
        <v>45840.59474537037</v>
      </c>
      <c r="C906" s="1" t="n">
        <v>46101</v>
      </c>
      <c r="D906" t="inlineStr">
        <is>
          <t>KALMAR LÄN</t>
        </is>
      </c>
      <c r="E906" t="inlineStr">
        <is>
          <t>VIMMERBY</t>
        </is>
      </c>
      <c r="G906" t="n">
        <v>2.6</v>
      </c>
      <c r="H906" t="n">
        <v>0</v>
      </c>
      <c r="I906" t="n">
        <v>0</v>
      </c>
      <c r="J906" t="n">
        <v>0</v>
      </c>
      <c r="K906" t="n">
        <v>0</v>
      </c>
      <c r="L906" t="n">
        <v>0</v>
      </c>
      <c r="M906" t="n">
        <v>0</v>
      </c>
      <c r="N906" t="n">
        <v>0</v>
      </c>
      <c r="O906" t="n">
        <v>0</v>
      </c>
      <c r="P906" t="n">
        <v>0</v>
      </c>
      <c r="Q906" t="n">
        <v>0</v>
      </c>
      <c r="R906" s="2" t="inlineStr"/>
    </row>
    <row r="907" ht="15" customHeight="1">
      <c r="A907" t="inlineStr">
        <is>
          <t>A 30977-2025</t>
        </is>
      </c>
      <c r="B907" s="1" t="n">
        <v>45832.46649305556</v>
      </c>
      <c r="C907" s="1" t="n">
        <v>46101</v>
      </c>
      <c r="D907" t="inlineStr">
        <is>
          <t>KALMAR LÄN</t>
        </is>
      </c>
      <c r="E907" t="inlineStr">
        <is>
          <t>VIMMERBY</t>
        </is>
      </c>
      <c r="G907" t="n">
        <v>0.6</v>
      </c>
      <c r="H907" t="n">
        <v>0</v>
      </c>
      <c r="I907" t="n">
        <v>0</v>
      </c>
      <c r="J907" t="n">
        <v>0</v>
      </c>
      <c r="K907" t="n">
        <v>0</v>
      </c>
      <c r="L907" t="n">
        <v>0</v>
      </c>
      <c r="M907" t="n">
        <v>0</v>
      </c>
      <c r="N907" t="n">
        <v>0</v>
      </c>
      <c r="O907" t="n">
        <v>0</v>
      </c>
      <c r="P907" t="n">
        <v>0</v>
      </c>
      <c r="Q907" t="n">
        <v>0</v>
      </c>
      <c r="R907" s="2" t="inlineStr"/>
    </row>
    <row r="908" ht="15" customHeight="1">
      <c r="A908" t="inlineStr">
        <is>
          <t>A 33695-2025</t>
        </is>
      </c>
      <c r="B908" s="1" t="n">
        <v>45841.70569444444</v>
      </c>
      <c r="C908" s="1" t="n">
        <v>46101</v>
      </c>
      <c r="D908" t="inlineStr">
        <is>
          <t>KALMAR LÄN</t>
        </is>
      </c>
      <c r="E908" t="inlineStr">
        <is>
          <t>VIMMERBY</t>
        </is>
      </c>
      <c r="G908" t="n">
        <v>2.7</v>
      </c>
      <c r="H908" t="n">
        <v>0</v>
      </c>
      <c r="I908" t="n">
        <v>0</v>
      </c>
      <c r="J908" t="n">
        <v>0</v>
      </c>
      <c r="K908" t="n">
        <v>0</v>
      </c>
      <c r="L908" t="n">
        <v>0</v>
      </c>
      <c r="M908" t="n">
        <v>0</v>
      </c>
      <c r="N908" t="n">
        <v>0</v>
      </c>
      <c r="O908" t="n">
        <v>0</v>
      </c>
      <c r="P908" t="n">
        <v>0</v>
      </c>
      <c r="Q908" t="n">
        <v>0</v>
      </c>
      <c r="R908" s="2" t="inlineStr"/>
    </row>
    <row r="909" ht="15" customHeight="1">
      <c r="A909" t="inlineStr">
        <is>
          <t>A 33698-2025</t>
        </is>
      </c>
      <c r="B909" s="1" t="n">
        <v>45841.70868055556</v>
      </c>
      <c r="C909" s="1" t="n">
        <v>46101</v>
      </c>
      <c r="D909" t="inlineStr">
        <is>
          <t>KALMAR LÄN</t>
        </is>
      </c>
      <c r="E909" t="inlineStr">
        <is>
          <t>VIMMERBY</t>
        </is>
      </c>
      <c r="G909" t="n">
        <v>3.7</v>
      </c>
      <c r="H909" t="n">
        <v>0</v>
      </c>
      <c r="I909" t="n">
        <v>0</v>
      </c>
      <c r="J909" t="n">
        <v>0</v>
      </c>
      <c r="K909" t="n">
        <v>0</v>
      </c>
      <c r="L909" t="n">
        <v>0</v>
      </c>
      <c r="M909" t="n">
        <v>0</v>
      </c>
      <c r="N909" t="n">
        <v>0</v>
      </c>
      <c r="O909" t="n">
        <v>0</v>
      </c>
      <c r="P909" t="n">
        <v>0</v>
      </c>
      <c r="Q909" t="n">
        <v>0</v>
      </c>
      <c r="R909" s="2" t="inlineStr"/>
    </row>
    <row r="910" ht="15" customHeight="1">
      <c r="A910" t="inlineStr">
        <is>
          <t>A 33696-2025</t>
        </is>
      </c>
      <c r="B910" s="1" t="n">
        <v>45841.7072337963</v>
      </c>
      <c r="C910" s="1" t="n">
        <v>46101</v>
      </c>
      <c r="D910" t="inlineStr">
        <is>
          <t>KALMAR LÄN</t>
        </is>
      </c>
      <c r="E910" t="inlineStr">
        <is>
          <t>VIMMERBY</t>
        </is>
      </c>
      <c r="G910" t="n">
        <v>1.1</v>
      </c>
      <c r="H910" t="n">
        <v>0</v>
      </c>
      <c r="I910" t="n">
        <v>0</v>
      </c>
      <c r="J910" t="n">
        <v>0</v>
      </c>
      <c r="K910" t="n">
        <v>0</v>
      </c>
      <c r="L910" t="n">
        <v>0</v>
      </c>
      <c r="M910" t="n">
        <v>0</v>
      </c>
      <c r="N910" t="n">
        <v>0</v>
      </c>
      <c r="O910" t="n">
        <v>0</v>
      </c>
      <c r="P910" t="n">
        <v>0</v>
      </c>
      <c r="Q910" t="n">
        <v>0</v>
      </c>
      <c r="R910" s="2" t="inlineStr"/>
    </row>
    <row r="911" ht="15" customHeight="1">
      <c r="A911" t="inlineStr">
        <is>
          <t>A 28702-2025</t>
        </is>
      </c>
      <c r="B911" s="1" t="n">
        <v>45820.03976851852</v>
      </c>
      <c r="C911" s="1" t="n">
        <v>46101</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34071-2025</t>
        </is>
      </c>
      <c r="B912" s="1" t="n">
        <v>45845.43803240741</v>
      </c>
      <c r="C912" s="1" t="n">
        <v>46101</v>
      </c>
      <c r="D912" t="inlineStr">
        <is>
          <t>KALMAR LÄN</t>
        </is>
      </c>
      <c r="E912" t="inlineStr">
        <is>
          <t>VIMMERBY</t>
        </is>
      </c>
      <c r="G912" t="n">
        <v>6.8</v>
      </c>
      <c r="H912" t="n">
        <v>0</v>
      </c>
      <c r="I912" t="n">
        <v>0</v>
      </c>
      <c r="J912" t="n">
        <v>0</v>
      </c>
      <c r="K912" t="n">
        <v>0</v>
      </c>
      <c r="L912" t="n">
        <v>0</v>
      </c>
      <c r="M912" t="n">
        <v>0</v>
      </c>
      <c r="N912" t="n">
        <v>0</v>
      </c>
      <c r="O912" t="n">
        <v>0</v>
      </c>
      <c r="P912" t="n">
        <v>0</v>
      </c>
      <c r="Q912" t="n">
        <v>0</v>
      </c>
      <c r="R912" s="2" t="inlineStr"/>
    </row>
    <row r="913" ht="15" customHeight="1">
      <c r="A913" t="inlineStr">
        <is>
          <t>A 34106-2025</t>
        </is>
      </c>
      <c r="B913" s="1" t="n">
        <v>45845.49414351852</v>
      </c>
      <c r="C913" s="1" t="n">
        <v>46101</v>
      </c>
      <c r="D913" t="inlineStr">
        <is>
          <t>KALMAR LÄN</t>
        </is>
      </c>
      <c r="E913" t="inlineStr">
        <is>
          <t>VIMMERBY</t>
        </is>
      </c>
      <c r="G913" t="n">
        <v>6</v>
      </c>
      <c r="H913" t="n">
        <v>0</v>
      </c>
      <c r="I913" t="n">
        <v>0</v>
      </c>
      <c r="J913" t="n">
        <v>0</v>
      </c>
      <c r="K913" t="n">
        <v>0</v>
      </c>
      <c r="L913" t="n">
        <v>0</v>
      </c>
      <c r="M913" t="n">
        <v>0</v>
      </c>
      <c r="N913" t="n">
        <v>0</v>
      </c>
      <c r="O913" t="n">
        <v>0</v>
      </c>
      <c r="P913" t="n">
        <v>0</v>
      </c>
      <c r="Q913" t="n">
        <v>0</v>
      </c>
      <c r="R913" s="2" t="inlineStr"/>
    </row>
    <row r="914" ht="15" customHeight="1">
      <c r="A914" t="inlineStr">
        <is>
          <t>A 26956-2025</t>
        </is>
      </c>
      <c r="B914" s="1" t="n">
        <v>45811.45460648148</v>
      </c>
      <c r="C914" s="1" t="n">
        <v>46101</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34628-2025</t>
        </is>
      </c>
      <c r="B915" s="1" t="n">
        <v>45847.91280092593</v>
      </c>
      <c r="C915" s="1" t="n">
        <v>46101</v>
      </c>
      <c r="D915" t="inlineStr">
        <is>
          <t>KALMAR LÄN</t>
        </is>
      </c>
      <c r="E915" t="inlineStr">
        <is>
          <t>VIMMERBY</t>
        </is>
      </c>
      <c r="G915" t="n">
        <v>4.2</v>
      </c>
      <c r="H915" t="n">
        <v>0</v>
      </c>
      <c r="I915" t="n">
        <v>0</v>
      </c>
      <c r="J915" t="n">
        <v>0</v>
      </c>
      <c r="K915" t="n">
        <v>0</v>
      </c>
      <c r="L915" t="n">
        <v>0</v>
      </c>
      <c r="M915" t="n">
        <v>0</v>
      </c>
      <c r="N915" t="n">
        <v>0</v>
      </c>
      <c r="O915" t="n">
        <v>0</v>
      </c>
      <c r="P915" t="n">
        <v>0</v>
      </c>
      <c r="Q915" t="n">
        <v>0</v>
      </c>
      <c r="R915" s="2" t="inlineStr"/>
    </row>
    <row r="916" ht="15" customHeight="1">
      <c r="A916" t="inlineStr">
        <is>
          <t>A 35270-2025</t>
        </is>
      </c>
      <c r="B916" s="1" t="n">
        <v>45853.87112268519</v>
      </c>
      <c r="C916" s="1" t="n">
        <v>46101</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35271-2025</t>
        </is>
      </c>
      <c r="B917" s="1" t="n">
        <v>45853.87599537037</v>
      </c>
      <c r="C917" s="1" t="n">
        <v>46101</v>
      </c>
      <c r="D917" t="inlineStr">
        <is>
          <t>KALMAR LÄN</t>
        </is>
      </c>
      <c r="E917" t="inlineStr">
        <is>
          <t>VIMMERBY</t>
        </is>
      </c>
      <c r="G917" t="n">
        <v>0.4</v>
      </c>
      <c r="H917" t="n">
        <v>0</v>
      </c>
      <c r="I917" t="n">
        <v>0</v>
      </c>
      <c r="J917" t="n">
        <v>0</v>
      </c>
      <c r="K917" t="n">
        <v>0</v>
      </c>
      <c r="L917" t="n">
        <v>0</v>
      </c>
      <c r="M917" t="n">
        <v>0</v>
      </c>
      <c r="N917" t="n">
        <v>0</v>
      </c>
      <c r="O917" t="n">
        <v>0</v>
      </c>
      <c r="P917" t="n">
        <v>0</v>
      </c>
      <c r="Q917" t="n">
        <v>0</v>
      </c>
      <c r="R917" s="2" t="inlineStr"/>
    </row>
    <row r="918" ht="15" customHeight="1">
      <c r="A918" t="inlineStr">
        <is>
          <t>A 35272-2025</t>
        </is>
      </c>
      <c r="B918" s="1" t="n">
        <v>45853.88070601852</v>
      </c>
      <c r="C918" s="1" t="n">
        <v>46101</v>
      </c>
      <c r="D918" t="inlineStr">
        <is>
          <t>KALMAR LÄN</t>
        </is>
      </c>
      <c r="E918" t="inlineStr">
        <is>
          <t>VIMMERBY</t>
        </is>
      </c>
      <c r="G918" t="n">
        <v>0.6</v>
      </c>
      <c r="H918" t="n">
        <v>0</v>
      </c>
      <c r="I918" t="n">
        <v>0</v>
      </c>
      <c r="J918" t="n">
        <v>0</v>
      </c>
      <c r="K918" t="n">
        <v>0</v>
      </c>
      <c r="L918" t="n">
        <v>0</v>
      </c>
      <c r="M918" t="n">
        <v>0</v>
      </c>
      <c r="N918" t="n">
        <v>0</v>
      </c>
      <c r="O918" t="n">
        <v>0</v>
      </c>
      <c r="P918" t="n">
        <v>0</v>
      </c>
      <c r="Q918" t="n">
        <v>0</v>
      </c>
      <c r="R918" s="2" t="inlineStr"/>
    </row>
    <row r="919">
      <c r="A919" t="inlineStr">
        <is>
          <t>A 16953-2025</t>
        </is>
      </c>
      <c r="B919" s="1" t="n">
        <v>45755.44333333334</v>
      </c>
      <c r="C919" s="1" t="n">
        <v>46101</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2026-03-20T11:33:04Z</dcterms:created>
  <dcterms:modified xmlns:dcterms="http://purl.org/dc/terms/" xmlns:xsi="http://www.w3.org/2001/XMLSchema-instance" xsi:type="dcterms:W3CDTF">2026-03-20T11:33:05Z</dcterms:modified>
</cp:coreProperties>
</file>